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Robo01\Desktop\Automacao_Final\macros\"/>
    </mc:Choice>
  </mc:AlternateContent>
  <xr:revisionPtr revIDLastSave="0" documentId="13_ncr:1_{3683C046-2B27-407A-8BEC-F020CC3BCD58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Macro" sheetId="9" r:id="rId1"/>
    <sheet name="ZV62N" sheetId="8" r:id="rId2"/>
    <sheet name="Base" sheetId="3" r:id="rId3"/>
    <sheet name="Din" sheetId="2" r:id="rId4"/>
    <sheet name="Tabela" sheetId="4" r:id="rId5"/>
  </sheets>
  <functionGroups builtInGroupCount="19"/>
  <definedNames>
    <definedName name="_xlnm._FilterDatabase" localSheetId="2" hidden="1">Base!$A$1:$V$1</definedName>
    <definedName name="_xlnm._FilterDatabase" localSheetId="3" hidden="1">Din!$A$21:$G$778</definedName>
    <definedName name="_xlnm._FilterDatabase" localSheetId="1" hidden="1">ZV62N!$A$1:$BN$3497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4" l="1"/>
  <c r="E20" i="2"/>
  <c r="L17" i="4" l="1"/>
  <c r="J17" i="4"/>
  <c r="H17" i="4"/>
  <c r="H18" i="4" s="1"/>
  <c r="H19" i="4" s="1"/>
  <c r="F17" i="4"/>
  <c r="F18" i="4" s="1"/>
  <c r="C20" i="2"/>
  <c r="G20" i="2"/>
  <c r="K18" i="4" l="1"/>
  <c r="I18" i="4"/>
  <c r="E18" i="4"/>
  <c r="J30" i="2" l="1"/>
  <c r="K36" i="2"/>
  <c r="J32" i="2"/>
  <c r="K35" i="2"/>
  <c r="L18" i="4" l="1"/>
  <c r="K28" i="2"/>
  <c r="K29" i="2"/>
  <c r="K30" i="2" l="1"/>
  <c r="K32" i="2"/>
  <c r="E74" i="4" l="1"/>
  <c r="F74" i="4"/>
  <c r="G74" i="4"/>
  <c r="H74" i="4"/>
  <c r="H75" i="4"/>
  <c r="E75" i="4"/>
  <c r="G75" i="4"/>
  <c r="F75" i="4"/>
  <c r="I74" i="4" l="1"/>
  <c r="J18" i="4"/>
  <c r="F58" i="2"/>
  <c r="F55" i="2"/>
  <c r="F33" i="2"/>
  <c r="F75" i="2"/>
  <c r="F84" i="2"/>
  <c r="F63" i="2"/>
  <c r="F67" i="2"/>
  <c r="F88" i="2"/>
  <c r="F32" i="2"/>
  <c r="F39" i="2"/>
  <c r="F83" i="2"/>
  <c r="F43" i="2"/>
  <c r="F78" i="2"/>
  <c r="F56" i="2"/>
  <c r="F54" i="2"/>
  <c r="F57" i="2"/>
  <c r="F29" i="2"/>
  <c r="F48" i="2"/>
  <c r="F68" i="2"/>
  <c r="F73" i="2"/>
  <c r="F92" i="2"/>
  <c r="F35" i="2"/>
  <c r="F53" i="2"/>
  <c r="F77" i="2"/>
  <c r="F91" i="2"/>
  <c r="F95" i="2"/>
  <c r="F62" i="2"/>
  <c r="F42" i="2"/>
  <c r="F71" i="2"/>
  <c r="F36" i="2"/>
  <c r="F76" i="2"/>
  <c r="F34" i="2"/>
  <c r="F31" i="2"/>
  <c r="F81" i="2"/>
  <c r="F72" i="2"/>
  <c r="F50" i="2"/>
  <c r="F51" i="2"/>
  <c r="F46" i="2"/>
  <c r="F28" i="2"/>
  <c r="F64" i="2"/>
  <c r="F86" i="2"/>
  <c r="F89" i="2"/>
  <c r="F90" i="2"/>
  <c r="F85" i="2"/>
  <c r="F66" i="2"/>
  <c r="F87" i="2"/>
  <c r="F49" i="2"/>
  <c r="F61" i="2"/>
  <c r="F59" i="2"/>
  <c r="F80" i="2"/>
  <c r="F82" i="2"/>
  <c r="F74" i="2"/>
  <c r="F94" i="2"/>
  <c r="F93" i="2"/>
  <c r="F37" i="2"/>
  <c r="F69" i="2"/>
  <c r="F52" i="2"/>
  <c r="F41" i="2"/>
  <c r="F79" i="2"/>
  <c r="F38" i="2"/>
  <c r="F40" i="2"/>
  <c r="F65" i="2"/>
  <c r="F30" i="2"/>
  <c r="F44" i="2"/>
  <c r="F27" i="2"/>
  <c r="F47" i="2"/>
  <c r="F70" i="2"/>
  <c r="F60" i="2"/>
  <c r="F45" i="2"/>
  <c r="G27" i="2" l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I75" i="4" l="1"/>
  <c r="H104" i="4"/>
  <c r="H105" i="4"/>
  <c r="H106" i="4"/>
  <c r="H107" i="4"/>
  <c r="H108" i="4"/>
  <c r="H109" i="4"/>
  <c r="H110" i="4"/>
  <c r="H111" i="4"/>
  <c r="H112" i="4"/>
  <c r="H116" i="4" l="1"/>
  <c r="H113" i="4"/>
  <c r="H114" i="4"/>
  <c r="E115" i="4"/>
  <c r="G115" i="4"/>
  <c r="F115" i="4"/>
  <c r="H115" i="4" l="1"/>
</calcChain>
</file>

<file path=xl/sharedStrings.xml><?xml version="1.0" encoding="utf-8"?>
<sst xmlns="http://schemas.openxmlformats.org/spreadsheetml/2006/main" count="562" uniqueCount="411">
  <si>
    <t>Transporte</t>
  </si>
  <si>
    <t>Doc.vendas</t>
  </si>
  <si>
    <t>MtOrd</t>
  </si>
  <si>
    <t>Denominação</t>
  </si>
  <si>
    <t>EmissorOrd</t>
  </si>
  <si>
    <t>Nome do Emissor</t>
  </si>
  <si>
    <t>Rg</t>
  </si>
  <si>
    <t>EqVs</t>
  </si>
  <si>
    <t>Desc. Equipe</t>
  </si>
  <si>
    <t>LExp</t>
  </si>
  <si>
    <t>Material</t>
  </si>
  <si>
    <t>Nome do Transportador</t>
  </si>
  <si>
    <t>DUFRIO   POA</t>
  </si>
  <si>
    <t>REFRIGERACAO DUFRIO COMERCIO</t>
  </si>
  <si>
    <t>REFRIGERACAO DUFRIO COMERCIO E</t>
  </si>
  <si>
    <t>FRIGELAR COMÉRCIO E INDÚSTRIA LTDA</t>
  </si>
  <si>
    <t>Refrigeração Dufrio Com Importação</t>
  </si>
  <si>
    <t>S.M. QUARESMA</t>
  </si>
  <si>
    <t>CENTROMAQ PECAS E SERVICOS LTDA</t>
  </si>
  <si>
    <t>REFRIGERACAO MOTA LTDA</t>
  </si>
  <si>
    <t>FRIGELAR COMERCIO E INDUSTRIA LTDA</t>
  </si>
  <si>
    <t>REFRIG DUFRIO COMER E IMPOR LTDA</t>
  </si>
  <si>
    <t>FRIGELAR COM. DISTRIBUICAO S/A</t>
  </si>
  <si>
    <t>ELETROFRIGOR PECAS LTDA ME</t>
  </si>
  <si>
    <t>REFRIG DUFRIO COM E IMPOR</t>
  </si>
  <si>
    <t>Rótulos de Coluna</t>
  </si>
  <si>
    <t>Previsão fat no mês</t>
  </si>
  <si>
    <t>Previsão fat prox.mês</t>
  </si>
  <si>
    <t>Total Soma de Qtd. Peças</t>
  </si>
  <si>
    <t>Total Soma de   Val.Bruto.</t>
  </si>
  <si>
    <t>Rótulos de Linha</t>
  </si>
  <si>
    <t>Soma de Qtd. Peças</t>
  </si>
  <si>
    <t>Soma de   Val.Bruto.</t>
  </si>
  <si>
    <t>Total Geral</t>
  </si>
  <si>
    <t>Familia de Peças - RESUMIDA</t>
  </si>
  <si>
    <t>Tipo Devol</t>
  </si>
  <si>
    <t>NF origem WHP</t>
  </si>
  <si>
    <t>Responsável</t>
  </si>
  <si>
    <t>Status Reversa</t>
  </si>
  <si>
    <t>Familia Peças - Detalhada</t>
  </si>
  <si>
    <t>Qtd. Peças</t>
  </si>
  <si>
    <t>Cod Transp</t>
  </si>
  <si>
    <t xml:space="preserve">  Val.Bruto.</t>
  </si>
  <si>
    <t>% Cliente</t>
  </si>
  <si>
    <t>Já faturadas</t>
  </si>
  <si>
    <t>Cód. Ocorr</t>
  </si>
  <si>
    <t>Descrição Ocorrência</t>
  </si>
  <si>
    <t>Obs. da Ocorrência</t>
  </si>
  <si>
    <t>Lead Time</t>
  </si>
  <si>
    <t>OS(Nº Ped)</t>
  </si>
  <si>
    <t>Rc</t>
  </si>
  <si>
    <t>Desc. Motivo Recusa</t>
  </si>
  <si>
    <t>Cod. prov.</t>
  </si>
  <si>
    <t>Descr da providência</t>
  </si>
  <si>
    <t>Dt Pr Vl O</t>
  </si>
  <si>
    <t>Usr. prov</t>
  </si>
  <si>
    <t>TpDV</t>
  </si>
  <si>
    <t>TpPed</t>
  </si>
  <si>
    <t>Criado/a</t>
  </si>
  <si>
    <t>Status</t>
  </si>
  <si>
    <t>EscrV</t>
  </si>
  <si>
    <t>Desc. Agência</t>
  </si>
  <si>
    <t>Cen.</t>
  </si>
  <si>
    <t>Qtd.ordem</t>
  </si>
  <si>
    <t>Forn. Serv</t>
  </si>
  <si>
    <t>Nº NF</t>
  </si>
  <si>
    <t>Sér</t>
  </si>
  <si>
    <t>Nº 9 pos.</t>
  </si>
  <si>
    <t>Referência</t>
  </si>
  <si>
    <t>Doc.fatur.</t>
  </si>
  <si>
    <t>Dt/fatur/</t>
  </si>
  <si>
    <t>Nº doc.</t>
  </si>
  <si>
    <t>Fornmto.</t>
  </si>
  <si>
    <t>Doc.mat.</t>
  </si>
  <si>
    <t xml:space="preserve">  Val.líq.</t>
  </si>
  <si>
    <t>CPF/CNPJ</t>
  </si>
  <si>
    <t>JR PECAS LTDA</t>
  </si>
  <si>
    <t>NF</t>
  </si>
  <si>
    <t>Dt/criação</t>
  </si>
  <si>
    <t>PONTO DE ORVALHO REFRIG LTDA</t>
  </si>
  <si>
    <t>TECBRAS ASSISTENCIA TECNICA</t>
  </si>
  <si>
    <t>COMERCIO DE REFRIGERACAO</t>
  </si>
  <si>
    <t>REFRIGERACAO MARTENDAL LTDA</t>
  </si>
  <si>
    <t>Família de peças</t>
  </si>
  <si>
    <t>Impacto Cliente</t>
  </si>
  <si>
    <t>Dt/ Transp</t>
  </si>
  <si>
    <t>Dt/ Ocor/</t>
  </si>
  <si>
    <t>Dt/ Prev/</t>
  </si>
  <si>
    <t>MASP REFRIGERACAO E SERVICOS TECNIC</t>
  </si>
  <si>
    <t>FALCONE - COMERCIO E SERVICOS LTDA</t>
  </si>
  <si>
    <t>ELETRÔNICOS</t>
  </si>
  <si>
    <t>ESTRUTURAL</t>
  </si>
  <si>
    <t>SISTEMA DE COOLING</t>
  </si>
  <si>
    <t>SISTEMA MOTRIZ</t>
  </si>
  <si>
    <t>CONTROLES</t>
  </si>
  <si>
    <t>ARMAZENAMENTO</t>
  </si>
  <si>
    <t>MOVIMENTAÇÃO DE FLUIDOS</t>
  </si>
  <si>
    <t>ESPECÍFICOS</t>
  </si>
  <si>
    <t>VEDAÇÃO</t>
  </si>
  <si>
    <t>SISTEMA QUEIMA</t>
  </si>
  <si>
    <t>AMORTECIMENTO</t>
  </si>
  <si>
    <t>FIXAÇÃO E CONEXÃO</t>
  </si>
  <si>
    <t>EMBALAGENS E ETIQUETAS</t>
  </si>
  <si>
    <t>Família Resumida</t>
  </si>
  <si>
    <t>Dt/lçto/</t>
  </si>
  <si>
    <t>MAREAR SERVIÇOS TECNICOS LTDA</t>
  </si>
  <si>
    <t>AREA SUL COMERCIO E SERVICOS EIRELI</t>
  </si>
  <si>
    <t>Obs/ Ocorr</t>
  </si>
  <si>
    <t>REFRIGERACAO MARCA PODEROSA</t>
  </si>
  <si>
    <t>REFRIGERAÇÃO DUFRIO COMERCIO E</t>
  </si>
  <si>
    <t>FORT CENTER REFRIGERACAO LTDA</t>
  </si>
  <si>
    <t>Drive div.</t>
  </si>
  <si>
    <t>Clientes com maior impacto</t>
  </si>
  <si>
    <t>Código da ocorrência</t>
  </si>
  <si>
    <t>Data registro ocorrência</t>
  </si>
  <si>
    <t>Observação da ocorrência</t>
  </si>
  <si>
    <t>Cód. providência</t>
  </si>
  <si>
    <t>Observação da providência</t>
  </si>
  <si>
    <t>Coleta</t>
  </si>
  <si>
    <t>Agenda</t>
  </si>
  <si>
    <t>Disponível</t>
  </si>
  <si>
    <t>REFRIC BAHIA SERVICOS DE REFRIGERA</t>
  </si>
  <si>
    <t>Impacto dos maiores Clientes</t>
  </si>
  <si>
    <t>JF OLIVEIRA PEREIRA ELETROD LTDA</t>
  </si>
  <si>
    <t>REFIGERAÇÃO DUFRIO COM E IMPORT</t>
  </si>
  <si>
    <t>B C M - COMERCIO DE PECAS E</t>
  </si>
  <si>
    <t>TEMPERFRIO DISTR IMP DE PEÇAS  PR L</t>
  </si>
  <si>
    <t>ANTONIO AUGUSTO BARBOSA DANTAS ME</t>
  </si>
  <si>
    <t>BRAZILIAN SERVICE ELETRODOMESTICOS</t>
  </si>
  <si>
    <t>Campos Equipamentos e Refrigeração</t>
  </si>
  <si>
    <t>D L REFRIGERACOES PECAS E</t>
  </si>
  <si>
    <t>REFRICRIL DISTRIBUIDORA DE AR</t>
  </si>
  <si>
    <t>ADVANCE REFRIGERACAO LTDA</t>
  </si>
  <si>
    <t>BRASTEMAK REFRIGERACAO LTDA</t>
  </si>
  <si>
    <t>D. B. GOMES SOROCABA</t>
  </si>
  <si>
    <t>POSFRIO REFRIGERACAO LTDA</t>
  </si>
  <si>
    <t>REVOLUTION COMERCIO E SERV</t>
  </si>
  <si>
    <t>PRAMAK REFRIGERACAO, PECAS E</t>
  </si>
  <si>
    <t>ELETRO RECIFE VENDAS</t>
  </si>
  <si>
    <t>PONTO DE ORVALHO REFRIGERACAO EIREL</t>
  </si>
  <si>
    <t>JOSE IZIDORO SILVA REFRIGERACAO</t>
  </si>
  <si>
    <t>CORREIA E CIPRIANO LTDA</t>
  </si>
  <si>
    <t>C.L.A</t>
  </si>
  <si>
    <t>MUNDO DA REFRIGERACAO LTDA - ME</t>
  </si>
  <si>
    <t>CLAYTON DE OLIVEIRA</t>
  </si>
  <si>
    <t>IRMAOS PACIFICO COMERCIO</t>
  </si>
  <si>
    <t>CITYTEC COMERCIO</t>
  </si>
  <si>
    <t>agenda</t>
  </si>
  <si>
    <t>DREAM SERVICE COMERCIO DE PECAS E</t>
  </si>
  <si>
    <t>REFRIG DANTAS LTDA</t>
  </si>
  <si>
    <t>AGASERV COMERCIO E ASSISTENCIA</t>
  </si>
  <si>
    <t>REFRICENTER REFRIGERACAO LTDA</t>
  </si>
  <si>
    <t>GOLD SERVICE COMERCIO</t>
  </si>
  <si>
    <t>FRIORIO DISTRIBUIDOR DE PECAS PARA</t>
  </si>
  <si>
    <t>REB</t>
  </si>
  <si>
    <t>PEÇAS -Defeito de fabric./Sem Compressão</t>
  </si>
  <si>
    <t>W10393823</t>
  </si>
  <si>
    <t>PEÇAS - Defeito de fabric./Alta Amperage</t>
  </si>
  <si>
    <t>SP</t>
  </si>
  <si>
    <t>W10769940</t>
  </si>
  <si>
    <t>Drive - ZV62n</t>
  </si>
  <si>
    <t>LT Total - ZV62n</t>
  </si>
  <si>
    <t>DISFRIO DISTRIBUIDORA DE AR</t>
  </si>
  <si>
    <t>COMETA DISTRIBUIDORA DE PECAS</t>
  </si>
  <si>
    <t>PARANAGUA FRIO REFRIGERACAO LTDA</t>
  </si>
  <si>
    <t>COMERCIAL DE REFRIG  EQUIPAMEN LTDA</t>
  </si>
  <si>
    <t>TERMO STATUS INSTALADORA DE</t>
  </si>
  <si>
    <t>NATALAV REFRIGERACAO E SERVICOS LT</t>
  </si>
  <si>
    <t>Dt. Criação OI</t>
  </si>
  <si>
    <t>ELETRO PECAS REAL LTDA</t>
  </si>
  <si>
    <t>BRASIL WEB TRANSPORTES E LOGISTICA</t>
  </si>
  <si>
    <t>Data da ZV62N</t>
  </si>
  <si>
    <t>Usuário</t>
  </si>
  <si>
    <t>Status pendencia</t>
  </si>
  <si>
    <t>AGUIAR COMERCIO DE PRODUTOS DE REF</t>
  </si>
  <si>
    <t>Ao finalizar o botão 1., na aba ZV62N, coluna "Dt/Fat/", eliminar as linhas com data diferente no mês vigente, deixando o atual e as vazias</t>
  </si>
  <si>
    <t>Na coluna "Status", para os casos com data de faturamento na coluna "Dt/Fat/", ajustar para "Já faturadas"(lista suspensa). Retire o filtro após</t>
  </si>
  <si>
    <t>Seguir com o botão 3 da Macro, que irá gerar uma base exclusiva para a divulgação.</t>
  </si>
  <si>
    <t>1.</t>
  </si>
  <si>
    <t>2.</t>
  </si>
  <si>
    <t>3.</t>
  </si>
  <si>
    <t>3.1.</t>
  </si>
  <si>
    <t>3.2.</t>
  </si>
  <si>
    <t>3.3.</t>
  </si>
  <si>
    <t>4.</t>
  </si>
  <si>
    <t>5.</t>
  </si>
  <si>
    <t>6.</t>
  </si>
  <si>
    <t>7.</t>
  </si>
  <si>
    <t>8.</t>
  </si>
  <si>
    <t>9.</t>
  </si>
  <si>
    <t>Assim que a Base da ZV62N estiver atualizada, seguir com a Macro 1.</t>
  </si>
  <si>
    <t>Na coluna "Status", filtre a mesma deixando somente as vazias. Filtre a coluna "LT Total - ZV62n", deixando as datas antigas até as datas que a planta irá receber e faturas no mês. E para estes casos, na coluna "Status" ajustar para "Previsão fat no mês". Limpe os filtros</t>
  </si>
  <si>
    <t>Na coluna "Status", filtre a mesma deixando somente as vazias. E para este casos, ajuste para "Previsão fat prox.mês". Limpe os filtros</t>
  </si>
  <si>
    <t>Na coluna "Status", filtre a mesma retirando o status "Já faturadas", e de acordo com os status de devolução da coluna "Status pendência", reajuste para "Previsão fat no mês" e "Previsão fat prox.mês". Limpe os filtros</t>
  </si>
  <si>
    <t>Para as linhas com  transportador Brasspres, com exceção dos status "Já faturadas", realterar para "Previsão fat prox.mês"(solicitar ao responsável pela agenda, se existe alguma agenda da Braspress na semana, e caso sim, fazer um procv para a base destes casos, da Braspress, e alterar para "Previsão fat no mês").Limpe os filtros</t>
  </si>
  <si>
    <t>Na coluna "Status", filtre a mesma retirando o status "Já faturadas". E para os casos com data na coluna "Drive - ZV62n", alterar Status para "Previsão fat no mês". Limpe os filtros</t>
  </si>
  <si>
    <t>Assim que os dados da aba ZV62N foram analisados, seguir com o botão 2 da macro.</t>
  </si>
  <si>
    <t>Na aba Base, a informações foram ajustadas para gerar o arquivo final e com isso, atualize as dinâmicas na aba Din e a aba tabela, ajuste as mesma(copiar e colar a aba Din) para compor o e-mail de divulgação.</t>
  </si>
  <si>
    <t>Compor e enviar o e-mail de divulgação, salvar as bases.</t>
  </si>
  <si>
    <t>J N SOARES REFRIGERACAO - ME</t>
  </si>
  <si>
    <t>REFRIGERACAO J. L. BASSO LTDA</t>
  </si>
  <si>
    <t>CLIMACRIL DISTRIBUIDORA DE PECAS</t>
  </si>
  <si>
    <t>MARINEIDE FELIX BARBOSA - ME</t>
  </si>
  <si>
    <t>MEGA SERVICE PECAS E SERVICOS LTDA</t>
  </si>
  <si>
    <t>PARTS FRIO DISTRIBUIDORA DE</t>
  </si>
  <si>
    <t>AMERICA DISTR DE PECAS E SERVS LTDA</t>
  </si>
  <si>
    <t>H D CASTELAO EIRELI - EPP</t>
  </si>
  <si>
    <t>LARTEC COML PECAS E ACESS LTDA</t>
  </si>
  <si>
    <t>REFRIMOTOR CLIMATIZACAO LTDA</t>
  </si>
  <si>
    <t>GRAN ELETRO GOURMET LTDA</t>
  </si>
  <si>
    <t>NAUTICA REFRIGERACAO E</t>
  </si>
  <si>
    <t>MAQ SERVICOS</t>
  </si>
  <si>
    <t>ROSA MARIA CORREA RIBEIRO &amp; CIA LT</t>
  </si>
  <si>
    <t>MAQ VILLE PECAS E SERVICOS LTDA</t>
  </si>
  <si>
    <t>DELTA COMERCIO E SERVICOS</t>
  </si>
  <si>
    <t>ALVITEK PECAS E SERVICOS LTDA</t>
  </si>
  <si>
    <t>BRASTAUB COMERCIO DE PECAS</t>
  </si>
  <si>
    <t>MULTICENTER COMERCIO E SERVICOS</t>
  </si>
  <si>
    <t>FRIOVIX COMERCIO DE REFRIGERACAO</t>
  </si>
  <si>
    <t>VICENTE E GOMES LTDA</t>
  </si>
  <si>
    <t>BH COMERCIO DE PECAS E FRIGERACAO</t>
  </si>
  <si>
    <t>DANIELA CENSON DE OLIVEIRA ME</t>
  </si>
  <si>
    <t>WP REFRIG PECAS SERVICOS LTDA ME</t>
  </si>
  <si>
    <t>COPEGEL REFRIGERACAO LTDA</t>
  </si>
  <si>
    <t>REFRIGERACAO GM EIRELI</t>
  </si>
  <si>
    <t>Comercial Delfrio LTDA EPP</t>
  </si>
  <si>
    <t>WG SOLUCOES EM ELETRODOMESTICOS</t>
  </si>
  <si>
    <t>REFRISSUL COMERCIO DE PECAS</t>
  </si>
  <si>
    <t>BRASTEPEÇAS COM. PÇS. REFRIG LTDA</t>
  </si>
  <si>
    <t>PC COMERCIO E REPARACAO DE APARELHO</t>
  </si>
  <si>
    <t>REFRIGERACAO CALZA LTDA.</t>
  </si>
  <si>
    <t>GUILHERME KLEY EIRELI</t>
  </si>
  <si>
    <t>REFRIGERACAO DUFRIO</t>
  </si>
  <si>
    <t>REFRIGERACAO BASSO SJC LTDA</t>
  </si>
  <si>
    <t>ELETRO PECAS MINGAO LTDA</t>
  </si>
  <si>
    <t>REFRICRIL DISTRIBUIDORA DE AR CONDI</t>
  </si>
  <si>
    <t>Camargo &amp; Silveira Ltda Me</t>
  </si>
  <si>
    <t>REFRIGERACAO AMARAL LTDA</t>
  </si>
  <si>
    <t>FRIOGASMAQ COMERCIAL LTDA</t>
  </si>
  <si>
    <t>REFRIGERACAO ERECHIM COML TECNICA</t>
  </si>
  <si>
    <t>REFRIGERACAO CACIQUE RIO PRETO</t>
  </si>
  <si>
    <t>ASSISTEC SERVIÇOS ESPECIALIZADOS</t>
  </si>
  <si>
    <t>EDUARDO CESAR DA ROCHA</t>
  </si>
  <si>
    <t>REFRIGERAÇÃO GLÓRIA PEÇAS E SERVIÇO</t>
  </si>
  <si>
    <t>LUCAS DO AMARAL BRISTOT</t>
  </si>
  <si>
    <t>FRIOMASTER COMERCIO DE</t>
  </si>
  <si>
    <t>OSCAR FACIROLLI JUNIOR</t>
  </si>
  <si>
    <t>Ultra</t>
  </si>
  <si>
    <t>Plus</t>
  </si>
  <si>
    <t>PEDRO PECAS P LAVAD E REFRIG LTDA</t>
  </si>
  <si>
    <t>ALEX DE SOUZA 05555193688</t>
  </si>
  <si>
    <t>FRIOLAR CONSERTOS DE</t>
  </si>
  <si>
    <t>LUSOMAQ COMERCIO DE PECAS</t>
  </si>
  <si>
    <t>NATAL SERVICE LTDA</t>
  </si>
  <si>
    <t>FLORIANO REFRIGERACAO LTDA</t>
  </si>
  <si>
    <t>CONSERPE COMERCIO DE PECAS</t>
  </si>
  <si>
    <t>LUCIANO APARECIDO LIMA CRISTALDO</t>
  </si>
  <si>
    <t>28.684.741 MARIA EXPEDITA DE</t>
  </si>
  <si>
    <t>REFRIGERAÇÃO BASSO LITORAL LTDA</t>
  </si>
  <si>
    <t>MI COMERCIO E MANUTENCAO DE</t>
  </si>
  <si>
    <t>REFRISON REFRIGERACAO E ELETRONICA</t>
  </si>
  <si>
    <t>FRIOVIX COMERCIO DE</t>
  </si>
  <si>
    <t>IVAN LOPES DE MEDEIROS ME</t>
  </si>
  <si>
    <t>FABIELLY PAULA DE FARIAS ALBANO</t>
  </si>
  <si>
    <t>FREEZE SHOP LTDA</t>
  </si>
  <si>
    <t>JR REFRIGERACAO PETROLINA LTDA</t>
  </si>
  <si>
    <t>MAREMAIS CONSERTOS LTDA. - EPP</t>
  </si>
  <si>
    <t>GABAN COMERCIO DE UTILIDADES</t>
  </si>
  <si>
    <t>FRANCISCO RODRIGUES E CIA LTDA</t>
  </si>
  <si>
    <t>Total Geral Liquido.</t>
  </si>
  <si>
    <t>LUIS DE OLIVEIRA FILHO 01086451341</t>
  </si>
  <si>
    <t>MACHADO refrigeração</t>
  </si>
  <si>
    <t>LEADTIME</t>
  </si>
  <si>
    <t>Liquido</t>
  </si>
  <si>
    <t xml:space="preserve">Organico </t>
  </si>
  <si>
    <t>Passivo</t>
  </si>
  <si>
    <t>bruto</t>
  </si>
  <si>
    <t>Total</t>
  </si>
  <si>
    <t>Faturamento</t>
  </si>
  <si>
    <t>AMILTON PEREIRA DA SILVA</t>
  </si>
  <si>
    <t>IVANILSON INACIO DA SILVA - ME</t>
  </si>
  <si>
    <t>LCA COMERCIO REFRIGERACAO LTDA</t>
  </si>
  <si>
    <t>Em processo gestão</t>
  </si>
  <si>
    <t>Gestão Conseq.</t>
  </si>
  <si>
    <t>MGPARTS COMERCIO E DISTRIBUIDORA DE</t>
  </si>
  <si>
    <t>NETO ASSISTENCIA TECNICA EM ELETROD</t>
  </si>
  <si>
    <t>44.526.106 CASSIO APARECIDO BARAUNA</t>
  </si>
  <si>
    <t>S L DE SOUSA REFRIGERACAO</t>
  </si>
  <si>
    <t>CALDEIRA E SANTOS LTDA M.E</t>
  </si>
  <si>
    <t>REFRIMAQ COMERCIO DE PECAS</t>
  </si>
  <si>
    <t>COMERCIAL DE PEÇAS PARA REFRIG MF</t>
  </si>
  <si>
    <t>Valor Liquido</t>
  </si>
  <si>
    <t>FRIOSAMO REFRIGERACAO LTDA</t>
  </si>
  <si>
    <t>CLEBER BASTOS SANTOS</t>
  </si>
  <si>
    <t>M. M. DA S. MOURA</t>
  </si>
  <si>
    <t>DIEGO PEREIRA DE SOUZA</t>
  </si>
  <si>
    <t>MORAIS COMERCIO DE REFRIGERACAO</t>
  </si>
  <si>
    <t>DSFRIO REFRIGERACAO EIRELI</t>
  </si>
  <si>
    <t>MACALE PECAS LTDA</t>
  </si>
  <si>
    <t>VIVIANE EBERT WEBER</t>
  </si>
  <si>
    <t>CASA DA COZINHA PECAS E ACESSORIOS</t>
  </si>
  <si>
    <t>J G CASTELAO LIMITADA</t>
  </si>
  <si>
    <t>NOVINHO PECAS LTDA - ME</t>
  </si>
  <si>
    <t>RITA DA COSTA FERREIRA ROSA</t>
  </si>
  <si>
    <t>DALL AGNOL E JANESCO REFRIGERACAO</t>
  </si>
  <si>
    <t>RECK &amp; CIA LTDA</t>
  </si>
  <si>
    <t>JONAS EDUARDO FINGER</t>
  </si>
  <si>
    <t>DANDE COMERCIAL LTDA</t>
  </si>
  <si>
    <t>BIG FRIO EQUIPAMENTOS PARA</t>
  </si>
  <si>
    <t>MAXCLIMA REFRIGERACAO LTDA</t>
  </si>
  <si>
    <t>NOVA GRANSERVICE ASSISTENCIA</t>
  </si>
  <si>
    <t>FRIO BEL REFRIGERACAO LTDA</t>
  </si>
  <si>
    <t>ALEX P. DE SOUZA - ME123</t>
  </si>
  <si>
    <t>F. J. MENESES VASCONCELOS EIRELI</t>
  </si>
  <si>
    <t>TEIXEIRA &amp; TEIXEIRA COMERCIO</t>
  </si>
  <si>
    <t>CONSEL PECAS E SERVICOS LTDA</t>
  </si>
  <si>
    <t>PLANETA COMERCIO DE PRODUTOS</t>
  </si>
  <si>
    <t>Comatec Refrigeracao Ltda</t>
  </si>
  <si>
    <t>N OLIVEIRA SOARES LTDA</t>
  </si>
  <si>
    <t>DUPA COMERCIAL DE PECAS LTDA</t>
  </si>
  <si>
    <t>LUIZ FERREIRA TAVERES ME</t>
  </si>
  <si>
    <t>SANTOS REFRIGERACAO LTDA</t>
  </si>
  <si>
    <t>ABATEC - COMERCIO DE PECAS</t>
  </si>
  <si>
    <t>Refrigeração Reconfrio Ltda.</t>
  </si>
  <si>
    <t>DF SERVICE PECAS E SERVICOS LTDA</t>
  </si>
  <si>
    <t>CHAMATEC COMERCIO E</t>
  </si>
  <si>
    <t>RENATA DE MELLO MIRALHAS LIMA</t>
  </si>
  <si>
    <t>REFRICAR ASSISTENCIA TEC LTDA</t>
  </si>
  <si>
    <t>BEAGA REFRIGERACAO LTDA</t>
  </si>
  <si>
    <t>REFRIG SAO LUIZ LTDA</t>
  </si>
  <si>
    <t>MORETI SERVICOS LTDA</t>
  </si>
  <si>
    <t>CENTERMAQ COMERCIO E CONSERTOS DE M</t>
  </si>
  <si>
    <t>SSL REFRIGERACAO LTDA</t>
  </si>
  <si>
    <t>BR PECAS COMERCIO DE PECAS</t>
  </si>
  <si>
    <t>RAQUEL SILVEIRA RODRIGUES &amp; CIA. LT</t>
  </si>
  <si>
    <t>ASTEBEL REDE DE SERVICOS LTDA</t>
  </si>
  <si>
    <t>ELETROMAQ REFRIGERACAO LTDA</t>
  </si>
  <si>
    <t>EDU REFRIGERACAO LTDA - ME</t>
  </si>
  <si>
    <t>PWA SERVICE - ELETRO ELETRONICO LTD</t>
  </si>
  <si>
    <t>VARZEA SERVICOS E PECAS LTDA</t>
  </si>
  <si>
    <t>ZLR1</t>
  </si>
  <si>
    <t>@5B@</t>
  </si>
  <si>
    <t>Peças/ Ecohouse</t>
  </si>
  <si>
    <t>MERCADORIA DEVOLVIDA A PLANTA DE ORIGEM</t>
  </si>
  <si>
    <t>SOUZAH12</t>
  </si>
  <si>
    <t>19/12/2024</t>
  </si>
  <si>
    <t>Entregue na planta - Aguardando faturamento</t>
  </si>
  <si>
    <t>COMERCIAL MORATELLI - EIRELI</t>
  </si>
  <si>
    <t>REFRIGERACAO BARBOSA LTDA</t>
  </si>
  <si>
    <t>JRS REFRIGERACAO COMERCIO E SERVICO</t>
  </si>
  <si>
    <t>N. CALDEIRA LEMES EIRELI</t>
  </si>
  <si>
    <t>NATALAV REFRIGERACAO E SERVICOS LTD</t>
  </si>
  <si>
    <t>BRASERVICE COMERCIO E SERVICOS</t>
  </si>
  <si>
    <t>ELETROLAR PECAS E MANUTENCAO</t>
  </si>
  <si>
    <t>GMTEC COMERCIO E SERVICOS LTDA  EPP</t>
  </si>
  <si>
    <t>ILES DAYANE ARAUJO CARDOSO LTDA</t>
  </si>
  <si>
    <t>REFRIGERACAO UBER LTDA</t>
  </si>
  <si>
    <t>REFRICRIL DISTRIBUIDORA DE AR REFRI</t>
  </si>
  <si>
    <t>J. R. VALENTE LTDA</t>
  </si>
  <si>
    <t>JR PECAS LTDA JR PECAS LTDA</t>
  </si>
  <si>
    <t>VIP SERVICE COMERCIO DE PECAS</t>
  </si>
  <si>
    <t>OFICIAL REFRIGERACAO COMERCIO</t>
  </si>
  <si>
    <t>LITORAL SERV - COMERCIO DE PECAS</t>
  </si>
  <si>
    <t>REFIGERAÇÃO DUFRIO</t>
  </si>
  <si>
    <t>NATAL SERVICE LTDA N</t>
  </si>
  <si>
    <t>REFRIGERACAO MONTEIRO LTDA</t>
  </si>
  <si>
    <t>REFRISOLAR REFRIGERACAO LTDA</t>
  </si>
  <si>
    <t>SANDY DISTRIBUIDORA</t>
  </si>
  <si>
    <t>ASPEN REFRIGERACAO</t>
  </si>
  <si>
    <t>REFRIGERACAO BINSFELD LTDA</t>
  </si>
  <si>
    <t>FRISON THERM AR CONDICIONADO LTDA F</t>
  </si>
  <si>
    <t>REFRIGERACAO LOURES E ROSA LTDA ME</t>
  </si>
  <si>
    <t>CODIFRIO FORNECEDORA  DE PECAS</t>
  </si>
  <si>
    <t>DO BEN COMERCIO DE PECAS</t>
  </si>
  <si>
    <t>REFRIGERACAO MARAVILHA LTDA</t>
  </si>
  <si>
    <t>REFRIEL COM DE PEÇAS REFRIG LTDA RE</t>
  </si>
  <si>
    <t>000002214-1</t>
  </si>
  <si>
    <t>000002212-1</t>
  </si>
  <si>
    <t>ROTA 66 TRACKER LTDA</t>
  </si>
  <si>
    <t>SERVE SIM SERVICOS E PECAS LTDA</t>
  </si>
  <si>
    <t>J LOURENCO SOBRINHO</t>
  </si>
  <si>
    <t>HO COMERCIO E SERVICOS DE PECAS</t>
  </si>
  <si>
    <t>ALMIR NARDINI &amp; CIA LTDA</t>
  </si>
  <si>
    <t>J R PINTO &amp; VALIM LTDA</t>
  </si>
  <si>
    <t>RENOVAR COMERCIO DE AR</t>
  </si>
  <si>
    <t>REFRIGERACAO E INSTALADORA</t>
  </si>
  <si>
    <t>NE COMERCIO DE PECAS E SERVICOS</t>
  </si>
  <si>
    <t>MOACIR A DE AMORIM - ME</t>
  </si>
  <si>
    <t>EDUARDO MEES 08488521928</t>
  </si>
  <si>
    <t>GP COMERCIO E PECAS PARA</t>
  </si>
  <si>
    <t>BELTRAO COMERCIO DE REFRIG</t>
  </si>
  <si>
    <t>COMERCIAL ELETROPECAS LTDA</t>
  </si>
  <si>
    <t>SANTOS REFRIGERACAO GV LTDA</t>
  </si>
  <si>
    <t>51 765 861 LIVIA THAIS DE PAIVA ROD</t>
  </si>
  <si>
    <t>M P XAVIER CONSERTOS DE REFRIG</t>
  </si>
  <si>
    <t>MAQFRIO PECAS E SERVICOS LTDA</t>
  </si>
  <si>
    <t>PATRICIA CRISTINA COQUINHAS JESUS</t>
  </si>
  <si>
    <t>BARIZON REFRIGERACAO</t>
  </si>
  <si>
    <t>MARCOS ANDRE DE SOUZA 11050615662</t>
  </si>
  <si>
    <t>QUEIROZ E SA LTDA</t>
  </si>
  <si>
    <t>REFRIGERACAO ESQUIMO LTDA</t>
  </si>
  <si>
    <t>LEVI FERREIRA DA SILVA 77916026449</t>
  </si>
  <si>
    <t>M C S RODRIGUES EPP</t>
  </si>
  <si>
    <t>CASSIANO REFRIGERACAO LTDA</t>
  </si>
  <si>
    <t>RONALDO GOMES PEREIRA</t>
  </si>
  <si>
    <t>ALESSANDRA LACERDA</t>
  </si>
  <si>
    <t>CINTHIA OLIVEIRA</t>
  </si>
  <si>
    <t>GRD PECAS E ACESSORIOS PARA</t>
  </si>
  <si>
    <t>000036633-1</t>
  </si>
  <si>
    <t>ZV62N 22.09.2025</t>
  </si>
  <si>
    <t>Robo01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</si>
</sst>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-* #,##0_-;\-* #,##0_-;_-* &quot;-&quot;??_-;_-@_-"/>
    <numFmt numFmtId="166" formatCode="_(&quot;R$&quot;* #,##0_);_(&quot;R$&quot;* \(#,##0\);_(&quot;R$&quot;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9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 style="medium">
        <color theme="1" tint="0.499984740745262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96">
    <xf numFmtId="0" fontId="0" fillId="0" borderId="0" xfId="0"/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3" fontId="18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0" fontId="18" fillId="0" borderId="0" xfId="0" applyNumberFormat="1" applyFont="1" applyAlignment="1">
      <alignment horizontal="center"/>
    </xf>
    <xf numFmtId="164" fontId="0" fillId="0" borderId="0" xfId="0" applyNumberFormat="1"/>
    <xf numFmtId="0" fontId="18" fillId="0" borderId="0" xfId="0" pivotButton="1" applyFont="1"/>
    <xf numFmtId="164" fontId="20" fillId="34" borderId="10" xfId="1" applyFont="1" applyFill="1" applyBorder="1" applyAlignment="1">
      <alignment horizontal="center"/>
    </xf>
    <xf numFmtId="0" fontId="18" fillId="0" borderId="11" xfId="0" applyFont="1" applyBorder="1" applyAlignment="1">
      <alignment horizontal="left"/>
    </xf>
    <xf numFmtId="0" fontId="18" fillId="0" borderId="11" xfId="0" applyNumberFormat="1" applyFont="1" applyBorder="1" applyAlignment="1">
      <alignment horizontal="center"/>
    </xf>
    <xf numFmtId="164" fontId="18" fillId="0" borderId="11" xfId="0" applyNumberFormat="1" applyFont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164" fontId="18" fillId="0" borderId="13" xfId="0" applyNumberFormat="1" applyFont="1" applyBorder="1" applyAlignment="1">
      <alignment horizontal="center"/>
    </xf>
    <xf numFmtId="9" fontId="18" fillId="0" borderId="13" xfId="2" applyFont="1" applyBorder="1" applyAlignment="1">
      <alignment horizontal="center"/>
    </xf>
    <xf numFmtId="0" fontId="18" fillId="0" borderId="13" xfId="0" applyFont="1" applyBorder="1" applyAlignment="1">
      <alignment horizontal="left"/>
    </xf>
    <xf numFmtId="3" fontId="18" fillId="0" borderId="11" xfId="0" applyNumberFormat="1" applyFont="1" applyBorder="1" applyAlignment="1">
      <alignment horizontal="center"/>
    </xf>
    <xf numFmtId="164" fontId="18" fillId="0" borderId="16" xfId="0" applyNumberFormat="1" applyFont="1" applyBorder="1" applyAlignment="1">
      <alignment horizontal="center"/>
    </xf>
    <xf numFmtId="0" fontId="19" fillId="0" borderId="0" xfId="0" applyFont="1" applyAlignment="1" applyProtection="1">
      <alignment horizontal="center"/>
    </xf>
    <xf numFmtId="0" fontId="19" fillId="33" borderId="0" xfId="0" applyFont="1" applyFill="1" applyAlignment="1" applyProtection="1">
      <alignment horizontal="center"/>
    </xf>
    <xf numFmtId="164" fontId="18" fillId="0" borderId="0" xfId="1" applyFont="1" applyBorder="1" applyAlignment="1">
      <alignment horizontal="center"/>
    </xf>
    <xf numFmtId="164" fontId="18" fillId="0" borderId="13" xfId="1" applyFont="1" applyBorder="1" applyAlignment="1">
      <alignment horizontal="center"/>
    </xf>
    <xf numFmtId="9" fontId="20" fillId="34" borderId="11" xfId="2" applyFont="1" applyFill="1" applyBorder="1" applyAlignment="1">
      <alignment horizontal="center"/>
    </xf>
    <xf numFmtId="164" fontId="20" fillId="34" borderId="11" xfId="1" applyFont="1" applyFill="1" applyBorder="1" applyAlignment="1">
      <alignment horizontal="center"/>
    </xf>
    <xf numFmtId="3" fontId="20" fillId="34" borderId="10" xfId="1" applyNumberFormat="1" applyFont="1" applyFill="1" applyBorder="1" applyAlignment="1">
      <alignment horizontal="center"/>
    </xf>
    <xf numFmtId="0" fontId="19" fillId="0" borderId="0" xfId="0" applyFont="1" applyFill="1" applyAlignment="1" applyProtection="1">
      <alignment horizontal="center"/>
    </xf>
    <xf numFmtId="0" fontId="16" fillId="0" borderId="0" xfId="0" applyFont="1"/>
    <xf numFmtId="10" fontId="0" fillId="0" borderId="0" xfId="2" applyNumberFormat="1" applyFont="1" applyAlignment="1">
      <alignment horizontal="center"/>
    </xf>
    <xf numFmtId="9" fontId="0" fillId="0" borderId="0" xfId="0" applyNumberFormat="1"/>
    <xf numFmtId="0" fontId="0" fillId="0" borderId="0" xfId="0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locked="0"/>
    </xf>
    <xf numFmtId="164" fontId="18" fillId="0" borderId="0" xfId="1" applyFont="1"/>
    <xf numFmtId="0" fontId="19" fillId="0" borderId="0" xfId="0" applyNumberFormat="1" applyFont="1" applyFill="1" applyAlignment="1" applyProtection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9" fontId="0" fillId="0" borderId="0" xfId="2" applyFont="1"/>
    <xf numFmtId="164" fontId="18" fillId="0" borderId="0" xfId="0" applyNumberFormat="1" applyFont="1"/>
    <xf numFmtId="10" fontId="18" fillId="0" borderId="13" xfId="2" applyNumberFormat="1" applyFont="1" applyBorder="1" applyAlignment="1">
      <alignment horizontal="center"/>
    </xf>
    <xf numFmtId="0" fontId="20" fillId="34" borderId="10" xfId="1" applyNumberFormat="1" applyFont="1" applyFill="1" applyBorder="1" applyAlignment="1">
      <alignment horizontal="center"/>
    </xf>
    <xf numFmtId="0" fontId="18" fillId="0" borderId="17" xfId="0" applyFont="1" applyBorder="1" applyAlignment="1">
      <alignment horizontal="left"/>
    </xf>
    <xf numFmtId="0" fontId="20" fillId="34" borderId="10" xfId="0" applyFont="1" applyFill="1" applyBorder="1" applyAlignment="1">
      <alignment horizontal="center"/>
    </xf>
    <xf numFmtId="9" fontId="20" fillId="34" borderId="10" xfId="2" applyFont="1" applyFill="1" applyBorder="1" applyAlignment="1">
      <alignment horizontal="center"/>
    </xf>
    <xf numFmtId="164" fontId="18" fillId="0" borderId="0" xfId="1" applyFont="1" applyBorder="1"/>
    <xf numFmtId="0" fontId="0" fillId="33" borderId="0" xfId="0" applyFill="1"/>
    <xf numFmtId="0" fontId="0" fillId="0" borderId="0" xfId="0" applyFill="1"/>
    <xf numFmtId="0" fontId="22" fillId="0" borderId="0" xfId="0" applyFont="1" applyAlignment="1">
      <alignment vertical="center"/>
    </xf>
    <xf numFmtId="164" fontId="23" fillId="34" borderId="10" xfId="1" applyFont="1" applyFill="1" applyBorder="1" applyAlignment="1">
      <alignment horizontal="center"/>
    </xf>
    <xf numFmtId="0" fontId="20" fillId="36" borderId="0" xfId="0" applyFont="1" applyFill="1" applyAlignment="1">
      <alignment horizontal="center" vertical="center"/>
    </xf>
    <xf numFmtId="164" fontId="24" fillId="0" borderId="0" xfId="0" applyNumberFormat="1" applyFont="1"/>
    <xf numFmtId="44" fontId="24" fillId="0" borderId="0" xfId="0" applyNumberFormat="1" applyFont="1"/>
    <xf numFmtId="0" fontId="24" fillId="0" borderId="0" xfId="0" applyFont="1"/>
    <xf numFmtId="165" fontId="18" fillId="0" borderId="0" xfId="44" applyNumberFormat="1" applyFont="1"/>
    <xf numFmtId="165" fontId="18" fillId="0" borderId="0" xfId="0" applyNumberFormat="1" applyFont="1"/>
    <xf numFmtId="0" fontId="24" fillId="0" borderId="10" xfId="0" applyFont="1" applyBorder="1"/>
    <xf numFmtId="165" fontId="24" fillId="0" borderId="10" xfId="44" applyNumberFormat="1" applyFont="1" applyBorder="1"/>
    <xf numFmtId="0" fontId="25" fillId="37" borderId="10" xfId="0" applyFont="1" applyFill="1" applyBorder="1" applyAlignment="1">
      <alignment horizontal="center"/>
    </xf>
    <xf numFmtId="0" fontId="25" fillId="0" borderId="10" xfId="0" applyFont="1" applyBorder="1" applyAlignment="1">
      <alignment horizontal="center"/>
    </xf>
    <xf numFmtId="165" fontId="25" fillId="0" borderId="10" xfId="44" applyNumberFormat="1" applyFont="1" applyBorder="1" applyAlignment="1">
      <alignment horizontal="center"/>
    </xf>
    <xf numFmtId="0" fontId="0" fillId="0" borderId="0" xfId="0" applyBorder="1"/>
    <xf numFmtId="0" fontId="18" fillId="0" borderId="0" xfId="0" applyFont="1" applyBorder="1"/>
    <xf numFmtId="0" fontId="18" fillId="0" borderId="0" xfId="0" applyFont="1" applyBorder="1" applyAlignment="1">
      <alignment horizontal="right"/>
    </xf>
    <xf numFmtId="165" fontId="18" fillId="0" borderId="0" xfId="44" applyNumberFormat="1" applyFont="1" applyBorder="1" applyAlignment="1">
      <alignment horizontal="right"/>
    </xf>
    <xf numFmtId="17" fontId="18" fillId="0" borderId="0" xfId="0" applyNumberFormat="1" applyFont="1" applyBorder="1"/>
    <xf numFmtId="166" fontId="18" fillId="0" borderId="0" xfId="1" applyNumberFormat="1" applyFont="1"/>
    <xf numFmtId="0" fontId="19" fillId="0" borderId="18" xfId="0" applyFont="1" applyBorder="1" applyAlignment="1">
      <alignment horizontal="center"/>
    </xf>
    <xf numFmtId="44" fontId="19" fillId="0" borderId="18" xfId="0" applyNumberFormat="1" applyFont="1" applyBorder="1" applyAlignment="1">
      <alignment horizontal="center"/>
    </xf>
    <xf numFmtId="166" fontId="18" fillId="0" borderId="0" xfId="0" applyNumberFormat="1" applyFont="1"/>
    <xf numFmtId="0" fontId="19" fillId="38" borderId="18" xfId="0" applyFont="1" applyFill="1" applyBorder="1" applyAlignment="1">
      <alignment horizontal="center"/>
    </xf>
    <xf numFmtId="164" fontId="19" fillId="38" borderId="18" xfId="0" applyNumberFormat="1" applyFont="1" applyFill="1" applyBorder="1" applyAlignment="1">
      <alignment horizontal="center"/>
    </xf>
    <xf numFmtId="0" fontId="19" fillId="39" borderId="18" xfId="0" applyFont="1" applyFill="1" applyBorder="1" applyAlignment="1">
      <alignment horizontal="center"/>
    </xf>
    <xf numFmtId="44" fontId="19" fillId="39" borderId="18" xfId="0" applyNumberFormat="1" applyFont="1" applyFill="1" applyBorder="1" applyAlignment="1">
      <alignment horizontal="center"/>
    </xf>
    <xf numFmtId="14" fontId="14" fillId="33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>
      <alignment horizontal="center" vertical="center"/>
    </xf>
    <xf numFmtId="3" fontId="18" fillId="38" borderId="0" xfId="0" applyNumberFormat="1" applyFont="1" applyFill="1" applyAlignment="1">
      <alignment horizontal="center"/>
    </xf>
    <xf numFmtId="164" fontId="18" fillId="38" borderId="0" xfId="0" applyNumberFormat="1" applyFont="1" applyFill="1" applyAlignment="1">
      <alignment horizontal="center"/>
    </xf>
    <xf numFmtId="3" fontId="18" fillId="39" borderId="0" xfId="0" applyNumberFormat="1" applyFont="1" applyFill="1" applyAlignment="1">
      <alignment horizontal="center"/>
    </xf>
    <xf numFmtId="164" fontId="18" fillId="39" borderId="0" xfId="0" applyNumberFormat="1" applyFont="1" applyFill="1" applyAlignment="1">
      <alignment horizontal="center"/>
    </xf>
    <xf numFmtId="0" fontId="0" fillId="33" borderId="0" xfId="0" applyFill="1" applyAlignment="1" applyProtection="1">
      <alignment horizontal="center" vertical="center"/>
    </xf>
    <xf numFmtId="0" fontId="0" fillId="33" borderId="0" xfId="0" applyNumberFormat="1" applyFill="1" applyAlignment="1" applyProtection="1">
      <alignment horizontal="center" vertical="center"/>
    </xf>
    <xf numFmtId="14" fontId="0" fillId="33" borderId="0" xfId="0" applyNumberForma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14" fontId="18" fillId="0" borderId="0" xfId="0" applyNumberFormat="1" applyFont="1" applyBorder="1" applyAlignment="1">
      <alignment horizontal="center" vertical="center"/>
    </xf>
    <xf numFmtId="0" fontId="18" fillId="0" borderId="0" xfId="0" applyNumberFormat="1" applyFont="1" applyBorder="1" applyAlignment="1">
      <alignment horizontal="center" vertical="center"/>
    </xf>
    <xf numFmtId="0" fontId="17" fillId="35" borderId="0" xfId="0" applyNumberFormat="1" applyFont="1" applyFill="1" applyAlignment="1">
      <alignment horizontal="center" vertical="center"/>
    </xf>
    <xf numFmtId="14" fontId="17" fillId="35" borderId="0" xfId="0" applyNumberFormat="1" applyFont="1" applyFill="1" applyAlignment="1">
      <alignment horizontal="center" vertical="center"/>
    </xf>
    <xf numFmtId="0" fontId="17" fillId="35" borderId="0" xfId="0" applyFont="1" applyFill="1" applyAlignment="1">
      <alignment horizontal="center" vertical="center"/>
    </xf>
    <xf numFmtId="0" fontId="17" fillId="35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21" fontId="18" fillId="0" borderId="0" xfId="0" applyNumberFormat="1" applyFont="1"/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/>
    </xf>
    <xf numFmtId="0" fontId="20" fillId="34" borderId="15" xfId="0" applyFont="1" applyFill="1" applyBorder="1" applyAlignment="1">
      <alignment horizontal="center"/>
    </xf>
  </cellXfs>
  <cellStyles count="45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8" builtinId="26" customBuiltin="1"/>
    <cellStyle name="Cálculo" xfId="13" builtinId="22" customBuiltin="1"/>
    <cellStyle name="Célula de Verificação" xfId="15" builtinId="23" customBuiltin="1"/>
    <cellStyle name="Célula Vinculada" xfId="14" builtinId="24" customBuiltin="1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1" builtinId="20" customBuiltin="1"/>
    <cellStyle name="Moeda" xfId="1" builtinId="4"/>
    <cellStyle name="Neutro" xfId="10" builtinId="28" customBuiltin="1"/>
    <cellStyle name="Normal" xfId="0" builtinId="0"/>
    <cellStyle name="Nota" xfId="17" builtinId="10" customBuiltin="1"/>
    <cellStyle name="Porcentagem" xfId="2" builtinId="5"/>
    <cellStyle name="Ruim" xfId="9" builtinId="27" customBuiltin="1"/>
    <cellStyle name="Saída" xfId="12" builtinId="21" customBuiltin="1"/>
    <cellStyle name="Texto de Aviso" xfId="16" builtinId="11" customBuiltin="1"/>
    <cellStyle name="Texto Explicativo" xfId="18" builtinId="53" customBuiltin="1"/>
    <cellStyle name="Título" xfId="3" builtinId="15" customBuiltin="1"/>
    <cellStyle name="Título 1" xfId="4" builtinId="16" customBuiltin="1"/>
    <cellStyle name="Título 2" xfId="5" builtinId="17" customBuiltin="1"/>
    <cellStyle name="Título 3" xfId="6" builtinId="18" customBuiltin="1"/>
    <cellStyle name="Título 4" xfId="7" builtinId="19" customBuiltin="1"/>
    <cellStyle name="Total" xfId="19" builtinId="25" customBuiltin="1"/>
    <cellStyle name="Vírgula" xfId="44" builtinId="3"/>
  </cellStyles>
  <dxfs count="14">
    <dxf>
      <fill>
        <patternFill>
          <bgColor theme="7" tint="0.79998168889431442"/>
        </patternFill>
      </fill>
    </dxf>
    <dxf>
      <fill>
        <patternFill patternType="solid">
          <bgColor theme="9" tint="0.79998168889431442"/>
        </patternFill>
      </fill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164" formatCode="_(&quot;R$&quot;* #,##0.00_);_(&quot;R$&quot;* \(#,##0.00\);_(&quot;R$&quot;* &quot;-&quot;??_);_(@_)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9"/>
      </font>
    </dxf>
    <dxf>
      <numFmt numFmtId="166" formatCode="_(&quot;R$&quot;* #,##0_);_(&quot;R$&quot;* \(#,##0\);_(&quot;R$&quot;* &quot;-&quot;??_);_(@_)"/>
    </dxf>
    <dxf>
      <numFmt numFmtId="2" formatCode="0.00"/>
    </dxf>
    <dxf>
      <numFmt numFmtId="167" formatCode="0.000"/>
    </dxf>
    <dxf>
      <font>
        <sz val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133350</xdr:rowOff>
        </xdr:from>
        <xdr:to>
          <xdr:col>2</xdr:col>
          <xdr:colOff>333375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Buscar Inf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104775</xdr:rowOff>
        </xdr:from>
        <xdr:to>
          <xdr:col>2</xdr:col>
          <xdr:colOff>333375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4</xdr:row>
          <xdr:rowOff>95250</xdr:rowOff>
        </xdr:from>
        <xdr:to>
          <xdr:col>2</xdr:col>
          <xdr:colOff>333375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Gerar Envio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EUS LOPES" refreshedDate="45869.675783796294" createdVersion="6" refreshedVersion="6" minRefreshableVersion="3" recordCount="7766" xr:uid="{00000000-000A-0000-FFFF-FFFF00000000}">
  <cacheSource type="worksheet">
    <worksheetSource ref="A1:V1" sheet="Base"/>
  </cacheSource>
  <cacheFields count="22">
    <cacheField name="Transporte" numFmtId="0">
      <sharedItems containsMixedTypes="1" containsNumber="1" containsInteger="1" minValue="253707177" maxValue="254044802"/>
    </cacheField>
    <cacheField name="Doc.vendas" numFmtId="0">
      <sharedItems containsSemiMixedTypes="0" containsString="0" containsNumber="1" containsInteger="1" minValue="0" maxValue="64820709"/>
    </cacheField>
    <cacheField name="Tipo Devol" numFmtId="0">
      <sharedItems containsMixedTypes="1" containsNumber="1" containsInteger="1" minValue="0" maxValue="0"/>
    </cacheField>
    <cacheField name="NF origem WHP" numFmtId="0">
      <sharedItems containsSemiMixedTypes="0" containsString="0" containsNumber="1" containsInteger="1" minValue="0" maxValue="10157843"/>
    </cacheField>
    <cacheField name="MtOrd" numFmtId="0">
      <sharedItems containsMixedTypes="1" containsNumber="1" containsInteger="1" minValue="0" maxValue="671"/>
    </cacheField>
    <cacheField name="Denominação" numFmtId="0">
      <sharedItems containsMixedTypes="1" containsNumber="1" containsInteger="1" minValue="0" maxValue="0"/>
    </cacheField>
    <cacheField name="Responsável" numFmtId="0">
      <sharedItems/>
    </cacheField>
    <cacheField name="Status Reversa" numFmtId="14">
      <sharedItems containsDate="1" containsMixedTypes="1" minDate="1899-12-30T00:00:00" maxDate="1899-12-31T00:00:00" count="4">
        <s v="Previsão fat prox.mês"/>
        <s v="Previsão fat no mês"/>
        <s v="Já faturadas"/>
        <d v="1899-12-30T00:00:00"/>
      </sharedItems>
    </cacheField>
    <cacheField name="EmissorOrd" numFmtId="0">
      <sharedItems containsSemiMixedTypes="0" containsString="0" containsNumber="1" containsInteger="1" minValue="0" maxValue="2800000085"/>
    </cacheField>
    <cacheField name="Nome do Emissor" numFmtId="0">
      <sharedItems containsMixedTypes="1" containsNumber="1" containsInteger="1" minValue="0" maxValue="0" count="2044">
        <s v="REFRIGERAÇÃO BASSO LITORAL LTDA"/>
        <s v="REFRISSUL COMERCIO DE PECAS"/>
        <s v="REFRIGAS COMERCIO E SERVICOS"/>
        <s v="FRIORIO DISTRIBUIDOR DE PECAS PARA"/>
        <s v="REFRIGERACAO BASSO SJC LTDA"/>
        <s v="FRIOVIX COMERCIO DE REFRIGERACAO"/>
        <s v="AR CONDICIONADO E"/>
        <s v="REFRIGERACAO LOURES E ROSA LTDA ME"/>
        <s v="CALDEIRA E SANTOS LTDA M.E"/>
        <s v="FRIGELAR COMERCIO E INDUSTRIA LTDA"/>
        <s v="Comatec Refrigeracao Ltda"/>
        <s v="DUZZI CLIMATIZACAO E"/>
        <s v="BEAGA REFRIGERACAO LTDA"/>
        <s v="NATALAV REFRIGERACAO E SERVICOS LTD"/>
        <s v="FRIGELAR COMÉRCIO E INDÚSTRIA LTDA"/>
        <s v="REFRICRIL DISTRIBUIDORA DE AR REFRI"/>
        <s v="JR PECAS LTDA JR PECAS LTDA"/>
        <s v="REFRIGERACAO MOTA LTDA"/>
        <s v="NOVINHO PECAS LTDA - ME"/>
        <s v="MACHADO refrigeraCAo"/>
        <s v="MARINEIDE FELIX BARBOSA - ME"/>
        <s v="REFIGERAÇÃO DUFRIO"/>
        <s v="REFRIGERACAO MONTEIRO LTDA"/>
        <s v="DANDE COMERCIAL LTDA"/>
        <s v="REFRIGERACAO METROPOLITANA LTDA"/>
        <s v="NATAL SERVICE LTDA N"/>
        <s v="REFRIGERACAO DUFRIO COMERCIO E"/>
        <s v="ZEON REFRIGERACAO LTDA"/>
        <s v="ELECTRO REFRIGERACAO BRASILUSO"/>
        <s v="REFRIGAS COMERCIO E SERVICOS DE REF"/>
        <s v="JF REFRIGERACAO E EQUIPAMENTOS LTDA"/>
        <s v="CITYTEC COMERCIO"/>
        <s v="BRASTEMAK REFRIGERACAO LTDA"/>
        <s v="MARCELO MENDES"/>
        <s v="EDU REFRIGERACAO LTDA - ME"/>
        <s v="REFRIGERACAO UBER LTDA"/>
        <s v="N OLIVEIRA SOARES LTDA"/>
        <s v="JOSE IZIDORO SILVA REFRIGERACAO"/>
        <s v="BH COMERCIO DE PECAS E FRIGERACAO"/>
        <s v="MAREMAIS CONSERTOS LTDA. - EPP"/>
        <s v="CLAYTON DE OLIVEIRA"/>
        <s v="FRIOLAR CONSERTOS DE"/>
        <s v="MULTICENTER COMERCIO E SERVICOS"/>
        <s v="REFRIBASSO COMERCIO DE PECAS"/>
        <s v="JOSE DE SOUSA FREITAS"/>
        <s v="FRISON THERM AR CONDICIONADO LTDA F"/>
        <s v="TECBRAS ASSISTENCIA TECNICA"/>
        <s v="REGINALDO MENDES RIBEIRO"/>
        <s v="B C M - COMERCIO DE PECAS E"/>
        <s v="ADVANCE REFRIGERACAO LTDA"/>
        <s v="POSFRIO REFRIGERACAO LTDA"/>
        <s v="ASTEG ASTEG"/>
        <s v="REFRIGERACAO BARS LTDA"/>
        <s v="REFRICRIL DISTRIBUIDORA DE AR"/>
        <s v="REFRIGERAÇÃO GLÓRIA PEÇAS E SERVIÇO"/>
        <s v="N. CALDEIRA LEMES EIRELI"/>
        <s v="LAJEAR REFRIGERACAO LTDA ME"/>
        <s v="Padock Refrigeracao Ltda  ME"/>
        <s v="ILES DAYANE ARAUJO CARDOSO LTDA"/>
        <s v="M R 2020 ELETRODOMESTICOS,"/>
        <s v="REFRIGERACAO DUFRIO"/>
        <s v="ALVITEK PECAS E SERVICOS LTDA"/>
        <s v="ELETROMAR MOVEIS E ELETRODOM LTDA"/>
        <s v="MAQ VILLE PECAS E SERVICOS LTDA"/>
        <s v="PEDRO PECAS P LAVAD E REFRIG LTDA"/>
        <s v="FRIO BEL REFRIGERACAO LTDA"/>
        <s v="CASSIANO REFRIGERACAO LTDA"/>
        <s v="IVANILSON INACIO DA SILVA - ME"/>
        <s v="ANTONIA APARECIDA PEIXOTO LIMA LTDA"/>
        <s v="CALDEIRA LEMES DISTRIBUIDORA DE"/>
        <s v="VIP SERVICE COMERCIO DE PECAS"/>
        <s v="M C S RODRIGUES EPP"/>
        <s v="ALTIMARIS REFRIGERACAO LTDA"/>
        <s v="CENTROMAQ PECAS E SERVICOS LTDA"/>
        <s v="MGPARTS COMERCIO E DISTRIBUIDORA DE"/>
        <s v="BRASTAUB COMERCIO DE PECAS"/>
        <s v="AMS COM DE PECAS LTDA"/>
        <s v="REFRIGERACAO RBL 25 LTDA"/>
        <s v="CHAMATEC COMERCIO E"/>
        <s v="ELETROMAQ REFRIGERACAO LTDA"/>
        <s v="REFRIEL COM DE PEÇAS REFRIG LTDA RE"/>
        <s v="D. B. GOMES SOROCABA"/>
        <s v="COMERCIAL DE REFRIG  EQUIPAMEN LTDA"/>
        <s v="DAM SAT PECAS E SERVICOS LTDA"/>
        <s v="STILLO  AR COMERCIO DE"/>
        <s v="NETO ASSISTENCIA TECNICA EM ELETROD"/>
        <s v="HIPERFRIO COMERCIO DE PECAS LTDA"/>
        <s v="PARANAGUA FRIO REFRIGERACAO LTDA"/>
        <s v="JULIANA ALVES DA S. MANDRA COMERCIO"/>
        <s v="REFRIGERACAO MARTENDAL LTDA"/>
        <s v="FORT CENTER REFRIGERACAO LTDA"/>
        <s v="WP REFRIG PECAS SERVICOS LTDA ME"/>
        <s v="FRIOSAMO REFRIGERACAO LTDA"/>
        <s v="CATEL - COMERCIO DE PECAS"/>
        <s v="BAMBUI CONSERTOS LTDA ME"/>
        <s v="ELETRO MARTINS LTDA"/>
        <s v="RC REFRIGERACAO PECAS E FERRAMENTAS"/>
        <s v="GOLD SERVICE COMERCIO"/>
        <s v="S L DE SOUSA REFRIGERACAO"/>
        <s v="REFRIGERACAO J. L. BASSO LTDA"/>
        <s v="JOSIAS SOUZA"/>
        <s v="FREEZE SHOP LTDA"/>
        <s v="NOVA GRANSERVICE ASSISTENCIA"/>
        <s v="EDUARDO RIBEIRO VIEIRA"/>
        <s v="BRUNO JOSE DOS SANTOS"/>
        <s v="GRAN ELETRO GOURMET LTDA"/>
        <s v="MEGA SERVICE PECAS E SERVICOS LTDA"/>
        <s v="RENOVAR COMERCIO DE AR"/>
        <s v="BORCHERT &amp; BAUMGARTNER LTDA"/>
        <s v="IT COMERCIO DE REFRIGERACAO LTDA"/>
        <s v="LUSOMAQ COMERCIO DE PECAS"/>
        <s v="LUCAS DO AMARAL BRISTOT"/>
        <s v="AGUIAR COMERCIO DE PRODUTOS DE REF"/>
        <s v="CONSERTOP COMERCIO E MANUTEN"/>
        <s v="SILVANA GOMES PEREIRA EIRELI"/>
        <s v="CONSEL PECAS E SERVICOS LTDA"/>
        <s v="DANIELA CENSON DE OLIVEIRA ME"/>
        <s v="RECK &amp; CIA LTDA"/>
        <s v="BRASTEPEÇAS COM. PÇS. REFRIG LTDA"/>
        <s v="ALFA DISTRIBUIDORA"/>
        <s v="REFRIGERACAO BASSO LTDA"/>
        <s v="LITORAL SERV - COMERCIO DE PECAS"/>
        <s v="VINICIUS DOS SANTOS SERRANO"/>
        <s v="F. J. MENESES VASCONCELOS EIRELI"/>
        <s v="DIEGO PEREIRA DE SOUZA"/>
        <s v="VINICIUS ALBIERO TESTASICCA"/>
        <s v="TEMPERFRIO-DISTRIBUICAO E"/>
        <s v="IRMAOS CARICILLI LTDA"/>
        <s v="ASTEBEL ASSISTENCIA TECNICA LTDA"/>
        <s v="PC COMERCIO E REPARACAO DE APARELHO"/>
        <s v="AMAURI CARLIS JACON &amp; CIA LTDA"/>
        <s v="ROLF RENTSCH"/>
        <s v="REFRISELL COMERCIO DE EQUIPAMENTOS"/>
        <s v="J. DE A. C. BRUGNOLI"/>
        <s v="REVOLUTION COMERCIO E SERV"/>
        <s v="COPEGEL REFRIGERACAO LTDA"/>
        <s v="JF OLIVEIRA PEREIRA ELETROD LTDA"/>
        <s v="DO LAR ELETRO TECNICA LTDA"/>
        <s v="VÂNIA NORONHA"/>
        <s v="ELETRO SERVICE SERVICOS E COMERCIO"/>
        <s v="RIMAZE COMERCIO E INDUSTRIA DE"/>
        <s v="MI COMERCIO E MANUTENCAO DE"/>
        <s v="X PECAS MG LTDA"/>
        <s v="REFRIGERA BRASIL CLIMATIZACAO E REF"/>
        <s v="ELETRO122 COMERCIO DE ELETRO"/>
        <s v="REFRIGERACAO A C CATA VENTO LTDA"/>
        <s v="BARNI PRES SER COM PROD REFIRG ME"/>
        <s v="BR PECAS COMERCIO DE PECAS"/>
        <s v="A ORIGINAL SERVICE PECAS"/>
        <s v="Campos Equipamentos e Refrigeração"/>
        <s v="WG SOLUCOES EM ELETRODOMESTICOS"/>
        <s v="REFRIC BAHIA SERVICOS DE REFRIGERA"/>
        <s v="LIVIA FARIA"/>
        <s v="FERNANDO RIBEIRO"/>
        <s v="REFRISON REFRIGERACAO E ELETRONICA"/>
        <s v="JUAREZ LUIS LEITE"/>
        <s v="REFRICAR ASSISTENCIA TEC LTDA"/>
        <s v="A C LIMA PONTES COMERCIO"/>
        <s v="REFRIGERACAO CACIQUE RIO PRETO"/>
        <s v="JR REFRIGERACAO PETROLINA LTDA"/>
        <s v="TEIXEIRA &amp; TEIXEIRA COMERCIO"/>
        <s v="TREVIZAN &amp; CIA LTDA"/>
        <s v="DANIELLE VILA"/>
        <s v="HELDER CÂMARA"/>
        <s v="DF SERVICE PECAS E SERVICOS LTDA"/>
        <s v="J. R. VALENTE LTDA"/>
        <s v="ELEZIANA PEREIRA IBIDI DE LIMA"/>
        <s v="S.M. QUARESMA"/>
        <s v="J. DOS SANTOS REFRIGERACAO"/>
        <s v="LEOGENIO LUIZ ALBAN"/>
        <s v="JONAS EDUARDO FINGER"/>
        <s v="AGATHA LIEBSCHER"/>
        <s v="PARTS FRIO DISTRIBUIDORA DE"/>
        <s v="OFICIAL REFRIGERACAO COMERCIO"/>
        <s v="REFRITRONICOS COMERCIO"/>
        <s v="A Geral Frio RefrigeraCAo Ltda"/>
        <s v="MASP REFRIGERACAO E SERVICOS TECNIC"/>
        <s v="BASTA PECAS LTDA"/>
        <s v="DO BEN COMERCIO DE PECAS"/>
        <s v="FRION LTDA"/>
        <s v="ASP COMPANY LTDA"/>
        <s v="BRAZILIAN SERVICE ELETRODOMESTICOS"/>
        <s v="REFRIMAXX PAULINIA COMERCIO E"/>
        <s v="FALCONE - COMERCIO E SERVICOS LTDA"/>
        <s v="ELIONALDO SOUSA DE MATOS"/>
        <s v="GABRIELA ZUQUETO DA VEIGA"/>
        <s v="L P NEVES COMERCIO"/>
        <s v="ANDREIA RIBEIRO DIAS"/>
        <s v="FLORIANO REFRIGERACAO LTDA"/>
        <s v="GIANI PECAS E SERVICOS PARA"/>
        <s v="ARGELO REFRIGERACAO LTDA"/>
        <s v="JOAO BATISTA MOREIRA DA SILVA"/>
        <s v="ELETROMAQUINAS REFRIGERACOES LTDA"/>
        <s v="CG COMERCIO E SERVICE LTDA"/>
        <s v="FRIGELAR COM. DISTRIBUICAO S/A"/>
        <s v="REFRIG DANTAS LTDA"/>
        <s v="REFRICENTER COMERCIO DE PECAS"/>
        <s v="ASPEN REFRIGERACAO"/>
        <s v="REFRIGERACAO BASSO FB LTDA"/>
        <s v="REFRIGERACAO GUIMARAES LTDA"/>
        <s v="REFRICENTER REFRIGERACAO LTDA"/>
        <s v="51 765 861 LIVIA THAIS DE PAIVA ROD"/>
        <s v="MEC CRIO SERVICOS TECNICOS E"/>
        <s v="DISTRIBUIDORA JUNDIAI DE PECAS PARA"/>
        <s v="REFRIGERACAO SAO CAETANO LTDA - EPP"/>
        <s v="SILVA PECAS DE ELETRODOMESTICOS"/>
        <s v="LETICIA VIEIRA"/>
        <s v="LCB COMERCIO E SERVICOS"/>
        <s v="DELTA COMERCIO E SERVICOS"/>
        <s v="AR BRASIL COM DE PECAS DE REFR"/>
        <s v="TM REFRIGERACAO COMERCIO DE PECAS E"/>
        <s v="LUIZ CLAUDIO RODRIGUES DE SOUZA"/>
        <s v="PONTAL COMERCIO DE"/>
        <s v="MARCOS ANDRE DE SOUZA 11050615662"/>
        <s v="J G CASTELAO LIMITADA"/>
        <s v="CAMILA BORGES"/>
        <s v="MORAIS COMERCIO DE REFRIGERACAO"/>
        <s v="RAFAELA CARVALHO"/>
        <s v="GELCON COMERCIO DE PECAS"/>
        <s v="C.L.A"/>
        <s v="FRIOGASMAQ COMERCIAL LTDA"/>
        <s v="REFRIGERACAO GM EIRELI"/>
        <s v="REFRIGERACAO CASTELAO LTDA EPP"/>
        <s v="ALVES COMERCIO, SERVICOS E"/>
        <s v="REFRITHOR REFRIGERACAO LTDA"/>
        <s v="REFRIG. BANFRIO COM. IMPORTADO LTDA"/>
        <s v="SANTOS REFRIGERACAO LTDA"/>
        <s v="ROSA MARIA CORREA RIBEIRO &amp; CIA LT"/>
        <s v="CLÁUDIA GIUSTI"/>
        <s v="ABATEC - COMERCIO DE PECAS"/>
        <s v="LM COMERCIO E SERVICOS EM SISTEMA"/>
        <s v="NAUTICA REFRIGERACAO E"/>
        <s v="AMERICA DISTR DE PECAS E SERVS LTDA"/>
        <s v="MUNDO DA REFRIGERACAO LTDA - ME"/>
        <s v="COMERCIAL ELETROPECAS LTDA"/>
        <s v="CABO FRIO PECAS"/>
        <s v="THP VOTUPORANGA REFRIGERACAO"/>
        <s v="REFRIGERACAO ERECHIM COML TECNICA"/>
        <s v="LUIZ FERREIRA TAVERES ME"/>
        <s v="ELIANE DE SOUZA COMERCIO E SERVICOS"/>
        <s v="MUNDIAL REFRIGERACAO LTDA"/>
        <s v="LUCIANO APARECIDO LIMA CRISTALDO"/>
        <s v="COMETA DISTRIBUIDORA DE PECAS"/>
        <s v="RC REFRIGERACAO LTDA"/>
        <s v="LEANDRO SILVA"/>
        <s v="SENADOR PECAS E SERVICOS"/>
        <s v="COUTO FRIO REFRIGERACAO LTDA"/>
        <s v="Comercial Delfrio LTDA EPP"/>
        <s v="EXCALIBUR COMERCIO DE PECAS"/>
        <s v="REFRIGERACAO FM BASSO LTDA"/>
        <s v="LOANGAS REFRIG E ELETROD LTDA"/>
        <s v="SARDANHA COMERC PECAS E ACESSORIOS"/>
        <s v="Refrigeração Reconfrio Ltda."/>
        <s v="SERVE SIM SERVICOS E PECAS LTDA"/>
        <s v="PRAMAK REFRIGERACAO, PECAS E"/>
        <s v="REFRIGERACAO GELARES LTDA - ME"/>
        <s v="MAURO YOSHITANI JR"/>
        <s v="ANTÔNIO CARLOS DA CTUZ"/>
        <s v="HEBER PIRES OTOMAR"/>
        <s v="IRMAOS PACIFICO COMERCIO"/>
        <s v="J N SOARES REFRIGERACAO - ME"/>
        <s v="REFRIGERACAO A. M LTDA"/>
        <s v="REFRIGERACAO NARVAL PECAS E"/>
        <s v="SANTOS &amp; MEDEIROS REFRIGERACAO LTDA"/>
        <s v="BIG FRIO EQUIPAMENTOS PARA"/>
        <s v="R FERREIRA DA SILVA"/>
        <s v="FAUSTO ALVES RUA LTDA"/>
        <s v="ELDORADO COMERCIO DE REFRIGERACAO"/>
        <s v="CORREIA E CIPRIANO LTDA"/>
        <s v="REFRIGERACAO MIGUEL"/>
        <s v="NETO E FERREIRA COMERCIO E SERV"/>
        <s v="SSL REFRIGERACAO LTDA"/>
        <s v="RODRIGO BORMANN"/>
        <s v="H D CASTELAO EIRELI - EPP"/>
        <s v="CELSO MORALEZ"/>
        <s v="Polo PeCas para RefrigeraCAo e"/>
        <s v="FERNANDO GIARETTA"/>
        <s v="PERIN &amp; CIA"/>
        <s v="SATELITE REFRIGERACAO PECAS"/>
        <s v="OSMAR DALMASO - ME"/>
        <s v="BRASERVICE COMERCIO E SERVICOS"/>
        <s v="JE COMERCIO DE FERRAGENS LTDA"/>
        <s v="KEKEL DISTRIBUIDORA LTDA"/>
        <s v="MARCIO MAIA"/>
        <s v="REFRIGERACAO M. K. NORTE"/>
        <s v="MOACIR A DE AMORIM - ME"/>
        <s v="LEANDRO RICARDO LEITE"/>
        <s v="DALL AGNOL E JANESCO REFRIGERACAO"/>
        <s v="REFRIGERACOES SABOIA LTDA"/>
        <s v="GRAZIELA SANTANA"/>
        <s v="D L REFRIGERACOES PECAS E"/>
        <s v="REFRIGERACAO PANTANAL LTDA"/>
        <s v="REFRIGERACAO AMARAL LTDA"/>
        <s v="AREA SUL COMERCIO E SERVICOS EIRELI"/>
        <s v="DISFRIO DISTRIBUIDORA DE AR"/>
        <s v="CLIMACRIL DISTRIBUIDORA DE PECAS"/>
        <s v="JULIO CESAR BARBOSA"/>
        <s v="THAIS AQUINO"/>
        <s v="MAQ TEC COMERCIO DE PECAS"/>
        <s v="PATRICIA MEDEIROS"/>
        <s v="SANTOS REFRIGERACAO GV LTDA"/>
        <s v="REFRIGEL REFRIG GANDUENSE LTDA"/>
        <s v="FLÃVIO BALERINE"/>
        <s v="ANDRE SANTOS"/>
        <s v="CHAMA AZUL COMERCIO E SERVICOS LTDA"/>
        <s v="AGASERV COMERCIO E ASSISTENCIA"/>
        <s v="ADRIANO MENON"/>
        <s v="RECORRE R C REFRIG LTDA"/>
        <s v="ELETROFRIGOR PECAS LTDA ME"/>
        <s v="ZEFRIO COMERCIO DE PECAS PARA REFR"/>
        <s v="BELTRAO COMERCIO DE REFRIG"/>
        <s v="SAMARA BRIZANTE"/>
        <s v="CODIFRIO FORNECEDORA  DE PECAS"/>
        <s v="ALINE SANTANA CUNHA"/>
        <s v="ATLANTICA COMERCIO"/>
        <s v="KALEO SANTOS - MULTIMARCAS LTDA"/>
        <s v="ELIANE MAGALI LENZI"/>
        <s v="ELISON WILLIAM GODOI"/>
        <s v="EURIPEDES COSTA"/>
        <s v="REFRIGERACAO LUZ LTDA - ME"/>
        <s v="FABRETTI COMERCIO DE PECAS PARA"/>
        <s v="SIDNEI SIMOES JUNQUEIRA"/>
        <s v="DIOGO FERREIRA"/>
        <s v="MURILO PEREIRA"/>
        <s v="VARZEA SERVICOS E PECAS LTDA"/>
        <s v="SAT SERVICOS DE ASSISTENCIA"/>
        <s v="MABEFRIO PECAS E SERVICOS LTDA"/>
        <s v="LARTEC COML PECAS E ACESS LTDA"/>
        <s v="REFRIGERACAO LAVEMAQ PECAS"/>
        <s v="E V DE SOUZA COMERCIO E SERVICOS"/>
        <s v="REFRICENTER COMERCIO DE PEÇAS PARA"/>
        <s v="MAREAR SERVIÇOS TECNICOS LTDA"/>
        <s v="ASSISTEC SERVIÇOS ESPECIALIZADOS"/>
        <s v="ALDIGAIR WAGNER PEREIRA"/>
        <s v="M. J. ALVES FREIRE ME"/>
        <s v="JOÃO CARLOS PEREIRA DE OLIVEIRA"/>
        <s v="SIQUEIRA E CALLEGARI LTDA"/>
        <s v="REFRIGERACAO ACRE SERVICE PECAS E S"/>
        <s v="TERMO STATUS INSTALADORA DE"/>
        <s v="PONTO DE ORVALHO REFRIGERACAO EIREL"/>
        <s v="PONTES E ROSA LTDA"/>
        <s v="FRIMAQ LTDA"/>
        <s v="BRASPECAS REFRIGERACAO LTDA"/>
        <s v="EDUARDO OLIVEIRA"/>
        <s v="MC &amp; JG ASSISTENCIA TECNICA LTDA"/>
        <s v="REFRICRIL DISTRIBUIDORA"/>
        <s v="REFRIMAQ COMERCIO DE PECAS"/>
        <s v="BOQUETAO REFRIGERACAO EIRELI"/>
        <s v="BLESSED REFRIGERACAO E CLIMATIZACAO"/>
        <s v="TOP REFRIGERACAO LTDA"/>
        <s v="BRENO PESSOA"/>
        <s v="J LOURENCO SOBRINHO"/>
        <s v="LEVI FERREIRA DA SILVA 77916026449"/>
        <s v="REATE REBOUCAS A TEC EM APAR"/>
        <s v="GABAN COMERCIO DE UTILIDADES"/>
        <s v="SANDY DISTRIBUIDORA"/>
        <s v="PLAC PECAS PARA REFRIGERACAO LTDA"/>
        <s v="BARIZON REFRIGERACAO"/>
        <s v="TOP COMERCIO DE PECAS DE REFRIGER"/>
        <s v="SANDRA PERDIGAO HILTZ"/>
        <s v="WATEC SERVICE PECAS E SERV LTDA"/>
        <s v="RJ PECAS E SERVICOS LTDA"/>
        <s v="ELISETE PENNA CHAVES"/>
        <s v="FLORÊNCIO GIRAUD"/>
        <s v="NAAMA DE SOUZA MONTEIRO"/>
        <s v="ISABELA MASCIA SILVEIRA"/>
        <s v="R OLIVEIRA DE LIMA"/>
        <s v="SILVA PECAS PARA REFRIGERACAO LTDA"/>
        <s v="Nascimento Refrigeracao Pecas ltda"/>
        <s v="REFRIGERACAO CGAIR LTDA"/>
        <s v="AMILTON PEREIRA DA SILVA"/>
        <s v="COMERCIAL MORATELLI - EIRELI"/>
        <s v="ELETRONICA CAMPOS COMERCIO E SERVIC"/>
        <s v="FABIO BRITO"/>
        <s v="COMERCIO DE REFRIGERACAO LTDA"/>
        <s v="A M ASSISTENCIA TECNICA E PECAS"/>
        <s v="REFRIGERACAO PRO-LAV LTDA"/>
        <s v="JOMAR PECAS E SERVICOS LTDA"/>
        <s v="RENATA DE MELLO MIRALHAS LIMA"/>
        <s v="Consermaq Pecas e Servicos"/>
        <s v="BMC COMERCIO E SERVICOS DE REFRIG"/>
        <s v="HERMOGENIO SOUZA"/>
        <s v="L. MARIA DE SANTANA"/>
        <s v="NORTE FRIO REFRIGERACAO COMERCIO LT"/>
        <s v="Multipecas Refrigeracao e Eletrodom"/>
        <s v="ATACADAO DA REFRIGERACAO LTDA"/>
        <s v="TAILANDIA DE SOUSA TAVARES ME"/>
        <s v="COLNAGHI &amp; COLNAGHI -"/>
        <s v="JR REFRIGERACAO JUAZEIRO LTDA"/>
        <s v="MARIA ROSA FELIX"/>
        <s v="LUCIANO RODRIGUES DOS SANTOS"/>
        <s v="QUEIROZ E SA LTDA"/>
        <s v="CONSAB PÇS E SERV. P/ ELETROD. LTDA"/>
        <s v="J. DA SILVA MIRANDA"/>
        <s v="GLEIDSON DINIZ"/>
        <s v="DREAM SERVICE COMERCIO DE PECAS E"/>
        <s v="SERVIBRAS COM SERVICOS TECNICOS LT"/>
        <s v="PLANETA COMERCIO DE PRODUTOS"/>
        <s v="ALKATEC COMERCIO E CONSERTOS DE"/>
        <s v="HENRIQUE MENDES DO AMARAL - ME"/>
        <s v="CENTRO OESTE"/>
        <s v="TERLEI NEVES"/>
        <s v="JUSDEWBE TATIANE DE SOUZA MORAIS QU"/>
        <s v="FERNANDO VIEIRA"/>
        <s v="EDISON DA SILVA REFRIGERACAO"/>
        <s v="CARMEN JOBIM"/>
        <s v="REFRIGERACAO GUARUJA LTDA"/>
        <s v="LÍGIA GODOI"/>
        <s v="JR REFRIGERACAO BONFIM LTDA"/>
        <s v="FRIOTEC INSTALACAO DE SISTEMAS"/>
        <s v="EXPEDITO GONCALVES FILHO"/>
        <s v="ENALDO DIAS DE QUEIROZ"/>
        <s v="UNIVERSO REFRIGERACAO COMERCIO"/>
        <s v="DERBY - REPRESENTACOES E COMERCIO"/>
        <s v="FRIGELAR COMERCIO E INDUSTRIA"/>
        <s v="PWA SERVICE - ELETRO ELETRONICO LTD"/>
        <s v="PAULO HENRIQUE ARAUJO DOS REIS 8219"/>
        <s v="REFRIGERACAO SIQUEIRA COMERCIO"/>
        <s v="JOSE FILHO DE AQUINO DANTAS DANTAS"/>
        <s v="TEREZINHA BENVENUTTI"/>
        <s v="BTU REFRIGERACAO LTDA"/>
        <s v="CONSERPE COMERCIO DE PECAS"/>
        <s v="EDISON ANAN"/>
        <s v="EDUARDO CESAR DA ROCHA"/>
        <s v="REFRISOLAR REFRIGERACAO LTDA"/>
        <s v="ADRIANA DOMINGUES"/>
        <s v="PONTO DE ORVALHO REFRIG LTDA"/>
        <s v="MACALE PECAS LTDA"/>
        <s v="SARDANHA COMERCIO DE PECAS E"/>
        <s v="REFRIGERACAO CLEITON LTDA"/>
        <s v="EMIR LEMERTZ MENDES RIBEIRO"/>
        <s v="CLAYTON GRAMKOW"/>
        <s v="JAIR MAGALHÃES"/>
        <s v="SILVIO DA SILVA BRASIL"/>
        <s v="VIVIANE EBERT WEBER"/>
        <s v="MAGNETRON SERVICOS TECNICOS LTDA"/>
        <s v="GILBERTO COMARU PASQUALOTTO"/>
        <s v="FRIOMASTER COMERCIO DE"/>
        <s v="REFRIGERACAO ESQUIMO LTDA"/>
        <s v="GILSON ARAUJO ARAUJO"/>
        <s v="OVIDIO DUARTE OLIVEIRA"/>
        <s v="MARIA OLIVEIRA"/>
        <s v="MARIA I R BARKER"/>
        <s v="CARLLA SIMÕES"/>
        <s v="MARILDE CARVALHO"/>
        <s v="JOAO GABRIEL DA SILVA"/>
        <s v="SANDRO FRANÇA"/>
        <s v="NOVO CLIMA REFRIGERACAO LTDA"/>
        <s v="PEREIRA DA SILVA &amp; CIA LTDA"/>
        <s v="dSPACO DO CLIMA AR"/>
        <s v="SAMIR ABU EL HAJE"/>
        <s v="ILES DAYANE ARAUJO"/>
        <s v="ASTEBEL REDE DE SERVICOS LTDA"/>
        <s v="ROBERTA DOS SANTOS"/>
        <s v="METTA COMERCIO E SERVICOS LTDA"/>
        <s v="MARCIO JOSE TOMAZE"/>
        <s v="HUMBERTO PATRIK PAMPANINI FRANÇA"/>
        <s v="REFRIGERACAO CALZA LTDA."/>
        <s v="ANDRÉ BERNARDO DA COSTA"/>
        <s v="KADISON RANIEL"/>
        <s v="KLINGER MAXWELL LEAO"/>
        <s v="NATHALIA MARTINS"/>
        <s v="MARILIA SILVA"/>
        <s v="BARBARA KAROLLINE FRANCA LAURINDO"/>
        <s v="JERNEY DA SILVA MATOS"/>
        <s v="JUSSARA APARECIDA ANDRADE COUTINHO"/>
        <s v="REFRIGERACAO MAGAZINE DO FRIO LTDA"/>
        <s v="MENEZES &amp; ABREU LTDA"/>
        <s v="JOSE DIAS DE AZEVEDO DOS REIS JUNIO"/>
        <s v="MIRIAM MARIA DOS REIS"/>
        <s v="MARCOS JOSE DE OLIVEIRA SOROCABA-EP"/>
        <s v="BRUNO PANOSSO"/>
        <s v="TASSIO ANDELISON GREIN"/>
        <s v="ADRIANO ALVES"/>
        <s v="SILVIO RICARDO CAVALCANTE"/>
        <s v="CARLA BALADI CHOHFI"/>
        <s v="MARIKA REFRIGERACAO EIRELI"/>
        <s v="DAIARA SANTANA"/>
        <s v="RODRIGO FERNANDES VENERAL"/>
        <s v="DYRLENE RODRIGUES DE MIRANDA"/>
        <s v="POLLYANNA VIEIRA"/>
        <s v="SELMA MARIA CAVALCANTE PEREIRA"/>
        <s v="MACEDO E SILVA COMERCIO E SERVICO"/>
        <s v="REGINA ARAÚJO"/>
        <s v="LUX SERVICE REFRIG PECAS SERV LTDA-"/>
        <s v="ICO XAVIER"/>
        <s v="SILVIA SOUZA"/>
        <s v="COMERCIAL DE PECAS VASCONCELOS &amp; SA"/>
        <s v="DEBORA FERREIRA CORRÊA"/>
        <s v="KEYLA ARAUJO"/>
        <s v="FELIPE LACERDA"/>
        <s v="THAIS EMANOELLE SOARES"/>
        <s v="REFRIMOTOR CLIMATIZACAO LTDA"/>
        <s v="BRUNA ARAUJO"/>
        <s v="SIMONE SANTOS DE JESUS"/>
        <s v="H B P MOTA"/>
        <s v="LENIR DE OLIVEIRA SACCO"/>
        <s v="FABIANO OLIVEIRA"/>
        <s v="MURILO RAPOSO"/>
        <s v="ANDREI GUEDES"/>
        <s v="CECILIA SENA"/>
        <s v="KI PONTO FRIO COMERCIO ATACADISTA"/>
        <s v="VALDENIA COSTA RIBEIRO"/>
        <s v="MIRIELI SCAPINI ROSSI ALVES"/>
        <s v="GLEICIANE NOBRE REBOUÇAS"/>
        <s v="CORDEIRO PECAS E REFRIGERACAO LTDA"/>
        <s v="MARIA ROSIMEIRE CASTELINE"/>
        <s v="ESTEVAM VIANA CARNEIRO"/>
        <s v="PÂMELA DINIZ"/>
        <s v="LUIZ ALBERTO CALHEIROS OLIVEIRA JUN"/>
        <s v="NADIR TAVARES DE OLIVEIRA AMORIM"/>
        <s v="RONEIDE SÁ"/>
        <s v="EMILIA C N DE BARROS"/>
        <s v="CAROLINE CRUZ"/>
        <s v="REFRIGERACAO BINSFELD LTDA"/>
        <s v="PAIVA E PAIVA LTDA"/>
        <s v="TAIS HELENA PELLENZ &amp; CIA LTDA"/>
        <s v="ONIO GASPARINI GASPARINI"/>
        <s v="JULIANA VERA OLIVEIRA"/>
        <s v="REFRICON COMERCIO DE REFRIGERACAO L"/>
        <s v="KAYLANE SILVINO"/>
        <s v="HORTÊNCIA ÁVILA"/>
        <s v="LEANDRA SANTOS"/>
        <s v="RAQUEL SILVEIRA RODRIGUES &amp; CIA. LT"/>
        <s v="JRS REFRIGERACAO COMERCIO E SERVICO"/>
        <s v="GUILHERME BENINI RAMPASSO"/>
        <s v="ELAINE ALVARES"/>
        <s v="FLAVIA DE OLIVEIRA ROSA"/>
        <s v="CAROLINA DE AZEVEDO"/>
        <s v="FABRICIO MARCEL"/>
        <s v="MARCIO SANTOS"/>
        <s v="FABIO DA SILVA LIMA"/>
        <s v="SOLLAR PECAS E SERVICOS LTDA"/>
        <s v="ANNE SOARES"/>
        <s v="CAIO CÉSAR DE OLIVEIRA FREITAS"/>
        <s v="MARCELO PINHEIRO EUBEBIO"/>
        <s v="JACKSON SANTANA"/>
        <s v="SEBASTIÃO DE SOUZA ALMEIDA"/>
        <s v="CLARICE ZIMMERMANN SALDANHA"/>
        <s v="JEFFERSON OLIVEIRA"/>
        <s v="BRUNO CONFORT"/>
        <s v="LUCIA ELIAS SILVA DE MATOS"/>
        <s v="MARIA DE LOURDES SANTOS"/>
        <s v="ELIZABETH NOGUEIRA ROCHA"/>
        <s v="HERNANE DINIZ ALVES SANTANA"/>
        <s v="EDLEIA MIRANDA ZBORALSKI"/>
        <s v="RAQUEL SILVA"/>
        <s v="HALLAN CHYARELLY"/>
        <s v="M P XAVIER CONSERTOS DE REFRIG"/>
        <s v="CARLA PRATA"/>
        <s v="MIRRELLE CORDEIRO"/>
        <s v="ELETROLAR PECAS E MANUTENCAO"/>
        <s v="LETÍCIA DE FIGUEIREDO E MOURA"/>
        <s v="OTAVIANO FERREIRA FIGUEIREDO"/>
        <s v="RAFAELLA ALVES"/>
        <s v="ELETRO PECAS REAL LTDA"/>
        <s v="ELETROTEC PECAS E SERVICOS LTDA"/>
        <s v="MAYSA MAIA BARRETO"/>
        <s v="ANA PAULA MARTINS"/>
        <s v="RHALIMAN SILVA CHEDE"/>
        <s v="PEDRO SILVA"/>
        <s v="ICARO SOUZA"/>
        <s v="FERNANDA DEL GUERRA"/>
        <s v="FERNANDO SAMPAIO COSTA"/>
        <s v="FABRIZIO CONCEICAO"/>
        <s v="ALBERICO MONTENEGRO"/>
        <s v="COMERCIAL DE PEÇAS PARA REFRIG MF"/>
        <s v="MIRIANE RODRIGUES"/>
        <s v="ALEXANDRE OLIVEIRA"/>
        <s v="ELZA ALCANTARA MACEDO PEIXOTO"/>
        <s v="ERICA PADOVEZZI HAUK"/>
        <s v="MATEUS EDUARDO ARRUDA"/>
        <s v="EDUARDO  TAVARES CONSIDERA"/>
        <s v="AMADEU FRADE"/>
        <s v="LEOMAR NOGUEIRA"/>
        <s v="VANESSA MAGALHÃES"/>
        <s v="MARIA DA CONSOLAÇÃO DE PAULA FRANÇA"/>
        <s v="MÁRCIO PAULO DOS SANTOS SANTOS"/>
        <s v="ALEXANDRE BARBOSA"/>
        <s v="MARCELO VIAL"/>
        <s v="MATHEUS VIEIRA"/>
        <s v="SILVANA PLORETTI"/>
        <s v="CIRLENE FREIRE ROSSATO"/>
        <s v="ODETE DIAS DE SIQUEIRA"/>
        <s v="ANTONIO CURY"/>
        <s v="RAFAEL HENRIQUE GONÇALVES SANTOS"/>
        <s v="MICHELE HYODO"/>
        <s v="EVA ANDRÉIA RODRIGUES"/>
        <s v="REMY REFRIGERACAO E"/>
        <s v="NATANY PEREIRA"/>
        <s v="REGINA LUCIA LEME DA SILVA"/>
        <s v="VITOR RODRIGUES"/>
        <s v="ARETA MEDEIROS DE OLIVEIRA"/>
        <s v="GMTEC COMERCIO E SERVICOS LTDA  EPP"/>
        <s v="JOÃO MARCOS AZEVEDO GRACIANO"/>
        <s v="SIBELE TASSO"/>
        <s v="SUSANA BERNARDI PINTO"/>
        <s v="LILIAN RODRIGUES"/>
        <s v="THIAGO FRATARI LOPES"/>
        <s v="RICARDO COELHO AMARAL - ME"/>
        <s v="SIRLENE BARBOSA CORREA SANTOS"/>
        <s v="VANESSA NOGUEIRA"/>
        <s v="RICARDO CÂNDIDO MARINHO"/>
        <s v="MARIA CRISTINA FONTES"/>
        <s v="ANNE AMADO"/>
        <s v="DANIEL MAGLIANO"/>
        <s v="ALESSANDRO PAZ FERREIRA"/>
        <s v="ELEN CRISTINA SEVERINO VITAL"/>
        <s v="JONATAS EDEMUNDO DERKS"/>
        <s v="JOSÉ ANTÔNIO SANTOS"/>
        <s v="DSFRIO REFRIGERACAO EIRELI"/>
        <s v="SELMA RODOLFO AGUIAR"/>
        <s v="CRISTIANE PAULA"/>
        <s v="RENATA VOLPON TERRA DE ALMEIDA SANT"/>
        <s v="CLARA GOMES"/>
        <s v="FABIO NOGUEIRA"/>
        <s v="LETICIA FISCHER"/>
        <s v="MARLI APARECIDA RODRIGUES DA SILVA"/>
        <s v="MARIA CLAUDIA INACIO"/>
        <s v="JOSÉ RIBEIRO"/>
        <s v="NICOLE CALADO"/>
        <s v="FRANSUERMESON C. DE ANDRADE"/>
        <s v="CÉSAR CARVEJANI"/>
        <s v="POLLYANA QUATRIN"/>
        <s v="ANNA PAULA  SOUSA DA FONSECA SANTAN"/>
        <s v="JOSE LUIZ DE ANDRADE"/>
        <s v="JOEL TADEU DO NASCIMENTO"/>
        <s v="CARMEM SILVIA"/>
        <s v="JAIRO MENEZES"/>
        <s v="ENILCE TORRES ROSSONI"/>
        <s v="BENHUR DE OLIVEIRA PIEREZAN"/>
        <s v="CÍCERO BAGGIO"/>
        <s v="CINTIA CARLA SILVA NOVAES"/>
        <s v="VALDEMIR MOURA"/>
        <s v="PAULO GILBERTO LASKE"/>
        <s v="JONES BASILIO"/>
        <s v="JULIANE MORELLI"/>
        <s v="SOLANGE ANDRADE"/>
        <s v="JOSE SALVADOR GERONIMO"/>
        <s v="MAFRAN AGUIAR"/>
        <s v="MARTA WATANABE"/>
        <s v="MIRIM SERV COM DE PECAS E REPAROS"/>
        <s v="JOÃO PEDRO SANTOS"/>
        <s v="YURI UBALDINO ROCHA SOARES"/>
        <s v="NEUSA ROPELLI"/>
        <s v="JORGE SILVA"/>
        <s v="VIRGINIA GOMES"/>
        <s v="BRUNO SOUSA"/>
        <s v="VICENTE E GOMES LTDA"/>
        <s v="FLABIO ROSA DA COSTA"/>
        <s v="PEDRO RICARDO OLIVEIRA DA LUZ"/>
        <s v="MAQCENTER PECAS E SERVICOS LTDA"/>
        <s v="LEILA CAMPOS MUTRAN"/>
        <s v="JAKELINE SOUZA"/>
        <s v="LAYSA CAMPOS"/>
        <s v="MARIA IVONETE SOUZA SILVA"/>
        <s v="BARBARA SANTANA"/>
        <s v="MARCELA SILVA"/>
        <s v="SARITA VIEIRA"/>
        <s v="FABIO PAES LEME"/>
        <s v="GIAN TADAO AIZAWA STEFANO"/>
        <s v="RENAN SANTANA"/>
        <s v="JOÃO PAULO SILVA"/>
        <s v="CLEUSA LISTONI"/>
        <s v="AKIRA HASEGAVA"/>
        <s v="DIANA CRUZ"/>
        <s v="28.684.741 MARIA EXPEDITA DE"/>
        <s v="JULIA PICCOLI"/>
        <s v="ROSEMEIRE PADILHA DE OLIVEIRA"/>
        <s v="BENEDITO LAGUNA"/>
        <s v="TOCANTINS SERVICOS E COMERCIO DE RE"/>
        <s v="ANA MARIA ALBIERI"/>
        <s v="FABRICIA FELIPPE"/>
        <s v="MERILIZ LEITE"/>
        <s v="OSNI KNOP JUNIOR"/>
        <s v="DANILO SANTOS"/>
        <s v="EDEMILSON JOSÉ DE SANTOS"/>
        <s v="HULDA ALVES TAVARES"/>
        <s v="TOMASI E CHRIST REFRIGERACAO LTDA"/>
        <s v="DOUGLAS AZEVEDO"/>
        <s v="ANDRESSA CUNHA"/>
        <s v="MARCELA MULLER"/>
        <s v="GABRIEL GARSCHAGEN"/>
        <s v="WILLIAM MANTOVANELLI"/>
        <s v="JUCIENE SANTOS"/>
        <s v="DUPA COMERCIAL DE PECAS LTDA"/>
        <s v="FRIOLAR COMERCIO DE PECAS E"/>
        <s v="JOAO PAULO DE MORAES CANDELA"/>
        <s v="MARIA CONCEIÇÃO ROCHA FERNANDES"/>
        <s v="CHRYSTIAN DAVID DE OLIVEIRA"/>
        <s v="LUCIO COUTINHO"/>
        <s v="ISAAC MARTINS RAYNAUD"/>
        <s v="MARYLAND ALVES TRINDADE"/>
        <s v="CEANE ALVES DE SOUSA"/>
        <s v="LUCAS LIMA SOARES"/>
        <s v="R BRUM"/>
        <s v="REFRIGERACAO MARAVILHA LTDA"/>
        <s v="ANDREA HERMES"/>
        <s v="DAYANA PRATA"/>
        <s v="CAMILA CANEDO"/>
        <s v="EDUARDO MEES 08488521928"/>
        <s v="PEDRO FREITAS"/>
        <s v="BIANCA MACEDO"/>
        <s v="ANDREI CUNHA"/>
        <s v="NEY OLIVEIRA"/>
        <s v="VILMA DA SILVA"/>
        <s v="ANA PAULA ANTUNES"/>
        <s v="MÁRCIA BETIM BONETTI"/>
        <s v="BRUNA SOUZA"/>
        <s v="RAFAEL FREITAS"/>
        <s v="RUBENS BORGES LIMA"/>
        <s v="CAROLINA SCOLASTICO"/>
        <s v="MARYANA VASQUES"/>
        <s v="AUGUSTO ROCHA"/>
        <s v="BRUNO MARÇAL HOLANDA FERREIRA"/>
        <s v="ALDERICO VIEIRA"/>
        <s v="ABRAÃO ALEXANDRE"/>
        <s v="RITA DA COSTA FERREIRA ROSA"/>
        <s v="REFRIGERACAO CARNEIRO LTDA"/>
        <s v="VITOR LIMA FERRAZ"/>
        <s v="MIRAMAR JUNIO"/>
        <s v="FERNANDO MARTINS"/>
        <s v="MARAISA CRUZ"/>
        <s v="REFRIGERACAO LINHA BRANCA DO RIO"/>
        <s v="ELETROPECAS BLUMENAU"/>
        <s v="ÉMERSON SALVAGNI"/>
        <s v="WJ PEREIRA PECAS ACESSORIOS E"/>
        <s v="LORENA BOMFIM"/>
        <s v="MICHELLE WISBECK CASARA"/>
        <s v="JASMINI DE SOUZA"/>
        <s v="ALEXANDRE SILVA"/>
        <s v="CARLOS MACHADO COSTA"/>
        <s v="BRUNO URZEDA"/>
        <s v="LILIAM CRISTINA PITTA"/>
        <s v="REFRIGERACAO ANCHIETA"/>
        <s v="ALEXANDRE NEINAS"/>
        <s v="CLAUDIA BIANCA"/>
        <s v="MARCOS MACEDO"/>
        <s v="VINCENT BONNET"/>
        <s v="JORGE ALEXANDRE NEMER SAUD"/>
        <s v="RHOWENA JANE MATOS"/>
        <s v="ALEX PAGLIARINI"/>
        <s v="RANIERE GOMES DA SILVA"/>
        <s v="ROSEMAR ROSEMAR"/>
        <s v="CRISTINA SÁ"/>
        <s v="KADRYNNA ELLEN PAIVA DE FARIA"/>
        <s v="ALEXANDRA K.L. PINA"/>
        <s v="ITAMAR ANTONIO RODRIGUES ME"/>
        <s v="GENIARDES RIBEIRO"/>
        <s v="ROSE MARY EVANGELISTA COSTA"/>
        <s v="CAIO MARTINS DE ALLMEIDA MAGALHÃES"/>
        <s v="MARIA REGO"/>
        <s v="GUILHERME PAULO NETO"/>
        <s v="FERNANDA BACHESQUI"/>
        <s v="VITOR DELAMICO"/>
        <s v="RAFAEL DOS SANTOS ALVES"/>
        <s v="DANIEL SALVINI"/>
        <s v="MARCO MOREIRA"/>
        <s v="MORETI SERVICOS LTDA"/>
        <s v="JOSE ÁLVARO"/>
        <s v="FABIANA KNIPL RODRIGUES"/>
        <s v="ARIADNE FARES SABBAG"/>
        <s v="ISABEL COSTA"/>
        <s v="VINÍCIUS ARAUJO COTA"/>
        <s v="MARIA LUCIA ANDRADE DE OLIVEIRA"/>
        <s v="DANIEL VIEIRA"/>
        <s v="GINA FARIAS"/>
        <s v="FRANCISCO BIULCHI DOS SANTOS"/>
        <s v="ISAIAS BATISTA DOS SANTOS"/>
        <s v="ALBERT CARVALHO"/>
        <s v="KARLA HERMONT"/>
        <s v="LILIANE NOGUEIRA"/>
        <s v="PAULA ESTEFANE FERREIRA"/>
        <s v="MOISÉS BIZOTTO"/>
        <s v="GERSON  LUIZ WALLAUER"/>
        <s v="ANTONIO GARCIA DA SILVA"/>
        <s v="ANA PAULA CASTRÃO"/>
        <s v="GABRIEL WASSERMAN"/>
        <s v="DIEGO PERIN ADORNA"/>
        <s v="JÚLIO FABRIS COMIN"/>
        <s v="JULIO RENE MULLER"/>
        <s v="GISELE DA SILVA OLIVEIRA"/>
        <s v="ALAN JORDÃO"/>
        <s v="ZELIA KOERICH"/>
        <s v="ALEX P. DE SOUZA - ME123"/>
        <s v="ANDRÉA LAVIOLA"/>
        <s v="IVANA BITTENCOURT"/>
        <s v="CLAUDIA FERREIRA MATTOS"/>
        <s v="MARCOS VINICIUS ROCHA COELHO"/>
        <s v="ADRIELLE SILVA DE OLIVEIRA"/>
        <s v="GUSTAVO BUSATO"/>
        <s v="REFRIGERACAO DULAR LTDA"/>
        <s v="SABRINA FUCINA MISTURA DE SOUZA"/>
        <s v="GUILHERME QUEIROZ"/>
        <s v="ALFREDO SIMON"/>
        <s v="VANIA ANDRE MOTTA"/>
        <s v="GABRIEL GONÇALVES"/>
        <s v="LÍVIA BUZATO"/>
        <s v="AMÉLIA MARIA GHETTI ELIZEU"/>
        <s v="MONICA WRIGHT DE MORAES BARROS"/>
        <s v="CARLA SANTOS"/>
        <s v="CRISTIANE PEREIRA DA SILVA OLIVEIRA"/>
        <s v="BRUNA SILVA"/>
        <s v="NATALY ACOSTA"/>
        <s v="LIGIA BARROS"/>
        <s v="NELI DE VARGAS MARCONATO"/>
        <s v="LYSSANDRA DE OLIVEIRA FERREIRA"/>
        <s v="RICARDO SANTOS"/>
        <s v="CAMILA BRUHN"/>
        <s v="MARINA AZEREDO"/>
        <s v="CARLA BELLETTI"/>
        <s v="VITOR KAWANO"/>
        <s v="ALEXANDER GALVÃO"/>
        <s v="LUCAS STRECKER"/>
        <s v="GABRIELA RODRIGUES"/>
        <s v="LUCAS SILVA"/>
        <s v="IVAN LOPES DE MEDEIROS ME"/>
        <s v="MARIANA FRIZERA BORGHI MOTA"/>
        <s v="E MIGUEL DE CAMPOS LTDA"/>
        <s v="OSCAR FACIROLLI JUNIOR"/>
        <s v="RICARDO SARMENTO"/>
        <s v="ALEXANDRE MUTRAN"/>
        <s v="ELINA TEIXEIRA"/>
        <s v="MELINA CESAR DE OLIVEIRA"/>
        <s v="SEVERINA GILVANETE DAVINO ALVES FER"/>
        <s v="JESSICA RAFAELA"/>
        <s v="GILMARA SANTANA"/>
        <s v="CELIA OLIVEIRA"/>
        <s v="JOÃO GUILHERME OLIVEIRA SILVA"/>
        <s v="WASHINGTON FERNANDES DE SOUZA"/>
        <s v="ANDRE LUIZ SOUZA"/>
        <s v="ELETROFREITAS SERVICOS ELETRICOS LT"/>
        <s v="LUIZ GUSTAVO"/>
        <s v="FA REFRIGERACAO SERVICOS"/>
        <s v="VANDERLEY NOVAES SILVA"/>
        <s v="LARISSA ALQUATI"/>
        <s v="MAQ SERVICOS"/>
        <s v="LUIZ DOS SANTOS LIMA"/>
        <s v="DIANA TONET TONET"/>
        <s v="CLAUDIO DAMASCENO"/>
        <s v="PAULO QUEIROZ PINTO"/>
        <s v="LUANA COSTA COELHO PASSOS"/>
        <s v="M. M. DA S. MOURA"/>
        <s v="ROSANA SANTOS DA SILVA"/>
        <s v="LAVINIA MONTEIRO"/>
        <s v="CLARICE ZIENTARSKI"/>
        <s v="WILROBSON BATISTA MENEZES"/>
        <s v="ADRIANA GUSTAVSON  WILSON"/>
        <s v="MARIA EDINA DA SILVA FREIRE"/>
        <s v="KENZI ITAMI"/>
        <s v="NICOLLE CARNEIRO"/>
        <s v="ITALO SILVA SANTANA"/>
        <s v="ROSILDA MARIA SOARES DE LELES"/>
        <s v="ELIANE ARAÚJO SOUSA"/>
        <s v="AMANDA AZEVEDO"/>
        <s v="JUCIDALVA DE SANTANA PINHEIRO"/>
        <s v="JORGE RIBEIRO"/>
        <s v="JULIANA TARDIO FREDERICO"/>
        <s v="TIX TATUAPÉ"/>
        <s v="ROGÉRIA CORRÊA"/>
        <s v="LUIZ ANTONIO JEAN TRANJAN"/>
        <s v="ANTONIO CARLOS OLIVEIRA DIAS"/>
        <s v="EDMA FERREIRA FRAGA"/>
        <s v="ELIZANDRA COELHO"/>
        <s v="MARIA DE LOURDES FERREIRA SANTOS FI"/>
        <s v="JOAO TAVARES DA SILVA FILHO ME"/>
        <s v="RIVIERA DEL MARE"/>
        <s v="BRUNA RAGONEZI"/>
        <s v="CRISTIANE TEIXEIRA"/>
        <s v="CLEMINDA CHAVES"/>
        <s v="GISELA FLICK"/>
        <s v="ELETRO PECAS MINGAO LTDA"/>
        <s v="GABRIELA LAWISCH"/>
        <s v="LUIZ PADOAN"/>
        <s v="BRUNO RODRIGUES FERNANDES"/>
        <s v="41.239.137 MISAEL LIMA DO NASCIMENT"/>
        <s v="LEANDRO LAURENZANO"/>
        <s v="ANDRE OLIVEIRA"/>
        <s v="REGINALDO DA SILVA"/>
        <s v="FRANCISCO XAVIER DE OLIVEIRA FILHO"/>
        <s v="FRANCYANNE BRANCO"/>
        <s v="RAIMUNDA CARDOSO DA SILVA"/>
        <s v="FRILAV ELETRODOMESTICOS PECAS"/>
        <s v="MARIA DE FÁTIMA DOS SANTOS"/>
        <s v="JULIA SOUSA"/>
        <s v="JEFFERSON JOSÉ CAMILO"/>
        <s v="LEONARDO DE SANDES"/>
        <s v="BARBARA LIMA"/>
        <s v="GUSTAVO MACULAN STEFANELLO"/>
        <s v="gilmar brey e cia ltda"/>
        <s v="JAQUELINE PACHECO DA SILVA"/>
        <s v="MARIA ANGELICA TROMBINI"/>
        <s v="KATYA CASTELLINI COLARUSSO"/>
        <s v="CENTERMAQ COMERCIO E CONSERTOS DE M"/>
        <s v="BIANCA TOLEDO"/>
        <s v="ANTONIO GUEDES"/>
        <s v="THARKAN PAVESI"/>
        <s v="49.807.160 ARIVALDO DE SOUSA SANTOS"/>
        <s v="MARIA SÁ"/>
        <s v="HILDA FARIA DOS SANTOS"/>
        <s v="NEUCI CARVEJANI DA SILVA"/>
        <s v="JENNIFER BREMER"/>
        <s v="ROSANA MARQUES"/>
        <s v="CALAM CANALI"/>
        <s v="MAXCLIMA REFRIGERACAO LTDA"/>
        <s v="THIAGO BERTOLINO"/>
        <s v="LUIZ FERNANDO LEMOS"/>
        <s v="VLADIMIR BEGNI"/>
        <s v="CELIO FREIRE JUNIOR"/>
        <s v="VIVIANE DE SANTO"/>
        <s v="RONALDO DE TOLEDO PIZA"/>
        <s v="ARQUIMEDES NASCIMENTO SANTOS"/>
        <s v="SILVANE BRANDÃO"/>
        <s v="WILDER BULHÕES DE MEDEIROS"/>
        <s v="ROGERIO CERONE"/>
        <s v="PAULO DE QUEIROZ SILVA"/>
        <s v="JOSIANO CORRÊA DE CARVALHO"/>
        <s v="PRISCILA TEIXEIRA"/>
        <s v="GRACE ESTEVES"/>
        <s v="HANEDI AHMED BRAHIM"/>
        <s v="TERESA ARRAIS"/>
        <s v="HALANA MOURA HALANA MOURA"/>
        <s v="KARENE RIBEIRO"/>
        <s v="THAIANE TERTULIANO"/>
        <s v="LILIAN BARBOSA CORRÊA DE AMORIM"/>
        <s v="JANAÍNA LOPES NERY"/>
        <s v="ANTONIO FERNANDO GOMES"/>
        <s v="GABRIELLE SANTOS TRICHES"/>
        <s v="PEDRO DRUMMOND"/>
        <s v="ELLIMAQ REFRIGERACAO"/>
        <s v="VALÉRIO JOSÉ FRAGA DOMINGUES"/>
        <s v="ERNANE TIMÓTEO"/>
        <s v="FERREIRA &amp; DANTAS LTDA ME"/>
        <s v="ELAINE ALEIXO DE SOUZA"/>
        <s v="LUIZ ALFREDO SAYEGH"/>
        <s v="EDNA NASCIMENTO"/>
        <s v="FRIASTEC COMERCIO DE PECAS"/>
        <s v="ADRIANA ROCHA"/>
        <s v="GLACIAL REFRIG MAQ E EQUIP LTDA"/>
        <s v="NATHALIA HARTUIQ"/>
        <s v="GIOVANNA RIBEIRO SANCHES ME"/>
        <s v="SONIA MACIEL"/>
        <s v="SERGIO FERNANDES"/>
        <s v="REGINALDO FABIANO HESSLER"/>
        <s v="ANTÔNIO FRANCISCO DUARTE"/>
        <s v="ERIKA LUISA DOSPASSO CASTELO BRANCO"/>
        <s v="VARZEA FRIO PECAS E ACESSORIOS"/>
        <s v="NE COMERCIO DE PECAS E SERVICOS"/>
        <s v="WESLEY TUMELERO"/>
        <s v="ALDO AMÉRICO"/>
        <s v="HUMBERTO ORRICO FILHO"/>
        <s v="MARIANA FERREIRA DA SILVA"/>
        <s v="ERIKA P RODRIGUES"/>
        <s v="WILLIAN RODRIGO"/>
        <s v="VÂNIA DE MACEDO PORTELA"/>
        <s v="WINTER MENEZES DA SILVA"/>
        <s v="FABI PÊGAS"/>
        <s v="DAVYD LUCAS LIMA PEREIRA"/>
        <s v="ADRIANA NEVES"/>
        <s v="FABRICIO IVANOFF"/>
        <s v="ANA VITÓRIA KIND"/>
        <s v="JOSMAR TOLEDO XAVIER TOLEDO XAVIER"/>
        <s v="ANDRÉA SOUZA"/>
        <s v="MARCELA FRNCIANE DE SOUZA DIAS COST"/>
        <s v="JORGE HENRIQUE ZANONI"/>
        <s v="CÍNTIA LOPES"/>
        <s v="ROGÉRIO MAZEGA"/>
        <s v="SUMALY SOARES"/>
        <s v="CLAUDIA SILVA"/>
        <s v="MARIO ORNELAS"/>
        <s v="ANDERSON SOARES"/>
        <s v="ELIZANGELA BARROS"/>
        <s v="MAQFRIO PECAS E SERVICOS LTDA"/>
        <s v="ROBERTO CARLOS PIOKER"/>
        <s v="LUANA FERREIRA"/>
        <s v="ALINE FERREIRA"/>
        <s v="LILIAN FAJARDO"/>
        <s v="APARECIDA BARCELOS RIBEIRO"/>
        <s v="INEZITA BRUNETTO"/>
        <s v="LEONARDO MATOS"/>
        <s v="CRISTIANE AQUINO"/>
        <s v="SIBELE SCHMIDT DA SILVA"/>
        <s v="ROSELI NASCIMENTO"/>
        <s v="MARCO AURÉLIO ALVES"/>
        <s v="MARCO MILAO"/>
        <s v="VILSON LONGHI"/>
        <s v="KETLEN MORAES NUNES LEMES HERBERT H"/>
        <s v="BUENO SERVICE PECAS"/>
        <s v="STEFANY VOGT"/>
        <s v="PRISCILA XAVIER"/>
        <s v="LEUDILENE PAVÃO"/>
        <s v="HAIANNE BARROS"/>
        <s v="RITA DE CASSIA MESQUITA OLIVEIRA"/>
        <s v="DM ROSALIS REFRIGERACAO"/>
        <s v="ARYANY DUARTE DA COSTA"/>
        <s v="DANIELA MÁRCIA BATISTA"/>
        <s v="NIVALDO SALES"/>
        <s v="DANIELA ZARPELON"/>
        <s v="GUERDER VIEIRA"/>
        <s v="SERGIO RODRIGUES"/>
        <s v="ALCENDINO NASCIMENTO"/>
        <s v="NATHÁLIA SANTIAGO"/>
        <s v="R F DA SILVA AR"/>
        <s v="ANDREA PINTO"/>
        <s v="DALILA FRANCISCA DA SILVA"/>
        <s v="ROSIANE MARTINES"/>
        <s v="CASSIA PALHETA"/>
        <s v="BITIATO CORREIA"/>
        <s v="SILVIO COSTA DE OLIVEIRA JUNIOR"/>
        <s v="FÁBIO MAZZAFERRO DA COSTA"/>
        <s v="LUIZ DELLA LIBERA"/>
        <s v="REFRIGERACAO ELETRO FRIO LTDA"/>
        <s v="ALESSANDRO SILVA"/>
        <s v="HELENA NASCIMENTO"/>
        <s v="VETOR REFRIGERACAO LTDA VETOR"/>
        <s v="THALITA SANTOS"/>
        <s v="JORGE LUIZ DE DEUS"/>
        <s v="KLESSIO VINICIUS RODRIGUES DA SILVA"/>
        <s v="TÂNIA M VIVIANI"/>
        <s v="GERMANO CARMO"/>
        <s v="IZAQUEU DOS SANTOS SILVA"/>
        <s v="PRISCILA CLEMENTE"/>
        <s v="LEIDIANE RODRIGUES DO NASCIMENTO"/>
        <s v="DOUGLAS CARNEVALE"/>
        <s v="CLEISON NOBRES"/>
        <s v="ROBERTO ALVINO FRIEDRICH"/>
        <s v="TELES DE MENEZES COMERCIO E"/>
        <s v="CLECIONE AVELINA SENA"/>
        <s v="JOSÉ LUIZ RODRIGUES QUADROS"/>
        <s v="JACQUELINE DIORIO"/>
        <s v="NILCEIA CANDIDO DE MOURA"/>
        <s v="T R REFRIGERACAO LTDA"/>
        <s v="CLEIDSON SCHLATTER"/>
        <s v="ANDREIA PEREIRA GUIMARÃES DA CUNHA"/>
        <s v="CASSIO MESSIAS DA SILVA SILVA"/>
        <s v="DEUSILDA RODRIGUES SILVA"/>
        <s v="VERONICA MOREIRA MEIRELES"/>
        <s v="WAGNER CONCEIÇÃO"/>
        <s v="JONATHAN FICAGNA"/>
        <s v="NATACHA YAMAZAKI"/>
        <s v="ANA SOFIA DOS SANTOS"/>
        <s v="MARIO RUBENS SANTOS"/>
        <s v="ISABELLA LOPES"/>
        <s v="LIA MARIA ALVES"/>
        <s v="RAFAEL SIPRIANO"/>
        <s v="THIAGO MADELA FRANCISCO"/>
        <s v="ANAI APARECIDA SANTI"/>
        <s v="ISABELA FARIAS"/>
        <s v="MKS COMERCIO DE EQUIPAMENTOS"/>
        <s v="GP COMERCIO E PECAS PARA"/>
        <s v="REFRIG TRES MIL COM E PECAS LTDA"/>
        <s v="ELIANA REBOUÇAS"/>
        <s v="EDILENE PEREIRA LEITE"/>
        <s v="ARIANA CRISTINA AZA"/>
        <s v="JOACIR ROSA"/>
        <s v="RAMON CAMARGO"/>
        <s v="ALINE LEITE"/>
        <s v="ROBERTO FILHO"/>
        <s v="REFRIGERACAO E INSTALADORA"/>
        <s v="KATIA OLIVEIRA DE SOUZA"/>
        <s v="TALITA ALMEIDA"/>
        <s v="CRISTINA DE SOUZA TEIXEIRA"/>
        <s v="KLEIDE ALVES"/>
        <s v="FÁBIO MURILO COSTA MACHADO"/>
        <s v="ANA PIZZARINO"/>
        <s v="LUCIANA SOUZA SÁ DE AZEREDO AZEVEDO"/>
        <s v="ANDERSON MILITZ STASCZAK"/>
        <s v="GABRIEL MENDES"/>
        <s v="MARCIO COSTA"/>
        <s v="ROSA CHAIA KABARITE"/>
        <s v="ANA LUCIA APARECIDA DA SILVA"/>
        <s v="SAMARA REZENDE OLIVEIRA DAVID"/>
        <s v="ANTONIA ELISETE FREITAS DE OLIVEIRA"/>
        <s v="EDSON VILELA DE MORAIS NETO"/>
        <s v="IURY MELO"/>
        <s v="QUITRIA MAGALHES"/>
        <s v="WELLINGTON SANTOS"/>
        <s v="CAMILA RAQUEL"/>
        <s v="FERNANDO MIRANDA"/>
        <s v="DOLIZETE ROSSIGNOL"/>
        <s v="DANIELA FERNANDES DA SILVA MORAIS"/>
        <s v="DIOGENES ROSAS"/>
        <s v="LÍVIA OLIVEIRA"/>
        <s v="RUAN TRAVASSOS"/>
        <s v="RAQUEL VELZI"/>
        <s v="OSMAIL ANDREI NUNES"/>
        <s v="CHARLES ALVES MENDES"/>
        <s v="NILZA SANTOS"/>
        <s v="MARCELO ALEXANDRE LONGO"/>
        <s v="ADAO ADEMIR DE SOUZA"/>
        <s v="TAYANE SERAFIM"/>
        <s v="SUELI NAZATTO"/>
        <s v="TECMASTER COMERCIO DE PECAS"/>
        <s v="LIONEL SOUSA"/>
        <s v="JACKSON  CLAUDINO DA SILVA"/>
        <s v="ROGÉRIO FRAZÃO"/>
        <s v="ELISABETE APARECIDA MEDEIROS VIEIRA"/>
        <s v="JORGE OLIVEIRA NETO"/>
        <s v="LEONARDO NUNES"/>
        <s v="DUQUEFRIO REFRIGERACAO"/>
        <s v="WANDERSON RODRIGUES DUARTE"/>
        <s v="EDER FIAMONCINI ESPANHOL"/>
        <s v="JULIANA ALVES DA ROSA"/>
        <s v="NAYARA STEPHANY LIMA ALVES"/>
        <s v="IVAN JOSE MENEZES"/>
        <s v="SOLANGE DINIZ"/>
        <s v="JVM CURUCA PECAS E REFRIGERACAO"/>
        <s v="LEIDIANI BATISTA"/>
        <s v="OCTÁVIO GREHS"/>
        <s v="ROSIMARY FERREIRA DANTAS DA COSTA P"/>
        <s v="VALQUIRIA SOUZA"/>
        <s v="IOLANDA SENA BOAVENTURA"/>
        <s v="JADY REBECCA SANTOS"/>
        <s v="THIAGO FRUTUOSO DE CARVALHO"/>
        <s v="FLAVIA DE SALES PEREIRA"/>
        <s v="BRUNA LIMA"/>
        <s v="PEDRO FELIPE DE OLIVEIRA ROCHA"/>
        <s v="LUCAS CHAVES"/>
        <s v="NOHAD ZANUTTO HAMAD"/>
        <s v="MARCOS SANTIAGO"/>
        <s v="CARLA VENCESLAU"/>
        <s v="JOSE AURICELIO FERNANDES QUEIROS QU"/>
        <s v="ANA PAULA SILVA"/>
        <s v="JANAINA SANTOS"/>
        <s v="JOSE REICHERT"/>
        <s v="CAIO AMARAL"/>
        <s v="HÉBERT VIEIRA SAMPAIO"/>
        <s v="MARIANE SARAIVA"/>
        <s v="MIDIONE SILVA"/>
        <s v="ROSANIA SANTIAGO"/>
        <s v="POLLYANA DE SOUZA BARROS"/>
        <s v="RAFAEL ALVES DE ANDRADE"/>
        <s v="REFRIAR COM ASSIST TECNICA"/>
        <s v="EDER VALLEJO"/>
        <s v="CRISTINA TOLEDO"/>
        <s v="MEIRE PEREIRA"/>
        <s v="KETLYN GONCALVES"/>
        <s v="TARCÍSIO ALMEIDA"/>
        <s v="FLÁVIO ROCHA"/>
        <s v="ANDREIA FLORES"/>
        <s v="ANA LÚCIA LINDOLFO"/>
        <s v="SOLANGE BORGES"/>
        <s v="CIDÁLIA APONCHIK"/>
        <s v="JONATHAN CARRIEL"/>
        <s v="RAFAEL SANTOS ROCHA"/>
        <s v="RICARDO CORREIA"/>
        <s v="MARCELLO PACHECO DUARTE"/>
        <s v="ANDREIA PINHEIRO"/>
        <s v="SILAS FLORESTA"/>
        <s v="FABIANA LORENA"/>
        <s v="HELLEN DOS ANJOS"/>
        <s v="BRUNA NASCIMENTO"/>
        <s v="MARCIO GODOY"/>
        <s v="GIOVANA DE FATIMA DELGADO RANGEL"/>
        <s v="RAFAELA SILVA"/>
        <s v="RAFAEL CARVALHO"/>
        <s v="DANILO FIRMO DE LIMA"/>
        <s v="LUDMILLA VICENZI"/>
        <s v="ISADORA COSTA"/>
        <s v="REFRIGERACAO BARBOSA LTDA"/>
        <s v="MARIA FLAVIA HORTA BARBOSA"/>
        <s v="AMANDA NUNES"/>
        <s v="PAULO HENRIQUE GUTIERRES GARCEZ"/>
        <s v="MAR MACIEL"/>
        <s v="MARGARET IMACULADA GOMES"/>
        <s v="PEDRO LACERDA"/>
        <s v="ASSISTENCIA TECNICA"/>
        <s v="MONTE SANTO REFRIGERACAO LTDA"/>
        <s v="ALEXWELL MARTINES SUART"/>
        <s v="OLGA MARIA PESSOA"/>
        <s v="ANA PAULA ALCENO"/>
        <s v="MOARI TOSIN"/>
        <s v="RENATO XAVIER"/>
        <s v="FRANCISCO CARVALHO"/>
        <s v="MARIA ALICE DE SANTANA"/>
        <s v="EDITE BRAGA"/>
        <s v="VINÍCIUS ALCÂNTARA"/>
        <s v="LUDMILA PERIARD"/>
        <s v="BERENICE BIF"/>
        <s v="GUSTAVO SORGETZ"/>
        <s v="AMANDA SANTORO"/>
        <s v="GABRIEL LOUREIRO RODRIGUES"/>
        <s v="RICARDO CLAUDINÉ PINHEIRO"/>
        <s v="ELIEUDA SARTORATO"/>
        <s v="PAULO PORTUGAL"/>
        <s v="CONSERTOS DE ELETRODOMESTICOS TEUT"/>
        <s v="DOUGLAS FELDENS"/>
        <s v="JULIANA GUARAGNA"/>
        <s v="WESLEY OLIVEIRA"/>
        <s v="LEANDRO MAYRINK DE CASTRO MARQUES"/>
        <s v="LUCIMAR CEOLIN"/>
        <s v="GERSON GOMES DE OLIVEIRA JUNIOR"/>
        <s v="SEALTIEL PAULINO"/>
        <s v="JORGE FILHO"/>
        <s v="GIOVANE PIANCO"/>
        <s v="ANA CAROLINA MENNOCCHI"/>
        <s v="LAIS TELES DE OLIVEIRA"/>
        <s v="ANDRESSA SANTANA"/>
        <s v="NATHALIA PAGLIA"/>
        <s v="MAYRA BARBOSA"/>
        <s v="CARLOS GRECO PEIXOTO"/>
        <s v="DIEGO SOUZA"/>
        <s v="TARCIZIO CABRAL"/>
        <s v="EDUARDO RAMOS BORBA"/>
        <s v="NAZARIO MELO"/>
        <s v="MARCELO SABINO"/>
        <s v="JOSE CABRAL"/>
        <s v="CARLOS ARLINDO"/>
        <s v="DARCY SOUZA"/>
        <s v="PAULA TAVARES"/>
        <s v="FRANCISCO SILVA"/>
        <s v="KACILENE BRITI"/>
        <s v="LETICIA VALENTE COSTA"/>
        <s v="JOCACIA FERNANDES"/>
        <s v="NATHAN SOUZA"/>
        <s v="FELIPE SILVA"/>
        <s v="PAULO CÉSAR DOS SANTOS ADEGAS"/>
        <s v="CINTIA SANTANA"/>
        <s v="LEILA ZANOTTI"/>
        <s v="DAYANE FONSECA"/>
        <s v="ALEXANDRE LEAL GOMES"/>
        <s v="GUILHERME PREVEDELLO"/>
        <s v="MILTON CAETANO DE"/>
        <s v="RAQUEL COELHO"/>
        <s v="DAVID SCHEJTMAN"/>
        <s v="IRACI JOSE PINTO MEDEIROS MEDEIROS"/>
        <s v="FABIO SILVA SOUSA"/>
        <s v="SHAYNA THOMAZ"/>
        <s v="DAYANE MOURA"/>
        <s v="MARCELLA CASTRO"/>
        <s v="ALMIR NETO"/>
        <s v="GUILHERME WELTER"/>
        <s v="VALDIR FRANCISCO LAZAROTTO"/>
        <s v="COMERCIO DE REFRIGERACAO"/>
        <s v="NICOLAS THEODORO"/>
        <s v="THAIZ DOS SANTOS PENA DOS SANTOS PE"/>
        <s v="CAROLINA COSTA"/>
        <s v="MELISSA DE PAULA"/>
        <s v="VIRGÍNIA CRUZ"/>
        <s v="ALESSANDRA LACERDA"/>
        <s v="FLÁVIA LOPES"/>
        <s v="SUELI LOPES SANTOS"/>
        <s v="JOSE CARLOS SANTOS"/>
        <s v="TERESA CRISTINA COUTINHO"/>
        <s v="DANIEL JORGE"/>
        <s v="YASMIN MUNIZ DA SILVA"/>
        <s v="SOCORRO SILVA"/>
        <s v="NATHALIA BERBERT"/>
        <s v="KLEYSE TANAJURA DE OLIVEIRA DOURADO"/>
        <s v="MARCELO KNOP"/>
        <s v="MILLA TEIXEIRA"/>
        <s v="ADRIANE REIS"/>
        <s v="ROSANGELA LIMA"/>
        <s v="MARGARIDA DE SOUZA BELISARIO"/>
        <s v="HODARA CARDOSO SANTANNA"/>
        <s v="FLAVIA PINHEIRO"/>
        <s v="LEONARDO MULLER"/>
        <s v="MÁRCIA GONZAGA"/>
        <s v="WELLINGTON COUTINHO"/>
        <s v="ALESSANDRA PIMENTEL"/>
        <s v="JANAINA FARIAS NUNES"/>
        <s v="FILIPE MALCZEWSKI"/>
        <s v="MAURICIO KURC"/>
        <s v="LUCAS SHAYEB"/>
        <s v="GEORGIA SANTANA"/>
        <s v="ARIEL MENDES"/>
        <s v="NATALIA CISNEROS"/>
        <s v="J R PINTO &amp; VALIM LTDA"/>
        <s v="ALYSSON FERREIRA"/>
        <s v="ALMIR NARDINI &amp; CIA LTDA"/>
        <s v="SOLANGE SCHMITT"/>
        <s v="LUIZ ZANIN"/>
        <s v="GIOVANNA BEYROUTH"/>
        <s v="JULIANO DE FATIMA VILACA"/>
        <s v="REFRIGERACAO PAIZANTE LTDA"/>
        <s v="LUKAS MENEZES"/>
        <s v="FERNANDA RIBEIRO"/>
        <s v="LUCIANO ALVES"/>
        <s v="BRUNA GOMES"/>
        <s v="CAIO JORGE"/>
        <s v="HERIWELTON BERTOLDI"/>
        <s v="RICARDO MORAIS"/>
        <s v="FLAVIA BRESEGHELLO"/>
        <s v="DEBORA REBOUCAS MATOS"/>
        <s v="GLEICI SILVA"/>
        <s v="ALEX SANDRO AYRES DE PAULA"/>
        <s v="IURI RODRIGUES"/>
        <s v="DANIELLE CITRO"/>
        <s v="LEANDRO SOARES"/>
        <s v="LILIAN SANTOS"/>
        <s v="MARIANA CARVALHO"/>
        <s v="ANA MARIA FERREIRA"/>
        <s v="CRISTINA MARIA PALERMO"/>
        <s v="LUIZ FERNANDO SANCHES"/>
        <s v="ANTONIA SILVA"/>
        <s v="MARCELA SOBRAL"/>
        <s v="CAMILA MASSAGARDI"/>
        <s v="CRISTINA DE ALENCAR"/>
        <s v="JANE DA SILVA SANTOS"/>
        <s v="CLEIDE SILVA"/>
        <s v="FRANCIELE REIS"/>
        <s v="LUIZ PIRES"/>
        <s v="HUANNA CHAILLA ALMEIDA"/>
        <s v="RAFAEL LIMA"/>
        <s v="JEAN CARLOS DA SILVA"/>
        <s v="LUARA BENEVIDES PINHEIRO"/>
        <s v="THAMARA STELLA DINIZ CAMPOS"/>
        <s v="MARCELO LIMA"/>
        <s v="VELLOAR - COMERCIAL"/>
        <s v="LEANDRO AGUIAR"/>
        <s v="ANDRE PACHECO"/>
        <s v="ALINE ALINE ALVES PROENÇA"/>
        <s v="FABRICIO ALMEIDA"/>
        <s v="FRIOVIX COMERCIO DE"/>
        <s v="BRUNA PASQUALI NOGUEIRA"/>
        <s v="GRAZIELE MOURA"/>
        <s v="ANA MAIA"/>
        <s v="LUCIANE BAUMGRATZ"/>
        <s v="ROSANGELA AYALA"/>
        <s v="MÁRLON BATISTA"/>
        <s v="SERGIO REGIS VIEIRA DA SILVA"/>
        <s v="GUILHERME VETTORETTI"/>
        <s v="ANGELA BERGONSI"/>
        <s v="GISLENE MAGALHAES"/>
        <s v="ELISABETE DAMASCENO"/>
        <s v="PINGUIM E REFRISUL LTDA"/>
        <s v="NORMA ARAUJO"/>
        <s v="NIEVERTON FERNANDES"/>
        <s v="FELIPE DUTRA GONÇALVES"/>
        <s v="EDILAINE SOUZA"/>
        <s v="CLAUDIO ANTUNES"/>
        <s v="ALDO SILVA"/>
        <s v="OZENIR DOS SANTOS T"/>
        <s v="HELOISA HELENA OLIVEIRA"/>
        <s v="LANNA SOARES"/>
        <s v="JOSÉ ROBERTO"/>
        <s v="JOÃO VICTOR SILVA ALVES"/>
        <s v="M3M REFRIGERACAO COMERCIO"/>
        <s v="EDNA SOUZA"/>
        <s v="AMANDA GONSALVES"/>
        <s v="DIEGO NEQUESAURT"/>
        <s v="JOAQUIM  BARBOSA DOS SANTOS"/>
        <s v="ANA GABRIELLA CARVALHO"/>
        <s v="ANA PAULA DE SAMPAIO BASTOS"/>
        <s v="RLOS EDUARDO CRESPO"/>
        <s v="TATYANA LORDÃO"/>
        <s v="HELIENAI JANAÚ"/>
        <s v="RAISSA JORGE"/>
        <s v="MARIA SILVA"/>
        <s v="JULIANA DE CASTRO"/>
        <s v="MARIANA CRUZ"/>
        <s v="DONATO CINTO"/>
        <s v="JONATAS TESSARI"/>
        <s v="LEONARDO GOIS"/>
        <s v="PAULA RODRIGUES"/>
        <s v="ISIS NASCIMENTO DE OLIVEIRA"/>
        <s v="NECYCA ALVES"/>
        <s v="EDUARDO BARBOSA"/>
        <s v="EDNA SANTOS"/>
        <s v="AUGUSTO DOLHER CARMO"/>
        <s v="MATHEUS BARCELLOS"/>
        <s v="JANAINA CARVALHO"/>
        <s v="CARLOS ROBERTO ARAGÃO"/>
        <s v="CAROLINE DEL MORAL"/>
        <s v="MARIA TERTULIANO"/>
        <s v="ZEMAKEL COMERCIO DE MAQUINAS"/>
        <s v="REGINA FREIRE"/>
        <s v="VANESSA GOMES"/>
        <s v="ALLAN SANTOS"/>
        <s v="ANDRÉ COSTA"/>
        <s v="HELOISA SAAB"/>
        <s v="THAIS CAIRES"/>
        <s v="GIOVANNA SILVA"/>
        <s v="GENIVAL BARRETO"/>
        <s v="GEICIANY GALVAO"/>
        <s v="SARA SILVA"/>
        <s v="FABIANA BARROS BARBOZA"/>
        <s v="MARIA APARECIDA SARAIVA DE SOUSA"/>
        <s v="LUIZ ARAUJO"/>
        <s v="CAMILA SILVA"/>
        <s v="CONDOMINIO PIEMONTE"/>
        <s v="LUIZ CARLOS RIBEIRO RIBEIRO"/>
        <s v="FILOMENA CHARRO"/>
        <s v="GABRIEL BASTOS"/>
        <s v="ANTONIO DINIZ"/>
        <s v="ALINE PEREIRA"/>
        <s v="VICTOR ODORICO"/>
        <s v="EULODIA PEREZ"/>
        <s v="DANILO OLIVEIRA DA SILVA"/>
        <s v="FABRICIO ANDRADE DE ARAUJO"/>
        <s v="SILVIA CASTRO"/>
        <s v="ANA PAULA JESUS SANTANA"/>
        <s v="ELIANA NASCIMENTO"/>
        <s v="MARIA CELESTE SANTOS"/>
        <s v="FABIO SOUZA"/>
        <s v="FERNANDA MARTINS"/>
        <s v="DIEGO FLOOR"/>
        <s v="MARGARETE CHARIF INACIO"/>
        <s v="GILMAR CORREA DA ROSA"/>
        <s v="LUCI NAKAMA"/>
        <s v="MARCOS SILVA"/>
        <s v="JANDERSON DE PAULA FARIAS"/>
        <s v="SIMONE COSTA"/>
        <s v="MARCOS SOARES"/>
        <s v="GRAZIELA DOS REIS"/>
        <s v="MIRLE BERWANGER"/>
        <s v="DEBORAH MARTINS"/>
        <s v="AGATHA GORGES"/>
        <s v="ALISSON BITTENCOURT"/>
        <s v="FRANCISCO COSTA"/>
        <s v="GUSTAVO MONTEIRO"/>
        <s v="MATEUS CUNDA"/>
        <s v="TIAGO PIRES CERVEIRA"/>
        <s v="MARCIO C. MUNIZ"/>
        <s v="JARISSA OLIVEIRA"/>
        <s v="ODETE DE JESUS PRESTES DO NASCIMENT"/>
        <s v="ENIO MENEGAO"/>
        <s v="JULIANA GEDOZ TIEPPO"/>
        <s v="DIOGO RODOLFO TREML"/>
        <s v="KATIA MENDES"/>
        <s v="AMANDA VIEIRA"/>
        <s v="EMANUELLE PIMENTEL"/>
        <s v="MARCIANO DIOMAR"/>
        <s v="REFRIGATTI - REFRIGERACAO FRAIBURG"/>
        <s v="FABIANO F BUENO"/>
        <s v="LAUDEMIR JORGE RAMOS"/>
        <s v="ANA PAULA BARBOSA"/>
        <s v="SABRINA MARTINS"/>
        <s v="LUIZA HELENA NUNES"/>
        <s v="GERSON AMANCIO DE SOUZA"/>
        <s v="LEONARDO ROCHA"/>
        <s v="MARCELO COSTA"/>
        <s v="ANDRÉA LIMA"/>
        <s v="AKLA BORGES"/>
        <s v="KATIA PEREIRA"/>
        <s v="VERA LUCIA AGUIAR PENALVA"/>
        <s v="DENISE AYALA"/>
        <s v="DEBORA APARECIDA LEMES APARECIDA LE"/>
        <s v="ELETRONICA GOOD TEC LTDA"/>
        <s v="JOSIANE KEFFER"/>
        <s v="CARLOS ALEXANDRE GOMES"/>
        <s v="VIVIANE FERREIRA"/>
        <s v="WASHINGTON DE JESUS"/>
        <s v="TERESINHA LUNKES"/>
        <s v="MIRTES MARIA MARTINIANO FERREIRA"/>
        <s v="CLAUDIO EUGENIO BORGES"/>
        <s v="JHONIELE OLIVEIRA"/>
        <s v="NAIR OLIVEIRA"/>
        <s v="HILDA OLIVEIRA"/>
        <s v="LUIS CARLOS DA SILVA JUNIOR"/>
        <s v="MAÍRA MOREIRA"/>
        <s v="ALTAMIR NÓIA"/>
        <s v="TATIANA MUTTI"/>
        <s v="JANAINA OGUSUKO"/>
        <s v="JUSCIELMA LIMA"/>
        <s v="FERNANDO MORAES"/>
        <s v="BRUNA CAMPOS"/>
        <s v="JOSIMAR FERREIRA"/>
        <s v="ELIZABETE SILVA"/>
        <s v="GABRIELA SANCHES DE SOUZA"/>
        <s v="CARLOS ROCHA"/>
        <s v="THAINÃ MELIM"/>
        <s v="THIAGO DOS SANTOS"/>
        <s v="GUSTAVO SANTOS"/>
        <s v="ANGÉLICA LOFREDO"/>
        <s v="RENATO SILVA"/>
        <s v="MESSIAS SOUZA DA SILVA"/>
        <s v="GIOVANNA OLIVEIRA"/>
        <s v="CARLOS HENRIQUE DE ALMEIDA"/>
        <s v="MARCOS GIURNI"/>
        <s v="RITA RIZZO"/>
        <s v="LEONARDO TELES"/>
        <s v="LUIS BARON"/>
        <s v="FELIPE SCHAMNE"/>
        <s v="CONEBRAS COMERCIO E REFRIGERACAO"/>
        <s v="RODRIGO PINHEIRO FERREIRA"/>
        <s v="LIVIO GOMES"/>
        <s v="VANESSA LVES"/>
        <s v="LUIS DE OLIVEIRA FILHO 01086451341"/>
        <s v="SUZI CAJADO"/>
        <s v="JOHNNY SOUZA"/>
        <s v="ALLAN BATISTA"/>
        <s v="JEZIEL SANTO"/>
        <s v="LEANDRO LIMA"/>
        <s v="ANA LUCIA BARROS"/>
        <s v="GABRIEL OLIVEIRA"/>
        <s v="SIMONE FAMILIA SALLES"/>
        <s v="ANA LUIZA SANDRI"/>
        <s v="59.027.845 VICTORIO JUNIOR"/>
        <s v="DENIZALIA DE SOUZA MACEDO"/>
        <s v="MERCADAO DO FRIO, COM DE PECAS P"/>
        <s v="CHAIENE MORAIS RODRIGUES"/>
        <s v="ROSEANE BENEDITA DE SOUZA"/>
        <s v="MÁRCIA FERREIRA"/>
        <s v="ANTONIO RAÍ SEBASTIÃO FREIRE"/>
        <s v="RENATA ADRIANA RIBEIRO"/>
        <s v="NIVALDETE EVANGELISTA"/>
        <s v="HELOISA SANTOS"/>
        <s v="WAGNER DA ROCHA AFONSO"/>
        <s v="SASHA BENNER BAUER"/>
        <s v="FABIANO STOCCO"/>
        <s v="CLAUDIA GOMES TENORIO"/>
        <s v="ELCYO BATISTA DE OLIVEIRA"/>
        <s v="TAMIRIS RAMIRO"/>
        <s v="ORFEU MELLO"/>
        <s v="DIRCEU DE OLIVEIRA JUNIOR"/>
        <s v="FERNANDO GARCIA DE OLIVEIRA"/>
        <s v="LAVINIA SANTIAGO"/>
        <s v="RAIMUNDO FARRAPO PINTO JÚNIOR"/>
        <s v="MAURÍCIO POLETTO DEON"/>
        <s v="ANDREIA FERREIRA"/>
        <s v="ROTA 66 TRACKER LTDA"/>
        <s v="CARLOS HENRIQUE COSTA"/>
        <s v="JULIANA VIEIRA"/>
        <s v="ROBERTO DOMINGUEZ"/>
        <s v="JORGE NETO"/>
        <s v="RENAN AUGUSTO"/>
        <s v="ANA CARLA MOURA DA SILVA"/>
        <s v="SUELLEM TONOLI"/>
        <s v="GRACIELY DE SANTANA OLIVEIRA"/>
        <s v="GUILHERME PANZENHAGEN"/>
        <s v="JÉSSICA ROSA"/>
        <s v="THACIANNA S"/>
        <s v="MANUTEC MANUTENCAO EM EQUIPAMENTOS"/>
        <s v="MICHELE SILVA"/>
        <s v="JARDEL DUARTE ROCHA 06209275931"/>
        <s v="NAZARENO XAVIER DE GODOI"/>
        <s v="RENAN SANTOS"/>
        <s v="JOAO COSTA"/>
        <s v="GRAZIELLE OLIVEIRA"/>
        <s v="CARLA CRISTINE OLIVEIRA SANTOS"/>
        <s v="ÉVILA SARA"/>
        <s v="R R COMERCIAL DE REFRIGERAÇÃO LTDAt"/>
        <s v="JAILTON LIMA"/>
        <s v="ANITA DALIESIO"/>
        <s v="SILVIA MARTINI"/>
        <s v="LUCIANO ALBERICO"/>
        <s v="JOSE EDUARDO SANTANA BORGES"/>
        <s v="ALEX DE SOUZA 05555193688"/>
        <s v="GILDA MARIA CASTRO"/>
        <s v="JONAS BARRETO LOPES"/>
        <s v="EDNA SARA DIAS DE CERQUEIRA"/>
        <s v="ANDRÊSSA ATAÍDE SILVA"/>
        <s v="APARECIDA DE CASSIA REBOUÇAS NOVAIS"/>
        <s v="GABRIELA DA SILVA SOBRAL"/>
        <s v="MARCOS CUNHA"/>
        <s v="PAULA XAVIER NOGUEIRA COSTA"/>
        <s v="DILLAN SAMPAIO"/>
        <s v="ELEONORA FAGUNDES"/>
        <s v="SORAYA MATOS"/>
        <s v="CRISTIANO BALERO MIYAHARA"/>
        <s v="SILVIA FIGUEIRÔA FIEL"/>
        <s v="ANNE KELY LAUDARES FERNANDES"/>
        <s v="JORGE VITORINO BASTOS"/>
        <s v="FREE PECAS COMER E DISTRIBUICAO"/>
        <s v="DANIEL CROHARE"/>
        <s v="SERVISUL COMERCIO DE PECAS"/>
        <s v="TALITA CASSIANO"/>
        <s v="WARRINGTON WACKED"/>
        <s v="LEANDRO ARAUJO"/>
        <s v="THAIS PEREIRA SOUZA"/>
        <s v="SERVIPLUS REFRIGERACAO E"/>
        <s v="LILIAN CAIAFA"/>
        <s v="ANDREA BRADLEY"/>
        <s v="MARLENE GONÇALVES STOS ROCHA"/>
        <s v="LUIS FAVARO SCOMPARIN"/>
        <s v="JOÃO FELIPE CHARTONI SIMÃO"/>
        <s v="ADRIANA FURTADO DE VASCONCELOS"/>
        <s v="ELETROGAS - COMERCIO E PRESTACAO"/>
        <s v="LUCIANO AUDAI FERREIRA PEREIRA"/>
        <s v="BRUNA SOUSA"/>
        <s v="QUERÉN HAPUQUE"/>
        <s v="JORGE MESQUITA"/>
        <s v="PAULO RENATO FERREIRA DA CRUZ"/>
        <s v="DAVID CEZARIO"/>
        <s v="JULIANA OLIVEIRA SANTOS"/>
        <s v="MARIANGELA ALVES PINHEIRO"/>
        <s v="LYDIANE RODRIGUES BRITO"/>
        <s v="QUINTANA E SOUZA LTDA"/>
        <s v="GUSTAVO DE ANDRADE  AMORIM"/>
        <s v="PATRICIA PINTO"/>
        <s v="DANIELE SAMPAIO PASSOS"/>
        <s v="LARISSA PIERROTI PENHA"/>
        <s v="RODRIGO DUARTE DE SALVI"/>
        <s v="VICTÓRIA VASCONCELOS"/>
        <s v="ELIANE MENDONÇA CORREA"/>
        <s v="RENATO ALENCAR"/>
        <s v="NATALLI SOUSA DA SILVA"/>
        <s v="FERNANDO BRASIL DO COUTO FILHO"/>
        <s v="JOSE SERGIO BORDERES"/>
        <s v="LUIZ CARLOS CASSINELLI"/>
        <s v="CAIO CARVALHO"/>
        <s v="MARIA GOMES"/>
        <s v="EDUARDA KERBES"/>
        <s v="GABRIELA VETTORI"/>
        <s v="LUIZ ANTONIO KUNTER"/>
        <s v="BRUNA DE CARVALHO CALADO GOIS"/>
        <s v="CINTHIA OLIVEIRA"/>
        <s v="ISABELA DE JESUS SILVA RIBEIRO"/>
        <s v="GUILHERME PINHEIRO"/>
        <s v="CELSO ARAUJO PINTO JUNIOR"/>
        <s v="FRANCISCO CARLOS CAVALCANTE SILVA S"/>
        <s v="HIETA NARBIA FRANCO DA SILVA"/>
        <s v="SIMONE RAMOS"/>
        <s v="THALITA MARINHO"/>
        <s v="CRISTINA BAIERLE"/>
        <s v="ANA CAROLINA PEREIRA"/>
        <s v="KARINA MONTEIRO"/>
        <s v="PATRICIA BELLO"/>
        <s v="CILENE FLORES"/>
        <s v="HYLLARI SENA"/>
        <s v="FRANCISCO SOUZA"/>
        <s v="ÍTALA MÁRCIA SANTOS DE SANTANA"/>
        <s v="GABRIEL PEROTONI"/>
        <s v="ANA BOSCHIERO"/>
        <s v="GILSON PASSOS"/>
        <s v="ILIDIO FONSECA"/>
        <s v="SANDRA GUIMARAES"/>
        <s v="MARCELLY VIANA"/>
        <s v="GILDETE MARIA GOMES DA SILVA"/>
        <s v="ENIO MARLEY"/>
        <s v="VINICIUS OLIVEIRA"/>
        <s v="ANGELA CASALI"/>
        <s v="GEOVANIO SILVA"/>
        <s v="MARCELO JUNIOR"/>
        <s v="REJANE LIRA FERREIRA DA SILVA"/>
        <s v="MARIA BISPO"/>
        <s v="EDSON SOUZA PEREIRA"/>
        <s v="JOSE MARCIO FONSECA"/>
        <s v="ROSANGELA FERNANDES RODRIGUES"/>
        <s v="ADILSON PASSONI"/>
        <s v="TATIANE GONCALVES"/>
        <s v="EVANDRO BARROS"/>
        <s v="FERVALMAQ COMERCIO DE PECAS LTDA"/>
        <s v="JULIANA GUETTER"/>
        <s v="ATLAS OLIVEIRA"/>
        <s v="EVANDRO MOTTA"/>
        <s v="ZORAIDE SILVA FIGUEIREDO DE OLIVEIR"/>
        <s v="GIL GOMES SILVA"/>
        <s v="NELSON MACEDO"/>
        <s v="AUGUSTO FERNANDES"/>
        <s v="THIAGO EDUARDO SANTOS"/>
        <s v="ANA KELLY MORAIS"/>
        <s v="JULIANA FERNANDES DE CASTRO"/>
        <s v="MIRELA NASCIMENTO CARVALHO DE LIMA"/>
        <s v="MARCOS PAULO VALVA BITTENCORT"/>
        <s v="F M REFRIGERACAO LTDA"/>
        <s v="MELINA MENDES"/>
        <s v="ALINE XAVIER"/>
        <s v="SANIA DA SILVA OLIVEIRA"/>
        <s v="LIDIANE SILVA"/>
        <s v="TAMYRES APARECIDA EGIDIO"/>
        <s v="ALEXANDRE SANTOS"/>
        <s v="ANDRE THEODOR"/>
        <s v="MARIA ELIANDA RIBEIRO"/>
        <s v="CHRISTIAN REIS"/>
        <s v="ARIANE SANTOS"/>
        <s v="TAMIRES LIMA SANTOS"/>
        <s v="PEDRELINA SANTOS"/>
        <s v="ADLER SANTOS"/>
        <s v="IZABELA ALVES"/>
        <s v="EDMILSON OLIVEIRA DA CUNHA"/>
        <s v="CLARICE KOKUSKA"/>
        <s v="MARIA FLÁVIA FÉLIX DA SILVA SILVA"/>
        <s v="JECKSON SOUZA"/>
        <s v="CRISTIANE OLIVEIRA"/>
        <s v="PATRICIA FEITAL DA SILVA"/>
        <s v="DANIEL OLIVEIRA"/>
        <s v="K DOS S LIMA EIRELI"/>
        <s v="JEFTE DOS SANTOS SILVA"/>
        <s v="RODRIGO ALMEIDA"/>
        <s v="RICARDO BANZOLI FILHO"/>
        <s v="ANA PAULA FARIA BUENO"/>
        <s v="ASTEGEL GELAD E MAQUINAS LTDA"/>
        <s v="LUISA BESSA"/>
        <s v="MARIVALDO SILVA MARCELINO"/>
        <s v="THAMIRES DOS SANTOS MELO"/>
        <s v="IGOR HONORATO"/>
        <s v="KRYSNE OLIVEIRA"/>
        <s v="JULIO CESAR DINIZ COSTA"/>
        <s v="LORENA MARTINS"/>
        <s v="FRIOMAQ PECAS E SERVICOS P"/>
        <s v="NILDETE BAUER"/>
        <s v="FÁBIO MARCIO BISI ZORZAL"/>
        <s v="EDISON SANTOS"/>
        <s v="LUCAS PEREIRA"/>
        <s v="IGOR ARAUJO"/>
        <s v="EDVALDO PITANGA"/>
        <s v="CRISTIANE BRITO"/>
        <s v="MARIA JOELIA"/>
        <s v="SILVIO DA SILVA SOARES"/>
        <s v="ÉDNO ROMEIRO DE CASTRO"/>
        <s v="JAIRO CORDEIRO"/>
        <s v="PAULO EDUARDO PEREIRA"/>
        <s v="EDUARDO MARCON"/>
        <s v="START REFRIGERACAO E DISTRIBUICAO"/>
        <s v="PATRÍCIA ALMEIDA"/>
        <s v="NAYARA PINHEIRO"/>
        <s v="ANTONIO ROBERTO NOGUEIRA DE SOUSA"/>
        <s v="GUSTAVO HENRIQUE MOREIRA DO VALLE"/>
        <s v="RENATA GUERRA"/>
        <s v="LUCIANO PEREIRA ALVES"/>
        <s v="KELLY MIRANDA ANTONIO"/>
        <s v="CATARINA RODRIGUES"/>
        <s v="WERNER SCHELLE"/>
        <s v="ANDRE NASCIMENTO"/>
        <s v="GISELE MORAIS"/>
        <s v="MARCIA MITUE MAEDA TERAYAMA"/>
        <s v="DOUGLAS RAFAEL SILVA SOUSA"/>
        <s v="LEONARDO VASCONCELLOS"/>
        <s v="ANGELA RODRIGUES"/>
        <s v="PEDRO MUNDIM"/>
        <s v="JOSÉLIA LIMA"/>
        <s v="EVERTON SANTOS"/>
        <s v="MARCOS PAULO FERREIRA DA CONCEICAO"/>
        <s v="LUCIANA FREITAS"/>
        <s v="GENI MONTEIRO"/>
        <s v="ELETRO RECIFE VENDAS"/>
        <s v="CRISTIANE LOPES"/>
        <s v="ROBERTO OLIVEIRA"/>
        <s v="FRANCISCO RODRIGUES E CIA LTDA"/>
        <s v="ANTONIO ALBERTO ROCHA OLIVEIRA"/>
        <s v="RACHEL ALFRADIQUE"/>
        <s v=" LORENA REZENDE"/>
        <s v="GIAN CARLO CILENTO"/>
        <s v="L. A. MUEDRA BATONI LTDA."/>
        <s v="MARCOS CURI"/>
        <s v="FLÁVIA VEISAC MARTON"/>
        <s v="CARLOS ALBERTO AGABITI"/>
        <s v="TECSUL PECAS E SERVICOS PARA"/>
        <s v="GRD PECAS E ACESSORIOS PARA"/>
        <s v="BRUNO CESAR FSSOLI JUNIOR"/>
        <s v="MARIA DE FATIMA MENDONÇA MENDONÇA"/>
        <s v="JOSÉ AUGUSTO SORESINI LOPES"/>
        <s v="REFRIGERACAO NOVO MUNDO LTDA"/>
        <s v="CAROLINE MIRANDA DE OLIVEIRA"/>
        <s v="MARIA DO CARMO ALVES DA SILVA GARCI"/>
        <s v="MEG PEDROTTI"/>
        <s v="CAROLINA A ANDREOLI"/>
        <s v="MARCIO SOARES DOS SANTOS"/>
        <s v="ANA GABRIELA ROCHA NOLETO"/>
        <s v="OLAVO PASSOS"/>
        <s v="ALEX SANDRO LOPES DOMUCI DOMUCI"/>
        <s v="LÍVIA GONÇALVES RIBEIRO"/>
        <s v="BRUNO SOARES"/>
        <s v="YURI ROCHA DA COSTA"/>
        <s v="ROGERIA COSTA"/>
        <s v="ALEXANDRE AMODIO"/>
        <s v="GLEICE GOMES"/>
        <s v="ALCIRA DA CONCEICAO"/>
        <s v="WLADIMIR ROSSI GRANDESI"/>
        <s v="BRENO LOPES FROIS"/>
        <s v="PAULINNE SILVA"/>
        <s v="THAIS AGUIAR"/>
        <s v="MARCOS PAULO CARDOSO"/>
        <s v="ANGELICA F MARIS"/>
        <s v="ALEX SANDRO MAURÍCIO DE MORAES"/>
        <s v="VICTOR AMBROSINI"/>
        <s v="VICTOR DIMITROW"/>
        <s v="MARIA APARECIDA DE OLIVEIRA MACHADO"/>
        <s v="LEONARDO LUIZ URBANEK"/>
        <s v="SAMARA BATISTA DE ALMEIDA"/>
        <s v="SÔNIA NAITO"/>
        <s v="MOACIR OLIVEIRA"/>
        <s v="MANOEL SOUZA"/>
        <s v="EROS NICO GUIMARÃES"/>
        <s v="VITOR MENDONÇA"/>
        <s v="JOSIAS DA SILVA BARATA"/>
        <s v="REFRIAR REFRIGERACAO LTDA"/>
        <s v="JULIANA PERUZZI LIMA DA SILVA"/>
        <s v="JF REFRIGERACAO LTDA"/>
        <s v="LUCAS VENTURA"/>
        <s v="JENIFER CARDOSO"/>
        <s v="FERNANDA FONSECA"/>
        <s v="BRUNA TIEMANN MACIEL"/>
        <s v="JOYCE ELIAS LARANJEIRAS"/>
        <s v="BARBARA ELIZA FERRAZ DO AMARAL"/>
        <s v="ISABEL ALICE FONSECA"/>
        <s v="MARCELO M PANZUTTI"/>
        <s v="RAFAEL ANASTÁCIO DE SOUZA"/>
        <s v="ANDRÉ ROCHA"/>
        <s v="ANDRÉ PASSOS DE AQUINO"/>
        <s v="KEVIN SILVA"/>
        <s v="MARCOS OVALHE"/>
        <s v="ANTONIO CARLOS BASTOS VITORIA"/>
        <s v="FLÁVIO OLIMPIO OLIVEIRA"/>
        <s v="MAC FRIO DISTRIBUIDORA LTDA"/>
        <s v="FERNANDA SERPA"/>
        <s v="FRANCISCA BATISTA DO NASCIMENTO FIO"/>
        <s v="EUFINIS GIACOMELLI"/>
        <s v="BLESSED SOUZA"/>
        <s v="WAGNER RIBEIRO"/>
        <s v="DANILO BATISTA"/>
        <s v="57.494.065 AECIO SCHERRER BASSO"/>
        <s v="DANILO GUSTAVO ALVES BRAZ"/>
        <s v="SUELLEN TERRA"/>
        <s v="RAISSA CORREIA"/>
        <s v="TATIANA DA SILVA"/>
        <s v="MANOELA CAVALCANTE DA NOBREGA"/>
        <s v="MANASSES REFRIGERACAO E CLIMATIZACA"/>
        <s v="GABRIELA ALECRIM"/>
        <s v="JONAS CAVALCANTE DE ALMEIDA"/>
        <s v="CAMILA FORGIA"/>
        <s v="ANA CLAUDIA ANDRADE ALVES"/>
        <s v="CLÁUDIO COSTA"/>
        <s v="VANESSA MOREIRA MARCOLINO"/>
        <s v="WELLINGTON BARRETA"/>
        <s v="JASIANE FERNANDO SILVA DA COSTA"/>
        <s v="ROGER RIBEIRO"/>
        <s v="SIDNEY CAPELOS DE SIUZA CAPEKIS"/>
        <s v="ZILMA RODRIGUES FRANÇA DE SOUZA FRA"/>
        <s v="ALEXANDRE GOMES"/>
        <s v="ANDRÉA MERENCE"/>
        <s v="SAMUEL FIGUEREDO"/>
        <s v="ALEX JUNIOR"/>
        <s v="THIAGO RODRIGO COSTA"/>
        <s v="MARISA GOMES"/>
        <s v="YURE ALMEIDA"/>
        <s v="ANDERSON CARLOS MARTINS"/>
        <s v="ROBIENE NEIMECK"/>
        <s v="GUILHERME KLEY EIRELI"/>
        <s v="REFRIG SAO LUIZ LTDA"/>
        <s v="LUCAS MEIRELES"/>
        <s v="DIORGE SILVERA"/>
        <s v="GLEICE DOS SANTOS"/>
        <s v="ALECSANDRO NELVO RAMALDES"/>
        <s v="ELIANE SANTOS DE SOUZA"/>
        <s v="DOLORES SILVA"/>
        <s v="ROBISSANIA SOUZA"/>
        <s v="ANA CLARA CONCEIÇÃO"/>
        <s v="JHESSYKA ROCHA"/>
        <s v="CLEBSON LIRA"/>
        <s v="ANDREZA SADER AYRAO"/>
        <s v="MARCELO NEVILLE"/>
        <s v="JOILSON PAIXÃO"/>
        <s v="ADYLA MARIA DOS CAVALCANTE"/>
        <s v="VALÉRIA PORTELA"/>
        <s v="AILTON CANDIDO"/>
        <s v="KELY RAIANE SOUZA PALMA"/>
        <s v="HUGO CUNHA"/>
        <s v="RUTILEIA LIMA DE ALMEIDA"/>
        <s v="ROSANA TROPIA BARRETO"/>
        <s v="VALBERIO ARAUJO"/>
        <s v="VANESSA ROCHA"/>
        <s v="SOFRIO REFRIGERACAO LTDA"/>
        <s v="ROSE MARY SAMPAIO AMORIM"/>
        <s v="NOEMIA BARBOSA ALVES DA SILVA"/>
        <s v="LILIAN ROSA"/>
        <s v="UILA ROLDAN"/>
        <s v="MIREIDE MONTEIRO DUARTE"/>
        <s v="CAROLINA HADDAD"/>
        <s v="EDUARDA RIBEIRO DA SILVA"/>
        <s v="JULIANA PERÍGOLO"/>
        <s v="ALAN BRUNO FERREIRA"/>
        <s v="LUCAS CARDOSO CAVALCANTE"/>
        <s v="SAMUEL BARBOSA"/>
        <s v="MATHEUS GOMES"/>
        <s v="ELIANE GASTALDO JABBOUR JABBOUR"/>
        <s v="KELLY CASAGRANDE"/>
        <s v="FRANCISCO DE OLIVEIRA MARTINS MARTI"/>
        <s v="MARIA PAIVA"/>
        <s v="PEDRO MACHADO"/>
        <s v="DENISE ISFER"/>
        <s v="CLEBER PAGANINI"/>
        <s v="JOSE CARLOS EZEQUIEL DA SILVA"/>
        <s v="LELE.BAZETE LELE.BAZETE"/>
        <s v="THIAGO MESQUITA ACHA"/>
        <s v="ADRIANA MOURA"/>
        <s v="MARTA REGINA MARINI RIBEIRO BARROS"/>
        <s v="TALES BEDESCHI FARIA"/>
        <s v="VITOR CHAVES"/>
        <s v="EDERSON MONTIBELLER"/>
        <s v="ARTHUR AUGUSTO"/>
        <s v="DAVID SANTOS BUISINE BUISINE"/>
        <s v="MARCELO DOURADO DA SILVA"/>
        <s v="CRISTIANE SOARES"/>
        <s v="GANDERSON GOLIN"/>
        <s v="LUIS FELIPE ANDRADE"/>
        <s v="CARLA BRASIL"/>
        <s v="MARCELO ALVE BRAGA"/>
        <s v="ARTHUR ARAUJO"/>
        <s v="RENI GOMES DA SILVA"/>
        <s v="JOEL JUNIO"/>
        <s v="VALQUIRIA MARIA VIANA"/>
        <s v="RODRIGO PORPINO"/>
        <s v="ROSILANDE DE JESUS"/>
        <s v="GLEICIMARA SILVA"/>
        <s v="R. GOMES NETA CANTANHEDE - ME"/>
        <s v="FATIMA MACEDO"/>
        <s v="JÔNATAS CRISTINO"/>
        <s v="EVERSON DANILO CAJUHI SOUZA"/>
        <s v="RONALDO GOMES PEREIRA"/>
        <s v="CRISTIANO MENDES"/>
        <s v="CARLOS ARAUJO"/>
        <s v="JOSÉ ARMANDO DE SOUZA"/>
        <s v="HO COMERCIO E SERVICOS DE PECAS"/>
        <s v="WENDELL HENNIES"/>
        <s v="LUCAS FREITAS"/>
        <s v="RICARDO ALBUQUERQUE"/>
        <s v="REFRIGERACAO DUFRIO COMERCIO"/>
        <s v="MÁRCIO GONÇALVES"/>
        <s v="TATIANA CRUZ"/>
        <s v="JESSICA SILVA"/>
        <s v="LUCAS MELO BOSQUETTI"/>
        <s v="LETÍCIA CORTEZ"/>
        <s v="JORNE OLIVEIRA"/>
        <s v="MARCOS BENTO"/>
        <s v="JOÃO CASSIANO"/>
        <s v="ELETROLUZ COMERCIO E SERVICOS EM"/>
        <s v="ADAM LEPRE"/>
        <s v="KATIA VALÉRIA RIBEIRO"/>
        <s v="JULIANE CRISTINE GOUVEA PEREIRA"/>
        <s v="TÂNIA SANTOS"/>
        <s v="KARLA GONÇALVES"/>
        <s v="DIEGO FERNANDES DE OLIVEIRA"/>
        <s v="NATALIA SILVA"/>
        <s v="JOSE FELIX"/>
        <s v="EMERSON LIMA PORCELLIS"/>
        <s v="ERIKA JUNIA ALMEIDA"/>
        <s v="CAMILA MARIA DA SILVA ALVES"/>
        <s v="ELIAS BASTOS DE OLIVEIRA"/>
        <s v="EXPRESSO REFRIGERACAO LTDA"/>
        <s v="LIMA E LIMA RIOMAFRA"/>
        <s v="THAIS LOPES"/>
        <s v="GUILHERME MOCELLIN"/>
        <s v="CARLOS ALBERTO DA SILVA CÔRTES"/>
        <s v="RAYSSA PESSOA"/>
        <s v="NATÁLIA RODRIGUES VAZ CARDOSO"/>
        <s v="PRISCILA DA SILVA BARROSO"/>
        <s v="IZOLINO LOURENÇO"/>
        <s v="FABIO YOSHIO KAGI"/>
        <s v="CARLA DAS VIRGENS CAIADO"/>
        <s v="GILVANDO COELHO"/>
        <s v="FLÁVIO FERREIRA LAODER"/>
        <s v="FABIANO PEDROSA COSTA"/>
        <s v="MAURO ALBERTO SARTORI MIRANDA"/>
        <s v="JONATAS MOREIRA DE MATOS"/>
        <s v="MAGALI ZELLER"/>
        <s v="EYSLER AURELIO ROSA"/>
        <s v="LUIZ CARLOS MACHADO"/>
        <s v="NEYLOR TOZZI DA SILVA"/>
        <s v="LIVIANE LIMA"/>
        <s v="RAFAEL CORRÊA DA SILVA HAHN"/>
        <s v="STEPHANE SILVA AVELINO"/>
        <s v="SANDRO GERBER"/>
        <s v="JEAN CARLOS RODRIGUES DA SILVA"/>
        <s v="RENATO ALMEIDA"/>
        <s v="FABIO CAMPOS PEREIRA"/>
        <s v="THIAGO PASSOS"/>
        <s v="ISABELA BAROTTI"/>
        <s v="JEFFERSON SOUZA"/>
        <s v="ROSANA SCHMECHEL"/>
        <s v="RAQUEL LOPES"/>
        <s v="CARLOS LOGRADO FILHO"/>
        <s v="2HCL COMERCIO E SERVICO"/>
        <s v="JOSE ESTEVES"/>
        <s v="GABRIELA BENEVENUTO"/>
        <s v="MARIA CRISTINA DOS SANTOS DA SILVA"/>
        <s v="GEDSON ALVES DA SILVA"/>
        <s v="PEROLA LUIZA AREIAS DE OLIVEIRA"/>
        <s v="LEANDRO GARCIA"/>
        <s v="GABRIEL CUSTÓDIO CORREIA"/>
        <s v="JENILSON MENDES"/>
        <s v="THIAGO CAIRES"/>
        <s v="ROBERTA MORO"/>
        <s v="JOSIANE SOUZA"/>
        <s v="ANDRESSA JERONIMO DA COSTA"/>
        <s v="LUÍS ROBERTO TAVARES"/>
        <s v="MARLI SALATINO ZANARDO"/>
        <s v="PEDRO BIM"/>
        <s v="AMPLA REFRIGERACAO LTDA"/>
        <s v="FELIPE AUGUSTO PREDIGER WITT"/>
        <s v="GILSONEI SILVA"/>
        <s v="DIEGO BETELLI BARCARO"/>
        <s v="AMANDA MOURA"/>
        <s v="VICTOR ZECLHYNSCKI"/>
        <s v="EDUARDA COELHO"/>
        <s v="CARINA RAMOS"/>
        <s v="FABIANA FERREIRA"/>
        <s v="MONICA HELENA DOS SANTOS"/>
        <s v="ARIANE MAJEVSKI"/>
        <s v="KRYSHNA MARTINS"/>
        <s v="NOVA REFRIMANOS BM LTDA"/>
        <s v="MARCIO JOSÉ STANGARLIN"/>
        <s v="ANDRÉ VARGAS DA SILVA"/>
        <s v="ROSANE PINTO DOS SANTOS JORDÃO"/>
        <s v="A BRASTECON REFRIGERACAO LTDA ME"/>
        <s v="ALINI AMARO"/>
        <s v="ANDREIA OLIVEIRA SANTOS"/>
        <s v="RAFAEL DAMIAO DOS ANJOS"/>
        <s v="JULIO ANSELMO"/>
        <s v="ANDRÉ DELVINO"/>
        <s v="AMANDO FIAMONCINI NETO"/>
        <s v="MARIA MOTA"/>
        <s v="ROSANA MORITZ EIKO DEGLIESPOSSTI"/>
        <s v="WESLEY CARLOS DOS SANTOS SILVA"/>
        <s v="EVANI SILVA CARNEIRO SOUSA"/>
        <s v="REJANI MARIA BUCCO"/>
        <s v="GUSTAVO SOUZA"/>
        <s v="CONDOMINIO RESIDENCIAL BALEIA BRANC"/>
        <s v="EVELIN SANTANA"/>
        <s v="JOÃO BOYADJIAN"/>
        <s v="MARIANA RISETE DE SOUZA"/>
        <s v="LORRAYNE THAINARA"/>
        <s v="LUÍS PAULO ALMEIDA"/>
        <s v="ROBERTO MELO"/>
        <s v="CONFORTEC REFRIGERACAO LTDA"/>
        <s v="ARTHUR LEITE"/>
        <s v="MATEUS  F L"/>
        <s v="LUCINEIDE BOMSENHOR"/>
        <s v="ZULEIDE DE JESUS BATISTA BARBOSA"/>
        <s v="VIVI STRULOVICI"/>
        <s v="IAN AMORIM SILVA"/>
        <s v="MARCIA HARADA"/>
        <s v="LÚCIO OLIVEIRA"/>
        <s v="MULTILAR COM DE PECAS E SERVICOS LT"/>
        <s v="ESM CONSERTOS DE ELETRONICOS LTDA"/>
        <s v="GUSTAVO CORLAITE"/>
        <s v="ELIANE JUSEMAR KAUFMANN"/>
        <s v="SAMIRA F P MOLON"/>
        <s v="DANIELE CANAL"/>
        <s v="MARCELO SANTIAGO"/>
        <s v="GISELE TEREZINHA PARANHOS DA CRUZ"/>
        <s v="JENILSON MAURÍCIO AGOSTINHO"/>
        <s v="ICE MACHINE COMERCIO DE PECAS"/>
        <s v="FABRÍCIO SANTOS"/>
        <s v="GABRIELA INOJOSA"/>
        <s v="ALEXANDRE MACENO DE LIMA"/>
        <s v="EUNICE REGINA FERREIRA SILVA"/>
        <s v="ANGELA ABREU"/>
        <s v="BRUNA MARCELA OLIVEIRA"/>
        <s v="LITORAL COMERCIO E SERV"/>
        <s v="AMAZONAS COMERCIO DE"/>
        <s v="MARIA BELEN VARTORELLI"/>
        <s v="LIMEIRA-SERVICE REFRIGERACAO LTDA"/>
        <s v="FREDSON CAMPOS"/>
        <s v="VALDEMIR MONTEIRO MONTEIRO"/>
        <s v="JOSE MICHAEL CARDOSO BRASIL"/>
        <s v="CASA DA COZINHA PECAS E ACESSORIOS"/>
        <s v="LEONARDO OLIVEIRA"/>
        <s v="REFRIEL DISTRIBUICAO DE EQUIP"/>
        <s v="Pinguim PeCas Para Eletrodo LTDA"/>
        <s v="PATRICIA CRISTINA COQUINHAS JESUS"/>
        <n v="0"/>
      </sharedItems>
    </cacheField>
    <cacheField name="Rg" numFmtId="0">
      <sharedItems containsMixedTypes="1" containsNumber="1" containsInteger="1" minValue="0" maxValue="0"/>
    </cacheField>
    <cacheField name="EqVs" numFmtId="0">
      <sharedItems containsSemiMixedTypes="0" containsString="0" containsNumber="1" containsInteger="1" minValue="0" maxValue="963"/>
    </cacheField>
    <cacheField name="Desc. Equipe" numFmtId="0">
      <sharedItems containsMixedTypes="1" containsNumber="1" containsInteger="1" minValue="0" maxValue="0"/>
    </cacheField>
    <cacheField name="LExp" numFmtId="0">
      <sharedItems containsSemiMixedTypes="0" containsString="0" containsNumber="1" containsInteger="1" minValue="0" maxValue="1550"/>
    </cacheField>
    <cacheField name="Material" numFmtId="0">
      <sharedItems containsMixedTypes="1" containsNumber="1" containsInteger="1" minValue="0" maxValue="708056705"/>
    </cacheField>
    <cacheField name="Familia Peças - Detalhada" numFmtId="0">
      <sharedItems/>
    </cacheField>
    <cacheField name="Familia de Peças - RESUMIDA" numFmtId="0">
      <sharedItems count="13">
        <s v="SISTEMA DE COOLING"/>
        <s v="ELETRÔNICOS"/>
        <s v="SISTEMA MOTRIZ"/>
        <s v="CONTROLES"/>
        <s v="VEDAÇÃO"/>
        <s v="MOVIMENTAÇÃO DE FLUIDOS"/>
        <s v="ESTRUTURAL"/>
        <s v="ESPECÍFICOS"/>
        <s v="AMORTECIMENTO"/>
        <s v="ARMAZENAMENTO"/>
        <s v="FIXAÇÃO E CONEXÃO"/>
        <s v="EMBALAGENS E ETIQUETAS"/>
        <s v="SISTEMA QUEIMA"/>
      </sharedItems>
    </cacheField>
    <cacheField name="Qtd. Peças" numFmtId="0">
      <sharedItems containsMixedTypes="1" containsNumber="1" containsInteger="1" minValue="0" maxValue="504000"/>
    </cacheField>
    <cacheField name="Cod Transp" numFmtId="0">
      <sharedItems containsSemiMixedTypes="0" containsString="0" containsNumber="1" containsInteger="1" minValue="0" maxValue="5004466"/>
    </cacheField>
    <cacheField name="Nome do Transportador" numFmtId="0">
      <sharedItems containsMixedTypes="1" containsNumber="1" containsInteger="1" minValue="0" maxValue="0"/>
    </cacheField>
    <cacheField name="  Val.Bruto." numFmtId="4">
      <sharedItems containsSemiMixedTypes="0" containsString="0" containsNumber="1" minValue="0" maxValue="22445.29"/>
    </cacheField>
    <cacheField name="Dt. Criação OI" numFmtId="14">
      <sharedItems containsSemiMixedTypes="0" containsNonDate="0" containsDate="1" containsString="0" minDate="1899-12-30T00:00:00" maxDate="2025-08-0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EUS LOPES" refreshedDate="45901.588032754633" createdVersion="6" refreshedVersion="6" minRefreshableVersion="3" recordCount="3496" xr:uid="{00000000-000A-0000-FFFF-FFFF05000000}">
  <cacheSource type="worksheet">
    <worksheetSource ref="A1:V1" sheet="Base"/>
  </cacheSource>
  <cacheFields count="22">
    <cacheField name="Transporte" numFmtId="0">
      <sharedItems containsMixedTypes="1" containsNumber="1" containsInteger="1" minValue="253707177" maxValue="254066695"/>
    </cacheField>
    <cacheField name="Doc.vendas" numFmtId="0">
      <sharedItems containsSemiMixedTypes="0" containsString="0" containsNumber="1" containsInteger="1" minValue="0" maxValue="64841745"/>
    </cacheField>
    <cacheField name="Tipo Devol" numFmtId="0">
      <sharedItems containsMixedTypes="1" containsNumber="1" containsInteger="1" minValue="0" maxValue="0"/>
    </cacheField>
    <cacheField name="NF origem WHP" numFmtId="0">
      <sharedItems containsSemiMixedTypes="0" containsString="0" containsNumber="1" containsInteger="1" minValue="0" maxValue="10224225"/>
    </cacheField>
    <cacheField name="MtOrd" numFmtId="0">
      <sharedItems containsMixedTypes="1" containsNumber="1" containsInteger="1" minValue="0" maxValue="671"/>
    </cacheField>
    <cacheField name="Denominação" numFmtId="0">
      <sharedItems containsMixedTypes="1" containsNumber="1" containsInteger="1" minValue="0" maxValue="0"/>
    </cacheField>
    <cacheField name="Responsável" numFmtId="0">
      <sharedItems/>
    </cacheField>
    <cacheField name="Status Reversa" numFmtId="14">
      <sharedItems containsDate="1" containsMixedTypes="1" minDate="1899-12-30T00:00:00" maxDate="1899-12-31T00:00:00" count="4">
        <s v="Já faturadas"/>
        <s v="Previsão fat no mês"/>
        <s v="Previsão fat prox.mês"/>
        <d v="1899-12-30T00:00:00"/>
      </sharedItems>
    </cacheField>
    <cacheField name="EmissorOrd" numFmtId="0">
      <sharedItems containsSemiMixedTypes="0" containsString="0" containsNumber="1" containsInteger="1" minValue="0" maxValue="58261645"/>
    </cacheField>
    <cacheField name="Nome do Emissor" numFmtId="0">
      <sharedItems containsMixedTypes="1" containsNumber="1" containsInteger="1" minValue="0" maxValue="0"/>
    </cacheField>
    <cacheField name="Rg" numFmtId="0">
      <sharedItems containsMixedTypes="1" containsNumber="1" containsInteger="1" minValue="0" maxValue="0"/>
    </cacheField>
    <cacheField name="EqVs" numFmtId="0">
      <sharedItems containsSemiMixedTypes="0" containsString="0" containsNumber="1" containsInteger="1" minValue="0" maxValue="963"/>
    </cacheField>
    <cacheField name="Desc. Equipe" numFmtId="0">
      <sharedItems containsMixedTypes="1" containsNumber="1" containsInteger="1" minValue="0" maxValue="0"/>
    </cacheField>
    <cacheField name="LExp" numFmtId="0">
      <sharedItems containsSemiMixedTypes="0" containsString="0" containsNumber="1" containsInteger="1" minValue="0" maxValue="1550"/>
    </cacheField>
    <cacheField name="Material" numFmtId="0">
      <sharedItems containsMixedTypes="1" containsNumber="1" containsInteger="1" minValue="0" maxValue="708056705"/>
    </cacheField>
    <cacheField name="Familia Peças - Detalhada" numFmtId="0">
      <sharedItems/>
    </cacheField>
    <cacheField name="Familia de Peças - RESUMIDA" numFmtId="0">
      <sharedItems count="13">
        <s v="SISTEMA DE COOLING"/>
        <s v="ARMAZENAMENTO"/>
        <s v="ELETRÔNICOS"/>
        <s v="ESTRUTURAL"/>
        <s v="SISTEMA MOTRIZ"/>
        <s v="ESPECÍFICOS"/>
        <s v="MOVIMENTAÇÃO DE FLUIDOS"/>
        <s v="FIXAÇÃO E CONEXÃO"/>
        <s v="CONTROLES"/>
        <s v="SISTEMA QUEIMA"/>
        <s v="VEDAÇÃO"/>
        <s v="AMORTECIMENTO"/>
        <s v="EMBALAGENS E ETIQUETAS"/>
      </sharedItems>
    </cacheField>
    <cacheField name="Qtd. Peças" numFmtId="0">
      <sharedItems containsSemiMixedTypes="0" containsString="0" containsNumber="1" containsInteger="1" minValue="0" maxValue="500"/>
    </cacheField>
    <cacheField name="Cod Transp" numFmtId="0">
      <sharedItems containsSemiMixedTypes="0" containsString="0" containsNumber="1" containsInteger="1" minValue="0" maxValue="5004466"/>
    </cacheField>
    <cacheField name="Nome do Transportador" numFmtId="0">
      <sharedItems containsMixedTypes="1" containsNumber="1" containsInteger="1" minValue="0" maxValue="0"/>
    </cacheField>
    <cacheField name="  Val.Bruto." numFmtId="4">
      <sharedItems containsSemiMixedTypes="0" containsString="0" containsNumber="1" minValue="0" maxValue="17813.78"/>
    </cacheField>
    <cacheField name="Dt. Criação OI" numFmtId="14">
      <sharedItems containsSemiMixedTypes="0" containsNonDate="0" containsDate="1" containsString="0" minDate="1899-12-30T00:00:00" maxDate="2025-09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766">
  <r>
    <n v="254028496"/>
    <n v="64796891"/>
    <s v="REB"/>
    <n v="9171484"/>
    <n v="178"/>
    <s v="PEÇAS -Defeito de fabric./Sem Compressão"/>
    <s v="FUNCIONAL"/>
    <x v="0"/>
    <n v="33661"/>
    <x v="0"/>
    <s v="SP"/>
    <n v="643"/>
    <s v="Elite"/>
    <n v="1350"/>
    <s v="W11647662"/>
    <s v="Compressores Herméticos"/>
    <x v="0"/>
    <n v="28000"/>
    <n v="5004042"/>
    <s v="BRASIL WEB TRANSPORTES E LOGISTICA"/>
    <n v="9292.5400000000009"/>
    <d v="2025-06-24T00:00:00"/>
  </r>
  <r>
    <n v="253879498"/>
    <n v="64643977"/>
    <s v="REB"/>
    <n v="8529017"/>
    <n v="178"/>
    <s v="PEÇAS -Defeito de fabric./Sem Compressão"/>
    <s v="FUNCIONAL"/>
    <x v="1"/>
    <n v="65059"/>
    <x v="1"/>
    <s v="SP"/>
    <n v="643"/>
    <s v="Elite"/>
    <n v="1350"/>
    <s v="W10393823"/>
    <s v="Compressores Herméticos"/>
    <x v="0"/>
    <n v="17000"/>
    <n v="5003482"/>
    <s v="TMA TRANSPORTE LOTACAO E LOGISTICA"/>
    <n v="8955.2900000000009"/>
    <d v="2024-11-19T00:00:00"/>
  </r>
  <r>
    <n v="253961267"/>
    <n v="64737359"/>
    <s v="REB"/>
    <n v="9744875"/>
    <n v="173"/>
    <s v="PEÇAS - Defeito de fabric./Alta Amperage"/>
    <s v="FUNCIONAL"/>
    <x v="1"/>
    <n v="21295"/>
    <x v="2"/>
    <s v="SP"/>
    <n v="648"/>
    <s v="Ultra"/>
    <n v="1350"/>
    <s v="W11647660"/>
    <s v="Compressores Herméticos"/>
    <x v="0"/>
    <n v="28000"/>
    <n v="5004042"/>
    <s v="BRASIL WEB TRANSPORTES E LOGISTICA"/>
    <n v="8725.6200000000008"/>
    <d v="2025-03-24T00:00:00"/>
  </r>
  <r>
    <n v="254038398"/>
    <n v="64787968"/>
    <s v="REB"/>
    <n v="9536883"/>
    <n v="178"/>
    <s v="PEÇAS -Defeito de fabric./Sem Compressão"/>
    <s v="FUNCIONAL"/>
    <x v="0"/>
    <n v="80432"/>
    <x v="3"/>
    <s v="ES"/>
    <n v="713"/>
    <s v="Key Account"/>
    <n v="1350"/>
    <s v="W11677209"/>
    <s v="Compressores Herméticos"/>
    <x v="0"/>
    <n v="33000"/>
    <n v="5004042"/>
    <s v="BRASIL WEB TRANSPORTES E LOGISTICA"/>
    <n v="8695.2999999999993"/>
    <d v="2025-07-22T00:00:00"/>
  </r>
  <r>
    <n v="254038395"/>
    <n v="64814600"/>
    <s v="REB"/>
    <n v="9575456"/>
    <n v="178"/>
    <s v="PEÇAS -Defeito de fabric./Sem Compressão"/>
    <s v="FUNCIONAL"/>
    <x v="0"/>
    <n v="80432"/>
    <x v="3"/>
    <s v="ES"/>
    <n v="713"/>
    <s v="Key Account"/>
    <n v="1350"/>
    <s v="W11677208"/>
    <s v="Compressores Herméticos"/>
    <x v="0"/>
    <n v="29000"/>
    <n v="5004042"/>
    <s v="BRASIL WEB TRANSPORTES E LOGISTICA"/>
    <n v="7886.56"/>
    <d v="2025-07-22T00:00:00"/>
  </r>
  <r>
    <n v="254012600"/>
    <n v="64789388"/>
    <s v="REB"/>
    <n v="9171634"/>
    <n v="178"/>
    <s v="PEÇAS -Defeito de fabric./Sem Compressão"/>
    <s v="FUNCIONAL"/>
    <x v="2"/>
    <n v="68085"/>
    <x v="4"/>
    <s v="SP"/>
    <n v="643"/>
    <s v="Elite"/>
    <n v="1350"/>
    <s v="W10798744"/>
    <s v="Compressores Herméticos"/>
    <x v="0"/>
    <n v="24000"/>
    <n v="5004042"/>
    <s v="BRASIL WEB TRANSPORTES E LOGISTICA"/>
    <n v="7851.54"/>
    <d v="2025-06-10T00:00:00"/>
  </r>
  <r>
    <n v="254012600"/>
    <n v="64789387"/>
    <s v="REB"/>
    <n v="9927844"/>
    <n v="178"/>
    <s v="PEÇAS -Defeito de fabric./Sem Compressão"/>
    <s v="FUNCIONAL"/>
    <x v="2"/>
    <n v="68085"/>
    <x v="4"/>
    <s v="SP"/>
    <n v="643"/>
    <s v="Elite"/>
    <n v="1350"/>
    <s v="W11647662"/>
    <s v="Compressores Herméticos"/>
    <x v="0"/>
    <n v="26000"/>
    <n v="5004042"/>
    <s v="BRASIL WEB TRANSPORTES E LOGISTICA"/>
    <n v="7834.98"/>
    <d v="2025-06-10T00:00:00"/>
  </r>
  <r>
    <s v="Sem TR"/>
    <n v="64593848"/>
    <s v="REB"/>
    <n v="9488107"/>
    <n v="411"/>
    <s v="DEV-Extravio de PEÇAS (Transportadora)"/>
    <s v="TRANSPORTADORA"/>
    <x v="0"/>
    <n v="27397"/>
    <x v="5"/>
    <s v="ES"/>
    <n v="711"/>
    <s v="PEÇAS INATIVO"/>
    <n v="1350"/>
    <s v="W10463578"/>
    <s v="Placas de Interface"/>
    <x v="1"/>
    <n v="32000"/>
    <n v="5004101"/>
    <s v="UNIDOCK'S ASSESSORIA E LOGISTICA DE"/>
    <n v="7800.85"/>
    <d v="2024-08-15T00:00:00"/>
  </r>
  <r>
    <n v="253995155"/>
    <n v="64771560"/>
    <s v="REB"/>
    <n v="9927819"/>
    <n v="178"/>
    <s v="PEÇAS -Defeito de fabric./Sem Compressão"/>
    <s v="FUNCIONAL"/>
    <x v="2"/>
    <n v="33661"/>
    <x v="0"/>
    <s v="SP"/>
    <n v="643"/>
    <s v="Elite"/>
    <n v="1350"/>
    <s v="W11647662"/>
    <s v="Compressores Herméticos"/>
    <x v="0"/>
    <n v="23000"/>
    <n v="5004042"/>
    <s v="BRASIL WEB TRANSPORTES E LOGISTICA"/>
    <n v="6930.95"/>
    <d v="2025-05-16T00:00:00"/>
  </r>
  <r>
    <s v="Sem TR"/>
    <n v="64812292"/>
    <s v="REB"/>
    <n v="8178978"/>
    <n v="178"/>
    <s v="PEÇAS -Defeito de fabric./Sem Compressão"/>
    <s v="FUNCIONAL"/>
    <x v="1"/>
    <n v="47470"/>
    <x v="6"/>
    <s v="SP"/>
    <n v="643"/>
    <s v="Elite"/>
    <n v="1350"/>
    <s v="W10393809"/>
    <s v="Compressores Herméticos"/>
    <x v="0"/>
    <n v="20000"/>
    <n v="5004042"/>
    <s v="BRASIL WEB TRANSPORTES E LOGISTICA"/>
    <n v="6542.95"/>
    <d v="2025-07-17T00:00:00"/>
  </r>
  <r>
    <n v="254033391"/>
    <n v="64807093"/>
    <s v="REB"/>
    <n v="10085670"/>
    <n v="90"/>
    <s v="CLIENTE-não solicitou"/>
    <s v="COMERCIAL"/>
    <x v="1"/>
    <n v="36065"/>
    <x v="7"/>
    <s v="GO"/>
    <n v="643"/>
    <s v="Elite"/>
    <n v="1350"/>
    <s v="W10849470"/>
    <s v="Bombas"/>
    <x v="1"/>
    <n v="197000"/>
    <n v="5002858"/>
    <s v="FAVORITA TRANSPORTES LTDA"/>
    <n v="5975.97"/>
    <d v="2025-07-08T00:00:00"/>
  </r>
  <r>
    <s v="Sem TR"/>
    <n v="64812586"/>
    <s v="REB"/>
    <n v="8436045"/>
    <n v="178"/>
    <s v="PEÇAS -Defeito de fabric./Sem Compressão"/>
    <s v="FUNCIONAL"/>
    <x v="1"/>
    <n v="68085"/>
    <x v="4"/>
    <s v="SP"/>
    <n v="643"/>
    <s v="Elite"/>
    <n v="1350"/>
    <s v="W10799397"/>
    <s v="Compressores Herméticos"/>
    <x v="0"/>
    <n v="18000"/>
    <n v="5004042"/>
    <s v="BRASIL WEB TRANSPORTES E LOGISTICA"/>
    <n v="5888.66"/>
    <d v="2025-07-17T00:00:00"/>
  </r>
  <r>
    <n v="254035381"/>
    <n v="64812365"/>
    <s v="REB"/>
    <n v="10120875"/>
    <n v="90"/>
    <s v="CLIENTE-não solicitou"/>
    <s v="COMERCIAL"/>
    <x v="2"/>
    <n v="40998"/>
    <x v="8"/>
    <s v="GO"/>
    <n v="648"/>
    <s v="Ultra"/>
    <n v="1350"/>
    <s v="W11435392"/>
    <s v="Placas de Controle"/>
    <x v="1"/>
    <n v="20000"/>
    <n v="5002858"/>
    <s v="FAVORITA TRANSPORTES LTDA"/>
    <n v="5806.17"/>
    <d v="2025-07-17T00:00:00"/>
  </r>
  <r>
    <n v="253926988"/>
    <n v="64699380"/>
    <s v="REB"/>
    <n v="9691833"/>
    <n v="104"/>
    <s v="PEÇAS-Código trocado(embalag X conteúdo)"/>
    <s v="LOGÍSTICA"/>
    <x v="1"/>
    <n v="52095"/>
    <x v="9"/>
    <s v="MG"/>
    <n v="713"/>
    <s v="Key Account"/>
    <n v="1350"/>
    <s v="W10399715"/>
    <s v="Motores Ventiladores"/>
    <x v="1"/>
    <n v="150000"/>
    <n v="5004215"/>
    <s v="BRASIL WEB TRANSPORTES E LOGISTICA"/>
    <n v="5662.8"/>
    <d v="2025-01-27T00:00:00"/>
  </r>
  <r>
    <n v="254042255"/>
    <n v="64796013"/>
    <s v="REB"/>
    <n v="10053400"/>
    <n v="173"/>
    <s v="PEÇAS - Defeito de fabric./Alta Amperage"/>
    <s v="FUNCIONAL"/>
    <x v="0"/>
    <n v="29165"/>
    <x v="10"/>
    <s v="PE"/>
    <n v="641"/>
    <s v="CDP Diamante"/>
    <n v="1350"/>
    <s v="W11435392"/>
    <s v="Placas de Controle"/>
    <x v="1"/>
    <n v="18000"/>
    <n v="5004101"/>
    <s v="UNIDOCK'S ASSESSORIA E LOGISTICA DE"/>
    <n v="5620.35"/>
    <d v="2025-06-23T00:00:00"/>
  </r>
  <r>
    <n v="254035432"/>
    <n v="64812649"/>
    <s v="REB"/>
    <n v="9913928"/>
    <n v="177"/>
    <s v="PEÇAS - Defeito de fabric./Ruído"/>
    <s v="FUNCIONAL"/>
    <x v="0"/>
    <n v="80432"/>
    <x v="3"/>
    <s v="ES"/>
    <n v="713"/>
    <s v="Key Account"/>
    <n v="1350"/>
    <s v="W10882241"/>
    <s v="Agitadores"/>
    <x v="2"/>
    <n v="170000"/>
    <n v="5004042"/>
    <s v="BRASIL WEB TRANSPORTES E LOGISTICA"/>
    <n v="5461.4"/>
    <d v="2025-07-17T00:00:00"/>
  </r>
  <r>
    <n v="253981400"/>
    <n v="64757836"/>
    <s v="REB"/>
    <n v="9744875"/>
    <n v="173"/>
    <s v="PEÇAS - Defeito de fabric./Alta Amperage"/>
    <s v="FUNCIONAL"/>
    <x v="2"/>
    <n v="21295"/>
    <x v="2"/>
    <s v="SP"/>
    <n v="648"/>
    <s v="Ultra"/>
    <n v="1350"/>
    <s v="W11647660"/>
    <s v="Compressores Herméticos"/>
    <x v="0"/>
    <n v="17000"/>
    <n v="5004042"/>
    <s v="BRASIL WEB TRANSPORTES E LOGISTICA"/>
    <n v="5297.7"/>
    <d v="2025-04-25T00:00:00"/>
  </r>
  <r>
    <n v="253992742"/>
    <n v="64759217"/>
    <s v="REB"/>
    <n v="9782974"/>
    <n v="90"/>
    <s v="CLIENTE-não solicitou"/>
    <s v="COMERCIAL"/>
    <x v="1"/>
    <n v="42048"/>
    <x v="11"/>
    <s v="MT"/>
    <n v="644"/>
    <s v="Plus"/>
    <n v="1350"/>
    <s v="W11082462"/>
    <s v="Termostatos"/>
    <x v="3"/>
    <n v="110000"/>
    <n v="5002573"/>
    <s v="CARVALIMA TRANSPORTES LTDA"/>
    <n v="5208.08"/>
    <d v="2025-05-12T00:00:00"/>
  </r>
  <r>
    <n v="254038400"/>
    <n v="64814491"/>
    <s v="REB"/>
    <n v="9536883"/>
    <n v="178"/>
    <s v="PEÇAS -Defeito de fabric./Sem Compressão"/>
    <s v="FUNCIONAL"/>
    <x v="0"/>
    <n v="80432"/>
    <x v="3"/>
    <s v="ES"/>
    <n v="713"/>
    <s v="Key Account"/>
    <n v="1350"/>
    <s v="W11677209"/>
    <s v="Compressores Herméticos"/>
    <x v="0"/>
    <n v="19000"/>
    <n v="5004042"/>
    <s v="BRASIL WEB TRANSPORTES E LOGISTICA"/>
    <n v="5006.3900000000003"/>
    <d v="2025-07-22T00:00:00"/>
  </r>
  <r>
    <s v="Sem TR"/>
    <n v="64812724"/>
    <s v="REB"/>
    <n v="9913138"/>
    <n v="168"/>
    <s v="PEÇAS-Def.Fabric.Empenamento/Abaulamento"/>
    <s v="FUNCIONAL"/>
    <x v="1"/>
    <n v="61675"/>
    <x v="12"/>
    <s v="MG"/>
    <n v="643"/>
    <s v="Elite"/>
    <n v="1350"/>
    <s v="W10882241"/>
    <s v="Agitadores"/>
    <x v="2"/>
    <n v="125000"/>
    <n v="5004215"/>
    <s v="BRASIL WEB TRANSPORTES E LOGISTICA"/>
    <n v="4753.8900000000003"/>
    <d v="2025-07-17T00:00:00"/>
  </r>
  <r>
    <n v="253992742"/>
    <n v="64766782"/>
    <s v="REB"/>
    <n v="9729496"/>
    <n v="90"/>
    <s v="CLIENTE-não solicitou"/>
    <s v="COMERCIAL"/>
    <x v="1"/>
    <n v="42048"/>
    <x v="11"/>
    <s v="MT"/>
    <n v="644"/>
    <s v="Plus"/>
    <n v="1350"/>
    <s v="W11082462"/>
    <s v="Termostatos"/>
    <x v="3"/>
    <n v="100000"/>
    <n v="5002573"/>
    <s v="CARVALIMA TRANSPORTES LTDA"/>
    <n v="4734.62"/>
    <d v="2025-05-12T00:00:00"/>
  </r>
  <r>
    <n v="253970770"/>
    <n v="64748688"/>
    <s v="REB"/>
    <n v="9957349"/>
    <n v="173"/>
    <s v="PEÇAS - Defeito de fabric./Alta Amperage"/>
    <s v="FUNCIONAL"/>
    <x v="1"/>
    <n v="29165"/>
    <x v="10"/>
    <s v="PE"/>
    <n v="641"/>
    <s v="CDP Diamante"/>
    <n v="1350"/>
    <s v="W11435392"/>
    <s v="Placas de Controle"/>
    <x v="1"/>
    <n v="15000"/>
    <n v="5004101"/>
    <s v="UNIDOCK'S ASSESSORIA E LOGISTICA DE"/>
    <n v="4669.8900000000003"/>
    <d v="2025-04-09T00:00:00"/>
  </r>
  <r>
    <s v="Sem TR"/>
    <n v="64624285"/>
    <s v="ROB"/>
    <n v="9629249"/>
    <n v="25"/>
    <s v="OC. 80 - EXTRAVIO TOTAL"/>
    <s v="TRANSPORTADORA"/>
    <x v="0"/>
    <n v="58773"/>
    <x v="13"/>
    <s v="RN"/>
    <n v="931"/>
    <s v="Ats Off"/>
    <n v="1350"/>
    <s v="W11516471"/>
    <s v="Compressores Herméticos"/>
    <x v="0"/>
    <n v="12000"/>
    <n v="5004101"/>
    <s v="UNIDOCK'S ASSESSORIA E LOGISTICA DE"/>
    <n v="4400.5600000000004"/>
    <d v="2024-10-08T00:00:00"/>
  </r>
  <r>
    <n v="253992742"/>
    <n v="64756662"/>
    <s v="REB"/>
    <n v="9457251"/>
    <n v="90"/>
    <s v="CLIENTE-não solicitou"/>
    <s v="COMERCIAL"/>
    <x v="1"/>
    <n v="42048"/>
    <x v="11"/>
    <s v="MT"/>
    <n v="644"/>
    <s v="Plus"/>
    <n v="1350"/>
    <s v="W11082462"/>
    <s v="Termostatos"/>
    <x v="3"/>
    <n v="150000"/>
    <n v="5002573"/>
    <s v="CARVALIMA TRANSPORTES LTDA"/>
    <n v="4110.6899999999996"/>
    <d v="2025-05-12T00:00:00"/>
  </r>
  <r>
    <n v="254014810"/>
    <n v="64790046"/>
    <s v="ROB"/>
    <n v="10063884"/>
    <n v="115"/>
    <s v="PEÇAS-Recusa do cliente"/>
    <s v="COMERCIAL"/>
    <x v="2"/>
    <n v="13757"/>
    <x v="14"/>
    <s v="SP"/>
    <n v="713"/>
    <s v="Key Account"/>
    <n v="1350"/>
    <s v="W10553783"/>
    <s v="Motores Ventiladores"/>
    <x v="1"/>
    <n v="50000"/>
    <n v="5004101"/>
    <s v="UNIDOCK'S ASSESSORIA E LOGISTICA DE"/>
    <n v="3931.4"/>
    <d v="2025-06-16T00:00:00"/>
  </r>
  <r>
    <n v="254033436"/>
    <n v="64802865"/>
    <s v="REB"/>
    <n v="10090176"/>
    <n v="509"/>
    <s v="Qtd de peças a Menor dentro do Volume"/>
    <s v="LOGÍSTICA"/>
    <x v="2"/>
    <n v="67948"/>
    <x v="15"/>
    <s v="SC"/>
    <n v="713"/>
    <s v="Key Account"/>
    <n v="1350"/>
    <s v="W10531315"/>
    <s v="Sensores"/>
    <x v="3"/>
    <n v="504000"/>
    <n v="5003024"/>
    <s v="RODOBRAS TRANSPORTES RODOVIARIOS LT"/>
    <n v="3907.61"/>
    <d v="2025-07-01T00:00:00"/>
  </r>
  <r>
    <s v="Sem TR"/>
    <n v="64764298"/>
    <s v="ZDVP"/>
    <n v="10012582"/>
    <n v="509"/>
    <s v="Qtd de peças a Menor dentro do Volume"/>
    <s v="LOGÍSTICA"/>
    <x v="2"/>
    <n v="47026"/>
    <x v="16"/>
    <s v="BA"/>
    <n v="643"/>
    <s v="Elite"/>
    <n v="1350"/>
    <s v="W10531315"/>
    <s v="Sensores"/>
    <x v="3"/>
    <n v="498000"/>
    <n v="5002359"/>
    <s v="EMPRESA BRASILEIRA DE CORREIOS E"/>
    <n v="3871.7"/>
    <d v="2025-05-12T00:00:00"/>
  </r>
  <r>
    <n v="254012575"/>
    <n v="64789440"/>
    <s v="REB"/>
    <n v="10063067"/>
    <n v="178"/>
    <s v="PEÇAS -Defeito de fabric./Sem Compressão"/>
    <s v="FUNCIONAL"/>
    <x v="2"/>
    <n v="63300"/>
    <x v="17"/>
    <s v="MG"/>
    <n v="643"/>
    <s v="Elite"/>
    <n v="1350"/>
    <s v="W11677210"/>
    <s v="Compressores Herméticos"/>
    <x v="0"/>
    <n v="10000"/>
    <n v="5004215"/>
    <s v="BRASIL WEB TRANSPORTES E LOGISTICA"/>
    <n v="3769.86"/>
    <d v="2025-06-10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n v="326008340"/>
    <s v="Anéis de Vedação"/>
    <x v="4"/>
    <n v="200000"/>
    <n v="5004042"/>
    <s v="BRASIL WEB TRANSPORTES E LOGISTICA"/>
    <n v="3719.07"/>
    <d v="2025-05-26T00:00:00"/>
  </r>
  <r>
    <n v="253995213"/>
    <n v="64772560"/>
    <s v="REB"/>
    <n v="9187272"/>
    <n v="178"/>
    <s v="PEÇAS -Defeito de fabric./Sem Compressão"/>
    <s v="FUNCIONAL"/>
    <x v="2"/>
    <n v="65059"/>
    <x v="1"/>
    <s v="SP"/>
    <n v="643"/>
    <s v="Elite"/>
    <n v="1350"/>
    <s v="W10393809"/>
    <s v="Compressores Herméticos"/>
    <x v="0"/>
    <n v="11000"/>
    <n v="5004042"/>
    <s v="BRASIL WEB TRANSPORTES E LOGISTICA"/>
    <n v="3598.62"/>
    <d v="2025-05-16T00:00:00"/>
  </r>
  <r>
    <n v="253953767"/>
    <n v="64731126"/>
    <s v="REB"/>
    <n v="9782896"/>
    <n v="90"/>
    <s v="CLIENTE-não solicitou"/>
    <s v="COMERCIAL"/>
    <x v="1"/>
    <n v="24289"/>
    <x v="17"/>
    <s v="MG"/>
    <n v="643"/>
    <s v="Elite"/>
    <n v="1350"/>
    <s v="W10901034"/>
    <s v="Filtros"/>
    <x v="5"/>
    <n v="55000"/>
    <n v="5004215"/>
    <s v="BRASIL WEB TRANSPORTES E LOGISTICA"/>
    <n v="3565.33"/>
    <d v="2025-03-14T00:00:00"/>
  </r>
  <r>
    <s v="Sem TR"/>
    <n v="64810361"/>
    <s v="REB"/>
    <n v="10109096"/>
    <n v="509"/>
    <s v="Qtd de peças a Menor dentro do Volume"/>
    <s v="LOGÍSTICA"/>
    <x v="1"/>
    <n v="61263"/>
    <x v="18"/>
    <s v="CE"/>
    <n v="648"/>
    <s v="Ultra"/>
    <n v="1350"/>
    <s v="W10754676"/>
    <s v="Suportes"/>
    <x v="6"/>
    <n v="125000"/>
    <n v="5002359"/>
    <s v="EMPRESA BRASILEIRA DE CORREIOS E"/>
    <n v="3521.36"/>
    <d v="2025-07-21T00:00:00"/>
  </r>
  <r>
    <n v="254038385"/>
    <n v="64805783"/>
    <s v="REB"/>
    <n v="9631613"/>
    <n v="173"/>
    <s v="PEÇAS - Defeito de fabric./Alta Amperage"/>
    <s v="FUNCIONAL"/>
    <x v="1"/>
    <n v="67595"/>
    <x v="19"/>
    <s v="DF"/>
    <n v="648"/>
    <s v="Ultra"/>
    <n v="1350"/>
    <s v="W10393823"/>
    <s v="Compressores Herméticos"/>
    <x v="0"/>
    <n v="7000"/>
    <n v="5002858"/>
    <s v="FAVORITA TRANSPORTES LTDA"/>
    <n v="3450.12"/>
    <d v="2025-07-22T00:00:00"/>
  </r>
  <r>
    <n v="254035432"/>
    <n v="64812518"/>
    <s v="REB"/>
    <n v="10066226"/>
    <n v="104"/>
    <s v="PEÇAS-Código trocado(embalag X conteúdo)"/>
    <s v="LOGÍSTICA"/>
    <x v="0"/>
    <n v="80432"/>
    <x v="3"/>
    <s v="ES"/>
    <n v="713"/>
    <s v="Key Account"/>
    <n v="1350"/>
    <s v="W10882241"/>
    <s v="Agitadores"/>
    <x v="2"/>
    <n v="120000"/>
    <n v="5004042"/>
    <s v="BRASIL WEB TRANSPORTES E LOGISTICA"/>
    <n v="3438.82"/>
    <d v="2025-07-17T00:00:00"/>
  </r>
  <r>
    <n v="253856073"/>
    <n v="64628288"/>
    <s v="REB"/>
    <n v="9595784"/>
    <n v="173"/>
    <s v="PEÇAS - Defeito de fabric./Alta Amperage"/>
    <s v="FUNCIONAL"/>
    <x v="1"/>
    <n v="29374"/>
    <x v="20"/>
    <s v="SP"/>
    <n v="643"/>
    <s v="Elite"/>
    <n v="1350"/>
    <s v="W11300698"/>
    <s v="Mecanismos"/>
    <x v="2"/>
    <n v="14000"/>
    <n v="5003254"/>
    <s v="TMA TRANSPORTE LOTACAO E LOGISTICA"/>
    <n v="3323.18"/>
    <d v="2024-10-16T00:00:00"/>
  </r>
  <r>
    <s v="Sem TR"/>
    <n v="64630763"/>
    <s v="REB"/>
    <n v="9558022"/>
    <n v="411"/>
    <s v="DEV-Extravio de PEÇAS (Transportadora)"/>
    <s v="TRANSPORTADORA"/>
    <x v="0"/>
    <n v="64523"/>
    <x v="21"/>
    <s v="PB"/>
    <n v="713"/>
    <s v="Key Account"/>
    <n v="1350"/>
    <s v="W10754676"/>
    <s v="Suportes"/>
    <x v="6"/>
    <n v="100000"/>
    <n v="5004101"/>
    <s v="UNIDOCK'S ASSESSORIA E LOGISTICA DE"/>
    <n v="3295.08"/>
    <d v="2024-10-21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393823"/>
    <s v="Compressores Herméticos"/>
    <x v="0"/>
    <n v="6000"/>
    <n v="5004101"/>
    <s v="UNIDOCK'S ASSESSORIA E LOGISTICA DE"/>
    <n v="3215.45"/>
    <d v="2025-03-13T00:00:00"/>
  </r>
  <r>
    <n v="253961336"/>
    <n v="64737903"/>
    <s v="REB"/>
    <n v="9606221"/>
    <n v="178"/>
    <s v="PEÇAS -Defeito de fabric./Sem Compressão"/>
    <s v="FUNCIONAL"/>
    <x v="1"/>
    <n v="42048"/>
    <x v="11"/>
    <s v="MT"/>
    <n v="644"/>
    <s v="Plus"/>
    <n v="1350"/>
    <s v="W11647660"/>
    <s v="Compressores Herméticos"/>
    <x v="0"/>
    <n v="11000"/>
    <n v="5002573"/>
    <s v="CARVALIMA TRANSPORTES LTDA"/>
    <n v="3213.72"/>
    <d v="2025-03-25T00:00:00"/>
  </r>
  <r>
    <n v="253995212"/>
    <n v="64764893"/>
    <s v="REB"/>
    <n v="9927843"/>
    <n v="178"/>
    <s v="PEÇAS -Defeito de fabric./Sem Compressão"/>
    <s v="FUNCIONAL"/>
    <x v="2"/>
    <n v="65059"/>
    <x v="1"/>
    <s v="SP"/>
    <n v="643"/>
    <s v="Elite"/>
    <n v="1350"/>
    <s v="W10798744"/>
    <s v="Compressores Herméticos"/>
    <x v="0"/>
    <n v="10000"/>
    <n v="5004042"/>
    <s v="BRASIL WEB TRANSPORTES E LOGISTICA"/>
    <n v="3209.73"/>
    <d v="2025-05-16T00:00:00"/>
  </r>
  <r>
    <n v="253995142"/>
    <n v="64771060"/>
    <s v="REB"/>
    <n v="9936354"/>
    <n v="178"/>
    <s v="PEÇAS -Defeito de fabric./Sem Compressão"/>
    <s v="FUNCIONAL"/>
    <x v="2"/>
    <n v="30121"/>
    <x v="23"/>
    <s v="SP"/>
    <n v="648"/>
    <s v="Ultra"/>
    <n v="1350"/>
    <s v="W11647662"/>
    <s v="Compressores Herméticos"/>
    <x v="0"/>
    <n v="10000"/>
    <n v="5004042"/>
    <s v="BRASIL WEB TRANSPORTES E LOGISTICA"/>
    <n v="3118.56"/>
    <d v="2025-05-15T00:00:00"/>
  </r>
  <r>
    <n v="253995096"/>
    <n v="64767015"/>
    <s v="REB"/>
    <n v="9744875"/>
    <n v="178"/>
    <s v="PEÇAS -Defeito de fabric./Sem Compressão"/>
    <s v="FUNCIONAL"/>
    <x v="2"/>
    <n v="21295"/>
    <x v="2"/>
    <s v="SP"/>
    <n v="648"/>
    <s v="Ultra"/>
    <n v="1350"/>
    <s v="W11647660"/>
    <s v="Compressores Herméticos"/>
    <x v="0"/>
    <n v="10000"/>
    <n v="5004042"/>
    <s v="BRASIL WEB TRANSPORTES E LOGISTICA"/>
    <n v="3116.29"/>
    <d v="2025-05-16T00:00:00"/>
  </r>
  <r>
    <n v="254012477"/>
    <n v="64787912"/>
    <s v="REB"/>
    <n v="9744875"/>
    <n v="178"/>
    <s v="PEÇAS -Defeito de fabric./Sem Compressão"/>
    <s v="FUNCIONAL"/>
    <x v="2"/>
    <n v="21295"/>
    <x v="2"/>
    <s v="SP"/>
    <n v="648"/>
    <s v="Ultra"/>
    <n v="1350"/>
    <s v="W11647660"/>
    <s v="Compressores Herméticos"/>
    <x v="0"/>
    <n v="10000"/>
    <n v="5004042"/>
    <s v="BRASIL WEB TRANSPORTES E LOGISTICA"/>
    <n v="3116.29"/>
    <d v="2025-06-10T00:00:00"/>
  </r>
  <r>
    <n v="253998004"/>
    <n v="64774131"/>
    <s v="REB"/>
    <n v="10031099"/>
    <n v="90"/>
    <s v="CLIENTE-não solicitou"/>
    <s v="COMERCIAL"/>
    <x v="2"/>
    <n v="71652"/>
    <x v="24"/>
    <s v="RJ"/>
    <n v="933"/>
    <s v="Top"/>
    <n v="1350"/>
    <s v="W10888353"/>
    <s v="Condensadores"/>
    <x v="0"/>
    <n v="8000"/>
    <n v="5003176"/>
    <s v="J C THEDIN TRANSPORTES LTDA"/>
    <n v="3094.37"/>
    <d v="2025-05-20T00:00:00"/>
  </r>
  <r>
    <n v="254033475"/>
    <n v="64804094"/>
    <s v="REB"/>
    <n v="10066348"/>
    <n v="178"/>
    <s v="PEÇAS -Defeito de fabric./Sem Compressão"/>
    <s v="FUNCIONAL"/>
    <x v="1"/>
    <n v="92053"/>
    <x v="17"/>
    <s v="MG"/>
    <n v="643"/>
    <s v="Elite"/>
    <n v="1350"/>
    <s v="W11647660"/>
    <s v="Compressores Herméticos"/>
    <x v="0"/>
    <n v="11000"/>
    <n v="5004215"/>
    <s v="BRASIL WEB TRANSPORTES E LOGISTICA"/>
    <n v="3090.49"/>
    <d v="2025-07-02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245249"/>
    <s v="Válvulas de Água"/>
    <x v="5"/>
    <n v="60000"/>
    <n v="5004042"/>
    <s v="BRASIL WEB TRANSPORTES E LOGISTICA"/>
    <n v="3082.8"/>
    <d v="2025-05-26T00:00:00"/>
  </r>
  <r>
    <n v="254038405"/>
    <n v="64810238"/>
    <s v="ZDVP"/>
    <n v="10062703"/>
    <n v="173"/>
    <s v="PEÇAS - Defeito de fabric./Alta Amperage"/>
    <s v="FUNCIONAL"/>
    <x v="0"/>
    <n v="14474"/>
    <x v="25"/>
    <s v="RN"/>
    <n v="648"/>
    <s v="Ultra"/>
    <n v="1350"/>
    <s v="W10897149"/>
    <s v="Rolamentos"/>
    <x v="2"/>
    <n v="345000"/>
    <n v="5004101"/>
    <s v="UNIDOCK'S ASSESSORIA E LOGISTICA DE"/>
    <n v="3057.1"/>
    <d v="2025-07-22T00:00:00"/>
  </r>
  <r>
    <s v="Sem TR"/>
    <n v="64758379"/>
    <s v="REB"/>
    <n v="9958155"/>
    <n v="509"/>
    <s v="Qtd de peças a Menor dentro do Volume"/>
    <s v="LOGÍSTICA"/>
    <x v="2"/>
    <n v="23101"/>
    <x v="14"/>
    <s v="PB"/>
    <n v="713"/>
    <s v="Key Account"/>
    <n v="1350"/>
    <s v="W10310999"/>
    <s v="Motores Ventiladores"/>
    <x v="1"/>
    <n v="75000"/>
    <n v="5002359"/>
    <s v="EMPRESA BRASILEIRA DE CORREIOS E"/>
    <n v="3034.35"/>
    <d v="2025-04-25T00:00:00"/>
  </r>
  <r>
    <s v="Sem TR"/>
    <n v="64756976"/>
    <s v="ZDVP"/>
    <n v="9746010"/>
    <n v="178"/>
    <s v="PEÇAS -Defeito de fabric./Sem Compressão"/>
    <s v="FUNCIONAL"/>
    <x v="1"/>
    <n v="63300"/>
    <x v="17"/>
    <s v="MG"/>
    <n v="643"/>
    <s v="Elite"/>
    <n v="1350"/>
    <s v="W10393822"/>
    <s v="Compressores Herméticos"/>
    <x v="0"/>
    <n v="6000"/>
    <n v="5004215"/>
    <s v="BRASIL WEB TRANSPORTES E LOGISTICA"/>
    <n v="3024.71"/>
    <d v="2025-05-05T00:00:00"/>
  </r>
  <r>
    <n v="253989815"/>
    <n v="64761323"/>
    <s v="REB"/>
    <n v="9853799"/>
    <n v="173"/>
    <s v="PEÇAS - Defeito de fabric./Alta Amperage"/>
    <s v="FUNCIONAL"/>
    <x v="2"/>
    <n v="30990"/>
    <x v="26"/>
    <s v="ES"/>
    <n v="713"/>
    <s v="Key Account"/>
    <n v="1350"/>
    <s v="W11300675"/>
    <s v="Mecanismos"/>
    <x v="2"/>
    <n v="33000"/>
    <n v="5004042"/>
    <s v="BRASIL WEB TRANSPORTES E LOGISTICA"/>
    <n v="2945.25"/>
    <d v="2025-05-07T00:00:00"/>
  </r>
  <r>
    <n v="253995142"/>
    <n v="64770541"/>
    <s v="REB"/>
    <n v="9885248"/>
    <n v="178"/>
    <s v="PEÇAS -Defeito de fabric./Sem Compressão"/>
    <s v="FUNCIONAL"/>
    <x v="2"/>
    <n v="30121"/>
    <x v="23"/>
    <s v="SP"/>
    <n v="648"/>
    <s v="Ultra"/>
    <n v="1350"/>
    <s v="W11741179"/>
    <s v="Outros"/>
    <x v="7"/>
    <n v="8000"/>
    <n v="5004042"/>
    <s v="BRASIL WEB TRANSPORTES E LOGISTICA"/>
    <n v="2933.87"/>
    <d v="2025-05-15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1082462"/>
    <s v="Termostatos"/>
    <x v="3"/>
    <n v="50000"/>
    <n v="5004042"/>
    <s v="BRASIL WEB TRANSPORTES E LOGISTICA"/>
    <n v="2901.79"/>
    <d v="2025-05-26T00:00:00"/>
  </r>
  <r>
    <n v="254033475"/>
    <n v="64800638"/>
    <s v="REB"/>
    <n v="9689731"/>
    <n v="178"/>
    <s v="PEÇAS -Defeito de fabric./Sem Compressão"/>
    <s v="FUNCIONAL"/>
    <x v="1"/>
    <n v="92053"/>
    <x v="17"/>
    <s v="MG"/>
    <n v="643"/>
    <s v="Elite"/>
    <n v="1350"/>
    <s v="W10393822"/>
    <s v="Compressores Herméticos"/>
    <x v="0"/>
    <n v="6000"/>
    <n v="5004215"/>
    <s v="BRASIL WEB TRANSPORTES E LOGISTICA"/>
    <n v="2893"/>
    <d v="2025-07-01T00:00:00"/>
  </r>
  <r>
    <s v="Sem TR"/>
    <n v="64815137"/>
    <s v="REB"/>
    <n v="10144844"/>
    <n v="168"/>
    <s v="PEÇAS-Def.Fabric.Empenamento/Abaulamento"/>
    <s v="FUNCIONAL"/>
    <x v="1"/>
    <n v="80432"/>
    <x v="3"/>
    <s v="ES"/>
    <n v="713"/>
    <s v="Key Account"/>
    <n v="1350"/>
    <s v="W10882241"/>
    <s v="Agitadores"/>
    <x v="2"/>
    <n v="100000"/>
    <n v="5004042"/>
    <s v="BRASIL WEB TRANSPORTES E LOGISTICA"/>
    <n v="2866.81"/>
    <d v="2025-07-25T00:00:00"/>
  </r>
  <r>
    <n v="253861433"/>
    <n v="64633946"/>
    <s v="ROB"/>
    <n v="9673609"/>
    <n v="115"/>
    <s v="PEÇAS-Recusa do cliente"/>
    <s v="COMERCIAL"/>
    <x v="1"/>
    <n v="37259"/>
    <x v="27"/>
    <s v="SP"/>
    <n v="934"/>
    <s v="CDP Ouro"/>
    <n v="1350"/>
    <s v="W10393823"/>
    <s v="Compressores Herméticos"/>
    <x v="0"/>
    <n v="5000"/>
    <n v="5004101"/>
    <s v="UNIDOCK'S ASSESSORIA E LOGISTICA DE"/>
    <n v="2865.45"/>
    <d v="2024-10-28T00:00:00"/>
  </r>
  <r>
    <n v="253995205"/>
    <n v="64770803"/>
    <s v="REB"/>
    <n v="9691689"/>
    <n v="178"/>
    <s v="PEÇAS -Defeito de fabric./Sem Compressão"/>
    <s v="FUNCIONAL"/>
    <x v="1"/>
    <n v="63300"/>
    <x v="17"/>
    <s v="MG"/>
    <n v="643"/>
    <s v="Elite"/>
    <n v="1350"/>
    <s v="W10393822"/>
    <s v="Compressores Herméticos"/>
    <x v="0"/>
    <n v="6000"/>
    <n v="5004215"/>
    <s v="BRASIL WEB TRANSPORTES E LOGISTICA"/>
    <n v="2862.09"/>
    <d v="2025-05-15T00:00:00"/>
  </r>
  <r>
    <s v="Sem TR"/>
    <n v="64763940"/>
    <s v="ZDVP"/>
    <n v="9746009"/>
    <n v="178"/>
    <s v="PEÇAS -Defeito de fabric./Sem Compressão"/>
    <s v="FUNCIONAL"/>
    <x v="1"/>
    <n v="63300"/>
    <x v="17"/>
    <s v="MG"/>
    <n v="643"/>
    <s v="Elite"/>
    <n v="1350"/>
    <s v="W11677210"/>
    <s v="Compressores Herméticos"/>
    <x v="0"/>
    <n v="7000"/>
    <n v="5004215"/>
    <s v="BRASIL WEB TRANSPORTES E LOGISTICA"/>
    <n v="2838.6"/>
    <d v="2025-05-05T00:00:00"/>
  </r>
  <r>
    <n v="254018384"/>
    <n v="64789341"/>
    <s v="REB"/>
    <n v="10067158"/>
    <n v="177"/>
    <s v="PEÇAS - Defeito de fabric./Ruído"/>
    <s v="FUNCIONAL"/>
    <x v="1"/>
    <n v="80432"/>
    <x v="3"/>
    <s v="ES"/>
    <n v="713"/>
    <s v="Key Account"/>
    <n v="1350"/>
    <s v="W11299803"/>
    <s v="Mecanismos"/>
    <x v="2"/>
    <n v="31000"/>
    <n v="5004042"/>
    <s v="BRASIL WEB TRANSPORTES E LOGISTICA"/>
    <n v="2797.75"/>
    <d v="2025-06-18T00:00:00"/>
  </r>
  <r>
    <n v="253929859"/>
    <n v="64706120"/>
    <s v="ROB"/>
    <n v="9854031"/>
    <n v="182"/>
    <s v="PEÇAS - Extravio - Volume a menor"/>
    <s v="TRANSPORTADORA"/>
    <x v="1"/>
    <n v="2809"/>
    <x v="28"/>
    <s v="RJ"/>
    <n v="350"/>
    <s v="Ats On"/>
    <n v="1350"/>
    <s v="W11516472"/>
    <s v="Compressores Herméticos"/>
    <x v="0"/>
    <n v="7000"/>
    <n v="5003176"/>
    <s v="J C THEDIN TRANSPORTES LTDA"/>
    <n v="2689.86"/>
    <d v="2025-02-04T00:00:00"/>
  </r>
  <r>
    <n v="253994116"/>
    <n v="64772015"/>
    <s v="ROB"/>
    <n v="9995353"/>
    <n v="90"/>
    <s v="CLIENTE-não solicitou"/>
    <s v="COMERCIAL"/>
    <x v="2"/>
    <n v="85813"/>
    <x v="29"/>
    <s v="SP"/>
    <n v="648"/>
    <s v="Ultra"/>
    <n v="1350"/>
    <n v="81005001"/>
    <s v="Outros"/>
    <x v="7"/>
    <n v="4000"/>
    <n v="5004101"/>
    <s v="UNIDOCK'S ASSESSORIA E LOGISTICA DE"/>
    <n v="2636"/>
    <d v="2025-05-16T00:00:00"/>
  </r>
  <r>
    <n v="253981512"/>
    <n v="64758152"/>
    <s v="REB"/>
    <n v="9782713"/>
    <n v="168"/>
    <s v="PEÇAS-Def.Fabric.Empenamento/Abaulamento"/>
    <s v="FUNCIONAL"/>
    <x v="1"/>
    <n v="45486"/>
    <x v="30"/>
    <s v="MG"/>
    <n v="643"/>
    <s v="Elite"/>
    <n v="1350"/>
    <s v="W10882241"/>
    <s v="Agitadores"/>
    <x v="2"/>
    <n v="69000"/>
    <n v="5004215"/>
    <s v="BRASIL WEB TRANSPORTES E LOGISTICA"/>
    <n v="2624.14"/>
    <d v="2025-04-25T00:00:00"/>
  </r>
  <r>
    <n v="254004035"/>
    <n v="64778004"/>
    <s v="REB"/>
    <n v="9727749"/>
    <n v="178"/>
    <s v="PEÇAS -Defeito de fabric./Sem Compressão"/>
    <s v="FUNCIONAL"/>
    <x v="1"/>
    <n v="63300"/>
    <x v="17"/>
    <s v="MG"/>
    <n v="643"/>
    <s v="Elite"/>
    <n v="1350"/>
    <s v="W11677210"/>
    <s v="Compressores Herméticos"/>
    <x v="0"/>
    <n v="7000"/>
    <n v="5004215"/>
    <s v="BRASIL WEB TRANSPORTES E LOGISTICA"/>
    <n v="2622.43"/>
    <d v="2025-05-26T00:00:00"/>
  </r>
  <r>
    <n v="253918602"/>
    <n v="64691705"/>
    <s v="REB"/>
    <n v="9729568"/>
    <n v="104"/>
    <s v="PEÇAS-Código trocado(embalag X conteúdo)"/>
    <s v="LOGÍSTICA"/>
    <x v="1"/>
    <n v="60342"/>
    <x v="31"/>
    <s v="BA"/>
    <n v="648"/>
    <s v="Ultra"/>
    <n v="1350"/>
    <s v="W10791633"/>
    <s v="Retentores"/>
    <x v="4"/>
    <n v="300000"/>
    <n v="5004101"/>
    <s v="UNIDOCK'S ASSESSORIA E LOGISTICA DE"/>
    <n v="2619.48"/>
    <d v="2025-01-15T00:00:00"/>
  </r>
  <r>
    <s v="Sem TR"/>
    <n v="64814801"/>
    <s v="REB"/>
    <n v="9967581"/>
    <n v="178"/>
    <s v="PEÇAS -Defeito de fabric./Sem Compressão"/>
    <s v="FUNCIONAL"/>
    <x v="1"/>
    <n v="21295"/>
    <x v="2"/>
    <s v="SP"/>
    <n v="648"/>
    <s v="Ultra"/>
    <n v="1350"/>
    <s v="W11647660"/>
    <s v="Compressores Herméticos"/>
    <x v="0"/>
    <n v="9000"/>
    <n v="5004042"/>
    <s v="BRASIL WEB TRANSPORTES E LOGISTICA"/>
    <n v="2473.0100000000002"/>
    <d v="2025-07-22T00:00:00"/>
  </r>
  <r>
    <s v="Sem TR"/>
    <n v="64689122"/>
    <s v="REB"/>
    <n v="9729442"/>
    <n v="671"/>
    <s v="DEV-ENVIADO PARA GESTÃO DE CONSEQUENCIA"/>
    <s v="TRANSPORTADORA"/>
    <x v="1"/>
    <n v="29164"/>
    <x v="32"/>
    <s v="BA"/>
    <n v="648"/>
    <s v="Ultra"/>
    <n v="1350"/>
    <s v="W10791633"/>
    <s v="Retentores"/>
    <x v="4"/>
    <n v="300000"/>
    <n v="5004101"/>
    <s v="UNIDOCK'S ASSESSORIA E LOGISTICA DE"/>
    <n v="2458.52"/>
    <d v="2025-01-10T00:00:00"/>
  </r>
  <r>
    <n v="253998004"/>
    <n v="64774131"/>
    <s v="REB"/>
    <n v="10031099"/>
    <n v="90"/>
    <s v="CLIENTE-não solicitou"/>
    <s v="COMERCIAL"/>
    <x v="2"/>
    <n v="71652"/>
    <x v="24"/>
    <s v="RJ"/>
    <n v="933"/>
    <s v="Top"/>
    <n v="1350"/>
    <s v="W10889715"/>
    <s v="Painéis de Controle"/>
    <x v="6"/>
    <n v="3000"/>
    <n v="5003176"/>
    <s v="J C THEDIN TRANSPORTES LTDA"/>
    <n v="2437.85"/>
    <d v="2025-05-20T00:00:00"/>
  </r>
  <r>
    <n v="254012587"/>
    <n v="64789579"/>
    <s v="REB"/>
    <n v="8647133"/>
    <n v="178"/>
    <s v="PEÇAS -Defeito de fabric./Sem Compressão"/>
    <s v="FUNCIONAL"/>
    <x v="2"/>
    <n v="65059"/>
    <x v="1"/>
    <s v="SP"/>
    <n v="643"/>
    <s v="Elite"/>
    <n v="1350"/>
    <s v="W11133678"/>
    <s v="Compressores Herméticos"/>
    <x v="0"/>
    <n v="5000"/>
    <n v="5004042"/>
    <s v="BRASIL WEB TRANSPORTES E LOGISTICA"/>
    <n v="2435.62"/>
    <d v="2025-06-10T00:00:00"/>
  </r>
  <r>
    <s v="Sem TR"/>
    <n v="64796873"/>
    <s v="ZRDI"/>
    <n v="10095922"/>
    <s v="D10"/>
    <s v="DEV D2C - Comprou modelo errado"/>
    <s v="COMERCIAL"/>
    <x v="2"/>
    <n v="4594164"/>
    <x v="33"/>
    <s v="RJ"/>
    <n v="478"/>
    <s v="Corporativo"/>
    <n v="1352"/>
    <s v="W10374126"/>
    <s v="Placas de Controle"/>
    <x v="1"/>
    <n v="1000"/>
    <n v="5002359"/>
    <s v="EMPRESA BRASILEIRA DE CORREIOS E"/>
    <n v="2414.9699999999998"/>
    <d v="2025-06-26T00:00:00"/>
  </r>
  <r>
    <n v="253992747"/>
    <n v="64767616"/>
    <s v="REB"/>
    <n v="9618153"/>
    <n v="168"/>
    <s v="PEÇAS-Def.Fabric.Empenamento/Abaulamento"/>
    <s v="FUNCIONAL"/>
    <x v="2"/>
    <n v="51613"/>
    <x v="34"/>
    <s v="MG"/>
    <n v="643"/>
    <s v="Elite"/>
    <n v="1350"/>
    <s v="W10882241"/>
    <s v="Agitadores"/>
    <x v="2"/>
    <n v="63000"/>
    <n v="5004215"/>
    <s v="BRASIL WEB TRANSPORTES E LOGISTICA"/>
    <n v="2395.96"/>
    <d v="2025-05-12T00:00:00"/>
  </r>
  <r>
    <n v="254042259"/>
    <n v="64793528"/>
    <s v="REB"/>
    <n v="9782807"/>
    <n v="168"/>
    <s v="PEÇAS-Def.Fabric.Empenamento/Abaulamento"/>
    <s v="FUNCIONAL"/>
    <x v="0"/>
    <n v="61847"/>
    <x v="35"/>
    <s v="MG"/>
    <n v="643"/>
    <s v="Elite"/>
    <n v="1350"/>
    <s v="W10882241"/>
    <s v="Agitadores"/>
    <x v="2"/>
    <n v="62000"/>
    <n v="5004215"/>
    <s v="BRASIL WEB TRANSPORTES E LOGISTICA"/>
    <n v="2357.9299999999998"/>
    <d v="2025-06-23T00:00:00"/>
  </r>
  <r>
    <s v="Sem TR"/>
    <n v="64811033"/>
    <s v="REB"/>
    <n v="9683873"/>
    <n v="178"/>
    <s v="PEÇAS -Defeito de fabric./Sem Compressão"/>
    <s v="FUNCIONAL"/>
    <x v="1"/>
    <n v="84681"/>
    <x v="17"/>
    <s v="BA"/>
    <n v="643"/>
    <s v="Elite"/>
    <n v="1350"/>
    <s v="W10393823"/>
    <s v="Compressores Herméticos"/>
    <x v="0"/>
    <n v="5000"/>
    <n v="5004101"/>
    <s v="UNIDOCK'S ASSESSORIA E LOGISTICA DE"/>
    <n v="2346.3000000000002"/>
    <d v="2025-07-22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477178"/>
    <s v="Capas"/>
    <x v="6"/>
    <n v="100000"/>
    <n v="5004042"/>
    <s v="BRASIL WEB TRANSPORTES E LOGISTICA"/>
    <n v="2323.41"/>
    <d v="2025-05-26T00:00:00"/>
  </r>
  <r>
    <n v="253995142"/>
    <n v="64770541"/>
    <s v="REB"/>
    <n v="9885248"/>
    <n v="178"/>
    <s v="PEÇAS -Defeito de fabric./Sem Compressão"/>
    <s v="FUNCIONAL"/>
    <x v="2"/>
    <n v="30121"/>
    <x v="23"/>
    <s v="SP"/>
    <n v="648"/>
    <s v="Ultra"/>
    <n v="1350"/>
    <s v="W11677211"/>
    <s v="Compressores Herméticos"/>
    <x v="0"/>
    <n v="5000"/>
    <n v="5004042"/>
    <s v="BRASIL WEB TRANSPORTES E LOGISTICA"/>
    <n v="2291.17"/>
    <d v="2025-05-15T00:00:00"/>
  </r>
  <r>
    <n v="254004039"/>
    <n v="64778186"/>
    <s v="REB"/>
    <n v="9442721"/>
    <n v="178"/>
    <s v="PEÇAS -Defeito de fabric./Sem Compressão"/>
    <s v="FUNCIONAL"/>
    <x v="2"/>
    <n v="67948"/>
    <x v="15"/>
    <s v="SC"/>
    <n v="713"/>
    <s v="Key Account"/>
    <n v="1350"/>
    <s v="W11647662"/>
    <s v="Compressores Herméticos"/>
    <x v="0"/>
    <n v="8000"/>
    <n v="5003024"/>
    <s v="RODOBRAS TRANSPORTES RODOVIARIOS LT"/>
    <n v="2287.2800000000002"/>
    <d v="2025-05-26T00:00:00"/>
  </r>
  <r>
    <s v="Sem TR"/>
    <n v="64725713"/>
    <s v="ROB"/>
    <n v="9874440"/>
    <n v="25"/>
    <s v="OC. 80 - EXTRAVIO TOTAL"/>
    <s v="TRANSPORTADORA"/>
    <x v="0"/>
    <n v="41896"/>
    <x v="36"/>
    <s v="MG"/>
    <n v="350"/>
    <s v="Ats On"/>
    <n v="1350"/>
    <s v="W10798744"/>
    <s v="Compressores Herméticos"/>
    <x v="0"/>
    <n v="7000"/>
    <n v="5004101"/>
    <s v="UNIDOCK'S ASSESSORIA E LOGISTICA DE"/>
    <n v="2285.2600000000002"/>
    <d v="2025-03-07T00:00:00"/>
  </r>
  <r>
    <n v="254018242"/>
    <n v="64792058"/>
    <s v="REB"/>
    <n v="9926865"/>
    <n v="173"/>
    <s v="PEÇAS - Defeito de fabric./Alta Amperage"/>
    <s v="FUNCIONAL"/>
    <x v="1"/>
    <n v="27770"/>
    <x v="37"/>
    <s v="AL"/>
    <n v="641"/>
    <s v="CDP Diamante"/>
    <n v="1350"/>
    <s v="W11482941"/>
    <s v="Placas de Controle"/>
    <x v="1"/>
    <n v="8000"/>
    <n v="5004101"/>
    <s v="UNIDOCK'S ASSESSORIA E LOGISTICA DE"/>
    <n v="2282.36"/>
    <d v="2025-06-17T00:00:00"/>
  </r>
  <r>
    <n v="253995142"/>
    <n v="64771060"/>
    <s v="REB"/>
    <n v="9936354"/>
    <n v="178"/>
    <s v="PEÇAS -Defeito de fabric./Sem Compressão"/>
    <s v="FUNCIONAL"/>
    <x v="2"/>
    <n v="30121"/>
    <x v="23"/>
    <s v="SP"/>
    <n v="648"/>
    <s v="Ultra"/>
    <n v="1350"/>
    <s v="W10393823"/>
    <s v="Compressores Herméticos"/>
    <x v="0"/>
    <n v="4000"/>
    <n v="5004042"/>
    <s v="BRASIL WEB TRANSPORTES E LOGISTICA"/>
    <n v="2278.6"/>
    <d v="2025-05-15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498695"/>
    <s v="Capas"/>
    <x v="6"/>
    <n v="50000"/>
    <n v="5004042"/>
    <s v="BRASIL WEB TRANSPORTES E LOGISTICA"/>
    <n v="2263.0500000000002"/>
    <d v="2025-05-26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1369860"/>
    <s v="Motores Ventiladores"/>
    <x v="1"/>
    <n v="50000"/>
    <n v="5004042"/>
    <s v="BRASIL WEB TRANSPORTES E LOGISTICA"/>
    <n v="2244.5500000000002"/>
    <d v="2025-05-26T00:00:00"/>
  </r>
  <r>
    <n v="254038367"/>
    <n v="64814892"/>
    <s v="REB"/>
    <n v="10114326"/>
    <n v="168"/>
    <s v="PEÇAS-Def.Fabric.Empenamento/Abaulamento"/>
    <s v="FUNCIONAL"/>
    <x v="0"/>
    <n v="30990"/>
    <x v="26"/>
    <s v="ES"/>
    <n v="713"/>
    <s v="Key Account"/>
    <n v="1350"/>
    <s v="W10882241"/>
    <s v="Agitadores"/>
    <x v="2"/>
    <n v="74000"/>
    <n v="5004042"/>
    <s v="BRASIL WEB TRANSPORTES E LOGISTICA"/>
    <n v="2236.84"/>
    <d v="2025-07-22T00:00:00"/>
  </r>
  <r>
    <n v="254004073"/>
    <n v="64777908"/>
    <s v="REB"/>
    <n v="9627698"/>
    <n v="176"/>
    <s v="PEÇAS - Defeito de fabric./Interrompido"/>
    <s v="FUNCIONAL"/>
    <x v="2"/>
    <n v="81988"/>
    <x v="38"/>
    <s v="MG"/>
    <n v="648"/>
    <s v="Ultra"/>
    <n v="1350"/>
    <s v="W10393823"/>
    <s v="Compressores Herméticos"/>
    <x v="0"/>
    <n v="4000"/>
    <n v="5004215"/>
    <s v="BRASIL WEB TRANSPORTES E LOGISTICA"/>
    <n v="2204.9699999999998"/>
    <d v="2025-05-26T00:00:00"/>
  </r>
  <r>
    <n v="253988835"/>
    <n v="64763975"/>
    <s v="REB"/>
    <n v="9404770"/>
    <n v="173"/>
    <s v="PEÇAS - Defeito de fabric./Alta Amperage"/>
    <s v="FUNCIONAL"/>
    <x v="1"/>
    <n v="21647"/>
    <x v="39"/>
    <s v="PR"/>
    <n v="641"/>
    <s v="CDP Diamante"/>
    <n v="1350"/>
    <s v="W10849469"/>
    <s v="Bombas"/>
    <x v="1"/>
    <n v="80000"/>
    <n v="5003024"/>
    <s v="RODOBRAS TRANSPORTES RODOVIARIOS LT"/>
    <n v="2198.81"/>
    <d v="2025-05-05T00:00:00"/>
  </r>
  <r>
    <n v="254007627"/>
    <n v="64783709"/>
    <s v="ZDVP"/>
    <n v="10017791"/>
    <n v="178"/>
    <s v="PEÇAS -Defeito de fabric./Sem Compressão"/>
    <s v="FUNCIONAL"/>
    <x v="2"/>
    <n v="63300"/>
    <x v="17"/>
    <s v="MG"/>
    <n v="643"/>
    <s v="Elite"/>
    <n v="1350"/>
    <s v="W11647660"/>
    <s v="Compressores Herméticos"/>
    <x v="0"/>
    <n v="7000"/>
    <n v="5004215"/>
    <s v="BRASIL WEB TRANSPORTES E LOGISTICA"/>
    <n v="2170.35"/>
    <d v="2025-06-02T00:00:00"/>
  </r>
  <r>
    <n v="253872360"/>
    <n v="64640692"/>
    <s v="REB"/>
    <n v="9571503"/>
    <n v="176"/>
    <s v="PEÇAS - Defeito de fabric./Interrompido"/>
    <s v="FUNCIONAL"/>
    <x v="1"/>
    <n v="13757"/>
    <x v="14"/>
    <s v="SP"/>
    <n v="713"/>
    <s v="Key Account"/>
    <n v="1350"/>
    <s v="W10882241"/>
    <s v="Agitadores"/>
    <x v="2"/>
    <n v="60000"/>
    <n v="5003254"/>
    <s v="TMA TRANSPORTE LOTACAO E LOGISTICA"/>
    <n v="2164.1799999999998"/>
    <d v="2024-11-11T00:00:00"/>
  </r>
  <r>
    <n v="254038377"/>
    <n v="64809233"/>
    <s v="REB"/>
    <n v="9747374"/>
    <n v="178"/>
    <s v="PEÇAS -Defeito de fabric./Sem Compressão"/>
    <s v="FUNCIONAL"/>
    <x v="0"/>
    <n v="50822"/>
    <x v="40"/>
    <s v="AL"/>
    <n v="644"/>
    <s v="Plus"/>
    <n v="1350"/>
    <s v="W11300816"/>
    <s v="Mecanismos"/>
    <x v="2"/>
    <n v="20000"/>
    <n v="5004101"/>
    <s v="UNIDOCK'S ASSESSORIA E LOGISTICA DE"/>
    <n v="2154.8000000000002"/>
    <d v="2025-07-22T00:00:00"/>
  </r>
  <r>
    <s v="Sem TR"/>
    <n v="64796337"/>
    <s v="REB"/>
    <n v="10064972"/>
    <n v="509"/>
    <s v="Qtd de peças a Menor dentro do Volume"/>
    <s v="LOGÍSTICA"/>
    <x v="2"/>
    <n v="72786"/>
    <x v="41"/>
    <s v="SC"/>
    <n v="643"/>
    <s v="Elite"/>
    <n v="1350"/>
    <s v="W11213321"/>
    <s v="Painéis de Controle"/>
    <x v="6"/>
    <n v="6000"/>
    <n v="5002359"/>
    <s v="EMPRESA BRASILEIRA DE CORREIOS E"/>
    <n v="2150.34"/>
    <d v="2025-07-01T00:00:00"/>
  </r>
  <r>
    <s v="Sem TR"/>
    <n v="64796337"/>
    <s v="REB"/>
    <n v="10064972"/>
    <n v="509"/>
    <s v="Qtd de peças a Menor dentro do Volume"/>
    <s v="LOGÍSTICA"/>
    <x v="2"/>
    <n v="72786"/>
    <x v="41"/>
    <s v="SC"/>
    <n v="643"/>
    <s v="Elite"/>
    <n v="1350"/>
    <s v="W11213321"/>
    <s v="Painéis de Controle"/>
    <x v="6"/>
    <n v="6000"/>
    <n v="5002359"/>
    <s v="EMPRESA BRASILEIRA DE CORREIOS E"/>
    <n v="2150.34"/>
    <d v="2025-07-01T00:00:00"/>
  </r>
  <r>
    <n v="253988797"/>
    <n v="64764093"/>
    <s v="REB"/>
    <n v="9994829"/>
    <n v="173"/>
    <s v="PEÇAS - Defeito de fabric./Alta Amperage"/>
    <s v="FUNCIONAL"/>
    <x v="2"/>
    <n v="9452"/>
    <x v="42"/>
    <s v="SP"/>
    <n v="931"/>
    <s v="Ats Off"/>
    <n v="1350"/>
    <s v="W11641936"/>
    <s v="Portas"/>
    <x v="6"/>
    <n v="1000"/>
    <n v="5004042"/>
    <s v="BRASIL WEB TRANSPORTES E LOGISTICA"/>
    <n v="2138.36"/>
    <d v="2025-05-05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0619463"/>
    <s v="Pressostatos"/>
    <x v="3"/>
    <n v="50000"/>
    <n v="5004042"/>
    <s v="BRASIL WEB TRANSPORTES E LOGISTICA"/>
    <n v="2036.41"/>
    <d v="2025-05-26T00:00:00"/>
  </r>
  <r>
    <n v="253948564"/>
    <n v="64727139"/>
    <s v="REB"/>
    <n v="9690679"/>
    <n v="178"/>
    <s v="PEÇAS -Defeito de fabric./Sem Compressão"/>
    <s v="FUNCIONAL"/>
    <x v="1"/>
    <n v="65059"/>
    <x v="1"/>
    <s v="SP"/>
    <n v="643"/>
    <s v="Elite"/>
    <n v="1350"/>
    <s v="W10393823"/>
    <s v="Compressores Herméticos"/>
    <x v="0"/>
    <n v="4000"/>
    <n v="5004042"/>
    <s v="BRASIL WEB TRANSPORTES E LOGISTICA"/>
    <n v="2029.85"/>
    <d v="2025-03-07T00:00:00"/>
  </r>
  <r>
    <n v="253948508"/>
    <n v="64721252"/>
    <s v="REB"/>
    <n v="9690982"/>
    <n v="178"/>
    <s v="PEÇAS -Defeito de fabric./Sem Compressão"/>
    <s v="FUNCIONAL"/>
    <x v="2"/>
    <n v="47470"/>
    <x v="6"/>
    <s v="SP"/>
    <n v="643"/>
    <s v="Elite"/>
    <n v="1350"/>
    <s v="W10393823"/>
    <s v="Compressores Herméticos"/>
    <x v="0"/>
    <n v="4000"/>
    <n v="5004042"/>
    <s v="BRASIL WEB TRANSPORTES E LOGISTICA"/>
    <n v="2029.85"/>
    <d v="2025-03-07T00:00:00"/>
  </r>
  <r>
    <n v="253970785"/>
    <n v="64748625"/>
    <s v="REB"/>
    <n v="9690675"/>
    <n v="178"/>
    <s v="PEÇAS -Defeito de fabric./Sem Compressão"/>
    <s v="FUNCIONAL"/>
    <x v="2"/>
    <n v="32023"/>
    <x v="43"/>
    <s v="SP"/>
    <n v="643"/>
    <s v="Elite"/>
    <n v="1350"/>
    <s v="W10393823"/>
    <s v="Compressores Herméticos"/>
    <x v="0"/>
    <n v="4000"/>
    <n v="5004042"/>
    <s v="BRASIL WEB TRANSPORTES E LOGISTICA"/>
    <n v="2029.81"/>
    <d v="2025-04-09T00:00:00"/>
  </r>
  <r>
    <n v="254007626"/>
    <n v="64780702"/>
    <s v="ZDVP"/>
    <n v="9746008"/>
    <n v="178"/>
    <s v="PEÇAS -Defeito de fabric./Sem Compressão"/>
    <s v="FUNCIONAL"/>
    <x v="1"/>
    <n v="63300"/>
    <x v="17"/>
    <s v="MG"/>
    <n v="643"/>
    <s v="Elite"/>
    <n v="1350"/>
    <s v="W10393823"/>
    <s v="Compressores Herméticos"/>
    <x v="0"/>
    <n v="4000"/>
    <n v="5004101"/>
    <s v="UNIDOCK'S ASSESSORIA E LOGISTICA DE"/>
    <n v="2016.47"/>
    <d v="2025-06-02T00:00:00"/>
  </r>
  <r>
    <n v="253964957"/>
    <n v="64735715"/>
    <s v="ROB"/>
    <n v="48937"/>
    <n v="240"/>
    <s v="DEV-Avaria - 2 trecho transp - Produto"/>
    <s v="QUALIDADE"/>
    <x v="2"/>
    <n v="77035"/>
    <x v="44"/>
    <s v="CE"/>
    <n v="933"/>
    <s v="Top"/>
    <n v="1550"/>
    <s v="W10764578"/>
    <s v="Conjunto Varetas"/>
    <x v="8"/>
    <n v="50000"/>
    <n v="5000253"/>
    <s v="TRANSPORTADOR GENERICO"/>
    <n v="1998.97"/>
    <d v="2025-04-01T00:00:00"/>
  </r>
  <r>
    <n v="254030205"/>
    <n v="64802580"/>
    <s v="REB"/>
    <n v="9294698"/>
    <n v="178"/>
    <s v="PEÇAS -Defeito de fabric./Sem Compressão"/>
    <s v="FUNCIONAL"/>
    <x v="1"/>
    <n v="47026"/>
    <x v="16"/>
    <s v="BA"/>
    <n v="643"/>
    <s v="Elite"/>
    <n v="1350"/>
    <s v="W11647660"/>
    <s v="Compressores Herméticos"/>
    <x v="0"/>
    <n v="7000"/>
    <n v="5004101"/>
    <s v="UNIDOCK'S ASSESSORIA E LOGISTICA DE"/>
    <n v="1961.69"/>
    <d v="2025-07-01T00:00:00"/>
  </r>
  <r>
    <s v="Sem TR"/>
    <n v="64807149"/>
    <s v="REB"/>
    <n v="10063067"/>
    <n v="509"/>
    <s v="Qtd de peças a Menor dentro do Volume"/>
    <s v="LOGÍSTICA"/>
    <x v="1"/>
    <n v="63300"/>
    <x v="17"/>
    <s v="MG"/>
    <n v="643"/>
    <s v="Elite"/>
    <n v="1350"/>
    <s v="W11647662"/>
    <s v="Compressores Herméticos"/>
    <x v="0"/>
    <n v="7000"/>
    <n v="5002359"/>
    <s v="EMPRESA BRASILEIRA DE CORREIOS E"/>
    <n v="1959.16"/>
    <d v="2025-07-08T00:00:00"/>
  </r>
  <r>
    <n v="254018384"/>
    <n v="64789341"/>
    <s v="REB"/>
    <n v="10067158"/>
    <n v="177"/>
    <s v="PEÇAS - Defeito de fabric./Ruído"/>
    <s v="FUNCIONAL"/>
    <x v="1"/>
    <n v="80432"/>
    <x v="3"/>
    <s v="ES"/>
    <n v="713"/>
    <s v="Key Account"/>
    <n v="1350"/>
    <s v="W11300816"/>
    <s v="Mecanismos"/>
    <x v="2"/>
    <n v="18000"/>
    <n v="5004042"/>
    <s v="BRASIL WEB TRANSPORTES E LOGISTICA"/>
    <n v="1953.18"/>
    <d v="2025-06-18T00:00:00"/>
  </r>
  <r>
    <n v="253879498"/>
    <n v="64646180"/>
    <s v="REB"/>
    <n v="7816420"/>
    <n v="178"/>
    <s v="PEÇAS -Defeito de fabric./Sem Compressão"/>
    <s v="FUNCIONAL"/>
    <x v="1"/>
    <n v="65059"/>
    <x v="1"/>
    <s v="SP"/>
    <n v="643"/>
    <s v="Elite"/>
    <n v="1350"/>
    <s v="W10330848"/>
    <s v="Compressores Herméticos"/>
    <x v="0"/>
    <n v="5000"/>
    <n v="5003482"/>
    <s v="TMA TRANSPORTE LOTACAO E LOGISTICA"/>
    <n v="1934.99"/>
    <d v="2024-11-19T00:00:00"/>
  </r>
  <r>
    <n v="254033257"/>
    <n v="64804958"/>
    <s v="REB"/>
    <n v="10117529"/>
    <n v="173"/>
    <s v="PEÇAS - Defeito de fabric./Alta Amperage"/>
    <s v="FUNCIONAL"/>
    <x v="1"/>
    <n v="3236"/>
    <x v="45"/>
    <s v="SP"/>
    <n v="931"/>
    <s v="Ats Off"/>
    <n v="1350"/>
    <s v="W11200635"/>
    <s v="Placas de Controle"/>
    <x v="1"/>
    <n v="1000"/>
    <n v="5004042"/>
    <s v="BRASIL WEB TRANSPORTES E LOGISTICA"/>
    <n v="1892.16"/>
    <d v="2025-07-08T00:00:00"/>
  </r>
  <r>
    <s v="Sem TR"/>
    <n v="64630763"/>
    <s v="REB"/>
    <n v="9558022"/>
    <n v="411"/>
    <s v="DEV-Extravio de PEÇAS (Transportadora)"/>
    <s v="TRANSPORTADORA"/>
    <x v="0"/>
    <n v="64523"/>
    <x v="21"/>
    <s v="PB"/>
    <n v="713"/>
    <s v="Key Account"/>
    <n v="1350"/>
    <s v="W11634491"/>
    <s v="Placas de Controle"/>
    <x v="1"/>
    <n v="19000"/>
    <n v="5004101"/>
    <s v="UNIDOCK'S ASSESSORIA E LOGISTICA DE"/>
    <n v="1881.52"/>
    <d v="2024-10-21T00:00:00"/>
  </r>
  <r>
    <s v="Sem TR"/>
    <n v="64811033"/>
    <s v="REB"/>
    <n v="9683873"/>
    <n v="178"/>
    <s v="PEÇAS -Defeito de fabric./Sem Compressão"/>
    <s v="FUNCIONAL"/>
    <x v="1"/>
    <n v="84681"/>
    <x v="17"/>
    <s v="BA"/>
    <n v="643"/>
    <s v="Elite"/>
    <n v="1350"/>
    <s v="W10393822"/>
    <s v="Compressores Herméticos"/>
    <x v="0"/>
    <n v="4000"/>
    <n v="5004101"/>
    <s v="UNIDOCK'S ASSESSORIA E LOGISTICA DE"/>
    <n v="1877"/>
    <d v="2025-07-22T00:00:00"/>
  </r>
  <r>
    <s v="Sem TR"/>
    <n v="64624286"/>
    <s v="ROB"/>
    <n v="9629250"/>
    <n v="25"/>
    <s v="OC. 80 - EXTRAVIO TOTAL"/>
    <s v="TRANSPORTADORA"/>
    <x v="0"/>
    <n v="58773"/>
    <x v="13"/>
    <s v="RN"/>
    <n v="931"/>
    <s v="Ats Off"/>
    <n v="1350"/>
    <s v="W11516525"/>
    <s v="Compressores Herméticos"/>
    <x v="0"/>
    <n v="5000"/>
    <n v="5004101"/>
    <s v="UNIDOCK'S ASSESSORIA E LOGISTICA DE"/>
    <n v="1871.41"/>
    <d v="2024-10-08T00:00:00"/>
  </r>
  <r>
    <n v="254004062"/>
    <n v="64778019"/>
    <s v="REB"/>
    <n v="9910607"/>
    <n v="176"/>
    <s v="PEÇAS - Defeito de fabric./Interrompido"/>
    <s v="FUNCIONAL"/>
    <x v="2"/>
    <n v="81988"/>
    <x v="38"/>
    <s v="MG"/>
    <n v="648"/>
    <s v="Ultra"/>
    <n v="1350"/>
    <s v="W11647660"/>
    <s v="Compressores Herméticos"/>
    <x v="0"/>
    <n v="6000"/>
    <n v="5004215"/>
    <s v="BRASIL WEB TRANSPORTES E LOGISTICA"/>
    <n v="1870.46"/>
    <d v="2025-05-26T00:00:00"/>
  </r>
  <r>
    <n v="253970690"/>
    <n v="64748224"/>
    <s v="REB"/>
    <n v="9927253"/>
    <n v="176"/>
    <s v="PEÇAS - Defeito de fabric./Interrompido"/>
    <s v="FUNCIONAL"/>
    <x v="2"/>
    <n v="3506"/>
    <x v="46"/>
    <s v="SP"/>
    <n v="931"/>
    <s v="Ats Off"/>
    <n v="1350"/>
    <s v="W11200635"/>
    <s v="Placas de Controle"/>
    <x v="1"/>
    <n v="1000"/>
    <n v="5004042"/>
    <s v="BRASIL WEB TRANSPORTES E LOGISTICA"/>
    <n v="1868.97"/>
    <d v="2025-04-09T00:00:00"/>
  </r>
  <r>
    <s v="Sem TR"/>
    <n v="64761635"/>
    <s v="ROB"/>
    <n v="50566"/>
    <n v="671"/>
    <s v="DEV-ENVIADO PARA GESTÃO DE CONSEQUENCIA"/>
    <s v="TRANSPORTADORA"/>
    <x v="2"/>
    <n v="64523"/>
    <x v="21"/>
    <s v="PB"/>
    <n v="713"/>
    <s v="Key Account"/>
    <n v="1550"/>
    <s v="W11364881"/>
    <s v="Válvulas de Água"/>
    <x v="5"/>
    <n v="60000"/>
    <n v="5004391"/>
    <s v="JEONCEL TRANSPORTES LTDA"/>
    <n v="1844.4"/>
    <d v="2025-04-30T00:00:00"/>
  </r>
  <r>
    <n v="253948564"/>
    <n v="64726817"/>
    <s v="REB"/>
    <n v="9690678"/>
    <n v="178"/>
    <s v="PEÇAS -Defeito de fabric./Sem Compressão"/>
    <s v="FUNCIONAL"/>
    <x v="1"/>
    <n v="65059"/>
    <x v="1"/>
    <s v="SP"/>
    <n v="643"/>
    <s v="Elite"/>
    <n v="1350"/>
    <s v="W10375479"/>
    <s v="Compressores Herméticos"/>
    <x v="0"/>
    <n v="4000"/>
    <n v="5004042"/>
    <s v="BRASIL WEB TRANSPORTES E LOGISTICA"/>
    <n v="1839.92"/>
    <d v="2025-03-07T00:00:00"/>
  </r>
  <r>
    <n v="253948497"/>
    <n v="64726800"/>
    <s v="REB"/>
    <n v="9690675"/>
    <n v="178"/>
    <s v="PEÇAS -Defeito de fabric./Sem Compressão"/>
    <s v="FUNCIONAL"/>
    <x v="1"/>
    <n v="32023"/>
    <x v="43"/>
    <s v="SP"/>
    <n v="643"/>
    <s v="Elite"/>
    <n v="1350"/>
    <s v="W10375479"/>
    <s v="Compressores Herméticos"/>
    <x v="0"/>
    <n v="4000"/>
    <n v="5004042"/>
    <s v="BRASIL WEB TRANSPORTES E LOGISTICA"/>
    <n v="1839.87"/>
    <d v="2025-03-07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0754676"/>
    <s v="Suportes"/>
    <x v="6"/>
    <n v="50000"/>
    <n v="5004042"/>
    <s v="BRASIL WEB TRANSPORTES E LOGISTICA"/>
    <n v="1829.47"/>
    <d v="2025-05-26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364881"/>
    <s v="Válvulas de Água"/>
    <x v="5"/>
    <n v="60000"/>
    <n v="5004042"/>
    <s v="BRASIL WEB TRANSPORTES E LOGISTICA"/>
    <n v="1814.4"/>
    <d v="2025-05-26T00:00:00"/>
  </r>
  <r>
    <n v="253995171"/>
    <n v="64772470"/>
    <s v="REB"/>
    <n v="9945926"/>
    <n v="173"/>
    <s v="PEÇAS - Defeito de fabric./Alta Amperage"/>
    <s v="FUNCIONAL"/>
    <x v="2"/>
    <n v="47470"/>
    <x v="6"/>
    <s v="SP"/>
    <n v="643"/>
    <s v="Elite"/>
    <n v="1350"/>
    <s v="W11299803"/>
    <s v="Mecanismos"/>
    <x v="2"/>
    <n v="17000"/>
    <n v="5004042"/>
    <s v="BRASIL WEB TRANSPORTES E LOGISTICA"/>
    <n v="1786.87"/>
    <d v="2025-05-16T00:00:00"/>
  </r>
  <r>
    <n v="253992778"/>
    <n v="64766355"/>
    <s v="REB"/>
    <n v="9964403"/>
    <n v="177"/>
    <s v="PEÇAS - Defeito de fabric./Ruído"/>
    <s v="FUNCIONAL"/>
    <x v="1"/>
    <n v="80432"/>
    <x v="3"/>
    <s v="ES"/>
    <n v="713"/>
    <s v="Key Account"/>
    <n v="1350"/>
    <s v="W11299803"/>
    <s v="Mecanismos"/>
    <x v="2"/>
    <n v="20000"/>
    <n v="5004042"/>
    <s v="BRASIL WEB TRANSPORTES E LOGISTICA"/>
    <n v="1783"/>
    <d v="2025-05-12T00:00:00"/>
  </r>
  <r>
    <n v="253995154"/>
    <n v="64772570"/>
    <s v="REB"/>
    <n v="9927819"/>
    <n v="178"/>
    <s v="PEÇAS -Defeito de fabric./Sem Compressão"/>
    <s v="FUNCIONAL"/>
    <x v="2"/>
    <n v="33661"/>
    <x v="0"/>
    <s v="SP"/>
    <n v="643"/>
    <s v="Elite"/>
    <n v="1350"/>
    <s v="W11677209"/>
    <s v="Compressores Herméticos"/>
    <x v="0"/>
    <n v="6000"/>
    <n v="5004042"/>
    <s v="BRASIL WEB TRANSPORTES E LOGISTICA"/>
    <n v="1771.15"/>
    <d v="2025-05-16T00:00:00"/>
  </r>
  <r>
    <n v="254007626"/>
    <n v="64780702"/>
    <s v="ZDVP"/>
    <n v="9746008"/>
    <n v="178"/>
    <s v="PEÇAS -Defeito de fabric./Sem Compressão"/>
    <s v="FUNCIONAL"/>
    <x v="1"/>
    <n v="63300"/>
    <x v="17"/>
    <s v="MG"/>
    <n v="643"/>
    <s v="Elite"/>
    <n v="1350"/>
    <s v="W11677208"/>
    <s v="Compressores Herméticos"/>
    <x v="0"/>
    <n v="6000"/>
    <n v="5004101"/>
    <s v="UNIDOCK'S ASSESSORIA E LOGISTICA DE"/>
    <n v="1769.54"/>
    <d v="2025-06-02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1482942"/>
    <s v="Placas de Controle"/>
    <x v="1"/>
    <n v="10000"/>
    <n v="5004101"/>
    <s v="UNIDOCK'S ASSESSORIA E LOGISTICA DE"/>
    <n v="1737.49"/>
    <d v="2025-03-11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0849470"/>
    <s v="Bombas"/>
    <x v="1"/>
    <n v="50000"/>
    <n v="5004042"/>
    <s v="BRASIL WEB TRANSPORTES E LOGISTICA"/>
    <n v="1717.05"/>
    <d v="2025-05-26T00:00:00"/>
  </r>
  <r>
    <n v="254003873"/>
    <n v="64778089"/>
    <s v="REB"/>
    <n v="9968109"/>
    <n v="173"/>
    <s v="PEÇAS - Defeito de fabric./Alta Amperage"/>
    <s v="FUNCIONAL"/>
    <x v="2"/>
    <n v="13757"/>
    <x v="14"/>
    <s v="SP"/>
    <n v="713"/>
    <s v="Key Account"/>
    <n v="1350"/>
    <s v="W10882241"/>
    <s v="Agitadores"/>
    <x v="2"/>
    <n v="47000"/>
    <n v="5004042"/>
    <s v="BRASIL WEB TRANSPORTES E LOGISTICA"/>
    <n v="1712.27"/>
    <d v="2025-05-26T00:00:00"/>
  </r>
  <r>
    <n v="253886279"/>
    <n v="64655359"/>
    <s v="REB"/>
    <n v="9675338"/>
    <n v="90"/>
    <s v="CLIENTE-não solicitou"/>
    <s v="COMERCIAL"/>
    <x v="1"/>
    <n v="56043"/>
    <x v="48"/>
    <s v="PR"/>
    <n v="963"/>
    <s v="Ats Distribuidoras"/>
    <n v="1350"/>
    <s v="W11300695"/>
    <s v="Mecanismos"/>
    <x v="2"/>
    <n v="10000"/>
    <n v="5003024"/>
    <s v="RODOBRAS TRANSPORTES RODOVIARIOS LT"/>
    <n v="1705"/>
    <d v="2024-11-29T00:00:00"/>
  </r>
  <r>
    <n v="253995144"/>
    <n v="64772435"/>
    <s v="REB"/>
    <n v="10019955"/>
    <n v="104"/>
    <s v="PEÇAS-Código trocado(embalag X conteúdo)"/>
    <s v="LOGÍSTICA"/>
    <x v="2"/>
    <n v="30820"/>
    <x v="49"/>
    <s v="PE"/>
    <n v="350"/>
    <s v="Ats On"/>
    <n v="1350"/>
    <n v="326039057"/>
    <s v="Gabinetes"/>
    <x v="6"/>
    <n v="4000"/>
    <n v="5004101"/>
    <s v="UNIDOCK'S ASSESSORIA E LOGISTICA DE"/>
    <n v="1692.69"/>
    <d v="2025-05-16T00:00:00"/>
  </r>
  <r>
    <n v="253961317"/>
    <n v="64739204"/>
    <s v="REB"/>
    <n v="9942707"/>
    <n v="173"/>
    <s v="PEÇAS - Defeito de fabric./Alta Amperage"/>
    <s v="FUNCIONAL"/>
    <x v="1"/>
    <n v="30990"/>
    <x v="26"/>
    <s v="ES"/>
    <n v="713"/>
    <s v="Key Account"/>
    <n v="1350"/>
    <s v="W11300816"/>
    <s v="Mecanismos"/>
    <x v="2"/>
    <n v="16000"/>
    <n v="5004042"/>
    <s v="BRASIL WEB TRANSPORTES E LOGISTICA"/>
    <n v="1691.84"/>
    <d v="2025-03-26T00:00:00"/>
  </r>
  <r>
    <n v="254004062"/>
    <n v="64777860"/>
    <s v="REB"/>
    <n v="9934428"/>
    <n v="176"/>
    <s v="PEÇAS - Defeito de fabric./Interrompido"/>
    <s v="FUNCIONAL"/>
    <x v="2"/>
    <n v="81988"/>
    <x v="38"/>
    <s v="MG"/>
    <n v="648"/>
    <s v="Ultra"/>
    <n v="1350"/>
    <s v="W10393822"/>
    <s v="Compressores Herméticos"/>
    <x v="0"/>
    <n v="3000"/>
    <n v="5004215"/>
    <s v="BRASIL WEB TRANSPORTES E LOGISTICA"/>
    <n v="1687.8"/>
    <d v="2025-05-26T00:00:00"/>
  </r>
  <r>
    <n v="254012616"/>
    <n v="64789365"/>
    <s v="REB"/>
    <n v="9919043"/>
    <n v="178"/>
    <s v="PEÇAS -Defeito de fabric./Sem Compressão"/>
    <s v="FUNCIONAL"/>
    <x v="2"/>
    <n v="78757"/>
    <x v="50"/>
    <s v="RS"/>
    <n v="643"/>
    <s v="Elite"/>
    <n v="1350"/>
    <s v="W11647662"/>
    <s v="Compressores Herméticos"/>
    <x v="0"/>
    <n v="6000"/>
    <n v="5003024"/>
    <s v="RODOBRAS TRANSPORTES RODOVIARIOS LT"/>
    <n v="1674.2"/>
    <d v="2025-06-10T00:00:00"/>
  </r>
  <r>
    <n v="254035432"/>
    <n v="64812708"/>
    <s v="REB"/>
    <n v="10033019"/>
    <n v="177"/>
    <s v="PEÇAS - Defeito de fabric./Ruído"/>
    <s v="FUNCIONAL"/>
    <x v="0"/>
    <n v="80432"/>
    <x v="3"/>
    <s v="ES"/>
    <n v="713"/>
    <s v="Key Account"/>
    <n v="1350"/>
    <s v="W11300675"/>
    <s v="Mecanismos"/>
    <x v="2"/>
    <n v="18000"/>
    <n v="5004042"/>
    <s v="BRASIL WEB TRANSPORTES E LOGISTICA"/>
    <n v="1674.18"/>
    <d v="2025-07-17T00:00:00"/>
  </r>
  <r>
    <n v="254012442"/>
    <n v="64789184"/>
    <s v="REB"/>
    <n v="10060611"/>
    <n v="178"/>
    <s v="PEÇAS -Defeito de fabric./Sem Compressão"/>
    <s v="FUNCIONAL"/>
    <x v="2"/>
    <n v="3652"/>
    <x v="51"/>
    <s v="SP"/>
    <n v="350"/>
    <s v="Ats On"/>
    <n v="1350"/>
    <s v="W11516523"/>
    <s v="Compressores Herméticos"/>
    <x v="0"/>
    <n v="4000"/>
    <n v="5004042"/>
    <s v="BRASIL WEB TRANSPORTES E LOGISTICA"/>
    <n v="1660.34"/>
    <d v="2025-06-10T00:00:00"/>
  </r>
  <r>
    <n v="253970861"/>
    <n v="64748636"/>
    <s v="REB"/>
    <n v="9956067"/>
    <n v="167"/>
    <s v="PEÇAS - Avaria - Quebrada/Depósito"/>
    <s v="LOGÍSTICA"/>
    <x v="1"/>
    <n v="56043"/>
    <x v="48"/>
    <s v="PR"/>
    <n v="963"/>
    <s v="Ats Distribuidoras"/>
    <n v="1350"/>
    <s v="W11197058"/>
    <s v="Trempes"/>
    <x v="6"/>
    <n v="12000"/>
    <n v="5003024"/>
    <s v="RODOBRAS TRANSPORTES RODOVIARIOS LT"/>
    <n v="1655.77"/>
    <d v="2025-04-09T00:00:00"/>
  </r>
  <r>
    <n v="253981383"/>
    <n v="64757744"/>
    <s v="REB"/>
    <n v="9887828"/>
    <n v="90"/>
    <s v="CLIENTE-não solicitou"/>
    <s v="COMERCIAL"/>
    <x v="1"/>
    <n v="2809"/>
    <x v="28"/>
    <s v="RJ"/>
    <n v="350"/>
    <s v="Ats On"/>
    <n v="1350"/>
    <n v="326075420"/>
    <s v="Placas de Interface"/>
    <x v="1"/>
    <n v="1000"/>
    <n v="5003176"/>
    <s v="J C THEDIN TRANSPORTES LTDA"/>
    <n v="1644.92"/>
    <d v="2025-04-25T00:00:00"/>
  </r>
  <r>
    <n v="254003859"/>
    <n v="64773608"/>
    <s v="REB"/>
    <n v="10035015"/>
    <n v="167"/>
    <s v="PEÇAS - Avaria - Quebrada/Depósito"/>
    <s v="LOGÍSTICA"/>
    <x v="2"/>
    <n v="3605"/>
    <x v="52"/>
    <s v="SP"/>
    <n v="931"/>
    <s v="Ats Off"/>
    <n v="1350"/>
    <s v="W10638541"/>
    <s v="Filtros"/>
    <x v="5"/>
    <n v="9000"/>
    <n v="5004042"/>
    <s v="BRASIL WEB TRANSPORTES E LOGISTICA"/>
    <n v="1644.86"/>
    <d v="2025-05-26T00:00:00"/>
  </r>
  <r>
    <n v="253988935"/>
    <n v="64763810"/>
    <s v="REB"/>
    <n v="9482781"/>
    <n v="173"/>
    <s v="PEÇAS - Defeito de fabric./Alta Amperage"/>
    <s v="FUNCIONAL"/>
    <x v="1"/>
    <n v="81093"/>
    <x v="53"/>
    <s v="ES"/>
    <n v="713"/>
    <s v="Key Account"/>
    <n v="1350"/>
    <s v="W11647660"/>
    <s v="Compressores Herméticos"/>
    <x v="0"/>
    <n v="6000"/>
    <n v="5004042"/>
    <s v="BRASIL WEB TRANSPORTES E LOGISTICA"/>
    <n v="1638.33"/>
    <d v="2025-05-05T00:00:00"/>
  </r>
  <r>
    <n v="254012587"/>
    <n v="64786062"/>
    <s v="REB"/>
    <n v="9130754"/>
    <n v="178"/>
    <s v="PEÇAS -Defeito de fabric./Sem Compressão"/>
    <s v="FUNCIONAL"/>
    <x v="2"/>
    <n v="65059"/>
    <x v="1"/>
    <s v="SP"/>
    <n v="643"/>
    <s v="Elite"/>
    <n v="1350"/>
    <s v="W10393809"/>
    <s v="Compressores Herméticos"/>
    <x v="0"/>
    <n v="5000"/>
    <n v="5004042"/>
    <s v="BRASIL WEB TRANSPORTES E LOGISTICA"/>
    <n v="1635.74"/>
    <d v="2025-06-10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n v="326005854"/>
    <s v="Sensores"/>
    <x v="3"/>
    <n v="50000"/>
    <n v="5004042"/>
    <s v="BRASIL WEB TRANSPORTES E LOGISTICA"/>
    <n v="1632.11"/>
    <d v="2025-05-26T00:00:00"/>
  </r>
  <r>
    <s v="Sem TR"/>
    <n v="64719518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6000"/>
    <n v="5004101"/>
    <s v="UNIDOCK'S ASSESSORIA E LOGISTICA DE"/>
    <n v="1619.81"/>
    <d v="2025-03-08T00:00:00"/>
  </r>
  <r>
    <n v="254038373"/>
    <n v="64805550"/>
    <s v="REB"/>
    <n v="10113999"/>
    <n v="176"/>
    <s v="PEÇAS - Defeito de fabric./Interrompido"/>
    <s v="FUNCIONAL"/>
    <x v="1"/>
    <n v="41585"/>
    <x v="54"/>
    <s v="PR"/>
    <n v="350"/>
    <s v="Ats On"/>
    <n v="1350"/>
    <n v="326075420"/>
    <s v="Placas de Interface"/>
    <x v="1"/>
    <n v="1000"/>
    <n v="5003024"/>
    <s v="RODOBRAS TRANSPORTES RODOVIARIOS LT"/>
    <n v="1616.91"/>
    <d v="2025-07-22T00:00:00"/>
  </r>
  <r>
    <n v="254012588"/>
    <n v="64777587"/>
    <s v="REB"/>
    <n v="9958769"/>
    <n v="173"/>
    <s v="PEÇAS - Defeito de fabric./Alta Amperage"/>
    <s v="FUNCIONAL"/>
    <x v="2"/>
    <n v="67933"/>
    <x v="55"/>
    <s v="GO"/>
    <n v="648"/>
    <s v="Ultra"/>
    <n v="1350"/>
    <s v="W11647662"/>
    <s v="Compressores Herméticos"/>
    <x v="0"/>
    <n v="6000"/>
    <n v="5002858"/>
    <s v="FAVORITA TRANSPORTES LTDA"/>
    <n v="1616.52"/>
    <d v="2025-06-10T00:00:00"/>
  </r>
  <r>
    <n v="254042142"/>
    <n v="64796974"/>
    <s v="REB"/>
    <n v="10031556"/>
    <n v="178"/>
    <s v="PEÇAS -Defeito de fabric./Sem Compressão"/>
    <s v="FUNCIONAL"/>
    <x v="0"/>
    <n v="78757"/>
    <x v="50"/>
    <s v="RS"/>
    <n v="643"/>
    <s v="Elite"/>
    <n v="1350"/>
    <s v="W11647662"/>
    <s v="Compressores Herméticos"/>
    <x v="0"/>
    <n v="6000"/>
    <n v="5003024"/>
    <s v="RODOBRAS TRANSPORTES RODOVIARIOS LT"/>
    <n v="1612.5"/>
    <d v="2025-06-24T00:00:00"/>
  </r>
  <r>
    <s v="Sem TR"/>
    <n v="64776640"/>
    <s v="REB"/>
    <n v="10017872"/>
    <n v="509"/>
    <s v="Qtd de peças a Menor dentro do Volume"/>
    <s v="LOGÍSTICA"/>
    <x v="2"/>
    <n v="64683"/>
    <x v="56"/>
    <s v="RS"/>
    <n v="648"/>
    <s v="Ultra"/>
    <n v="1350"/>
    <s v="W10310999"/>
    <s v="Motores Ventiladores"/>
    <x v="1"/>
    <n v="38000"/>
    <n v="5002359"/>
    <s v="EMPRESA BRASILEIRA DE CORREIOS E"/>
    <n v="1607.63"/>
    <d v="2025-05-26T00:00:00"/>
  </r>
  <r>
    <n v="254038341"/>
    <n v="64808088"/>
    <s v="REB"/>
    <n v="10017176"/>
    <n v="173"/>
    <s v="PEÇAS - Defeito de fabric./Alta Amperage"/>
    <s v="FUNCIONAL"/>
    <x v="1"/>
    <n v="28902"/>
    <x v="57"/>
    <s v="DF"/>
    <n v="648"/>
    <s v="Ultra"/>
    <n v="1350"/>
    <s v="W11647662"/>
    <s v="Compressores Herméticos"/>
    <x v="0"/>
    <n v="6000"/>
    <n v="5002858"/>
    <s v="FAVORITA TRANSPORTES LTDA"/>
    <n v="1604.13"/>
    <d v="2025-07-22T00:00:00"/>
  </r>
  <r>
    <n v="254041815"/>
    <n v="64783493"/>
    <s v="REB"/>
    <n v="10062539"/>
    <n v="104"/>
    <s v="PEÇAS-Código trocado(embalag X conteúdo)"/>
    <s v="LOGÍSTICA"/>
    <x v="0"/>
    <n v="89063"/>
    <x v="58"/>
    <s v="CE"/>
    <n v="644"/>
    <s v="Plus"/>
    <n v="1350"/>
    <s v="W10696196"/>
    <s v="Válvulas de Água"/>
    <x v="5"/>
    <n v="50000"/>
    <n v="5004101"/>
    <s v="UNIDOCK'S ASSESSORIA E LOGISTICA DE"/>
    <n v="1599"/>
    <d v="2025-06-23T00:00:00"/>
  </r>
  <r>
    <n v="254012594"/>
    <n v="64783718"/>
    <s v="REB"/>
    <n v="9965622"/>
    <n v="104"/>
    <s v="PEÇAS-Código trocado(embalag X conteúdo)"/>
    <s v="LOGÍSTICA"/>
    <x v="2"/>
    <n v="67948"/>
    <x v="15"/>
    <s v="SC"/>
    <n v="713"/>
    <s v="Key Account"/>
    <n v="1350"/>
    <s v="W11299805"/>
    <s v="Mecanismos"/>
    <x v="2"/>
    <n v="14000"/>
    <n v="5003024"/>
    <s v="RODOBRAS TRANSPORTES RODOVIARIOS LT"/>
    <n v="1592.92"/>
    <d v="2025-06-10T00:00:00"/>
  </r>
  <r>
    <n v="253988926"/>
    <n v="64762886"/>
    <s v="REB"/>
    <n v="9805442"/>
    <n v="176"/>
    <s v="PEÇAS - Defeito de fabric./Interrompido"/>
    <s v="FUNCIONAL"/>
    <x v="2"/>
    <n v="80432"/>
    <x v="3"/>
    <s v="ES"/>
    <n v="713"/>
    <s v="Key Account"/>
    <n v="1350"/>
    <s v="W10882241"/>
    <s v="Agitadores"/>
    <x v="2"/>
    <n v="55000"/>
    <n v="5004042"/>
    <s v="BRASIL WEB TRANSPORTES E LOGISTICA"/>
    <n v="1587.93"/>
    <d v="2025-05-05T00:00:00"/>
  </r>
  <r>
    <n v="253995147"/>
    <n v="64764806"/>
    <s v="REB"/>
    <n v="9912661"/>
    <n v="173"/>
    <s v="PEÇAS - Defeito de fabric./Alta Amperage"/>
    <s v="FUNCIONAL"/>
    <x v="2"/>
    <n v="30990"/>
    <x v="26"/>
    <s v="ES"/>
    <n v="713"/>
    <s v="Key Account"/>
    <n v="1350"/>
    <s v="W11300816"/>
    <s v="Mecanismos"/>
    <x v="2"/>
    <n v="15000"/>
    <n v="5004042"/>
    <s v="BRASIL WEB TRANSPORTES E LOGISTICA"/>
    <n v="1586.1"/>
    <d v="2025-05-15T00:00:00"/>
  </r>
  <r>
    <n v="253995147"/>
    <n v="64764806"/>
    <s v="REB"/>
    <n v="9912661"/>
    <n v="173"/>
    <s v="PEÇAS - Defeito de fabric./Alta Amperage"/>
    <s v="FUNCIONAL"/>
    <x v="2"/>
    <n v="30990"/>
    <x v="26"/>
    <s v="ES"/>
    <n v="713"/>
    <s v="Key Account"/>
    <n v="1350"/>
    <s v="W11299803"/>
    <s v="Mecanismos"/>
    <x v="2"/>
    <n v="18000"/>
    <n v="5004042"/>
    <s v="BRASIL WEB TRANSPORTES E LOGISTICA"/>
    <n v="1583.1"/>
    <d v="2025-05-15T00:00:00"/>
  </r>
  <r>
    <n v="253988898"/>
    <n v="64763944"/>
    <s v="REB"/>
    <n v="9689774"/>
    <n v="178"/>
    <s v="PEÇAS -Defeito de fabric./Sem Compressão"/>
    <s v="FUNCIONAL"/>
    <x v="1"/>
    <n v="63300"/>
    <x v="17"/>
    <s v="MG"/>
    <n v="643"/>
    <s v="Elite"/>
    <n v="1350"/>
    <n v="326026647"/>
    <s v="Outros"/>
    <x v="7"/>
    <n v="6000"/>
    <n v="5004215"/>
    <s v="BRASIL WEB TRANSPORTES E LOGISTICA"/>
    <n v="1574.95"/>
    <d v="2025-05-05T00:00:00"/>
  </r>
  <r>
    <n v="253999373"/>
    <n v="64777187"/>
    <s v="REB"/>
    <n v="10042053"/>
    <n v="240"/>
    <s v="DEV-Avaria - 2 trecho transp - Produto"/>
    <s v="QUALIDADE"/>
    <x v="2"/>
    <n v="52227"/>
    <x v="59"/>
    <s v="RJ"/>
    <n v="350"/>
    <s v="Ats On"/>
    <n v="1350"/>
    <n v="326039057"/>
    <s v="Gabinetes"/>
    <x v="6"/>
    <n v="3000"/>
    <n v="5003176"/>
    <s v="J C THEDIN TRANSPORTES LTDA"/>
    <n v="1567.32"/>
    <d v="2025-05-23T00:00:00"/>
  </r>
  <r>
    <s v="Sem TR"/>
    <n v="64764305"/>
    <s v="REB"/>
    <n v="9893354"/>
    <n v="509"/>
    <s v="Qtd de peças a Menor dentro do Volume"/>
    <s v="LOGÍSTICA"/>
    <x v="2"/>
    <n v="32856"/>
    <x v="60"/>
    <s v="PR"/>
    <n v="713"/>
    <s v="Key Account"/>
    <n v="1350"/>
    <s v="W10849469"/>
    <s v="Bombas"/>
    <x v="1"/>
    <n v="52000"/>
    <n v="5002359"/>
    <s v="EMPRESA BRASILEIRA DE CORREIOS E"/>
    <n v="1560.23"/>
    <d v="2025-05-05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807957"/>
    <s v="Conjunto Varetas"/>
    <x v="8"/>
    <n v="20000"/>
    <n v="5004042"/>
    <s v="BRASIL WEB TRANSPORTES E LOGISTICA"/>
    <n v="1553.3"/>
    <d v="2025-05-26T00:00:00"/>
  </r>
  <r>
    <n v="254033407"/>
    <n v="64806930"/>
    <s v="REB"/>
    <n v="10048796"/>
    <n v="509"/>
    <s v="Qtd de peças a Menor dentro do Volume"/>
    <s v="LOGÍSTICA"/>
    <x v="2"/>
    <n v="47026"/>
    <x v="16"/>
    <s v="BA"/>
    <n v="643"/>
    <s v="Elite"/>
    <n v="1350"/>
    <n v="326031817"/>
    <s v="Mangueiras"/>
    <x v="5"/>
    <n v="103000"/>
    <n v="5004101"/>
    <s v="UNIDOCK'S ASSESSORIA E LOGISTICA DE"/>
    <n v="1542.04"/>
    <d v="2025-07-08T00:00:00"/>
  </r>
  <r>
    <n v="253998358"/>
    <n v="64764719"/>
    <s v="REB"/>
    <n v="9985984"/>
    <n v="167"/>
    <s v="PEÇAS - Avaria - Quebrada/Depósito"/>
    <s v="LOGÍSTICA"/>
    <x v="2"/>
    <n v="48500"/>
    <x v="22"/>
    <s v="MG"/>
    <n v="350"/>
    <s v="Ats On"/>
    <n v="1350"/>
    <s v="W10728422"/>
    <s v="Mesas Cocção"/>
    <x v="6"/>
    <n v="1000"/>
    <n v="5004215"/>
    <s v="BRASIL WEB TRANSPORTES E LOGISTICA"/>
    <n v="1530.65"/>
    <d v="2025-05-06T00:00:00"/>
  </r>
  <r>
    <n v="253988802"/>
    <n v="64761418"/>
    <s v="REB"/>
    <n v="10014770"/>
    <n v="173"/>
    <s v="PEÇAS - Defeito de fabric./Alta Amperage"/>
    <s v="FUNCIONAL"/>
    <x v="1"/>
    <n v="14441"/>
    <x v="61"/>
    <s v="SP"/>
    <n v="931"/>
    <s v="Ats Off"/>
    <n v="1350"/>
    <s v="W10728427"/>
    <s v="Placas de Controle"/>
    <x v="1"/>
    <n v="1000"/>
    <n v="5004042"/>
    <s v="BRASIL WEB TRANSPORTES E LOGISTICA"/>
    <n v="1529.14"/>
    <d v="2025-05-02T00:00:00"/>
  </r>
  <r>
    <n v="253948509"/>
    <n v="64726750"/>
    <s v="REB"/>
    <n v="9690982"/>
    <n v="178"/>
    <s v="PEÇAS -Defeito de fabric./Sem Compressão"/>
    <s v="FUNCIONAL"/>
    <x v="2"/>
    <n v="47470"/>
    <x v="6"/>
    <s v="SP"/>
    <n v="643"/>
    <s v="Elite"/>
    <n v="1350"/>
    <s v="W10393823"/>
    <s v="Compressores Herméticos"/>
    <x v="0"/>
    <n v="3000"/>
    <n v="5004042"/>
    <s v="BRASIL WEB TRANSPORTES E LOGISTICA"/>
    <n v="1522.39"/>
    <d v="2025-03-07T00:00:00"/>
  </r>
  <r>
    <s v="Sem TR"/>
    <n v="64814601"/>
    <s v="ZDVP"/>
    <n v="10066346"/>
    <n v="178"/>
    <s v="PEÇAS -Defeito de fabric./Sem Compressão"/>
    <s v="FUNCIONAL"/>
    <x v="1"/>
    <n v="63300"/>
    <x v="17"/>
    <s v="MG"/>
    <n v="643"/>
    <s v="Elite"/>
    <n v="1350"/>
    <s v="W11677208"/>
    <s v="Compressores Herméticos"/>
    <x v="0"/>
    <n v="5000"/>
    <n v="5004215"/>
    <s v="BRASIL WEB TRANSPORTES E LOGISTICA"/>
    <n v="1518.6"/>
    <d v="2025-07-22T00:00:00"/>
  </r>
  <r>
    <n v="253970816"/>
    <n v="64748906"/>
    <s v="REB"/>
    <n v="8649270"/>
    <n v="178"/>
    <s v="PEÇAS -Defeito de fabric./Sem Compressão"/>
    <s v="FUNCIONAL"/>
    <x v="1"/>
    <n v="50822"/>
    <x v="40"/>
    <s v="AL"/>
    <n v="644"/>
    <s v="Plus"/>
    <n v="1350"/>
    <s v="W11647662"/>
    <s v="Compressores Herméticos"/>
    <x v="0"/>
    <n v="5000"/>
    <n v="5004101"/>
    <s v="UNIDOCK'S ASSESSORIA E LOGISTICA DE"/>
    <n v="1513.49"/>
    <d v="2025-04-09T00:00:00"/>
  </r>
  <r>
    <n v="254018253"/>
    <n v="64788822"/>
    <s v="REB"/>
    <n v="9480704"/>
    <n v="173"/>
    <s v="PEÇAS - Defeito de fabric./Alta Amperage"/>
    <s v="FUNCIONAL"/>
    <x v="1"/>
    <n v="27770"/>
    <x v="37"/>
    <s v="AL"/>
    <n v="641"/>
    <s v="CDP Diamante"/>
    <n v="1350"/>
    <s v="W11458016"/>
    <s v="Placas de Controle"/>
    <x v="1"/>
    <n v="5000"/>
    <n v="5004101"/>
    <s v="UNIDOCK'S ASSESSORIA E LOGISTICA DE"/>
    <n v="1512.87"/>
    <d v="2025-06-17T00:00:00"/>
  </r>
  <r>
    <s v="Sem TR"/>
    <n v="64814941"/>
    <s v="ZDVP"/>
    <n v="9746010"/>
    <n v="178"/>
    <s v="PEÇAS -Defeito de fabric./Sem Compressão"/>
    <s v="FUNCIONAL"/>
    <x v="1"/>
    <n v="63300"/>
    <x v="17"/>
    <s v="MG"/>
    <n v="643"/>
    <s v="Elite"/>
    <n v="1350"/>
    <s v="W10393822"/>
    <s v="Compressores Herméticos"/>
    <x v="0"/>
    <n v="3000"/>
    <n v="5004215"/>
    <s v="BRASIL WEB TRANSPORTES E LOGISTICA"/>
    <n v="1512.35"/>
    <d v="2025-07-22T00:00:00"/>
  </r>
  <r>
    <n v="254018209"/>
    <n v="64792422"/>
    <s v="REB"/>
    <n v="9991750"/>
    <n v="167"/>
    <s v="PEÇAS - Avaria - Quebrada/Depósito"/>
    <s v="LOGÍSTICA"/>
    <x v="1"/>
    <n v="9248"/>
    <x v="62"/>
    <s v="MT"/>
    <n v="932"/>
    <s v="CDP Prata"/>
    <n v="1350"/>
    <s v="W11679212"/>
    <s v="Outros"/>
    <x v="7"/>
    <n v="2000"/>
    <n v="5002573"/>
    <s v="CARVALIMA TRANSPORTES LTDA"/>
    <n v="1509.25"/>
    <d v="2025-06-16T00:00:00"/>
  </r>
  <r>
    <n v="254033389"/>
    <n v="64800055"/>
    <s v="REB"/>
    <n v="10015281"/>
    <n v="90"/>
    <s v="CLIENTE-não solicitou"/>
    <s v="COMERCIAL"/>
    <x v="1"/>
    <n v="32856"/>
    <x v="60"/>
    <s v="PR"/>
    <n v="713"/>
    <s v="Key Account"/>
    <n v="1350"/>
    <s v="W10531315"/>
    <s v="Sensores"/>
    <x v="3"/>
    <n v="248000"/>
    <n v="5003024"/>
    <s v="RODOBRAS TRANSPORTES RODOVIARIOS LT"/>
    <n v="1505.48"/>
    <d v="2025-07-01T00:00:00"/>
  </r>
  <r>
    <n v="253995213"/>
    <n v="64771563"/>
    <s v="REB"/>
    <n v="9852020"/>
    <n v="178"/>
    <s v="PEÇAS -Defeito de fabric./Sem Compressão"/>
    <s v="FUNCIONAL"/>
    <x v="2"/>
    <n v="65059"/>
    <x v="1"/>
    <s v="SP"/>
    <n v="643"/>
    <s v="Elite"/>
    <n v="1350"/>
    <s v="W10393810"/>
    <s v="Compressores Herméticos"/>
    <x v="0"/>
    <n v="4000"/>
    <n v="5004042"/>
    <s v="BRASIL WEB TRANSPORTES E LOGISTICA"/>
    <n v="1503.24"/>
    <d v="2025-05-16T00:00:00"/>
  </r>
  <r>
    <n v="253970915"/>
    <n v="64748743"/>
    <s v="REB"/>
    <n v="9860106"/>
    <n v="173"/>
    <s v="PEÇAS - Defeito de fabric./Alta Amperage"/>
    <s v="FUNCIONAL"/>
    <x v="1"/>
    <n v="67595"/>
    <x v="19"/>
    <s v="DF"/>
    <n v="648"/>
    <s v="Ultra"/>
    <n v="1350"/>
    <s v="W11647662"/>
    <s v="Compressores Herméticos"/>
    <x v="0"/>
    <n v="5000"/>
    <n v="5002858"/>
    <s v="FAVORITA TRANSPORTES LTDA"/>
    <n v="1499.86"/>
    <d v="2025-04-09T00:00:00"/>
  </r>
  <r>
    <n v="254033410"/>
    <n v="64805318"/>
    <s v="REB"/>
    <n v="10048796"/>
    <n v="509"/>
    <s v="Qtd de peças a Menor dentro do Volume"/>
    <s v="LOGÍSTICA"/>
    <x v="2"/>
    <n v="47026"/>
    <x v="16"/>
    <s v="BA"/>
    <n v="643"/>
    <s v="Elite"/>
    <n v="1350"/>
    <n v="326031817"/>
    <s v="Mangueiras"/>
    <x v="5"/>
    <n v="100000"/>
    <n v="5004101"/>
    <s v="UNIDOCK'S ASSESSORIA E LOGISTICA DE"/>
    <n v="1497.13"/>
    <d v="2025-07-08T00:00:00"/>
  </r>
  <r>
    <n v="253992775"/>
    <n v="64766986"/>
    <s v="REB"/>
    <n v="9603343"/>
    <n v="178"/>
    <s v="PEÇAS -Defeito de fabric./Sem Compressão"/>
    <s v="FUNCIONAL"/>
    <x v="2"/>
    <n v="78757"/>
    <x v="50"/>
    <s v="RS"/>
    <n v="643"/>
    <s v="Elite"/>
    <n v="1350"/>
    <s v="W11647662"/>
    <s v="Compressores Herméticos"/>
    <x v="0"/>
    <n v="5000"/>
    <n v="5003024"/>
    <s v="RODOBRAS TRANSPORTES RODOVIARIOS LT"/>
    <n v="1487.11"/>
    <d v="2025-05-12T00:00:00"/>
  </r>
  <r>
    <n v="254043785"/>
    <n v="64807765"/>
    <s v="REB"/>
    <n v="10121340"/>
    <n v="104"/>
    <s v="PEÇAS-Código trocado(embalag X conteúdo)"/>
    <s v="LOGÍSTICA"/>
    <x v="0"/>
    <n v="4167"/>
    <x v="63"/>
    <s v="SP"/>
    <n v="931"/>
    <s v="Ats Off"/>
    <n v="1350"/>
    <s v="W11694641"/>
    <s v="Placas de Controle"/>
    <x v="1"/>
    <n v="1000"/>
    <n v="5004042"/>
    <s v="BRASIL WEB TRANSPORTES E LOGISTICA"/>
    <n v="1485.89"/>
    <d v="2025-07-09T00:00:00"/>
  </r>
  <r>
    <n v="254041759"/>
    <n v="64794883"/>
    <s v="REB"/>
    <n v="10015317"/>
    <n v="168"/>
    <s v="PEÇAS-Def.Fabric.Empenamento/Abaulamento"/>
    <s v="FUNCIONAL"/>
    <x v="0"/>
    <n v="27359"/>
    <x v="64"/>
    <s v="RS"/>
    <n v="641"/>
    <s v="CDP Diamante"/>
    <n v="1350"/>
    <s v="W10882241"/>
    <s v="Agitadores"/>
    <x v="2"/>
    <n v="30000"/>
    <n v="5003024"/>
    <s v="RODOBRAS TRANSPORTES RODOVIARIOS LT"/>
    <n v="1454.99"/>
    <d v="2025-06-24T00:00:00"/>
  </r>
  <r>
    <n v="254033475"/>
    <n v="64800638"/>
    <s v="REB"/>
    <n v="9689731"/>
    <n v="178"/>
    <s v="PEÇAS -Defeito de fabric./Sem Compressão"/>
    <s v="FUNCIONAL"/>
    <x v="1"/>
    <n v="92053"/>
    <x v="17"/>
    <s v="MG"/>
    <n v="643"/>
    <s v="Elite"/>
    <n v="1350"/>
    <s v="W10393823"/>
    <s v="Compressores Herméticos"/>
    <x v="0"/>
    <n v="3000"/>
    <n v="5004215"/>
    <s v="BRASIL WEB TRANSPORTES E LOGISTICA"/>
    <n v="1446.5"/>
    <d v="2025-07-01T00:00:00"/>
  </r>
  <r>
    <n v="253995233"/>
    <n v="64767161"/>
    <s v="REB"/>
    <n v="9381514"/>
    <n v="177"/>
    <s v="PEÇAS - Defeito de fabric./Ruído"/>
    <s v="FUNCIONAL"/>
    <x v="1"/>
    <n v="80432"/>
    <x v="3"/>
    <s v="ES"/>
    <n v="713"/>
    <s v="Key Account"/>
    <n v="1350"/>
    <s v="W10882241"/>
    <s v="Agitadores"/>
    <x v="2"/>
    <n v="42000"/>
    <n v="5004042"/>
    <s v="BRASIL WEB TRANSPORTES E LOGISTICA"/>
    <n v="1443.73"/>
    <d v="2025-05-16T00:00:00"/>
  </r>
  <r>
    <n v="254038380"/>
    <n v="64814929"/>
    <s v="REB"/>
    <n v="10114860"/>
    <n v="173"/>
    <s v="PEÇAS - Defeito de fabric./Alta Amperage"/>
    <s v="FUNCIONAL"/>
    <x v="0"/>
    <n v="58773"/>
    <x v="13"/>
    <s v="RN"/>
    <n v="350"/>
    <s v="Ats On"/>
    <n v="1350"/>
    <s v="W11200635"/>
    <s v="Placas de Controle"/>
    <x v="1"/>
    <n v="1000"/>
    <n v="5004101"/>
    <s v="UNIDOCK'S ASSESSORIA E LOGISTICA DE"/>
    <n v="1443.07"/>
    <d v="2025-07-22T00:00:00"/>
  </r>
  <r>
    <n v="254012501"/>
    <n v="64789445"/>
    <s v="REB"/>
    <n v="9155828"/>
    <n v="178"/>
    <s v="PEÇAS -Defeito de fabric./Sem Compressão"/>
    <s v="FUNCIONAL"/>
    <x v="2"/>
    <n v="28991"/>
    <x v="65"/>
    <s v="MG"/>
    <n v="643"/>
    <s v="Elite"/>
    <n v="1350"/>
    <s v="W11647660"/>
    <s v="Compressores Herméticos"/>
    <x v="0"/>
    <n v="5000"/>
    <n v="5004215"/>
    <s v="BRASIL WEB TRANSPORTES E LOGISTICA"/>
    <n v="1440.6"/>
    <d v="2025-06-10T00:00:00"/>
  </r>
  <r>
    <n v="254033447"/>
    <n v="64802424"/>
    <s v="REB"/>
    <n v="10064972"/>
    <n v="509"/>
    <s v="Qtd de peças a Menor dentro do Volume"/>
    <s v="LOGÍSTICA"/>
    <x v="2"/>
    <n v="72786"/>
    <x v="41"/>
    <s v="SC"/>
    <n v="643"/>
    <s v="Elite"/>
    <n v="1350"/>
    <s v="W10833372"/>
    <s v="Placas de Controle"/>
    <x v="1"/>
    <n v="6000"/>
    <n v="5003024"/>
    <s v="RODOBRAS TRANSPORTES RODOVIARIOS LT"/>
    <n v="1439.26"/>
    <d v="2025-07-01T00:00:00"/>
  </r>
  <r>
    <n v="253995152"/>
    <n v="64772410"/>
    <s v="REB"/>
    <n v="9945923"/>
    <n v="173"/>
    <s v="PEÇAS - Defeito de fabric./Alta Amperage"/>
    <s v="FUNCIONAL"/>
    <x v="2"/>
    <n v="32023"/>
    <x v="43"/>
    <s v="SP"/>
    <n v="643"/>
    <s v="Elite"/>
    <n v="1350"/>
    <s v="W11082448"/>
    <s v="Termostatos"/>
    <x v="3"/>
    <n v="30000"/>
    <n v="5004042"/>
    <s v="BRASIL WEB TRANSPORTES E LOGISTICA"/>
    <n v="1434.54"/>
    <d v="2025-05-16T00:00:00"/>
  </r>
  <r>
    <n v="254012501"/>
    <n v="64786047"/>
    <s v="REB"/>
    <n v="9576062"/>
    <n v="178"/>
    <s v="PEÇAS -Defeito de fabric./Sem Compressão"/>
    <s v="FUNCIONAL"/>
    <x v="2"/>
    <n v="28991"/>
    <x v="65"/>
    <s v="MG"/>
    <n v="643"/>
    <s v="Elite"/>
    <n v="1350"/>
    <s v="W11647660"/>
    <s v="Compressores Herméticos"/>
    <x v="0"/>
    <n v="5000"/>
    <n v="5004215"/>
    <s v="BRASIL WEB TRANSPORTES E LOGISTICA"/>
    <n v="1424.39"/>
    <d v="2025-06-10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1344665"/>
    <s v="Válvulas de Água"/>
    <x v="5"/>
    <n v="20000"/>
    <n v="5004101"/>
    <s v="UNIDOCK'S ASSESSORIA E LOGISTICA DE"/>
    <n v="1422.8"/>
    <d v="2025-07-30T00:00:00"/>
  </r>
  <r>
    <n v="254012501"/>
    <n v="64789464"/>
    <s v="REB"/>
    <n v="9687036"/>
    <n v="178"/>
    <s v="PEÇAS -Defeito de fabric./Sem Compressão"/>
    <s v="FUNCIONAL"/>
    <x v="2"/>
    <n v="28991"/>
    <x v="65"/>
    <s v="MG"/>
    <n v="643"/>
    <s v="Elite"/>
    <n v="1350"/>
    <s v="W11677208"/>
    <s v="Compressores Herméticos"/>
    <x v="0"/>
    <n v="5000"/>
    <n v="5004215"/>
    <s v="BRASIL WEB TRANSPORTES E LOGISTICA"/>
    <n v="1422.27"/>
    <d v="2025-06-10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428263"/>
    <s v="Atuadores"/>
    <x v="2"/>
    <n v="30000"/>
    <n v="5004042"/>
    <s v="BRASIL WEB TRANSPORTES E LOGISTICA"/>
    <n v="1421.09"/>
    <d v="2025-05-26T00:00:00"/>
  </r>
  <r>
    <n v="254004061"/>
    <n v="64777773"/>
    <s v="REB"/>
    <n v="9953886"/>
    <n v="176"/>
    <s v="PEÇAS - Defeito de fabric./Interrompido"/>
    <s v="FUNCIONAL"/>
    <x v="2"/>
    <n v="81988"/>
    <x v="38"/>
    <s v="MG"/>
    <n v="648"/>
    <s v="Ultra"/>
    <n v="1350"/>
    <s v="W11647660"/>
    <s v="Compressores Herméticos"/>
    <x v="0"/>
    <n v="5000"/>
    <n v="5004215"/>
    <s v="BRASIL WEB TRANSPORTES E LOGISTICA"/>
    <n v="1417"/>
    <d v="2025-05-26T00:00:00"/>
  </r>
  <r>
    <n v="253997978"/>
    <n v="64774022"/>
    <s v="REB"/>
    <n v="9741225"/>
    <n v="178"/>
    <s v="PEÇAS -Defeito de fabric./Sem Compressão"/>
    <s v="FUNCIONAL"/>
    <x v="2"/>
    <n v="49243"/>
    <x v="67"/>
    <s v="MS"/>
    <n v="643"/>
    <s v="Elite"/>
    <n v="1350"/>
    <s v="W10393822"/>
    <s v="Compressores Herméticos"/>
    <x v="0"/>
    <n v="3000"/>
    <n v="5002573"/>
    <s v="CARVALIMA TRANSPORTES LTDA"/>
    <n v="1407.69"/>
    <d v="2025-05-20T00:00:00"/>
  </r>
  <r>
    <s v="Sem TR"/>
    <n v="64809232"/>
    <s v="REB"/>
    <n v="9294698"/>
    <n v="178"/>
    <s v="PEÇAS -Defeito de fabric./Sem Compressão"/>
    <s v="FUNCIONAL"/>
    <x v="1"/>
    <n v="47026"/>
    <x v="16"/>
    <s v="BA"/>
    <n v="643"/>
    <s v="Elite"/>
    <n v="1350"/>
    <s v="W11647660"/>
    <s v="Compressores Herméticos"/>
    <x v="0"/>
    <n v="5000"/>
    <n v="5004101"/>
    <s v="UNIDOCK'S ASSESSORIA E LOGISTICA DE"/>
    <n v="1401.26"/>
    <d v="2025-07-22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0467328"/>
    <s v="Válvulas de Água"/>
    <x v="5"/>
    <n v="20000"/>
    <n v="5004101"/>
    <s v="UNIDOCK'S ASSESSORIA E LOGISTICA DE"/>
    <n v="1393.4"/>
    <d v="2025-07-30T00:00:00"/>
  </r>
  <r>
    <s v="Sem TR"/>
    <n v="64768398"/>
    <s v="ROB"/>
    <n v="49898"/>
    <n v="25"/>
    <s v="OC. 80 - EXTRAVIO TOTAL"/>
    <s v="TRANSPORTADORA"/>
    <x v="1"/>
    <n v="88321"/>
    <x v="68"/>
    <s v="CE"/>
    <n v="932"/>
    <s v="CDP Prata"/>
    <n v="1550"/>
    <s v="W10347201"/>
    <s v="Prateleiras"/>
    <x v="9"/>
    <n v="20000"/>
    <n v="5004391"/>
    <s v="JEONCEL TRANSPORTES LTDA"/>
    <n v="1374.95"/>
    <d v="2025-05-12T00:00:00"/>
  </r>
  <r>
    <s v="Sem TR"/>
    <n v="64768398"/>
    <s v="ROB"/>
    <n v="49898"/>
    <n v="25"/>
    <s v="OC. 80 - EXTRAVIO TOTAL"/>
    <s v="TRANSPORTADORA"/>
    <x v="1"/>
    <n v="88321"/>
    <x v="68"/>
    <s v="CE"/>
    <n v="932"/>
    <s v="CDP Prata"/>
    <n v="1550"/>
    <s v="W10347201"/>
    <s v="Prateleiras"/>
    <x v="9"/>
    <n v="20000"/>
    <n v="5004391"/>
    <s v="JEONCEL TRANSPORTES LTDA"/>
    <n v="1374.95"/>
    <d v="2025-05-12T00:00:00"/>
  </r>
  <r>
    <n v="254042260"/>
    <n v="64796054"/>
    <s v="REB"/>
    <n v="9782808"/>
    <n v="168"/>
    <s v="PEÇAS-Def.Fabric.Empenamento/Abaulamento"/>
    <s v="FUNCIONAL"/>
    <x v="0"/>
    <n v="61847"/>
    <x v="35"/>
    <s v="MG"/>
    <n v="643"/>
    <s v="Elite"/>
    <n v="1350"/>
    <s v="W10882241"/>
    <s v="Agitadores"/>
    <x v="2"/>
    <n v="36000"/>
    <n v="5004215"/>
    <s v="BRASIL WEB TRANSPORTES E LOGISTICA"/>
    <n v="1369.12"/>
    <d v="2025-06-23T00:00:00"/>
  </r>
  <r>
    <s v="Sem TR"/>
    <n v="64761635"/>
    <s v="ROB"/>
    <n v="50566"/>
    <n v="671"/>
    <s v="DEV-ENVIADO PARA GESTÃO DE CONSEQUENCIA"/>
    <s v="TRANSPORTADORA"/>
    <x v="2"/>
    <n v="64523"/>
    <x v="21"/>
    <s v="PB"/>
    <n v="713"/>
    <s v="Key Account"/>
    <n v="1550"/>
    <s v="W11551361"/>
    <s v="Peças Mecanismos"/>
    <x v="2"/>
    <n v="110000"/>
    <n v="5004391"/>
    <s v="JEONCEL TRANSPORTES LTDA"/>
    <n v="1352.38"/>
    <d v="2025-04-30T00:00:00"/>
  </r>
  <r>
    <n v="254018403"/>
    <n v="64792440"/>
    <s v="REB"/>
    <n v="10009696"/>
    <n v="178"/>
    <s v="PEÇAS -Defeito de fabric./Sem Compressão"/>
    <s v="FUNCIONAL"/>
    <x v="2"/>
    <n v="88906"/>
    <x v="69"/>
    <s v="GO"/>
    <n v="648"/>
    <s v="Ultra"/>
    <n v="1350"/>
    <s v="W11647662"/>
    <s v="Compressores Herméticos"/>
    <x v="0"/>
    <n v="5000"/>
    <n v="5002858"/>
    <s v="FAVORITA TRANSPORTES LTDA"/>
    <n v="1350.25"/>
    <d v="2025-06-16T00:00:00"/>
  </r>
  <r>
    <n v="253948458"/>
    <n v="64726711"/>
    <s v="REB"/>
    <n v="9774514"/>
    <n v="173"/>
    <s v="PEÇAS - Defeito de fabric./Alta Amperage"/>
    <s v="FUNCIONAL"/>
    <x v="2"/>
    <n v="13757"/>
    <x v="14"/>
    <s v="SP"/>
    <n v="713"/>
    <s v="Key Account"/>
    <n v="1350"/>
    <s v="W11300816"/>
    <s v="Mecanismos"/>
    <x v="2"/>
    <n v="12000"/>
    <n v="5004042"/>
    <s v="BRASIL WEB TRANSPORTES E LOGISTICA"/>
    <n v="1349.4"/>
    <d v="2025-03-07T00:00:00"/>
  </r>
  <r>
    <n v="253995212"/>
    <n v="64772595"/>
    <s v="REB"/>
    <n v="9852020"/>
    <n v="178"/>
    <s v="PEÇAS -Defeito de fabric./Sem Compressão"/>
    <s v="FUNCIONAL"/>
    <x v="2"/>
    <n v="65059"/>
    <x v="1"/>
    <s v="SP"/>
    <n v="643"/>
    <s v="Elite"/>
    <n v="1350"/>
    <s v="W10375479"/>
    <s v="Compressores Herméticos"/>
    <x v="0"/>
    <n v="3000"/>
    <n v="5004042"/>
    <s v="BRASIL WEB TRANSPORTES E LOGISTICA"/>
    <n v="1348.25"/>
    <d v="2025-05-16T00:00:00"/>
  </r>
  <r>
    <n v="254044338"/>
    <n v="64766192"/>
    <s v="REB"/>
    <n v="10020417"/>
    <n v="170"/>
    <s v="PEÇAS - Avaria - Riscada/Depósito"/>
    <s v="LOGÍSTICA"/>
    <x v="0"/>
    <n v="22041"/>
    <x v="70"/>
    <s v="SP"/>
    <n v="931"/>
    <s v="Ats Off"/>
    <n v="1350"/>
    <s v="W10728409"/>
    <s v="Mesas Cocção"/>
    <x v="6"/>
    <n v="1000"/>
    <n v="5004042"/>
    <s v="BRASIL WEB TRANSPORTES E LOGISTICA"/>
    <n v="1340.48"/>
    <d v="2025-05-16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0341892"/>
    <s v="Capas"/>
    <x v="6"/>
    <n v="50000"/>
    <n v="5004101"/>
    <s v="UNIDOCK'S ASSESSORIA E LOGISTICA DE"/>
    <n v="1335.51"/>
    <d v="2025-07-16T00:00:00"/>
  </r>
  <r>
    <n v="253995151"/>
    <n v="64771561"/>
    <s v="REB"/>
    <n v="9930815"/>
    <n v="178"/>
    <s v="PEÇAS -Defeito de fabric./Sem Compressão"/>
    <s v="FUNCIONAL"/>
    <x v="2"/>
    <n v="32023"/>
    <x v="43"/>
    <s v="SP"/>
    <n v="643"/>
    <s v="Elite"/>
    <n v="1350"/>
    <s v="W10388219"/>
    <s v="Compressores Herméticos"/>
    <x v="0"/>
    <n v="2000"/>
    <n v="5004042"/>
    <s v="BRASIL WEB TRANSPORTES E LOGISTICA"/>
    <n v="1329.05"/>
    <d v="2025-05-16T00:00:00"/>
  </r>
  <r>
    <n v="254018208"/>
    <n v="64788083"/>
    <s v="REB"/>
    <n v="10068563"/>
    <n v="90"/>
    <s v="CLIENTE-não solicitou"/>
    <s v="COMERCIAL"/>
    <x v="2"/>
    <n v="9015"/>
    <x v="72"/>
    <s v="SC"/>
    <n v="350"/>
    <s v="Ats On"/>
    <n v="1350"/>
    <s v="W11200635"/>
    <s v="Placas de Controle"/>
    <x v="1"/>
    <n v="1000"/>
    <n v="5003024"/>
    <s v="RODOBRAS TRANSPORTES RODOVIARIOS LT"/>
    <n v="1326.8"/>
    <d v="2025-06-16T00:00:00"/>
  </r>
  <r>
    <n v="253988775"/>
    <n v="64757325"/>
    <s v="REB"/>
    <n v="9943145"/>
    <n v="104"/>
    <s v="PEÇAS-Código trocado(embalag X conteúdo)"/>
    <s v="LOGÍSTICA"/>
    <x v="1"/>
    <n v="66"/>
    <x v="73"/>
    <s v="GO"/>
    <n v="931"/>
    <s v="Ats Off"/>
    <n v="1350"/>
    <s v="W10885084"/>
    <s v="Portas"/>
    <x v="6"/>
    <n v="1000"/>
    <n v="5002858"/>
    <s v="FAVORITA TRANSPORTES LTDA"/>
    <n v="1324.68"/>
    <d v="2025-04-25T00:00:00"/>
  </r>
  <r>
    <n v="254012554"/>
    <n v="64789447"/>
    <s v="REB"/>
    <n v="9985997"/>
    <n v="168"/>
    <s v="PEÇAS-Def.Fabric.Empenamento/Abaulamento"/>
    <s v="FUNCIONAL"/>
    <x v="2"/>
    <n v="61675"/>
    <x v="12"/>
    <s v="MG"/>
    <n v="643"/>
    <s v="Elite"/>
    <n v="1350"/>
    <s v="W10882241"/>
    <s v="Agitadores"/>
    <x v="2"/>
    <n v="29000"/>
    <n v="5004215"/>
    <s v="BRASIL WEB TRANSPORTES E LOGISTICA"/>
    <n v="1319.48"/>
    <d v="2025-06-10T00:00:00"/>
  </r>
  <r>
    <n v="253903250"/>
    <n v="64669772"/>
    <s v="REB"/>
    <n v="9736755"/>
    <n v="671"/>
    <s v="DEV-ENVIADO PARA GESTÃO DE CONSEQUENCIA"/>
    <s v="TRANSPORTADORA"/>
    <x v="1"/>
    <n v="75752"/>
    <x v="74"/>
    <s v="PR"/>
    <n v="648"/>
    <s v="Ultra"/>
    <n v="1350"/>
    <s v="W10624070"/>
    <s v="Gavetas"/>
    <x v="9"/>
    <n v="17000"/>
    <n v="5003024"/>
    <s v="RODOBRAS TRANSPORTES RODOVIARIOS LT"/>
    <n v="1319.27"/>
    <d v="2024-12-16T00:00:00"/>
  </r>
  <r>
    <s v="Sem TR"/>
    <n v="64806373"/>
    <s v="REB"/>
    <n v="10066097"/>
    <n v="177"/>
    <s v="PEÇAS - Defeito de fabric./Ruído"/>
    <s v="FUNCIONAL"/>
    <x v="1"/>
    <n v="121"/>
    <x v="75"/>
    <s v="PR"/>
    <n v="931"/>
    <s v="Ats Off"/>
    <n v="1350"/>
    <s v="W10666797"/>
    <s v="Compressores Herméticos"/>
    <x v="0"/>
    <n v="2000"/>
    <n v="5003024"/>
    <s v="RODOBRAS TRANSPORTES RODOVIARIOS LT"/>
    <n v="1318.19"/>
    <d v="2025-07-22T00:00:00"/>
  </r>
  <r>
    <n v="253997954"/>
    <n v="64771242"/>
    <s v="REB"/>
    <n v="9974287"/>
    <n v="90"/>
    <s v="CLIENTE-não solicitou"/>
    <s v="COMERCIAL"/>
    <x v="1"/>
    <n v="28806"/>
    <x v="76"/>
    <s v="PR"/>
    <n v="932"/>
    <s v="CDP Prata"/>
    <n v="1350"/>
    <s v="W11616712"/>
    <s v="Portas"/>
    <x v="6"/>
    <n v="1000"/>
    <n v="5003024"/>
    <s v="RODOBRAS TRANSPORTES RODOVIARIOS LT"/>
    <n v="1312.39"/>
    <d v="2025-05-20T00:00:00"/>
  </r>
  <r>
    <n v="253879497"/>
    <n v="64624818"/>
    <s v="REB"/>
    <n v="9416424"/>
    <n v="178"/>
    <s v="PEÇAS -Defeito de fabric./Sem Compressão"/>
    <s v="FUNCIONAL"/>
    <x v="1"/>
    <n v="65059"/>
    <x v="1"/>
    <s v="SP"/>
    <n v="643"/>
    <s v="Elite"/>
    <n v="1350"/>
    <s v="W10375479"/>
    <s v="Compressores Herméticos"/>
    <x v="0"/>
    <n v="3000"/>
    <n v="5003482"/>
    <s v="TMA TRANSPORTE LOTACAO E LOGISTICA"/>
    <n v="1302.5899999999999"/>
    <d v="2024-11-19T00:00:00"/>
  </r>
  <r>
    <n v="254041580"/>
    <n v="64722638"/>
    <s v="ZDVP"/>
    <n v="9798663"/>
    <n v="160"/>
    <s v="OI Cancelada - Ver motivo no texto"/>
    <s v="OUTROS"/>
    <x v="0"/>
    <n v="29374"/>
    <x v="20"/>
    <s v="SP"/>
    <n v="643"/>
    <s v="Elite"/>
    <n v="1350"/>
    <s v="W11647662"/>
    <s v="Compressores Herméticos"/>
    <x v="0"/>
    <n v="4000"/>
    <n v="5004042"/>
    <s v="BRASIL WEB TRANSPORTES E LOGISTICA"/>
    <n v="1286.04"/>
    <d v="2025-03-10T00:00:00"/>
  </r>
  <r>
    <n v="253886232"/>
    <n v="64655234"/>
    <s v="REB"/>
    <n v="9683115"/>
    <n v="671"/>
    <s v="DEV-ENVIADO PARA GESTÃO DE CONSEQUENCIA"/>
    <s v="TRANSPORTADORA"/>
    <x v="1"/>
    <n v="13747"/>
    <x v="14"/>
    <s v="RS"/>
    <n v="713"/>
    <s v="Key Account"/>
    <n v="1350"/>
    <s v="W10678919"/>
    <s v="Placas de Controle"/>
    <x v="1"/>
    <n v="20000"/>
    <n v="5003024"/>
    <s v="RODOBRAS TRANSPORTES RODOVIARIOS LT"/>
    <n v="1285.17"/>
    <d v="2024-11-29T00:00:00"/>
  </r>
  <r>
    <n v="253948589"/>
    <n v="64726452"/>
    <s v="REB"/>
    <n v="9744909"/>
    <n v="178"/>
    <s v="PEÇAS -Defeito de fabric./Sem Compressão"/>
    <s v="FUNCIONAL"/>
    <x v="2"/>
    <n v="87383"/>
    <x v="77"/>
    <s v="RJ"/>
    <n v="933"/>
    <s v="Top"/>
    <n v="1350"/>
    <s v="W11741178"/>
    <s v="Outros"/>
    <x v="7"/>
    <n v="4000"/>
    <n v="5003176"/>
    <s v="J C THEDIN TRANSPORTES LTDA"/>
    <n v="1276.71"/>
    <d v="2025-03-07T00:00:00"/>
  </r>
  <r>
    <s v="Sem TR"/>
    <n v="64811428"/>
    <s v="REB"/>
    <n v="9910607"/>
    <n v="176"/>
    <s v="PEÇAS - Defeito de fabric./Interrompido"/>
    <s v="FUNCIONAL"/>
    <x v="1"/>
    <n v="81988"/>
    <x v="38"/>
    <s v="MG"/>
    <n v="648"/>
    <s v="Ultra"/>
    <n v="1350"/>
    <s v="W11647660"/>
    <s v="Compressores Herméticos"/>
    <x v="0"/>
    <n v="4000"/>
    <n v="5004215"/>
    <s v="BRASIL WEB TRANSPORTES E LOGISTICA"/>
    <n v="1247.01"/>
    <d v="2025-07-17T00:00:00"/>
  </r>
  <r>
    <s v="Sem TR"/>
    <n v="64812415"/>
    <s v="REB"/>
    <n v="10070056"/>
    <n v="173"/>
    <s v="PEÇAS - Defeito de fabric./Alta Amperage"/>
    <s v="FUNCIONAL"/>
    <x v="1"/>
    <n v="29165"/>
    <x v="10"/>
    <s v="PE"/>
    <n v="641"/>
    <s v="CDP Diamante"/>
    <n v="1350"/>
    <n v="326075420"/>
    <s v="Placas de Interface"/>
    <x v="1"/>
    <n v="1000"/>
    <n v="5004101"/>
    <s v="UNIDOCK'S ASSESSORIA E LOGISTICA DE"/>
    <n v="1239.58"/>
    <d v="2025-07-17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0721910"/>
    <s v="Pressostatos"/>
    <x v="3"/>
    <n v="50000"/>
    <n v="5004042"/>
    <s v="BRASIL WEB TRANSPORTES E LOGISTICA"/>
    <n v="1233.04"/>
    <d v="2025-05-26T00:00:00"/>
  </r>
  <r>
    <n v="254041593"/>
    <n v="64728550"/>
    <s v="ZDVP"/>
    <n v="9746009"/>
    <n v="160"/>
    <s v="OI Cancelada - Ver motivo no texto"/>
    <s v="OUTROS"/>
    <x v="0"/>
    <n v="63300"/>
    <x v="17"/>
    <s v="MG"/>
    <n v="643"/>
    <s v="Elite"/>
    <n v="1350"/>
    <s v="W11677210"/>
    <s v="Compressores Herméticos"/>
    <x v="0"/>
    <n v="3000"/>
    <n v="5004215"/>
    <s v="BRASIL WEB TRANSPORTES E LOGISTICA"/>
    <n v="1216.54"/>
    <d v="2025-03-10T00:00:00"/>
  </r>
  <r>
    <n v="254035395"/>
    <n v="64812420"/>
    <s v="REB"/>
    <n v="10015730"/>
    <n v="176"/>
    <s v="PEÇAS - Defeito de fabric./Interrompido"/>
    <s v="FUNCIONAL"/>
    <x v="0"/>
    <n v="58276"/>
    <x v="78"/>
    <s v="CE"/>
    <n v="644"/>
    <s v="Plus"/>
    <n v="1350"/>
    <s v="W10818971"/>
    <s v="Placas de Controle"/>
    <x v="1"/>
    <n v="8000"/>
    <n v="5004101"/>
    <s v="UNIDOCK'S ASSESSORIA E LOGISTICA DE"/>
    <n v="1214.1600000000001"/>
    <d v="2025-07-17T00:00:00"/>
  </r>
  <r>
    <s v="Sem TR"/>
    <n v="64731052"/>
    <s v="ROB"/>
    <n v="9901224"/>
    <n v="25"/>
    <s v="OC. 80 - EXTRAVIO TOTAL"/>
    <s v="TRANSPORTADORA"/>
    <x v="0"/>
    <n v="61472"/>
    <x v="79"/>
    <s v="MG"/>
    <n v="350"/>
    <s v="Ats On"/>
    <n v="1350"/>
    <s v="W10884837"/>
    <s v="Portas"/>
    <x v="6"/>
    <n v="1000"/>
    <n v="5004101"/>
    <s v="UNIDOCK'S ASSESSORIA E LOGISTICA DE"/>
    <n v="1213.3800000000001"/>
    <d v="2025-03-13T00:00:00"/>
  </r>
  <r>
    <s v="Sem TR"/>
    <n v="64812682"/>
    <s v="REB"/>
    <n v="9918506"/>
    <n v="176"/>
    <s v="PEÇAS - Defeito de fabric./Interrompido"/>
    <s v="FUNCIONAL"/>
    <x v="1"/>
    <n v="13757"/>
    <x v="14"/>
    <s v="SP"/>
    <n v="713"/>
    <s v="Key Account"/>
    <n v="1350"/>
    <s v="W10882241"/>
    <s v="Agitadores"/>
    <x v="2"/>
    <n v="37000"/>
    <n v="5004042"/>
    <s v="BRASIL WEB TRANSPORTES E LOGISTICA"/>
    <n v="1212.07"/>
    <d v="2025-07-17T00:00:00"/>
  </r>
  <r>
    <s v="Sem TR"/>
    <n v="64814390"/>
    <s v="REB"/>
    <n v="10095116"/>
    <n v="167"/>
    <s v="PEÇAS - Avaria - Quebrada/Depósito"/>
    <s v="LOGÍSTICA"/>
    <x v="1"/>
    <n v="68085"/>
    <x v="4"/>
    <s v="SP"/>
    <n v="643"/>
    <s v="Elite"/>
    <n v="1350"/>
    <s v="W10882241"/>
    <s v="Agitadores"/>
    <x v="2"/>
    <n v="21000"/>
    <n v="5004042"/>
    <s v="BRASIL WEB TRANSPORTES E LOGISTICA"/>
    <n v="1200.8699999999999"/>
    <d v="2025-07-22T00:00:00"/>
  </r>
  <r>
    <n v="254033300"/>
    <n v="64806355"/>
    <s v="REB"/>
    <n v="10044441"/>
    <n v="104"/>
    <s v="PEÇAS-Código trocado(embalag X conteúdo)"/>
    <s v="LOGÍSTICA"/>
    <x v="0"/>
    <n v="21330"/>
    <x v="80"/>
    <s v="PR"/>
    <n v="643"/>
    <s v="Elite"/>
    <n v="1350"/>
    <s v="W11299805"/>
    <s v="Mecanismos"/>
    <x v="2"/>
    <n v="10000"/>
    <n v="5003024"/>
    <s v="RODOBRAS TRANSPORTES RODOVIARIOS LT"/>
    <n v="1199.7"/>
    <d v="2025-07-08T00:00:00"/>
  </r>
  <r>
    <n v="254035430"/>
    <n v="64812294"/>
    <s v="REB"/>
    <n v="10111479"/>
    <n v="167"/>
    <s v="PEÇAS - Avaria - Quebrada/Depósito"/>
    <s v="LOGÍSTICA"/>
    <x v="0"/>
    <n v="75752"/>
    <x v="74"/>
    <s v="PR"/>
    <n v="648"/>
    <s v="Ultra"/>
    <n v="1350"/>
    <s v="W10624070"/>
    <s v="Gavetas"/>
    <x v="9"/>
    <n v="16000"/>
    <n v="5003024"/>
    <s v="RODOBRAS TRANSPORTES RODOVIARIOS LT"/>
    <n v="1195.1300000000001"/>
    <d v="2025-07-17T00:00:00"/>
  </r>
  <r>
    <n v="253879500"/>
    <n v="64647434"/>
    <s v="REB"/>
    <n v="9540383"/>
    <n v="178"/>
    <s v="PEÇAS -Defeito de fabric./Sem Compressão"/>
    <s v="FUNCIONAL"/>
    <x v="1"/>
    <n v="68085"/>
    <x v="4"/>
    <s v="SP"/>
    <n v="643"/>
    <s v="Elite"/>
    <n v="1350"/>
    <s v="W11677209"/>
    <s v="Compressores Herméticos"/>
    <x v="0"/>
    <n v="4000"/>
    <n v="5003482"/>
    <s v="TMA TRANSPORTE LOTACAO E LOGISTICA"/>
    <n v="1192.08"/>
    <d v="2024-11-19T00:00:00"/>
  </r>
  <r>
    <n v="253952317"/>
    <n v="64728989"/>
    <s v="REB"/>
    <n v="9895563"/>
    <n v="178"/>
    <s v="PEÇAS -Defeito de fabric./Sem Compressão"/>
    <s v="FUNCIONAL"/>
    <x v="1"/>
    <n v="42455"/>
    <x v="81"/>
    <s v="SP"/>
    <n v="931"/>
    <s v="Ats Off"/>
    <n v="1350"/>
    <s v="W11516472"/>
    <s v="Compressores Herméticos"/>
    <x v="0"/>
    <n v="3000"/>
    <n v="5003482"/>
    <s v="TMA TRANSPORTE LOTACAO E LOGISTICA"/>
    <n v="1184.42"/>
    <d v="2025-03-10T00:00:00"/>
  </r>
  <r>
    <s v="Sem TR"/>
    <n v="64768422"/>
    <s v="ROB"/>
    <n v="50556"/>
    <n v="671"/>
    <s v="DEV-ENVIADO PARA GESTÃO DE CONSEQUENCIA"/>
    <s v="TRANSPORTADORA"/>
    <x v="2"/>
    <n v="12692"/>
    <x v="82"/>
    <s v="BA"/>
    <n v="641"/>
    <s v="CDP Diamante"/>
    <n v="1550"/>
    <s v="W10531315"/>
    <s v="Sensores"/>
    <x v="3"/>
    <n v="130000"/>
    <n v="5004391"/>
    <s v="JEONCEL TRANSPORTES LTDA"/>
    <n v="1180.98"/>
    <d v="2025-05-12T00:00:00"/>
  </r>
  <r>
    <n v="253988914"/>
    <n v="64762715"/>
    <s v="REB"/>
    <n v="10003194"/>
    <n v="90"/>
    <s v="CLIENTE-não solicitou"/>
    <s v="COMERCIAL"/>
    <x v="1"/>
    <n v="72606"/>
    <x v="83"/>
    <s v="SP"/>
    <n v="932"/>
    <s v="CDP Prata"/>
    <n v="1350"/>
    <s v="W10882442"/>
    <s v="Placas de Controle"/>
    <x v="1"/>
    <n v="2000"/>
    <n v="5004042"/>
    <s v="BRASIL WEB TRANSPORTES E LOGISTICA"/>
    <n v="1168.42"/>
    <d v="2025-05-05T00:00:00"/>
  </r>
  <r>
    <n v="254033373"/>
    <n v="64806680"/>
    <s v="REB"/>
    <n v="10087188"/>
    <n v="92"/>
    <s v="PEÇAS-Preço divergente"/>
    <s v="COMERCIAL"/>
    <x v="0"/>
    <n v="29731"/>
    <x v="14"/>
    <s v="RS"/>
    <n v="713"/>
    <s v="Key Account"/>
    <n v="1350"/>
    <s v="W11703911"/>
    <s v="Outros"/>
    <x v="7"/>
    <n v="10000"/>
    <n v="5003024"/>
    <s v="RODOBRAS TRANSPORTES RODOVIARIOS LT"/>
    <n v="1161.7"/>
    <d v="2025-07-08T00:00:00"/>
  </r>
  <r>
    <n v="254033426"/>
    <n v="64807594"/>
    <s v="REB"/>
    <n v="9687585"/>
    <n v="178"/>
    <s v="PEÇAS -Defeito de fabric./Sem Compressão"/>
    <s v="FUNCIONAL"/>
    <x v="0"/>
    <n v="61675"/>
    <x v="12"/>
    <s v="MG"/>
    <n v="643"/>
    <s v="Elite"/>
    <n v="1350"/>
    <s v="W11647660"/>
    <s v="Compressores Herméticos"/>
    <x v="0"/>
    <n v="4000"/>
    <n v="5004215"/>
    <s v="BRASIL WEB TRANSPORTES E LOGISTICA"/>
    <n v="1161.56"/>
    <d v="2025-07-08T00:00:00"/>
  </r>
  <r>
    <n v="254023829"/>
    <n v="64802521"/>
    <s v="ROB"/>
    <n v="10108794"/>
    <n v="115"/>
    <s v="PEÇAS-Recusa do cliente"/>
    <s v="COMERCIAL"/>
    <x v="2"/>
    <n v="18809"/>
    <x v="60"/>
    <s v="RS"/>
    <n v="713"/>
    <s v="Key Account"/>
    <n v="1350"/>
    <s v="W10515645"/>
    <s v="Filtros"/>
    <x v="5"/>
    <n v="57000"/>
    <n v="5003024"/>
    <s v="RODOBRAS TRANSPORTES RODOVIARIOS LT"/>
    <n v="1155.3900000000001"/>
    <d v="2025-07-01T00:00:00"/>
  </r>
  <r>
    <n v="254003872"/>
    <n v="64777944"/>
    <s v="REB"/>
    <n v="10006867"/>
    <n v="90"/>
    <s v="CLIENTE-não solicitou"/>
    <s v="COMERCIAL"/>
    <x v="1"/>
    <n v="13757"/>
    <x v="14"/>
    <s v="SP"/>
    <n v="713"/>
    <s v="Key Account"/>
    <n v="1350"/>
    <s v="W10882443"/>
    <s v="Placas de Controle"/>
    <x v="1"/>
    <n v="3000"/>
    <n v="5004042"/>
    <s v="BRASIL WEB TRANSPORTES E LOGISTICA"/>
    <n v="1154.53"/>
    <d v="2025-05-26T00:00:00"/>
  </r>
  <r>
    <n v="253943271"/>
    <n v="64719962"/>
    <s v="ROB"/>
    <n v="9864063"/>
    <n v="671"/>
    <s v="DEV-ENVIADO PARA GESTÃO DE CONSEQUENCIA"/>
    <s v="TRANSPORTADORA"/>
    <x v="1"/>
    <n v="46501"/>
    <x v="84"/>
    <s v="MT"/>
    <n v="933"/>
    <s v="Top"/>
    <n v="1350"/>
    <s v="W11299805"/>
    <s v="Mecanismos"/>
    <x v="2"/>
    <n v="10000"/>
    <n v="5002573"/>
    <s v="CARVALIMA TRANSPORTES LTDA"/>
    <n v="1154.5"/>
    <d v="2025-02-25T00:00:00"/>
  </r>
  <r>
    <n v="254042203"/>
    <n v="64795939"/>
    <s v="REB"/>
    <n v="9986965"/>
    <n v="168"/>
    <s v="PEÇAS-Def.Fabric.Empenamento/Abaulamento"/>
    <s v="FUNCIONAL"/>
    <x v="0"/>
    <n v="67933"/>
    <x v="55"/>
    <s v="GO"/>
    <n v="648"/>
    <s v="Ultra"/>
    <n v="1350"/>
    <s v="W10882241"/>
    <s v="Agitadores"/>
    <x v="2"/>
    <n v="28000"/>
    <n v="5002858"/>
    <s v="FAVORITA TRANSPORTES LTDA"/>
    <n v="1136.19"/>
    <d v="2025-06-23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1245250"/>
    <s v="Válvulas de Água"/>
    <x v="5"/>
    <n v="20000"/>
    <n v="5004101"/>
    <s v="UNIDOCK'S ASSESSORIA E LOGISTICA DE"/>
    <n v="1133.8"/>
    <d v="2025-07-30T00:00:00"/>
  </r>
  <r>
    <n v="254003874"/>
    <n v="64777859"/>
    <s v="REB"/>
    <n v="9841545"/>
    <n v="173"/>
    <s v="PEÇAS - Defeito de fabric./Alta Amperage"/>
    <s v="FUNCIONAL"/>
    <x v="1"/>
    <n v="14441"/>
    <x v="61"/>
    <s v="SP"/>
    <n v="931"/>
    <s v="Ats Off"/>
    <n v="1350"/>
    <s v="W11516471"/>
    <s v="Compressores Herméticos"/>
    <x v="0"/>
    <n v="3000"/>
    <n v="5004042"/>
    <s v="BRASIL WEB TRANSPORTES E LOGISTICA"/>
    <n v="1131.21"/>
    <d v="2025-05-26T00:00:00"/>
  </r>
  <r>
    <n v="253952030"/>
    <n v="64729034"/>
    <s v="REB"/>
    <n v="9860067"/>
    <n v="176"/>
    <s v="PEÇAS - Defeito de fabric./Interrompido"/>
    <s v="FUNCIONAL"/>
    <x v="1"/>
    <n v="66"/>
    <x v="73"/>
    <s v="GO"/>
    <n v="931"/>
    <s v="Ats Off"/>
    <n v="1350"/>
    <s v="W10768811"/>
    <s v="Compressores Rotativos"/>
    <x v="0"/>
    <n v="1000"/>
    <n v="5002858"/>
    <s v="FAVORITA TRANSPORTES LTDA"/>
    <n v="1130.58"/>
    <d v="2025-03-10T00:00:00"/>
  </r>
  <r>
    <n v="254042179"/>
    <n v="64796000"/>
    <s v="REB"/>
    <n v="9860067"/>
    <n v="177"/>
    <s v="PEÇAS - Defeito de fabric./Ruído"/>
    <s v="FUNCIONAL"/>
    <x v="0"/>
    <n v="66"/>
    <x v="73"/>
    <s v="GO"/>
    <n v="931"/>
    <s v="Ats Off"/>
    <n v="1350"/>
    <s v="W10768811"/>
    <s v="Compressores Rotativos"/>
    <x v="0"/>
    <n v="1000"/>
    <n v="5002858"/>
    <s v="FAVORITA TRANSPORTES LTDA"/>
    <n v="1130.58"/>
    <d v="2025-06-23T00:00:00"/>
  </r>
  <r>
    <n v="254043651"/>
    <n v="64804991"/>
    <s v="REB"/>
    <n v="10033798"/>
    <n v="173"/>
    <s v="PEÇAS - Defeito de fabric./Alta Amperage"/>
    <s v="FUNCIONAL"/>
    <x v="0"/>
    <n v="37369"/>
    <x v="85"/>
    <s v="SC"/>
    <n v="932"/>
    <s v="CDP Prata"/>
    <n v="1350"/>
    <s v="W11348597"/>
    <s v="Painéis de Controle"/>
    <x v="6"/>
    <n v="1000"/>
    <n v="5003024"/>
    <s v="RODOBRAS TRANSPORTES RODOVIARIOS LT"/>
    <n v="1120.49"/>
    <d v="2025-07-03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435392"/>
    <s v="Placas de Controle"/>
    <x v="1"/>
    <n v="4000"/>
    <n v="5002858"/>
    <s v="FAVORITA TRANSPORTES LTDA"/>
    <n v="1119.83"/>
    <d v="2025-07-15T00:00:00"/>
  </r>
  <r>
    <s v="Sem TR"/>
    <n v="64814609"/>
    <s v="REB"/>
    <n v="9945444"/>
    <n v="178"/>
    <s v="PEÇAS -Defeito de fabric./Sem Compressão"/>
    <s v="FUNCIONAL"/>
    <x v="1"/>
    <n v="84681"/>
    <x v="17"/>
    <s v="BA"/>
    <n v="643"/>
    <s v="Elite"/>
    <n v="1350"/>
    <s v="W11647660"/>
    <s v="Compressores Herméticos"/>
    <x v="0"/>
    <n v="4000"/>
    <n v="5004101"/>
    <s v="UNIDOCK'S ASSESSORIA E LOGISTICA DE"/>
    <n v="1114.32"/>
    <d v="2025-07-22T00:00:00"/>
  </r>
  <r>
    <n v="254007578"/>
    <n v="64781368"/>
    <s v="REB"/>
    <n v="10053686"/>
    <n v="165"/>
    <s v="PEÇAS - Defeito de fabric./Incompleta"/>
    <s v="FUNCIONAL"/>
    <x v="2"/>
    <n v="30847"/>
    <x v="87"/>
    <s v="SP"/>
    <n v="644"/>
    <s v="Plus"/>
    <n v="1350"/>
    <s v="W10710769"/>
    <s v="Termostatos"/>
    <x v="3"/>
    <n v="10000"/>
    <n v="5004042"/>
    <s v="BRASIL WEB TRANSPORTES E LOGISTICA"/>
    <n v="1114.29"/>
    <d v="2025-06-02T00:00:00"/>
  </r>
  <r>
    <n v="254035432"/>
    <n v="64812708"/>
    <s v="REB"/>
    <n v="10033019"/>
    <n v="177"/>
    <s v="PEÇAS - Defeito de fabric./Ruído"/>
    <s v="FUNCIONAL"/>
    <x v="0"/>
    <n v="80432"/>
    <x v="3"/>
    <s v="ES"/>
    <n v="713"/>
    <s v="Key Account"/>
    <n v="1350"/>
    <s v="W11300816"/>
    <s v="Mecanismos"/>
    <x v="2"/>
    <n v="11000"/>
    <n v="5004042"/>
    <s v="BRASIL WEB TRANSPORTES E LOGISTICA"/>
    <n v="1114.19"/>
    <d v="2025-07-17T00:00:00"/>
  </r>
  <r>
    <n v="253995142"/>
    <n v="64771109"/>
    <s v="REB"/>
    <n v="9706905"/>
    <n v="178"/>
    <s v="PEÇAS -Defeito de fabric./Sem Compressão"/>
    <s v="FUNCIONAL"/>
    <x v="2"/>
    <n v="30121"/>
    <x v="23"/>
    <s v="SP"/>
    <n v="648"/>
    <s v="Ultra"/>
    <n v="1350"/>
    <s v="W10388222"/>
    <s v="Compressores Herméticos"/>
    <x v="0"/>
    <n v="2000"/>
    <n v="5004042"/>
    <s v="BRASIL WEB TRANSPORTES E LOGISTICA"/>
    <n v="1107.69"/>
    <d v="2025-05-15T00:00:00"/>
  </r>
  <r>
    <s v="Sem TR"/>
    <n v="64814544"/>
    <s v="ROB"/>
    <n v="10090672"/>
    <n v="115"/>
    <s v="PEÇAS-Recusa do cliente"/>
    <s v="COMERCIAL"/>
    <x v="1"/>
    <n v="48607"/>
    <x v="88"/>
    <s v="SP"/>
    <n v="350"/>
    <s v="Ats On"/>
    <n v="1350"/>
    <s v="W10885064"/>
    <s v="Portas"/>
    <x v="6"/>
    <n v="1000"/>
    <n v="5004101"/>
    <s v="UNIDOCK'S ASSESSORIA E LOGISTICA DE"/>
    <n v="1106.97"/>
    <d v="2025-07-22T00:00:00"/>
  </r>
  <r>
    <s v="Sem TR"/>
    <n v="64814606"/>
    <s v="REB"/>
    <n v="9379430"/>
    <n v="178"/>
    <s v="PEÇAS -Defeito de fabric./Sem Compressão"/>
    <s v="FUNCIONAL"/>
    <x v="1"/>
    <n v="84681"/>
    <x v="17"/>
    <s v="BA"/>
    <n v="643"/>
    <s v="Elite"/>
    <n v="1350"/>
    <s v="W10798744"/>
    <s v="Compressores Herméticos"/>
    <x v="0"/>
    <n v="4000"/>
    <n v="5004101"/>
    <s v="UNIDOCK'S ASSESSORIA E LOGISTICA DE"/>
    <n v="1104.98"/>
    <d v="2025-07-22T00:00:00"/>
  </r>
  <r>
    <n v="253944078"/>
    <n v="64714795"/>
    <s v="REB"/>
    <n v="9379430"/>
    <n v="178"/>
    <s v="PEÇAS -Defeito de fabric./Sem Compressão"/>
    <s v="FUNCIONAL"/>
    <x v="1"/>
    <n v="84681"/>
    <x v="17"/>
    <s v="BA"/>
    <n v="643"/>
    <s v="Elite"/>
    <n v="1350"/>
    <s v="W10798744"/>
    <s v="Compressores Herméticos"/>
    <x v="0"/>
    <n v="4000"/>
    <n v="5004101"/>
    <s v="UNIDOCK'S ASSESSORIA E LOGISTICA DE"/>
    <n v="1104.98"/>
    <d v="2025-02-17T00:00:00"/>
  </r>
  <r>
    <n v="254018187"/>
    <n v="64792962"/>
    <s v="REB"/>
    <n v="9952295"/>
    <n v="176"/>
    <s v="PEÇAS - Defeito de fabric./Interrompido"/>
    <s v="FUNCIONAL"/>
    <x v="1"/>
    <n v="4318"/>
    <x v="89"/>
    <s v="SC"/>
    <n v="931"/>
    <s v="Ats Off"/>
    <n v="1350"/>
    <n v="326075420"/>
    <s v="Placas de Interface"/>
    <x v="1"/>
    <n v="1000"/>
    <n v="5003024"/>
    <s v="RODOBRAS TRANSPORTES RODOVIARIOS LT"/>
    <n v="1101.5"/>
    <d v="2025-06-17T00:00:00"/>
  </r>
  <r>
    <s v="Sem TR"/>
    <n v="64725687"/>
    <s v="REB"/>
    <n v="9840914"/>
    <n v="167"/>
    <s v="PEÇAS - Avaria - Quebrada/Depósito"/>
    <s v="LOGÍSTICA"/>
    <x v="1"/>
    <n v="8975"/>
    <x v="90"/>
    <s v="MA"/>
    <n v="931"/>
    <s v="Ats Off"/>
    <n v="1350"/>
    <s v="W10287527"/>
    <s v="Prateleiras"/>
    <x v="9"/>
    <n v="10000"/>
    <n v="5004101"/>
    <s v="UNIDOCK'S ASSESSORIA E LOGISTICA DE"/>
    <n v="1097.06"/>
    <d v="2025-03-07T00:00:00"/>
  </r>
  <r>
    <n v="254038947"/>
    <n v="64816971"/>
    <s v="REB"/>
    <n v="10140296"/>
    <n v="170"/>
    <s v="PEÇAS - Avaria - Riscada/Depósito"/>
    <s v="LOGÍSTICA"/>
    <x v="0"/>
    <n v="40704"/>
    <x v="91"/>
    <s v="SP"/>
    <n v="931"/>
    <s v="Ats Off"/>
    <n v="1350"/>
    <n v="326039057"/>
    <s v="Gabinetes"/>
    <x v="6"/>
    <n v="2000"/>
    <n v="5004042"/>
    <s v="BRASIL WEB TRANSPORTES E LOGISTICA"/>
    <n v="1096.1500000000001"/>
    <d v="2025-07-24T00:00:00"/>
  </r>
  <r>
    <n v="254015603"/>
    <n v="64793277"/>
    <s v="REB"/>
    <n v="10041467"/>
    <n v="170"/>
    <s v="PEÇAS - Avaria - Riscada/Depósito"/>
    <s v="LOGÍSTICA"/>
    <x v="2"/>
    <n v="40704"/>
    <x v="91"/>
    <s v="SP"/>
    <n v="931"/>
    <s v="Ats Off"/>
    <n v="1350"/>
    <s v="W10576148"/>
    <s v="Gabinetes"/>
    <x v="6"/>
    <n v="2000"/>
    <n v="5004042"/>
    <s v="BRASIL WEB TRANSPORTES E LOGISTICA"/>
    <n v="1094.8399999999999"/>
    <d v="2025-06-17T00:00:00"/>
  </r>
  <r>
    <n v="253915597"/>
    <n v="64687641"/>
    <s v="REB"/>
    <n v="9503988"/>
    <n v="178"/>
    <s v="PEÇAS -Defeito de fabric./Sem Compressão"/>
    <s v="FUNCIONAL"/>
    <x v="1"/>
    <n v="32455"/>
    <x v="92"/>
    <s v="SP"/>
    <n v="648"/>
    <s v="Ultra"/>
    <n v="1350"/>
    <s v="W10393823"/>
    <s v="Compressores Herméticos"/>
    <x v="0"/>
    <n v="2000"/>
    <n v="5003482"/>
    <s v="TMA TRANSPORTE LOTACAO E LOGISTICA"/>
    <n v="1090.69"/>
    <d v="2025-01-09T00:00:00"/>
  </r>
  <r>
    <s v="Sem TR"/>
    <n v="64802438"/>
    <s v="REB"/>
    <n v="10090356"/>
    <n v="176"/>
    <s v="PEÇAS - Defeito de fabric./Interrompido"/>
    <s v="FUNCIONAL"/>
    <x v="1"/>
    <n v="3524"/>
    <x v="93"/>
    <s v="SP"/>
    <n v="931"/>
    <s v="Ats Off"/>
    <n v="1350"/>
    <n v="326075869"/>
    <s v="Placas de Controle"/>
    <x v="1"/>
    <n v="1000"/>
    <n v="5004042"/>
    <s v="BRASIL WEB TRANSPORTES E LOGISTICA"/>
    <n v="1085.55"/>
    <d v="2025-07-01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n v="326061171"/>
    <s v="Placas de Controle"/>
    <x v="1"/>
    <n v="4000"/>
    <n v="5004101"/>
    <s v="UNIDOCK'S ASSESSORIA E LOGISTICA DE"/>
    <n v="1083.04"/>
    <d v="2025-03-13T00:00:00"/>
  </r>
  <r>
    <n v="254030268"/>
    <n v="64795962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4000"/>
    <n v="5004101"/>
    <s v="UNIDOCK'S ASSESSORIA E LOGISTICA DE"/>
    <n v="1079.8699999999999"/>
    <d v="2025-07-01T00:00:00"/>
  </r>
  <r>
    <n v="254030271"/>
    <n v="64802594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4000"/>
    <n v="5004101"/>
    <s v="UNIDOCK'S ASSESSORIA E LOGISTICA DE"/>
    <n v="1079.8699999999999"/>
    <d v="2025-07-01T00:00:00"/>
  </r>
  <r>
    <n v="254012534"/>
    <n v="64789384"/>
    <s v="REB"/>
    <n v="9280400"/>
    <n v="178"/>
    <s v="PEÇAS -Defeito de fabric./Sem Compressão"/>
    <s v="FUNCIONAL"/>
    <x v="2"/>
    <n v="47026"/>
    <x v="16"/>
    <s v="BA"/>
    <n v="643"/>
    <s v="Elite"/>
    <n v="1350"/>
    <s v="W10798744"/>
    <s v="Compressores Herméticos"/>
    <x v="0"/>
    <n v="4000"/>
    <n v="5004101"/>
    <s v="UNIDOCK'S ASSESSORIA E LOGISTICA DE"/>
    <n v="1079.8699999999999"/>
    <d v="2025-06-10T00:00:00"/>
  </r>
  <r>
    <s v="Sem TR"/>
    <n v="64808122"/>
    <s v="REB"/>
    <n v="9675543"/>
    <n v="173"/>
    <s v="PEÇAS - Defeito de fabric./Alta Amperage"/>
    <s v="FUNCIONAL"/>
    <x v="1"/>
    <n v="66015"/>
    <x v="94"/>
    <s v="MG"/>
    <n v="350"/>
    <s v="Ats On"/>
    <n v="1350"/>
    <s v="W10393822"/>
    <s v="Compressores Herméticos"/>
    <x v="0"/>
    <n v="2000"/>
    <n v="5004215"/>
    <s v="BRASIL WEB TRANSPORTES E LOGISTICA"/>
    <n v="1077.7"/>
    <d v="2025-07-17T00:00:00"/>
  </r>
  <r>
    <n v="254033398"/>
    <n v="64802473"/>
    <s v="REB"/>
    <n v="10015525"/>
    <n v="173"/>
    <s v="PEÇAS - Defeito de fabric./Alta Amperage"/>
    <s v="FUNCIONAL"/>
    <x v="1"/>
    <n v="37434"/>
    <x v="95"/>
    <s v="GO"/>
    <n v="931"/>
    <s v="Ats Off"/>
    <n v="1350"/>
    <s v="W11650068"/>
    <s v="Outros"/>
    <x v="7"/>
    <n v="10000"/>
    <n v="5002858"/>
    <s v="FAVORITA TRANSPORTES LTDA"/>
    <n v="1075.5"/>
    <d v="2025-07-01T00:00:00"/>
  </r>
  <r>
    <n v="254035435"/>
    <n v="64812270"/>
    <s v="REB"/>
    <n v="10066834"/>
    <n v="173"/>
    <s v="PEÇAS - Defeito de fabric./Alta Amperage"/>
    <s v="FUNCIONAL"/>
    <x v="0"/>
    <n v="81093"/>
    <x v="53"/>
    <s v="ES"/>
    <n v="713"/>
    <s v="Key Account"/>
    <n v="1350"/>
    <s v="W10882241"/>
    <s v="Agitadores"/>
    <x v="2"/>
    <n v="34000"/>
    <n v="5004042"/>
    <s v="BRASIL WEB TRANSPORTES E LOGISTICA"/>
    <n v="1073.8399999999999"/>
    <d v="2025-07-17T00:00:00"/>
  </r>
  <r>
    <n v="254033257"/>
    <n v="64807368"/>
    <s v="REB"/>
    <n v="10096851"/>
    <n v="173"/>
    <s v="PEÇAS - Defeito de fabric./Alta Amperage"/>
    <s v="FUNCIONAL"/>
    <x v="1"/>
    <n v="3236"/>
    <x v="45"/>
    <s v="SP"/>
    <n v="931"/>
    <s v="Ats Off"/>
    <n v="1350"/>
    <s v="W10728412"/>
    <s v="Resistências"/>
    <x v="1"/>
    <n v="2000"/>
    <n v="5004042"/>
    <s v="BRASIL WEB TRANSPORTES E LOGISTICA"/>
    <n v="1072.1300000000001"/>
    <d v="2025-07-08T00:00:00"/>
  </r>
  <r>
    <n v="253961316"/>
    <n v="64738025"/>
    <s v="REB"/>
    <n v="9853799"/>
    <n v="173"/>
    <s v="PEÇAS - Defeito de fabric./Alta Amperage"/>
    <s v="FUNCIONAL"/>
    <x v="1"/>
    <n v="30990"/>
    <x v="26"/>
    <s v="ES"/>
    <n v="713"/>
    <s v="Key Account"/>
    <n v="1350"/>
    <s v="W11300675"/>
    <s v="Mecanismos"/>
    <x v="2"/>
    <n v="12000"/>
    <n v="5004042"/>
    <s v="BRASIL WEB TRANSPORTES E LOGISTICA"/>
    <n v="1071"/>
    <d v="2025-03-26T00:00:00"/>
  </r>
  <r>
    <s v="Sem TR"/>
    <n v="64809027"/>
    <s v="ZRVP"/>
    <n v="10114507"/>
    <n v="182"/>
    <s v="PEÇAS - Extravio - Volume a menor"/>
    <s v="TRANSPORTADORA"/>
    <x v="1"/>
    <n v="61371"/>
    <x v="96"/>
    <s v="DF"/>
    <n v="933"/>
    <s v="Top"/>
    <n v="1350"/>
    <s v="W11741179"/>
    <s v="Outros"/>
    <x v="7"/>
    <n v="3000"/>
    <n v="5002858"/>
    <s v="FAVORITA TRANSPORTES LTDA"/>
    <n v="1070.19"/>
    <d v="2025-07-11T00:00:00"/>
  </r>
  <r>
    <n v="253879226"/>
    <n v="64642591"/>
    <s v="REB"/>
    <n v="9685207"/>
    <n v="176"/>
    <s v="PEÇAS - Defeito de fabric./Interrompido"/>
    <s v="FUNCIONAL"/>
    <x v="1"/>
    <n v="21594"/>
    <x v="97"/>
    <s v="SP"/>
    <n v="931"/>
    <s v="Ats Off"/>
    <n v="1350"/>
    <n v="326075420"/>
    <s v="Placas de Interface"/>
    <x v="1"/>
    <n v="1000"/>
    <n v="5003254"/>
    <s v="TMA TRANSPORTE LOTACAO E LOGISTICA"/>
    <n v="1069.8699999999999"/>
    <d v="2024-11-12T00:00:00"/>
  </r>
  <r>
    <n v="253952167"/>
    <n v="64729204"/>
    <s v="REB"/>
    <n v="9719961"/>
    <n v="173"/>
    <s v="PEÇAS - Defeito de fabric./Alta Amperage"/>
    <s v="FUNCIONAL"/>
    <x v="1"/>
    <n v="9452"/>
    <x v="42"/>
    <s v="SP"/>
    <n v="931"/>
    <s v="Ats Off"/>
    <n v="1350"/>
    <n v="326075420"/>
    <s v="Placas de Interface"/>
    <x v="1"/>
    <n v="1000"/>
    <n v="5004042"/>
    <s v="BRASIL WEB TRANSPORTES E LOGISTICA"/>
    <n v="1069.8699999999999"/>
    <d v="2025-03-10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347201"/>
    <s v="Prateleiras"/>
    <x v="9"/>
    <n v="15000"/>
    <n v="5004101"/>
    <s v="UNIDOCK'S ASSESSORIA E LOGISTICA DE"/>
    <n v="1065.5999999999999"/>
    <d v="2025-03-13T00:00:00"/>
  </r>
  <r>
    <n v="254018386"/>
    <n v="64781397"/>
    <s v="REB"/>
    <n v="9910607"/>
    <n v="173"/>
    <s v="PEÇAS - Defeito de fabric./Alta Amperage"/>
    <s v="FUNCIONAL"/>
    <x v="2"/>
    <n v="81988"/>
    <x v="38"/>
    <s v="MG"/>
    <n v="648"/>
    <s v="Ultra"/>
    <n v="1350"/>
    <s v="W10882241"/>
    <s v="Agitadores"/>
    <x v="2"/>
    <n v="19000"/>
    <n v="5004215"/>
    <s v="BRASIL WEB TRANSPORTES E LOGISTICA"/>
    <n v="1062.5899999999999"/>
    <d v="2025-06-16T00:00:00"/>
  </r>
  <r>
    <n v="254033456"/>
    <n v="64807195"/>
    <s v="REB"/>
    <n v="9856644"/>
    <n v="178"/>
    <s v="PEÇAS -Defeito de fabric./Sem Compressão"/>
    <s v="FUNCIONAL"/>
    <x v="0"/>
    <n v="77425"/>
    <x v="98"/>
    <s v="PE"/>
    <n v="643"/>
    <s v="Elite"/>
    <n v="1350"/>
    <s v="W11647662"/>
    <s v="Compressores Herméticos"/>
    <x v="0"/>
    <n v="4000"/>
    <n v="5004101"/>
    <s v="UNIDOCK'S ASSESSORIA E LOGISTICA DE"/>
    <n v="1055.05"/>
    <d v="2025-07-08T00:00:00"/>
  </r>
  <r>
    <n v="253879481"/>
    <n v="64645111"/>
    <s v="REB"/>
    <n v="8529034"/>
    <n v="178"/>
    <s v="PEÇAS -Defeito de fabric./Sem Compressão"/>
    <s v="FUNCIONAL"/>
    <x v="1"/>
    <n v="21293"/>
    <x v="99"/>
    <s v="SP"/>
    <n v="643"/>
    <s v="Elite"/>
    <n v="1350"/>
    <s v="W10393822"/>
    <s v="Compressores Herméticos"/>
    <x v="0"/>
    <n v="2000"/>
    <n v="5003254"/>
    <s v="TMA TRANSPORTE LOTACAO E LOGISTICA"/>
    <n v="1053.56"/>
    <d v="2024-11-19T00:00:00"/>
  </r>
  <r>
    <s v="Sem TR"/>
    <n v="64810570"/>
    <s v="ZRDI"/>
    <n v="10127883"/>
    <s v="D20"/>
    <s v="DEV D2C - Demora na entrega"/>
    <s v="COMERCIAL"/>
    <x v="2"/>
    <n v="58139568"/>
    <x v="100"/>
    <s v="SP"/>
    <n v="474"/>
    <s v="Site Brastemp"/>
    <n v="1352"/>
    <s v="W10732276"/>
    <s v="Placas de Controle"/>
    <x v="1"/>
    <n v="1000"/>
    <n v="5002359"/>
    <s v="EMPRESA BRASILEIRA DE CORREIOS E"/>
    <n v="1053.0999999999999"/>
    <d v="2025-07-17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882241"/>
    <s v="Agitadores"/>
    <x v="2"/>
    <n v="20000"/>
    <n v="5004101"/>
    <s v="UNIDOCK'S ASSESSORIA E LOGISTICA DE"/>
    <n v="1052.72"/>
    <d v="2025-03-13T00:00:00"/>
  </r>
  <r>
    <n v="254036305"/>
    <n v="64809416"/>
    <s v="REB"/>
    <n v="10138236"/>
    <n v="170"/>
    <s v="PEÇAS - Avaria - Riscada/Depósito"/>
    <s v="LOGÍSTICA"/>
    <x v="1"/>
    <n v="52227"/>
    <x v="59"/>
    <s v="RJ"/>
    <n v="350"/>
    <s v="Ats On"/>
    <n v="1350"/>
    <n v="326039057"/>
    <s v="Gabinetes"/>
    <x v="6"/>
    <n v="2000"/>
    <n v="5003176"/>
    <s v="J C THEDIN TRANSPORTES LTDA"/>
    <n v="1045.2"/>
    <d v="2025-07-21T00:00:00"/>
  </r>
  <r>
    <n v="254028499"/>
    <n v="64795308"/>
    <s v="REB"/>
    <n v="10088392"/>
    <n v="170"/>
    <s v="PEÇAS - Avaria - Riscada/Depósito"/>
    <s v="LOGÍSTICA"/>
    <x v="2"/>
    <n v="52227"/>
    <x v="59"/>
    <s v="RJ"/>
    <n v="350"/>
    <s v="Ats On"/>
    <n v="1350"/>
    <n v="326039057"/>
    <s v="Gabinetes"/>
    <x v="6"/>
    <n v="2000"/>
    <n v="5003176"/>
    <s v="J C THEDIN TRANSPORTES LTDA"/>
    <n v="1045.1099999999999"/>
    <d v="2025-06-20T00:00:00"/>
  </r>
  <r>
    <n v="254003850"/>
    <n v="64777929"/>
    <s v="REB"/>
    <n v="10030121"/>
    <n v="176"/>
    <s v="PEÇAS - Defeito de fabric./Interrompido"/>
    <s v="FUNCIONAL"/>
    <x v="2"/>
    <n v="3506"/>
    <x v="46"/>
    <s v="SP"/>
    <n v="931"/>
    <s v="Ats Off"/>
    <n v="1350"/>
    <n v="326075869"/>
    <s v="Placas de Controle"/>
    <x v="1"/>
    <n v="1000"/>
    <n v="5004042"/>
    <s v="BRASIL WEB TRANSPORTES E LOGISTICA"/>
    <n v="1044.4100000000001"/>
    <d v="2025-05-26T00:00:00"/>
  </r>
  <r>
    <s v="Sem TR"/>
    <n v="64744664"/>
    <s v="ROB"/>
    <n v="9948389"/>
    <n v="671"/>
    <s v="DEV-ENVIADO PARA GESTÃO DE CONSEQUENCIA"/>
    <s v="TRANSPORTADORA"/>
    <x v="1"/>
    <n v="88969"/>
    <x v="101"/>
    <s v="SC"/>
    <n v="641"/>
    <s v="CDP Diamante"/>
    <n v="1350"/>
    <s v="W10907728"/>
    <s v="Acessórios"/>
    <x v="7"/>
    <n v="16000"/>
    <n v="5003024"/>
    <s v="RODOBRAS TRANSPORTES RODOVIARIOS LT"/>
    <n v="1035.69"/>
    <d v="2025-04-02T00:00:00"/>
  </r>
  <r>
    <n v="254016079"/>
    <n v="64787361"/>
    <s v="REB"/>
    <n v="10069934"/>
    <n v="167"/>
    <s v="PEÇAS - Avaria - Quebrada/Depósito"/>
    <s v="LOGÍSTICA"/>
    <x v="0"/>
    <n v="75812"/>
    <x v="102"/>
    <s v="SP"/>
    <n v="931"/>
    <s v="Ats Off"/>
    <n v="1350"/>
    <s v="W11705011"/>
    <s v="Outros"/>
    <x v="7"/>
    <n v="1000"/>
    <n v="5004042"/>
    <s v="BRASIL WEB TRANSPORTES E LOGISTICA"/>
    <n v="1028.75"/>
    <d v="2025-06-06T00:00:00"/>
  </r>
  <r>
    <n v="254038263"/>
    <n v="64814391"/>
    <s v="REB"/>
    <n v="10081278"/>
    <n v="176"/>
    <s v="PEÇAS - Defeito de fabric./Interrompido"/>
    <s v="FUNCIONAL"/>
    <x v="0"/>
    <n v="3506"/>
    <x v="46"/>
    <s v="SP"/>
    <n v="931"/>
    <s v="Ats Off"/>
    <n v="1350"/>
    <s v="W11354746"/>
    <s v="Placas de Controle"/>
    <x v="1"/>
    <n v="1000"/>
    <n v="5004042"/>
    <s v="BRASIL WEB TRANSPORTES E LOGISTICA"/>
    <n v="1026.99"/>
    <d v="2025-07-22T00:00:00"/>
  </r>
  <r>
    <n v="254018230"/>
    <n v="64792319"/>
    <s v="REB"/>
    <n v="10055445"/>
    <n v="90"/>
    <s v="CLIENTE-não solicitou"/>
    <s v="COMERCIAL"/>
    <x v="1"/>
    <n v="15493"/>
    <x v="103"/>
    <s v="BA"/>
    <n v="350"/>
    <s v="Ats On"/>
    <n v="1350"/>
    <s v="W11300698"/>
    <s v="Mecanismos"/>
    <x v="2"/>
    <n v="4000"/>
    <n v="5004101"/>
    <s v="UNIDOCK'S ASSESSORIA E LOGISTICA DE"/>
    <n v="1025.68"/>
    <d v="2025-06-16T00:00:00"/>
  </r>
  <r>
    <n v="253998001"/>
    <n v="64774224"/>
    <s v="REB"/>
    <n v="10033768"/>
    <n v="92"/>
    <s v="PEÇAS-Preço divergente"/>
    <s v="COMERCIAL"/>
    <x v="2"/>
    <n v="64683"/>
    <x v="56"/>
    <s v="RS"/>
    <n v="648"/>
    <s v="Ultra"/>
    <n v="1350"/>
    <s v="W11703911"/>
    <s v="Outros"/>
    <x v="7"/>
    <n v="9000"/>
    <n v="5003024"/>
    <s v="RODOBRAS TRANSPORTES RODOVIARIOS LT"/>
    <n v="1023.01"/>
    <d v="2025-05-20T00:00:00"/>
  </r>
  <r>
    <n v="253952518"/>
    <n v="64726830"/>
    <s v="REB"/>
    <n v="9857728"/>
    <n v="671"/>
    <s v="DEV-ENVIADO PARA GESTÃO DE CONSEQUENCIA"/>
    <s v="TRANSPORTADORA"/>
    <x v="1"/>
    <n v="79141"/>
    <x v="104"/>
    <s v="RS"/>
    <n v="932"/>
    <s v="CDP Prata"/>
    <n v="1350"/>
    <s v="W10512610"/>
    <s v="Tampas Móveis"/>
    <x v="6"/>
    <n v="8000"/>
    <n v="5003024"/>
    <s v="RODOBRAS TRANSPORTES RODOVIARIOS LT"/>
    <n v="1021.16"/>
    <d v="2025-03-10T00:00:00"/>
  </r>
  <r>
    <n v="253952519"/>
    <n v="64727604"/>
    <s v="REB"/>
    <n v="9857728"/>
    <n v="671"/>
    <s v="DEV-ENVIADO PARA GESTÃO DE CONSEQUENCIA"/>
    <s v="TRANSPORTADORA"/>
    <x v="1"/>
    <n v="79141"/>
    <x v="104"/>
    <s v="RS"/>
    <n v="932"/>
    <s v="CDP Prata"/>
    <n v="1350"/>
    <s v="W10512610"/>
    <s v="Tampas Móveis"/>
    <x v="6"/>
    <n v="8000"/>
    <n v="5003024"/>
    <s v="RODOBRAS TRANSPORTES RODOVIARIOS LT"/>
    <n v="1021.16"/>
    <d v="2025-03-08T00:00:00"/>
  </r>
  <r>
    <n v="254035436"/>
    <n v="64812535"/>
    <s v="REB"/>
    <n v="10099414"/>
    <n v="176"/>
    <s v="PEÇAS - Defeito de fabric./Interrompido"/>
    <s v="FUNCIONAL"/>
    <x v="1"/>
    <n v="83572"/>
    <x v="105"/>
    <s v="SP"/>
    <n v="931"/>
    <s v="Ats Off"/>
    <n v="1350"/>
    <s v="W11342524"/>
    <s v="Placas de Controle"/>
    <x v="1"/>
    <n v="1000"/>
    <n v="5004042"/>
    <s v="BRASIL WEB TRANSPORTES E LOGISTICA"/>
    <n v="1021.03"/>
    <d v="2025-07-17T00:00:00"/>
  </r>
  <r>
    <n v="254018211"/>
    <n v="64793375"/>
    <s v="REB"/>
    <n v="10055959"/>
    <n v="173"/>
    <s v="PEÇAS - Defeito de fabric./Alta Amperage"/>
    <s v="FUNCIONAL"/>
    <x v="1"/>
    <n v="9452"/>
    <x v="42"/>
    <s v="SP"/>
    <n v="931"/>
    <s v="Ats Off"/>
    <n v="1350"/>
    <s v="W11618949"/>
    <s v="Placas de Controle"/>
    <x v="1"/>
    <n v="1000"/>
    <n v="5004042"/>
    <s v="BRASIL WEB TRANSPORTES E LOGISTICA"/>
    <n v="1020.16"/>
    <d v="2025-06-17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0696196"/>
    <s v="Válvulas de Água"/>
    <x v="5"/>
    <n v="30000"/>
    <n v="5004101"/>
    <s v="UNIDOCK'S ASSESSORIA E LOGISTICA DE"/>
    <n v="1013.4"/>
    <d v="2025-07-30T00:00:00"/>
  </r>
  <r>
    <n v="253970809"/>
    <n v="64748712"/>
    <s v="REB"/>
    <n v="9970251"/>
    <n v="104"/>
    <s v="PEÇAS-Código trocado(embalag X conteúdo)"/>
    <s v="LOGÍSTICA"/>
    <x v="1"/>
    <n v="44739"/>
    <x v="106"/>
    <s v="PR"/>
    <n v="350"/>
    <s v="Ats On"/>
    <n v="1350"/>
    <s v="W11354746"/>
    <s v="Placas de Controle"/>
    <x v="1"/>
    <n v="1000"/>
    <n v="5003024"/>
    <s v="RODOBRAS TRANSPORTES RODOVIARIOS LT"/>
    <n v="1011.57"/>
    <d v="2025-04-09T00:00:00"/>
  </r>
  <r>
    <n v="253995215"/>
    <n v="64771397"/>
    <s v="REB"/>
    <n v="9892674"/>
    <n v="173"/>
    <s v="PEÇAS - Defeito de fabric./Alta Amperage"/>
    <s v="FUNCIONAL"/>
    <x v="2"/>
    <n v="68085"/>
    <x v="4"/>
    <s v="SP"/>
    <n v="643"/>
    <s v="Elite"/>
    <n v="1350"/>
    <s v="W10849470"/>
    <s v="Bombas"/>
    <x v="1"/>
    <n v="31000"/>
    <n v="5004042"/>
    <s v="BRASIL WEB TRANSPORTES E LOGISTICA"/>
    <n v="1009.2"/>
    <d v="2025-05-16T00:00:00"/>
  </r>
  <r>
    <n v="254041579"/>
    <n v="64721177"/>
    <s v="ZDVP"/>
    <n v="9746008"/>
    <n v="160"/>
    <s v="OI Cancelada - Ver motivo no texto"/>
    <s v="OUTROS"/>
    <x v="0"/>
    <n v="63300"/>
    <x v="17"/>
    <s v="MG"/>
    <n v="643"/>
    <s v="Elite"/>
    <n v="1350"/>
    <s v="W10393822"/>
    <s v="Compressores Herméticos"/>
    <x v="0"/>
    <n v="2000"/>
    <n v="5004215"/>
    <s v="BRASIL WEB TRANSPORTES E LOGISTICA"/>
    <n v="1008.26"/>
    <d v="2025-03-10T00:00:00"/>
  </r>
  <r>
    <n v="254021784"/>
    <n v="64791930"/>
    <s v="ZRVP"/>
    <n v="10055781"/>
    <n v="268"/>
    <s v="DEV-APREENSÃO FISCAL - VENDAS"/>
    <s v="COMERCIAL"/>
    <x v="0"/>
    <n v="76292"/>
    <x v="107"/>
    <s v="CE"/>
    <n v="641"/>
    <s v="CDP Diamante"/>
    <n v="1350"/>
    <s v="W10531315"/>
    <s v="Sensores"/>
    <x v="3"/>
    <n v="122000"/>
    <n v="5004101"/>
    <s v="UNIDOCK'S ASSESSORIA E LOGISTICA DE"/>
    <n v="1008.26"/>
    <d v="2025-06-27T00:00:00"/>
  </r>
  <r>
    <n v="253995226"/>
    <n v="64767868"/>
    <s v="REB"/>
    <n v="9907299"/>
    <n v="173"/>
    <s v="PEÇAS - Defeito de fabric./Alta Amperage"/>
    <s v="FUNCIONAL"/>
    <x v="2"/>
    <n v="75751"/>
    <x v="108"/>
    <s v="PR"/>
    <n v="931"/>
    <s v="Ats Off"/>
    <n v="1350"/>
    <s v="W11299803"/>
    <s v="Mecanismos"/>
    <x v="2"/>
    <n v="10000"/>
    <n v="5003024"/>
    <s v="RODOBRAS TRANSPORTES RODOVIARIOS LT"/>
    <n v="1008"/>
    <d v="2025-05-16T00:00:00"/>
  </r>
  <r>
    <n v="253995094"/>
    <n v="64772250"/>
    <s v="REB"/>
    <n v="8572804"/>
    <n v="178"/>
    <s v="PEÇAS -Defeito de fabric./Sem Compressão"/>
    <s v="FUNCIONAL"/>
    <x v="2"/>
    <n v="21295"/>
    <x v="2"/>
    <s v="SP"/>
    <n v="648"/>
    <s v="Ultra"/>
    <n v="1350"/>
    <s v="W11647662"/>
    <s v="Compressores Herméticos"/>
    <x v="0"/>
    <n v="3000"/>
    <n v="5004042"/>
    <s v="BRASIL WEB TRANSPORTES E LOGISTICA"/>
    <n v="1003.87"/>
    <d v="2025-05-16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1387305"/>
    <s v="Gases Refrigerantes"/>
    <x v="0"/>
    <n v="8000"/>
    <n v="5004101"/>
    <s v="UNIDOCK'S ASSESSORIA E LOGISTICA DE"/>
    <n v="1002.08"/>
    <d v="2025-03-13T00:00:00"/>
  </r>
  <r>
    <n v="253995142"/>
    <n v="64770713"/>
    <s v="REB"/>
    <n v="9484623"/>
    <n v="178"/>
    <s v="PEÇAS -Defeito de fabric./Sem Compressão"/>
    <s v="FUNCIONAL"/>
    <x v="2"/>
    <n v="30121"/>
    <x v="23"/>
    <s v="SP"/>
    <n v="648"/>
    <s v="Ultra"/>
    <n v="1350"/>
    <s v="W10393822"/>
    <s v="Compressores Herméticos"/>
    <x v="0"/>
    <n v="2000"/>
    <n v="5004042"/>
    <s v="BRASIL WEB TRANSPORTES E LOGISTICA"/>
    <n v="1001.44"/>
    <d v="2025-05-15T00:00:00"/>
  </r>
  <r>
    <n v="254029736"/>
    <n v="64802446"/>
    <s v="REB"/>
    <n v="9045453"/>
    <n v="178"/>
    <s v="PEÇAS -Defeito de fabric./Sem Compressão"/>
    <s v="FUNCIONAL"/>
    <x v="2"/>
    <n v="80432"/>
    <x v="3"/>
    <s v="ES"/>
    <n v="713"/>
    <s v="Key Account"/>
    <n v="1350"/>
    <s v="W11647660"/>
    <s v="Compressores Herméticos"/>
    <x v="0"/>
    <n v="81000"/>
    <n v="5004042"/>
    <s v="BRASIL WEB TRANSPORTES E LOGISTICA"/>
    <n v="22445.29"/>
    <d v="2025-07-01T00:00:00"/>
  </r>
  <r>
    <n v="254028498"/>
    <n v="64796973"/>
    <s v="REB"/>
    <n v="9187272"/>
    <n v="178"/>
    <s v="PEÇAS -Defeito de fabric./Sem Compressão"/>
    <s v="FUNCIONAL"/>
    <x v="1"/>
    <n v="65059"/>
    <x v="1"/>
    <s v="SP"/>
    <n v="643"/>
    <s v="Elite"/>
    <n v="1350"/>
    <s v="W10393823"/>
    <s v="Compressores Herméticos"/>
    <x v="0"/>
    <n v="39000"/>
    <n v="5004042"/>
    <s v="BRASIL WEB TRANSPORTES E LOGISTICA"/>
    <n v="21673.18"/>
    <d v="2025-06-24T00:00:00"/>
  </r>
  <r>
    <n v="254018408"/>
    <n v="64793133"/>
    <s v="REB"/>
    <n v="10045802"/>
    <n v="90"/>
    <s v="CLIENTE-não solicitou"/>
    <s v="COMERCIAL"/>
    <x v="2"/>
    <n v="92340"/>
    <x v="109"/>
    <s v="DF"/>
    <n v="643"/>
    <s v="Elite"/>
    <n v="1350"/>
    <s v="W11396188"/>
    <s v="Placas de Interface"/>
    <x v="1"/>
    <n v="250000"/>
    <n v="5002858"/>
    <s v="FAVORITA TRANSPORTES LTDA"/>
    <n v="20359.78"/>
    <d v="2025-06-17T00:00:00"/>
  </r>
  <r>
    <n v="254029737"/>
    <n v="64802451"/>
    <s v="REB"/>
    <n v="9441414"/>
    <n v="178"/>
    <s v="PEÇAS -Defeito de fabric./Sem Compressão"/>
    <s v="FUNCIONAL"/>
    <x v="2"/>
    <n v="80432"/>
    <x v="3"/>
    <s v="ES"/>
    <n v="713"/>
    <s v="Key Account"/>
    <n v="1350"/>
    <s v="W11647662"/>
    <s v="Compressores Herméticos"/>
    <x v="0"/>
    <n v="75000"/>
    <n v="5004042"/>
    <s v="BRASIL WEB TRANSPORTES E LOGISTICA"/>
    <n v="20127.560000000001"/>
    <d v="2025-07-01T00:00:00"/>
  </r>
  <r>
    <n v="254029735"/>
    <n v="64802436"/>
    <s v="REB"/>
    <n v="9045454"/>
    <n v="178"/>
    <s v="PEÇAS -Defeito de fabric./Sem Compressão"/>
    <s v="FUNCIONAL"/>
    <x v="2"/>
    <n v="80432"/>
    <x v="3"/>
    <s v="ES"/>
    <n v="713"/>
    <s v="Key Account"/>
    <n v="1350"/>
    <s v="W11647660"/>
    <s v="Compressores Herméticos"/>
    <x v="0"/>
    <n v="70000"/>
    <n v="5004042"/>
    <s v="BRASIL WEB TRANSPORTES E LOGISTICA"/>
    <n v="19397.16"/>
    <d v="2025-07-01T00:00:00"/>
  </r>
  <r>
    <n v="254012600"/>
    <n v="64789575"/>
    <s v="REB"/>
    <n v="8963473"/>
    <n v="178"/>
    <s v="PEÇAS -Defeito de fabric./Sem Compressão"/>
    <s v="FUNCIONAL"/>
    <x v="2"/>
    <n v="68085"/>
    <x v="4"/>
    <s v="SP"/>
    <n v="643"/>
    <s v="Elite"/>
    <n v="1350"/>
    <s v="W10393823"/>
    <s v="Compressores Herméticos"/>
    <x v="0"/>
    <n v="34000"/>
    <n v="5004042"/>
    <s v="BRASIL WEB TRANSPORTES E LOGISTICA"/>
    <n v="18894.560000000001"/>
    <d v="2025-06-10T00:00:00"/>
  </r>
  <r>
    <n v="254004059"/>
    <n v="64775863"/>
    <s v="REB"/>
    <n v="9045453"/>
    <n v="178"/>
    <s v="PEÇAS -Defeito de fabric./Sem Compressão"/>
    <s v="FUNCIONAL"/>
    <x v="1"/>
    <n v="80432"/>
    <x v="3"/>
    <s v="ES"/>
    <n v="713"/>
    <s v="Key Account"/>
    <n v="1350"/>
    <s v="W11647660"/>
    <s v="Compressores Herméticos"/>
    <x v="0"/>
    <n v="66000"/>
    <n v="5004042"/>
    <s v="BRASIL WEB TRANSPORTES E LOGISTICA"/>
    <n v="18288.759999999998"/>
    <d v="2025-05-26T00:00:00"/>
  </r>
  <r>
    <n v="254038398"/>
    <n v="64810762"/>
    <s v="REB"/>
    <n v="9545809"/>
    <n v="178"/>
    <s v="PEÇAS -Defeito de fabric./Sem Compressão"/>
    <s v="FUNCIONAL"/>
    <x v="0"/>
    <n v="80432"/>
    <x v="3"/>
    <s v="ES"/>
    <n v="713"/>
    <s v="Key Account"/>
    <n v="1350"/>
    <s v="W11647662"/>
    <s v="Compressores Herméticos"/>
    <x v="0"/>
    <n v="66000"/>
    <n v="5004042"/>
    <s v="BRASIL WEB TRANSPORTES E LOGISTICA"/>
    <n v="17813.78"/>
    <d v="2025-07-22T00:00:00"/>
  </r>
  <r>
    <n v="254004059"/>
    <n v="64777180"/>
    <s v="REB"/>
    <n v="9106334"/>
    <n v="178"/>
    <s v="PEÇAS -Defeito de fabric./Sem Compressão"/>
    <s v="FUNCIONAL"/>
    <x v="1"/>
    <n v="80432"/>
    <x v="3"/>
    <s v="ES"/>
    <n v="713"/>
    <s v="Key Account"/>
    <n v="1350"/>
    <s v="W11677208"/>
    <s v="Compressores Herméticos"/>
    <x v="0"/>
    <n v="65000"/>
    <n v="5004042"/>
    <s v="BRASIL WEB TRANSPORTES E LOGISTICA"/>
    <n v="17558.64"/>
    <d v="2025-05-26T00:00:00"/>
  </r>
  <r>
    <n v="254038396"/>
    <n v="64810563"/>
    <s v="REB"/>
    <n v="9575456"/>
    <n v="178"/>
    <s v="PEÇAS -Defeito de fabric./Sem Compressão"/>
    <s v="FUNCIONAL"/>
    <x v="0"/>
    <n v="80432"/>
    <x v="3"/>
    <s v="ES"/>
    <n v="713"/>
    <s v="Key Account"/>
    <n v="1350"/>
    <s v="W11677208"/>
    <s v="Compressores Herméticos"/>
    <x v="0"/>
    <n v="64000"/>
    <n v="5004042"/>
    <s v="BRASIL WEB TRANSPORTES E LOGISTICA"/>
    <n v="17404.810000000001"/>
    <d v="2025-07-22T00:00:00"/>
  </r>
  <r>
    <n v="253988926"/>
    <n v="64764424"/>
    <s v="REB"/>
    <n v="9496419"/>
    <n v="178"/>
    <s v="PEÇAS -Defeito de fabric./Sem Compressão"/>
    <s v="FUNCIONAL"/>
    <x v="2"/>
    <n v="80432"/>
    <x v="3"/>
    <s v="ES"/>
    <n v="713"/>
    <s v="Key Account"/>
    <n v="1350"/>
    <s v="W11647662"/>
    <s v="Compressores Herméticos"/>
    <x v="0"/>
    <n v="61000"/>
    <n v="5004042"/>
    <s v="BRASIL WEB TRANSPORTES E LOGISTICA"/>
    <n v="16379.23"/>
    <d v="2025-05-05T00:00:00"/>
  </r>
  <r>
    <n v="254035432"/>
    <n v="64808693"/>
    <s v="REB"/>
    <n v="9826549"/>
    <n v="178"/>
    <s v="PEÇAS -Defeito de fabric./Sem Compressão"/>
    <s v="FUNCIONAL"/>
    <x v="0"/>
    <n v="80432"/>
    <x v="3"/>
    <s v="ES"/>
    <n v="713"/>
    <s v="Key Account"/>
    <n v="1350"/>
    <s v="W11647662"/>
    <s v="Compressores Herméticos"/>
    <x v="0"/>
    <n v="65000"/>
    <n v="5004042"/>
    <s v="BRASIL WEB TRANSPORTES E LOGISTICA"/>
    <n v="15838.55"/>
    <d v="2025-07-17T00:00:00"/>
  </r>
  <r>
    <n v="253995215"/>
    <n v="64771562"/>
    <s v="REB"/>
    <n v="8529056"/>
    <n v="178"/>
    <s v="PEÇAS -Defeito de fabric./Sem Compressão"/>
    <s v="FUNCIONAL"/>
    <x v="2"/>
    <n v="68085"/>
    <x v="4"/>
    <s v="SP"/>
    <n v="643"/>
    <s v="Elite"/>
    <n v="1350"/>
    <s v="W10393823"/>
    <s v="Compressores Herméticos"/>
    <x v="0"/>
    <n v="30000"/>
    <n v="5004042"/>
    <s v="BRASIL WEB TRANSPORTES E LOGISTICA"/>
    <n v="15803.45"/>
    <d v="2025-05-16T00:00:00"/>
  </r>
  <r>
    <s v="Sem TR"/>
    <n v="64809024"/>
    <s v="ROB"/>
    <n v="10114504"/>
    <n v="182"/>
    <s v="PEÇAS - Extravio - Volume a menor"/>
    <s v="TRANSPORTADORA"/>
    <x v="1"/>
    <n v="61371"/>
    <x v="96"/>
    <s v="DF"/>
    <n v="933"/>
    <s v="Top"/>
    <n v="1350"/>
    <s v="W11741179"/>
    <s v="Outros"/>
    <x v="7"/>
    <n v="50000"/>
    <n v="5002858"/>
    <s v="FAVORITA TRANSPORTES LTDA"/>
    <n v="15729.62"/>
    <d v="2025-07-11T00:00:00"/>
  </r>
  <r>
    <n v="253995234"/>
    <n v="64772630"/>
    <s v="REB"/>
    <n v="9106334"/>
    <n v="178"/>
    <s v="PEÇAS -Defeito de fabric./Sem Compressão"/>
    <s v="FUNCIONAL"/>
    <x v="1"/>
    <n v="80432"/>
    <x v="3"/>
    <s v="ES"/>
    <n v="713"/>
    <s v="Key Account"/>
    <n v="1350"/>
    <s v="W11677208"/>
    <s v="Compressores Herméticos"/>
    <x v="0"/>
    <n v="58000"/>
    <n v="5004042"/>
    <s v="BRASIL WEB TRANSPORTES E LOGISTICA"/>
    <n v="15667.71"/>
    <d v="2025-05-16T00:00:00"/>
  </r>
  <r>
    <n v="253988927"/>
    <n v="64764112"/>
    <s v="REB"/>
    <n v="9496419"/>
    <n v="178"/>
    <s v="PEÇAS -Defeito de fabric./Sem Compressão"/>
    <s v="FUNCIONAL"/>
    <x v="1"/>
    <n v="80432"/>
    <x v="3"/>
    <s v="ES"/>
    <n v="713"/>
    <s v="Key Account"/>
    <n v="1350"/>
    <s v="W11647662"/>
    <s v="Compressores Herméticos"/>
    <x v="0"/>
    <n v="58000"/>
    <n v="5004042"/>
    <s v="BRASIL WEB TRANSPORTES E LOGISTICA"/>
    <n v="15573.69"/>
    <d v="2025-05-05T00:00:00"/>
  </r>
  <r>
    <n v="254035432"/>
    <n v="64812452"/>
    <s v="REB"/>
    <n v="9837061"/>
    <n v="178"/>
    <s v="PEÇAS -Defeito de fabric./Sem Compressão"/>
    <s v="FUNCIONAL"/>
    <x v="0"/>
    <n v="80432"/>
    <x v="3"/>
    <s v="ES"/>
    <n v="713"/>
    <s v="Key Account"/>
    <n v="1350"/>
    <s v="W11677209"/>
    <s v="Compressores Herméticos"/>
    <x v="0"/>
    <n v="64000"/>
    <n v="5004042"/>
    <s v="BRASIL WEB TRANSPORTES E LOGISTICA"/>
    <n v="15276.37"/>
    <d v="2025-07-17T00:00:00"/>
  </r>
  <r>
    <n v="254018384"/>
    <n v="64793270"/>
    <s v="REB"/>
    <n v="9536883"/>
    <n v="178"/>
    <s v="PEÇAS -Defeito de fabric./Sem Compressão"/>
    <s v="FUNCIONAL"/>
    <x v="1"/>
    <n v="80432"/>
    <x v="3"/>
    <s v="ES"/>
    <n v="713"/>
    <s v="Key Account"/>
    <n v="1350"/>
    <s v="W11677209"/>
    <s v="Compressores Herméticos"/>
    <x v="0"/>
    <n v="56000"/>
    <n v="5004042"/>
    <s v="BRASIL WEB TRANSPORTES E LOGISTICA"/>
    <n v="14755.66"/>
    <d v="2025-06-17T00:00:00"/>
  </r>
  <r>
    <n v="254035432"/>
    <n v="64812452"/>
    <s v="REB"/>
    <n v="9837061"/>
    <n v="178"/>
    <s v="PEÇAS -Defeito de fabric./Sem Compressão"/>
    <s v="FUNCIONAL"/>
    <x v="0"/>
    <n v="80432"/>
    <x v="3"/>
    <s v="ES"/>
    <n v="713"/>
    <s v="Key Account"/>
    <n v="1350"/>
    <s v="W11677208"/>
    <s v="Compressores Herméticos"/>
    <x v="0"/>
    <n v="60000"/>
    <n v="5004042"/>
    <s v="BRASIL WEB TRANSPORTES E LOGISTICA"/>
    <n v="14321.6"/>
    <d v="2025-07-17T00:00:00"/>
  </r>
  <r>
    <s v="Sem TR"/>
    <n v="64761634"/>
    <s v="ROB"/>
    <n v="50356"/>
    <n v="671"/>
    <s v="DEV-ENVIADO PARA GESTÃO DE CONSEQUENCIA"/>
    <s v="TRANSPORTADORA"/>
    <x v="2"/>
    <n v="64523"/>
    <x v="21"/>
    <s v="PB"/>
    <n v="713"/>
    <s v="Key Account"/>
    <n v="1550"/>
    <s v="W10531315"/>
    <s v="Sensores"/>
    <x v="3"/>
    <s v="2,000.000"/>
    <n v="5004391"/>
    <s v="JEONCEL TRANSPORTES LTDA"/>
    <n v="14121.9"/>
    <d v="2025-04-30T00:00:00"/>
  </r>
  <r>
    <s v="Sem TR"/>
    <n v="64812764"/>
    <s v="REB"/>
    <n v="9825688"/>
    <n v="178"/>
    <s v="PEÇAS -Defeito de fabric./Sem Compressão"/>
    <s v="FUNCIONAL"/>
    <x v="1"/>
    <n v="80432"/>
    <x v="3"/>
    <s v="ES"/>
    <n v="713"/>
    <s v="Key Account"/>
    <n v="1350"/>
    <s v="W11647660"/>
    <s v="Compressores Herméticos"/>
    <x v="0"/>
    <n v="56000"/>
    <n v="5004042"/>
    <s v="BRASIL WEB TRANSPORTES E LOGISTICA"/>
    <n v="13645.52"/>
    <d v="2025-07-17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1300698"/>
    <s v="Mecanismos"/>
    <x v="2"/>
    <n v="50000"/>
    <n v="5004042"/>
    <s v="BRASIL WEB TRANSPORTES E LOGISTICA"/>
    <n v="13297.5"/>
    <d v="2025-05-26T00:00:00"/>
  </r>
  <r>
    <n v="253953767"/>
    <n v="64731874"/>
    <s v="REB"/>
    <n v="9837192"/>
    <n v="90"/>
    <s v="CLIENTE-não solicitou"/>
    <s v="COMERCIAL"/>
    <x v="1"/>
    <n v="24289"/>
    <x v="17"/>
    <s v="MG"/>
    <n v="643"/>
    <s v="Elite"/>
    <n v="1350"/>
    <s v="W11198953"/>
    <s v="Filtros"/>
    <x v="5"/>
    <n v="187000"/>
    <n v="5004215"/>
    <s v="BRASIL WEB TRANSPORTES E LOGISTICA"/>
    <n v="13223.79"/>
    <d v="2025-03-14T00:00:00"/>
  </r>
  <r>
    <n v="254038341"/>
    <n v="64808088"/>
    <s v="REB"/>
    <n v="10017176"/>
    <n v="173"/>
    <s v="PEÇAS - Defeito de fabric./Alta Amperage"/>
    <s v="FUNCIONAL"/>
    <x v="1"/>
    <n v="28902"/>
    <x v="57"/>
    <s v="DF"/>
    <n v="648"/>
    <s v="Ultra"/>
    <n v="1350"/>
    <s v="W11677209"/>
    <s v="Compressores Herméticos"/>
    <x v="0"/>
    <n v="50000"/>
    <n v="5002858"/>
    <s v="FAVORITA TRANSPORTES LTDA"/>
    <n v="13094.68"/>
    <d v="2025-07-22T00:00:00"/>
  </r>
  <r>
    <n v="254012545"/>
    <n v="64784088"/>
    <s v="REB"/>
    <n v="10044843"/>
    <n v="104"/>
    <s v="PEÇAS-Código trocado(embalag X conteúdo)"/>
    <s v="LOGÍSTICA"/>
    <x v="1"/>
    <n v="56043"/>
    <x v="48"/>
    <s v="PR"/>
    <n v="963"/>
    <s v="Ats Distribuidoras"/>
    <n v="1350"/>
    <s v="W11509386"/>
    <s v="Filtros"/>
    <x v="5"/>
    <n v="125000"/>
    <n v="5003024"/>
    <s v="RODOBRAS TRANSPORTES RODOVIARIOS LT"/>
    <n v="12715.8"/>
    <d v="2025-06-10T00:00:00"/>
  </r>
  <r>
    <n v="254038400"/>
    <n v="64814619"/>
    <s v="REB"/>
    <n v="9106332"/>
    <n v="178"/>
    <s v="PEÇAS -Defeito de fabric./Sem Compressão"/>
    <s v="FUNCIONAL"/>
    <x v="0"/>
    <n v="80432"/>
    <x v="3"/>
    <s v="ES"/>
    <n v="713"/>
    <s v="Key Account"/>
    <n v="1350"/>
    <s v="W11647660"/>
    <s v="Compressores Herméticos"/>
    <x v="0"/>
    <n v="45000"/>
    <n v="5004042"/>
    <s v="BRASIL WEB TRANSPORTES E LOGISTICA"/>
    <n v="12428.25"/>
    <d v="2025-07-22T00:00:00"/>
  </r>
  <r>
    <n v="254010357"/>
    <n v="64788727"/>
    <s v="REB"/>
    <n v="10066831"/>
    <n v="115"/>
    <s v="PEÇAS-Recusa do cliente"/>
    <s v="COMERCIAL"/>
    <x v="2"/>
    <n v="27808"/>
    <x v="110"/>
    <s v="SP"/>
    <n v="641"/>
    <s v="CDP Diamante"/>
    <n v="1350"/>
    <s v="W11677209"/>
    <s v="Compressores Herméticos"/>
    <x v="0"/>
    <n v="40000"/>
    <n v="5004042"/>
    <s v="BRASIL WEB TRANSPORTES E LOGISTICA"/>
    <n v="12143.44"/>
    <d v="2025-06-09T00:00:00"/>
  </r>
  <r>
    <n v="254038399"/>
    <n v="64814492"/>
    <s v="REB"/>
    <n v="9536883"/>
    <n v="178"/>
    <s v="PEÇAS -Defeito de fabric./Sem Compressão"/>
    <s v="FUNCIONAL"/>
    <x v="0"/>
    <n v="80432"/>
    <x v="3"/>
    <s v="ES"/>
    <n v="713"/>
    <s v="Key Account"/>
    <n v="1350"/>
    <s v="W11677209"/>
    <s v="Compressores Herméticos"/>
    <x v="0"/>
    <n v="46000"/>
    <n v="5004042"/>
    <s v="BRASIL WEB TRANSPORTES E LOGISTICA"/>
    <n v="12120.72"/>
    <d v="2025-07-22T00:00:00"/>
  </r>
  <r>
    <n v="253992769"/>
    <n v="64760495"/>
    <s v="REB"/>
    <n v="10002179"/>
    <n v="90"/>
    <s v="CLIENTE-não solicitou"/>
    <s v="COMERCIAL"/>
    <x v="1"/>
    <n v="75930"/>
    <x v="111"/>
    <s v="SC"/>
    <n v="648"/>
    <s v="Ultra"/>
    <n v="1350"/>
    <s v="W11703911"/>
    <s v="Outros"/>
    <x v="7"/>
    <n v="100000"/>
    <n v="5003024"/>
    <s v="RODOBRAS TRANSPORTES RODOVIARIOS LT"/>
    <n v="11285.59"/>
    <d v="2025-05-12T00:00:00"/>
  </r>
  <r>
    <n v="254028495"/>
    <n v="64794623"/>
    <s v="REB"/>
    <n v="9416413"/>
    <n v="178"/>
    <s v="PEÇAS -Defeito de fabric./Sem Compressão"/>
    <s v="FUNCIONAL"/>
    <x v="1"/>
    <n v="32023"/>
    <x v="43"/>
    <s v="SP"/>
    <n v="643"/>
    <s v="Elite"/>
    <n v="1350"/>
    <s v="W10798744"/>
    <s v="Compressores Herméticos"/>
    <x v="0"/>
    <n v="36000"/>
    <n v="5004042"/>
    <s v="BRASIL WEB TRANSPORTES E LOGISTICA"/>
    <n v="11163.64"/>
    <d v="2025-06-24T00:00:00"/>
  </r>
  <r>
    <n v="254033354"/>
    <n v="64804928"/>
    <s v="REB"/>
    <n v="9916418"/>
    <n v="90"/>
    <s v="CLIENTE-não solicitou"/>
    <s v="COMERCIAL"/>
    <x v="1"/>
    <n v="28434"/>
    <x v="112"/>
    <s v="DF"/>
    <n v="648"/>
    <s v="Ultra"/>
    <n v="1350"/>
    <s v="W10882241"/>
    <s v="Agitadores"/>
    <x v="2"/>
    <n v="300000"/>
    <n v="5002858"/>
    <s v="FAVORITA TRANSPORTES LTDA"/>
    <n v="10559.85"/>
    <d v="2025-07-08T00:00:00"/>
  </r>
  <r>
    <n v="253988926"/>
    <n v="64764113"/>
    <s v="REB"/>
    <n v="9536883"/>
    <n v="178"/>
    <s v="PEÇAS -Defeito de fabric./Sem Compressão"/>
    <s v="FUNCIONAL"/>
    <x v="2"/>
    <n v="80432"/>
    <x v="3"/>
    <s v="ES"/>
    <n v="713"/>
    <s v="Key Account"/>
    <n v="1350"/>
    <s v="W11677209"/>
    <s v="Compressores Herméticos"/>
    <x v="0"/>
    <n v="39000"/>
    <n v="5004042"/>
    <s v="BRASIL WEB TRANSPORTES E LOGISTICA"/>
    <n v="10276.27"/>
    <d v="2025-05-05T00:00:00"/>
  </r>
  <r>
    <n v="253953831"/>
    <n v="64731914"/>
    <s v="REB"/>
    <n v="9773353"/>
    <n v="90"/>
    <s v="CLIENTE-não solicitou"/>
    <s v="COMERCIAL"/>
    <x v="1"/>
    <n v="62422"/>
    <x v="113"/>
    <s v="PR"/>
    <n v="350"/>
    <s v="Ats On"/>
    <n v="1350"/>
    <s v="W10351890"/>
    <s v="Filtros"/>
    <x v="5"/>
    <n v="15000"/>
    <n v="5003024"/>
    <s v="RODOBRAS TRANSPORTES RODOVIARIOS LT"/>
    <n v="10249.709999999999"/>
    <d v="2025-03-14T00:00:00"/>
  </r>
  <r>
    <s v="Sem TR"/>
    <n v="64817625"/>
    <s v="REB"/>
    <n v="10123098"/>
    <n v="173"/>
    <s v="PEÇAS - Defeito de fabric./Alta Amperage"/>
    <s v="FUNCIONAL"/>
    <x v="1"/>
    <n v="21594"/>
    <x v="97"/>
    <s v="SP"/>
    <n v="931"/>
    <s v="Ats Off"/>
    <n v="1350"/>
    <s v="W11354746"/>
    <s v="Placas de Controle"/>
    <x v="1"/>
    <n v="1000"/>
    <n v="5004042"/>
    <s v="BRASIL WEB TRANSPORTES E LOGISTICA"/>
    <n v="988.06"/>
    <d v="2025-07-25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1366400"/>
    <s v="Placas de Controle"/>
    <x v="1"/>
    <n v="4000"/>
    <n v="5004101"/>
    <s v="UNIDOCK'S ASSESSORIA E LOGISTICA DE"/>
    <n v="987.76"/>
    <d v="2025-03-11T00:00:00"/>
  </r>
  <r>
    <n v="253995142"/>
    <n v="64771109"/>
    <s v="REB"/>
    <n v="9706905"/>
    <n v="178"/>
    <s v="PEÇAS -Defeito de fabric./Sem Compressão"/>
    <s v="FUNCIONAL"/>
    <x v="2"/>
    <n v="30121"/>
    <x v="23"/>
    <s v="SP"/>
    <n v="648"/>
    <s v="Ultra"/>
    <n v="1350"/>
    <s v="W11133678"/>
    <s v="Compressores Herméticos"/>
    <x v="0"/>
    <n v="2000"/>
    <n v="5004042"/>
    <s v="BRASIL WEB TRANSPORTES E LOGISTICA"/>
    <n v="986.7"/>
    <d v="2025-05-15T00:00:00"/>
  </r>
  <r>
    <n v="254012501"/>
    <n v="64786048"/>
    <s v="REB"/>
    <n v="9802151"/>
    <n v="178"/>
    <s v="PEÇAS -Defeito de fabric./Sem Compressão"/>
    <s v="FUNCIONAL"/>
    <x v="2"/>
    <n v="28991"/>
    <x v="65"/>
    <s v="MG"/>
    <n v="643"/>
    <s v="Elite"/>
    <n v="1350"/>
    <s v="W10393823"/>
    <s v="Compressores Herméticos"/>
    <x v="0"/>
    <n v="2000"/>
    <n v="5004215"/>
    <s v="BRASIL WEB TRANSPORTES E LOGISTICA"/>
    <n v="985.21"/>
    <d v="2025-06-10T00:00:00"/>
  </r>
  <r>
    <n v="253952188"/>
    <n v="64721072"/>
    <s v="REB"/>
    <n v="8529034"/>
    <n v="178"/>
    <s v="PEÇAS -Defeito de fabric./Sem Compressão"/>
    <s v="FUNCIONAL"/>
    <x v="1"/>
    <n v="21293"/>
    <x v="99"/>
    <s v="SP"/>
    <n v="643"/>
    <s v="Elite"/>
    <n v="1350"/>
    <s v="W10393809"/>
    <s v="Compressores Herméticos"/>
    <x v="0"/>
    <n v="3000"/>
    <n v="5004042"/>
    <s v="BRASIL WEB TRANSPORTES E LOGISTICA"/>
    <n v="981.41"/>
    <d v="2025-03-10T00:00:00"/>
  </r>
  <r>
    <n v="253999725"/>
    <n v="64777337"/>
    <s v="ROB"/>
    <n v="10009528"/>
    <n v="311"/>
    <s v="DEV-PRODUTO TROCADO-LOGÍSTICA"/>
    <s v="LOGÍSTICA"/>
    <x v="2"/>
    <n v="78820"/>
    <x v="114"/>
    <s v="AM"/>
    <n v="934"/>
    <s v="CDP Ouro"/>
    <n v="1350"/>
    <s v="W10895697"/>
    <s v="Placas de Controle"/>
    <x v="1"/>
    <n v="2000"/>
    <n v="5002858"/>
    <s v="FAVORITA TRANSPORTES LTDA"/>
    <n v="981.37"/>
    <d v="2025-05-23T00:00:00"/>
  </r>
  <r>
    <n v="254018211"/>
    <n v="64793379"/>
    <s v="REB"/>
    <n v="10088127"/>
    <n v="173"/>
    <s v="PEÇAS - Defeito de fabric./Alta Amperage"/>
    <s v="FUNCIONAL"/>
    <x v="1"/>
    <n v="9452"/>
    <x v="42"/>
    <s v="SP"/>
    <n v="931"/>
    <s v="Ats Off"/>
    <n v="1350"/>
    <s v="W11426737"/>
    <s v="Placas de Controle"/>
    <x v="1"/>
    <n v="1000"/>
    <n v="5004042"/>
    <s v="BRASIL WEB TRANSPORTES E LOGISTICA"/>
    <n v="980.26"/>
    <d v="2025-06-17T00:00:00"/>
  </r>
  <r>
    <n v="254003947"/>
    <n v="64778664"/>
    <s v="REB"/>
    <n v="9907466"/>
    <n v="173"/>
    <s v="PEÇAS - Defeito de fabric./Alta Amperage"/>
    <s v="FUNCIONAL"/>
    <x v="2"/>
    <n v="30990"/>
    <x v="26"/>
    <s v="ES"/>
    <n v="713"/>
    <s v="Key Account"/>
    <n v="1350"/>
    <n v="326061171"/>
    <s v="Placas de Controle"/>
    <x v="1"/>
    <n v="4000"/>
    <n v="5004042"/>
    <s v="BRASIL WEB TRANSPORTES E LOGISTICA"/>
    <n v="975.08"/>
    <d v="2025-05-26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1458014"/>
    <s v="Placas de Controle"/>
    <x v="1"/>
    <n v="4000"/>
    <n v="5003024"/>
    <s v="RODOBRAS TRANSPORTES RODOVIARIOS LT"/>
    <n v="964.3"/>
    <d v="2025-01-16T00:00:00"/>
  </r>
  <r>
    <n v="254030456"/>
    <n v="64796077"/>
    <s v="REB"/>
    <n v="10082070"/>
    <n v="90"/>
    <s v="CLIENTE-não solicitou"/>
    <s v="COMERCIAL"/>
    <x v="1"/>
    <n v="3467"/>
    <x v="115"/>
    <s v="SP"/>
    <n v="931"/>
    <s v="Ats Off"/>
    <n v="1350"/>
    <s v="W11509192"/>
    <s v="Dispensers"/>
    <x v="9"/>
    <n v="2000"/>
    <n v="5004042"/>
    <s v="BRASIL WEB TRANSPORTES E LOGISTICA"/>
    <n v="959.97"/>
    <d v="2025-07-01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n v="326031817"/>
    <s v="Mangueiras"/>
    <x v="5"/>
    <n v="50000"/>
    <n v="5004042"/>
    <s v="BRASIL WEB TRANSPORTES E LOGISTICA"/>
    <n v="958.16"/>
    <d v="2025-05-26T00:00:00"/>
  </r>
  <r>
    <n v="254031856"/>
    <n v="64796929"/>
    <s v="REB"/>
    <n v="9734499"/>
    <n v="176"/>
    <s v="PEÇAS - Defeito de fabric./Interrompido"/>
    <s v="FUNCIONAL"/>
    <x v="1"/>
    <n v="3506"/>
    <x v="46"/>
    <s v="SP"/>
    <n v="931"/>
    <s v="Ats Off"/>
    <n v="1350"/>
    <s v="W11342524"/>
    <s v="Placas de Controle"/>
    <x v="1"/>
    <n v="1000"/>
    <n v="5004042"/>
    <s v="BRASIL WEB TRANSPORTES E LOGISTICA"/>
    <n v="957.19"/>
    <d v="2025-06-24T00:00:00"/>
  </r>
  <r>
    <n v="253961282"/>
    <n v="64737993"/>
    <s v="REB"/>
    <n v="9878376"/>
    <n v="176"/>
    <s v="PEÇAS - Defeito de fabric./Interrompido"/>
    <s v="FUNCIONAL"/>
    <x v="2"/>
    <n v="27825"/>
    <x v="116"/>
    <s v="SP"/>
    <n v="641"/>
    <s v="CDP Diamante"/>
    <n v="1350"/>
    <s v="W11299803"/>
    <s v="Mecanismos"/>
    <x v="2"/>
    <n v="10000"/>
    <n v="5004042"/>
    <s v="BRASIL WEB TRANSPORTES E LOGISTICA"/>
    <n v="956.1"/>
    <d v="2025-03-25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347201"/>
    <s v="Prateleiras"/>
    <x v="9"/>
    <n v="15000"/>
    <n v="5002858"/>
    <s v="FAVORITA TRANSPORTES LTDA"/>
    <n v="954"/>
    <d v="2025-07-15T00:00:00"/>
  </r>
  <r>
    <s v="Sem TR"/>
    <n v="64814328"/>
    <s v="REB"/>
    <n v="9912907"/>
    <n v="178"/>
    <s v="PEÇAS -Defeito de fabric./Sem Compressão"/>
    <s v="FUNCIONAL"/>
    <x v="1"/>
    <n v="63300"/>
    <x v="17"/>
    <s v="MG"/>
    <n v="643"/>
    <s v="Elite"/>
    <n v="1350"/>
    <s v="W10393823"/>
    <s v="Compressores Herméticos"/>
    <x v="0"/>
    <n v="2000"/>
    <n v="5004215"/>
    <s v="BRASIL WEB TRANSPORTES E LOGISTICA"/>
    <n v="949.01"/>
    <d v="2025-07-22T00:00:00"/>
  </r>
  <r>
    <s v="Sem TR"/>
    <n v="64701908"/>
    <s v="ROB"/>
    <n v="9817404"/>
    <n v="221"/>
    <s v="DEV-Sinistro - SEGURO"/>
    <s v="TRANSPORTADORA"/>
    <x v="0"/>
    <n v="47475"/>
    <x v="117"/>
    <s v="SC"/>
    <n v="350"/>
    <s v="Ats On"/>
    <n v="1350"/>
    <s v="W11300695"/>
    <s v="Mecanismos"/>
    <x v="2"/>
    <n v="5000"/>
    <n v="5003024"/>
    <s v="RODOBRAS TRANSPORTES RODOVIARIOS LT"/>
    <n v="945.9"/>
    <d v="2025-01-28T00:00:00"/>
  </r>
  <r>
    <n v="254012456"/>
    <n v="64785548"/>
    <s v="REB"/>
    <n v="10048128"/>
    <n v="167"/>
    <s v="PEÇAS - Avaria - Quebrada/Depósito"/>
    <s v="LOGÍSTICA"/>
    <x v="2"/>
    <n v="8192"/>
    <x v="118"/>
    <s v="PR"/>
    <n v="933"/>
    <s v="Top"/>
    <n v="1350"/>
    <s v="W10616737"/>
    <s v="Gavetas"/>
    <x v="9"/>
    <n v="5000"/>
    <n v="5003024"/>
    <s v="RODOBRAS TRANSPORTES RODOVIARIOS LT"/>
    <n v="945.12"/>
    <d v="2025-06-10T00:00:00"/>
  </r>
  <r>
    <n v="254030456"/>
    <n v="64796077"/>
    <s v="REB"/>
    <n v="10082070"/>
    <n v="90"/>
    <s v="CLIENTE-não solicitou"/>
    <s v="COMERCIAL"/>
    <x v="1"/>
    <n v="3467"/>
    <x v="115"/>
    <s v="SP"/>
    <n v="931"/>
    <s v="Ats Off"/>
    <n v="1350"/>
    <s v="W11228626"/>
    <s v="Placas de Interface"/>
    <x v="1"/>
    <n v="3000"/>
    <n v="5004042"/>
    <s v="BRASIL WEB TRANSPORTES E LOGISTICA"/>
    <n v="941.49"/>
    <d v="2025-07-01T00:00:00"/>
  </r>
  <r>
    <s v="Sem TR"/>
    <n v="64773514"/>
    <s v="ROB"/>
    <n v="50374"/>
    <n v="671"/>
    <s v="DEV-ENVIADO PARA GESTÃO DE CONSEQUENCIA"/>
    <s v="TRANSPORTADORA"/>
    <x v="2"/>
    <n v="73499"/>
    <x v="66"/>
    <s v="CE"/>
    <n v="932"/>
    <s v="CDP Prata"/>
    <n v="1550"/>
    <s v="W10531315"/>
    <s v="Sensores"/>
    <x v="3"/>
    <n v="100000"/>
    <n v="5004391"/>
    <s v="JEONCEL TRANSPORTES LTDA"/>
    <n v="938.27"/>
    <d v="2025-05-19T00:00:00"/>
  </r>
  <r>
    <s v="Sem TR"/>
    <n v="64816520"/>
    <s v="REB"/>
    <n v="9783968"/>
    <n v="178"/>
    <s v="PEÇAS -Defeito de fabric./Sem Compressão"/>
    <s v="FUNCIONAL"/>
    <x v="1"/>
    <n v="21295"/>
    <x v="2"/>
    <s v="SP"/>
    <n v="648"/>
    <s v="Ultra"/>
    <n v="1350"/>
    <s v="W11647660"/>
    <s v="Compressores Herméticos"/>
    <x v="0"/>
    <n v="3000"/>
    <n v="5004042"/>
    <s v="BRASIL WEB TRANSPORTES E LOGISTICA"/>
    <n v="934.86"/>
    <d v="2025-07-25T00:00:00"/>
  </r>
  <r>
    <n v="253983974"/>
    <n v="64759525"/>
    <s v="REB"/>
    <n v="9897888"/>
    <n v="178"/>
    <s v="PEÇAS -Defeito de fabric./Sem Compressão"/>
    <s v="FUNCIONAL"/>
    <x v="1"/>
    <n v="87383"/>
    <x v="77"/>
    <s v="RJ"/>
    <n v="933"/>
    <s v="Top"/>
    <n v="1350"/>
    <s v="W11191172"/>
    <s v="Compressores Rotativos"/>
    <x v="0"/>
    <n v="2000"/>
    <n v="5003176"/>
    <s v="J C THEDIN TRANSPORTES LTDA"/>
    <n v="933.4"/>
    <d v="2025-04-28T00:00:00"/>
  </r>
  <r>
    <n v="253995230"/>
    <n v="64772629"/>
    <s v="REB"/>
    <n v="9561444"/>
    <n v="178"/>
    <s v="PEÇAS -Defeito de fabric./Sem Compressão"/>
    <s v="FUNCIONAL"/>
    <x v="1"/>
    <n v="77746"/>
    <x v="119"/>
    <s v="GO"/>
    <n v="933"/>
    <s v="Top"/>
    <n v="1350"/>
    <s v="W11647662"/>
    <s v="Compressores Herméticos"/>
    <x v="0"/>
    <n v="3000"/>
    <n v="5002858"/>
    <s v="FAVORITA TRANSPORTES LTDA"/>
    <n v="933.4"/>
    <d v="2025-05-16T00:00:00"/>
  </r>
  <r>
    <n v="253992775"/>
    <n v="64768304"/>
    <s v="REB"/>
    <n v="9661554"/>
    <n v="178"/>
    <s v="PEÇAS -Defeito de fabric./Sem Compressão"/>
    <s v="FUNCIONAL"/>
    <x v="2"/>
    <n v="78757"/>
    <x v="50"/>
    <s v="RS"/>
    <n v="643"/>
    <s v="Elite"/>
    <n v="1350"/>
    <s v="W11563665"/>
    <s v="Compressores Herméticos"/>
    <x v="0"/>
    <n v="3000"/>
    <n v="5003024"/>
    <s v="RODOBRAS TRANSPORTES RODOVIARIOS LT"/>
    <n v="931.98"/>
    <d v="2025-05-12T00:00:00"/>
  </r>
  <r>
    <n v="253995134"/>
    <n v="64772555"/>
    <s v="REB"/>
    <n v="8825736"/>
    <n v="178"/>
    <s v="PEÇAS -Defeito de fabric./Sem Compressão"/>
    <s v="FUNCIONAL"/>
    <x v="2"/>
    <n v="27991"/>
    <x v="120"/>
    <s v="SP"/>
    <n v="644"/>
    <s v="Plus"/>
    <n v="1350"/>
    <s v="W11677210"/>
    <s v="Compressores Herméticos"/>
    <x v="0"/>
    <n v="2000"/>
    <n v="5004042"/>
    <s v="BRASIL WEB TRANSPORTES E LOGISTICA"/>
    <n v="930.72"/>
    <d v="2025-05-16T00:00:00"/>
  </r>
  <r>
    <n v="254030206"/>
    <n v="64802581"/>
    <s v="REB"/>
    <n v="9292029"/>
    <n v="178"/>
    <s v="PEÇAS -Defeito de fabric./Sem Compressão"/>
    <s v="FUNCIONAL"/>
    <x v="0"/>
    <n v="47026"/>
    <x v="16"/>
    <s v="BA"/>
    <n v="643"/>
    <s v="Elite"/>
    <n v="1350"/>
    <s v="W10393822"/>
    <s v="Compressores Herméticos"/>
    <x v="0"/>
    <n v="2000"/>
    <n v="5004101"/>
    <s v="UNIDOCK'S ASSESSORIA E LOGISTICA DE"/>
    <n v="927.85"/>
    <d v="2025-07-01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629019"/>
    <s v="Recipientes de Evaporação"/>
    <x v="9"/>
    <n v="60000"/>
    <n v="5004042"/>
    <s v="BRASIL WEB TRANSPORTES E LOGISTICA"/>
    <n v="923.22"/>
    <d v="2025-05-26T00:00:00"/>
  </r>
  <r>
    <n v="253861433"/>
    <n v="64633946"/>
    <s v="ROB"/>
    <n v="9673609"/>
    <n v="115"/>
    <s v="PEÇAS-Recusa do cliente"/>
    <s v="COMERCIAL"/>
    <x v="1"/>
    <n v="37259"/>
    <x v="27"/>
    <s v="SP"/>
    <n v="934"/>
    <s v="CDP Ouro"/>
    <n v="1350"/>
    <s v="W11677210"/>
    <s v="Compressores Herméticos"/>
    <x v="0"/>
    <n v="2000"/>
    <n v="5004101"/>
    <s v="UNIDOCK'S ASSESSORIA E LOGISTICA DE"/>
    <n v="922"/>
    <d v="2024-10-28T00:00:00"/>
  </r>
  <r>
    <s v="Sem TR"/>
    <n v="64788630"/>
    <s v="REB"/>
    <n v="10045259"/>
    <n v="509"/>
    <s v="Qtd de peças a Menor dentro do Volume"/>
    <s v="LOGÍSTICA"/>
    <x v="2"/>
    <n v="61847"/>
    <x v="35"/>
    <s v="MG"/>
    <n v="643"/>
    <s v="Elite"/>
    <n v="1350"/>
    <s v="W10849470"/>
    <s v="Bombas"/>
    <x v="1"/>
    <n v="30000"/>
    <n v="5002359"/>
    <s v="EMPRESA BRASILEIRA DE CORREIOS E"/>
    <n v="918.72"/>
    <d v="2025-06-10T00:00:00"/>
  </r>
  <r>
    <n v="254038296"/>
    <n v="64814925"/>
    <s v="REB"/>
    <n v="9780837"/>
    <n v="173"/>
    <s v="PEÇAS - Defeito de fabric./Alta Amperage"/>
    <s v="FUNCIONAL"/>
    <x v="0"/>
    <n v="9599"/>
    <x v="121"/>
    <s v="SP"/>
    <n v="931"/>
    <s v="Ats Off"/>
    <n v="1350"/>
    <s v="W11210692"/>
    <s v="Placas de Interface"/>
    <x v="1"/>
    <n v="1000"/>
    <n v="5004042"/>
    <s v="BRASIL WEB TRANSPORTES E LOGISTICA"/>
    <n v="917.63"/>
    <d v="2025-07-22T00:00:00"/>
  </r>
  <r>
    <n v="254012554"/>
    <n v="64788461"/>
    <s v="REB"/>
    <n v="9861831"/>
    <n v="173"/>
    <s v="PEÇAS - Defeito de fabric./Alta Amperage"/>
    <s v="FUNCIONAL"/>
    <x v="2"/>
    <n v="61675"/>
    <x v="12"/>
    <s v="MG"/>
    <n v="643"/>
    <s v="Elite"/>
    <n v="1350"/>
    <n v="326061171"/>
    <s v="Placas de Controle"/>
    <x v="1"/>
    <n v="4000"/>
    <n v="5004215"/>
    <s v="BRASIL WEB TRANSPORTES E LOGISTICA"/>
    <n v="913.88"/>
    <d v="2025-06-10T00:00:00"/>
  </r>
  <r>
    <n v="254005348"/>
    <n v="64773256"/>
    <s v="REB"/>
    <n v="10001589"/>
    <n v="90"/>
    <s v="CLIENTE-não solicitou"/>
    <s v="COMERCIAL"/>
    <x v="1"/>
    <n v="87490"/>
    <x v="122"/>
    <s v="RJ"/>
    <n v="350"/>
    <s v="Ats On"/>
    <n v="1350"/>
    <s v="W11293081"/>
    <s v="Placas de Controle"/>
    <x v="1"/>
    <n v="1000"/>
    <n v="5003176"/>
    <s v="J C THEDIN TRANSPORTES LTDA"/>
    <n v="904.21"/>
    <d v="2025-05-26T00:00:00"/>
  </r>
  <r>
    <n v="253983825"/>
    <n v="64759506"/>
    <s v="REB"/>
    <n v="10000213"/>
    <n v="104"/>
    <s v="PEÇAS-Código trocado(embalag X conteúdo)"/>
    <s v="LOGÍSTICA"/>
    <x v="1"/>
    <n v="3236"/>
    <x v="45"/>
    <s v="SP"/>
    <n v="931"/>
    <s v="Ats Off"/>
    <n v="1350"/>
    <s v="W11199342"/>
    <s v="Filtros"/>
    <x v="5"/>
    <n v="10000"/>
    <n v="5004042"/>
    <s v="BRASIL WEB TRANSPORTES E LOGISTICA"/>
    <n v="902.61"/>
    <d v="2025-04-28T00:00:00"/>
  </r>
  <r>
    <n v="254038387"/>
    <n v="64807487"/>
    <s v="REB"/>
    <n v="10090174"/>
    <n v="173"/>
    <s v="PEÇAS - Defeito de fabric./Alta Amperage"/>
    <s v="FUNCIONAL"/>
    <x v="1"/>
    <n v="67948"/>
    <x v="15"/>
    <s v="SC"/>
    <n v="713"/>
    <s v="Key Account"/>
    <n v="1350"/>
    <s v="W10882241"/>
    <s v="Agitadores"/>
    <x v="2"/>
    <n v="27000"/>
    <n v="5003024"/>
    <s v="RODOBRAS TRANSPORTES RODOVIARIOS LT"/>
    <n v="899.74"/>
    <d v="2025-07-22T00:00:00"/>
  </r>
  <r>
    <n v="253948458"/>
    <n v="64726705"/>
    <s v="REB"/>
    <n v="9774518"/>
    <n v="173"/>
    <s v="PEÇAS - Defeito de fabric./Alta Amperage"/>
    <s v="FUNCIONAL"/>
    <x v="2"/>
    <n v="13757"/>
    <x v="14"/>
    <s v="SP"/>
    <n v="713"/>
    <s v="Key Account"/>
    <n v="1350"/>
    <s v="W11299803"/>
    <s v="Mecanismos"/>
    <x v="2"/>
    <n v="10000"/>
    <n v="5004042"/>
    <s v="BRASIL WEB TRANSPORTES E LOGISTICA"/>
    <n v="895"/>
    <d v="2025-03-07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0531315"/>
    <s v="Sensores"/>
    <x v="3"/>
    <n v="100000"/>
    <n v="5004101"/>
    <s v="UNIDOCK'S ASSESSORIA E LOGISTICA DE"/>
    <n v="892.47"/>
    <d v="2025-02-19T00:00:00"/>
  </r>
  <r>
    <n v="253966205"/>
    <n v="64742936"/>
    <s v="REB"/>
    <n v="9928006"/>
    <n v="167"/>
    <s v="PEÇAS - Avaria - Quebrada/Depósito"/>
    <s v="LOGÍSTICA"/>
    <x v="2"/>
    <n v="85599"/>
    <x v="124"/>
    <s v="SP"/>
    <n v="934"/>
    <s v="CDP Ouro"/>
    <n v="1350"/>
    <s v="W10624070"/>
    <s v="Gavetas"/>
    <x v="9"/>
    <n v="8000"/>
    <n v="5004042"/>
    <s v="BRASIL WEB TRANSPORTES E LOGISTICA"/>
    <n v="891.42"/>
    <d v="2025-03-31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n v="326043145"/>
    <s v="Filtros"/>
    <x v="5"/>
    <n v="20000"/>
    <n v="5004042"/>
    <s v="BRASIL WEB TRANSPORTES E LOGISTICA"/>
    <n v="891.25"/>
    <d v="2025-05-26T00:00:00"/>
  </r>
  <r>
    <n v="253953835"/>
    <n v="64731934"/>
    <s v="REB"/>
    <n v="9897139"/>
    <n v="90"/>
    <s v="CLIENTE-não solicitou"/>
    <s v="COMERCIAL"/>
    <x v="1"/>
    <n v="64319"/>
    <x v="125"/>
    <s v="SP"/>
    <n v="641"/>
    <s v="CDP Diamante"/>
    <n v="1350"/>
    <s v="W10531315"/>
    <s v="Sensores"/>
    <x v="3"/>
    <n v="100000"/>
    <n v="5004042"/>
    <s v="BRASIL WEB TRANSPORTES E LOGISTICA"/>
    <n v="886.08"/>
    <d v="2025-03-14T00:00:00"/>
  </r>
  <r>
    <n v="254033319"/>
    <n v="64788388"/>
    <s v="REB"/>
    <n v="10082965"/>
    <n v="173"/>
    <s v="PEÇAS - Defeito de fabric./Alta Amperage"/>
    <s v="FUNCIONAL"/>
    <x v="1"/>
    <n v="26939"/>
    <x v="126"/>
    <s v="PR"/>
    <n v="643"/>
    <s v="Elite"/>
    <n v="1350"/>
    <s v="W11160655"/>
    <s v="Placas de Interface"/>
    <x v="1"/>
    <n v="7000"/>
    <n v="5003024"/>
    <s v="RODOBRAS TRANSPORTES RODOVIARIOS LT"/>
    <n v="881.89"/>
    <d v="2025-07-08T00:00:00"/>
  </r>
  <r>
    <s v="Sem TR"/>
    <n v="64795891"/>
    <s v="REB"/>
    <n v="10079916"/>
    <n v="509"/>
    <s v="Qtd de peças a Menor dentro do Volume"/>
    <s v="LOGÍSTICA"/>
    <x v="2"/>
    <n v="28178"/>
    <x v="127"/>
    <s v="SP"/>
    <n v="644"/>
    <s v="Plus"/>
    <n v="1350"/>
    <s v="W10531315"/>
    <s v="Sensores"/>
    <x v="3"/>
    <n v="100000"/>
    <n v="5002359"/>
    <s v="EMPRESA BRASILEIRA DE CORREIOS E"/>
    <n v="881.82"/>
    <d v="2025-06-23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561657"/>
    <s v="Suportes"/>
    <x v="6"/>
    <n v="120000"/>
    <n v="5004042"/>
    <s v="BRASIL WEB TRANSPORTES E LOGISTICA"/>
    <n v="877.99"/>
    <d v="2025-05-26T00:00:00"/>
  </r>
  <r>
    <n v="253961192"/>
    <n v="64737161"/>
    <s v="REB"/>
    <n v="9662033"/>
    <n v="506"/>
    <s v="Qtd de peças a Maior dentro do Volume"/>
    <s v="LOGÍSTICA"/>
    <x v="1"/>
    <n v="2082"/>
    <x v="128"/>
    <s v="MG"/>
    <n v="350"/>
    <s v="Ats On"/>
    <n v="1350"/>
    <s v="W11616713"/>
    <s v="Portas"/>
    <x v="6"/>
    <n v="1000"/>
    <n v="5004215"/>
    <s v="BRASIL WEB TRANSPORTES E LOGISTICA"/>
    <n v="874.82"/>
    <d v="2025-03-24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754807"/>
    <s v="Agitadores"/>
    <x v="2"/>
    <n v="20000"/>
    <n v="5004042"/>
    <s v="BRASIL WEB TRANSPORTES E LOGISTICA"/>
    <n v="869.87"/>
    <d v="2025-05-26T00:00:00"/>
  </r>
  <r>
    <n v="254033440"/>
    <n v="64802817"/>
    <s v="REB"/>
    <n v="10100324"/>
    <n v="173"/>
    <s v="PEÇAS - Defeito de fabric./Alta Amperage"/>
    <s v="FUNCIONAL"/>
    <x v="1"/>
    <n v="69166"/>
    <x v="129"/>
    <s v="RJ"/>
    <n v="931"/>
    <s v="Ats Off"/>
    <n v="1350"/>
    <s v="W10637619"/>
    <s v="Placas de Interface"/>
    <x v="1"/>
    <n v="1000"/>
    <n v="5003176"/>
    <s v="J C THEDIN TRANSPORTES LTDA"/>
    <n v="867.66"/>
    <d v="2025-07-01T00:00:00"/>
  </r>
  <r>
    <n v="254033440"/>
    <n v="64805065"/>
    <s v="REB"/>
    <n v="10061871"/>
    <n v="173"/>
    <s v="PEÇAS - Defeito de fabric./Alta Amperage"/>
    <s v="FUNCIONAL"/>
    <x v="1"/>
    <n v="69166"/>
    <x v="129"/>
    <s v="RJ"/>
    <n v="931"/>
    <s v="Ats Off"/>
    <n v="1350"/>
    <s v="W10637619"/>
    <s v="Placas de Interface"/>
    <x v="1"/>
    <n v="1000"/>
    <n v="5003176"/>
    <s v="J C THEDIN TRANSPORTES LTDA"/>
    <n v="867.66"/>
    <d v="2025-07-08T00:00:00"/>
  </r>
  <r>
    <n v="253981385"/>
    <n v="64757994"/>
    <s v="REB"/>
    <n v="9851073"/>
    <n v="176"/>
    <s v="PEÇAS - Defeito de fabric./Interrompido"/>
    <s v="FUNCIONAL"/>
    <x v="2"/>
    <n v="3648"/>
    <x v="130"/>
    <s v="SP"/>
    <n v="350"/>
    <s v="Ats On"/>
    <n v="1350"/>
    <s v="W10336914"/>
    <s v="Ice Maker"/>
    <x v="7"/>
    <n v="1000"/>
    <n v="5004042"/>
    <s v="BRASIL WEB TRANSPORTES E LOGISTICA"/>
    <n v="866.25"/>
    <d v="2025-04-25T00:00:00"/>
  </r>
  <r>
    <n v="254012235"/>
    <n v="64790316"/>
    <s v="ZRDI"/>
    <n v="10035889"/>
    <n v="208"/>
    <s v="DEV-Atraso entrega- LOGISTICA(Transp)"/>
    <s v="TRANSPORTADORA"/>
    <x v="2"/>
    <n v="58024918"/>
    <x v="131"/>
    <s v="CE"/>
    <n v="474"/>
    <s v="Site Brastemp"/>
    <n v="1352"/>
    <s v="W10510889"/>
    <s v="Filtros"/>
    <x v="5"/>
    <n v="3000"/>
    <n v="5002359"/>
    <s v="EMPRESA BRASILEIRA DE CORREIOS E"/>
    <n v="865.53"/>
    <d v="2025-06-11T00:00:00"/>
  </r>
  <r>
    <n v="253952559"/>
    <n v="64728504"/>
    <s v="REB"/>
    <n v="9855554"/>
    <n v="178"/>
    <s v="PEÇAS -Defeito de fabric./Sem Compressão"/>
    <s v="FUNCIONAL"/>
    <x v="2"/>
    <n v="87383"/>
    <x v="77"/>
    <s v="RJ"/>
    <n v="933"/>
    <s v="Top"/>
    <n v="1350"/>
    <s v="W11191172"/>
    <s v="Compressores Rotativos"/>
    <x v="0"/>
    <n v="2000"/>
    <n v="5003176"/>
    <s v="J C THEDIN TRANSPORTES LTDA"/>
    <n v="864.86"/>
    <d v="2025-03-10T00:00:00"/>
  </r>
  <r>
    <n v="253970682"/>
    <n v="64745064"/>
    <s v="REB"/>
    <n v="9941177"/>
    <n v="104"/>
    <s v="PEÇAS-Código trocado(embalag X conteúdo)"/>
    <s v="LOGÍSTICA"/>
    <x v="2"/>
    <n v="2809"/>
    <x v="28"/>
    <s v="RJ"/>
    <n v="350"/>
    <s v="Ats On"/>
    <n v="1350"/>
    <s v="W11703145"/>
    <s v="Outros"/>
    <x v="7"/>
    <n v="1000"/>
    <n v="5003176"/>
    <s v="J C THEDIN TRANSPORTES LTDA"/>
    <n v="862.22"/>
    <d v="2025-04-03T00:00:00"/>
  </r>
  <r>
    <s v="Sem TR"/>
    <n v="64814846"/>
    <s v="REB"/>
    <n v="9442721"/>
    <n v="178"/>
    <s v="PEÇAS -Defeito de fabric./Sem Compressão"/>
    <s v="FUNCIONAL"/>
    <x v="1"/>
    <n v="67948"/>
    <x v="15"/>
    <s v="SC"/>
    <n v="713"/>
    <s v="Key Account"/>
    <n v="1350"/>
    <s v="W11647662"/>
    <s v="Compressores Herméticos"/>
    <x v="0"/>
    <n v="3000"/>
    <n v="5003024"/>
    <s v="RODOBRAS TRANSPORTES RODOVIARIOS LT"/>
    <n v="857.73"/>
    <d v="2025-07-25T00:00:00"/>
  </r>
  <r>
    <n v="254012590"/>
    <n v="64789414"/>
    <s v="REB"/>
    <n v="9442721"/>
    <n v="178"/>
    <s v="PEÇAS -Defeito de fabric./Sem Compressão"/>
    <s v="FUNCIONAL"/>
    <x v="1"/>
    <n v="67948"/>
    <x v="15"/>
    <s v="SC"/>
    <n v="713"/>
    <s v="Key Account"/>
    <n v="1350"/>
    <s v="W11647662"/>
    <s v="Compressores Herméticos"/>
    <x v="0"/>
    <n v="3000"/>
    <n v="5003024"/>
    <s v="RODOBRAS TRANSPORTES RODOVIARIOS LT"/>
    <n v="857.73"/>
    <d v="2025-06-10T00:00:00"/>
  </r>
  <r>
    <n v="253988928"/>
    <n v="64764279"/>
    <s v="REB"/>
    <n v="9981216"/>
    <n v="173"/>
    <s v="PEÇAS - Defeito de fabric./Alta Amperage"/>
    <s v="FUNCIONAL"/>
    <x v="1"/>
    <n v="80833"/>
    <x v="132"/>
    <s v="PR"/>
    <n v="644"/>
    <s v="Plus"/>
    <n v="1350"/>
    <s v="W11342525"/>
    <s v="Placas de Controle"/>
    <x v="1"/>
    <n v="1000"/>
    <n v="5003024"/>
    <s v="RODOBRAS TRANSPORTES RODOVIARIOS LT"/>
    <n v="857.51"/>
    <d v="2025-05-05T00:00:00"/>
  </r>
  <r>
    <n v="254038946"/>
    <n v="64816970"/>
    <s v="REB"/>
    <n v="10145892"/>
    <n v="170"/>
    <s v="PEÇAS - Avaria - Riscada/Depósito"/>
    <s v="LOGÍSTICA"/>
    <x v="0"/>
    <n v="40704"/>
    <x v="91"/>
    <s v="SP"/>
    <n v="931"/>
    <s v="Ats Off"/>
    <n v="1350"/>
    <s v="W11679212"/>
    <s v="Outros"/>
    <x v="7"/>
    <n v="1000"/>
    <n v="5004042"/>
    <s v="BRASIL WEB TRANSPORTES E LOGISTICA"/>
    <n v="856.01"/>
    <d v="2025-07-24T00:00:00"/>
  </r>
  <r>
    <n v="254027640"/>
    <n v="64807242"/>
    <s v="REB"/>
    <n v="10122963"/>
    <n v="170"/>
    <s v="PEÇAS - Avaria - Riscada/Depósito"/>
    <s v="LOGÍSTICA"/>
    <x v="2"/>
    <n v="40704"/>
    <x v="91"/>
    <s v="SP"/>
    <n v="931"/>
    <s v="Ats Off"/>
    <n v="1350"/>
    <s v="W11679212"/>
    <s v="Outros"/>
    <x v="7"/>
    <n v="1000"/>
    <n v="5004042"/>
    <s v="BRASIL WEB TRANSPORTES E LOGISTICA"/>
    <n v="854.97"/>
    <d v="2025-07-08T00:00:00"/>
  </r>
  <r>
    <n v="254029808"/>
    <n v="64809359"/>
    <s v="REB"/>
    <n v="10128379"/>
    <n v="170"/>
    <s v="PEÇAS - Avaria - Riscada/Depósito"/>
    <s v="LOGÍSTICA"/>
    <x v="2"/>
    <n v="40704"/>
    <x v="91"/>
    <s v="SP"/>
    <n v="931"/>
    <s v="Ats Off"/>
    <n v="1350"/>
    <s v="W11679212"/>
    <s v="Outros"/>
    <x v="7"/>
    <n v="1000"/>
    <n v="5004042"/>
    <s v="BRASIL WEB TRANSPORTES E LOGISTICA"/>
    <n v="854.97"/>
    <d v="2025-07-11T00:00:00"/>
  </r>
  <r>
    <n v="254012501"/>
    <n v="64789460"/>
    <s v="REB"/>
    <n v="9748740"/>
    <n v="178"/>
    <s v="PEÇAS -Defeito de fabric./Sem Compressão"/>
    <s v="FUNCIONAL"/>
    <x v="2"/>
    <n v="28991"/>
    <x v="65"/>
    <s v="MG"/>
    <n v="643"/>
    <s v="Elite"/>
    <n v="1350"/>
    <s v="W11677208"/>
    <s v="Compressores Herméticos"/>
    <x v="0"/>
    <n v="3000"/>
    <n v="5004215"/>
    <s v="BRASIL WEB TRANSPORTES E LOGISTICA"/>
    <n v="844.13"/>
    <d v="2025-06-10T00:00:00"/>
  </r>
  <r>
    <n v="253953838"/>
    <n v="64682575"/>
    <s v="REB"/>
    <n v="9675698"/>
    <n v="671"/>
    <s v="DEV-ENVIADO PARA GESTÃO DE CONSEQUENCIA"/>
    <s v="TRANSPORTADORA"/>
    <x v="1"/>
    <n v="68809"/>
    <x v="133"/>
    <s v="MT"/>
    <n v="350"/>
    <s v="Ats On"/>
    <n v="1350"/>
    <s v="W10699291"/>
    <s v="Tanques"/>
    <x v="9"/>
    <n v="1000"/>
    <n v="5002573"/>
    <s v="CARVALIMA TRANSPORTES LTDA"/>
    <n v="843.81"/>
    <d v="2025-01-01T00:00:00"/>
  </r>
  <r>
    <n v="254033317"/>
    <n v="64807359"/>
    <s v="REB"/>
    <n v="10011426"/>
    <n v="176"/>
    <s v="PEÇAS - Defeito de fabric./Interrompido"/>
    <s v="FUNCIONAL"/>
    <x v="1"/>
    <n v="24089"/>
    <x v="134"/>
    <s v="RJ"/>
    <n v="931"/>
    <s v="Ats Off"/>
    <n v="1350"/>
    <s v="W11761158"/>
    <s v="Outros"/>
    <x v="7"/>
    <n v="1000"/>
    <n v="5003176"/>
    <s v="J C THEDIN TRANSPORTES LTDA"/>
    <n v="842.31"/>
    <d v="2025-07-08T00:00:00"/>
  </r>
  <r>
    <n v="254018238"/>
    <n v="64765837"/>
    <s v="REB"/>
    <n v="9964217"/>
    <n v="168"/>
    <s v="PEÇAS-Def.Fabric.Empenamento/Abaulamento"/>
    <s v="FUNCIONAL"/>
    <x v="2"/>
    <n v="24089"/>
    <x v="134"/>
    <s v="RJ"/>
    <n v="931"/>
    <s v="Ats Off"/>
    <n v="1350"/>
    <s v="W11761158"/>
    <s v="Outros"/>
    <x v="7"/>
    <n v="1000"/>
    <n v="5003176"/>
    <s v="J C THEDIN TRANSPORTES LTDA"/>
    <n v="842.31"/>
    <d v="2025-06-12T00:00:00"/>
  </r>
  <r>
    <n v="254042038"/>
    <n v="64796369"/>
    <s v="REB"/>
    <n v="10044908"/>
    <n v="173"/>
    <s v="PEÇAS - Defeito de fabric./Alta Amperage"/>
    <s v="FUNCIONAL"/>
    <x v="0"/>
    <n v="21647"/>
    <x v="39"/>
    <s v="PR"/>
    <n v="641"/>
    <s v="CDP Diamante"/>
    <n v="1350"/>
    <s v="W10531315"/>
    <s v="Sensores"/>
    <x v="3"/>
    <n v="102000"/>
    <n v="5003024"/>
    <s v="RODOBRAS TRANSPORTES RODOVIARIOS LT"/>
    <n v="841.88"/>
    <d v="2025-06-23T00:00:00"/>
  </r>
  <r>
    <n v="254003989"/>
    <n v="64777901"/>
    <s v="REB"/>
    <n v="9294699"/>
    <n v="178"/>
    <s v="PEÇAS -Defeito de fabric./Sem Compressão"/>
    <s v="FUNCIONAL"/>
    <x v="1"/>
    <n v="47026"/>
    <x v="16"/>
    <s v="BA"/>
    <n v="643"/>
    <s v="Elite"/>
    <n v="1350"/>
    <s v="W11647660"/>
    <s v="Compressores Herméticos"/>
    <x v="0"/>
    <n v="3000"/>
    <n v="5004101"/>
    <s v="UNIDOCK'S ASSESSORIA E LOGISTICA DE"/>
    <n v="840.75"/>
    <d v="2025-05-26T00:00:00"/>
  </r>
  <r>
    <n v="254003949"/>
    <n v="64777726"/>
    <s v="REB"/>
    <n v="9791846"/>
    <n v="173"/>
    <s v="PEÇAS - Defeito de fabric./Alta Amperage"/>
    <s v="FUNCIONAL"/>
    <x v="1"/>
    <n v="31587"/>
    <x v="135"/>
    <s v="SP"/>
    <n v="643"/>
    <s v="Elite"/>
    <n v="1350"/>
    <s v="W10336914"/>
    <s v="Ice Maker"/>
    <x v="7"/>
    <n v="1000"/>
    <n v="5004042"/>
    <s v="BRASIL WEB TRANSPORTES E LOGISTICA"/>
    <n v="839.18"/>
    <d v="2025-05-26T00:00:00"/>
  </r>
  <r>
    <n v="254012160"/>
    <n v="64790271"/>
    <s v="ROB"/>
    <n v="10029697"/>
    <n v="115"/>
    <s v="PEÇAS-Recusa do cliente"/>
    <s v="COMERCIAL"/>
    <x v="0"/>
    <n v="67948"/>
    <x v="15"/>
    <s v="SC"/>
    <n v="713"/>
    <s v="Key Account"/>
    <n v="1350"/>
    <s v="W10527160"/>
    <s v="Motores Ventiladores"/>
    <x v="1"/>
    <n v="3000"/>
    <n v="5003024"/>
    <s v="RODOBRAS TRANSPORTES RODOVIARIOS LT"/>
    <n v="838.93"/>
    <d v="2025-06-11T00:00:00"/>
  </r>
  <r>
    <n v="254004041"/>
    <n v="64778379"/>
    <s v="REB"/>
    <n v="9965623"/>
    <n v="173"/>
    <s v="PEÇAS - Defeito de fabric./Alta Amperage"/>
    <s v="FUNCIONAL"/>
    <x v="2"/>
    <n v="67948"/>
    <x v="15"/>
    <s v="SC"/>
    <n v="713"/>
    <s v="Key Account"/>
    <n v="1350"/>
    <s v="W11435392"/>
    <s v="Placas de Controle"/>
    <x v="1"/>
    <n v="3000"/>
    <n v="5003024"/>
    <s v="RODOBRAS TRANSPORTES RODOVIARIOS LT"/>
    <n v="838.86"/>
    <d v="2025-05-26T00:00:00"/>
  </r>
  <r>
    <n v="254003944"/>
    <n v="64776958"/>
    <s v="REB"/>
    <n v="9860049"/>
    <n v="178"/>
    <s v="PEÇAS -Defeito de fabric./Sem Compressão"/>
    <s v="FUNCIONAL"/>
    <x v="1"/>
    <n v="30416"/>
    <x v="136"/>
    <s v="AM"/>
    <n v="648"/>
    <s v="Ultra"/>
    <n v="1350"/>
    <s v="W10393822"/>
    <s v="Compressores Herméticos"/>
    <x v="0"/>
    <n v="2000"/>
    <n v="5002858"/>
    <s v="FAVORITA TRANSPORTES LTDA"/>
    <n v="838.45"/>
    <d v="2025-05-26T00:00:00"/>
  </r>
  <r>
    <n v="254003947"/>
    <n v="64778664"/>
    <s v="REB"/>
    <n v="9907466"/>
    <n v="173"/>
    <s v="PEÇAS - Defeito de fabric./Alta Amperage"/>
    <s v="FUNCIONAL"/>
    <x v="2"/>
    <n v="30990"/>
    <x v="26"/>
    <s v="ES"/>
    <n v="713"/>
    <s v="Key Account"/>
    <n v="1350"/>
    <s v="W11161217"/>
    <s v="Placas de Controle"/>
    <x v="1"/>
    <n v="3000"/>
    <n v="5004042"/>
    <s v="BRASIL WEB TRANSPORTES E LOGISTICA"/>
    <n v="837.97"/>
    <d v="2025-05-26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531315"/>
    <s v="Sensores"/>
    <x v="3"/>
    <n v="100000"/>
    <n v="5004101"/>
    <s v="UNIDOCK'S ASSESSORIA E LOGISTICA DE"/>
    <n v="837.09"/>
    <d v="2025-03-11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0311957"/>
    <s v="Válvulas de Água"/>
    <x v="5"/>
    <n v="15000"/>
    <n v="5004101"/>
    <s v="UNIDOCK'S ASSESSORIA E LOGISTICA DE"/>
    <n v="837"/>
    <d v="2025-07-30T00:00:00"/>
  </r>
  <r>
    <s v="Sem TR"/>
    <n v="64814609"/>
    <s v="REB"/>
    <n v="9945444"/>
    <n v="178"/>
    <s v="PEÇAS -Defeito de fabric./Sem Compressão"/>
    <s v="FUNCIONAL"/>
    <x v="1"/>
    <n v="84681"/>
    <x v="17"/>
    <s v="BA"/>
    <n v="643"/>
    <s v="Elite"/>
    <n v="1350"/>
    <s v="W11647662"/>
    <s v="Compressores Herméticos"/>
    <x v="0"/>
    <n v="3000"/>
    <n v="5004101"/>
    <s v="UNIDOCK'S ASSESSORIA E LOGISTICA DE"/>
    <n v="835.74"/>
    <d v="2025-07-22T00:00:00"/>
  </r>
  <r>
    <n v="254033376"/>
    <n v="64799713"/>
    <s v="REB"/>
    <n v="10053086"/>
    <n v="178"/>
    <s v="PEÇAS -Defeito de fabric./Sem Compressão"/>
    <s v="FUNCIONAL"/>
    <x v="1"/>
    <n v="30416"/>
    <x v="136"/>
    <s v="AM"/>
    <n v="648"/>
    <s v="Ultra"/>
    <n v="1350"/>
    <s v="W10769941"/>
    <s v="Compressores Herméticos"/>
    <x v="0"/>
    <n v="2000"/>
    <n v="5002858"/>
    <s v="FAVORITA TRANSPORTES LTDA"/>
    <n v="834.9"/>
    <d v="2025-07-01T00:00:00"/>
  </r>
  <r>
    <n v="254012619"/>
    <n v="64789386"/>
    <s v="REB"/>
    <n v="9044795"/>
    <n v="177"/>
    <s v="PEÇAS - Defeito de fabric./Ruído"/>
    <s v="FUNCIONAL"/>
    <x v="1"/>
    <n v="80432"/>
    <x v="3"/>
    <s v="ES"/>
    <n v="713"/>
    <s v="Key Account"/>
    <n v="1350"/>
    <s v="W10882241"/>
    <s v="Agitadores"/>
    <x v="2"/>
    <n v="25000"/>
    <n v="5004042"/>
    <s v="BRASIL WEB TRANSPORTES E LOGISTICA"/>
    <n v="834.79"/>
    <d v="2025-06-10T00:00:00"/>
  </r>
  <r>
    <n v="253988792"/>
    <n v="64759623"/>
    <s v="REB"/>
    <n v="9931003"/>
    <n v="173"/>
    <s v="PEÇAS - Defeito de fabric./Alta Amperage"/>
    <s v="FUNCIONAL"/>
    <x v="1"/>
    <n v="3694"/>
    <x v="137"/>
    <s v="SP"/>
    <n v="350"/>
    <s v="Ats On"/>
    <n v="1350"/>
    <s v="W11516472"/>
    <s v="Compressores Herméticos"/>
    <x v="0"/>
    <n v="2000"/>
    <n v="5004042"/>
    <s v="BRASIL WEB TRANSPORTES E LOGISTICA"/>
    <n v="832.73"/>
    <d v="2025-05-05T00:00:00"/>
  </r>
  <r>
    <n v="253856074"/>
    <n v="64628345"/>
    <s v="REB"/>
    <n v="9508957"/>
    <n v="173"/>
    <s v="PEÇAS - Defeito de fabric./Alta Amperage"/>
    <s v="FUNCIONAL"/>
    <x v="1"/>
    <n v="29374"/>
    <x v="20"/>
    <s v="SP"/>
    <n v="643"/>
    <s v="Elite"/>
    <n v="1350"/>
    <s v="W11458016"/>
    <s v="Placas de Controle"/>
    <x v="1"/>
    <n v="3000"/>
    <n v="5003254"/>
    <s v="TMA TRANSPORTE LOTACAO E LOGISTICA"/>
    <n v="831.06"/>
    <d v="2024-10-16T00:00:00"/>
  </r>
  <r>
    <n v="254035394"/>
    <n v="64812250"/>
    <s v="REB"/>
    <n v="10108941"/>
    <n v="167"/>
    <s v="PEÇAS - Avaria - Quebrada/Depósito"/>
    <s v="LOGÍSTICA"/>
    <x v="0"/>
    <n v="56043"/>
    <x v="48"/>
    <s v="PR"/>
    <n v="963"/>
    <s v="Ats Distribuidoras"/>
    <n v="1350"/>
    <s v="W11197058"/>
    <s v="Trempes"/>
    <x v="6"/>
    <n v="6000"/>
    <n v="5003024"/>
    <s v="RODOBRAS TRANSPORTES RODOVIARIOS LT"/>
    <n v="830.97"/>
    <d v="2025-07-17T00:00:00"/>
  </r>
  <r>
    <n v="253988790"/>
    <n v="64761658"/>
    <s v="REB"/>
    <n v="9930578"/>
    <n v="178"/>
    <s v="PEÇAS -Defeito de fabric./Sem Compressão"/>
    <s v="FUNCIONAL"/>
    <x v="1"/>
    <n v="3652"/>
    <x v="51"/>
    <s v="SP"/>
    <n v="350"/>
    <s v="Ats On"/>
    <n v="1350"/>
    <s v="W11516523"/>
    <s v="Compressores Herméticos"/>
    <x v="0"/>
    <n v="2000"/>
    <n v="5004042"/>
    <s v="BRASIL WEB TRANSPORTES E LOGISTICA"/>
    <n v="828.95"/>
    <d v="2025-05-05T00:00:00"/>
  </r>
  <r>
    <s v="Sem TR"/>
    <n v="64807959"/>
    <s v="ZRDI"/>
    <n v="10103126"/>
    <s v="D10"/>
    <s v="DEV D2C - Comprou modelo errado"/>
    <s v="COMERCIAL"/>
    <x v="2"/>
    <n v="51262934"/>
    <x v="138"/>
    <s v="RJ"/>
    <n v="474"/>
    <s v="Site Brastemp"/>
    <n v="1352"/>
    <n v="326075876"/>
    <s v="Filtros"/>
    <x v="5"/>
    <n v="3000"/>
    <n v="5002359"/>
    <s v="EMPRESA BRASILEIRA DE CORREIOS E"/>
    <n v="828.69"/>
    <d v="2025-07-09T00:00:00"/>
  </r>
  <r>
    <n v="254023198"/>
    <n v="64800416"/>
    <s v="REB"/>
    <n v="10100426"/>
    <n v="170"/>
    <s v="PEÇAS - Avaria - Riscada/Depósito"/>
    <s v="LOGÍSTICA"/>
    <x v="2"/>
    <n v="52227"/>
    <x v="59"/>
    <s v="RJ"/>
    <n v="350"/>
    <s v="Ats On"/>
    <n v="1350"/>
    <s v="W11679212"/>
    <s v="Outros"/>
    <x v="7"/>
    <n v="1000"/>
    <n v="5003176"/>
    <s v="J C THEDIN TRANSPORTES LTDA"/>
    <n v="826.11"/>
    <d v="2025-06-30T00:00:00"/>
  </r>
  <r>
    <n v="253948490"/>
    <n v="64718347"/>
    <s v="REB"/>
    <n v="9400450"/>
    <n v="178"/>
    <s v="PEÇAS -Defeito de fabric./Sem Compressão"/>
    <s v="FUNCIONAL"/>
    <x v="1"/>
    <n v="30121"/>
    <x v="23"/>
    <s v="SP"/>
    <n v="648"/>
    <s v="Ultra"/>
    <n v="1350"/>
    <s v="W11375485"/>
    <s v="Compressores Herméticos"/>
    <x v="0"/>
    <n v="2000"/>
    <n v="5004042"/>
    <s v="BRASIL WEB TRANSPORTES E LOGISTICA"/>
    <n v="825.4"/>
    <d v="2025-03-07T00:00:00"/>
  </r>
  <r>
    <n v="254042251"/>
    <n v="64795896"/>
    <s v="REB"/>
    <n v="10065066"/>
    <n v="173"/>
    <s v="PEÇAS - Defeito de fabric./Alta Amperage"/>
    <s v="FUNCIONAL"/>
    <x v="0"/>
    <n v="40998"/>
    <x v="8"/>
    <s v="GO"/>
    <n v="648"/>
    <s v="Ultra"/>
    <n v="1350"/>
    <s v="W11647662"/>
    <s v="Compressores Herméticos"/>
    <x v="0"/>
    <n v="3000"/>
    <n v="5002858"/>
    <s v="FAVORITA TRANSPORTES LTDA"/>
    <n v="820.37"/>
    <d v="2025-06-23T00:00:00"/>
  </r>
  <r>
    <n v="253918962"/>
    <n v="64693214"/>
    <s v="ROB"/>
    <n v="9821811"/>
    <n v="671"/>
    <s v="DEV-ENVIADO PARA GESTÃO DE CONSEQUENCIA"/>
    <s v="TRANSPORTADORA"/>
    <x v="1"/>
    <n v="32856"/>
    <x v="60"/>
    <s v="PR"/>
    <n v="713"/>
    <s v="Key Account"/>
    <n v="1350"/>
    <s v="W10684267"/>
    <s v="Placas de Controle"/>
    <x v="1"/>
    <n v="5000"/>
    <n v="5003024"/>
    <s v="RODOBRAS TRANSPORTES RODOVIARIOS LT"/>
    <n v="818.95"/>
    <d v="2025-01-16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1448283"/>
    <s v="Capacitores"/>
    <x v="1"/>
    <n v="50000"/>
    <n v="5004042"/>
    <s v="BRASIL WEB TRANSPORTES E LOGISTICA"/>
    <n v="818"/>
    <d v="2025-05-26T00:00:00"/>
  </r>
  <r>
    <s v="Sem TR"/>
    <n v="64758379"/>
    <s v="REB"/>
    <n v="9958155"/>
    <n v="509"/>
    <s v="Qtd de peças a Menor dentro do Volume"/>
    <s v="LOGÍSTICA"/>
    <x v="2"/>
    <n v="23101"/>
    <x v="14"/>
    <s v="PB"/>
    <n v="713"/>
    <s v="Key Account"/>
    <n v="1350"/>
    <s v="W10742654"/>
    <s v="Motores Ventiladores"/>
    <x v="1"/>
    <n v="15000"/>
    <n v="5002359"/>
    <s v="EMPRESA BRASILEIRA DE CORREIOS E"/>
    <n v="816.42"/>
    <d v="2025-04-25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n v="326052930"/>
    <s v="Hélices"/>
    <x v="5"/>
    <n v="25000"/>
    <n v="5004042"/>
    <s v="BRASIL WEB TRANSPORTES E LOGISTICA"/>
    <n v="815.93"/>
    <d v="2025-05-26T00:00:00"/>
  </r>
  <r>
    <n v="254042159"/>
    <n v="64796165"/>
    <s v="REB"/>
    <n v="10067528"/>
    <n v="176"/>
    <s v="PEÇAS - Defeito de fabric./Interrompido"/>
    <s v="FUNCIONAL"/>
    <x v="0"/>
    <n v="83572"/>
    <x v="105"/>
    <s v="SP"/>
    <n v="931"/>
    <s v="Ats Off"/>
    <n v="1350"/>
    <s v="W10887228"/>
    <s v="Placas de Controle"/>
    <x v="1"/>
    <n v="1000"/>
    <n v="5004042"/>
    <s v="BRASIL WEB TRANSPORTES E LOGISTICA"/>
    <n v="812.35"/>
    <d v="2025-06-23T00:00:00"/>
  </r>
  <r>
    <n v="254030460"/>
    <n v="64802994"/>
    <s v="REB"/>
    <n v="10030246"/>
    <n v="176"/>
    <s v="PEÇAS - Defeito de fabric./Interrompido"/>
    <s v="FUNCIONAL"/>
    <x v="1"/>
    <n v="13757"/>
    <x v="14"/>
    <s v="SP"/>
    <n v="713"/>
    <s v="Key Account"/>
    <n v="1350"/>
    <s v="W11299803"/>
    <s v="Mecanismos"/>
    <x v="2"/>
    <n v="8000"/>
    <n v="5004042"/>
    <s v="BRASIL WEB TRANSPORTES E LOGISTICA"/>
    <n v="810"/>
    <d v="2025-07-01T00:00:00"/>
  </r>
  <r>
    <n v="254003989"/>
    <n v="64777900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3000"/>
    <n v="5004101"/>
    <s v="UNIDOCK'S ASSESSORIA E LOGISTICA DE"/>
    <n v="809.9"/>
    <d v="2025-05-26T00:00:00"/>
  </r>
  <r>
    <n v="254012532"/>
    <n v="64787108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3000"/>
    <n v="5004101"/>
    <s v="UNIDOCK'S ASSESSORIA E LOGISTICA DE"/>
    <n v="809.9"/>
    <d v="2025-06-10T00:00:00"/>
  </r>
  <r>
    <n v="254037404"/>
    <n v="64814540"/>
    <s v="REB"/>
    <n v="10146389"/>
    <n v="170"/>
    <s v="PEÇAS - Avaria - Riscada/Depósito"/>
    <s v="LOGÍSTICA"/>
    <x v="1"/>
    <n v="52227"/>
    <x v="59"/>
    <s v="RJ"/>
    <n v="350"/>
    <s v="Ats On"/>
    <n v="1350"/>
    <s v="W11679212"/>
    <s v="Outros"/>
    <x v="7"/>
    <n v="1000"/>
    <n v="5003176"/>
    <s v="J C THEDIN TRANSPORTES LTDA"/>
    <n v="806.21"/>
    <d v="2025-07-22T00:00:00"/>
  </r>
  <r>
    <n v="254018241"/>
    <n v="64793494"/>
    <s v="REB"/>
    <n v="10004729"/>
    <n v="173"/>
    <s v="PEÇAS - Defeito de fabric./Alta Amperage"/>
    <s v="FUNCIONAL"/>
    <x v="1"/>
    <n v="27770"/>
    <x v="37"/>
    <s v="AL"/>
    <n v="641"/>
    <s v="CDP Diamante"/>
    <n v="1350"/>
    <s v="W11366400"/>
    <s v="Placas de Controle"/>
    <x v="1"/>
    <n v="2000"/>
    <n v="5004101"/>
    <s v="UNIDOCK'S ASSESSORIA E LOGISTICA DE"/>
    <n v="805.47"/>
    <d v="2025-06-17T00:00:00"/>
  </r>
  <r>
    <n v="253995154"/>
    <n v="64772000"/>
    <s v="REB"/>
    <n v="9895157"/>
    <n v="173"/>
    <s v="PEÇAS - Defeito de fabric./Alta Amperage"/>
    <s v="FUNCIONAL"/>
    <x v="2"/>
    <n v="33661"/>
    <x v="0"/>
    <s v="SP"/>
    <n v="643"/>
    <s v="Elite"/>
    <n v="1350"/>
    <s v="W11344669"/>
    <s v="Válvulas de Água"/>
    <x v="5"/>
    <n v="15000"/>
    <n v="5004042"/>
    <s v="BRASIL WEB TRANSPORTES E LOGISTICA"/>
    <n v="801.3"/>
    <d v="2025-05-16T00:00:00"/>
  </r>
  <r>
    <n v="253931021"/>
    <n v="64703853"/>
    <s v="REB"/>
    <n v="9706666"/>
    <n v="671"/>
    <s v="DEV-ENVIADO PARA GESTÃO DE CONSEQUENCIA"/>
    <s v="TRANSPORTADORA"/>
    <x v="2"/>
    <n v="9015"/>
    <x v="72"/>
    <s v="SC"/>
    <n v="931"/>
    <s v="Ats Off"/>
    <n v="1350"/>
    <s v="W11200635"/>
    <s v="Placas de Controle"/>
    <x v="1"/>
    <n v="1000"/>
    <n v="5003024"/>
    <s v="RODOBRAS TRANSPORTES RODOVIARIOS LT"/>
    <n v="800.61"/>
    <d v="2025-01-31T00:00:00"/>
  </r>
  <r>
    <n v="254004074"/>
    <n v="64778629"/>
    <s v="REB"/>
    <n v="10006019"/>
    <n v="176"/>
    <s v="PEÇAS - Defeito de fabric./Interrompido"/>
    <s v="FUNCIONAL"/>
    <x v="1"/>
    <n v="83572"/>
    <x v="105"/>
    <s v="SP"/>
    <n v="931"/>
    <s v="Ats Off"/>
    <n v="1350"/>
    <s v="W11199422"/>
    <s v="Placas de Controle"/>
    <x v="1"/>
    <n v="1000"/>
    <n v="5004042"/>
    <s v="BRASIL WEB TRANSPORTES E LOGISTICA"/>
    <n v="800.27"/>
    <d v="2025-05-26T00:00:00"/>
  </r>
  <r>
    <n v="253861433"/>
    <n v="64633946"/>
    <s v="ROB"/>
    <n v="9673609"/>
    <n v="115"/>
    <s v="PEÇAS-Recusa do cliente"/>
    <s v="COMERCIAL"/>
    <x v="1"/>
    <n v="37259"/>
    <x v="27"/>
    <s v="SP"/>
    <n v="934"/>
    <s v="CDP Ouro"/>
    <n v="1350"/>
    <s v="W10393810"/>
    <s v="Compressores Herméticos"/>
    <x v="0"/>
    <n v="2000"/>
    <n v="5004101"/>
    <s v="UNIDOCK'S ASSESSORIA E LOGISTICA DE"/>
    <n v="800.1"/>
    <d v="2024-10-28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269366"/>
    <s v="Placas de Controle"/>
    <x v="1"/>
    <n v="5000"/>
    <n v="5004042"/>
    <s v="BRASIL WEB TRANSPORTES E LOGISTICA"/>
    <n v="792.01"/>
    <d v="2025-05-26T00:00:00"/>
  </r>
  <r>
    <n v="253919019"/>
    <n v="64693221"/>
    <s v="ROB"/>
    <n v="9821820"/>
    <n v="671"/>
    <s v="DEV-ENVIADO PARA GESTÃO DE CONSEQUENCIA"/>
    <s v="TRANSPORTADORA"/>
    <x v="1"/>
    <n v="32856"/>
    <x v="60"/>
    <s v="PR"/>
    <n v="713"/>
    <s v="Key Account"/>
    <n v="1350"/>
    <s v="W11299805"/>
    <s v="Mecanismos"/>
    <x v="2"/>
    <n v="7000"/>
    <n v="5003024"/>
    <s v="RODOBRAS TRANSPORTES RODOVIARIOS LT"/>
    <n v="790.65"/>
    <d v="2025-01-16T00:00:00"/>
  </r>
  <r>
    <s v="Sem TR"/>
    <n v="64768408"/>
    <s v="ROB"/>
    <n v="50198"/>
    <n v="671"/>
    <s v="DEV-ENVIADO PARA GESTÃO DE CONSEQUENCIA"/>
    <s v="TRANSPORTADORA"/>
    <x v="2"/>
    <n v="82253"/>
    <x v="139"/>
    <s v="CE"/>
    <n v="934"/>
    <s v="CDP Ouro"/>
    <n v="1550"/>
    <s v="W11364881"/>
    <s v="Válvulas de Água"/>
    <x v="5"/>
    <n v="25000"/>
    <n v="5004391"/>
    <s v="JEONCEL TRANSPORTES LTDA"/>
    <n v="789.25"/>
    <d v="2025-05-12T00:00:00"/>
  </r>
  <r>
    <n v="254044380"/>
    <n v="64808814"/>
    <s v="REB"/>
    <n v="10115468"/>
    <n v="110"/>
    <s v="PEÇAS-Troca de produtos"/>
    <s v="GESTÃO DE TROCAS"/>
    <x v="0"/>
    <n v="22041"/>
    <x v="70"/>
    <s v="SP"/>
    <n v="931"/>
    <s v="Ats Off"/>
    <n v="1350"/>
    <s v="W11726227"/>
    <s v="Outros"/>
    <x v="7"/>
    <n v="1000"/>
    <n v="5004042"/>
    <s v="BRASIL WEB TRANSPORTES E LOGISTICA"/>
    <n v="786.61"/>
    <d v="2025-07-11T00:00:00"/>
  </r>
  <r>
    <n v="254012634"/>
    <n v="64789167"/>
    <s v="REB"/>
    <n v="9840392"/>
    <n v="176"/>
    <s v="PEÇAS - Defeito de fabric./Interrompido"/>
    <s v="FUNCIONAL"/>
    <x v="2"/>
    <n v="91561"/>
    <x v="140"/>
    <s v="MT"/>
    <n v="934"/>
    <s v="CDP Ouro"/>
    <n v="1350"/>
    <s v="W10769941"/>
    <s v="Compressores Herméticos"/>
    <x v="0"/>
    <n v="2000"/>
    <n v="5002573"/>
    <s v="CARVALIMA TRANSPORTES LTDA"/>
    <n v="781.52"/>
    <d v="2025-06-10T00:00:00"/>
  </r>
  <r>
    <n v="253952353"/>
    <n v="64729160"/>
    <s v="REB"/>
    <n v="9897971"/>
    <n v="671"/>
    <s v="DEV-ENVIADO PARA GESTÃO DE CONSEQUENCIA"/>
    <s v="TRANSPORTADORA"/>
    <x v="1"/>
    <n v="53871"/>
    <x v="141"/>
    <s v="SC"/>
    <n v="350"/>
    <s v="Ats On"/>
    <n v="1350"/>
    <s v="W11199342"/>
    <s v="Filtros"/>
    <x v="5"/>
    <n v="10000"/>
    <n v="5003024"/>
    <s v="RODOBRAS TRANSPORTES RODOVIARIOS LT"/>
    <n v="775.22"/>
    <d v="2025-03-10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1435390"/>
    <s v="Placas de Controle"/>
    <x v="1"/>
    <n v="3000"/>
    <n v="5004101"/>
    <s v="UNIDOCK'S ASSESSORIA E LOGISTICA DE"/>
    <n v="773.18"/>
    <d v="2025-07-29T00:00:00"/>
  </r>
  <r>
    <n v="254005348"/>
    <n v="64778005"/>
    <s v="REB"/>
    <n v="9959749"/>
    <n v="90"/>
    <s v="CLIENTE-não solicitou"/>
    <s v="COMERCIAL"/>
    <x v="1"/>
    <n v="87490"/>
    <x v="122"/>
    <s v="RJ"/>
    <n v="350"/>
    <s v="Ats On"/>
    <n v="1350"/>
    <s v="W10902873"/>
    <s v="Placas de Controle"/>
    <x v="1"/>
    <n v="1000"/>
    <n v="5003176"/>
    <s v="J C THEDIN TRANSPORTES LTDA"/>
    <n v="773.09"/>
    <d v="2025-05-26T00:00:00"/>
  </r>
  <r>
    <n v="253952567"/>
    <n v="64726568"/>
    <s v="REB"/>
    <n v="9875261"/>
    <n v="167"/>
    <s v="PEÇAS - Avaria - Quebrada/Depósito"/>
    <s v="LOGÍSTICA"/>
    <x v="1"/>
    <n v="87707"/>
    <x v="143"/>
    <s v="BA"/>
    <n v="648"/>
    <s v="Ultra"/>
    <n v="1350"/>
    <n v="326039057"/>
    <s v="Gabinetes"/>
    <x v="6"/>
    <n v="2000"/>
    <n v="5004101"/>
    <s v="UNIDOCK'S ASSESSORIA E LOGISTICA DE"/>
    <n v="771.99"/>
    <d v="2025-03-11T00:00:00"/>
  </r>
  <r>
    <n v="254004034"/>
    <n v="64773137"/>
    <s v="REB"/>
    <n v="10039834"/>
    <n v="168"/>
    <s v="PEÇAS-Def.Fabric.Empenamento/Abaulamento"/>
    <s v="FUNCIONAL"/>
    <x v="2"/>
    <n v="63028"/>
    <x v="144"/>
    <s v="SP"/>
    <n v="641"/>
    <s v="CDP Diamante"/>
    <n v="1350"/>
    <s v="W11230282"/>
    <s v="Isolantes"/>
    <x v="4"/>
    <n v="1000"/>
    <n v="5004042"/>
    <s v="BRASIL WEB TRANSPORTES E LOGISTICA"/>
    <n v="771.55"/>
    <d v="2025-05-26T00:00:00"/>
  </r>
  <r>
    <n v="253961250"/>
    <n v="64738060"/>
    <s v="REB"/>
    <n v="9906010"/>
    <n v="173"/>
    <s v="PEÇAS - Defeito de fabric./Alta Amperage"/>
    <s v="FUNCIONAL"/>
    <x v="1"/>
    <n v="13757"/>
    <x v="14"/>
    <s v="SP"/>
    <n v="713"/>
    <s v="Key Account"/>
    <n v="1350"/>
    <s v="W11299803"/>
    <s v="Mecanismos"/>
    <x v="2"/>
    <n v="7000"/>
    <n v="5004042"/>
    <s v="BRASIL WEB TRANSPORTES E LOGISTICA"/>
    <n v="770.21"/>
    <d v="2025-03-25T00:00:00"/>
  </r>
  <r>
    <n v="253913113"/>
    <n v="64684426"/>
    <s v="REB"/>
    <n v="9744593"/>
    <n v="173"/>
    <s v="PEÇAS - Defeito de fabric./Alta Amperage"/>
    <s v="FUNCIONAL"/>
    <x v="1"/>
    <n v="29374"/>
    <x v="20"/>
    <s v="SP"/>
    <n v="643"/>
    <s v="Elite"/>
    <n v="1350"/>
    <s v="W11161216"/>
    <s v="Placas de Controle"/>
    <x v="1"/>
    <n v="2000"/>
    <n v="5003254"/>
    <s v="TMA TRANSPORTE LOTACAO E LOGISTICA"/>
    <n v="769.26"/>
    <d v="2025-01-06T00:00:00"/>
  </r>
  <r>
    <n v="254033282"/>
    <n v="64806877"/>
    <s v="REB"/>
    <n v="10062702"/>
    <n v="90"/>
    <s v="CLIENTE-não solicitou"/>
    <s v="COMERCIAL"/>
    <x v="1"/>
    <n v="14474"/>
    <x v="25"/>
    <s v="RN"/>
    <n v="648"/>
    <s v="Ultra"/>
    <n v="1350"/>
    <s v="W10696196"/>
    <s v="Válvulas de Água"/>
    <x v="5"/>
    <n v="24000"/>
    <n v="5004101"/>
    <s v="UNIDOCK'S ASSESSORIA E LOGISTICA DE"/>
    <n v="769.2"/>
    <d v="2025-07-08T00:00:00"/>
  </r>
  <r>
    <n v="254012510"/>
    <n v="64789060"/>
    <s v="REB"/>
    <n v="9601507"/>
    <n v="178"/>
    <s v="PEÇAS -Defeito de fabric./Sem Compressão"/>
    <s v="FUNCIONAL"/>
    <x v="2"/>
    <n v="30121"/>
    <x v="23"/>
    <s v="SP"/>
    <n v="648"/>
    <s v="Ultra"/>
    <n v="1350"/>
    <s v="W10769941"/>
    <s v="Compressores Herméticos"/>
    <x v="0"/>
    <n v="2000"/>
    <n v="5004042"/>
    <s v="BRASIL WEB TRANSPORTES E LOGISTICA"/>
    <n v="767.35"/>
    <d v="2025-06-10T00:00:00"/>
  </r>
  <r>
    <s v="Sem TR"/>
    <n v="64725687"/>
    <s v="REB"/>
    <n v="9840914"/>
    <n v="167"/>
    <s v="PEÇAS - Avaria - Quebrada/Depósito"/>
    <s v="LOGÍSTICA"/>
    <x v="1"/>
    <n v="8975"/>
    <x v="90"/>
    <s v="MA"/>
    <n v="931"/>
    <s v="Ats Off"/>
    <n v="1350"/>
    <n v="326040666"/>
    <s v="Gavetas"/>
    <x v="9"/>
    <n v="10000"/>
    <n v="5004101"/>
    <s v="UNIDOCK'S ASSESSORIA E LOGISTICA DE"/>
    <n v="766.82"/>
    <d v="2025-03-07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n v="326010297"/>
    <s v="Condensadores"/>
    <x v="0"/>
    <n v="10000"/>
    <n v="5004042"/>
    <s v="BRASIL WEB TRANSPORTES E LOGISTICA"/>
    <n v="766.32"/>
    <d v="2025-05-26T00:00:00"/>
  </r>
  <r>
    <n v="254003854"/>
    <n v="64777583"/>
    <s v="REB"/>
    <n v="9884528"/>
    <n v="176"/>
    <s v="PEÇAS - Defeito de fabric./Interrompido"/>
    <s v="FUNCIONAL"/>
    <x v="2"/>
    <n v="3506"/>
    <x v="46"/>
    <s v="SP"/>
    <n v="931"/>
    <s v="Ats Off"/>
    <n v="1350"/>
    <s v="W10398340"/>
    <s v="Sensores"/>
    <x v="3"/>
    <n v="3000"/>
    <n v="5004042"/>
    <s v="BRASIL WEB TRANSPORTES E LOGISTICA"/>
    <n v="765.64"/>
    <d v="2025-05-26T00:00:00"/>
  </r>
  <r>
    <n v="253995119"/>
    <n v="64762346"/>
    <s v="REB"/>
    <n v="10018828"/>
    <n v="176"/>
    <s v="PEÇAS - Defeito de fabric./Interrompido"/>
    <s v="FUNCIONAL"/>
    <x v="2"/>
    <n v="27337"/>
    <x v="145"/>
    <s v="RJ"/>
    <n v="641"/>
    <s v="CDP Diamante"/>
    <n v="1350"/>
    <s v="W10502080"/>
    <s v="Placas de Controle"/>
    <x v="1"/>
    <n v="1000"/>
    <n v="5003176"/>
    <s v="J C THEDIN TRANSPORTES LTDA"/>
    <n v="764.23"/>
    <d v="2025-05-16T00:00:00"/>
  </r>
  <r>
    <n v="254038335"/>
    <n v="64814130"/>
    <s v="REB"/>
    <n v="9996751"/>
    <n v="176"/>
    <s v="PEÇAS - Defeito de fabric./Interrompido"/>
    <s v="FUNCIONAL"/>
    <x v="1"/>
    <n v="22211"/>
    <x v="146"/>
    <s v="SC"/>
    <n v="644"/>
    <s v="Plus"/>
    <n v="1350"/>
    <s v="W10902873"/>
    <s v="Placas de Controle"/>
    <x v="1"/>
    <n v="1000"/>
    <n v="5003024"/>
    <s v="RODOBRAS TRANSPORTES RODOVIARIOS LT"/>
    <n v="764.17"/>
    <d v="2025-07-22T00:00:00"/>
  </r>
  <r>
    <n v="253961390"/>
    <n v="64737876"/>
    <s v="REB"/>
    <n v="9917472"/>
    <n v="173"/>
    <s v="PEÇAS - Defeito de fabric./Alta Amperage"/>
    <s v="FUNCIONAL"/>
    <x v="1"/>
    <n v="70149"/>
    <x v="147"/>
    <s v="SP"/>
    <n v="963"/>
    <s v="Ats Distribuidoras"/>
    <n v="1350"/>
    <s v="W11516472"/>
    <s v="Compressores Herméticos"/>
    <x v="0"/>
    <n v="2000"/>
    <n v="5004042"/>
    <s v="BRASIL WEB TRANSPORTES E LOGISTICA"/>
    <n v="762.77"/>
    <d v="2025-03-26T00:00:00"/>
  </r>
  <r>
    <n v="254031825"/>
    <n v="64792043"/>
    <s v="REB"/>
    <n v="9810194"/>
    <n v="176"/>
    <s v="PEÇAS - Defeito de fabric./Interrompido"/>
    <s v="FUNCIONAL"/>
    <x v="0"/>
    <n v="3506"/>
    <x v="46"/>
    <s v="SP"/>
    <n v="931"/>
    <s v="Ats Off"/>
    <n v="1350"/>
    <s v="W11622939"/>
    <s v="Compressores Herméticos"/>
    <x v="0"/>
    <n v="1000"/>
    <n v="5004042"/>
    <s v="BRASIL WEB TRANSPORTES E LOGISTICA"/>
    <n v="757.8"/>
    <d v="2025-06-24T00:00:00"/>
  </r>
  <r>
    <n v="254038268"/>
    <n v="64814919"/>
    <s v="REB"/>
    <n v="10146003"/>
    <n v="178"/>
    <s v="PEÇAS -Defeito de fabric./Sem Compressão"/>
    <s v="FUNCIONAL"/>
    <x v="1"/>
    <n v="3649"/>
    <x v="148"/>
    <s v="SP"/>
    <n v="350"/>
    <s v="Ats On"/>
    <n v="1350"/>
    <s v="W10666797"/>
    <s v="Compressores Herméticos"/>
    <x v="0"/>
    <n v="1000"/>
    <n v="5004042"/>
    <s v="BRASIL WEB TRANSPORTES E LOGISTICA"/>
    <n v="755.43"/>
    <d v="2025-07-22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1254865"/>
    <s v="Mecanismos"/>
    <x v="2"/>
    <n v="5000"/>
    <n v="5004101"/>
    <s v="UNIDOCK'S ASSESSORIA E LOGISTICA DE"/>
    <n v="750.25"/>
    <d v="2025-07-29T00:00:00"/>
  </r>
  <r>
    <n v="253928674"/>
    <n v="64687600"/>
    <s v="ZDVP"/>
    <n v="9799320"/>
    <n v="509"/>
    <s v="Qtd de peças a Menor dentro do Volume"/>
    <s v="LOGÍSTICA"/>
    <x v="1"/>
    <n v="24289"/>
    <x v="17"/>
    <s v="MG"/>
    <n v="643"/>
    <s v="Elite"/>
    <n v="1350"/>
    <s v="W11198953"/>
    <s v="Filtros"/>
    <x v="5"/>
    <n v="10000"/>
    <n v="5004042"/>
    <s v="BRASIL WEB TRANSPORTES E LOGISTICA"/>
    <n v="747.34"/>
    <d v="2025-01-09T00:00:00"/>
  </r>
  <r>
    <n v="254003931"/>
    <n v="64773913"/>
    <s v="REB"/>
    <n v="9599936"/>
    <n v="178"/>
    <s v="PEÇAS -Defeito de fabric./Sem Compressão"/>
    <s v="FUNCIONAL"/>
    <x v="1"/>
    <n v="29706"/>
    <x v="149"/>
    <s v="RN"/>
    <n v="644"/>
    <s v="Plus"/>
    <n v="1350"/>
    <s v="W10769940"/>
    <s v="Compressores Herméticos"/>
    <x v="0"/>
    <n v="2000"/>
    <n v="5004101"/>
    <s v="UNIDOCK'S ASSESSORIA E LOGISTICA DE"/>
    <n v="747.2"/>
    <d v="2025-05-26T00:00:00"/>
  </r>
  <r>
    <n v="254033302"/>
    <n v="64802696"/>
    <s v="REB"/>
    <n v="10099436"/>
    <n v="173"/>
    <s v="PEÇAS - Defeito de fabric./Alta Amperage"/>
    <s v="FUNCIONAL"/>
    <x v="1"/>
    <n v="21594"/>
    <x v="97"/>
    <s v="SP"/>
    <n v="931"/>
    <s v="Ats Off"/>
    <n v="1350"/>
    <s v="W10544749"/>
    <s v="Motores"/>
    <x v="1"/>
    <n v="1000"/>
    <n v="5004042"/>
    <s v="BRASIL WEB TRANSPORTES E LOGISTICA"/>
    <n v="746.31"/>
    <d v="2025-07-01T00:00:00"/>
  </r>
  <r>
    <n v="254041818"/>
    <n v="64795911"/>
    <s v="REB"/>
    <n v="10004962"/>
    <n v="173"/>
    <s v="PEÇAS - Defeito de fabric./Alta Amperage"/>
    <s v="FUNCIONAL"/>
    <x v="0"/>
    <n v="70555"/>
    <x v="150"/>
    <s v="SC"/>
    <n v="648"/>
    <s v="Ultra"/>
    <n v="1350"/>
    <s v="W10899325"/>
    <s v="Placas de Controle"/>
    <x v="1"/>
    <n v="3000"/>
    <n v="5003024"/>
    <s v="RODOBRAS TRANSPORTES RODOVIARIOS LT"/>
    <n v="745.77"/>
    <d v="2025-06-23T00:00:00"/>
  </r>
  <r>
    <s v="Sem TR"/>
    <n v="64646506"/>
    <s v="REB"/>
    <n v="9692163"/>
    <n v="125"/>
    <s v="DEV-Extravio de produto (Transportadora)"/>
    <s v="TRANSPORTADORA"/>
    <x v="0"/>
    <n v="35280"/>
    <x v="151"/>
    <s v="BA"/>
    <n v="931"/>
    <s v="Ats Off"/>
    <n v="1350"/>
    <s v="W11641935"/>
    <s v="Portas"/>
    <x v="6"/>
    <n v="1000"/>
    <n v="5004101"/>
    <s v="UNIDOCK'S ASSESSORIA E LOGISTICA DE"/>
    <n v="745.31"/>
    <d v="2024-11-18T00:00:00"/>
  </r>
  <r>
    <s v="Sem TR"/>
    <n v="64817981"/>
    <s v="ZRDI"/>
    <n v="10126752"/>
    <s v="D35"/>
    <s v="DEV D2C - Prod difere do comprado"/>
    <s v="COMERCIAL"/>
    <x v="1"/>
    <n v="58142844"/>
    <x v="152"/>
    <s v="RJ"/>
    <n v="474"/>
    <s v="Site Brastemp"/>
    <n v="1352"/>
    <s v="W10238485"/>
    <s v="Prateleiras"/>
    <x v="9"/>
    <n v="1000"/>
    <n v="5002359"/>
    <s v="EMPRESA BRASILEIRA DE CORREIOS E"/>
    <n v="742.36"/>
    <d v="2025-07-30T00:00:00"/>
  </r>
  <r>
    <n v="254012615"/>
    <n v="64789452"/>
    <s v="REB"/>
    <n v="10028043"/>
    <n v="176"/>
    <s v="PEÇAS - Defeito de fabric./Interrompido"/>
    <s v="FUNCIONAL"/>
    <x v="2"/>
    <n v="75812"/>
    <x v="102"/>
    <s v="SP"/>
    <n v="931"/>
    <s v="Ats Off"/>
    <n v="1350"/>
    <s v="W11622939"/>
    <s v="Compressores Herméticos"/>
    <x v="0"/>
    <n v="1000"/>
    <n v="5004042"/>
    <s v="BRASIL WEB TRANSPORTES E LOGISTICA"/>
    <n v="739.79"/>
    <d v="2025-06-10T00:00:00"/>
  </r>
  <r>
    <s v="Sem TR"/>
    <n v="64814605"/>
    <s v="REB"/>
    <n v="9734247"/>
    <n v="178"/>
    <s v="PEÇAS -Defeito de fabric./Sem Compressão"/>
    <s v="FUNCIONAL"/>
    <x v="1"/>
    <n v="84681"/>
    <x v="17"/>
    <s v="BA"/>
    <n v="643"/>
    <s v="Elite"/>
    <n v="1350"/>
    <s v="W11677210"/>
    <s v="Compressores Herméticos"/>
    <x v="0"/>
    <n v="2000"/>
    <n v="5004101"/>
    <s v="UNIDOCK'S ASSESSORIA E LOGISTICA DE"/>
    <n v="737.08"/>
    <d v="2025-07-22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856168"/>
    <s v="Trempes"/>
    <x v="6"/>
    <n v="4000"/>
    <n v="5004101"/>
    <s v="UNIDOCK'S ASSESSORIA E LOGISTICA DE"/>
    <n v="736.85"/>
    <d v="2025-03-13T00:00:00"/>
  </r>
  <r>
    <n v="254018238"/>
    <n v="64782056"/>
    <s v="REB"/>
    <n v="9973419"/>
    <n v="110"/>
    <s v="PEÇAS-Troca de produtos"/>
    <s v="GESTÃO DE TROCAS"/>
    <x v="2"/>
    <n v="24089"/>
    <x v="134"/>
    <s v="RJ"/>
    <n v="931"/>
    <s v="Ats Off"/>
    <n v="1350"/>
    <s v="W11694638"/>
    <s v="Placas de Controle"/>
    <x v="1"/>
    <n v="1000"/>
    <n v="5003176"/>
    <s v="J C THEDIN TRANSPORTES LTDA"/>
    <n v="736.01"/>
    <d v="2025-06-01T00:00:00"/>
  </r>
  <r>
    <n v="253992743"/>
    <n v="64766133"/>
    <s v="REB"/>
    <n v="9980277"/>
    <n v="178"/>
    <s v="PEÇAS -Defeito de fabric./Sem Compressão"/>
    <s v="FUNCIONAL"/>
    <x v="1"/>
    <n v="42455"/>
    <x v="81"/>
    <s v="SP"/>
    <n v="931"/>
    <s v="Ats Off"/>
    <n v="1350"/>
    <s v="W10666797"/>
    <s v="Compressores Herméticos"/>
    <x v="0"/>
    <n v="1000"/>
    <n v="5004042"/>
    <s v="BRASIL WEB TRANSPORTES E LOGISTICA"/>
    <n v="735.17"/>
    <d v="2025-05-12T00:00:00"/>
  </r>
  <r>
    <n v="253995065"/>
    <n v="64772604"/>
    <s v="REB"/>
    <n v="10027640"/>
    <n v="176"/>
    <s v="PEÇAS - Defeito de fabric./Interrompido"/>
    <s v="FUNCIONAL"/>
    <x v="2"/>
    <n v="3506"/>
    <x v="46"/>
    <s v="SP"/>
    <n v="931"/>
    <s v="Ats Off"/>
    <n v="1350"/>
    <s v="W10666797"/>
    <s v="Compressores Herméticos"/>
    <x v="0"/>
    <n v="1000"/>
    <n v="5004042"/>
    <s v="BRASIL WEB TRANSPORTES E LOGISTICA"/>
    <n v="735.17"/>
    <d v="2025-05-16T00:00:00"/>
  </r>
  <r>
    <s v="Sem TR"/>
    <n v="64795191"/>
    <s v="ZRDI"/>
    <n v="10062834"/>
    <s v="D18"/>
    <s v="DEV D2C - Arrependimento não quero mais"/>
    <s v="COMERCIAL"/>
    <x v="2"/>
    <n v="50217828"/>
    <x v="153"/>
    <s v="SP"/>
    <n v="466"/>
    <s v="Sup ML Marketplace"/>
    <n v="1352"/>
    <s v="W10544750"/>
    <s v="Motores"/>
    <x v="1"/>
    <n v="1000"/>
    <n v="5002359"/>
    <s v="EMPRESA BRASILEIRA DE CORREIOS E"/>
    <n v="733.64"/>
    <d v="2025-06-26T00:00:00"/>
  </r>
  <r>
    <n v="254003847"/>
    <n v="64777850"/>
    <s v="REB"/>
    <n v="9969682"/>
    <n v="176"/>
    <s v="PEÇAS - Defeito de fabric./Interrompido"/>
    <s v="FUNCIONAL"/>
    <x v="2"/>
    <n v="3506"/>
    <x v="46"/>
    <s v="SP"/>
    <n v="931"/>
    <s v="Ats Off"/>
    <n v="1350"/>
    <s v="W10666797"/>
    <s v="Compressores Herméticos"/>
    <x v="0"/>
    <n v="1000"/>
    <n v="5004042"/>
    <s v="BRASIL WEB TRANSPORTES E LOGISTICA"/>
    <n v="733.54"/>
    <d v="2025-05-26T00:00:00"/>
  </r>
  <r>
    <n v="254038267"/>
    <n v="64814921"/>
    <s v="REB"/>
    <n v="10125835"/>
    <n v="177"/>
    <s v="PEÇAS - Defeito de fabric./Ruído"/>
    <s v="FUNCIONAL"/>
    <x v="0"/>
    <n v="3618"/>
    <x v="154"/>
    <s v="SP"/>
    <n v="350"/>
    <s v="Ats On"/>
    <n v="1350"/>
    <s v="W10666796"/>
    <s v="Compressores Herméticos"/>
    <x v="0"/>
    <n v="1000"/>
    <n v="5004042"/>
    <s v="BRASIL WEB TRANSPORTES E LOGISTICA"/>
    <n v="730.26"/>
    <d v="2025-07-22T00:00:00"/>
  </r>
  <r>
    <n v="253944078"/>
    <n v="64709622"/>
    <s v="REB"/>
    <n v="9734248"/>
    <n v="178"/>
    <s v="PEÇAS -Defeito de fabric./Sem Compressão"/>
    <s v="FUNCIONAL"/>
    <x v="1"/>
    <n v="84681"/>
    <x v="17"/>
    <s v="BA"/>
    <n v="643"/>
    <s v="Elite"/>
    <n v="1350"/>
    <s v="W11677210"/>
    <s v="Compressores Herméticos"/>
    <x v="0"/>
    <n v="2000"/>
    <n v="5004101"/>
    <s v="UNIDOCK'S ASSESSORIA E LOGISTICA DE"/>
    <n v="729.21"/>
    <d v="2025-02-11T00:00:00"/>
  </r>
  <r>
    <n v="254038369"/>
    <n v="64814495"/>
    <s v="REB"/>
    <n v="10088167"/>
    <n v="176"/>
    <s v="PEÇAS - Defeito de fabric./Interrompido"/>
    <s v="FUNCIONAL"/>
    <x v="0"/>
    <n v="31587"/>
    <x v="135"/>
    <s v="SP"/>
    <n v="643"/>
    <s v="Elite"/>
    <n v="1350"/>
    <s v="W10619171"/>
    <s v="Placas de Controle"/>
    <x v="1"/>
    <n v="1000"/>
    <n v="5004042"/>
    <s v="BRASIL WEB TRANSPORTES E LOGISTICA"/>
    <n v="728.66"/>
    <d v="2025-07-22T00:00:00"/>
  </r>
  <r>
    <n v="254018256"/>
    <n v="64793374"/>
    <s v="REB"/>
    <n v="9985939"/>
    <n v="168"/>
    <s v="PEÇAS-Def.Fabric.Empenamento/Abaulamento"/>
    <s v="FUNCIONAL"/>
    <x v="2"/>
    <n v="28991"/>
    <x v="65"/>
    <s v="MG"/>
    <n v="643"/>
    <s v="Elite"/>
    <n v="1350"/>
    <s v="W10882241"/>
    <s v="Agitadores"/>
    <x v="2"/>
    <n v="16000"/>
    <n v="5004215"/>
    <s v="BRASIL WEB TRANSPORTES E LOGISTICA"/>
    <n v="727.99"/>
    <d v="2025-06-17T00:00:00"/>
  </r>
  <r>
    <n v="253953768"/>
    <n v="64731969"/>
    <s v="REB"/>
    <n v="9871422"/>
    <n v="176"/>
    <s v="PEÇAS - Defeito de fabric./Interrompido"/>
    <s v="FUNCIONAL"/>
    <x v="1"/>
    <n v="26697"/>
    <x v="155"/>
    <s v="RS"/>
    <n v="350"/>
    <s v="Ats On"/>
    <n v="1350"/>
    <s v="W11653841"/>
    <s v="Placas de Controle"/>
    <x v="1"/>
    <n v="1000"/>
    <n v="5003024"/>
    <s v="RODOBRAS TRANSPORTES RODOVIARIOS LT"/>
    <n v="727.22"/>
    <d v="2025-03-14T00:00:00"/>
  </r>
  <r>
    <n v="253992666"/>
    <n v="64767101"/>
    <s v="REB"/>
    <n v="9907361"/>
    <n v="176"/>
    <s v="PEÇAS - Defeito de fabric./Interrompido"/>
    <s v="FUNCIONAL"/>
    <x v="2"/>
    <n v="2159"/>
    <x v="156"/>
    <s v="MG"/>
    <n v="350"/>
    <s v="Ats On"/>
    <n v="1350"/>
    <s v="W10666797"/>
    <s v="Compressores Herméticos"/>
    <x v="0"/>
    <n v="1000"/>
    <n v="5004215"/>
    <s v="BRASIL WEB TRANSPORTES E LOGISTICA"/>
    <n v="725.97"/>
    <d v="2025-05-12T00:00:00"/>
  </r>
  <r>
    <n v="253879490"/>
    <n v="64647369"/>
    <s v="REB"/>
    <n v="9653452"/>
    <n v="671"/>
    <s v="DEV-ENVIADO PARA GESTÃO DE CONSEQUENCIA"/>
    <s v="TRANSPORTADORA"/>
    <x v="1"/>
    <n v="32856"/>
    <x v="60"/>
    <s v="PR"/>
    <n v="713"/>
    <s v="Key Account"/>
    <n v="1350"/>
    <s v="W10606115"/>
    <s v="Polias/Roldanas"/>
    <x v="2"/>
    <n v="64000"/>
    <n v="5003024"/>
    <s v="RODOBRAS TRANSPORTES RODOVIARIOS LT"/>
    <n v="725.8"/>
    <d v="2024-11-19T00:00:00"/>
  </r>
  <r>
    <n v="254035363"/>
    <n v="64812408"/>
    <s v="REB"/>
    <n v="9776752"/>
    <n v="173"/>
    <s v="PEÇAS - Defeito de fabric./Alta Amperage"/>
    <s v="FUNCIONAL"/>
    <x v="0"/>
    <n v="27770"/>
    <x v="37"/>
    <s v="AL"/>
    <n v="641"/>
    <s v="CDP Diamante"/>
    <n v="1350"/>
    <s v="W11160180"/>
    <s v="Placas de Controle"/>
    <x v="1"/>
    <n v="2000"/>
    <n v="5004101"/>
    <s v="UNIDOCK'S ASSESSORIA E LOGISTICA DE"/>
    <n v="725.15"/>
    <d v="2025-07-17T00:00:00"/>
  </r>
  <r>
    <n v="254018276"/>
    <n v="64784122"/>
    <s v="REB"/>
    <n v="10039109"/>
    <n v="90"/>
    <s v="CLIENTE-não solicitou"/>
    <s v="COMERCIAL"/>
    <x v="2"/>
    <n v="32263"/>
    <x v="157"/>
    <s v="PA"/>
    <n v="641"/>
    <s v="CDP Diamante"/>
    <n v="1350"/>
    <s v="W10221056"/>
    <s v="Condensadores"/>
    <x v="0"/>
    <n v="8000"/>
    <n v="5002858"/>
    <s v="FAVORITA TRANSPORTES LTDA"/>
    <n v="723.91"/>
    <d v="2025-06-16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1135728"/>
    <s v="Mangueiras"/>
    <x v="5"/>
    <n v="50000"/>
    <n v="5004042"/>
    <s v="BRASIL WEB TRANSPORTES E LOGISTICA"/>
    <n v="723.78"/>
    <d v="2025-05-26T00:00:00"/>
  </r>
  <r>
    <n v="254031868"/>
    <n v="64802559"/>
    <s v="REB"/>
    <n v="10065565"/>
    <n v="176"/>
    <s v="PEÇAS - Defeito de fabric./Interrompido"/>
    <s v="FUNCIONAL"/>
    <x v="0"/>
    <n v="3506"/>
    <x v="46"/>
    <s v="SP"/>
    <n v="931"/>
    <s v="Ats Off"/>
    <n v="1350"/>
    <s v="W10684394"/>
    <s v="Placas de Controle"/>
    <x v="1"/>
    <n v="1000"/>
    <n v="5004042"/>
    <s v="BRASIL WEB TRANSPORTES E LOGISTICA"/>
    <n v="722.82"/>
    <d v="2025-07-01T00:00:00"/>
  </r>
  <r>
    <n v="253988068"/>
    <n v="64747546"/>
    <s v="ZDVP"/>
    <n v="9855654"/>
    <n v="173"/>
    <s v="PEÇAS - Defeito de fabric./Alta Amperage"/>
    <s v="FUNCIONAL"/>
    <x v="2"/>
    <n v="64522"/>
    <x v="158"/>
    <s v="SP"/>
    <n v="643"/>
    <s v="Elite"/>
    <n v="1350"/>
    <s v="W10619171"/>
    <s v="Placas de Controle"/>
    <x v="1"/>
    <n v="1000"/>
    <n v="5004042"/>
    <s v="BRASIL WEB TRANSPORTES E LOGISTICA"/>
    <n v="719.92"/>
    <d v="2025-04-09T00:00:00"/>
  </r>
  <r>
    <s v="Sem TR"/>
    <n v="64739072"/>
    <s v="REB"/>
    <n v="9887211"/>
    <n v="125"/>
    <s v="DEV-Extravio de produto (Transportadora)"/>
    <s v="TRANSPORTADORA"/>
    <x v="0"/>
    <n v="83125"/>
    <x v="159"/>
    <s v="PE"/>
    <n v="934"/>
    <s v="CDP Ouro"/>
    <n v="1350"/>
    <s v="W10882241"/>
    <s v="Agitadores"/>
    <x v="2"/>
    <n v="15000"/>
    <n v="5004101"/>
    <s v="UNIDOCK'S ASSESSORIA E LOGISTICA DE"/>
    <n v="719.19"/>
    <d v="2025-03-26T00:00:00"/>
  </r>
  <r>
    <n v="254038268"/>
    <n v="64814919"/>
    <s v="REB"/>
    <n v="10146003"/>
    <n v="178"/>
    <s v="PEÇAS -Defeito de fabric./Sem Compressão"/>
    <s v="FUNCIONAL"/>
    <x v="1"/>
    <n v="3649"/>
    <x v="148"/>
    <s v="SP"/>
    <n v="350"/>
    <s v="Ats On"/>
    <n v="1350"/>
    <s v="W10388219"/>
    <s v="Compressores Herméticos"/>
    <x v="0"/>
    <n v="1000"/>
    <n v="5004042"/>
    <s v="BRASIL WEB TRANSPORTES E LOGISTICA"/>
    <n v="713.55"/>
    <d v="2025-07-22T00:00:00"/>
  </r>
  <r>
    <n v="253961250"/>
    <n v="64738060"/>
    <s v="REB"/>
    <n v="9906010"/>
    <n v="173"/>
    <s v="PEÇAS - Defeito de fabric./Alta Amperage"/>
    <s v="FUNCIONAL"/>
    <x v="1"/>
    <n v="13757"/>
    <x v="14"/>
    <s v="SP"/>
    <n v="713"/>
    <s v="Key Account"/>
    <n v="1350"/>
    <s v="W11300675"/>
    <s v="Mecanismos"/>
    <x v="2"/>
    <n v="6000"/>
    <n v="5004042"/>
    <s v="BRASIL WEB TRANSPORTES E LOGISTICA"/>
    <n v="711.96"/>
    <d v="2025-03-25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0606115"/>
    <s v="Polias/Roldanas"/>
    <x v="2"/>
    <n v="50000"/>
    <n v="5004042"/>
    <s v="BRASIL WEB TRANSPORTES E LOGISTICA"/>
    <n v="711.48"/>
    <d v="2025-05-26T00:00:00"/>
  </r>
  <r>
    <n v="254044000"/>
    <n v="64791663"/>
    <s v="REB"/>
    <n v="10098674"/>
    <n v="104"/>
    <s v="PEÇAS-Código trocado(embalag X conteúdo)"/>
    <s v="LOGÍSTICA"/>
    <x v="0"/>
    <n v="31790"/>
    <x v="160"/>
    <s v="SP"/>
    <n v="350"/>
    <s v="Ats On"/>
    <n v="1350"/>
    <s v="W11100737"/>
    <s v="Placas de Controle"/>
    <x v="1"/>
    <n v="1000"/>
    <n v="5004042"/>
    <s v="BRASIL WEB TRANSPORTES E LOGISTICA"/>
    <n v="710.27"/>
    <d v="2025-07-01T00:00:00"/>
  </r>
  <r>
    <n v="254023827"/>
    <n v="64802520"/>
    <s v="ROB"/>
    <n v="10108793"/>
    <n v="115"/>
    <s v="PEÇAS-Recusa do cliente"/>
    <s v="COMERCIAL"/>
    <x v="2"/>
    <n v="18809"/>
    <x v="60"/>
    <s v="RS"/>
    <n v="713"/>
    <s v="Key Account"/>
    <n v="1350"/>
    <s v="W10515645"/>
    <s v="Filtros"/>
    <x v="5"/>
    <n v="35000"/>
    <n v="5003024"/>
    <s v="RODOBRAS TRANSPORTES RODOVIARIOS LT"/>
    <n v="709.45"/>
    <d v="2025-07-01T00:00:00"/>
  </r>
  <r>
    <n v="254044305"/>
    <n v="64790921"/>
    <s v="REB"/>
    <n v="10051268"/>
    <n v="178"/>
    <s v="PEÇAS -Defeito de fabric./Sem Compressão"/>
    <s v="FUNCIONAL"/>
    <x v="0"/>
    <n v="22041"/>
    <x v="70"/>
    <s v="SP"/>
    <n v="931"/>
    <s v="Ats Off"/>
    <n v="1350"/>
    <s v="W11606669"/>
    <s v="Compressores Herméticos"/>
    <x v="0"/>
    <n v="1000"/>
    <n v="5004042"/>
    <s v="BRASIL WEB TRANSPORTES E LOGISTICA"/>
    <n v="708.47"/>
    <d v="2025-06-13T00:00:00"/>
  </r>
  <r>
    <n v="253995220"/>
    <n v="64772314"/>
    <s v="REB"/>
    <n v="10027618"/>
    <n v="173"/>
    <s v="PEÇAS - Defeito de fabric./Alta Amperage"/>
    <s v="FUNCIONAL"/>
    <x v="1"/>
    <n v="70149"/>
    <x v="147"/>
    <s v="SP"/>
    <n v="963"/>
    <s v="Ats Distribuidoras"/>
    <n v="1350"/>
    <s v="W10666797"/>
    <s v="Compressores Herméticos"/>
    <x v="0"/>
    <n v="1000"/>
    <n v="5004042"/>
    <s v="BRASIL WEB TRANSPORTES E LOGISTICA"/>
    <n v="707.31"/>
    <d v="2025-05-16T00:00:00"/>
  </r>
  <r>
    <n v="254035323"/>
    <n v="64812677"/>
    <s v="REB"/>
    <n v="10065143"/>
    <n v="173"/>
    <s v="PEÇAS - Defeito de fabric./Alta Amperage"/>
    <s v="FUNCIONAL"/>
    <x v="1"/>
    <n v="3236"/>
    <x v="45"/>
    <s v="SP"/>
    <n v="931"/>
    <s v="Ats Off"/>
    <n v="1350"/>
    <s v="W10666797"/>
    <s v="Compressores Herméticos"/>
    <x v="0"/>
    <n v="1000"/>
    <n v="5004042"/>
    <s v="BRASIL WEB TRANSPORTES E LOGISTICA"/>
    <n v="707.3"/>
    <d v="2025-07-17T00:00:00"/>
  </r>
  <r>
    <n v="253988784"/>
    <n v="64764316"/>
    <s v="REB"/>
    <n v="10010647"/>
    <n v="176"/>
    <s v="PEÇAS - Defeito de fabric./Interrompido"/>
    <s v="FUNCIONAL"/>
    <x v="1"/>
    <n v="3506"/>
    <x v="46"/>
    <s v="SP"/>
    <n v="931"/>
    <s v="Ats Off"/>
    <n v="1350"/>
    <s v="W10666797"/>
    <s v="Compressores Herméticos"/>
    <x v="0"/>
    <n v="1000"/>
    <n v="5004042"/>
    <s v="BRASIL WEB TRANSPORTES E LOGISTICA"/>
    <n v="707.3"/>
    <d v="2025-05-05T00:00:00"/>
  </r>
  <r>
    <n v="254003846"/>
    <n v="64778316"/>
    <s v="REB"/>
    <n v="9946208"/>
    <n v="173"/>
    <s v="PEÇAS - Defeito de fabric./Alta Amperage"/>
    <s v="FUNCIONAL"/>
    <x v="1"/>
    <n v="3236"/>
    <x v="45"/>
    <s v="SP"/>
    <n v="931"/>
    <s v="Ats Off"/>
    <n v="1350"/>
    <s v="W10666797"/>
    <s v="Compressores Herméticos"/>
    <x v="0"/>
    <n v="1000"/>
    <n v="5004042"/>
    <s v="BRASIL WEB TRANSPORTES E LOGISTICA"/>
    <n v="707.3"/>
    <d v="2025-05-26T00:00:00"/>
  </r>
  <r>
    <n v="253988834"/>
    <n v="64763920"/>
    <s v="REB"/>
    <n v="9954541"/>
    <n v="173"/>
    <s v="PEÇAS - Defeito de fabric./Alta Amperage"/>
    <s v="FUNCIONAL"/>
    <x v="1"/>
    <n v="21594"/>
    <x v="97"/>
    <s v="SP"/>
    <n v="931"/>
    <s v="Ats Off"/>
    <n v="1350"/>
    <s v="W10666797"/>
    <s v="Compressores Herméticos"/>
    <x v="0"/>
    <n v="1000"/>
    <n v="5004042"/>
    <s v="BRASIL WEB TRANSPORTES E LOGISTICA"/>
    <n v="707.3"/>
    <d v="2025-05-05T00:00:00"/>
  </r>
  <r>
    <n v="254007300"/>
    <n v="64783295"/>
    <s v="REB"/>
    <n v="9927336"/>
    <n v="173"/>
    <s v="PEÇAS - Defeito de fabric./Alta Amperage"/>
    <s v="FUNCIONAL"/>
    <x v="1"/>
    <n v="3236"/>
    <x v="45"/>
    <s v="SP"/>
    <n v="931"/>
    <s v="Ats Off"/>
    <n v="1350"/>
    <s v="W10666797"/>
    <s v="Compressores Herméticos"/>
    <x v="0"/>
    <n v="1000"/>
    <n v="5004042"/>
    <s v="BRASIL WEB TRANSPORTES E LOGISTICA"/>
    <n v="707.3"/>
    <d v="2025-06-02T00:00:00"/>
  </r>
  <r>
    <n v="253970742"/>
    <n v="64748491"/>
    <s v="REB"/>
    <n v="9954541"/>
    <n v="173"/>
    <s v="PEÇAS - Defeito de fabric./Alta Amperage"/>
    <s v="FUNCIONAL"/>
    <x v="1"/>
    <n v="21594"/>
    <x v="97"/>
    <s v="SP"/>
    <n v="931"/>
    <s v="Ats Off"/>
    <n v="1350"/>
    <s v="W10666797"/>
    <s v="Compressores Herméticos"/>
    <x v="0"/>
    <n v="1000"/>
    <n v="5004042"/>
    <s v="BRASIL WEB TRANSPORTES E LOGISTICA"/>
    <n v="707.3"/>
    <d v="2025-04-09T00:00:00"/>
  </r>
  <r>
    <n v="253970697"/>
    <n v="64748244"/>
    <s v="REB"/>
    <n v="9959044"/>
    <n v="176"/>
    <s v="PEÇAS - Defeito de fabric./Interrompido"/>
    <s v="FUNCIONAL"/>
    <x v="1"/>
    <n v="3506"/>
    <x v="46"/>
    <s v="SP"/>
    <n v="931"/>
    <s v="Ats Off"/>
    <n v="1350"/>
    <s v="W11516472"/>
    <s v="Compressores Herméticos"/>
    <x v="0"/>
    <n v="2000"/>
    <n v="5004042"/>
    <s v="BRASIL WEB TRANSPORTES E LOGISTICA"/>
    <n v="706.93"/>
    <d v="2025-04-09T00:00:00"/>
  </r>
  <r>
    <n v="254004077"/>
    <n v="64778289"/>
    <s v="REB"/>
    <n v="9926456"/>
    <n v="173"/>
    <s v="PEÇAS - Defeito de fabric./Alta Amperage"/>
    <s v="FUNCIONAL"/>
    <x v="1"/>
    <n v="85591"/>
    <x v="161"/>
    <s v="SC"/>
    <n v="643"/>
    <s v="Elite"/>
    <n v="1350"/>
    <s v="W10902873"/>
    <s v="Placas de Controle"/>
    <x v="1"/>
    <n v="1000"/>
    <n v="5003024"/>
    <s v="RODOBRAS TRANSPORTES RODOVIARIOS LT"/>
    <n v="703.1"/>
    <d v="2025-05-26T00:00:00"/>
  </r>
  <r>
    <n v="254021290"/>
    <n v="64798936"/>
    <s v="ZRDI"/>
    <n v="10094343"/>
    <n v="208"/>
    <s v="DEV-Atraso entrega- LOGISTICA(Transp)"/>
    <s v="TRANSPORTADORA"/>
    <x v="2"/>
    <n v="58051162"/>
    <x v="162"/>
    <s v="PI"/>
    <n v="474"/>
    <s v="Site Brastemp"/>
    <n v="1352"/>
    <s v="W10872599"/>
    <s v="Pés"/>
    <x v="6"/>
    <n v="1000"/>
    <n v="5002359"/>
    <s v="EMPRESA BRASILEIRA DE CORREIOS E"/>
    <n v="702.35"/>
    <d v="2025-06-26T00:00:00"/>
  </r>
  <r>
    <n v="254021290"/>
    <n v="64798936"/>
    <s v="ZRDI"/>
    <n v="10094343"/>
    <n v="208"/>
    <s v="DEV-Atraso entrega- LOGISTICA(Transp)"/>
    <s v="TRANSPORTADORA"/>
    <x v="2"/>
    <n v="58051162"/>
    <x v="162"/>
    <s v="PI"/>
    <n v="474"/>
    <s v="Site Brastemp"/>
    <n v="1352"/>
    <s v="W10872599"/>
    <s v="Pés"/>
    <x v="6"/>
    <n v="1000"/>
    <n v="5002359"/>
    <s v="EMPRESA BRASILEIRA DE CORREIOS E"/>
    <n v="702.35"/>
    <d v="2025-06-26T00:00:00"/>
  </r>
  <r>
    <n v="253995236"/>
    <n v="64770493"/>
    <s v="REB"/>
    <n v="9672147"/>
    <n v="173"/>
    <s v="PEÇAS - Defeito de fabric./Alta Amperage"/>
    <s v="FUNCIONAL"/>
    <x v="2"/>
    <n v="81093"/>
    <x v="53"/>
    <s v="ES"/>
    <n v="713"/>
    <s v="Key Account"/>
    <n v="1350"/>
    <s v="W11300816"/>
    <s v="Mecanismos"/>
    <x v="2"/>
    <n v="7000"/>
    <n v="5004042"/>
    <s v="BRASIL WEB TRANSPORTES E LOGISTICA"/>
    <n v="701.4"/>
    <d v="2025-05-16T00:00:00"/>
  </r>
  <r>
    <n v="253981385"/>
    <n v="64757984"/>
    <s v="REB"/>
    <n v="9930994"/>
    <n v="173"/>
    <s v="PEÇAS - Defeito de fabric./Alta Amperage"/>
    <s v="FUNCIONAL"/>
    <x v="2"/>
    <n v="3648"/>
    <x v="130"/>
    <s v="SP"/>
    <n v="350"/>
    <s v="Ats On"/>
    <n v="1350"/>
    <s v="W11509192"/>
    <s v="Dispensers"/>
    <x v="9"/>
    <n v="1000"/>
    <n v="5004042"/>
    <s v="BRASIL WEB TRANSPORTES E LOGISTICA"/>
    <n v="701.33"/>
    <d v="2025-04-25T00:00:00"/>
  </r>
  <r>
    <s v="Sem TR"/>
    <n v="64802866"/>
    <s v="ZRDI"/>
    <n v="10096140"/>
    <s v="D18"/>
    <s v="DEV D2C - Arrependimento não quero mais"/>
    <s v="COMERCIAL"/>
    <x v="2"/>
    <n v="53121064"/>
    <x v="163"/>
    <s v="SP"/>
    <n v="474"/>
    <s v="Site Brastemp"/>
    <n v="1352"/>
    <s v="W10258562"/>
    <s v="Válvulas de Água"/>
    <x v="5"/>
    <n v="1000"/>
    <n v="5002359"/>
    <s v="EMPRESA BRASILEIRA DE CORREIOS E"/>
    <n v="698.11"/>
    <d v="2025-07-07T00:00:00"/>
  </r>
  <r>
    <n v="254018389"/>
    <n v="64790817"/>
    <s v="REB"/>
    <n v="9812230"/>
    <n v="173"/>
    <s v="PEÇAS - Defeito de fabric./Alta Amperage"/>
    <s v="FUNCIONAL"/>
    <x v="1"/>
    <n v="85703"/>
    <x v="164"/>
    <s v="DF"/>
    <n v="350"/>
    <s v="Ats On"/>
    <n v="1350"/>
    <s v="W11516471"/>
    <s v="Compressores Herméticos"/>
    <x v="0"/>
    <n v="2000"/>
    <n v="5002858"/>
    <s v="FAVORITA TRANSPORTES LTDA"/>
    <n v="697.62"/>
    <d v="2025-06-17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1135728"/>
    <s v="Mangueiras"/>
    <x v="5"/>
    <n v="50000"/>
    <n v="5004101"/>
    <s v="UNIDOCK'S ASSESSORIA E LOGISTICA DE"/>
    <n v="696.94"/>
    <d v="2025-03-11T00:00:00"/>
  </r>
  <r>
    <n v="253952185"/>
    <n v="64729014"/>
    <s v="REB"/>
    <n v="9650782"/>
    <n v="178"/>
    <s v="PEÇAS -Defeito de fabric./Sem Compressão"/>
    <s v="FUNCIONAL"/>
    <x v="2"/>
    <n v="19750"/>
    <x v="165"/>
    <s v="RR"/>
    <n v="648"/>
    <s v="Ultra"/>
    <n v="1350"/>
    <s v="W10330848"/>
    <s v="Compressores Herméticos"/>
    <x v="0"/>
    <n v="2000"/>
    <n v="5002858"/>
    <s v="FAVORITA TRANSPORTES LTDA"/>
    <n v="696.14"/>
    <d v="2025-03-10T00:00:00"/>
  </r>
  <r>
    <s v="Sem TR"/>
    <n v="64804257"/>
    <s v="REB"/>
    <n v="10049621"/>
    <n v="90"/>
    <s v="CLIENTE-não solicitou"/>
    <s v="COMERCIAL"/>
    <x v="1"/>
    <n v="92453"/>
    <x v="166"/>
    <s v="SP"/>
    <n v="350"/>
    <s v="Ats On"/>
    <n v="1350"/>
    <s v="W11340256"/>
    <s v="Placas de Interface"/>
    <x v="1"/>
    <n v="1000"/>
    <n v="5004042"/>
    <s v="BRASIL WEB TRANSPORTES E LOGISTICA"/>
    <n v="696.09"/>
    <d v="2025-07-08T00:00:00"/>
  </r>
  <r>
    <n v="254012490"/>
    <n v="64789116"/>
    <s v="REB"/>
    <n v="9692356"/>
    <n v="178"/>
    <s v="PEÇAS -Defeito de fabric./Sem Compressão"/>
    <s v="FUNCIONAL"/>
    <x v="1"/>
    <n v="27253"/>
    <x v="167"/>
    <s v="PI"/>
    <n v="931"/>
    <s v="Ats Off"/>
    <n v="1350"/>
    <s v="W11741179"/>
    <s v="Outros"/>
    <x v="7"/>
    <n v="2000"/>
    <n v="5004101"/>
    <s v="UNIDOCK'S ASSESSORIA E LOGISTICA DE"/>
    <n v="696.05"/>
    <d v="2025-06-10T00:00:00"/>
  </r>
  <r>
    <n v="254030536"/>
    <n v="64802432"/>
    <s v="REB"/>
    <n v="10000249"/>
    <n v="173"/>
    <s v="PEÇAS - Defeito de fabric./Alta Amperage"/>
    <s v="FUNCIONAL"/>
    <x v="1"/>
    <n v="75812"/>
    <x v="102"/>
    <s v="SP"/>
    <n v="931"/>
    <s v="Ats Off"/>
    <n v="1350"/>
    <s v="W10388219"/>
    <s v="Compressores Herméticos"/>
    <x v="0"/>
    <n v="1000"/>
    <n v="5004042"/>
    <s v="BRASIL WEB TRANSPORTES E LOGISTICA"/>
    <n v="694.42"/>
    <d v="2025-07-01T00:00:00"/>
  </r>
  <r>
    <n v="254033450"/>
    <n v="64802470"/>
    <s v="REB"/>
    <n v="10000249"/>
    <n v="176"/>
    <s v="PEÇAS - Defeito de fabric./Interrompido"/>
    <s v="FUNCIONAL"/>
    <x v="1"/>
    <n v="75812"/>
    <x v="102"/>
    <s v="SP"/>
    <n v="931"/>
    <s v="Ats Off"/>
    <n v="1350"/>
    <s v="W10388219"/>
    <s v="Compressores Herméticos"/>
    <x v="0"/>
    <n v="1000"/>
    <n v="5004042"/>
    <s v="BRASIL WEB TRANSPORTES E LOGISTICA"/>
    <n v="694.42"/>
    <d v="2025-07-01T00:00:00"/>
  </r>
  <r>
    <n v="254007513"/>
    <n v="64781630"/>
    <s v="REB"/>
    <n v="9976748"/>
    <n v="176"/>
    <s v="PEÇAS - Defeito de fabric./Interrompido"/>
    <s v="FUNCIONAL"/>
    <x v="2"/>
    <n v="3506"/>
    <x v="46"/>
    <s v="SP"/>
    <n v="931"/>
    <s v="Ats Off"/>
    <n v="1350"/>
    <s v="W10388219"/>
    <s v="Compressores Herméticos"/>
    <x v="0"/>
    <n v="1000"/>
    <n v="5004042"/>
    <s v="BRASIL WEB TRANSPORTES E LOGISTICA"/>
    <n v="694.42"/>
    <d v="2025-06-02T00:00:00"/>
  </r>
  <r>
    <n v="253970704"/>
    <n v="64748214"/>
    <s v="REB"/>
    <n v="9905314"/>
    <n v="176"/>
    <s v="PEÇAS - Defeito de fabric./Interrompido"/>
    <s v="FUNCIONAL"/>
    <x v="2"/>
    <n v="3506"/>
    <x v="46"/>
    <s v="SP"/>
    <n v="931"/>
    <s v="Ats Off"/>
    <n v="1350"/>
    <s v="W10388219"/>
    <s v="Compressores Herméticos"/>
    <x v="0"/>
    <n v="1000"/>
    <n v="5004042"/>
    <s v="BRASIL WEB TRANSPORTES E LOGISTICA"/>
    <n v="692.89"/>
    <d v="2025-04-09T00:00:00"/>
  </r>
  <r>
    <n v="253995213"/>
    <n v="64770486"/>
    <s v="REB"/>
    <n v="9130754"/>
    <n v="178"/>
    <s v="PEÇAS -Defeito de fabric./Sem Compressão"/>
    <s v="FUNCIONAL"/>
    <x v="2"/>
    <n v="65059"/>
    <x v="1"/>
    <s v="SP"/>
    <n v="643"/>
    <s v="Elite"/>
    <n v="1350"/>
    <s v="W10393804"/>
    <s v="Compressores Herméticos"/>
    <x v="0"/>
    <n v="2000"/>
    <n v="5004042"/>
    <s v="BRASIL WEB TRANSPORTES E LOGISTICA"/>
    <n v="690.37"/>
    <d v="2025-05-16T00:00:00"/>
  </r>
  <r>
    <s v="Sem TR"/>
    <n v="64548600"/>
    <s v="REB"/>
    <n v="9329463"/>
    <n v="509"/>
    <s v="Qtd de peças a Menor dentro do Volume"/>
    <s v="LOGÍSTICA"/>
    <x v="1"/>
    <n v="3506"/>
    <x v="46"/>
    <s v="SP"/>
    <n v="350"/>
    <s v="Ats On"/>
    <n v="1350"/>
    <s v="W11509192"/>
    <s v="Dispensers"/>
    <x v="9"/>
    <n v="1000"/>
    <n v="5002359"/>
    <s v="EMPRESA BRASILEIRA DE CORREIOS E"/>
    <n v="689.41"/>
    <d v="2024-05-17T00:00:00"/>
  </r>
  <r>
    <s v="Sem TR"/>
    <n v="64787857"/>
    <s v="REB"/>
    <n v="10056056"/>
    <n v="509"/>
    <s v="Qtd de peças a Menor dentro do Volume"/>
    <s v="LOGÍSTICA"/>
    <x v="1"/>
    <n v="74725"/>
    <x v="168"/>
    <s v="SP"/>
    <n v="934"/>
    <s v="CDP Ouro"/>
    <n v="1350"/>
    <s v="W10531315"/>
    <s v="Sensores"/>
    <x v="3"/>
    <n v="75000"/>
    <n v="5002359"/>
    <s v="EMPRESA BRASILEIRA DE CORREIOS E"/>
    <n v="688.52"/>
    <d v="2025-06-10T00:00:00"/>
  </r>
  <r>
    <n v="254041714"/>
    <n v="64799971"/>
    <s v="REB"/>
    <n v="10066854"/>
    <n v="173"/>
    <s v="PEÇAS - Defeito de fabric./Alta Amperage"/>
    <s v="FUNCIONAL"/>
    <x v="0"/>
    <n v="14441"/>
    <x v="61"/>
    <s v="SP"/>
    <n v="931"/>
    <s v="Ats Off"/>
    <n v="1350"/>
    <s v="W10518509"/>
    <s v="Gavetas"/>
    <x v="9"/>
    <n v="1000"/>
    <n v="5004042"/>
    <s v="BRASIL WEB TRANSPORTES E LOGISTICA"/>
    <n v="686.76"/>
    <d v="2025-06-28T00:00:00"/>
  </r>
  <r>
    <s v="Sem TR"/>
    <n v="64809939"/>
    <s v="ZRDI"/>
    <n v="10108205"/>
    <s v="D10"/>
    <s v="DEV D2C - Comprou modelo errado"/>
    <s v="COMERCIAL"/>
    <x v="2"/>
    <n v="53858227"/>
    <x v="169"/>
    <s v="RS"/>
    <n v="497"/>
    <s v="Site KA(novo)"/>
    <n v="1352"/>
    <s v="W10705755"/>
    <s v="Acessórios"/>
    <x v="7"/>
    <n v="1000"/>
    <n v="5002359"/>
    <s v="EMPRESA BRASILEIRA DE CORREIOS E"/>
    <n v="685.5"/>
    <d v="2025-07-14T00:00:00"/>
  </r>
  <r>
    <n v="254009889"/>
    <n v="64788542"/>
    <s v="ROB"/>
    <n v="10060283"/>
    <n v="311"/>
    <s v="DEV-PRODUTO TROCADO-LOGÍSTICA"/>
    <s v="LOGÍSTICA"/>
    <x v="2"/>
    <n v="66743"/>
    <x v="170"/>
    <s v="SC"/>
    <n v="932"/>
    <s v="CDP Prata"/>
    <n v="1350"/>
    <s v="W11647662"/>
    <s v="Compressores Herméticos"/>
    <x v="0"/>
    <n v="2000"/>
    <n v="5003024"/>
    <s v="RODOBRAS TRANSPORTES RODOVIARIOS LT"/>
    <n v="685.15"/>
    <d v="2025-06-09T00:00:00"/>
  </r>
  <r>
    <n v="254027343"/>
    <n v="64806746"/>
    <s v="ZRDI"/>
    <n v="10076310"/>
    <n v="208"/>
    <s v="DEV-Atraso entrega- LOGISTICA(Transp)"/>
    <s v="TRANSPORTADORA"/>
    <x v="2"/>
    <n v="53711484"/>
    <x v="171"/>
    <s v="SE"/>
    <n v="474"/>
    <s v="Site Brastemp"/>
    <n v="1352"/>
    <s v="W10872599"/>
    <s v="Pés"/>
    <x v="6"/>
    <n v="1000"/>
    <n v="5002359"/>
    <s v="EMPRESA BRASILEIRA DE CORREIOS E"/>
    <n v="684.67"/>
    <d v="2025-07-07T00:00:00"/>
  </r>
  <r>
    <n v="254027343"/>
    <n v="64806746"/>
    <s v="ZRDI"/>
    <n v="10076310"/>
    <n v="208"/>
    <s v="DEV-Atraso entrega- LOGISTICA(Transp)"/>
    <s v="TRANSPORTADORA"/>
    <x v="2"/>
    <n v="53711484"/>
    <x v="171"/>
    <s v="SE"/>
    <n v="474"/>
    <s v="Site Brastemp"/>
    <n v="1352"/>
    <s v="W10872599"/>
    <s v="Pés"/>
    <x v="6"/>
    <n v="1000"/>
    <n v="5002359"/>
    <s v="EMPRESA BRASILEIRA DE CORREIOS E"/>
    <n v="684.67"/>
    <d v="2025-07-07T00:00:00"/>
  </r>
  <r>
    <n v="254042319"/>
    <n v="64796964"/>
    <s v="REB"/>
    <n v="10060706"/>
    <n v="173"/>
    <s v="PEÇAS - Defeito de fabric./Alta Amperage"/>
    <s v="FUNCIONAL"/>
    <x v="0"/>
    <n v="3236"/>
    <x v="45"/>
    <s v="SP"/>
    <n v="931"/>
    <s v="Ats Off"/>
    <n v="1350"/>
    <s v="W10666796"/>
    <s v="Compressores Herméticos"/>
    <x v="0"/>
    <n v="1000"/>
    <n v="5004042"/>
    <s v="BRASIL WEB TRANSPORTES E LOGISTICA"/>
    <n v="683.16"/>
    <d v="2025-06-24T00:00:00"/>
  </r>
  <r>
    <n v="253970690"/>
    <n v="64744552"/>
    <s v="REB"/>
    <n v="9935938"/>
    <n v="176"/>
    <s v="PEÇAS - Defeito de fabric./Interrompido"/>
    <s v="FUNCIONAL"/>
    <x v="2"/>
    <n v="3506"/>
    <x v="46"/>
    <s v="SP"/>
    <n v="931"/>
    <s v="Ats Off"/>
    <n v="1350"/>
    <s v="W11509192"/>
    <s v="Dispensers"/>
    <x v="9"/>
    <n v="1000"/>
    <n v="5004042"/>
    <s v="BRASIL WEB TRANSPORTES E LOGISTICA"/>
    <n v="683.06"/>
    <d v="2025-04-09T00:00:00"/>
  </r>
  <r>
    <n v="254018322"/>
    <n v="64792603"/>
    <s v="REB"/>
    <n v="9952901"/>
    <n v="178"/>
    <s v="PEÇAS -Defeito de fabric./Sem Compressão"/>
    <s v="FUNCIONAL"/>
    <x v="1"/>
    <n v="53319"/>
    <x v="172"/>
    <s v="PR"/>
    <n v="644"/>
    <s v="Plus"/>
    <n v="1350"/>
    <s v="W10388219"/>
    <s v="Compressores Herméticos"/>
    <x v="0"/>
    <n v="1000"/>
    <n v="5003024"/>
    <s v="RODOBRAS TRANSPORTES RODOVIARIOS LT"/>
    <n v="681.51"/>
    <d v="2025-06-17T00:00:00"/>
  </r>
  <r>
    <n v="254033418"/>
    <n v="64802235"/>
    <s v="REB"/>
    <n v="9952901"/>
    <n v="178"/>
    <s v="PEÇAS -Defeito de fabric./Sem Compressão"/>
    <s v="FUNCIONAL"/>
    <x v="0"/>
    <n v="53319"/>
    <x v="172"/>
    <s v="PR"/>
    <n v="644"/>
    <s v="Plus"/>
    <n v="1350"/>
    <s v="W10388219"/>
    <s v="Compressores Herméticos"/>
    <x v="0"/>
    <n v="1000"/>
    <n v="5003024"/>
    <s v="RODOBRAS TRANSPORTES RODOVIARIOS LT"/>
    <n v="681.51"/>
    <d v="2025-07-01T00:00:00"/>
  </r>
  <r>
    <n v="254030539"/>
    <n v="64800491"/>
    <s v="REB"/>
    <n v="9904213"/>
    <n v="176"/>
    <s v="PEÇAS - Defeito de fabric./Interrompido"/>
    <s v="FUNCIONAL"/>
    <x v="1"/>
    <n v="81988"/>
    <x v="38"/>
    <s v="MG"/>
    <n v="648"/>
    <s v="Ultra"/>
    <n v="1350"/>
    <s v="W11647660"/>
    <s v="Compressores Herméticos"/>
    <x v="0"/>
    <n v="2000"/>
    <n v="5004215"/>
    <s v="BRASIL WEB TRANSPORTES E LOGISTICA"/>
    <n v="680.19"/>
    <d v="2025-07-01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0764578"/>
    <s v="Conjunto Varetas"/>
    <x v="8"/>
    <n v="19000"/>
    <n v="5003024"/>
    <s v="RODOBRAS TRANSPORTES RODOVIARIOS LT"/>
    <n v="679.95"/>
    <d v="2025-01-16T00:00:00"/>
  </r>
  <r>
    <n v="253992715"/>
    <n v="64768249"/>
    <s v="REB"/>
    <n v="10018799"/>
    <n v="170"/>
    <s v="PEÇAS - Avaria - Riscada/Depósito"/>
    <s v="LOGÍSTICA"/>
    <x v="1"/>
    <n v="25656"/>
    <x v="173"/>
    <s v="SP"/>
    <n v="931"/>
    <s v="Ats Off"/>
    <n v="1350"/>
    <s v="W11510488"/>
    <s v="Portas"/>
    <x v="6"/>
    <n v="1000"/>
    <n v="5004042"/>
    <s v="BRASIL WEB TRANSPORTES E LOGISTICA"/>
    <n v="679.37"/>
    <d v="2025-05-12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n v="326061171"/>
    <s v="Placas de Controle"/>
    <x v="1"/>
    <n v="3000"/>
    <n v="5003024"/>
    <s v="RODOBRAS TRANSPORTES RODOVIARIOS LT"/>
    <n v="678.03"/>
    <d v="2025-01-16T00:00:00"/>
  </r>
  <r>
    <n v="254038387"/>
    <n v="64803152"/>
    <s v="REB"/>
    <n v="10090172"/>
    <n v="173"/>
    <s v="PEÇAS - Defeito de fabric./Alta Amperage"/>
    <s v="FUNCIONAL"/>
    <x v="1"/>
    <n v="67948"/>
    <x v="15"/>
    <s v="SC"/>
    <n v="713"/>
    <s v="Key Account"/>
    <n v="1350"/>
    <s v="W11299803"/>
    <s v="Mecanismos"/>
    <x v="2"/>
    <n v="7000"/>
    <n v="5003024"/>
    <s v="RODOBRAS TRANSPORTES RODOVIARIOS LT"/>
    <n v="678.02"/>
    <d v="2025-07-22T00:00:00"/>
  </r>
  <r>
    <n v="254007515"/>
    <n v="64783441"/>
    <s v="REB"/>
    <n v="10046147"/>
    <n v="176"/>
    <s v="PEÇAS - Defeito de fabric./Interrompido"/>
    <s v="FUNCIONAL"/>
    <x v="2"/>
    <n v="3649"/>
    <x v="148"/>
    <s v="SP"/>
    <n v="350"/>
    <s v="Ats On"/>
    <n v="1350"/>
    <s v="W11340256"/>
    <s v="Placas de Interface"/>
    <x v="1"/>
    <n v="1000"/>
    <n v="5004042"/>
    <s v="BRASIL WEB TRANSPORTES E LOGISTICA"/>
    <n v="676.91"/>
    <d v="2025-06-02T00:00:00"/>
  </r>
  <r>
    <n v="253988784"/>
    <n v="64763792"/>
    <s v="REB"/>
    <n v="9997826"/>
    <n v="176"/>
    <s v="PEÇAS - Defeito de fabric./Interrompido"/>
    <s v="FUNCIONAL"/>
    <x v="0"/>
    <n v="3506"/>
    <x v="46"/>
    <s v="SP"/>
    <n v="931"/>
    <s v="Ats Off"/>
    <n v="1350"/>
    <n v="326063223"/>
    <s v="Placas de Controle"/>
    <x v="1"/>
    <n v="2000"/>
    <n v="5004042"/>
    <s v="BRASIL WEB TRANSPORTES E LOGISTICA"/>
    <n v="676.84"/>
    <d v="2025-05-05T00:00:00"/>
  </r>
  <r>
    <n v="254004038"/>
    <n v="64778204"/>
    <s v="REB"/>
    <n v="9982696"/>
    <n v="173"/>
    <s v="PEÇAS - Defeito de fabric./Alta Amperage"/>
    <s v="FUNCIONAL"/>
    <x v="1"/>
    <n v="67051"/>
    <x v="174"/>
    <s v="RJ"/>
    <n v="641"/>
    <s v="CDP Diamante"/>
    <n v="1350"/>
    <s v="W11037252"/>
    <s v="Chaves Rotativas"/>
    <x v="3"/>
    <n v="2000"/>
    <n v="5003176"/>
    <s v="J C THEDIN TRANSPORTES LTDA"/>
    <n v="676.59"/>
    <d v="2025-05-26T00:00:00"/>
  </r>
  <r>
    <n v="254018257"/>
    <n v="64790453"/>
    <s v="REB"/>
    <n v="10074487"/>
    <n v="104"/>
    <s v="PEÇAS-Código trocado(embalag X conteúdo)"/>
    <s v="LOGÍSTICA"/>
    <x v="1"/>
    <n v="28993"/>
    <x v="175"/>
    <s v="MG"/>
    <n v="644"/>
    <s v="Plus"/>
    <n v="1350"/>
    <s v="W11195522"/>
    <s v="Motores"/>
    <x v="1"/>
    <n v="5000"/>
    <n v="5004215"/>
    <s v="BRASIL WEB TRANSPORTES E LOGISTICA"/>
    <n v="673.61"/>
    <d v="2025-06-16T00:00:00"/>
  </r>
  <r>
    <n v="253983920"/>
    <n v="64759549"/>
    <s v="REB"/>
    <n v="9892931"/>
    <n v="173"/>
    <s v="PEÇAS - Defeito de fabric./Alta Amperage"/>
    <s v="FUNCIONAL"/>
    <x v="1"/>
    <n v="35368"/>
    <x v="176"/>
    <s v="ES"/>
    <n v="350"/>
    <s v="Ats On"/>
    <n v="1350"/>
    <s v="W10666797"/>
    <s v="Compressores Herméticos"/>
    <x v="0"/>
    <n v="1000"/>
    <n v="5004042"/>
    <s v="BRASIL WEB TRANSPORTES E LOGISTICA"/>
    <n v="671.57"/>
    <d v="2025-04-28T00:00:00"/>
  </r>
  <r>
    <n v="253991335"/>
    <n v="64726430"/>
    <s v="REB"/>
    <n v="9431521"/>
    <n v="173"/>
    <s v="PEÇAS - Defeito de fabric./Alta Amperage"/>
    <s v="FUNCIONAL"/>
    <x v="1"/>
    <n v="72785"/>
    <x v="177"/>
    <s v="SP"/>
    <n v="641"/>
    <s v="CDP Diamante"/>
    <n v="1350"/>
    <s v="W10798744"/>
    <s v="Compressores Herméticos"/>
    <x v="0"/>
    <n v="2000"/>
    <n v="5004042"/>
    <s v="BRASIL WEB TRANSPORTES E LOGISTICA"/>
    <n v="671.17"/>
    <d v="2025-03-08T00:00:00"/>
  </r>
  <r>
    <n v="254042017"/>
    <n v="64793297"/>
    <s v="REB"/>
    <n v="10077391"/>
    <n v="170"/>
    <s v="PEÇAS - Avaria - Riscada/Depósito"/>
    <s v="LOGÍSTICA"/>
    <x v="0"/>
    <n v="69085"/>
    <x v="178"/>
    <s v="SP"/>
    <n v="641"/>
    <s v="CDP Diamante"/>
    <n v="1350"/>
    <s v="W11433177"/>
    <s v="Acessórios"/>
    <x v="7"/>
    <n v="1000"/>
    <n v="5004042"/>
    <s v="BRASIL WEB TRANSPORTES E LOGISTICA"/>
    <n v="670.92"/>
    <d v="2025-06-23T00:00:00"/>
  </r>
  <r>
    <n v="254041997"/>
    <n v="64796820"/>
    <s v="REB"/>
    <n v="10055960"/>
    <n v="173"/>
    <s v="PEÇAS - Defeito de fabric./Alta Amperage"/>
    <s v="FUNCIONAL"/>
    <x v="0"/>
    <n v="9452"/>
    <x v="42"/>
    <s v="SP"/>
    <n v="931"/>
    <s v="Ats Off"/>
    <n v="1350"/>
    <s v="W11191654"/>
    <s v="Motores"/>
    <x v="1"/>
    <n v="1000"/>
    <n v="5004042"/>
    <s v="BRASIL WEB TRANSPORTES E LOGISTICA"/>
    <n v="669.6"/>
    <d v="2025-06-24T00:00:00"/>
  </r>
  <r>
    <n v="253995095"/>
    <n v="64772285"/>
    <s v="REB"/>
    <n v="8572804"/>
    <n v="173"/>
    <s v="PEÇAS - Defeito de fabric./Alta Amperage"/>
    <s v="FUNCIONAL"/>
    <x v="2"/>
    <n v="21295"/>
    <x v="2"/>
    <s v="SP"/>
    <n v="648"/>
    <s v="Ultra"/>
    <n v="1350"/>
    <s v="W11647662"/>
    <s v="Compressores Herméticos"/>
    <x v="0"/>
    <n v="2000"/>
    <n v="5004042"/>
    <s v="BRASIL WEB TRANSPORTES E LOGISTICA"/>
    <n v="669.27"/>
    <d v="2025-05-16T00:00:00"/>
  </r>
  <r>
    <n v="254042011"/>
    <n v="64796335"/>
    <s v="REB"/>
    <n v="9837433"/>
    <n v="173"/>
    <s v="PEÇAS - Defeito de fabric./Alta Amperage"/>
    <s v="FUNCIONAL"/>
    <x v="0"/>
    <n v="78757"/>
    <x v="50"/>
    <s v="RS"/>
    <n v="643"/>
    <s v="Elite"/>
    <n v="1350"/>
    <s v="W10827972"/>
    <s v="Placas de Controle"/>
    <x v="1"/>
    <n v="2000"/>
    <n v="5003024"/>
    <s v="RODOBRAS TRANSPORTES RODOVIARIOS LT"/>
    <n v="668.42"/>
    <d v="2025-06-23T00:00:00"/>
  </r>
  <r>
    <n v="254030536"/>
    <n v="64802441"/>
    <s v="REB"/>
    <n v="10016129"/>
    <n v="176"/>
    <s v="PEÇAS - Defeito de fabric./Interrompido"/>
    <s v="FUNCIONAL"/>
    <x v="1"/>
    <n v="75812"/>
    <x v="102"/>
    <s v="SP"/>
    <n v="931"/>
    <s v="Ats Off"/>
    <n v="1350"/>
    <s v="W10388219"/>
    <s v="Compressores Herméticos"/>
    <x v="0"/>
    <n v="1000"/>
    <n v="5004042"/>
    <s v="BRASIL WEB TRANSPORTES E LOGISTICA"/>
    <n v="668.1"/>
    <d v="2025-07-01T00:00:00"/>
  </r>
  <r>
    <n v="253942888"/>
    <n v="64719728"/>
    <s v="ROB"/>
    <n v="9767054"/>
    <n v="671"/>
    <s v="DEV-ENVIADO PARA GESTÃO DE CONSEQUENCIA"/>
    <s v="TRANSPORTADORA"/>
    <x v="1"/>
    <n v="32681"/>
    <x v="179"/>
    <s v="RS"/>
    <n v="644"/>
    <s v="Plus"/>
    <n v="1350"/>
    <s v="W10733396"/>
    <s v="Tampas Móveis"/>
    <x v="6"/>
    <n v="5000"/>
    <n v="5003024"/>
    <s v="RODOBRAS TRANSPORTES RODOVIARIOS LT"/>
    <n v="667.72"/>
    <d v="2025-02-25T00:00:00"/>
  </r>
  <r>
    <n v="254004076"/>
    <n v="64767316"/>
    <s v="REB"/>
    <n v="9148436"/>
    <n v="173"/>
    <s v="PEÇAS - Defeito de fabric./Alta Amperage"/>
    <s v="FUNCIONAL"/>
    <x v="2"/>
    <n v="85461"/>
    <x v="180"/>
    <s v="MG"/>
    <n v="641"/>
    <s v="CDP Diamante"/>
    <n v="1350"/>
    <s v="W11251564"/>
    <s v="Placas de Controle"/>
    <x v="1"/>
    <n v="2000"/>
    <n v="5004215"/>
    <s v="BRASIL WEB TRANSPORTES E LOGISTICA"/>
    <n v="667.22"/>
    <d v="2025-05-26T00:00:00"/>
  </r>
  <r>
    <n v="253942888"/>
    <n v="64719728"/>
    <s v="ROB"/>
    <n v="9767054"/>
    <n v="671"/>
    <s v="DEV-ENVIADO PARA GESTÃO DE CONSEQUENCIA"/>
    <s v="TRANSPORTADORA"/>
    <x v="1"/>
    <n v="32681"/>
    <x v="179"/>
    <s v="RS"/>
    <n v="644"/>
    <s v="Plus"/>
    <n v="1350"/>
    <s v="W10827973"/>
    <s v="Placas de Controle"/>
    <x v="1"/>
    <n v="2000"/>
    <n v="5003024"/>
    <s v="RODOBRAS TRANSPORTES RODOVIARIOS LT"/>
    <n v="662.9"/>
    <d v="2025-02-25T00:00:00"/>
  </r>
  <r>
    <n v="253995074"/>
    <n v="64772226"/>
    <s v="REB"/>
    <n v="9973519"/>
    <n v="176"/>
    <s v="PEÇAS - Defeito de fabric./Interrompido"/>
    <s v="FUNCIONAL"/>
    <x v="1"/>
    <n v="5136"/>
    <x v="181"/>
    <s v="RS"/>
    <n v="350"/>
    <s v="Ats On"/>
    <n v="1350"/>
    <s v="W10647739"/>
    <s v="Cordões de Alimentação"/>
    <x v="1"/>
    <n v="1000"/>
    <n v="5003024"/>
    <s v="RODOBRAS TRANSPORTES RODOVIARIOS LT"/>
    <n v="661.8"/>
    <d v="2025-05-16T00:00:00"/>
  </r>
  <r>
    <n v="254018240"/>
    <n v="64793107"/>
    <s v="REB"/>
    <n v="9988295"/>
    <n v="168"/>
    <s v="PEÇAS-Def.Fabric.Empenamento/Abaulamento"/>
    <s v="FUNCIONAL"/>
    <x v="1"/>
    <n v="27337"/>
    <x v="145"/>
    <s v="RJ"/>
    <n v="641"/>
    <s v="CDP Diamante"/>
    <n v="1350"/>
    <s v="W10888363"/>
    <s v="Condensadores"/>
    <x v="0"/>
    <n v="1000"/>
    <n v="5003176"/>
    <s v="J C THEDIN TRANSPORTES LTDA"/>
    <n v="661.37"/>
    <d v="2025-06-17T00:00:00"/>
  </r>
  <r>
    <n v="254033335"/>
    <n v="64799927"/>
    <s v="REB"/>
    <n v="10093771"/>
    <n v="168"/>
    <s v="PEÇAS-Def.Fabric.Empenamento/Abaulamento"/>
    <s v="FUNCIONAL"/>
    <x v="1"/>
    <n v="27337"/>
    <x v="145"/>
    <s v="RJ"/>
    <n v="641"/>
    <s v="CDP Diamante"/>
    <n v="1350"/>
    <s v="W10888363"/>
    <s v="Condensadores"/>
    <x v="0"/>
    <n v="1000"/>
    <n v="5003176"/>
    <s v="J C THEDIN TRANSPORTES LTDA"/>
    <n v="661.37"/>
    <d v="2025-07-01T00:00:00"/>
  </r>
  <r>
    <n v="253919017"/>
    <n v="64693219"/>
    <s v="ROB"/>
    <n v="9821818"/>
    <n v="671"/>
    <s v="DEV-ENVIADO PARA GESTÃO DE CONSEQUENCIA"/>
    <s v="TRANSPORTADORA"/>
    <x v="1"/>
    <n v="32856"/>
    <x v="60"/>
    <s v="PR"/>
    <n v="713"/>
    <s v="Key Account"/>
    <n v="1350"/>
    <s v="W11300698"/>
    <s v="Mecanismos"/>
    <x v="2"/>
    <n v="3000"/>
    <n v="5003024"/>
    <s v="RODOBRAS TRANSPORTES RODOVIARIOS LT"/>
    <n v="661.17"/>
    <d v="2025-01-16T00:00:00"/>
  </r>
  <r>
    <n v="253953761"/>
    <n v="64732059"/>
    <s v="REB"/>
    <n v="9788866"/>
    <n v="173"/>
    <s v="PEÇAS - Defeito de fabric./Alta Amperage"/>
    <s v="FUNCIONAL"/>
    <x v="1"/>
    <n v="21594"/>
    <x v="97"/>
    <s v="SP"/>
    <n v="931"/>
    <s v="Ats Off"/>
    <n v="1350"/>
    <s v="W10637619"/>
    <s v="Placas de Interface"/>
    <x v="1"/>
    <n v="1000"/>
    <n v="5004042"/>
    <s v="BRASIL WEB TRANSPORTES E LOGISTICA"/>
    <n v="661.16"/>
    <d v="2025-03-14T00:00:00"/>
  </r>
  <r>
    <n v="253961393"/>
    <n v="64736043"/>
    <s v="REB"/>
    <n v="9909394"/>
    <n v="90"/>
    <s v="CLIENTE-não solicitou"/>
    <s v="COMERCIAL"/>
    <x v="2"/>
    <n v="71853"/>
    <x v="182"/>
    <s v="SP"/>
    <n v="932"/>
    <s v="CDP Prata"/>
    <n v="1350"/>
    <n v="326076089"/>
    <s v="Painéis de Controle"/>
    <x v="6"/>
    <n v="1000"/>
    <n v="5004042"/>
    <s v="BRASIL WEB TRANSPORTES E LOGISTICA"/>
    <n v="660.08"/>
    <d v="2025-03-25T00:00:00"/>
  </r>
  <r>
    <n v="254041864"/>
    <n v="64796539"/>
    <s v="REB"/>
    <n v="10007790"/>
    <n v="176"/>
    <s v="PEÇAS - Defeito de fabric./Interrompido"/>
    <s v="FUNCIONAL"/>
    <x v="0"/>
    <n v="70555"/>
    <x v="150"/>
    <s v="SC"/>
    <n v="648"/>
    <s v="Ultra"/>
    <n v="1350"/>
    <s v="W11199342"/>
    <s v="Filtros"/>
    <x v="5"/>
    <n v="9000"/>
    <n v="5003024"/>
    <s v="RODOBRAS TRANSPORTES RODOVIARIOS LT"/>
    <n v="658.78"/>
    <d v="2025-06-24T00:00:00"/>
  </r>
  <r>
    <n v="254004042"/>
    <n v="64778207"/>
    <s v="REB"/>
    <n v="10018016"/>
    <n v="173"/>
    <s v="PEÇAS - Defeito de fabric./Alta Amperage"/>
    <s v="FUNCIONAL"/>
    <x v="1"/>
    <n v="67948"/>
    <x v="15"/>
    <s v="SC"/>
    <n v="713"/>
    <s v="Key Account"/>
    <n v="1350"/>
    <s v="W11299803"/>
    <s v="Mecanismos"/>
    <x v="2"/>
    <n v="7000"/>
    <n v="5003024"/>
    <s v="RODOBRAS TRANSPORTES RODOVIARIOS LT"/>
    <n v="657.09"/>
    <d v="2025-05-26T00:00:00"/>
  </r>
  <r>
    <n v="254012599"/>
    <n v="64789424"/>
    <s v="REB"/>
    <n v="10018016"/>
    <n v="173"/>
    <s v="PEÇAS - Defeito de fabric./Alta Amperage"/>
    <s v="FUNCIONAL"/>
    <x v="2"/>
    <n v="67948"/>
    <x v="15"/>
    <s v="SC"/>
    <n v="713"/>
    <s v="Key Account"/>
    <n v="1350"/>
    <s v="W11299803"/>
    <s v="Mecanismos"/>
    <x v="2"/>
    <n v="7000"/>
    <n v="5003024"/>
    <s v="RODOBRAS TRANSPORTES RODOVIARIOS LT"/>
    <n v="657.09"/>
    <d v="2025-06-10T00:00:00"/>
  </r>
  <r>
    <n v="254018383"/>
    <n v="64791993"/>
    <s v="REB"/>
    <n v="9378199"/>
    <n v="177"/>
    <s v="PEÇAS - Defeito de fabric./Ruído"/>
    <s v="FUNCIONAL"/>
    <x v="1"/>
    <n v="80432"/>
    <x v="3"/>
    <s v="ES"/>
    <n v="713"/>
    <s v="Key Account"/>
    <n v="1350"/>
    <s v="W11254865"/>
    <s v="Mecanismos"/>
    <x v="2"/>
    <n v="4000"/>
    <n v="5004042"/>
    <s v="BRASIL WEB TRANSPORTES E LOGISTICA"/>
    <n v="656.36"/>
    <d v="2025-06-17T00:00:00"/>
  </r>
  <r>
    <n v="253919013"/>
    <n v="64693215"/>
    <s v="ROB"/>
    <n v="9821812"/>
    <n v="671"/>
    <s v="DEV-ENVIADO PARA GESTÃO DE CONSEQUENCIA"/>
    <s v="TRANSPORTADORA"/>
    <x v="1"/>
    <n v="32856"/>
    <x v="60"/>
    <s v="PR"/>
    <n v="713"/>
    <s v="Key Account"/>
    <n v="1350"/>
    <s v="W10684267"/>
    <s v="Placas de Controle"/>
    <x v="1"/>
    <n v="4000"/>
    <n v="5003024"/>
    <s v="RODOBRAS TRANSPORTES RODOVIARIOS LT"/>
    <n v="655.16"/>
    <d v="2025-01-16T00:00:00"/>
  </r>
  <r>
    <n v="254018389"/>
    <n v="64793205"/>
    <s v="REB"/>
    <n v="9916603"/>
    <n v="173"/>
    <s v="PEÇAS - Defeito de fabric./Alta Amperage"/>
    <s v="FUNCIONAL"/>
    <x v="2"/>
    <n v="85703"/>
    <x v="164"/>
    <s v="DF"/>
    <n v="350"/>
    <s v="Ats On"/>
    <n v="1350"/>
    <s v="W10388222"/>
    <s v="Compressores Herméticos"/>
    <x v="0"/>
    <n v="1000"/>
    <n v="5002858"/>
    <s v="FAVORITA TRANSPORTES LTDA"/>
    <n v="655.02"/>
    <d v="2025-06-17T00:00:00"/>
  </r>
  <r>
    <n v="254018223"/>
    <n v="64791323"/>
    <s v="REB"/>
    <n v="10062700"/>
    <n v="104"/>
    <s v="PEÇAS-Código trocado(embalag X conteúdo)"/>
    <s v="LOGÍSTICA"/>
    <x v="1"/>
    <n v="10164"/>
    <x v="183"/>
    <s v="PB"/>
    <n v="931"/>
    <s v="Ats Off"/>
    <n v="1350"/>
    <s v="W10885061"/>
    <s v="Portas"/>
    <x v="6"/>
    <n v="1000"/>
    <n v="5004101"/>
    <s v="UNIDOCK'S ASSESSORIA E LOGISTICA DE"/>
    <n v="652.07000000000005"/>
    <d v="2025-06-16T00:00:00"/>
  </r>
  <r>
    <n v="253879262"/>
    <n v="64643261"/>
    <s v="REB"/>
    <n v="9250747"/>
    <n v="671"/>
    <s v="DEV-ENVIADO PARA GESTÃO DE CONSEQUENCIA"/>
    <s v="TRANSPORTADORA"/>
    <x v="1"/>
    <n v="31069"/>
    <x v="184"/>
    <s v="MA"/>
    <n v="350"/>
    <s v="Ats On"/>
    <n v="1350"/>
    <s v="W10885061"/>
    <s v="Portas"/>
    <x v="6"/>
    <n v="1000"/>
    <n v="5004101"/>
    <s v="UNIDOCK'S ASSESSORIA E LOGISTICA DE"/>
    <n v="650.07000000000005"/>
    <d v="2024-11-12T00:00:00"/>
  </r>
  <r>
    <n v="253997997"/>
    <n v="64774146"/>
    <s v="REB"/>
    <n v="9915449"/>
    <n v="168"/>
    <s v="PEÇAS-Def.Fabric.Empenamento/Abaulamento"/>
    <s v="FUNCIONAL"/>
    <x v="2"/>
    <n v="61847"/>
    <x v="35"/>
    <s v="MG"/>
    <n v="643"/>
    <s v="Elite"/>
    <n v="1350"/>
    <s v="W10882241"/>
    <s v="Agitadores"/>
    <x v="2"/>
    <n v="17000"/>
    <n v="5004215"/>
    <s v="BRASIL WEB TRANSPORTES E LOGISTICA"/>
    <n v="646.53"/>
    <d v="2025-05-20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1435392"/>
    <s v="Placas de Controle"/>
    <x v="1"/>
    <n v="2000"/>
    <n v="5004101"/>
    <s v="UNIDOCK'S ASSESSORIA E LOGISTICA DE"/>
    <n v="646.27"/>
    <d v="2025-07-30T00:00:00"/>
  </r>
  <r>
    <n v="254024075"/>
    <n v="64803519"/>
    <s v="ROB"/>
    <n v="10108605"/>
    <n v="115"/>
    <s v="PEÇAS-Recusa do cliente"/>
    <s v="COMERCIAL"/>
    <x v="2"/>
    <n v="30990"/>
    <x v="26"/>
    <s v="ES"/>
    <n v="713"/>
    <s v="Key Account"/>
    <n v="1350"/>
    <s v="W10515645"/>
    <s v="Filtros"/>
    <x v="5"/>
    <n v="32000"/>
    <n v="5004101"/>
    <s v="UNIDOCK'S ASSESSORIA E LOGISTICA DE"/>
    <n v="645.44000000000005"/>
    <d v="2025-07-01T00:00:00"/>
  </r>
  <r>
    <n v="254012634"/>
    <n v="64788533"/>
    <s v="REB"/>
    <n v="9943057"/>
    <n v="176"/>
    <s v="PEÇAS - Defeito de fabric./Interrompido"/>
    <s v="FUNCIONAL"/>
    <x v="2"/>
    <n v="91561"/>
    <x v="140"/>
    <s v="MT"/>
    <n v="934"/>
    <s v="CDP Ouro"/>
    <n v="1350"/>
    <s v="W11176610"/>
    <s v="Compressores Herméticos"/>
    <x v="0"/>
    <n v="1000"/>
    <n v="5002573"/>
    <s v="CARVALIMA TRANSPORTES LTDA"/>
    <n v="645.16"/>
    <d v="2025-06-10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0591605"/>
    <s v="Placas de Controle"/>
    <x v="1"/>
    <n v="3000"/>
    <n v="5003024"/>
    <s v="RODOBRAS TRANSPORTES RODOVIARIOS LT"/>
    <n v="644.57000000000005"/>
    <d v="2025-01-16T00:00:00"/>
  </r>
  <r>
    <n v="253913156"/>
    <n v="64684917"/>
    <s v="REB"/>
    <n v="9797702"/>
    <n v="173"/>
    <s v="PEÇAS - Defeito de fabric./Alta Amperage"/>
    <s v="FUNCIONAL"/>
    <x v="1"/>
    <n v="58773"/>
    <x v="13"/>
    <s v="RN"/>
    <n v="931"/>
    <s v="Ats Off"/>
    <n v="1350"/>
    <s v="W11509387"/>
    <s v="Filtros"/>
    <x v="5"/>
    <n v="8000"/>
    <n v="5004101"/>
    <s v="UNIDOCK'S ASSESSORIA E LOGISTICA DE"/>
    <n v="644.08000000000004"/>
    <d v="2025-01-06T00:00:00"/>
  </r>
  <r>
    <n v="253886232"/>
    <n v="64655239"/>
    <s v="REB"/>
    <n v="9683111"/>
    <n v="671"/>
    <s v="DEV-ENVIADO PARA GESTÃO DE CONSEQUENCIA"/>
    <s v="TRANSPORTADORA"/>
    <x v="1"/>
    <n v="13747"/>
    <x v="14"/>
    <s v="RS"/>
    <n v="713"/>
    <s v="Key Account"/>
    <n v="1350"/>
    <s v="W10678919"/>
    <s v="Placas de Controle"/>
    <x v="1"/>
    <n v="10000"/>
    <n v="5003024"/>
    <s v="RODOBRAS TRANSPORTES RODOVIARIOS LT"/>
    <n v="642.26"/>
    <d v="2024-11-29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624558"/>
    <s v="Placas de Controle"/>
    <x v="1"/>
    <n v="3000"/>
    <n v="5002858"/>
    <s v="FAVORITA TRANSPORTES LTDA"/>
    <n v="641.69000000000005"/>
    <d v="2025-07-15T00:00:00"/>
  </r>
  <r>
    <n v="254040417"/>
    <n v="64818321"/>
    <s v="ZRDI"/>
    <n v="10133202"/>
    <n v="208"/>
    <s v="DEV-Atraso entrega- LOGISTICA(Transp)"/>
    <s v="TRANSPORTADORA"/>
    <x v="2"/>
    <n v="50236357"/>
    <x v="185"/>
    <s v="RS"/>
    <n v="474"/>
    <s v="Site Brastemp"/>
    <n v="1352"/>
    <s v="W11361142"/>
    <s v="Ice Maker"/>
    <x v="7"/>
    <n v="1000"/>
    <n v="5002359"/>
    <s v="EMPRESA BRASILEIRA DE CORREIOS E"/>
    <n v="641.51"/>
    <d v="2025-07-26T00:00:00"/>
  </r>
  <r>
    <n v="254040417"/>
    <n v="64818321"/>
    <s v="ZRDI"/>
    <n v="10133202"/>
    <n v="208"/>
    <s v="DEV-Atraso entrega- LOGISTICA(Transp)"/>
    <s v="TRANSPORTADORA"/>
    <x v="2"/>
    <n v="50236357"/>
    <x v="185"/>
    <s v="RS"/>
    <n v="474"/>
    <s v="Site Brastemp"/>
    <n v="1352"/>
    <s v="W11361142"/>
    <s v="Ice Maker"/>
    <x v="7"/>
    <n v="1000"/>
    <n v="5002359"/>
    <s v="EMPRESA BRASILEIRA DE CORREIOS E"/>
    <n v="641.51"/>
    <d v="2025-07-26T00:00:00"/>
  </r>
  <r>
    <n v="253948580"/>
    <n v="64726614"/>
    <s v="REB"/>
    <n v="9688024"/>
    <n v="178"/>
    <s v="PEÇAS -Defeito de fabric./Sem Compressão"/>
    <s v="FUNCIONAL"/>
    <x v="1"/>
    <n v="80573"/>
    <x v="186"/>
    <s v="MA"/>
    <n v="643"/>
    <s v="Elite"/>
    <n v="1350"/>
    <s v="W11741179"/>
    <s v="Outros"/>
    <x v="7"/>
    <n v="2000"/>
    <n v="5004101"/>
    <s v="UNIDOCK'S ASSESSORIA E LOGISTICA DE"/>
    <n v="638.37"/>
    <d v="2025-03-07T00:00:00"/>
  </r>
  <r>
    <s v="Sem TR"/>
    <n v="64790322"/>
    <s v="ZRDI"/>
    <n v="10120291"/>
    <s v="D10"/>
    <s v="DEV D2C - Comprou modelo errado"/>
    <s v="COMERCIAL"/>
    <x v="2"/>
    <n v="53140219"/>
    <x v="187"/>
    <s v="SP"/>
    <n v="474"/>
    <s v="Site Brastemp"/>
    <n v="1352"/>
    <s v="W11361142"/>
    <s v="Ice Maker"/>
    <x v="7"/>
    <n v="1000"/>
    <n v="5002359"/>
    <s v="EMPRESA BRASILEIRA DE CORREIOS E"/>
    <n v="637.65"/>
    <d v="2025-07-07T00:00:00"/>
  </r>
  <r>
    <n v="253955170"/>
    <n v="64733661"/>
    <s v="ROB"/>
    <n v="48916"/>
    <n v="166"/>
    <s v="INATIVO - PEÇAS  - Avaria - Queb.TRANSP."/>
    <s v="TRANSPORTADORA"/>
    <x v="2"/>
    <n v="1334"/>
    <x v="188"/>
    <s v="PI"/>
    <n v="350"/>
    <s v="Ats On"/>
    <n v="1550"/>
    <s v="W11647662"/>
    <s v="Compressores Herméticos"/>
    <x v="0"/>
    <n v="2000"/>
    <n v="5000253"/>
    <s v="TRANSPORTADOR GENERICO"/>
    <n v="637.03"/>
    <d v="2025-03-18T00:00:00"/>
  </r>
  <r>
    <n v="253970698"/>
    <n v="64748837"/>
    <s v="REB"/>
    <n v="9966680"/>
    <n v="176"/>
    <s v="PEÇAS - Defeito de fabric./Interrompido"/>
    <s v="FUNCIONAL"/>
    <x v="2"/>
    <n v="3506"/>
    <x v="46"/>
    <s v="SP"/>
    <n v="931"/>
    <s v="Ats Off"/>
    <n v="1350"/>
    <s v="W11340256"/>
    <s v="Placas de Interface"/>
    <x v="1"/>
    <n v="1000"/>
    <n v="5004042"/>
    <s v="BRASIL WEB TRANSPORTES E LOGISTICA"/>
    <n v="634.29"/>
    <d v="2025-04-09T00:00:00"/>
  </r>
  <r>
    <n v="254035367"/>
    <n v="64809075"/>
    <s v="REB"/>
    <n v="10062705"/>
    <n v="90"/>
    <s v="CLIENTE-não solicitou"/>
    <s v="COMERCIAL"/>
    <x v="0"/>
    <n v="29164"/>
    <x v="32"/>
    <s v="BA"/>
    <n v="648"/>
    <s v="Ultra"/>
    <n v="1350"/>
    <s v="W10696196"/>
    <s v="Válvulas de Água"/>
    <x v="5"/>
    <n v="20000"/>
    <n v="5004101"/>
    <s v="UNIDOCK'S ASSESSORIA E LOGISTICA DE"/>
    <n v="633.79999999999995"/>
    <d v="2025-07-17T00:00:00"/>
  </r>
  <r>
    <n v="253995236"/>
    <n v="64770503"/>
    <s v="REB"/>
    <n v="9741941"/>
    <n v="168"/>
    <s v="PEÇAS-Def.Fabric.Empenamento/Abaulamento"/>
    <s v="FUNCIONAL"/>
    <x v="2"/>
    <n v="81093"/>
    <x v="53"/>
    <s v="ES"/>
    <n v="713"/>
    <s v="Key Account"/>
    <n v="1350"/>
    <s v="W10882241"/>
    <s v="Agitadores"/>
    <x v="2"/>
    <n v="20000"/>
    <n v="5004042"/>
    <s v="BRASIL WEB TRANSPORTES E LOGISTICA"/>
    <n v="629.41"/>
    <d v="2025-05-16T00:00:00"/>
  </r>
  <r>
    <n v="253952161"/>
    <n v="64727527"/>
    <s v="REB"/>
    <n v="9888594"/>
    <n v="671"/>
    <s v="DEV-ENVIADO PARA GESTÃO DE CONSEQUENCIA"/>
    <s v="TRANSPORTADORA"/>
    <x v="2"/>
    <n v="5011"/>
    <x v="189"/>
    <s v="RS"/>
    <n v="350"/>
    <s v="Ats On"/>
    <n v="1350"/>
    <n v="326026041"/>
    <s v="Gaxetas"/>
    <x v="4"/>
    <n v="5000"/>
    <n v="5003024"/>
    <s v="RODOBRAS TRANSPORTES RODOVIARIOS LT"/>
    <n v="624.53"/>
    <d v="2025-03-10T00:00:00"/>
  </r>
  <r>
    <n v="253995142"/>
    <n v="64771060"/>
    <s v="REB"/>
    <n v="9936354"/>
    <n v="178"/>
    <s v="PEÇAS -Defeito de fabric./Sem Compressão"/>
    <s v="FUNCIONAL"/>
    <x v="2"/>
    <n v="30121"/>
    <x v="23"/>
    <s v="SP"/>
    <n v="648"/>
    <s v="Ultra"/>
    <n v="1350"/>
    <s v="W11647660"/>
    <s v="Compressores Herméticos"/>
    <x v="0"/>
    <n v="2000"/>
    <n v="5004042"/>
    <s v="BRASIL WEB TRANSPORTES E LOGISTICA"/>
    <n v="623.73"/>
    <d v="2025-05-15T00:00:00"/>
  </r>
  <r>
    <n v="254012510"/>
    <n v="64788397"/>
    <s v="REB"/>
    <n v="9936354"/>
    <n v="178"/>
    <s v="PEÇAS -Defeito de fabric./Sem Compressão"/>
    <s v="FUNCIONAL"/>
    <x v="2"/>
    <n v="30121"/>
    <x v="23"/>
    <s v="SP"/>
    <n v="648"/>
    <s v="Ultra"/>
    <n v="1350"/>
    <s v="W11647662"/>
    <s v="Compressores Herméticos"/>
    <x v="0"/>
    <n v="2000"/>
    <n v="5004042"/>
    <s v="BRASIL WEB TRANSPORTES E LOGISTICA"/>
    <n v="623.73"/>
    <d v="2025-06-10T00:00:00"/>
  </r>
  <r>
    <n v="254012510"/>
    <n v="64788397"/>
    <s v="REB"/>
    <n v="9936354"/>
    <n v="178"/>
    <s v="PEÇAS -Defeito de fabric./Sem Compressão"/>
    <s v="FUNCIONAL"/>
    <x v="2"/>
    <n v="30121"/>
    <x v="23"/>
    <s v="SP"/>
    <n v="648"/>
    <s v="Ultra"/>
    <n v="1350"/>
    <s v="W11647660"/>
    <s v="Compressores Herméticos"/>
    <x v="0"/>
    <n v="2000"/>
    <n v="5004042"/>
    <s v="BRASIL WEB TRANSPORTES E LOGISTICA"/>
    <n v="623.73"/>
    <d v="2025-06-10T00:00:00"/>
  </r>
  <r>
    <n v="254018386"/>
    <n v="64792374"/>
    <s v="REB"/>
    <n v="9689821"/>
    <n v="173"/>
    <s v="PEÇAS - Defeito de fabric./Alta Amperage"/>
    <s v="FUNCIONAL"/>
    <x v="2"/>
    <n v="81988"/>
    <x v="38"/>
    <s v="MG"/>
    <n v="648"/>
    <s v="Ultra"/>
    <n v="1350"/>
    <s v="W11435390"/>
    <s v="Placas de Controle"/>
    <x v="1"/>
    <n v="2000"/>
    <n v="5004215"/>
    <s v="BRASIL WEB TRANSPORTES E LOGISTICA"/>
    <n v="623.16999999999996"/>
    <d v="2025-06-16T00:00:00"/>
  </r>
  <r>
    <n v="254033445"/>
    <n v="64796688"/>
    <s v="REB"/>
    <n v="9949748"/>
    <n v="178"/>
    <s v="PEÇAS -Defeito de fabric./Sem Compressão"/>
    <s v="FUNCIONAL"/>
    <x v="1"/>
    <n v="72332"/>
    <x v="190"/>
    <s v="RJ"/>
    <n v="933"/>
    <s v="Top"/>
    <n v="1350"/>
    <s v="W11741178"/>
    <s v="Outros"/>
    <x v="7"/>
    <n v="2000"/>
    <n v="5003176"/>
    <s v="J C THEDIN TRANSPORTES LTDA"/>
    <n v="622.62"/>
    <d v="2025-07-01T00:00:00"/>
  </r>
  <r>
    <n v="254042144"/>
    <n v="64795676"/>
    <s v="REB"/>
    <n v="9718753"/>
    <n v="178"/>
    <s v="PEÇAS -Defeito de fabric./Sem Compressão"/>
    <s v="FUNCIONAL"/>
    <x v="0"/>
    <n v="78757"/>
    <x v="50"/>
    <s v="RS"/>
    <n v="643"/>
    <s v="Elite"/>
    <n v="1350"/>
    <s v="W11563664"/>
    <s v="Compressores Herméticos"/>
    <x v="0"/>
    <n v="2000"/>
    <n v="5003024"/>
    <s v="RODOBRAS TRANSPORTES RODOVIARIOS LT"/>
    <n v="621.34"/>
    <d v="2025-06-23T00:00:00"/>
  </r>
  <r>
    <n v="253993034"/>
    <n v="64767454"/>
    <s v="REB"/>
    <n v="10008943"/>
    <n v="170"/>
    <s v="PEÇAS - Avaria - Riscada/Depósito"/>
    <s v="LOGÍSTICA"/>
    <x v="2"/>
    <n v="82179"/>
    <x v="191"/>
    <s v="MG"/>
    <n v="350"/>
    <s v="Ats On"/>
    <n v="1350"/>
    <s v="W11175747"/>
    <s v="Portas"/>
    <x v="6"/>
    <n v="1000"/>
    <n v="5004215"/>
    <s v="BRASIL WEB TRANSPORTES E LOGISTICA"/>
    <n v="621.22"/>
    <d v="2025-05-10T00:00:00"/>
  </r>
  <r>
    <n v="254042983"/>
    <n v="64804095"/>
    <s v="ZDVP"/>
    <n v="10017837"/>
    <n v="178"/>
    <s v="PEÇAS -Defeito de fabric./Sem Compressão"/>
    <s v="FUNCIONAL"/>
    <x v="0"/>
    <n v="92053"/>
    <x v="17"/>
    <s v="MG"/>
    <n v="643"/>
    <s v="Elite"/>
    <n v="1350"/>
    <s v="W11647662"/>
    <s v="Compressores Herméticos"/>
    <x v="0"/>
    <n v="2000"/>
    <n v="5004101"/>
    <s v="UNIDOCK'S ASSESSORIA E LOGISTICA DE"/>
    <n v="620.1"/>
    <d v="2025-07-02T00:00:00"/>
  </r>
  <r>
    <n v="253912812"/>
    <n v="64684758"/>
    <s v="REB"/>
    <n v="9766822"/>
    <n v="173"/>
    <s v="PEÇAS - Defeito de fabric./Alta Amperage"/>
    <s v="FUNCIONAL"/>
    <x v="1"/>
    <n v="1960"/>
    <x v="192"/>
    <s v="MG"/>
    <n v="350"/>
    <s v="Ats On"/>
    <n v="1350"/>
    <s v="W10637619"/>
    <s v="Placas de Interface"/>
    <x v="1"/>
    <n v="1000"/>
    <n v="5004215"/>
    <s v="BRASIL WEB TRANSPORTES E LOGISTICA"/>
    <n v="619.49"/>
    <d v="2025-01-06T00:00:00"/>
  </r>
  <r>
    <s v="Sem TR"/>
    <n v="64672248"/>
    <s v="REB"/>
    <n v="9704639"/>
    <n v="671"/>
    <s v="DEV-ENVIADO PARA GESTÃO DE CONSEQUENCIA"/>
    <s v="TRANSPORTADORA"/>
    <x v="1"/>
    <n v="32072"/>
    <x v="193"/>
    <s v="PB"/>
    <n v="350"/>
    <s v="Ats On"/>
    <n v="1350"/>
    <n v="326026041"/>
    <s v="Gaxetas"/>
    <x v="4"/>
    <n v="5000"/>
    <n v="5004101"/>
    <s v="UNIDOCK'S ASSESSORIA E LOGISTICA DE"/>
    <n v="619.37"/>
    <d v="2024-12-18T00:00:00"/>
  </r>
  <r>
    <n v="253879498"/>
    <n v="64645480"/>
    <s v="REB"/>
    <n v="7645940"/>
    <n v="178"/>
    <s v="PEÇAS -Defeito de fabric./Sem Compressão"/>
    <s v="FUNCIONAL"/>
    <x v="1"/>
    <n v="65059"/>
    <x v="1"/>
    <s v="SP"/>
    <n v="643"/>
    <s v="Elite"/>
    <n v="1350"/>
    <s v="W10393804"/>
    <s v="Compressores Herméticos"/>
    <x v="0"/>
    <n v="2000"/>
    <n v="5003482"/>
    <s v="TMA TRANSPORTE LOTACAO E LOGISTICA"/>
    <n v="618.83000000000004"/>
    <d v="2024-11-19T00:00:00"/>
  </r>
  <r>
    <n v="254035370"/>
    <n v="64812404"/>
    <s v="REB"/>
    <n v="9488524"/>
    <n v="173"/>
    <s v="PEÇAS - Defeito de fabric./Alta Amperage"/>
    <s v="FUNCIONAL"/>
    <x v="0"/>
    <n v="30990"/>
    <x v="26"/>
    <s v="ES"/>
    <n v="713"/>
    <s v="Key Account"/>
    <n v="1350"/>
    <s v="W10463578"/>
    <s v="Placas de Interface"/>
    <x v="1"/>
    <n v="3000"/>
    <n v="5004042"/>
    <s v="BRASIL WEB TRANSPORTES E LOGISTICA"/>
    <n v="617.64"/>
    <d v="2025-07-17T00:00:00"/>
  </r>
  <r>
    <n v="254030531"/>
    <n v="64802450"/>
    <s v="REB"/>
    <n v="10048615"/>
    <n v="178"/>
    <s v="PEÇAS -Defeito de fabric./Sem Compressão"/>
    <s v="FUNCIONAL"/>
    <x v="1"/>
    <n v="37434"/>
    <x v="95"/>
    <s v="GO"/>
    <n v="931"/>
    <s v="Ats Off"/>
    <n v="1350"/>
    <s v="W11647662"/>
    <s v="Compressores Herméticos"/>
    <x v="0"/>
    <n v="2000"/>
    <n v="5002858"/>
    <s v="FAVORITA TRANSPORTES LTDA"/>
    <n v="617.54"/>
    <d v="2025-07-01T00:00:00"/>
  </r>
  <r>
    <n v="254038386"/>
    <n v="64809963"/>
    <s v="REB"/>
    <n v="10109101"/>
    <n v="509"/>
    <s v="Qtd de peças a Menor dentro do Volume"/>
    <s v="LOGÍSTICA"/>
    <x v="2"/>
    <n v="67948"/>
    <x v="15"/>
    <s v="SC"/>
    <n v="713"/>
    <s v="Key Account"/>
    <n v="1350"/>
    <s v="W10616687"/>
    <s v="Capas"/>
    <x v="6"/>
    <n v="26000"/>
    <n v="5003024"/>
    <s v="RODOBRAS TRANSPORTES RODOVIARIOS LT"/>
    <n v="617.21"/>
    <d v="2025-07-17T00:00:00"/>
  </r>
  <r>
    <n v="253913113"/>
    <n v="64681222"/>
    <s v="REB"/>
    <n v="9744599"/>
    <n v="173"/>
    <s v="PEÇAS - Defeito de fabric./Alta Amperage"/>
    <s v="FUNCIONAL"/>
    <x v="1"/>
    <n v="29374"/>
    <x v="20"/>
    <s v="SP"/>
    <n v="643"/>
    <s v="Elite"/>
    <n v="1350"/>
    <s v="W10408280"/>
    <s v="Válvulas de Água"/>
    <x v="5"/>
    <n v="11000"/>
    <n v="5003254"/>
    <s v="TMA TRANSPORTE LOTACAO E LOGISTICA"/>
    <n v="615.89"/>
    <d v="2025-01-06T00:00:00"/>
  </r>
  <r>
    <n v="254035417"/>
    <n v="64812251"/>
    <s v="REB"/>
    <n v="10116638"/>
    <n v="165"/>
    <s v="PEÇAS - Defeito de fabric./Incompleta"/>
    <s v="FUNCIONAL"/>
    <x v="1"/>
    <n v="72786"/>
    <x v="41"/>
    <s v="SC"/>
    <n v="643"/>
    <s v="Elite"/>
    <n v="1350"/>
    <s v="W10907103"/>
    <s v="Cordões de Alimentação"/>
    <x v="1"/>
    <n v="3000"/>
    <n v="5003024"/>
    <s v="RODOBRAS TRANSPORTES RODOVIARIOS LT"/>
    <n v="614.88"/>
    <d v="2025-07-17T00:00:00"/>
  </r>
  <r>
    <n v="254041986"/>
    <n v="64780047"/>
    <s v="REB"/>
    <n v="10004699"/>
    <n v="173"/>
    <s v="PEÇAS - Defeito de fabric./Alta Amperage"/>
    <s v="FUNCIONAL"/>
    <x v="0"/>
    <n v="14474"/>
    <x v="25"/>
    <s v="RN"/>
    <n v="648"/>
    <s v="Ultra"/>
    <n v="1350"/>
    <s v="W11435392"/>
    <s v="Placas de Controle"/>
    <x v="1"/>
    <n v="2000"/>
    <n v="5004101"/>
    <s v="UNIDOCK'S ASSESSORIA E LOGISTICA DE"/>
    <n v="613.14"/>
    <d v="2025-06-23T00:00:00"/>
  </r>
  <r>
    <n v="254007587"/>
    <n v="64777778"/>
    <s v="REB"/>
    <n v="9860066"/>
    <n v="176"/>
    <s v="PEÇAS - Defeito de fabric./Interrompido"/>
    <s v="FUNCIONAL"/>
    <x v="1"/>
    <n v="46272"/>
    <x v="194"/>
    <s v="CE"/>
    <n v="713"/>
    <s v="Key Account"/>
    <n v="1350"/>
    <s v="W11299803"/>
    <s v="Mecanismos"/>
    <x v="2"/>
    <n v="7000"/>
    <n v="5004101"/>
    <s v="UNIDOCK'S ASSESSORIA E LOGISTICA DE"/>
    <n v="612.99"/>
    <d v="2025-06-02T00:00:00"/>
  </r>
  <r>
    <s v="Sem TR"/>
    <n v="64768425"/>
    <s v="ROB"/>
    <n v="50578"/>
    <n v="25"/>
    <s v="OC. 80 - EXTRAVIO TOTAL"/>
    <s v="TRANSPORTADORA"/>
    <x v="1"/>
    <n v="2832"/>
    <x v="195"/>
    <s v="BA"/>
    <n v="350"/>
    <s v="Ats On"/>
    <n v="1550"/>
    <s v="W11300676"/>
    <s v="Mecanismos"/>
    <x v="2"/>
    <n v="5000"/>
    <n v="5004391"/>
    <s v="JEONCEL TRANSPORTES LTDA"/>
    <n v="611"/>
    <d v="2025-05-12T00:00:00"/>
  </r>
  <r>
    <n v="254003947"/>
    <n v="64773272"/>
    <s v="REB"/>
    <n v="10007414"/>
    <n v="173"/>
    <s v="PEÇAS - Defeito de fabric./Alta Amperage"/>
    <s v="FUNCIONAL"/>
    <x v="2"/>
    <n v="30990"/>
    <x v="26"/>
    <s v="ES"/>
    <n v="713"/>
    <s v="Key Account"/>
    <n v="1350"/>
    <s v="W10899324"/>
    <s v="Placas de Controle"/>
    <x v="1"/>
    <n v="3000"/>
    <n v="5004042"/>
    <s v="BRASIL WEB TRANSPORTES E LOGISTICA"/>
    <n v="609.32000000000005"/>
    <d v="2025-05-26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399715"/>
    <s v="Motores Ventiladores"/>
    <x v="1"/>
    <n v="10000"/>
    <n v="5004042"/>
    <s v="BRASIL WEB TRANSPORTES E LOGISTICA"/>
    <n v="608.74"/>
    <d v="2025-07-08T00:00:00"/>
  </r>
  <r>
    <n v="253988893"/>
    <n v="64763801"/>
    <s v="REB"/>
    <n v="9841095"/>
    <n v="173"/>
    <s v="PEÇAS - Defeito de fabric./Alta Amperage"/>
    <s v="FUNCIONAL"/>
    <x v="1"/>
    <n v="60342"/>
    <x v="31"/>
    <s v="BA"/>
    <n v="648"/>
    <s v="Ultra"/>
    <n v="1350"/>
    <s v="W11647660"/>
    <s v="Compressores Herméticos"/>
    <x v="0"/>
    <n v="2000"/>
    <n v="5004101"/>
    <s v="UNIDOCK'S ASSESSORIA E LOGISTICA DE"/>
    <n v="608.47"/>
    <d v="2025-05-05T00:00:00"/>
  </r>
  <r>
    <n v="254042983"/>
    <n v="64804095"/>
    <s v="ZDVP"/>
    <n v="10017837"/>
    <n v="178"/>
    <s v="PEÇAS -Defeito de fabric./Sem Compressão"/>
    <s v="FUNCIONAL"/>
    <x v="0"/>
    <n v="92053"/>
    <x v="17"/>
    <s v="MG"/>
    <n v="643"/>
    <s v="Elite"/>
    <n v="1350"/>
    <s v="W11677209"/>
    <s v="Compressores Herméticos"/>
    <x v="0"/>
    <n v="2000"/>
    <n v="5004101"/>
    <s v="UNIDOCK'S ASSESSORIA E LOGISTICA DE"/>
    <n v="607.46"/>
    <d v="2025-07-02T00:00:00"/>
  </r>
  <r>
    <n v="254007608"/>
    <n v="64775921"/>
    <s v="REB"/>
    <n v="9320439"/>
    <n v="178"/>
    <s v="PEÇAS -Defeito de fabric./Sem Compressão"/>
    <s v="FUNCIONAL"/>
    <x v="1"/>
    <n v="69578"/>
    <x v="197"/>
    <s v="MG"/>
    <n v="933"/>
    <s v="Top"/>
    <n v="1350"/>
    <s v="W11647660"/>
    <s v="Compressores Herméticos"/>
    <x v="0"/>
    <n v="2000"/>
    <n v="5004215"/>
    <s v="BRASIL WEB TRANSPORTES E LOGISTICA"/>
    <n v="607.28"/>
    <d v="2025-06-02T00:00:00"/>
  </r>
  <r>
    <n v="253989793"/>
    <n v="64763328"/>
    <s v="REB"/>
    <n v="10000107"/>
    <n v="176"/>
    <s v="PEÇAS - Defeito de fabric./Interrompido"/>
    <s v="FUNCIONAL"/>
    <x v="2"/>
    <n v="3506"/>
    <x v="46"/>
    <s v="SP"/>
    <n v="931"/>
    <s v="Ats Off"/>
    <n v="1350"/>
    <n v="326073242"/>
    <s v="Placas de Controle"/>
    <x v="1"/>
    <n v="4000"/>
    <n v="5004042"/>
    <s v="BRASIL WEB TRANSPORTES E LOGISTICA"/>
    <n v="606.38"/>
    <d v="2025-05-07T00:00:00"/>
  </r>
  <r>
    <n v="254007553"/>
    <n v="64782140"/>
    <s v="REB"/>
    <n v="10007519"/>
    <n v="90"/>
    <s v="CLIENTE-não solicitou"/>
    <s v="COMERCIAL"/>
    <x v="1"/>
    <n v="23098"/>
    <x v="14"/>
    <s v="PR"/>
    <n v="713"/>
    <s v="Key Account"/>
    <n v="1350"/>
    <s v="W10855665"/>
    <s v="Placas de Controle"/>
    <x v="1"/>
    <n v="2000"/>
    <n v="5003024"/>
    <s v="RODOBRAS TRANSPORTES RODOVIARIOS LT"/>
    <n v="605.29"/>
    <d v="2025-06-02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1551361"/>
    <s v="Peças Mecanismos"/>
    <x v="2"/>
    <n v="50000"/>
    <n v="5004042"/>
    <s v="BRASIL WEB TRANSPORTES E LOGISTICA"/>
    <n v="605.12"/>
    <d v="2025-05-26T00:00:00"/>
  </r>
  <r>
    <n v="254035288"/>
    <n v="64812609"/>
    <s v="REB"/>
    <n v="10108633"/>
    <n v="178"/>
    <s v="PEÇAS -Defeito de fabric./Sem Compressão"/>
    <s v="FUNCIONAL"/>
    <x v="2"/>
    <n v="66"/>
    <x v="73"/>
    <s v="GO"/>
    <n v="931"/>
    <s v="Ats Off"/>
    <n v="1350"/>
    <s v="W10666796"/>
    <s v="Compressores Herméticos"/>
    <x v="0"/>
    <n v="1000"/>
    <n v="5002858"/>
    <s v="FAVORITA TRANSPORTES LTDA"/>
    <n v="605.02"/>
    <d v="2025-07-17T00:00:00"/>
  </r>
  <r>
    <n v="253988939"/>
    <n v="64763783"/>
    <s v="REB"/>
    <n v="9660795"/>
    <n v="176"/>
    <s v="PEÇAS - Defeito de fabric./Interrompido"/>
    <s v="FUNCIONAL"/>
    <x v="2"/>
    <n v="83215"/>
    <x v="198"/>
    <s v="SP"/>
    <n v="644"/>
    <s v="Plus"/>
    <n v="1350"/>
    <s v="W10393823"/>
    <s v="Compressores Herméticos"/>
    <x v="0"/>
    <n v="1000"/>
    <n v="5004042"/>
    <s v="BRASIL WEB TRANSPORTES E LOGISTICA"/>
    <n v="604.29"/>
    <d v="2025-05-05T00:00:00"/>
  </r>
  <r>
    <n v="253931095"/>
    <n v="64703722"/>
    <s v="REB"/>
    <n v="9838876"/>
    <n v="168"/>
    <s v="PEÇAS-Def.Fabric.Empenamento/Abaulamento"/>
    <s v="FUNCIONAL"/>
    <x v="1"/>
    <n v="27337"/>
    <x v="145"/>
    <s v="RJ"/>
    <n v="933"/>
    <s v="Top"/>
    <n v="1350"/>
    <s v="W10902853"/>
    <s v="Condensadores"/>
    <x v="0"/>
    <n v="1000"/>
    <n v="5003176"/>
    <s v="J C THEDIN TRANSPORTES LTDA"/>
    <n v="604.02"/>
    <d v="2025-01-31T00:00:00"/>
  </r>
  <r>
    <n v="254033460"/>
    <n v="64807459"/>
    <s v="REB"/>
    <n v="10092492"/>
    <n v="176"/>
    <s v="PEÇAS - Defeito de fabric./Interrompido"/>
    <s v="FUNCIONAL"/>
    <x v="1"/>
    <n v="80181"/>
    <x v="199"/>
    <s v="DF"/>
    <n v="934"/>
    <s v="CDP Ouro"/>
    <n v="1350"/>
    <s v="W10591605"/>
    <s v="Placas de Controle"/>
    <x v="1"/>
    <n v="2000"/>
    <n v="5002858"/>
    <s v="FAVORITA TRANSPORTES LTDA"/>
    <n v="602.80999999999995"/>
    <d v="2025-07-08T00:00:00"/>
  </r>
  <r>
    <n v="254020522"/>
    <n v="64791706"/>
    <s v="ZDVP"/>
    <n v="10053703"/>
    <n v="90"/>
    <s v="CLIENTE-não solicitou"/>
    <s v="COMERCIAL"/>
    <x v="2"/>
    <n v="64319"/>
    <x v="125"/>
    <s v="SP"/>
    <n v="641"/>
    <s v="CDP Diamante"/>
    <n v="1350"/>
    <s v="W10897149"/>
    <s v="Rolamentos"/>
    <x v="2"/>
    <n v="60000"/>
    <n v="5004042"/>
    <s v="BRASIL WEB TRANSPORTES E LOGISTICA"/>
    <n v="599.58000000000004"/>
    <d v="2025-06-16T00:00:00"/>
  </r>
  <r>
    <s v="Sem TR"/>
    <n v="64817603"/>
    <s v="REB"/>
    <n v="9879869"/>
    <n v="178"/>
    <s v="PEÇAS -Defeito de fabric./Sem Compressão"/>
    <s v="FUNCIONAL"/>
    <x v="1"/>
    <n v="73602"/>
    <x v="200"/>
    <s v="MA"/>
    <n v="648"/>
    <s v="Ultra"/>
    <n v="1350"/>
    <s v="W11176609"/>
    <s v="Compressores Herméticos"/>
    <x v="0"/>
    <n v="1000"/>
    <n v="5004101"/>
    <s v="UNIDOCK'S ASSESSORIA E LOGISTICA DE"/>
    <n v="597.23"/>
    <d v="2025-07-25T00:00:00"/>
  </r>
  <r>
    <s v="Sem TR"/>
    <n v="64817616"/>
    <s v="REB"/>
    <n v="9879869"/>
    <n v="178"/>
    <s v="PEÇAS -Defeito de fabric./Sem Compressão"/>
    <s v="FUNCIONAL"/>
    <x v="1"/>
    <n v="73602"/>
    <x v="200"/>
    <s v="MA"/>
    <n v="648"/>
    <s v="Ultra"/>
    <n v="1350"/>
    <s v="W11176609"/>
    <s v="Compressores Herméticos"/>
    <x v="0"/>
    <n v="1000"/>
    <n v="5004101"/>
    <s v="UNIDOCK'S ASSESSORIA E LOGISTICA DE"/>
    <n v="597.23"/>
    <d v="2025-07-25T00:00:00"/>
  </r>
  <r>
    <n v="254035421"/>
    <n v="64812698"/>
    <s v="REB"/>
    <n v="9879869"/>
    <n v="178"/>
    <s v="PEÇAS -Defeito de fabric./Sem Compressão"/>
    <s v="FUNCIONAL"/>
    <x v="0"/>
    <n v="73602"/>
    <x v="200"/>
    <s v="MA"/>
    <n v="648"/>
    <s v="Ultra"/>
    <n v="1350"/>
    <s v="W11176609"/>
    <s v="Compressores Herméticos"/>
    <x v="0"/>
    <n v="1000"/>
    <n v="5004101"/>
    <s v="UNIDOCK'S ASSESSORIA E LOGISTICA DE"/>
    <n v="597.23"/>
    <d v="2025-07-17T00:00:00"/>
  </r>
  <r>
    <n v="254035419"/>
    <n v="64812726"/>
    <s v="REB"/>
    <n v="9879869"/>
    <n v="178"/>
    <s v="PEÇAS -Defeito de fabric./Sem Compressão"/>
    <s v="FUNCIONAL"/>
    <x v="0"/>
    <n v="73602"/>
    <x v="200"/>
    <s v="MA"/>
    <n v="648"/>
    <s v="Ultra"/>
    <n v="1350"/>
    <s v="W11176609"/>
    <s v="Compressores Herméticos"/>
    <x v="0"/>
    <n v="1000"/>
    <n v="5004101"/>
    <s v="UNIDOCK'S ASSESSORIA E LOGISTICA DE"/>
    <n v="597.23"/>
    <d v="2025-07-17T00:00:00"/>
  </r>
  <r>
    <n v="254035418"/>
    <n v="64812727"/>
    <s v="REB"/>
    <n v="9879869"/>
    <n v="178"/>
    <s v="PEÇAS -Defeito de fabric./Sem Compressão"/>
    <s v="FUNCIONAL"/>
    <x v="0"/>
    <n v="73602"/>
    <x v="200"/>
    <s v="MA"/>
    <n v="648"/>
    <s v="Ultra"/>
    <n v="1350"/>
    <s v="W11176609"/>
    <s v="Compressores Herméticos"/>
    <x v="0"/>
    <n v="1000"/>
    <n v="5004101"/>
    <s v="UNIDOCK'S ASSESSORIA E LOGISTICA DE"/>
    <n v="597.23"/>
    <d v="2025-07-17T00:00:00"/>
  </r>
  <r>
    <n v="254035420"/>
    <n v="64812729"/>
    <s v="REB"/>
    <n v="9879869"/>
    <n v="178"/>
    <s v="PEÇAS -Defeito de fabric./Sem Compressão"/>
    <s v="FUNCIONAL"/>
    <x v="0"/>
    <n v="73602"/>
    <x v="200"/>
    <s v="MA"/>
    <n v="648"/>
    <s v="Ultra"/>
    <n v="1350"/>
    <s v="W11176609"/>
    <s v="Compressores Herméticos"/>
    <x v="0"/>
    <n v="1000"/>
    <n v="5004101"/>
    <s v="UNIDOCK'S ASSESSORIA E LOGISTICA DE"/>
    <n v="597.23"/>
    <d v="2025-07-17T00:00:00"/>
  </r>
  <r>
    <n v="253992775"/>
    <n v="64767313"/>
    <s v="REB"/>
    <n v="9661550"/>
    <n v="178"/>
    <s v="PEÇAS -Defeito de fabric./Sem Compressão"/>
    <s v="FUNCIONAL"/>
    <x v="2"/>
    <n v="78757"/>
    <x v="50"/>
    <s v="RS"/>
    <n v="643"/>
    <s v="Elite"/>
    <n v="1350"/>
    <s v="W11647662"/>
    <s v="Compressores Herméticos"/>
    <x v="0"/>
    <n v="2000"/>
    <n v="5003024"/>
    <s v="RODOBRAS TRANSPORTES RODOVIARIOS LT"/>
    <n v="597.17999999999995"/>
    <d v="2025-05-12T00:00:00"/>
  </r>
  <r>
    <n v="254012616"/>
    <n v="64789340"/>
    <s v="REB"/>
    <n v="9661550"/>
    <n v="178"/>
    <s v="PEÇAS -Defeito de fabric./Sem Compressão"/>
    <s v="FUNCIONAL"/>
    <x v="2"/>
    <n v="78757"/>
    <x v="50"/>
    <s v="RS"/>
    <n v="643"/>
    <s v="Elite"/>
    <n v="1350"/>
    <s v="W11647662"/>
    <s v="Compressores Herméticos"/>
    <x v="0"/>
    <n v="2000"/>
    <n v="5003024"/>
    <s v="RODOBRAS TRANSPORTES RODOVIARIOS LT"/>
    <n v="597.17999999999995"/>
    <d v="2025-06-10T00:00:00"/>
  </r>
  <r>
    <n v="254042160"/>
    <n v="64792811"/>
    <s v="REB"/>
    <n v="10078356"/>
    <n v="167"/>
    <s v="PEÇAS - Avaria - Quebrada/Depósito"/>
    <s v="LOGÍSTICA"/>
    <x v="0"/>
    <n v="88969"/>
    <x v="101"/>
    <s v="SC"/>
    <n v="641"/>
    <s v="CDP Diamante"/>
    <n v="1350"/>
    <s v="W11396368"/>
    <s v="Gavetas"/>
    <x v="9"/>
    <n v="8000"/>
    <n v="5003024"/>
    <s v="RODOBRAS TRANSPORTES RODOVIARIOS LT"/>
    <n v="596.95000000000005"/>
    <d v="2025-06-23T00:00:00"/>
  </r>
  <r>
    <n v="254023825"/>
    <n v="64802519"/>
    <s v="ROB"/>
    <n v="10115034"/>
    <n v="115"/>
    <s v="PEÇAS-Recusa do cliente"/>
    <s v="COMERCIAL"/>
    <x v="2"/>
    <n v="64523"/>
    <x v="21"/>
    <s v="PB"/>
    <n v="713"/>
    <s v="Key Account"/>
    <n v="1350"/>
    <s v="W10515645"/>
    <s v="Filtros"/>
    <x v="5"/>
    <n v="28000"/>
    <n v="5000253"/>
    <s v="TRANSPORTADOR GENERICO"/>
    <n v="595.84"/>
    <d v="2025-07-01T00:00:00"/>
  </r>
  <r>
    <s v="Sem TR"/>
    <n v="64767235"/>
    <s v="REB"/>
    <n v="9998623"/>
    <n v="509"/>
    <s v="Qtd de peças a Menor dentro do Volume"/>
    <s v="LOGÍSTICA"/>
    <x v="1"/>
    <n v="78757"/>
    <x v="50"/>
    <s v="RS"/>
    <n v="643"/>
    <s v="Elite"/>
    <n v="1350"/>
    <s v="W10887711"/>
    <s v="Placas de Interface"/>
    <x v="1"/>
    <n v="1000"/>
    <n v="5002359"/>
    <s v="EMPRESA BRASILEIRA DE CORREIOS E"/>
    <n v="595.12"/>
    <d v="2025-05-12T00:00:00"/>
  </r>
  <r>
    <n v="254038268"/>
    <n v="64810253"/>
    <s v="REB"/>
    <n v="10119601"/>
    <n v="104"/>
    <s v="PEÇAS-Código trocado(embalag X conteúdo)"/>
    <s v="LOGÍSTICA"/>
    <x v="1"/>
    <n v="3649"/>
    <x v="148"/>
    <s v="SP"/>
    <n v="350"/>
    <s v="Ats On"/>
    <n v="1350"/>
    <s v="W11173544"/>
    <s v="Compressores Rotativos"/>
    <x v="0"/>
    <n v="1000"/>
    <n v="5004042"/>
    <s v="BRASIL WEB TRANSPORTES E LOGISTICA"/>
    <n v="594.54"/>
    <d v="2025-07-22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591605"/>
    <s v="Placas de Controle"/>
    <x v="1"/>
    <n v="2000"/>
    <n v="5004101"/>
    <s v="UNIDOCK'S ASSESSORIA E LOGISTICA DE"/>
    <n v="594.45000000000005"/>
    <d v="2025-06-24T00:00:00"/>
  </r>
  <r>
    <n v="254005346"/>
    <n v="64777182"/>
    <s v="REB"/>
    <n v="9988365"/>
    <n v="173"/>
    <s v="PEÇAS - Defeito de fabric./Alta Amperage"/>
    <s v="FUNCIONAL"/>
    <x v="2"/>
    <n v="72146"/>
    <x v="202"/>
    <s v="RJ"/>
    <n v="932"/>
    <s v="CDP Prata"/>
    <n v="1350"/>
    <s v="W10393822"/>
    <s v="Compressores Herméticos"/>
    <x v="0"/>
    <n v="1000"/>
    <n v="5003176"/>
    <s v="J C THEDIN TRANSPORTES LTDA"/>
    <n v="592.53"/>
    <d v="2025-05-26T00:00:00"/>
  </r>
  <r>
    <n v="253995142"/>
    <n v="64770541"/>
    <s v="REB"/>
    <n v="9885248"/>
    <n v="178"/>
    <s v="PEÇAS -Defeito de fabric./Sem Compressão"/>
    <s v="FUNCIONAL"/>
    <x v="2"/>
    <n v="30121"/>
    <x v="23"/>
    <s v="SP"/>
    <n v="648"/>
    <s v="Ultra"/>
    <n v="1350"/>
    <s v="W10393815"/>
    <s v="Compressores Herméticos"/>
    <x v="0"/>
    <n v="1000"/>
    <n v="5004042"/>
    <s v="BRASIL WEB TRANSPORTES E LOGISTICA"/>
    <n v="591.54"/>
    <d v="2025-05-15T00:00:00"/>
  </r>
  <r>
    <n v="253952415"/>
    <n v="64724992"/>
    <s v="REB"/>
    <n v="9315803"/>
    <n v="173"/>
    <s v="PEÇAS - Defeito de fabric./Alta Amperage"/>
    <s v="FUNCIONAL"/>
    <x v="1"/>
    <n v="58773"/>
    <x v="13"/>
    <s v="RN"/>
    <n v="350"/>
    <s v="Ats On"/>
    <n v="1350"/>
    <s v="W10901034"/>
    <s v="Filtros"/>
    <x v="5"/>
    <n v="8000"/>
    <n v="5004101"/>
    <s v="UNIDOCK'S ASSESSORIA E LOGISTICA DE"/>
    <n v="591.14"/>
    <d v="2025-03-10T00:00:00"/>
  </r>
  <r>
    <n v="254012479"/>
    <n v="64789317"/>
    <s v="REB"/>
    <n v="9954548"/>
    <n v="173"/>
    <s v="PEÇAS - Defeito de fabric./Alta Amperage"/>
    <s v="FUNCIONAL"/>
    <x v="1"/>
    <n v="21594"/>
    <x v="97"/>
    <s v="SP"/>
    <n v="931"/>
    <s v="Ats Off"/>
    <n v="1350"/>
    <s v="W10887231"/>
    <s v="Placas de Controle"/>
    <x v="1"/>
    <n v="1000"/>
    <n v="5004042"/>
    <s v="BRASIL WEB TRANSPORTES E LOGISTICA"/>
    <n v="590.77"/>
    <d v="2025-06-10T00:00:00"/>
  </r>
  <r>
    <n v="253956461"/>
    <n v="64731016"/>
    <s v="REB"/>
    <n v="9857734"/>
    <n v="671"/>
    <s v="DEV-ENVIADO PARA GESTÃO DE CONSEQUENCIA"/>
    <s v="TRANSPORTADORA"/>
    <x v="1"/>
    <n v="32856"/>
    <x v="60"/>
    <s v="PR"/>
    <n v="713"/>
    <s v="Key Account"/>
    <n v="1350"/>
    <s v="W10606115"/>
    <s v="Polias/Roldanas"/>
    <x v="2"/>
    <n v="52000"/>
    <n v="5003024"/>
    <s v="RODOBRAS TRANSPORTES RODOVIARIOS LT"/>
    <n v="589.71"/>
    <d v="2025-03-17T00:00:00"/>
  </r>
  <r>
    <n v="254029395"/>
    <n v="64795934"/>
    <s v="REB"/>
    <n v="10076237"/>
    <n v="168"/>
    <s v="PEÇAS-Def.Fabric.Empenamento/Abaulamento"/>
    <s v="FUNCIONAL"/>
    <x v="1"/>
    <n v="48500"/>
    <x v="22"/>
    <s v="MG"/>
    <n v="350"/>
    <s v="Ats On"/>
    <n v="1350"/>
    <n v="326051369"/>
    <s v="Portas"/>
    <x v="6"/>
    <n v="2000"/>
    <n v="5004215"/>
    <s v="BRASIL WEB TRANSPORTES E LOGISTICA"/>
    <n v="589.53"/>
    <d v="2025-06-23T00:00:00"/>
  </r>
  <r>
    <n v="254003893"/>
    <n v="64778764"/>
    <s v="REB"/>
    <n v="10015867"/>
    <n v="173"/>
    <s v="PEÇAS - Defeito de fabric./Alta Amperage"/>
    <s v="FUNCIONAL"/>
    <x v="2"/>
    <n v="21594"/>
    <x v="97"/>
    <s v="SP"/>
    <n v="931"/>
    <s v="Ats Off"/>
    <n v="1350"/>
    <s v="W10665444"/>
    <s v="Bombas"/>
    <x v="1"/>
    <n v="3000"/>
    <n v="5004042"/>
    <s v="BRASIL WEB TRANSPORTES E LOGISTICA"/>
    <n v="589.44000000000005"/>
    <d v="2025-05-26T00:00:00"/>
  </r>
  <r>
    <n v="253953774"/>
    <n v="64720837"/>
    <s v="REB"/>
    <n v="9786297"/>
    <n v="173"/>
    <s v="PEÇAS - Defeito de fabric./Alta Amperage"/>
    <s v="FUNCIONAL"/>
    <x v="1"/>
    <n v="27808"/>
    <x v="110"/>
    <s v="SP"/>
    <n v="641"/>
    <s v="CDP Diamante"/>
    <n v="1350"/>
    <s v="W10393823"/>
    <s v="Compressores Herméticos"/>
    <x v="0"/>
    <n v="1000"/>
    <n v="5004042"/>
    <s v="BRASIL WEB TRANSPORTES E LOGISTICA"/>
    <n v="589.19000000000005"/>
    <d v="2025-03-14T00:00:00"/>
  </r>
  <r>
    <s v="Sem TR"/>
    <n v="64701905"/>
    <s v="ROB"/>
    <n v="9817204"/>
    <n v="221"/>
    <s v="DEV-Sinistro - SEGURO"/>
    <s v="TRANSPORTADORA"/>
    <x v="0"/>
    <n v="72786"/>
    <x v="41"/>
    <s v="SC"/>
    <n v="643"/>
    <s v="Elite"/>
    <n v="1350"/>
    <s v="W11347049"/>
    <s v="Bombas"/>
    <x v="1"/>
    <n v="5000"/>
    <n v="5003024"/>
    <s v="RODOBRAS TRANSPORTES RODOVIARIOS LT"/>
    <n v="589.14"/>
    <d v="2025-01-28T00:00:00"/>
  </r>
  <r>
    <n v="253970762"/>
    <n v="64748314"/>
    <s v="REB"/>
    <n v="9803258"/>
    <n v="178"/>
    <s v="PEÇAS -Defeito de fabric./Sem Compressão"/>
    <s v="FUNCIONAL"/>
    <x v="2"/>
    <n v="28162"/>
    <x v="203"/>
    <s v="SP"/>
    <n v="641"/>
    <s v="CDP Diamante"/>
    <n v="1350"/>
    <s v="W10393823"/>
    <s v="Compressores Herméticos"/>
    <x v="0"/>
    <n v="1000"/>
    <n v="5004042"/>
    <s v="BRASIL WEB TRANSPORTES E LOGISTICA"/>
    <n v="588.85"/>
    <d v="2025-04-09T00:00:00"/>
  </r>
  <r>
    <s v="Sem TR"/>
    <n v="64758379"/>
    <s v="REB"/>
    <n v="9958155"/>
    <n v="509"/>
    <s v="Qtd de peças a Menor dentro do Volume"/>
    <s v="LOGÍSTICA"/>
    <x v="2"/>
    <n v="23101"/>
    <x v="14"/>
    <s v="PB"/>
    <n v="713"/>
    <s v="Key Account"/>
    <n v="1350"/>
    <s v="W10791633"/>
    <s v="Retentores"/>
    <x v="4"/>
    <n v="88000"/>
    <n v="5002359"/>
    <s v="EMPRESA BRASILEIRA DE CORREIOS E"/>
    <n v="588.78"/>
    <d v="2025-04-25T00:00:00"/>
  </r>
  <r>
    <n v="254003947"/>
    <n v="64778664"/>
    <s v="REB"/>
    <n v="9907466"/>
    <n v="173"/>
    <s v="PEÇAS - Defeito de fabric./Alta Amperage"/>
    <s v="FUNCIONAL"/>
    <x v="2"/>
    <n v="30990"/>
    <x v="26"/>
    <s v="ES"/>
    <n v="713"/>
    <s v="Key Account"/>
    <n v="1350"/>
    <s v="W10827972"/>
    <s v="Placas de Controle"/>
    <x v="1"/>
    <n v="2000"/>
    <n v="5004042"/>
    <s v="BRASIL WEB TRANSPORTES E LOGISTICA"/>
    <n v="587.78"/>
    <d v="2025-05-26T00:00:00"/>
  </r>
  <r>
    <n v="253988854"/>
    <n v="64763901"/>
    <s v="REB"/>
    <n v="9086161"/>
    <n v="176"/>
    <s v="PEÇAS - Defeito de fabric./Interrompido"/>
    <s v="FUNCIONAL"/>
    <x v="2"/>
    <n v="27984"/>
    <x v="204"/>
    <s v="SP"/>
    <n v="644"/>
    <s v="Plus"/>
    <n v="1350"/>
    <s v="W10393822"/>
    <s v="Compressores Herméticos"/>
    <x v="0"/>
    <n v="1000"/>
    <n v="5004042"/>
    <s v="BRASIL WEB TRANSPORTES E LOGISTICA"/>
    <n v="586.88"/>
    <d v="2025-05-05T00:00:00"/>
  </r>
  <r>
    <n v="253994817"/>
    <n v="64767764"/>
    <s v="REB"/>
    <n v="9981217"/>
    <n v="90"/>
    <s v="CLIENTE-não solicitou"/>
    <s v="COMERCIAL"/>
    <x v="1"/>
    <n v="85591"/>
    <x v="161"/>
    <s v="SC"/>
    <n v="643"/>
    <s v="Elite"/>
    <n v="1350"/>
    <s v="W10638541"/>
    <s v="Filtros"/>
    <x v="5"/>
    <n v="5000"/>
    <n v="5003024"/>
    <s v="RODOBRAS TRANSPORTES RODOVIARIOS LT"/>
    <n v="586"/>
    <d v="2025-05-12T00:00:00"/>
  </r>
  <r>
    <n v="254035370"/>
    <n v="64812362"/>
    <s v="REB"/>
    <n v="9627631"/>
    <n v="173"/>
    <s v="PEÇAS - Defeito de fabric./Alta Amperage"/>
    <s v="FUNCIONAL"/>
    <x v="0"/>
    <n v="30990"/>
    <x v="26"/>
    <s v="ES"/>
    <n v="713"/>
    <s v="Key Account"/>
    <n v="1350"/>
    <s v="W11196470"/>
    <s v="Placas de Interface"/>
    <x v="1"/>
    <n v="4000"/>
    <n v="5004042"/>
    <s v="BRASIL WEB TRANSPORTES E LOGISTICA"/>
    <n v="585.92999999999995"/>
    <d v="2025-07-17T00:00:00"/>
  </r>
  <r>
    <n v="253952462"/>
    <n v="64728976"/>
    <s v="REB"/>
    <n v="9803465"/>
    <n v="178"/>
    <s v="PEÇAS -Defeito de fabric./Sem Compressão"/>
    <s v="FUNCIONAL"/>
    <x v="1"/>
    <n v="69921"/>
    <x v="205"/>
    <s v="SP"/>
    <n v="934"/>
    <s v="CDP Ouro"/>
    <n v="1350"/>
    <s v="W10393823"/>
    <s v="Compressores Herméticos"/>
    <x v="0"/>
    <n v="1000"/>
    <n v="5004042"/>
    <s v="BRASIL WEB TRANSPORTES E LOGISTICA"/>
    <n v="585.52"/>
    <d v="2025-03-10T00:00:00"/>
  </r>
  <r>
    <n v="254012433"/>
    <n v="64782018"/>
    <s v="REB"/>
    <n v="9634056"/>
    <n v="176"/>
    <s v="PEÇAS - Defeito de fabric./Interrompido"/>
    <s v="FUNCIONAL"/>
    <x v="2"/>
    <n v="66"/>
    <x v="73"/>
    <s v="GO"/>
    <n v="931"/>
    <s v="Ats Off"/>
    <n v="1350"/>
    <s v="W11487543"/>
    <s v="Placas de Controle"/>
    <x v="1"/>
    <n v="1000"/>
    <n v="5002858"/>
    <s v="FAVORITA TRANSPORTES LTDA"/>
    <n v="583.5"/>
    <d v="2025-06-10T00:00:00"/>
  </r>
  <r>
    <n v="254012501"/>
    <n v="64789465"/>
    <s v="REB"/>
    <n v="9687035"/>
    <n v="178"/>
    <s v="PEÇAS -Defeito de fabric./Sem Compressão"/>
    <s v="FUNCIONAL"/>
    <x v="2"/>
    <n v="28991"/>
    <x v="65"/>
    <s v="MG"/>
    <n v="643"/>
    <s v="Elite"/>
    <n v="1350"/>
    <s v="W11647660"/>
    <s v="Compressores Herméticos"/>
    <x v="0"/>
    <n v="2000"/>
    <n v="5004215"/>
    <s v="BRASIL WEB TRANSPORTES E LOGISTICA"/>
    <n v="583.24"/>
    <d v="2025-06-10T00:00:00"/>
  </r>
  <r>
    <s v="Sem TR"/>
    <n v="64768408"/>
    <s v="ROB"/>
    <n v="50198"/>
    <n v="671"/>
    <s v="DEV-ENVIADO PARA GESTÃO DE CONSEQUENCIA"/>
    <s v="TRANSPORTADORA"/>
    <x v="2"/>
    <n v="82253"/>
    <x v="139"/>
    <s v="CE"/>
    <n v="934"/>
    <s v="CDP Ouro"/>
    <n v="1550"/>
    <s v="W11245250"/>
    <s v="Válvulas de Água"/>
    <x v="5"/>
    <n v="10000"/>
    <n v="5004391"/>
    <s v="JEONCEL TRANSPORTES LTDA"/>
    <n v="583.1"/>
    <d v="2025-05-12T00:00:00"/>
  </r>
  <r>
    <n v="253995067"/>
    <n v="64760077"/>
    <s v="REB"/>
    <n v="9646270"/>
    <n v="178"/>
    <s v="PEÇAS -Defeito de fabric./Sem Compressão"/>
    <s v="FUNCIONAL"/>
    <x v="2"/>
    <n v="3618"/>
    <x v="154"/>
    <s v="SP"/>
    <n v="350"/>
    <s v="Ats On"/>
    <n v="1350"/>
    <s v="W10393823"/>
    <s v="Compressores Herméticos"/>
    <x v="0"/>
    <n v="1000"/>
    <n v="5004042"/>
    <s v="BRASIL WEB TRANSPORTES E LOGISTICA"/>
    <n v="582.19000000000005"/>
    <d v="2025-05-15T00:00:00"/>
  </r>
  <r>
    <s v="Sem TR"/>
    <n v="64787492"/>
    <s v="ZRDI"/>
    <n v="10123817"/>
    <s v="D31"/>
    <s v="DEV D2C - Defeito estético manufatura"/>
    <s v="MANUFATURA"/>
    <x v="2"/>
    <n v="55261531"/>
    <x v="206"/>
    <s v="MG"/>
    <n v="474"/>
    <s v="Site Brastemp"/>
    <n v="1352"/>
    <s v="W10638541"/>
    <s v="Filtros"/>
    <x v="5"/>
    <n v="2000"/>
    <n v="5002359"/>
    <s v="EMPRESA BRASILEIRA DE CORREIOS E"/>
    <n v="580.82000000000005"/>
    <d v="2025-07-17T00:00:00"/>
  </r>
  <r>
    <s v="Sem TR"/>
    <n v="64787492"/>
    <s v="ZRDI"/>
    <n v="10123817"/>
    <s v="D31"/>
    <s v="DEV D2C - Defeito estético manufatura"/>
    <s v="MANUFATURA"/>
    <x v="2"/>
    <n v="55261531"/>
    <x v="206"/>
    <s v="MG"/>
    <n v="474"/>
    <s v="Site Brastemp"/>
    <n v="1352"/>
    <s v="W10638541"/>
    <s v="Filtros"/>
    <x v="5"/>
    <n v="2000"/>
    <n v="5002359"/>
    <s v="EMPRESA BRASILEIRA DE CORREIOS E"/>
    <n v="580.82000000000005"/>
    <d v="2025-07-17T00:00:00"/>
  </r>
  <r>
    <s v="Sem TR"/>
    <n v="64773518"/>
    <s v="ROB"/>
    <n v="50567"/>
    <n v="671"/>
    <s v="DEV-ENVIADO PARA GESTÃO DE CONSEQUENCIA"/>
    <s v="TRANSPORTADORA"/>
    <x v="2"/>
    <n v="73499"/>
    <x v="66"/>
    <s v="CE"/>
    <n v="932"/>
    <s v="CDP Prata"/>
    <n v="1550"/>
    <s v="W10754676"/>
    <s v="Suportes"/>
    <x v="6"/>
    <n v="15000"/>
    <n v="5004391"/>
    <s v="JEONCEL TRANSPORTES LTDA"/>
    <n v="580.54"/>
    <d v="2025-05-19T00:00:00"/>
  </r>
  <r>
    <n v="253952273"/>
    <n v="64728318"/>
    <s v="REB"/>
    <n v="9583453"/>
    <n v="178"/>
    <s v="PEÇAS -Defeito de fabric./Sem Compressão"/>
    <s v="FUNCIONAL"/>
    <x v="2"/>
    <n v="31587"/>
    <x v="135"/>
    <s v="SP"/>
    <n v="643"/>
    <s v="Elite"/>
    <n v="1350"/>
    <s v="W10393823"/>
    <s v="Compressores Herméticos"/>
    <x v="0"/>
    <n v="1000"/>
    <n v="5004042"/>
    <s v="BRASIL WEB TRANSPORTES E LOGISTICA"/>
    <n v="578.87"/>
    <d v="2025-03-10T00:00:00"/>
  </r>
  <r>
    <n v="254018325"/>
    <n v="64792357"/>
    <s v="REB"/>
    <n v="10066324"/>
    <n v="167"/>
    <s v="PEÇAS - Avaria - Quebrada/Depósito"/>
    <s v="LOGÍSTICA"/>
    <x v="2"/>
    <n v="54465"/>
    <x v="207"/>
    <s v="SP"/>
    <n v="644"/>
    <s v="Plus"/>
    <n v="1350"/>
    <s v="W10616737"/>
    <s v="Gavetas"/>
    <x v="9"/>
    <n v="3000"/>
    <n v="5004042"/>
    <s v="BRASIL WEB TRANSPORTES E LOGISTICA"/>
    <n v="577.53"/>
    <d v="2025-06-16T00:00:00"/>
  </r>
  <r>
    <n v="254018274"/>
    <n v="64790826"/>
    <s v="REB"/>
    <n v="9350862"/>
    <n v="178"/>
    <s v="PEÇAS -Defeito de fabric./Sem Compressão"/>
    <s v="FUNCIONAL"/>
    <x v="2"/>
    <n v="30847"/>
    <x v="87"/>
    <s v="SP"/>
    <n v="644"/>
    <s v="Plus"/>
    <n v="1350"/>
    <s v="W10666797"/>
    <s v="Compressores Herméticos"/>
    <x v="0"/>
    <n v="1000"/>
    <n v="5004042"/>
    <s v="BRASIL WEB TRANSPORTES E LOGISTICA"/>
    <n v="577.52"/>
    <d v="2025-06-16T00:00:00"/>
  </r>
  <r>
    <n v="253948590"/>
    <n v="64725563"/>
    <s v="REB"/>
    <n v="9861007"/>
    <n v="167"/>
    <s v="PEÇAS - Avaria - Quebrada/Depósito"/>
    <s v="LOGÍSTICA"/>
    <x v="2"/>
    <n v="87407"/>
    <x v="208"/>
    <s v="SP"/>
    <n v="644"/>
    <s v="Plus"/>
    <n v="1350"/>
    <s v="W11113394"/>
    <s v="Gavetas"/>
    <x v="9"/>
    <n v="5000"/>
    <n v="5004042"/>
    <s v="BRASIL WEB TRANSPORTES E LOGISTICA"/>
    <n v="576.45000000000005"/>
    <d v="2025-03-07T00:00:00"/>
  </r>
  <r>
    <n v="254005346"/>
    <n v="64777904"/>
    <s v="REB"/>
    <n v="9934052"/>
    <n v="173"/>
    <s v="PEÇAS - Defeito de fabric./Alta Amperage"/>
    <s v="FUNCIONAL"/>
    <x v="2"/>
    <n v="72146"/>
    <x v="202"/>
    <s v="RJ"/>
    <n v="932"/>
    <s v="CDP Prata"/>
    <n v="1350"/>
    <s v="W10393822"/>
    <s v="Compressores Herméticos"/>
    <x v="0"/>
    <n v="1000"/>
    <n v="5003176"/>
    <s v="J C THEDIN TRANSPORTES LTDA"/>
    <n v="576.20000000000005"/>
    <d v="2025-05-26T00:00:00"/>
  </r>
  <r>
    <n v="254012495"/>
    <n v="64789453"/>
    <s v="REB"/>
    <n v="10061721"/>
    <n v="178"/>
    <s v="PEÇAS -Defeito de fabric./Sem Compressão"/>
    <s v="FUNCIONAL"/>
    <x v="1"/>
    <n v="28178"/>
    <x v="127"/>
    <s v="SP"/>
    <n v="644"/>
    <s v="Plus"/>
    <n v="1350"/>
    <s v="W10375479"/>
    <s v="Compressores Herméticos"/>
    <x v="0"/>
    <n v="1000"/>
    <n v="5004042"/>
    <s v="BRASIL WEB TRANSPORTES E LOGISTICA"/>
    <n v="575.4"/>
    <d v="2025-06-10T00:00:00"/>
  </r>
  <r>
    <n v="254012500"/>
    <n v="64788764"/>
    <s v="REB"/>
    <n v="9097009"/>
    <n v="178"/>
    <s v="PEÇAS -Defeito de fabric./Sem Compressão"/>
    <s v="FUNCIONAL"/>
    <x v="2"/>
    <n v="28707"/>
    <x v="209"/>
    <s v="SP"/>
    <n v="648"/>
    <s v="Ultra"/>
    <n v="1350"/>
    <s v="W10388219"/>
    <s v="Compressores Herméticos"/>
    <x v="0"/>
    <n v="1000"/>
    <n v="5004042"/>
    <s v="BRASIL WEB TRANSPORTES E LOGISTICA"/>
    <n v="574.67999999999995"/>
    <d v="2025-06-09T00:00:00"/>
  </r>
  <r>
    <n v="254023336"/>
    <n v="64702014"/>
    <s v="REB"/>
    <n v="9771024"/>
    <n v="104"/>
    <s v="PEÇAS-Código trocado(embalag X conteúdo)"/>
    <s v="LOGÍSTICA"/>
    <x v="2"/>
    <n v="20017"/>
    <x v="210"/>
    <s v="BA"/>
    <n v="350"/>
    <s v="Ats On"/>
    <n v="1350"/>
    <s v="W10647739"/>
    <s v="Cordões de Alimentação"/>
    <x v="1"/>
    <n v="1000"/>
    <n v="5004101"/>
    <s v="UNIDOCK'S ASSESSORIA E LOGISTICA DE"/>
    <n v="574.04999999999995"/>
    <d v="2025-01-29T00:00:00"/>
  </r>
  <r>
    <n v="254033462"/>
    <n v="64807086"/>
    <s v="REB"/>
    <n v="9793387"/>
    <n v="173"/>
    <s v="PEÇAS - Defeito de fabric./Alta Amperage"/>
    <s v="FUNCIONAL"/>
    <x v="1"/>
    <n v="80833"/>
    <x v="132"/>
    <s v="PR"/>
    <n v="644"/>
    <s v="Plus"/>
    <n v="1350"/>
    <s v="W11340256"/>
    <s v="Placas de Interface"/>
    <x v="1"/>
    <n v="1000"/>
    <n v="5003024"/>
    <s v="RODOBRAS TRANSPORTES RODOVIARIOS LT"/>
    <n v="573.89"/>
    <d v="2025-07-08T00:00:00"/>
  </r>
  <r>
    <n v="254003992"/>
    <n v="64778666"/>
    <s v="REB"/>
    <n v="9129364"/>
    <n v="178"/>
    <s v="PEÇAS -Defeito de fabric./Sem Compressão"/>
    <s v="FUNCIONAL"/>
    <x v="1"/>
    <n v="50822"/>
    <x v="40"/>
    <s v="AL"/>
    <n v="644"/>
    <s v="Plus"/>
    <n v="1350"/>
    <n v="326053935"/>
    <s v="Compressores Rotativos"/>
    <x v="0"/>
    <n v="1000"/>
    <n v="5004101"/>
    <s v="UNIDOCK'S ASSESSORIA E LOGISTICA DE"/>
    <n v="573.61"/>
    <d v="2025-05-26T00:00:00"/>
  </r>
  <r>
    <n v="253872397"/>
    <n v="64641929"/>
    <s v="REB"/>
    <n v="9243758"/>
    <n v="178"/>
    <s v="PEÇAS -Defeito de fabric./Sem Compressão"/>
    <s v="FUNCIONAL"/>
    <x v="2"/>
    <n v="29697"/>
    <x v="211"/>
    <s v="SP"/>
    <n v="933"/>
    <s v="Top"/>
    <n v="1350"/>
    <s v="W10393822"/>
    <s v="Compressores Herméticos"/>
    <x v="0"/>
    <n v="1000"/>
    <n v="5004042"/>
    <s v="BRASIL WEB TRANSPORTES E LOGISTICA"/>
    <n v="573.09"/>
    <d v="2024-11-11T00:00:00"/>
  </r>
  <r>
    <n v="253983848"/>
    <n v="64759680"/>
    <s v="REB"/>
    <n v="9927162"/>
    <n v="173"/>
    <s v="PEÇAS - Defeito de fabric./Alta Amperage"/>
    <s v="FUNCIONAL"/>
    <x v="2"/>
    <n v="9599"/>
    <x v="121"/>
    <s v="SP"/>
    <n v="931"/>
    <s v="Ats Off"/>
    <n v="1350"/>
    <s v="W11375485"/>
    <s v="Compressores Herméticos"/>
    <x v="0"/>
    <n v="1000"/>
    <n v="5004042"/>
    <s v="BRASIL WEB TRANSPORTES E LOGISTICA"/>
    <n v="571.97"/>
    <d v="2025-04-28T00:00:00"/>
  </r>
  <r>
    <n v="254012574"/>
    <n v="64787487"/>
    <s v="REB"/>
    <n v="9935278"/>
    <n v="178"/>
    <s v="PEÇAS -Defeito de fabric./Sem Compressão"/>
    <s v="FUNCIONAL"/>
    <x v="1"/>
    <n v="61876"/>
    <x v="212"/>
    <s v="SC"/>
    <n v="932"/>
    <s v="CDP Prata"/>
    <n v="1350"/>
    <s v="W11368174"/>
    <s v="Compressores Herméticos"/>
    <x v="0"/>
    <n v="1000"/>
    <n v="5003024"/>
    <s v="RODOBRAS TRANSPORTES RODOVIARIOS LT"/>
    <n v="570.55999999999995"/>
    <d v="2025-06-10T00:00:00"/>
  </r>
  <r>
    <n v="254042064"/>
    <n v="64798477"/>
    <s v="REB"/>
    <n v="10064175"/>
    <n v="176"/>
    <s v="PEÇAS - Defeito de fabric./Interrompido"/>
    <s v="FUNCIONAL"/>
    <x v="0"/>
    <n v="14441"/>
    <x v="61"/>
    <s v="SP"/>
    <n v="931"/>
    <s v="Ats Off"/>
    <n v="1350"/>
    <s v="W10887444"/>
    <s v="Placas de Interface"/>
    <x v="1"/>
    <n v="1000"/>
    <n v="5004042"/>
    <s v="BRASIL WEB TRANSPORTES E LOGISTICA"/>
    <n v="570.44000000000005"/>
    <d v="2025-06-30T00:00:00"/>
  </r>
  <r>
    <n v="254041597"/>
    <n v="64728887"/>
    <s v="ZDVP"/>
    <n v="9564455"/>
    <n v="178"/>
    <s v="PEÇAS -Defeito de fabric./Sem Compressão"/>
    <s v="FUNCIONAL"/>
    <x v="0"/>
    <n v="67948"/>
    <x v="15"/>
    <s v="SC"/>
    <n v="713"/>
    <s v="Key Account"/>
    <n v="1350"/>
    <s v="W11647662"/>
    <s v="Compressores Herméticos"/>
    <x v="0"/>
    <n v="2000"/>
    <n v="5003024"/>
    <s v="RODOBRAS TRANSPORTES RODOVIARIOS LT"/>
    <n v="570.04"/>
    <d v="2025-03-10T00:00:00"/>
  </r>
  <r>
    <n v="254033468"/>
    <n v="64806587"/>
    <s v="REB"/>
    <n v="9986057"/>
    <n v="177"/>
    <s v="PEÇAS - Defeito de fabric./Ruído"/>
    <s v="FUNCIONAL"/>
    <x v="0"/>
    <n v="82482"/>
    <x v="213"/>
    <s v="MG"/>
    <n v="932"/>
    <s v="CDP Prata"/>
    <n v="1350"/>
    <s v="W10882241"/>
    <s v="Agitadores"/>
    <x v="2"/>
    <n v="10000"/>
    <n v="5004215"/>
    <s v="BRASIL WEB TRANSPORTES E LOGISTICA"/>
    <n v="569.87"/>
    <d v="2025-07-08T00:00:00"/>
  </r>
  <r>
    <n v="253970911"/>
    <n v="64748853"/>
    <s v="REB"/>
    <n v="9892045"/>
    <n v="176"/>
    <s v="PEÇAS - Defeito de fabric./Interrompido"/>
    <s v="FUNCIONAL"/>
    <x v="2"/>
    <n v="67141"/>
    <x v="214"/>
    <s v="SP"/>
    <n v="648"/>
    <s v="Ultra"/>
    <n v="1350"/>
    <s v="W10393823"/>
    <s v="Compressores Herméticos"/>
    <x v="0"/>
    <n v="1000"/>
    <n v="5004042"/>
    <s v="BRASIL WEB TRANSPORTES E LOGISTICA"/>
    <n v="569.66"/>
    <d v="2025-04-09T00:00:00"/>
  </r>
  <r>
    <s v="Sem TR"/>
    <n v="64817586"/>
    <s v="REB"/>
    <n v="9939519"/>
    <n v="176"/>
    <s v="PEÇAS - Defeito de fabric./Interrompido"/>
    <s v="FUNCIONAL"/>
    <x v="1"/>
    <n v="81988"/>
    <x v="38"/>
    <s v="MG"/>
    <n v="648"/>
    <s v="Ultra"/>
    <n v="1350"/>
    <s v="W10393822"/>
    <s v="Compressores Herméticos"/>
    <x v="0"/>
    <n v="1000"/>
    <n v="5004215"/>
    <s v="BRASIL WEB TRANSPORTES E LOGISTICA"/>
    <n v="569.47"/>
    <d v="2025-07-25T00:00:00"/>
  </r>
  <r>
    <n v="254007617"/>
    <n v="64781012"/>
    <s v="REB"/>
    <n v="9993691"/>
    <n v="176"/>
    <s v="PEÇAS - Defeito de fabric./Interrompido"/>
    <s v="FUNCIONAL"/>
    <x v="1"/>
    <n v="81988"/>
    <x v="38"/>
    <s v="MG"/>
    <n v="648"/>
    <s v="Ultra"/>
    <n v="1350"/>
    <s v="W10393822"/>
    <s v="Compressores Herméticos"/>
    <x v="0"/>
    <n v="1000"/>
    <n v="5004215"/>
    <s v="BRASIL WEB TRANSPORTES E LOGISTICA"/>
    <n v="569.47"/>
    <d v="2025-06-02T00:00:00"/>
  </r>
  <r>
    <n v="254023336"/>
    <n v="64624615"/>
    <s v="REB"/>
    <n v="9549221"/>
    <n v="104"/>
    <s v="PEÇAS-Código trocado(embalag X conteúdo)"/>
    <s v="LOGÍSTICA"/>
    <x v="1"/>
    <n v="20017"/>
    <x v="210"/>
    <s v="BA"/>
    <n v="350"/>
    <s v="Ats On"/>
    <n v="1350"/>
    <s v="W10647739"/>
    <s v="Cordões de Alimentação"/>
    <x v="1"/>
    <n v="1000"/>
    <n v="5004101"/>
    <s v="UNIDOCK'S ASSESSORIA E LOGISTICA DE"/>
    <n v="568.41"/>
    <d v="2024-10-09T00:00:00"/>
  </r>
  <r>
    <s v="Sem TR"/>
    <n v="64805156"/>
    <s v="ZRDI"/>
    <n v="10074187"/>
    <s v="D10"/>
    <s v="DEV D2C - Comprou modelo errado"/>
    <s v="COMERCIAL"/>
    <x v="2"/>
    <n v="58070516"/>
    <x v="215"/>
    <s v="RJ"/>
    <n v="474"/>
    <s v="Site Brastemp"/>
    <n v="1352"/>
    <s v="W10638541"/>
    <s v="Filtros"/>
    <x v="5"/>
    <n v="2000"/>
    <n v="5002359"/>
    <s v="EMPRESA BRASILEIRA DE CORREIOS E"/>
    <n v="566.88"/>
    <d v="2025-07-10T00:00:00"/>
  </r>
  <r>
    <s v="Sem TR"/>
    <n v="64805156"/>
    <s v="ZRDI"/>
    <n v="10074187"/>
    <s v="D10"/>
    <s v="DEV D2C - Comprou modelo errado"/>
    <s v="COMERCIAL"/>
    <x v="2"/>
    <n v="58070516"/>
    <x v="215"/>
    <s v="RJ"/>
    <n v="474"/>
    <s v="Site Brastemp"/>
    <n v="1352"/>
    <s v="W10638541"/>
    <s v="Filtros"/>
    <x v="5"/>
    <n v="2000"/>
    <n v="5002359"/>
    <s v="EMPRESA BRASILEIRA DE CORREIOS E"/>
    <n v="566.88"/>
    <d v="2025-07-10T00:00:00"/>
  </r>
  <r>
    <n v="254004062"/>
    <n v="64775153"/>
    <s v="REB"/>
    <n v="9953886"/>
    <n v="176"/>
    <s v="PEÇAS - Defeito de fabric./Interrompido"/>
    <s v="FUNCIONAL"/>
    <x v="1"/>
    <n v="81988"/>
    <x v="38"/>
    <s v="MG"/>
    <n v="648"/>
    <s v="Ultra"/>
    <n v="1350"/>
    <s v="W11647660"/>
    <s v="Compressores Herméticos"/>
    <x v="0"/>
    <n v="2000"/>
    <n v="5004215"/>
    <s v="BRASIL WEB TRANSPORTES E LOGISTICA"/>
    <n v="566.82000000000005"/>
    <d v="2025-05-26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0714366"/>
    <s v="Válvulas de Água"/>
    <x v="5"/>
    <n v="10000"/>
    <n v="5004101"/>
    <s v="UNIDOCK'S ASSESSORIA E LOGISTICA DE"/>
    <n v="566.29999999999995"/>
    <d v="2025-07-30T00:00:00"/>
  </r>
  <r>
    <n v="254003872"/>
    <n v="64777772"/>
    <s v="REB"/>
    <n v="10006871"/>
    <n v="90"/>
    <s v="CLIENTE-não solicitou"/>
    <s v="COMERCIAL"/>
    <x v="1"/>
    <n v="13757"/>
    <x v="14"/>
    <s v="SP"/>
    <n v="713"/>
    <s v="Key Account"/>
    <n v="1350"/>
    <s v="W10257566"/>
    <s v="Fusíveis/Fusíveis térmicos"/>
    <x v="1"/>
    <n v="50000"/>
    <n v="5004042"/>
    <s v="BRASIL WEB TRANSPORTES E LOGISTICA"/>
    <n v="565.76"/>
    <d v="2025-05-26T00:00:00"/>
  </r>
  <r>
    <n v="254038402"/>
    <n v="64814614"/>
    <s v="REB"/>
    <n v="9895155"/>
    <n v="173"/>
    <s v="PEÇAS - Defeito de fabric./Alta Amperage"/>
    <s v="FUNCIONAL"/>
    <x v="0"/>
    <n v="81365"/>
    <x v="216"/>
    <s v="SP"/>
    <n v="934"/>
    <s v="CDP Ouro"/>
    <n v="1350"/>
    <s v="W10441742"/>
    <s v="Compressores Herméticos"/>
    <x v="0"/>
    <n v="1000"/>
    <n v="5004042"/>
    <s v="BRASIL WEB TRANSPORTES E LOGISTICA"/>
    <n v="564.86"/>
    <d v="2025-07-22T00:00:00"/>
  </r>
  <r>
    <s v="Sem TR"/>
    <n v="64805188"/>
    <s v="ZRDI"/>
    <n v="10108326"/>
    <s v="D31"/>
    <s v="DEV D2C - Defeito estético manufatura"/>
    <s v="MANUFATURA"/>
    <x v="2"/>
    <n v="56353693"/>
    <x v="217"/>
    <s v="RJ"/>
    <n v="474"/>
    <s v="Site Brastemp"/>
    <n v="1352"/>
    <s v="W10911678"/>
    <s v="Trempes"/>
    <x v="6"/>
    <n v="1000"/>
    <n v="5002359"/>
    <s v="EMPRESA BRASILEIRA DE CORREIOS E"/>
    <n v="563.83000000000004"/>
    <d v="2025-07-04T00:00:00"/>
  </r>
  <r>
    <n v="253952178"/>
    <n v="64722042"/>
    <s v="REB"/>
    <n v="9775613"/>
    <n v="176"/>
    <s v="PEÇAS - Defeito de fabric./Interrompido"/>
    <s v="FUNCIONAL"/>
    <x v="2"/>
    <n v="13757"/>
    <x v="14"/>
    <s v="SP"/>
    <n v="713"/>
    <s v="Key Account"/>
    <n v="1350"/>
    <s v="W10882241"/>
    <s v="Agitadores"/>
    <x v="2"/>
    <n v="18000"/>
    <n v="5004042"/>
    <s v="BRASIL WEB TRANSPORTES E LOGISTICA"/>
    <n v="563.21"/>
    <d v="2025-03-10T00:00:00"/>
  </r>
  <r>
    <n v="253952142"/>
    <n v="64728381"/>
    <s v="REB"/>
    <n v="9826967"/>
    <n v="176"/>
    <s v="PEÇAS - Defeito de fabric./Interrompido"/>
    <s v="FUNCIONAL"/>
    <x v="1"/>
    <n v="3524"/>
    <x v="93"/>
    <s v="SP"/>
    <n v="931"/>
    <s v="Ats Off"/>
    <n v="1350"/>
    <s v="W10666797"/>
    <s v="Compressores Herméticos"/>
    <x v="0"/>
    <n v="1000"/>
    <n v="5004042"/>
    <s v="BRASIL WEB TRANSPORTES E LOGISTICA"/>
    <n v="563.02"/>
    <d v="2025-03-10T00:00:00"/>
  </r>
  <r>
    <n v="254033426"/>
    <n v="64807472"/>
    <s v="REB"/>
    <n v="9749049"/>
    <n v="178"/>
    <s v="PEÇAS -Defeito de fabric./Sem Compressão"/>
    <s v="FUNCIONAL"/>
    <x v="0"/>
    <n v="61675"/>
    <x v="12"/>
    <s v="MG"/>
    <n v="643"/>
    <s v="Elite"/>
    <n v="1350"/>
    <s v="W11677208"/>
    <s v="Compressores Herméticos"/>
    <x v="0"/>
    <n v="2000"/>
    <n v="5004215"/>
    <s v="BRASIL WEB TRANSPORTES E LOGISTICA"/>
    <n v="562.77"/>
    <d v="2025-07-08T00:00:00"/>
  </r>
  <r>
    <s v="Sem TR"/>
    <n v="64806372"/>
    <s v="REB"/>
    <n v="9934428"/>
    <n v="176"/>
    <s v="PEÇAS - Defeito de fabric./Interrompido"/>
    <s v="FUNCIONAL"/>
    <x v="1"/>
    <n v="81988"/>
    <x v="38"/>
    <s v="MG"/>
    <n v="648"/>
    <s v="Ultra"/>
    <n v="1350"/>
    <s v="W10393822"/>
    <s v="Compressores Herméticos"/>
    <x v="0"/>
    <n v="1000"/>
    <n v="5004215"/>
    <s v="BRASIL WEB TRANSPORTES E LOGISTICA"/>
    <n v="562.61"/>
    <d v="2025-07-22T00:00:00"/>
  </r>
  <r>
    <s v="Sem TR"/>
    <n v="64808123"/>
    <s v="REB"/>
    <n v="9934428"/>
    <n v="176"/>
    <s v="PEÇAS - Defeito de fabric./Interrompido"/>
    <s v="FUNCIONAL"/>
    <x v="1"/>
    <n v="81988"/>
    <x v="38"/>
    <s v="MG"/>
    <n v="648"/>
    <s v="Ultra"/>
    <n v="1350"/>
    <s v="W10393822"/>
    <s v="Compressores Herméticos"/>
    <x v="0"/>
    <n v="1000"/>
    <n v="5004215"/>
    <s v="BRASIL WEB TRANSPORTES E LOGISTICA"/>
    <n v="562.61"/>
    <d v="2025-07-17T00:00:00"/>
  </r>
  <r>
    <n v="254004073"/>
    <n v="64778076"/>
    <s v="REB"/>
    <n v="9901671"/>
    <n v="176"/>
    <s v="PEÇAS - Defeito de fabric./Interrompido"/>
    <s v="FUNCIONAL"/>
    <x v="2"/>
    <n v="81988"/>
    <x v="38"/>
    <s v="MG"/>
    <n v="648"/>
    <s v="Ultra"/>
    <n v="1350"/>
    <s v="W10393823"/>
    <s v="Compressores Herméticos"/>
    <x v="0"/>
    <n v="1000"/>
    <n v="5004215"/>
    <s v="BRASIL WEB TRANSPORTES E LOGISTICA"/>
    <n v="562.61"/>
    <d v="2025-05-26T00:00:00"/>
  </r>
  <r>
    <n v="254033414"/>
    <n v="64804427"/>
    <s v="REB"/>
    <n v="9942024"/>
    <n v="178"/>
    <s v="PEÇAS -Defeito de fabric./Sem Compressão"/>
    <s v="FUNCIONAL"/>
    <x v="1"/>
    <n v="50822"/>
    <x v="40"/>
    <s v="AL"/>
    <n v="644"/>
    <s v="Plus"/>
    <n v="1350"/>
    <s v="W10393823"/>
    <s v="Compressores Herméticos"/>
    <x v="0"/>
    <n v="1000"/>
    <n v="5004101"/>
    <s v="UNIDOCK'S ASSESSORIA E LOGISTICA DE"/>
    <n v="562.5"/>
    <d v="2025-07-08T00:00:00"/>
  </r>
  <r>
    <n v="254012501"/>
    <n v="64787223"/>
    <s v="REB"/>
    <n v="9998637"/>
    <n v="173"/>
    <s v="PEÇAS - Defeito de fabric./Alta Amperage"/>
    <s v="FUNCIONAL"/>
    <x v="2"/>
    <n v="28991"/>
    <x v="65"/>
    <s v="MG"/>
    <n v="643"/>
    <s v="Elite"/>
    <n v="1350"/>
    <s v="W11300816"/>
    <s v="Mecanismos"/>
    <x v="2"/>
    <n v="5000"/>
    <n v="5004215"/>
    <s v="BRASIL WEB TRANSPORTES E LOGISTICA"/>
    <n v="562.5"/>
    <d v="2025-06-10T00:00:00"/>
  </r>
  <r>
    <n v="254033417"/>
    <n v="64802478"/>
    <s v="REB"/>
    <n v="10050400"/>
    <n v="173"/>
    <s v="PEÇAS - Defeito de fabric./Alta Amperage"/>
    <s v="FUNCIONAL"/>
    <x v="0"/>
    <n v="51613"/>
    <x v="34"/>
    <s v="MG"/>
    <n v="643"/>
    <s v="Elite"/>
    <n v="1350"/>
    <s v="W11300816"/>
    <s v="Mecanismos"/>
    <x v="2"/>
    <n v="5000"/>
    <n v="5004215"/>
    <s v="BRASIL WEB TRANSPORTES E LOGISTICA"/>
    <n v="562.5"/>
    <d v="2025-07-01T00:00:00"/>
  </r>
  <r>
    <n v="253992775"/>
    <n v="64768444"/>
    <s v="REB"/>
    <n v="9695829"/>
    <n v="178"/>
    <s v="PEÇAS -Defeito de fabric./Sem Compressão"/>
    <s v="FUNCIONAL"/>
    <x v="2"/>
    <n v="78757"/>
    <x v="50"/>
    <s v="RS"/>
    <n v="643"/>
    <s v="Elite"/>
    <n v="1350"/>
    <n v="326026647"/>
    <s v="Outros"/>
    <x v="7"/>
    <n v="2000"/>
    <n v="5003024"/>
    <s v="RODOBRAS TRANSPORTES RODOVIARIOS LT"/>
    <n v="562.01"/>
    <d v="2025-05-12T00:00:00"/>
  </r>
  <r>
    <s v="Sem TR"/>
    <n v="64814465"/>
    <s v="REB"/>
    <n v="10066344"/>
    <n v="178"/>
    <s v="PEÇAS -Defeito de fabric./Sem Compressão"/>
    <s v="FUNCIONAL"/>
    <x v="1"/>
    <n v="63300"/>
    <x v="17"/>
    <s v="MG"/>
    <n v="643"/>
    <s v="Elite"/>
    <n v="1350"/>
    <s v="W11647660"/>
    <s v="Compressores Herméticos"/>
    <x v="0"/>
    <n v="2000"/>
    <n v="5004215"/>
    <s v="BRASIL WEB TRANSPORTES E LOGISTICA"/>
    <n v="561.91"/>
    <d v="2025-07-22T00:00:00"/>
  </r>
  <r>
    <n v="253952439"/>
    <n v="64725878"/>
    <s v="REB"/>
    <n v="9378510"/>
    <n v="178"/>
    <s v="PEÇAS -Defeito de fabric./Sem Compressão"/>
    <s v="FUNCIONAL"/>
    <x v="1"/>
    <n v="63300"/>
    <x v="17"/>
    <s v="MG"/>
    <n v="643"/>
    <s v="Elite"/>
    <n v="1350"/>
    <s v="W10798744"/>
    <s v="Compressores Herméticos"/>
    <x v="0"/>
    <n v="2000"/>
    <n v="5004215"/>
    <s v="BRASIL WEB TRANSPORTES E LOGISTICA"/>
    <n v="561.62"/>
    <d v="2025-03-08T00:00:00"/>
  </r>
  <r>
    <n v="254035356"/>
    <n v="64812709"/>
    <s v="REB"/>
    <n v="10056836"/>
    <n v="178"/>
    <s v="PEÇAS -Defeito de fabric./Sem Compressão"/>
    <s v="FUNCIONAL"/>
    <x v="1"/>
    <n v="22211"/>
    <x v="146"/>
    <s v="SC"/>
    <n v="644"/>
    <s v="Plus"/>
    <n v="1350"/>
    <s v="W10393823"/>
    <s v="Compressores Herméticos"/>
    <x v="0"/>
    <n v="1000"/>
    <n v="5003024"/>
    <s v="RODOBRAS TRANSPORTES RODOVIARIOS LT"/>
    <n v="560.35"/>
    <d v="2025-07-17T00:00:00"/>
  </r>
  <r>
    <s v="Sem TR"/>
    <n v="64814489"/>
    <s v="REB"/>
    <n v="10099079"/>
    <n v="170"/>
    <s v="PEÇAS - Avaria - Riscada/Depósito"/>
    <s v="LOGÍSTICA"/>
    <x v="1"/>
    <n v="4987"/>
    <x v="218"/>
    <s v="RS"/>
    <n v="350"/>
    <s v="Ats On"/>
    <n v="1350"/>
    <s v="W11181007"/>
    <s v="Portas"/>
    <x v="6"/>
    <n v="1000"/>
    <n v="5003024"/>
    <s v="RODOBRAS TRANSPORTES RODOVIARIOS LT"/>
    <n v="560"/>
    <d v="2025-07-22T00:00:00"/>
  </r>
  <r>
    <n v="253943841"/>
    <n v="64709918"/>
    <s v="REB"/>
    <n v="9853997"/>
    <n v="165"/>
    <s v="PEÇAS - Defeito de fabric./Incompleta"/>
    <s v="FUNCIONAL"/>
    <x v="1"/>
    <n v="2666"/>
    <x v="219"/>
    <s v="RJ"/>
    <n v="931"/>
    <s v="Ats Off"/>
    <n v="1350"/>
    <s v="W11340256"/>
    <s v="Placas de Interface"/>
    <x v="1"/>
    <n v="1000"/>
    <n v="5003176"/>
    <s v="J C THEDIN TRANSPORTES LTDA"/>
    <n v="559.51"/>
    <d v="2025-02-11T00:00:00"/>
  </r>
  <r>
    <n v="254012517"/>
    <n v="64789413"/>
    <s v="REB"/>
    <n v="9983559"/>
    <n v="168"/>
    <s v="PEÇAS-Def.Fabric.Empenamento/Abaulamento"/>
    <s v="FUNCIONAL"/>
    <x v="2"/>
    <n v="34532"/>
    <x v="220"/>
    <s v="SC"/>
    <n v="350"/>
    <s v="Ats On"/>
    <n v="1350"/>
    <s v="W10882241"/>
    <s v="Agitadores"/>
    <x v="2"/>
    <n v="12000"/>
    <n v="5003024"/>
    <s v="RODOBRAS TRANSPORTES RODOVIARIOS LT"/>
    <n v="559.49"/>
    <d v="2025-06-10T00:00:00"/>
  </r>
  <r>
    <n v="254035359"/>
    <n v="64812704"/>
    <s v="REB"/>
    <n v="9787571"/>
    <n v="178"/>
    <s v="PEÇAS -Defeito de fabric./Sem Compressão"/>
    <s v="FUNCIONAL"/>
    <x v="1"/>
    <n v="22211"/>
    <x v="146"/>
    <s v="SC"/>
    <n v="644"/>
    <s v="Plus"/>
    <n v="1350"/>
    <s v="W10666796"/>
    <s v="Compressores Herméticos"/>
    <x v="0"/>
    <n v="1000"/>
    <n v="5003024"/>
    <s v="RODOBRAS TRANSPORTES RODOVIARIOS LT"/>
    <n v="559.20000000000005"/>
    <d v="2025-07-17T00:00:00"/>
  </r>
  <r>
    <n v="254035359"/>
    <n v="64812694"/>
    <s v="REB"/>
    <n v="9849888"/>
    <n v="178"/>
    <s v="PEÇAS -Defeito de fabric./Sem Compressão"/>
    <s v="FUNCIONAL"/>
    <x v="1"/>
    <n v="22211"/>
    <x v="146"/>
    <s v="SC"/>
    <n v="644"/>
    <s v="Plus"/>
    <n v="1350"/>
    <s v="W10388222"/>
    <s v="Compressores Herméticos"/>
    <x v="0"/>
    <n v="1000"/>
    <n v="5003024"/>
    <s v="RODOBRAS TRANSPORTES RODOVIARIOS LT"/>
    <n v="558.71"/>
    <d v="2025-07-17T00:00:00"/>
  </r>
  <r>
    <n v="253952535"/>
    <n v="64728640"/>
    <s v="REB"/>
    <n v="9106088"/>
    <n v="178"/>
    <s v="PEÇAS -Defeito de fabric./Sem Compressão"/>
    <s v="FUNCIONAL"/>
    <x v="1"/>
    <n v="81459"/>
    <x v="221"/>
    <s v="SP"/>
    <n v="648"/>
    <s v="Ultra"/>
    <n v="1350"/>
    <s v="W10393823"/>
    <s v="Compressores Herméticos"/>
    <x v="0"/>
    <n v="1000"/>
    <n v="5004042"/>
    <s v="BRASIL WEB TRANSPORTES E LOGISTICA"/>
    <n v="558.61"/>
    <d v="2025-03-10T00:00:00"/>
  </r>
  <r>
    <n v="253952535"/>
    <n v="64728642"/>
    <s v="REB"/>
    <n v="9164228"/>
    <n v="178"/>
    <s v="PEÇAS -Defeito de fabric./Sem Compressão"/>
    <s v="FUNCIONAL"/>
    <x v="1"/>
    <n v="81459"/>
    <x v="221"/>
    <s v="SP"/>
    <n v="648"/>
    <s v="Ultra"/>
    <n v="1350"/>
    <s v="W10393823"/>
    <s v="Compressores Herméticos"/>
    <x v="0"/>
    <n v="1000"/>
    <n v="5004042"/>
    <s v="BRASIL WEB TRANSPORTES E LOGISTICA"/>
    <n v="558.61"/>
    <d v="2025-03-10T00:00:00"/>
  </r>
  <r>
    <n v="253983896"/>
    <n v="64759540"/>
    <s v="REB"/>
    <n v="9211755"/>
    <n v="178"/>
    <s v="PEÇAS -Defeito de fabric./Sem Compressão"/>
    <s v="FUNCIONAL"/>
    <x v="1"/>
    <n v="28296"/>
    <x v="222"/>
    <s v="SP"/>
    <n v="648"/>
    <s v="Ultra"/>
    <n v="1350"/>
    <s v="W10393822"/>
    <s v="Compressores Herméticos"/>
    <x v="0"/>
    <n v="1000"/>
    <n v="5004042"/>
    <s v="BRASIL WEB TRANSPORTES E LOGISTICA"/>
    <n v="558.61"/>
    <d v="2025-04-28T00:00:00"/>
  </r>
  <r>
    <n v="253886317"/>
    <n v="64652473"/>
    <s v="REB"/>
    <n v="9106090"/>
    <n v="178"/>
    <s v="PEÇAS -Defeito de fabric./Sem Compressão"/>
    <s v="FUNCIONAL"/>
    <x v="1"/>
    <n v="81459"/>
    <x v="221"/>
    <s v="SP"/>
    <n v="648"/>
    <s v="Ultra"/>
    <n v="1350"/>
    <s v="W10393823"/>
    <s v="Compressores Herméticos"/>
    <x v="0"/>
    <n v="1000"/>
    <n v="5004042"/>
    <s v="BRASIL WEB TRANSPORTES E LOGISTICA"/>
    <n v="558.61"/>
    <d v="2024-11-29T00:00:00"/>
  </r>
  <r>
    <n v="254043651"/>
    <n v="64804991"/>
    <s v="REB"/>
    <n v="10033798"/>
    <n v="173"/>
    <s v="PEÇAS - Defeito de fabric./Alta Amperage"/>
    <s v="FUNCIONAL"/>
    <x v="0"/>
    <n v="37369"/>
    <x v="85"/>
    <s v="SC"/>
    <n v="932"/>
    <s v="CDP Prata"/>
    <n v="1350"/>
    <s v="W11445507"/>
    <s v="Placas de Controle"/>
    <x v="1"/>
    <n v="1000"/>
    <n v="5003024"/>
    <s v="RODOBRAS TRANSPORTES RODOVIARIOS LT"/>
    <n v="557.36"/>
    <d v="2025-07-03T00:00:00"/>
  </r>
  <r>
    <n v="253988931"/>
    <n v="64764191"/>
    <s v="REB"/>
    <n v="9804093"/>
    <n v="173"/>
    <s v="PEÇAS - Defeito de fabric./Alta Amperage"/>
    <s v="FUNCIONAL"/>
    <x v="1"/>
    <n v="81075"/>
    <x v="223"/>
    <s v="BA"/>
    <n v="934"/>
    <s v="CDP Ouro"/>
    <n v="1350"/>
    <s v="W10393823"/>
    <s v="Compressores Herméticos"/>
    <x v="0"/>
    <n v="1000"/>
    <n v="5004101"/>
    <s v="UNIDOCK'S ASSESSORIA E LOGISTICA DE"/>
    <n v="556.99"/>
    <d v="2025-05-05T00:00:00"/>
  </r>
  <r>
    <s v="Sem TR"/>
    <n v="64773515"/>
    <s v="ROB"/>
    <n v="50375"/>
    <n v="671"/>
    <s v="DEV-ENVIADO PARA GESTÃO DE CONSEQUENCIA"/>
    <s v="TRANSPORTADORA"/>
    <x v="2"/>
    <n v="73499"/>
    <x v="66"/>
    <s v="CE"/>
    <n v="932"/>
    <s v="CDP Prata"/>
    <n v="1550"/>
    <s v="W10168510"/>
    <s v="Motores Ventiladores"/>
    <x v="1"/>
    <n v="10000"/>
    <n v="5004391"/>
    <s v="JEONCEL TRANSPORTES LTDA"/>
    <n v="556.92999999999995"/>
    <d v="2025-05-19T00:00:00"/>
  </r>
  <r>
    <n v="254042482"/>
    <n v="64798381"/>
    <s v="REB"/>
    <n v="10096833"/>
    <n v="178"/>
    <s v="PEÇAS -Defeito de fabric./Sem Compressão"/>
    <s v="FUNCIONAL"/>
    <x v="0"/>
    <n v="83572"/>
    <x v="105"/>
    <s v="SP"/>
    <n v="931"/>
    <s v="Ats Off"/>
    <n v="1350"/>
    <s v="W11133677"/>
    <s v="Compressores Herméticos"/>
    <x v="0"/>
    <n v="1000"/>
    <n v="5004042"/>
    <s v="BRASIL WEB TRANSPORTES E LOGISTICA"/>
    <n v="556.66999999999996"/>
    <d v="2025-06-26T00:00:00"/>
  </r>
  <r>
    <n v="254041994"/>
    <n v="64802205"/>
    <s v="REB"/>
    <n v="10107314"/>
    <n v="178"/>
    <s v="PEÇAS -Defeito de fabric./Sem Compressão"/>
    <s v="FUNCIONAL"/>
    <x v="0"/>
    <n v="83572"/>
    <x v="105"/>
    <s v="SP"/>
    <n v="931"/>
    <s v="Ats Off"/>
    <n v="1350"/>
    <s v="W11133677"/>
    <s v="Compressores Herméticos"/>
    <x v="0"/>
    <n v="1000"/>
    <n v="5004042"/>
    <s v="BRASIL WEB TRANSPORTES E LOGISTICA"/>
    <n v="556.66999999999996"/>
    <d v="2025-07-01T00:00:00"/>
  </r>
  <r>
    <s v="Sem TR"/>
    <n v="64805127"/>
    <s v="REB"/>
    <n v="10085512"/>
    <n v="90"/>
    <s v="CLIENTE-não solicitou"/>
    <s v="COMERCIAL"/>
    <x v="1"/>
    <n v="39760"/>
    <x v="224"/>
    <s v="PR"/>
    <n v="350"/>
    <s v="Ats On"/>
    <n v="1350"/>
    <s v="W11343132"/>
    <s v="Outros"/>
    <x v="7"/>
    <n v="1000"/>
    <n v="5003024"/>
    <s v="RODOBRAS TRANSPORTES RODOVIARIOS LT"/>
    <n v="556.24"/>
    <d v="2025-07-17T00:00:00"/>
  </r>
  <r>
    <n v="253970773"/>
    <n v="64748340"/>
    <s v="REB"/>
    <n v="8934891"/>
    <n v="178"/>
    <s v="PEÇAS -Defeito de fabric./Sem Compressão"/>
    <s v="FUNCIONAL"/>
    <x v="2"/>
    <n v="29706"/>
    <x v="149"/>
    <s v="RN"/>
    <n v="644"/>
    <s v="Plus"/>
    <n v="1350"/>
    <s v="W10821124"/>
    <s v="Compressores Rotativos"/>
    <x v="0"/>
    <n v="1000"/>
    <n v="5004101"/>
    <s v="UNIDOCK'S ASSESSORIA E LOGISTICA DE"/>
    <n v="556.20000000000005"/>
    <d v="2025-04-09T00:00:00"/>
  </r>
  <r>
    <n v="253997979"/>
    <n v="64774008"/>
    <s v="REB"/>
    <n v="9692188"/>
    <n v="178"/>
    <s v="PEÇAS -Defeito de fabric./Sem Compressão"/>
    <s v="FUNCIONAL"/>
    <x v="1"/>
    <n v="49243"/>
    <x v="67"/>
    <s v="MS"/>
    <n v="643"/>
    <s v="Elite"/>
    <n v="1350"/>
    <n v="326026647"/>
    <s v="Outros"/>
    <x v="7"/>
    <n v="2000"/>
    <n v="5002573"/>
    <s v="CARVALIMA TRANSPORTES LTDA"/>
    <n v="555.94000000000005"/>
    <d v="2025-05-20T00:00:00"/>
  </r>
  <r>
    <n v="253988857"/>
    <n v="64759327"/>
    <s v="REB"/>
    <n v="9802772"/>
    <n v="173"/>
    <s v="PEÇAS - Defeito de fabric./Alta Amperage"/>
    <s v="FUNCIONAL"/>
    <x v="1"/>
    <n v="28296"/>
    <x v="222"/>
    <s v="SP"/>
    <n v="648"/>
    <s v="Ultra"/>
    <n v="1350"/>
    <s v="W10393823"/>
    <s v="Compressores Herméticos"/>
    <x v="0"/>
    <n v="1000"/>
    <n v="5004042"/>
    <s v="BRASIL WEB TRANSPORTES E LOGISTICA"/>
    <n v="555.73"/>
    <d v="2025-05-05T00:00:00"/>
  </r>
  <r>
    <n v="253988857"/>
    <n v="64763732"/>
    <s v="REB"/>
    <n v="9731625"/>
    <n v="178"/>
    <s v="PEÇAS -Defeito de fabric./Sem Compressão"/>
    <s v="FUNCIONAL"/>
    <x v="1"/>
    <n v="28296"/>
    <x v="222"/>
    <s v="SP"/>
    <n v="648"/>
    <s v="Ultra"/>
    <n v="1350"/>
    <s v="W10393823"/>
    <s v="Compressores Herméticos"/>
    <x v="0"/>
    <n v="1000"/>
    <n v="5004042"/>
    <s v="BRASIL WEB TRANSPORTES E LOGISTICA"/>
    <n v="555.73"/>
    <d v="2025-05-05T00:00:00"/>
  </r>
  <r>
    <n v="253992725"/>
    <n v="64768401"/>
    <s v="REB"/>
    <n v="9802772"/>
    <n v="178"/>
    <s v="PEÇAS -Defeito de fabric./Sem Compressão"/>
    <s v="FUNCIONAL"/>
    <x v="2"/>
    <n v="28296"/>
    <x v="222"/>
    <s v="SP"/>
    <n v="648"/>
    <s v="Ultra"/>
    <n v="1350"/>
    <s v="W10393823"/>
    <s v="Compressores Herméticos"/>
    <x v="0"/>
    <n v="1000"/>
    <n v="5004042"/>
    <s v="BRASIL WEB TRANSPORTES E LOGISTICA"/>
    <n v="555.73"/>
    <d v="2025-05-12T00:00:00"/>
  </r>
  <r>
    <s v="Sem TR"/>
    <n v="64811808"/>
    <s v="REB"/>
    <n v="9933459"/>
    <n v="178"/>
    <s v="PEÇAS -Defeito de fabric./Sem Compressão"/>
    <s v="FUNCIONAL"/>
    <x v="1"/>
    <n v="29696"/>
    <x v="225"/>
    <s v="SP"/>
    <n v="933"/>
    <s v="Top"/>
    <n v="1350"/>
    <s v="W10769941"/>
    <s v="Compressores Herméticos"/>
    <x v="0"/>
    <n v="1000"/>
    <n v="5004042"/>
    <s v="BRASIL WEB TRANSPORTES E LOGISTICA"/>
    <n v="555.66"/>
    <d v="2025-07-17T00:00:00"/>
  </r>
  <r>
    <n v="253872290"/>
    <n v="64641968"/>
    <s v="REB"/>
    <n v="9694644"/>
    <n v="176"/>
    <s v="PEÇAS - Defeito de fabric./Interrompido"/>
    <s v="FUNCIONAL"/>
    <x v="1"/>
    <n v="3649"/>
    <x v="148"/>
    <s v="SP"/>
    <n v="931"/>
    <s v="Ats Off"/>
    <n v="1350"/>
    <s v="W10666797"/>
    <s v="Compressores Herméticos"/>
    <x v="0"/>
    <n v="1000"/>
    <n v="5003254"/>
    <s v="TMA TRANSPORTE LOTACAO E LOGISTICA"/>
    <n v="555.64"/>
    <d v="2024-11-11T00:00:00"/>
  </r>
  <r>
    <n v="253879226"/>
    <n v="64641605"/>
    <s v="REB"/>
    <n v="9667526"/>
    <n v="176"/>
    <s v="PEÇAS - Defeito de fabric./Interrompido"/>
    <s v="FUNCIONAL"/>
    <x v="1"/>
    <n v="21594"/>
    <x v="97"/>
    <s v="SP"/>
    <n v="931"/>
    <s v="Ats Off"/>
    <n v="1350"/>
    <s v="W11340256"/>
    <s v="Placas de Interface"/>
    <x v="1"/>
    <n v="1000"/>
    <n v="5003254"/>
    <s v="TMA TRANSPORTE LOTACAO E LOGISTICA"/>
    <n v="555.42999999999995"/>
    <d v="2024-11-12T00:00:00"/>
  </r>
  <r>
    <s v="Sem TR"/>
    <n v="64726835"/>
    <s v="REB"/>
    <n v="9846291"/>
    <n v="160"/>
    <s v="OI Cancelada - Ver motivo no texto"/>
    <s v="OUTROS"/>
    <x v="1"/>
    <n v="45440"/>
    <x v="226"/>
    <s v="MG"/>
    <n v="350"/>
    <s v="Ats On"/>
    <n v="1350"/>
    <s v="W10287527"/>
    <s v="Prateleiras"/>
    <x v="9"/>
    <n v="4000"/>
    <n v="5004215"/>
    <s v="BRASIL WEB TRANSPORTES E LOGISTICA"/>
    <n v="554.98"/>
    <d v="2025-03-07T00:00:00"/>
  </r>
  <r>
    <n v="254042101"/>
    <n v="64791277"/>
    <s v="REB"/>
    <n v="10080019"/>
    <n v="177"/>
    <s v="PEÇAS - Defeito de fabric./Ruído"/>
    <s v="FUNCIONAL"/>
    <x v="0"/>
    <n v="24994"/>
    <x v="227"/>
    <s v="MG"/>
    <n v="350"/>
    <s v="Ats On"/>
    <n v="1350"/>
    <s v="W10882241"/>
    <s v="Agitadores"/>
    <x v="2"/>
    <n v="10000"/>
    <n v="5004215"/>
    <s v="BRASIL WEB TRANSPORTES E LOGISTICA"/>
    <n v="554.21"/>
    <d v="2025-06-24T00:00:00"/>
  </r>
  <r>
    <n v="253981385"/>
    <n v="64757782"/>
    <s v="REB"/>
    <n v="9895103"/>
    <n v="176"/>
    <s v="PEÇAS - Defeito de fabric./Interrompido"/>
    <s v="FUNCIONAL"/>
    <x v="2"/>
    <n v="3648"/>
    <x v="130"/>
    <s v="SP"/>
    <n v="350"/>
    <s v="Ats On"/>
    <n v="1350"/>
    <s v="W10235491"/>
    <s v="Placas de Controle"/>
    <x v="1"/>
    <n v="1000"/>
    <n v="5004042"/>
    <s v="BRASIL WEB TRANSPORTES E LOGISTICA"/>
    <n v="553.47"/>
    <d v="2025-04-25T00:00:00"/>
  </r>
  <r>
    <n v="253961216"/>
    <n v="64735613"/>
    <s v="REB"/>
    <n v="9943551"/>
    <n v="173"/>
    <s v="PEÇAS - Defeito de fabric./Alta Amperage"/>
    <s v="FUNCIONAL"/>
    <x v="2"/>
    <n v="3652"/>
    <x v="51"/>
    <s v="SP"/>
    <n v="350"/>
    <s v="Ats On"/>
    <n v="1350"/>
    <s v="W10544750"/>
    <s v="Motores"/>
    <x v="1"/>
    <n v="1000"/>
    <n v="5004042"/>
    <s v="BRASIL WEB TRANSPORTES E LOGISTICA"/>
    <n v="551.79999999999995"/>
    <d v="2025-03-25T00:00:00"/>
  </r>
  <r>
    <n v="254003898"/>
    <n v="64777890"/>
    <s v="REB"/>
    <n v="10025226"/>
    <n v="176"/>
    <s v="PEÇAS - Defeito de fabric./Interrompido"/>
    <s v="FUNCIONAL"/>
    <x v="1"/>
    <n v="25656"/>
    <x v="173"/>
    <s v="SP"/>
    <n v="931"/>
    <s v="Ats Off"/>
    <n v="1350"/>
    <s v="W10375479"/>
    <s v="Compressores Herméticos"/>
    <x v="0"/>
    <n v="1000"/>
    <n v="5004042"/>
    <s v="BRASIL WEB TRANSPORTES E LOGISTICA"/>
    <n v="551.79"/>
    <d v="2025-05-26T00:00:00"/>
  </r>
  <r>
    <s v="Sem TR"/>
    <n v="64810245"/>
    <s v="ZRDI"/>
    <n v="10095858"/>
    <s v="D10"/>
    <s v="DEV D2C - Comprou modelo errado"/>
    <s v="COMERCIAL"/>
    <x v="2"/>
    <n v="52746663"/>
    <x v="228"/>
    <s v="SP"/>
    <n v="474"/>
    <s v="Site Brastemp"/>
    <n v="1352"/>
    <s v="W10721288"/>
    <s v="Portas"/>
    <x v="6"/>
    <n v="1000"/>
    <n v="5002359"/>
    <s v="EMPRESA BRASILEIRA DE CORREIOS E"/>
    <n v="551.62"/>
    <d v="2025-07-15T00:00:00"/>
  </r>
  <r>
    <n v="253988789"/>
    <n v="64760860"/>
    <s v="REB"/>
    <n v="9601868"/>
    <n v="176"/>
    <s v="PEÇAS - Defeito de fabric./Interrompido"/>
    <s v="FUNCIONAL"/>
    <x v="1"/>
    <n v="3618"/>
    <x v="154"/>
    <s v="SP"/>
    <n v="350"/>
    <s v="Ats On"/>
    <n v="1350"/>
    <s v="W10393823"/>
    <s v="Compressores Herméticos"/>
    <x v="0"/>
    <n v="1000"/>
    <n v="5004042"/>
    <s v="BRASIL WEB TRANSPORTES E LOGISTICA"/>
    <n v="551.6"/>
    <d v="2025-05-05T00:00:00"/>
  </r>
  <r>
    <n v="253988928"/>
    <n v="64758288"/>
    <s v="REB"/>
    <n v="9891030"/>
    <n v="176"/>
    <s v="PEÇAS - Defeito de fabric./Interrompido"/>
    <s v="FUNCIONAL"/>
    <x v="1"/>
    <n v="80833"/>
    <x v="132"/>
    <s v="PR"/>
    <n v="644"/>
    <s v="Plus"/>
    <n v="1350"/>
    <s v="W10393822"/>
    <s v="Compressores Herméticos"/>
    <x v="0"/>
    <n v="1000"/>
    <n v="5003024"/>
    <s v="RODOBRAS TRANSPORTES RODOVIARIOS LT"/>
    <n v="551.46"/>
    <d v="2025-05-05T00:00:00"/>
  </r>
  <r>
    <n v="254012589"/>
    <n v="64787017"/>
    <s v="REB"/>
    <n v="9742824"/>
    <n v="173"/>
    <s v="PEÇAS - Defeito de fabric./Alta Amperage"/>
    <s v="FUNCIONAL"/>
    <x v="1"/>
    <n v="67948"/>
    <x v="15"/>
    <s v="SC"/>
    <n v="713"/>
    <s v="Key Account"/>
    <n v="1350"/>
    <s v="W11161217"/>
    <s v="Placas de Controle"/>
    <x v="1"/>
    <n v="2000"/>
    <n v="5003024"/>
    <s v="RODOBRAS TRANSPORTES RODOVIARIOS LT"/>
    <n v="551.29999999999995"/>
    <d v="2025-06-10T00:00:00"/>
  </r>
  <r>
    <n v="254018367"/>
    <n v="64792284"/>
    <s v="REB"/>
    <n v="10055284"/>
    <n v="90"/>
    <s v="CLIENTE-não solicitou"/>
    <s v="COMERCIAL"/>
    <x v="0"/>
    <n v="72648"/>
    <x v="229"/>
    <s v="PR"/>
    <n v="932"/>
    <s v="CDP Prata"/>
    <n v="1350"/>
    <s v="W11213319"/>
    <s v="Painéis de Controle"/>
    <x v="6"/>
    <n v="1000"/>
    <n v="5003024"/>
    <s v="RODOBRAS TRANSPORTES RODOVIARIOS LT"/>
    <n v="550.49"/>
    <d v="2025-06-16T00:00:00"/>
  </r>
  <r>
    <n v="254018347"/>
    <n v="64790238"/>
    <s v="REB"/>
    <n v="9892045"/>
    <n v="173"/>
    <s v="PEÇAS - Defeito de fabric./Alta Amperage"/>
    <s v="FUNCIONAL"/>
    <x v="1"/>
    <n v="67141"/>
    <x v="214"/>
    <s v="SP"/>
    <n v="648"/>
    <s v="Ultra"/>
    <n v="1350"/>
    <s v="W11133677"/>
    <s v="Compressores Herméticos"/>
    <x v="0"/>
    <n v="1000"/>
    <n v="5004042"/>
    <s v="BRASIL WEB TRANSPORTES E LOGISTICA"/>
    <n v="549.89"/>
    <d v="2025-06-17T00:00:00"/>
  </r>
  <r>
    <n v="254035336"/>
    <n v="64812491"/>
    <s v="REB"/>
    <n v="10011791"/>
    <n v="176"/>
    <s v="PEÇAS - Defeito de fabric./Interrompido"/>
    <s v="FUNCIONAL"/>
    <x v="1"/>
    <n v="4318"/>
    <x v="89"/>
    <s v="SC"/>
    <n v="931"/>
    <s v="Ats Off"/>
    <n v="1350"/>
    <s v="W11244295"/>
    <s v="Painéis de Controle"/>
    <x v="6"/>
    <n v="1000"/>
    <n v="5003024"/>
    <s v="RODOBRAS TRANSPORTES RODOVIARIOS LT"/>
    <n v="548.86"/>
    <d v="2025-07-17T00:00:00"/>
  </r>
  <r>
    <s v="Sem TR"/>
    <n v="64817715"/>
    <s v="REB"/>
    <n v="10154110"/>
    <n v="170"/>
    <s v="PEÇAS - Avaria - Riscada/Depósito"/>
    <s v="LOGÍSTICA"/>
    <x v="1"/>
    <n v="40704"/>
    <x v="91"/>
    <s v="SP"/>
    <n v="931"/>
    <s v="Ats Off"/>
    <n v="1350"/>
    <n v="326039057"/>
    <s v="Gabinetes"/>
    <x v="6"/>
    <n v="1000"/>
    <n v="5004042"/>
    <s v="BRASIL WEB TRANSPORTES E LOGISTICA"/>
    <n v="548.1"/>
    <d v="2025-07-25T00:00:00"/>
  </r>
  <r>
    <n v="254038702"/>
    <n v="64816655"/>
    <s v="REB"/>
    <n v="10149696"/>
    <n v="170"/>
    <s v="PEÇAS - Avaria - Riscada/Depósito"/>
    <s v="LOGÍSTICA"/>
    <x v="0"/>
    <n v="40704"/>
    <x v="91"/>
    <s v="SP"/>
    <n v="931"/>
    <s v="Ats Off"/>
    <n v="1350"/>
    <n v="326039057"/>
    <s v="Gabinetes"/>
    <x v="6"/>
    <n v="1000"/>
    <n v="5004042"/>
    <s v="BRASIL WEB TRANSPORTES E LOGISTICA"/>
    <n v="548.1"/>
    <d v="2025-07-24T00:00:00"/>
  </r>
  <r>
    <n v="254039607"/>
    <n v="64817714"/>
    <s v="REB"/>
    <n v="10154110"/>
    <n v="170"/>
    <s v="PEÇAS - Avaria - Riscada/Depósito"/>
    <s v="LOGÍSTICA"/>
    <x v="0"/>
    <n v="40704"/>
    <x v="91"/>
    <s v="SP"/>
    <n v="931"/>
    <s v="Ats Off"/>
    <n v="1350"/>
    <n v="326039057"/>
    <s v="Gabinetes"/>
    <x v="6"/>
    <n v="1000"/>
    <n v="5004042"/>
    <s v="BRASIL WEB TRANSPORTES E LOGISTICA"/>
    <n v="548.1"/>
    <d v="2025-07-25T00:00:00"/>
  </r>
  <r>
    <n v="254015604"/>
    <n v="64793278"/>
    <s v="REB"/>
    <n v="10043594"/>
    <n v="170"/>
    <s v="PEÇAS - Avaria - Riscada/Depósito"/>
    <s v="LOGÍSTICA"/>
    <x v="2"/>
    <n v="40704"/>
    <x v="91"/>
    <s v="SP"/>
    <n v="931"/>
    <s v="Ats Off"/>
    <n v="1350"/>
    <s v="W10576148"/>
    <s v="Gabinetes"/>
    <x v="6"/>
    <n v="1000"/>
    <n v="5004042"/>
    <s v="BRASIL WEB TRANSPORTES E LOGISTICA"/>
    <n v="547.42999999999995"/>
    <d v="2025-06-17T00:00:00"/>
  </r>
  <r>
    <n v="254020158"/>
    <n v="64798036"/>
    <s v="REB"/>
    <n v="10102319"/>
    <n v="170"/>
    <s v="PEÇAS - Avaria - Riscada/Depósito"/>
    <s v="LOGÍSTICA"/>
    <x v="2"/>
    <n v="40704"/>
    <x v="91"/>
    <s v="SP"/>
    <n v="931"/>
    <s v="Ats Off"/>
    <n v="1350"/>
    <n v="326039057"/>
    <s v="Gabinetes"/>
    <x v="6"/>
    <n v="1000"/>
    <n v="5004042"/>
    <s v="BRASIL WEB TRANSPORTES E LOGISTICA"/>
    <n v="547.42999999999995"/>
    <d v="2025-06-25T00:00:00"/>
  </r>
  <r>
    <n v="254023973"/>
    <n v="64802724"/>
    <s v="REB"/>
    <n v="10113029"/>
    <n v="170"/>
    <s v="PEÇAS - Avaria - Riscada/Depósito"/>
    <s v="LOGÍSTICA"/>
    <x v="2"/>
    <n v="40704"/>
    <x v="91"/>
    <s v="SP"/>
    <n v="931"/>
    <s v="Ats Off"/>
    <n v="1350"/>
    <n v="326039057"/>
    <s v="Gabinetes"/>
    <x v="6"/>
    <n v="1000"/>
    <n v="5004042"/>
    <s v="BRASIL WEB TRANSPORTES E LOGISTICA"/>
    <n v="547.42999999999995"/>
    <d v="2025-07-01T00:00:00"/>
  </r>
  <r>
    <n v="253961389"/>
    <n v="64737937"/>
    <s v="REB"/>
    <n v="9823221"/>
    <n v="173"/>
    <s v="PEÇAS - Defeito de fabric./Alta Amperage"/>
    <s v="FUNCIONAL"/>
    <x v="1"/>
    <n v="70149"/>
    <x v="147"/>
    <s v="SP"/>
    <n v="963"/>
    <s v="Ats Distribuidoras"/>
    <n v="1350"/>
    <s v="W10666796"/>
    <s v="Compressores Herméticos"/>
    <x v="0"/>
    <n v="1000"/>
    <n v="5004042"/>
    <s v="BRASIL WEB TRANSPORTES E LOGISTICA"/>
    <n v="547.30999999999995"/>
    <d v="2025-03-26T00:00:00"/>
  </r>
  <r>
    <s v="Sem TR"/>
    <n v="64701910"/>
    <s v="ROB"/>
    <n v="9818784"/>
    <n v="221"/>
    <s v="DEV-Sinistro - SEGURO"/>
    <s v="TRANSPORTADORA"/>
    <x v="0"/>
    <n v="72786"/>
    <x v="41"/>
    <s v="SC"/>
    <n v="643"/>
    <s v="Elite"/>
    <n v="1350"/>
    <s v="W10722472"/>
    <s v="Bombas"/>
    <x v="1"/>
    <n v="8000"/>
    <n v="5003024"/>
    <s v="RODOBRAS TRANSPORTES RODOVIARIOS LT"/>
    <n v="546.15"/>
    <d v="2025-01-28T00:00:00"/>
  </r>
  <r>
    <n v="254009889"/>
    <n v="64788542"/>
    <s v="ROB"/>
    <n v="10060283"/>
    <n v="311"/>
    <s v="DEV-PRODUTO TROCADO-LOGÍSTICA"/>
    <s v="LOGÍSTICA"/>
    <x v="2"/>
    <n v="66743"/>
    <x v="170"/>
    <s v="SC"/>
    <n v="932"/>
    <s v="CDP Prata"/>
    <n v="1350"/>
    <s v="W10769940"/>
    <s v="Compressores Herméticos"/>
    <x v="0"/>
    <n v="1000"/>
    <n v="5003024"/>
    <s v="RODOBRAS TRANSPORTES RODOVIARIOS LT"/>
    <n v="545.33000000000004"/>
    <d v="2025-06-09T00:00:00"/>
  </r>
  <r>
    <n v="254007556"/>
    <n v="64782020"/>
    <s v="REB"/>
    <n v="9913104"/>
    <n v="178"/>
    <s v="PEÇAS -Defeito de fabric./Sem Compressão"/>
    <s v="FUNCIONAL"/>
    <x v="1"/>
    <n v="27253"/>
    <x v="167"/>
    <s v="PI"/>
    <n v="931"/>
    <s v="Ats Off"/>
    <n v="1350"/>
    <s v="W10393823"/>
    <s v="Compressores Herméticos"/>
    <x v="0"/>
    <n v="1000"/>
    <n v="5004101"/>
    <s v="UNIDOCK'S ASSESSORIA E LOGISTICA DE"/>
    <n v="544.33000000000004"/>
    <d v="2025-06-02T00:00:00"/>
  </r>
  <r>
    <n v="254007592"/>
    <n v="64777142"/>
    <s v="REB"/>
    <n v="9664771"/>
    <n v="177"/>
    <s v="PEÇAS - Defeito de fabric./Ruído"/>
    <s v="FUNCIONAL"/>
    <x v="2"/>
    <n v="53319"/>
    <x v="172"/>
    <s v="PR"/>
    <n v="644"/>
    <s v="Plus"/>
    <n v="1350"/>
    <s v="W10393822"/>
    <s v="Compressores Herméticos"/>
    <x v="0"/>
    <n v="1000"/>
    <n v="5003024"/>
    <s v="RODOBRAS TRANSPORTES RODOVIARIOS LT"/>
    <n v="543.49"/>
    <d v="2025-06-02T00:00:00"/>
  </r>
  <r>
    <n v="253952489"/>
    <n v="64725706"/>
    <s v="REB"/>
    <n v="9808567"/>
    <n v="173"/>
    <s v="PEÇAS - Defeito de fabric./Alta Amperage"/>
    <s v="FUNCIONAL"/>
    <x v="2"/>
    <n v="75812"/>
    <x v="102"/>
    <s v="SP"/>
    <n v="931"/>
    <s v="Ats Off"/>
    <n v="1350"/>
    <s v="W10666797"/>
    <s v="Compressores Herméticos"/>
    <x v="0"/>
    <n v="1000"/>
    <n v="5004042"/>
    <s v="BRASIL WEB TRANSPORTES E LOGISTICA"/>
    <n v="542.88"/>
    <d v="2025-03-08T00:00:00"/>
  </r>
  <r>
    <n v="254033375"/>
    <n v="64802461"/>
    <s v="REB"/>
    <n v="10040330"/>
    <n v="173"/>
    <s v="PEÇAS - Defeito de fabric./Alta Amperage"/>
    <s v="FUNCIONAL"/>
    <x v="0"/>
    <n v="30121"/>
    <x v="23"/>
    <s v="SP"/>
    <n v="648"/>
    <s v="Ultra"/>
    <n v="1350"/>
    <s v="W11299803"/>
    <s v="Mecanismos"/>
    <x v="2"/>
    <n v="5000"/>
    <n v="5004042"/>
    <s v="BRASIL WEB TRANSPORTES E LOGISTICA"/>
    <n v="542.54999999999995"/>
    <d v="2025-07-01T00:00:00"/>
  </r>
  <r>
    <n v="254023337"/>
    <n v="64589869"/>
    <s v="REB"/>
    <n v="9498213"/>
    <n v="173"/>
    <s v="PEÇAS - Defeito de fabric./Alta Amperage"/>
    <s v="FUNCIONAL"/>
    <x v="1"/>
    <n v="22040"/>
    <x v="230"/>
    <s v="SP"/>
    <n v="932"/>
    <s v="CDP Prata"/>
    <n v="1350"/>
    <s v="W10732276"/>
    <s v="Placas de Controle"/>
    <x v="1"/>
    <n v="1000"/>
    <n v="5004042"/>
    <s v="BRASIL WEB TRANSPORTES E LOGISTICA"/>
    <n v="541.57000000000005"/>
    <d v="2024-08-08T00:00:00"/>
  </r>
  <r>
    <n v="254018346"/>
    <n v="64792978"/>
    <s v="REB"/>
    <n v="9892045"/>
    <n v="178"/>
    <s v="PEÇAS -Defeito de fabric./Sem Compressão"/>
    <s v="FUNCIONAL"/>
    <x v="2"/>
    <n v="67141"/>
    <x v="214"/>
    <s v="SP"/>
    <n v="648"/>
    <s v="Ultra"/>
    <n v="1350"/>
    <s v="W10769940"/>
    <s v="Compressores Herméticos"/>
    <x v="0"/>
    <n v="1000"/>
    <n v="5004042"/>
    <s v="BRASIL WEB TRANSPORTES E LOGISTICA"/>
    <n v="541.54999999999995"/>
    <d v="2025-06-17T00:00:00"/>
  </r>
  <r>
    <n v="254018345"/>
    <n v="64793471"/>
    <s v="REB"/>
    <n v="9892045"/>
    <n v="173"/>
    <s v="PEÇAS - Defeito de fabric./Alta Amperage"/>
    <s v="FUNCIONAL"/>
    <x v="2"/>
    <n v="67141"/>
    <x v="214"/>
    <s v="SP"/>
    <n v="648"/>
    <s v="Ultra"/>
    <n v="1350"/>
    <s v="W10769940"/>
    <s v="Compressores Herméticos"/>
    <x v="0"/>
    <n v="1000"/>
    <n v="5004042"/>
    <s v="BRASIL WEB TRANSPORTES E LOGISTICA"/>
    <n v="541.54999999999995"/>
    <d v="2025-06-17T00:00:00"/>
  </r>
  <r>
    <n v="254007619"/>
    <n v="64783369"/>
    <s v="REB"/>
    <n v="9901672"/>
    <n v="176"/>
    <s v="PEÇAS - Defeito de fabric./Interrompido"/>
    <s v="FUNCIONAL"/>
    <x v="1"/>
    <n v="81988"/>
    <x v="38"/>
    <s v="MG"/>
    <n v="648"/>
    <s v="Ultra"/>
    <n v="1350"/>
    <s v="W10769940"/>
    <s v="Compressores Herméticos"/>
    <x v="0"/>
    <n v="1000"/>
    <n v="5004215"/>
    <s v="BRASIL WEB TRANSPORTES E LOGISTICA"/>
    <n v="541.37"/>
    <d v="2025-06-02T00:00:00"/>
  </r>
  <r>
    <n v="254007618"/>
    <n v="64783411"/>
    <s v="REB"/>
    <n v="9901672"/>
    <n v="176"/>
    <s v="PEÇAS - Defeito de fabric./Interrompido"/>
    <s v="FUNCIONAL"/>
    <x v="2"/>
    <n v="81988"/>
    <x v="38"/>
    <s v="MG"/>
    <n v="648"/>
    <s v="Ultra"/>
    <n v="1350"/>
    <s v="W10769940"/>
    <s v="Compressores Herméticos"/>
    <x v="0"/>
    <n v="1000"/>
    <n v="5004215"/>
    <s v="BRASIL WEB TRANSPORTES E LOGISTICA"/>
    <n v="541.37"/>
    <d v="2025-06-02T00:00:00"/>
  </r>
  <r>
    <n v="253983943"/>
    <n v="64759534"/>
    <s v="REB"/>
    <n v="9895932"/>
    <n v="173"/>
    <s v="PEÇAS - Defeito de fabric./Alta Amperage"/>
    <s v="FUNCIONAL"/>
    <x v="1"/>
    <n v="61472"/>
    <x v="79"/>
    <s v="MG"/>
    <n v="350"/>
    <s v="Ats On"/>
    <n v="1350"/>
    <s v="W10393822"/>
    <s v="Compressores Herméticos"/>
    <x v="0"/>
    <n v="1000"/>
    <n v="5004215"/>
    <s v="BRASIL WEB TRANSPORTES E LOGISTICA"/>
    <n v="541.23"/>
    <d v="2025-04-28T00:00:00"/>
  </r>
  <r>
    <n v="254012590"/>
    <n v="64776148"/>
    <s v="REB"/>
    <n v="9689965"/>
    <n v="173"/>
    <s v="PEÇAS - Defeito de fabric./Alta Amperage"/>
    <s v="FUNCIONAL"/>
    <x v="1"/>
    <n v="67948"/>
    <x v="15"/>
    <s v="SC"/>
    <n v="713"/>
    <s v="Key Account"/>
    <n v="1350"/>
    <s v="W10591460"/>
    <s v="Placas de Controle"/>
    <x v="1"/>
    <n v="2000"/>
    <n v="5003024"/>
    <s v="RODOBRAS TRANSPORTES RODOVIARIOS LT"/>
    <n v="541.04999999999995"/>
    <d v="2025-06-10T00:00:00"/>
  </r>
  <r>
    <n v="253891654"/>
    <n v="64660435"/>
    <s v="REB"/>
    <n v="9240303"/>
    <n v="178"/>
    <s v="PEÇAS -Defeito de fabric./Sem Compressão"/>
    <s v="FUNCIONAL"/>
    <x v="1"/>
    <n v="55093"/>
    <x v="231"/>
    <s v="SP"/>
    <n v="648"/>
    <s v="Ultra"/>
    <n v="1350"/>
    <s v="W10393822"/>
    <s v="Compressores Herméticos"/>
    <x v="0"/>
    <n v="1000"/>
    <n v="5003254"/>
    <s v="TMA TRANSPORTE LOTACAO E LOGISTICA"/>
    <n v="540.45000000000005"/>
    <d v="2024-12-05T00:00:00"/>
  </r>
  <r>
    <n v="254027366"/>
    <n v="64806772"/>
    <s v="REB"/>
    <n v="10121099"/>
    <n v="170"/>
    <s v="PEÇAS - Avaria - Riscada/Depósito"/>
    <s v="LOGÍSTICA"/>
    <x v="2"/>
    <n v="40704"/>
    <x v="91"/>
    <s v="SP"/>
    <n v="931"/>
    <s v="Ats Off"/>
    <n v="1350"/>
    <n v="326039057"/>
    <s v="Gabinetes"/>
    <x v="6"/>
    <n v="1000"/>
    <n v="5004042"/>
    <s v="BRASIL WEB TRANSPORTES E LOGISTICA"/>
    <n v="540.45000000000005"/>
    <d v="2025-07-07T00:00:00"/>
  </r>
  <r>
    <n v="253952272"/>
    <n v="64725193"/>
    <s v="REB"/>
    <n v="9819950"/>
    <n v="178"/>
    <s v="PEÇAS -Defeito de fabric./Sem Compressão"/>
    <s v="FUNCIONAL"/>
    <x v="1"/>
    <n v="31587"/>
    <x v="135"/>
    <s v="SP"/>
    <n v="643"/>
    <s v="Elite"/>
    <n v="1350"/>
    <s v="W10666797"/>
    <s v="Compressores Herméticos"/>
    <x v="0"/>
    <n v="1000"/>
    <n v="5004042"/>
    <s v="BRASIL WEB TRANSPORTES E LOGISTICA"/>
    <n v="539.99"/>
    <d v="2025-03-10T00:00:00"/>
  </r>
  <r>
    <n v="254018212"/>
    <n v="64793179"/>
    <s v="REB"/>
    <n v="9496650"/>
    <n v="176"/>
    <s v="PEÇAS - Defeito de fabric./Interrompido"/>
    <s v="FUNCIONAL"/>
    <x v="2"/>
    <n v="9991"/>
    <x v="86"/>
    <s v="DF"/>
    <n v="648"/>
    <s v="Ultra"/>
    <n v="1350"/>
    <s v="W10393823"/>
    <s v="Compressores Herméticos"/>
    <x v="0"/>
    <n v="1000"/>
    <n v="5002858"/>
    <s v="FAVORITA TRANSPORTES LTDA"/>
    <n v="539.64"/>
    <d v="2025-06-17T00:00:00"/>
  </r>
  <r>
    <n v="253952490"/>
    <n v="64727415"/>
    <s v="REB"/>
    <n v="9808567"/>
    <n v="167"/>
    <s v="PEÇAS - Avaria - Quebrada/Depósito"/>
    <s v="LOGÍSTICA"/>
    <x v="2"/>
    <n v="75812"/>
    <x v="102"/>
    <s v="SP"/>
    <n v="931"/>
    <s v="Ats Off"/>
    <n v="1350"/>
    <s v="W10388219"/>
    <s v="Compressores Herméticos"/>
    <x v="0"/>
    <n v="1000"/>
    <n v="5004042"/>
    <s v="BRASIL WEB TRANSPORTES E LOGISTICA"/>
    <n v="539.42999999999995"/>
    <d v="2025-03-08T00:00:00"/>
  </r>
  <r>
    <n v="254018258"/>
    <n v="64793490"/>
    <s v="REB"/>
    <n v="9899889"/>
    <n v="178"/>
    <s v="PEÇAS -Defeito de fabric./Sem Compressão"/>
    <s v="FUNCIONAL"/>
    <x v="1"/>
    <n v="29164"/>
    <x v="32"/>
    <s v="BA"/>
    <n v="648"/>
    <s v="Ultra"/>
    <n v="1350"/>
    <s v="W10393823"/>
    <s v="Compressores Herméticos"/>
    <x v="0"/>
    <n v="1000"/>
    <n v="5004101"/>
    <s v="UNIDOCK'S ASSESSORIA E LOGISTICA DE"/>
    <n v="539.32000000000005"/>
    <d v="2025-06-17T00:00:00"/>
  </r>
  <r>
    <n v="253994992"/>
    <n v="64768728"/>
    <s v="REB"/>
    <n v="9983111"/>
    <n v="177"/>
    <s v="PEÇAS - Defeito de fabric./Ruído"/>
    <s v="FUNCIONAL"/>
    <x v="2"/>
    <n v="578"/>
    <x v="232"/>
    <s v="MG"/>
    <n v="350"/>
    <s v="Ats On"/>
    <n v="1350"/>
    <s v="W10882241"/>
    <s v="Agitadores"/>
    <x v="2"/>
    <n v="10000"/>
    <n v="5004215"/>
    <s v="BRASIL WEB TRANSPORTES E LOGISTICA"/>
    <n v="539.23"/>
    <d v="2025-05-16T00:00:00"/>
  </r>
  <r>
    <n v="254004011"/>
    <n v="64775508"/>
    <s v="REB"/>
    <n v="9916945"/>
    <n v="173"/>
    <s v="PEÇAS - Defeito de fabric./Alta Amperage"/>
    <s v="FUNCIONAL"/>
    <x v="1"/>
    <n v="56592"/>
    <x v="233"/>
    <s v="SE"/>
    <n v="641"/>
    <s v="CDP Diamante"/>
    <n v="1350"/>
    <s v="W10393822"/>
    <s v="Compressores Herméticos"/>
    <x v="0"/>
    <n v="1000"/>
    <n v="5004101"/>
    <s v="UNIDOCK'S ASSESSORIA E LOGISTICA DE"/>
    <n v="538.55999999999995"/>
    <d v="2025-05-26T00:00:00"/>
  </r>
  <r>
    <n v="254042174"/>
    <n v="64795643"/>
    <s v="REB"/>
    <n v="10053271"/>
    <n v="176"/>
    <s v="PEÇAS - Defeito de fabric./Interrompido"/>
    <s v="FUNCIONAL"/>
    <x v="0"/>
    <n v="1026"/>
    <x v="234"/>
    <s v="GO"/>
    <n v="350"/>
    <s v="Ats On"/>
    <n v="1350"/>
    <s v="W10887228"/>
    <s v="Placas de Controle"/>
    <x v="1"/>
    <n v="1000"/>
    <n v="5002858"/>
    <s v="FAVORITA TRANSPORTES LTDA"/>
    <n v="538.29999999999995"/>
    <d v="2025-06-23T00:00:00"/>
  </r>
  <r>
    <n v="254004056"/>
    <n v="64778314"/>
    <s v="REB"/>
    <n v="9981183"/>
    <n v="173"/>
    <s v="PEÇAS - Defeito de fabric./Alta Amperage"/>
    <s v="FUNCIONAL"/>
    <x v="1"/>
    <n v="78757"/>
    <x v="50"/>
    <s v="RS"/>
    <n v="643"/>
    <s v="Elite"/>
    <n v="1350"/>
    <s v="W11647662"/>
    <s v="Compressores Herméticos"/>
    <x v="0"/>
    <n v="2000"/>
    <n v="5003024"/>
    <s v="RODOBRAS TRANSPORTES RODOVIARIOS LT"/>
    <n v="537.41999999999996"/>
    <d v="2025-05-26T00:00:00"/>
  </r>
  <r>
    <s v="Sem TR"/>
    <n v="64812657"/>
    <s v="REB"/>
    <n v="10011158"/>
    <n v="178"/>
    <s v="PEÇAS -Defeito de fabric./Sem Compressão"/>
    <s v="FUNCIONAL"/>
    <x v="1"/>
    <n v="28684"/>
    <x v="235"/>
    <s v="SP"/>
    <n v="648"/>
    <s v="Ultra"/>
    <n v="1350"/>
    <s v="W10393823"/>
    <s v="Compressores Herméticos"/>
    <x v="0"/>
    <n v="1000"/>
    <n v="5004042"/>
    <s v="BRASIL WEB TRANSPORTES E LOGISTICA"/>
    <n v="537.32000000000005"/>
    <d v="2025-07-17T00:00:00"/>
  </r>
  <r>
    <s v="Sem TR"/>
    <n v="64802540"/>
    <s v="REB"/>
    <n v="10063463"/>
    <n v="173"/>
    <s v="PEÇAS - Defeito de fabric./Alta Amperage"/>
    <s v="FUNCIONAL"/>
    <x v="1"/>
    <n v="3524"/>
    <x v="93"/>
    <s v="SP"/>
    <n v="931"/>
    <s v="Ats Off"/>
    <n v="1350"/>
    <s v="W11459425"/>
    <s v="Compressores Herméticos"/>
    <x v="0"/>
    <n v="1000"/>
    <n v="5004042"/>
    <s v="BRASIL WEB TRANSPORTES E LOGISTICA"/>
    <n v="536.98"/>
    <d v="2025-07-01T00:00:00"/>
  </r>
  <r>
    <n v="253988885"/>
    <n v="64764288"/>
    <s v="REB"/>
    <n v="9403812"/>
    <n v="173"/>
    <s v="PEÇAS - Defeito de fabric./Alta Amperage"/>
    <s v="FUNCIONAL"/>
    <x v="1"/>
    <n v="50390"/>
    <x v="236"/>
    <s v="SP"/>
    <n v="934"/>
    <s v="CDP Ouro"/>
    <n v="1350"/>
    <s v="W10393823"/>
    <s v="Compressores Herméticos"/>
    <x v="0"/>
    <n v="1000"/>
    <n v="5004042"/>
    <s v="BRASIL WEB TRANSPORTES E LOGISTICA"/>
    <n v="536.49"/>
    <d v="2025-05-05T00:00:00"/>
  </r>
  <r>
    <n v="253952489"/>
    <n v="64723528"/>
    <s v="REB"/>
    <n v="9350917"/>
    <n v="176"/>
    <s v="PEÇAS - Defeito de fabric./Interrompido"/>
    <s v="FUNCIONAL"/>
    <x v="2"/>
    <n v="75812"/>
    <x v="102"/>
    <s v="SP"/>
    <n v="931"/>
    <s v="Ats Off"/>
    <n v="1350"/>
    <s v="W10666797"/>
    <s v="Compressores Herméticos"/>
    <x v="0"/>
    <n v="1000"/>
    <n v="5004042"/>
    <s v="BRASIL WEB TRANSPORTES E LOGISTICA"/>
    <n v="536.03"/>
    <d v="2025-03-08T00:00:00"/>
  </r>
  <r>
    <n v="253952142"/>
    <n v="64728383"/>
    <s v="REB"/>
    <n v="9877859"/>
    <n v="176"/>
    <s v="PEÇAS - Defeito de fabric./Interrompido"/>
    <s v="FUNCIONAL"/>
    <x v="1"/>
    <n v="3524"/>
    <x v="93"/>
    <s v="SP"/>
    <n v="931"/>
    <s v="Ats Off"/>
    <n v="1350"/>
    <s v="W11133677"/>
    <s v="Compressores Herméticos"/>
    <x v="0"/>
    <n v="1000"/>
    <n v="5004042"/>
    <s v="BRASIL WEB TRANSPORTES E LOGISTICA"/>
    <n v="535.57000000000005"/>
    <d v="2025-03-10T00:00:00"/>
  </r>
  <r>
    <n v="253988834"/>
    <n v="64763921"/>
    <s v="REB"/>
    <n v="9973149"/>
    <n v="173"/>
    <s v="PEÇAS - Defeito de fabric./Alta Amperage"/>
    <s v="FUNCIONAL"/>
    <x v="1"/>
    <n v="21594"/>
    <x v="97"/>
    <s v="SP"/>
    <n v="931"/>
    <s v="Ats Off"/>
    <n v="1350"/>
    <s v="W10260458"/>
    <s v="Motores Ventiladores"/>
    <x v="1"/>
    <n v="1000"/>
    <n v="5004042"/>
    <s v="BRASIL WEB TRANSPORTES E LOGISTICA"/>
    <n v="535.38"/>
    <d v="2025-05-05T00:00:00"/>
  </r>
  <r>
    <n v="254033340"/>
    <n v="64802536"/>
    <s v="REB"/>
    <n v="9722595"/>
    <n v="173"/>
    <s v="PEÇAS - Defeito de fabric./Alta Amperage"/>
    <s v="FUNCIONAL"/>
    <x v="0"/>
    <n v="27874"/>
    <x v="237"/>
    <s v="RS"/>
    <n v="641"/>
    <s v="CDP Diamante"/>
    <n v="1350"/>
    <s v="W10393823"/>
    <s v="Compressores Herméticos"/>
    <x v="0"/>
    <n v="1000"/>
    <n v="5003024"/>
    <s v="RODOBRAS TRANSPORTES RODOVIARIOS LT"/>
    <n v="534.19000000000005"/>
    <d v="2025-07-01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300676"/>
    <s v="Mecanismos"/>
    <x v="2"/>
    <n v="5000"/>
    <n v="5002858"/>
    <s v="FAVORITA TRANSPORTES LTDA"/>
    <n v="534"/>
    <d v="2025-07-15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1254865"/>
    <s v="Mecanismos"/>
    <x v="2"/>
    <n v="3000"/>
    <n v="5003024"/>
    <s v="RODOBRAS TRANSPORTES RODOVIARIOS LT"/>
    <n v="533.85"/>
    <d v="2025-01-28T00:00:00"/>
  </r>
  <r>
    <n v="254038374"/>
    <n v="64814650"/>
    <s v="REB"/>
    <n v="9978935"/>
    <n v="178"/>
    <s v="PEÇAS -Defeito de fabric./Sem Compressão"/>
    <s v="FUNCIONAL"/>
    <x v="0"/>
    <n v="41851"/>
    <x v="238"/>
    <s v="CE"/>
    <n v="648"/>
    <s v="Ultra"/>
    <n v="1350"/>
    <s v="W10393823"/>
    <s v="Compressores Herméticos"/>
    <x v="0"/>
    <n v="1000"/>
    <n v="5004101"/>
    <s v="UNIDOCK'S ASSESSORIA E LOGISTICA DE"/>
    <n v="531.19000000000005"/>
    <d v="2025-07-22T00:00:00"/>
  </r>
  <r>
    <n v="254038374"/>
    <n v="64814804"/>
    <s v="REB"/>
    <n v="9879619"/>
    <n v="178"/>
    <s v="PEÇAS -Defeito de fabric./Sem Compressão"/>
    <s v="FUNCIONAL"/>
    <x v="0"/>
    <n v="41851"/>
    <x v="238"/>
    <s v="CE"/>
    <n v="648"/>
    <s v="Ultra"/>
    <n v="1350"/>
    <s v="W10393823"/>
    <s v="Compressores Herméticos"/>
    <x v="0"/>
    <n v="1000"/>
    <n v="5004101"/>
    <s v="UNIDOCK'S ASSESSORIA E LOGISTICA DE"/>
    <n v="531.19000000000005"/>
    <d v="2025-07-22T00:00:00"/>
  </r>
  <r>
    <n v="254009588"/>
    <n v="64787897"/>
    <s v="REB"/>
    <n v="10053557"/>
    <n v="170"/>
    <s v="PEÇAS - Avaria - Riscada/Depósito"/>
    <s v="LOGÍSTICA"/>
    <x v="2"/>
    <n v="40704"/>
    <x v="91"/>
    <s v="SP"/>
    <n v="931"/>
    <s v="Ats Off"/>
    <n v="1350"/>
    <s v="W11715185"/>
    <s v="Outros"/>
    <x v="7"/>
    <n v="1000"/>
    <n v="5004042"/>
    <s v="BRASIL WEB TRANSPORTES E LOGISTICA"/>
    <n v="531.16"/>
    <d v="2025-06-06T00:00:00"/>
  </r>
  <r>
    <n v="254009588"/>
    <n v="64787897"/>
    <s v="REB"/>
    <n v="10053557"/>
    <n v="170"/>
    <s v="PEÇAS - Avaria - Riscada/Depósito"/>
    <s v="LOGÍSTICA"/>
    <x v="2"/>
    <n v="40704"/>
    <x v="91"/>
    <s v="SP"/>
    <n v="931"/>
    <s v="Ats Off"/>
    <n v="1350"/>
    <s v="W11715185"/>
    <s v="Outros"/>
    <x v="7"/>
    <n v="1000"/>
    <n v="5004042"/>
    <s v="BRASIL WEB TRANSPORTES E LOGISTICA"/>
    <n v="531.16"/>
    <d v="2025-06-06T00:00:00"/>
  </r>
  <r>
    <n v="253886315"/>
    <n v="64645108"/>
    <s v="REB"/>
    <n v="8895720"/>
    <n v="178"/>
    <s v="PEÇAS -Defeito de fabric./Sem Compressão"/>
    <s v="FUNCIONAL"/>
    <x v="1"/>
    <n v="81459"/>
    <x v="221"/>
    <s v="SP"/>
    <n v="648"/>
    <s v="Ultra"/>
    <n v="1350"/>
    <s v="W10393823"/>
    <s v="Compressores Herméticos"/>
    <x v="0"/>
    <n v="1000"/>
    <n v="5004042"/>
    <s v="BRASIL WEB TRANSPORTES E LOGISTICA"/>
    <n v="529.66999999999996"/>
    <d v="2024-11-29T00:00:00"/>
  </r>
  <r>
    <n v="254028523"/>
    <n v="64808246"/>
    <s v="REB"/>
    <n v="10121992"/>
    <n v="170"/>
    <s v="PEÇAS - Avaria - Riscada/Depósito"/>
    <s v="LOGÍSTICA"/>
    <x v="2"/>
    <n v="52227"/>
    <x v="59"/>
    <s v="RJ"/>
    <n v="350"/>
    <s v="Ats On"/>
    <n v="1350"/>
    <n v="326039057"/>
    <s v="Gabinetes"/>
    <x v="6"/>
    <n v="1000"/>
    <n v="5003176"/>
    <s v="J C THEDIN TRANSPORTES LTDA"/>
    <n v="529.05999999999995"/>
    <d v="2025-07-10T00:00:00"/>
  </r>
  <r>
    <n v="254023198"/>
    <n v="64800416"/>
    <s v="REB"/>
    <n v="10100426"/>
    <n v="170"/>
    <s v="PEÇAS - Avaria - Riscada/Depósito"/>
    <s v="LOGÍSTICA"/>
    <x v="2"/>
    <n v="52227"/>
    <x v="59"/>
    <s v="RJ"/>
    <n v="350"/>
    <s v="Ats On"/>
    <n v="1350"/>
    <n v="326039057"/>
    <s v="Gabinetes"/>
    <x v="6"/>
    <n v="1000"/>
    <n v="5003176"/>
    <s v="J C THEDIN TRANSPORTES LTDA"/>
    <n v="528.95000000000005"/>
    <d v="2025-06-30T00:00:00"/>
  </r>
  <r>
    <n v="254035371"/>
    <n v="64812252"/>
    <s v="REB"/>
    <n v="9627631"/>
    <n v="173"/>
    <s v="PEÇAS - Defeito de fabric./Alta Amperage"/>
    <s v="FUNCIONAL"/>
    <x v="0"/>
    <n v="30990"/>
    <x v="26"/>
    <s v="ES"/>
    <n v="713"/>
    <s v="Key Account"/>
    <n v="1350"/>
    <s v="W11391012"/>
    <s v="Placas de Controle"/>
    <x v="1"/>
    <n v="2000"/>
    <n v="5004042"/>
    <s v="BRASIL WEB TRANSPORTES E LOGISTICA"/>
    <n v="527.37"/>
    <d v="2025-07-17T00:00:00"/>
  </r>
  <r>
    <n v="254012488"/>
    <n v="64789165"/>
    <s v="REB"/>
    <n v="9469058"/>
    <n v="178"/>
    <s v="PEÇAS -Defeito de fabric./Sem Compressão"/>
    <s v="FUNCIONAL"/>
    <x v="2"/>
    <n v="27031"/>
    <x v="239"/>
    <s v="SP"/>
    <n v="932"/>
    <s v="CDP Prata"/>
    <n v="1350"/>
    <s v="W10393822"/>
    <s v="Compressores Herméticos"/>
    <x v="0"/>
    <n v="1000"/>
    <n v="5004042"/>
    <s v="BRASIL WEB TRANSPORTES E LOGISTICA"/>
    <n v="526.79"/>
    <d v="2025-06-10T00:00:00"/>
  </r>
  <r>
    <n v="254041600"/>
    <n v="64723383"/>
    <s v="ZDVP"/>
    <n v="9749235"/>
    <n v="173"/>
    <s v="PEÇAS - Defeito de fabric./Alta Amperage"/>
    <s v="FUNCIONAL"/>
    <x v="0"/>
    <n v="67948"/>
    <x v="15"/>
    <s v="SC"/>
    <n v="713"/>
    <s v="Key Account"/>
    <n v="1350"/>
    <s v="W11300816"/>
    <s v="Mecanismos"/>
    <x v="2"/>
    <n v="5000"/>
    <n v="5003024"/>
    <s v="RODOBRAS TRANSPORTES RODOVIARIOS LT"/>
    <n v="526.54999999999995"/>
    <d v="2025-03-10T00:00:00"/>
  </r>
  <r>
    <n v="254042369"/>
    <n v="64798373"/>
    <s v="REB"/>
    <n v="10122419"/>
    <n v="110"/>
    <s v="PEÇAS-Troca de produtos"/>
    <s v="GESTÃO DE TROCAS"/>
    <x v="0"/>
    <n v="53871"/>
    <x v="141"/>
    <s v="SC"/>
    <n v="350"/>
    <s v="Ats On"/>
    <n v="1350"/>
    <s v="W11694641"/>
    <s v="Placas de Controle"/>
    <x v="1"/>
    <n v="1000"/>
    <n v="5003024"/>
    <s v="RODOBRAS TRANSPORTES RODOVIARIOS LT"/>
    <n v="526.12"/>
    <d v="2025-07-12T00:00:00"/>
  </r>
  <r>
    <n v="253917897"/>
    <n v="64681193"/>
    <s v="REB"/>
    <n v="9823327"/>
    <n v="170"/>
    <s v="PEÇAS - Avaria - Riscada/Depósito"/>
    <s v="LOGÍSTICA"/>
    <x v="1"/>
    <n v="40704"/>
    <x v="91"/>
    <s v="SP"/>
    <n v="931"/>
    <s v="Ats Off"/>
    <n v="1350"/>
    <n v="326039057"/>
    <s v="Gabinetes"/>
    <x v="6"/>
    <n v="1000"/>
    <n v="5004042"/>
    <s v="BRASIL WEB TRANSPORTES E LOGISTICA"/>
    <n v="525.92999999999995"/>
    <d v="2025-01-15T00:00:00"/>
  </r>
  <r>
    <n v="253952312"/>
    <n v="64728320"/>
    <s v="REB"/>
    <n v="9051527"/>
    <n v="178"/>
    <s v="PEÇAS -Defeito de fabric./Sem Compressão"/>
    <s v="FUNCIONAL"/>
    <x v="2"/>
    <n v="38591"/>
    <x v="240"/>
    <s v="GO"/>
    <n v="643"/>
    <s v="Elite"/>
    <n v="1350"/>
    <s v="W10393823"/>
    <s v="Compressores Herméticos"/>
    <x v="0"/>
    <n v="1000"/>
    <n v="5002858"/>
    <s v="FAVORITA TRANSPORTES LTDA"/>
    <n v="525.92999999999995"/>
    <d v="2025-03-10T00:00:00"/>
  </r>
  <r>
    <n v="253970940"/>
    <n v="64748306"/>
    <s v="REB"/>
    <n v="9846703"/>
    <n v="173"/>
    <s v="PEÇAS - Defeito de fabric./Alta Amperage"/>
    <s v="FUNCIONAL"/>
    <x v="1"/>
    <n v="75751"/>
    <x v="108"/>
    <s v="PR"/>
    <n v="931"/>
    <s v="Ats Off"/>
    <n v="1350"/>
    <s v="W10393823"/>
    <s v="Compressores Herméticos"/>
    <x v="0"/>
    <n v="1000"/>
    <n v="5003024"/>
    <s v="RODOBRAS TRANSPORTES RODOVIARIOS LT"/>
    <n v="525.88"/>
    <d v="2025-04-09T00:00:00"/>
  </r>
  <r>
    <n v="254018316"/>
    <n v="64785646"/>
    <s v="REB"/>
    <n v="9864048"/>
    <n v="176"/>
    <s v="PEÇAS - Defeito de fabric./Interrompido"/>
    <s v="FUNCIONAL"/>
    <x v="2"/>
    <n v="50055"/>
    <x v="241"/>
    <s v="MS"/>
    <n v="648"/>
    <s v="Ultra"/>
    <n v="1350"/>
    <s v="W10393823"/>
    <s v="Compressores Herméticos"/>
    <x v="0"/>
    <n v="1000"/>
    <n v="5002573"/>
    <s v="CARVALIMA TRANSPORTES LTDA"/>
    <n v="525.53"/>
    <d v="2025-06-17T00:00:00"/>
  </r>
  <r>
    <n v="254018316"/>
    <n v="64791518"/>
    <s v="REB"/>
    <n v="9864046"/>
    <n v="176"/>
    <s v="PEÇAS - Defeito de fabric./Interrompido"/>
    <s v="FUNCIONAL"/>
    <x v="2"/>
    <n v="50055"/>
    <x v="241"/>
    <s v="MS"/>
    <n v="648"/>
    <s v="Ultra"/>
    <n v="1350"/>
    <s v="W10393822"/>
    <s v="Compressores Herméticos"/>
    <x v="0"/>
    <n v="1000"/>
    <n v="5002573"/>
    <s v="CARVALIMA TRANSPORTES LTDA"/>
    <n v="525.53"/>
    <d v="2025-06-17T00:00:00"/>
  </r>
  <r>
    <n v="254007575"/>
    <n v="64782693"/>
    <s v="REB"/>
    <n v="10010142"/>
    <n v="178"/>
    <s v="PEÇAS -Defeito de fabric./Sem Compressão"/>
    <s v="FUNCIONAL"/>
    <x v="1"/>
    <n v="29164"/>
    <x v="32"/>
    <s v="BA"/>
    <n v="648"/>
    <s v="Ultra"/>
    <n v="1350"/>
    <s v="W10393823"/>
    <s v="Compressores Herméticos"/>
    <x v="0"/>
    <n v="1000"/>
    <n v="5004101"/>
    <s v="UNIDOCK'S ASSESSORIA E LOGISTICA DE"/>
    <n v="525.35"/>
    <d v="2025-06-02T00:00:00"/>
  </r>
  <r>
    <n v="254012505"/>
    <n v="64789409"/>
    <s v="REB"/>
    <n v="10010142"/>
    <n v="178"/>
    <s v="PEÇAS -Defeito de fabric./Sem Compressão"/>
    <s v="FUNCIONAL"/>
    <x v="1"/>
    <n v="29164"/>
    <x v="32"/>
    <s v="BA"/>
    <n v="648"/>
    <s v="Ultra"/>
    <n v="1350"/>
    <s v="W10393823"/>
    <s v="Compressores Herméticos"/>
    <x v="0"/>
    <n v="1000"/>
    <n v="5004101"/>
    <s v="UNIDOCK'S ASSESSORIA E LOGISTICA DE"/>
    <n v="525.35"/>
    <d v="2025-06-10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326059371"/>
    <s v="Placas de Controle"/>
    <x v="1"/>
    <n v="2000"/>
    <n v="5004101"/>
    <s v="UNIDOCK'S ASSESSORIA E LOGISTICA DE"/>
    <n v="525.33000000000004"/>
    <d v="2025-03-13T00:00:00"/>
  </r>
  <r>
    <n v="254031863"/>
    <n v="64802401"/>
    <s v="REB"/>
    <n v="10060630"/>
    <n v="176"/>
    <s v="PEÇAS - Defeito de fabric./Interrompido"/>
    <s v="FUNCIONAL"/>
    <x v="1"/>
    <n v="3506"/>
    <x v="46"/>
    <s v="SP"/>
    <n v="931"/>
    <s v="Ats Off"/>
    <n v="1350"/>
    <s v="W10544750"/>
    <s v="Motores"/>
    <x v="1"/>
    <n v="1000"/>
    <n v="5004042"/>
    <s v="BRASIL WEB TRANSPORTES E LOGISTICA"/>
    <n v="524.52"/>
    <d v="2025-07-01T00:00:00"/>
  </r>
  <r>
    <n v="254033453"/>
    <n v="64805066"/>
    <s v="REB"/>
    <n v="10002548"/>
    <n v="173"/>
    <s v="PEÇAS - Defeito de fabric./Alta Amperage"/>
    <s v="FUNCIONAL"/>
    <x v="2"/>
    <n v="76462"/>
    <x v="243"/>
    <s v="DF"/>
    <n v="933"/>
    <s v="Top"/>
    <n v="1350"/>
    <s v="W11340257"/>
    <s v="Placas de Interface"/>
    <x v="1"/>
    <n v="1000"/>
    <n v="5002858"/>
    <s v="FAVORITA TRANSPORTES LTDA"/>
    <n v="524.13"/>
    <d v="2025-07-08T00:00:00"/>
  </r>
  <r>
    <n v="253941050"/>
    <n v="64718278"/>
    <s v="ROB"/>
    <n v="9840725"/>
    <n v="671"/>
    <s v="DEV-ENVIADO PARA GESTÃO DE CONSEQUENCIA"/>
    <s v="TRANSPORTADORA"/>
    <x v="1"/>
    <n v="19750"/>
    <x v="165"/>
    <s v="RR"/>
    <n v="648"/>
    <s v="Ultra"/>
    <n v="1350"/>
    <s v="W10581058"/>
    <s v="Gavetas"/>
    <x v="9"/>
    <n v="8000"/>
    <n v="5002858"/>
    <s v="FAVORITA TRANSPORTES LTDA"/>
    <n v="523.20000000000005"/>
    <d v="2025-02-21T00:00:00"/>
  </r>
  <r>
    <n v="253915524"/>
    <n v="64681078"/>
    <s v="REB"/>
    <n v="9780713"/>
    <n v="176"/>
    <s v="PEÇAS - Defeito de fabric./Interrompido"/>
    <s v="FUNCIONAL"/>
    <x v="1"/>
    <n v="66"/>
    <x v="73"/>
    <s v="GO"/>
    <n v="931"/>
    <s v="Ats Off"/>
    <n v="1350"/>
    <s v="W10764578"/>
    <s v="Conjunto Varetas"/>
    <x v="8"/>
    <n v="15000"/>
    <n v="5002858"/>
    <s v="FAVORITA TRANSPORTES LTDA"/>
    <n v="522.57000000000005"/>
    <d v="2025-01-09T00:00:00"/>
  </r>
  <r>
    <s v="Sem TR"/>
    <n v="64806982"/>
    <s v="ZRDI"/>
    <n v="10123804"/>
    <s v="D10"/>
    <s v="DEV D2C - Comprou modelo errado"/>
    <s v="COMERCIAL"/>
    <x v="2"/>
    <n v="52478113"/>
    <x v="244"/>
    <s v="MA"/>
    <n v="474"/>
    <s v="Site Brastemp"/>
    <n v="1352"/>
    <s v="W10899325"/>
    <s v="Placas de Controle"/>
    <x v="1"/>
    <n v="1000"/>
    <n v="5002359"/>
    <s v="EMPRESA BRASILEIRA DE CORREIOS E"/>
    <n v="522.57000000000005"/>
    <d v="2025-07-22T00:00:00"/>
  </r>
  <r>
    <s v="Sem TR"/>
    <n v="64806982"/>
    <s v="ZRDI"/>
    <n v="10123804"/>
    <s v="D10"/>
    <s v="DEV D2C - Comprou modelo errado"/>
    <s v="COMERCIAL"/>
    <x v="2"/>
    <n v="52478113"/>
    <x v="244"/>
    <s v="MA"/>
    <n v="474"/>
    <s v="Site Brastemp"/>
    <n v="1352"/>
    <s v="W10899325"/>
    <s v="Placas de Controle"/>
    <x v="1"/>
    <n v="1000"/>
    <n v="5002359"/>
    <s v="EMPRESA BRASILEIRA DE CORREIOS E"/>
    <n v="522.57000000000005"/>
    <d v="2025-07-22T00:00:00"/>
  </r>
  <r>
    <n v="254012510"/>
    <n v="64786923"/>
    <s v="REB"/>
    <n v="10040330"/>
    <n v="178"/>
    <s v="PEÇAS -Defeito de fabric./Sem Compressão"/>
    <s v="FUNCIONAL"/>
    <x v="2"/>
    <n v="30121"/>
    <x v="23"/>
    <s v="SP"/>
    <n v="648"/>
    <s v="Ultra"/>
    <n v="1350"/>
    <s v="W10393823"/>
    <s v="Compressores Herméticos"/>
    <x v="0"/>
    <n v="1000"/>
    <n v="5004042"/>
    <s v="BRASIL WEB TRANSPORTES E LOGISTICA"/>
    <n v="522.17999999999995"/>
    <d v="2025-06-10T00:00:00"/>
  </r>
  <r>
    <n v="253970832"/>
    <n v="64748560"/>
    <s v="REB"/>
    <n v="9951137"/>
    <n v="173"/>
    <s v="PEÇAS - Defeito de fabric./Alta Amperage"/>
    <s v="FUNCIONAL"/>
    <x v="1"/>
    <n v="55451"/>
    <x v="245"/>
    <s v="SP"/>
    <n v="934"/>
    <s v="CDP Ouro"/>
    <n v="1350"/>
    <s v="W11251568"/>
    <s v="Placas de Controle"/>
    <x v="1"/>
    <n v="1000"/>
    <n v="5004042"/>
    <s v="BRASIL WEB TRANSPORTES E LOGISTICA"/>
    <n v="521.64"/>
    <d v="2025-04-09T00:00:00"/>
  </r>
  <r>
    <n v="254033433"/>
    <n v="64804517"/>
    <s v="REB"/>
    <n v="10078584"/>
    <n v="90"/>
    <s v="CLIENTE-não solicitou"/>
    <s v="COMERCIAL"/>
    <x v="1"/>
    <n v="65510"/>
    <x v="246"/>
    <s v="RO"/>
    <n v="350"/>
    <s v="Ats On"/>
    <n v="1350"/>
    <n v="326075362"/>
    <s v="Painéis de Controle"/>
    <x v="6"/>
    <n v="1000"/>
    <n v="5002858"/>
    <s v="FAVORITA TRANSPORTES LTDA"/>
    <n v="520.20000000000005"/>
    <d v="2025-07-08T00:00:00"/>
  </r>
  <r>
    <n v="253953764"/>
    <n v="64728542"/>
    <s v="REB"/>
    <n v="9798898"/>
    <n v="90"/>
    <s v="CLIENTE-não solicitou"/>
    <s v="COMERCIAL"/>
    <x v="1"/>
    <n v="22985"/>
    <x v="247"/>
    <s v="SC"/>
    <n v="641"/>
    <s v="CDP Diamante"/>
    <n v="1350"/>
    <s v="W11187685"/>
    <s v="Portas"/>
    <x v="6"/>
    <n v="1000"/>
    <n v="5003024"/>
    <s v="RODOBRAS TRANSPORTES RODOVIARIOS LT"/>
    <n v="519.64"/>
    <d v="2025-03-14T00:00:00"/>
  </r>
  <r>
    <n v="254043010"/>
    <n v="64803953"/>
    <s v="REB"/>
    <n v="9691690"/>
    <n v="178"/>
    <s v="PEÇAS -Defeito de fabric./Sem Compressão"/>
    <s v="FUNCIONAL"/>
    <x v="0"/>
    <n v="92053"/>
    <x v="17"/>
    <s v="MG"/>
    <n v="643"/>
    <s v="Elite"/>
    <n v="1350"/>
    <n v="326026647"/>
    <s v="Outros"/>
    <x v="7"/>
    <n v="2000"/>
    <n v="5004101"/>
    <s v="UNIDOCK'S ASSESSORIA E LOGISTICA DE"/>
    <n v="519.39"/>
    <d v="2025-07-02T00:00:00"/>
  </r>
  <r>
    <n v="254033334"/>
    <n v="64806353"/>
    <s v="REB"/>
    <n v="9927667"/>
    <n v="178"/>
    <s v="PEÇAS -Defeito de fabric./Sem Compressão"/>
    <s v="FUNCIONAL"/>
    <x v="1"/>
    <n v="27337"/>
    <x v="145"/>
    <s v="RJ"/>
    <n v="641"/>
    <s v="CDP Diamante"/>
    <n v="1350"/>
    <s v="W10441742"/>
    <s v="Compressores Herméticos"/>
    <x v="0"/>
    <n v="1000"/>
    <n v="5003176"/>
    <s v="J C THEDIN TRANSPORTES LTDA"/>
    <n v="518.91999999999996"/>
    <d v="2025-07-08T00:00:00"/>
  </r>
  <r>
    <n v="253952492"/>
    <n v="64729210"/>
    <s v="REB"/>
    <n v="9685869"/>
    <n v="178"/>
    <s v="PEÇAS -Defeito de fabric./Sem Compressão"/>
    <s v="FUNCIONAL"/>
    <x v="1"/>
    <n v="76131"/>
    <x v="248"/>
    <s v="SP"/>
    <n v="932"/>
    <s v="CDP Prata"/>
    <n v="1350"/>
    <s v="W10393815"/>
    <s v="Compressores Herméticos"/>
    <x v="0"/>
    <n v="1000"/>
    <n v="5004042"/>
    <s v="BRASIL WEB TRANSPORTES E LOGISTICA"/>
    <n v="518.16999999999996"/>
    <d v="2025-03-10T00:00:00"/>
  </r>
  <r>
    <n v="253988884"/>
    <n v="64763882"/>
    <s v="REB"/>
    <n v="9660777"/>
    <n v="176"/>
    <s v="PEÇAS - Defeito de fabric./Interrompido"/>
    <s v="FUNCIONAL"/>
    <x v="2"/>
    <n v="49363"/>
    <x v="249"/>
    <s v="SP"/>
    <n v="644"/>
    <s v="Plus"/>
    <n v="1350"/>
    <n v="326075685"/>
    <s v="Compressores Herméticos"/>
    <x v="0"/>
    <n v="1000"/>
    <n v="5004042"/>
    <s v="BRASIL WEB TRANSPORTES E LOGISTICA"/>
    <n v="518.11"/>
    <d v="2025-05-05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543434"/>
    <s v="Outros"/>
    <x v="7"/>
    <n v="2000"/>
    <n v="5004101"/>
    <s v="UNIDOCK'S ASSESSORIA E LOGISTICA DE"/>
    <n v="517.91999999999996"/>
    <d v="2025-06-24T00:00:00"/>
  </r>
  <r>
    <n v="253963628"/>
    <n v="64742039"/>
    <s v="ROB"/>
    <n v="9957993"/>
    <n v="671"/>
    <s v="DEV-ENVIADO PARA GESTÃO DE CONSEQUENCIA"/>
    <s v="TRANSPORTADORA"/>
    <x v="1"/>
    <n v="4430"/>
    <x v="250"/>
    <s v="PR"/>
    <n v="350"/>
    <s v="Ats On"/>
    <n v="1350"/>
    <s v="W11459425"/>
    <s v="Compressores Herméticos"/>
    <x v="0"/>
    <n v="1000"/>
    <n v="5003024"/>
    <s v="RODOBRAS TRANSPORTES RODOVIARIOS LT"/>
    <n v="517.91"/>
    <d v="2025-03-31T00:00:00"/>
  </r>
  <r>
    <n v="254042989"/>
    <n v="64790838"/>
    <s v="REB"/>
    <n v="10073514"/>
    <n v="173"/>
    <s v="PEÇAS - Defeito de fabric./Alta Amperage"/>
    <s v="FUNCIONAL"/>
    <x v="0"/>
    <n v="2666"/>
    <x v="219"/>
    <s v="RJ"/>
    <n v="931"/>
    <s v="Ats Off"/>
    <n v="1350"/>
    <s v="W11191668"/>
    <s v="Motores"/>
    <x v="1"/>
    <n v="1000"/>
    <n v="5003176"/>
    <s v="J C THEDIN TRANSPORTES LTDA"/>
    <n v="517.54999999999995"/>
    <d v="2025-06-30T00:00:00"/>
  </r>
  <r>
    <n v="254033455"/>
    <n v="64802841"/>
    <s v="REB"/>
    <n v="9743140"/>
    <n v="176"/>
    <s v="PEÇAS - Defeito de fabric./Interrompido"/>
    <s v="FUNCIONAL"/>
    <x v="0"/>
    <n v="77425"/>
    <x v="98"/>
    <s v="PE"/>
    <n v="643"/>
    <s v="Elite"/>
    <n v="1350"/>
    <s v="W11677209"/>
    <s v="Compressores Herméticos"/>
    <x v="0"/>
    <n v="2000"/>
    <n v="5004101"/>
    <s v="UNIDOCK'S ASSESSORIA E LOGISTICA DE"/>
    <n v="516.77"/>
    <d v="2025-07-01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n v="4197305"/>
    <s v="Dobradiças"/>
    <x v="10"/>
    <n v="16000"/>
    <n v="5004101"/>
    <s v="UNIDOCK'S ASSESSORIA E LOGISTICA DE"/>
    <n v="516.64"/>
    <d v="2025-07-29T00:00:00"/>
  </r>
  <r>
    <n v="253851712"/>
    <n v="64624999"/>
    <s v="REB"/>
    <n v="9152357"/>
    <n v="178"/>
    <s v="PEÇAS -Defeito de fabric./Sem Compressão"/>
    <s v="FUNCIONAL"/>
    <x v="1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514.58000000000004"/>
    <d v="2024-10-09T00:00:00"/>
  </r>
  <r>
    <n v="253851713"/>
    <n v="64625004"/>
    <s v="REB"/>
    <n v="9152357"/>
    <n v="178"/>
    <s v="PEÇAS -Defeito de fabric./Sem Compressão"/>
    <s v="FUNCIONAL"/>
    <x v="1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514.58000000000004"/>
    <d v="2024-10-09T00:00:00"/>
  </r>
  <r>
    <s v="Sem TR"/>
    <n v="64814836"/>
    <s v="REB"/>
    <n v="9937349"/>
    <n v="173"/>
    <s v="PEÇAS - Defeito de fabric./Alta Amperage"/>
    <s v="FUNCIONAL"/>
    <x v="1"/>
    <n v="59520"/>
    <x v="251"/>
    <s v="SC"/>
    <n v="643"/>
    <s v="Elite"/>
    <n v="1350"/>
    <s v="W10393823"/>
    <s v="Compressores Herméticos"/>
    <x v="0"/>
    <n v="1000"/>
    <n v="5003024"/>
    <s v="RODOBRAS TRANSPORTES RODOVIARIOS LT"/>
    <n v="514.22"/>
    <d v="2025-07-25T00:00:00"/>
  </r>
  <r>
    <n v="254038333"/>
    <n v="64814859"/>
    <s v="REB"/>
    <n v="9952866"/>
    <n v="168"/>
    <s v="PEÇAS-Def.Fabric.Empenamento/Abaulamento"/>
    <s v="FUNCIONAL"/>
    <x v="1"/>
    <n v="19716"/>
    <x v="252"/>
    <s v="SC"/>
    <n v="644"/>
    <s v="Plus"/>
    <n v="1350"/>
    <s v="W10882241"/>
    <s v="Agitadores"/>
    <x v="2"/>
    <n v="11000"/>
    <n v="5003024"/>
    <s v="RODOBRAS TRANSPORTES RODOVIARIOS LT"/>
    <n v="513.86"/>
    <d v="2025-07-22T00:00:00"/>
  </r>
  <r>
    <n v="254043572"/>
    <n v="64774185"/>
    <s v="REB"/>
    <n v="9997972"/>
    <n v="104"/>
    <s v="PEÇAS-Código trocado(embalag X conteúdo)"/>
    <s v="LOGÍSTICA"/>
    <x v="0"/>
    <n v="3729"/>
    <x v="253"/>
    <s v="SP"/>
    <n v="350"/>
    <s v="Ats On"/>
    <n v="1350"/>
    <s v="W10238485"/>
    <s v="Prateleiras"/>
    <x v="9"/>
    <n v="1000"/>
    <n v="5004042"/>
    <s v="BRASIL WEB TRANSPORTES E LOGISTICA"/>
    <n v="512.25"/>
    <d v="2025-06-05T00:00:00"/>
  </r>
  <r>
    <n v="254012434"/>
    <n v="64782053"/>
    <s v="REB"/>
    <n v="9803005"/>
    <n v="178"/>
    <s v="PEÇAS -Defeito de fabric./Sem Compressão"/>
    <s v="FUNCIONAL"/>
    <x v="1"/>
    <n v="1255"/>
    <x v="254"/>
    <s v="CE"/>
    <n v="931"/>
    <s v="Ats Off"/>
    <n v="1350"/>
    <s v="W10393823"/>
    <s v="Compressores Herméticos"/>
    <x v="0"/>
    <n v="1000"/>
    <n v="5004101"/>
    <s v="UNIDOCK'S ASSESSORIA E LOGISTICA DE"/>
    <n v="510.29"/>
    <d v="2025-06-10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396188"/>
    <s v="Placas de Interface"/>
    <x v="1"/>
    <n v="6000"/>
    <n v="5002858"/>
    <s v="FAVORITA TRANSPORTES LTDA"/>
    <n v="508.03"/>
    <d v="2025-07-15T00:00:00"/>
  </r>
  <r>
    <n v="253948485"/>
    <n v="64726761"/>
    <s v="REB"/>
    <n v="9690661"/>
    <n v="178"/>
    <s v="PEÇAS -Defeito de fabric./Sem Compressão"/>
    <s v="FUNCIONAL"/>
    <x v="1"/>
    <n v="29374"/>
    <x v="20"/>
    <s v="SP"/>
    <n v="643"/>
    <s v="Elite"/>
    <n v="1350"/>
    <s v="W10393823"/>
    <s v="Compressores Herméticos"/>
    <x v="0"/>
    <n v="1000"/>
    <n v="5004042"/>
    <s v="BRASIL WEB TRANSPORTES E LOGISTICA"/>
    <n v="507.45"/>
    <d v="2025-03-07T00:00:00"/>
  </r>
  <r>
    <n v="253948506"/>
    <n v="64726777"/>
    <s v="REB"/>
    <n v="9690982"/>
    <n v="178"/>
    <s v="PEÇAS -Defeito de fabric./Sem Compressão"/>
    <s v="FUNCIONAL"/>
    <x v="2"/>
    <n v="47470"/>
    <x v="6"/>
    <s v="SP"/>
    <n v="643"/>
    <s v="Elite"/>
    <n v="1350"/>
    <s v="W10393823"/>
    <s v="Compressores Herméticos"/>
    <x v="0"/>
    <n v="1000"/>
    <n v="5004042"/>
    <s v="BRASIL WEB TRANSPORTES E LOGISTICA"/>
    <n v="507.45"/>
    <d v="2025-03-07T00:00:00"/>
  </r>
  <r>
    <n v="253995149"/>
    <n v="64766582"/>
    <s v="REB"/>
    <n v="10008076"/>
    <n v="178"/>
    <s v="PEÇAS -Defeito de fabric./Sem Compressão"/>
    <s v="FUNCIONAL"/>
    <x v="2"/>
    <n v="31587"/>
    <x v="135"/>
    <s v="SP"/>
    <n v="643"/>
    <s v="Elite"/>
    <n v="1350"/>
    <s v="W10441742"/>
    <s v="Compressores Herméticos"/>
    <x v="0"/>
    <n v="1000"/>
    <n v="5004042"/>
    <s v="BRASIL WEB TRANSPORTES E LOGISTICA"/>
    <n v="507.14"/>
    <d v="2025-05-16T00:00:00"/>
  </r>
  <r>
    <n v="253992728"/>
    <n v="64767515"/>
    <s v="REB"/>
    <n v="10018568"/>
    <n v="104"/>
    <s v="PEÇAS-Código trocado(embalag X conteúdo)"/>
    <s v="LOGÍSTICA"/>
    <x v="1"/>
    <n v="29112"/>
    <x v="255"/>
    <s v="SP"/>
    <n v="932"/>
    <s v="CDP Prata"/>
    <n v="1350"/>
    <s v="W10846987"/>
    <s v="Gaxetas"/>
    <x v="4"/>
    <n v="5000"/>
    <n v="5004042"/>
    <s v="BRASIL WEB TRANSPORTES E LOGISTICA"/>
    <n v="506.33"/>
    <d v="2025-05-12T00:00:00"/>
  </r>
  <r>
    <n v="253915606"/>
    <n v="64687815"/>
    <s v="REB"/>
    <n v="9107714"/>
    <n v="178"/>
    <s v="PEÇAS -Defeito de fabric./Sem Compressão"/>
    <s v="FUNCIONAL"/>
    <x v="1"/>
    <n v="50822"/>
    <x v="40"/>
    <s v="AL"/>
    <n v="648"/>
    <s v="Ultra"/>
    <n v="1350"/>
    <s v="W10393823"/>
    <s v="Compressores Herméticos"/>
    <x v="0"/>
    <n v="1000"/>
    <n v="5004101"/>
    <s v="UNIDOCK'S ASSESSORIA E LOGISTICA DE"/>
    <n v="506.32"/>
    <d v="2025-01-09T00:00:00"/>
  </r>
  <r>
    <s v="Sem TR"/>
    <n v="64814392"/>
    <s v="REB"/>
    <n v="9423618"/>
    <n v="176"/>
    <s v="PEÇAS - Defeito de fabric./Interrompido"/>
    <s v="FUNCIONAL"/>
    <x v="1"/>
    <n v="81988"/>
    <x v="38"/>
    <s v="MG"/>
    <n v="648"/>
    <s v="Ultra"/>
    <n v="1350"/>
    <s v="W10393823"/>
    <s v="Compressores Herméticos"/>
    <x v="0"/>
    <n v="1000"/>
    <n v="5004215"/>
    <s v="BRASIL WEB TRANSPORTES E LOGISTICA"/>
    <n v="506.17"/>
    <d v="2025-07-22T00:00:00"/>
  </r>
  <r>
    <n v="253983888"/>
    <n v="64759544"/>
    <s v="REB"/>
    <n v="9838876"/>
    <n v="178"/>
    <s v="PEÇAS -Defeito de fabric./Sem Compressão"/>
    <s v="FUNCIONAL"/>
    <x v="2"/>
    <n v="27337"/>
    <x v="145"/>
    <s v="RJ"/>
    <n v="641"/>
    <s v="CDP Diamante"/>
    <n v="1350"/>
    <s v="W11191173"/>
    <s v="Compressores Rotativos"/>
    <x v="0"/>
    <n v="1000"/>
    <n v="5003176"/>
    <s v="J C THEDIN TRANSPORTES LTDA"/>
    <n v="506.13"/>
    <d v="2025-04-28T00:00:00"/>
  </r>
  <r>
    <n v="253988853"/>
    <n v="64763790"/>
    <s v="REB"/>
    <n v="7698189"/>
    <n v="177"/>
    <s v="PEÇAS - Defeito de fabric./Ruído"/>
    <s v="FUNCIONAL"/>
    <x v="2"/>
    <n v="27984"/>
    <x v="204"/>
    <s v="SP"/>
    <n v="644"/>
    <s v="Plus"/>
    <n v="1350"/>
    <s v="W10393823"/>
    <s v="Compressores Herméticos"/>
    <x v="0"/>
    <n v="1000"/>
    <n v="5004042"/>
    <s v="BRASIL WEB TRANSPORTES E LOGISTICA"/>
    <n v="504.95"/>
    <d v="2025-05-05T00:00:00"/>
  </r>
  <r>
    <n v="254038296"/>
    <n v="64811018"/>
    <s v="REB"/>
    <n v="9685091"/>
    <n v="173"/>
    <s v="PEÇAS - Defeito de fabric./Alta Amperage"/>
    <s v="FUNCIONAL"/>
    <x v="0"/>
    <n v="9599"/>
    <x v="121"/>
    <s v="SP"/>
    <n v="931"/>
    <s v="Ats Off"/>
    <n v="1350"/>
    <s v="W11248047"/>
    <s v="Placas de Interface"/>
    <x v="1"/>
    <n v="1000"/>
    <n v="5004042"/>
    <s v="BRASIL WEB TRANSPORTES E LOGISTICA"/>
    <n v="503.46"/>
    <d v="2025-07-22T00:00:00"/>
  </r>
  <r>
    <s v="Sem TR"/>
    <n v="64814035"/>
    <s v="REB"/>
    <n v="10064808"/>
    <n v="173"/>
    <s v="PEÇAS - Defeito de fabric./Alta Amperage"/>
    <s v="FUNCIONAL"/>
    <x v="1"/>
    <n v="21295"/>
    <x v="2"/>
    <s v="SP"/>
    <n v="648"/>
    <s v="Ultra"/>
    <n v="1350"/>
    <s v="W10393823"/>
    <s v="Compressores Herméticos"/>
    <x v="0"/>
    <n v="1000"/>
    <n v="5004042"/>
    <s v="BRASIL WEB TRANSPORTES E LOGISTICA"/>
    <n v="502.36"/>
    <d v="2025-07-22T00:00:00"/>
  </r>
  <r>
    <n v="254018282"/>
    <n v="64793486"/>
    <s v="REB"/>
    <n v="9104999"/>
    <n v="176"/>
    <s v="PEÇAS - Defeito de fabric./Interrompido"/>
    <s v="FUNCIONAL"/>
    <x v="2"/>
    <n v="36065"/>
    <x v="7"/>
    <s v="GO"/>
    <n v="643"/>
    <s v="Elite"/>
    <n v="1350"/>
    <s v="W10393823"/>
    <s v="Compressores Herméticos"/>
    <x v="0"/>
    <n v="1000"/>
    <n v="5002858"/>
    <s v="FAVORITA TRANSPORTES LTDA"/>
    <n v="502.28"/>
    <d v="2025-06-17T00:00:00"/>
  </r>
  <r>
    <s v="Sem TR"/>
    <n v="64803965"/>
    <s v="ZRDI"/>
    <n v="10100670"/>
    <s v="D18"/>
    <s v="DEV D2C - Arrependimento não quero mais"/>
    <s v="COMERCIAL"/>
    <x v="2"/>
    <n v="51656583"/>
    <x v="256"/>
    <s v="SP"/>
    <n v="474"/>
    <s v="Site Brastemp"/>
    <n v="1352"/>
    <s v="W11106591"/>
    <s v="Placas de Controle"/>
    <x v="1"/>
    <n v="1000"/>
    <n v="5002359"/>
    <s v="EMPRESA BRASILEIRA DE CORREIOS E"/>
    <n v="501.66"/>
    <d v="2025-07-02T00:00:00"/>
  </r>
  <r>
    <s v="Sem TR"/>
    <n v="64808691"/>
    <s v="ZRDI"/>
    <n v="10079798"/>
    <s v="D10"/>
    <s v="DEV D2C - Comprou modelo errado"/>
    <s v="COMERCIAL"/>
    <x v="2"/>
    <n v="4380879"/>
    <x v="257"/>
    <s v="SP"/>
    <n v="474"/>
    <s v="Site Brastemp"/>
    <n v="1352"/>
    <s v="W11106591"/>
    <s v="Placas de Controle"/>
    <x v="1"/>
    <n v="1000"/>
    <n v="5002359"/>
    <s v="EMPRESA BRASILEIRA DE CORREIOS E"/>
    <n v="501.66"/>
    <d v="2025-07-16T00:00:00"/>
  </r>
  <r>
    <s v="Sem TR"/>
    <n v="64815290"/>
    <s v="ZRDI"/>
    <n v="10134519"/>
    <s v="D18"/>
    <s v="DEV D2C - Arrependimento não quero mais"/>
    <s v="COMERCIAL"/>
    <x v="2"/>
    <n v="5956322"/>
    <x v="258"/>
    <s v="SP"/>
    <n v="474"/>
    <s v="Site Brastemp"/>
    <n v="1352"/>
    <s v="W11106591"/>
    <s v="Placas de Controle"/>
    <x v="1"/>
    <n v="1000"/>
    <n v="5002359"/>
    <s v="EMPRESA BRASILEIRA DE CORREIOS E"/>
    <n v="501.66"/>
    <d v="2025-07-23T00:00:00"/>
  </r>
  <r>
    <s v="Sem TR"/>
    <n v="64808691"/>
    <s v="ZRDI"/>
    <n v="10079798"/>
    <s v="D10"/>
    <s v="DEV D2C - Comprou modelo errado"/>
    <s v="COMERCIAL"/>
    <x v="2"/>
    <n v="4380879"/>
    <x v="257"/>
    <s v="SP"/>
    <n v="474"/>
    <s v="Site Brastemp"/>
    <n v="1352"/>
    <s v="W11106591"/>
    <s v="Placas de Controle"/>
    <x v="1"/>
    <n v="1000"/>
    <n v="5002359"/>
    <s v="EMPRESA BRASILEIRA DE CORREIOS E"/>
    <n v="501.66"/>
    <d v="2025-07-16T00:00:00"/>
  </r>
  <r>
    <s v="Sem TR"/>
    <n v="64815290"/>
    <s v="ZRDI"/>
    <n v="10134519"/>
    <s v="D18"/>
    <s v="DEV D2C - Arrependimento não quero mais"/>
    <s v="COMERCIAL"/>
    <x v="2"/>
    <n v="5956322"/>
    <x v="258"/>
    <s v="SP"/>
    <n v="474"/>
    <s v="Site Brastemp"/>
    <n v="1352"/>
    <s v="W11106591"/>
    <s v="Placas de Controle"/>
    <x v="1"/>
    <n v="1000"/>
    <n v="5002359"/>
    <s v="EMPRESA BRASILEIRA DE CORREIOS E"/>
    <n v="501.66"/>
    <d v="2025-07-23T00:00:00"/>
  </r>
  <r>
    <n v="254012537"/>
    <n v="64777586"/>
    <s v="REB"/>
    <n v="9606093"/>
    <n v="178"/>
    <s v="PEÇAS -Defeito de fabric./Sem Compressão"/>
    <s v="FUNCIONAL"/>
    <x v="1"/>
    <n v="50867"/>
    <x v="259"/>
    <s v="ES"/>
    <n v="644"/>
    <s v="Plus"/>
    <n v="1350"/>
    <s v="W10393822"/>
    <s v="Compressores Herméticos"/>
    <x v="0"/>
    <n v="1000"/>
    <n v="5004042"/>
    <s v="BRASIL WEB TRANSPORTES E LOGISTICA"/>
    <n v="501.65"/>
    <d v="2025-06-10T00:00:00"/>
  </r>
  <r>
    <n v="253986979"/>
    <n v="64762682"/>
    <s v="REB"/>
    <n v="9606093"/>
    <n v="178"/>
    <s v="PEÇAS -Defeito de fabric./Sem Compressão"/>
    <s v="FUNCIONAL"/>
    <x v="2"/>
    <n v="50867"/>
    <x v="259"/>
    <s v="ES"/>
    <n v="644"/>
    <s v="Plus"/>
    <n v="1350"/>
    <s v="W10393822"/>
    <s v="Compressores Herméticos"/>
    <x v="0"/>
    <n v="1000"/>
    <n v="5004042"/>
    <s v="BRASIL WEB TRANSPORTES E LOGISTICA"/>
    <n v="501.65"/>
    <d v="2025-05-07T00:00:00"/>
  </r>
  <r>
    <n v="254033446"/>
    <n v="64807270"/>
    <s v="REB"/>
    <n v="9850424"/>
    <n v="178"/>
    <s v="PEÇAS -Defeito de fabric./Sem Compressão"/>
    <s v="FUNCIONAL"/>
    <x v="1"/>
    <n v="72785"/>
    <x v="177"/>
    <s v="SP"/>
    <n v="641"/>
    <s v="CDP Diamante"/>
    <n v="1350"/>
    <s v="W10393815"/>
    <s v="Compressores Herméticos"/>
    <x v="0"/>
    <n v="1000"/>
    <n v="5004042"/>
    <s v="BRASIL WEB TRANSPORTES E LOGISTICA"/>
    <n v="500.63"/>
    <d v="2025-07-08T00:00:00"/>
  </r>
  <r>
    <n v="254007582"/>
    <n v="64782423"/>
    <s v="REB"/>
    <n v="10008999"/>
    <n v="177"/>
    <s v="PEÇAS - Defeito de fabric./Ruído"/>
    <s v="FUNCIONAL"/>
    <x v="1"/>
    <n v="33403"/>
    <x v="260"/>
    <s v="RN"/>
    <n v="648"/>
    <s v="Ultra"/>
    <n v="1350"/>
    <s v="W11375485"/>
    <s v="Compressores Herméticos"/>
    <x v="0"/>
    <n v="1000"/>
    <n v="5004101"/>
    <s v="UNIDOCK'S ASSESSORIA E LOGISTICA DE"/>
    <n v="500.36"/>
    <d v="2025-06-02T00:00:00"/>
  </r>
  <r>
    <n v="254018329"/>
    <n v="64791372"/>
    <s v="REB"/>
    <n v="10042922"/>
    <n v="178"/>
    <s v="PEÇAS -Defeito de fabric./Sem Compressão"/>
    <s v="FUNCIONAL"/>
    <x v="2"/>
    <n v="61472"/>
    <x v="79"/>
    <s v="MG"/>
    <n v="350"/>
    <s v="Ats On"/>
    <n v="1350"/>
    <s v="W10575086"/>
    <s v="Compressores Herméticos"/>
    <x v="0"/>
    <n v="1000"/>
    <n v="5004215"/>
    <s v="BRASIL WEB TRANSPORTES E LOGISTICA"/>
    <n v="500.28"/>
    <d v="2025-06-17T00:00:00"/>
  </r>
  <r>
    <n v="253988884"/>
    <n v="64763789"/>
    <s v="REB"/>
    <n v="8610209"/>
    <n v="178"/>
    <s v="PEÇAS -Defeito de fabric./Sem Compressão"/>
    <s v="FUNCIONAL"/>
    <x v="2"/>
    <n v="49363"/>
    <x v="249"/>
    <s v="SP"/>
    <n v="644"/>
    <s v="Plus"/>
    <n v="1350"/>
    <n v="326075685"/>
    <s v="Compressores Herméticos"/>
    <x v="0"/>
    <n v="1000"/>
    <n v="5004042"/>
    <s v="BRASIL WEB TRANSPORTES E LOGISTICA"/>
    <n v="500.19"/>
    <d v="2025-05-05T00:00:00"/>
  </r>
  <r>
    <n v="253988855"/>
    <n v="64763809"/>
    <s v="REB"/>
    <n v="8249569"/>
    <n v="176"/>
    <s v="PEÇAS - Defeito de fabric./Interrompido"/>
    <s v="FUNCIONAL"/>
    <x v="2"/>
    <n v="27991"/>
    <x v="120"/>
    <s v="SP"/>
    <n v="644"/>
    <s v="Plus"/>
    <n v="1350"/>
    <n v="326075684"/>
    <s v="Compressores Herméticos"/>
    <x v="0"/>
    <n v="1000"/>
    <n v="5004042"/>
    <s v="BRASIL WEB TRANSPORTES E LOGISTICA"/>
    <n v="500.19"/>
    <d v="2025-05-05T00:00:00"/>
  </r>
  <r>
    <s v="Sem TR"/>
    <n v="64789329"/>
    <s v="REB"/>
    <n v="10044889"/>
    <n v="411"/>
    <s v="DEV-Extravio de PEÇAS (Transportadora)"/>
    <s v="TRANSPORTADORA"/>
    <x v="0"/>
    <n v="72786"/>
    <x v="41"/>
    <s v="SC"/>
    <n v="643"/>
    <s v="Elite"/>
    <n v="1350"/>
    <s v="W10212441"/>
    <s v="Prateleiras"/>
    <x v="9"/>
    <n v="28000"/>
    <n v="5003024"/>
    <s v="RODOBRAS TRANSPORTES RODOVIARIOS LT"/>
    <n v="499.98"/>
    <d v="2025-06-10T00:00:00"/>
  </r>
  <r>
    <n v="254016289"/>
    <n v="64794462"/>
    <s v="ROB"/>
    <n v="10038955"/>
    <n v="182"/>
    <s v="PEÇAS - Extravio - Volume a menor"/>
    <s v="TRANSPORTADORA"/>
    <x v="1"/>
    <n v="4523"/>
    <x v="261"/>
    <s v="SC"/>
    <n v="350"/>
    <s v="Ats On"/>
    <n v="1350"/>
    <s v="W11299794"/>
    <s v="Peças Mecanismos"/>
    <x v="2"/>
    <n v="10000"/>
    <n v="5003024"/>
    <s v="RODOBRAS TRANSPORTES RODOVIARIOS LT"/>
    <n v="499.91"/>
    <d v="2025-06-18T00:00:00"/>
  </r>
  <r>
    <n v="254023335"/>
    <n v="64581786"/>
    <s v="REB"/>
    <n v="9459291"/>
    <n v="173"/>
    <s v="PEÇAS - Defeito de fabric./Alta Amperage"/>
    <s v="FUNCIONAL"/>
    <x v="1"/>
    <n v="2159"/>
    <x v="156"/>
    <s v="MG"/>
    <n v="932"/>
    <s v="CDP Prata"/>
    <n v="1350"/>
    <s v="W10647165"/>
    <s v="Placas de Controle"/>
    <x v="1"/>
    <n v="1000"/>
    <n v="5004215"/>
    <s v="BRASIL WEB TRANSPORTES E LOGISTICA"/>
    <n v="499.83"/>
    <d v="2024-07-23T00:00:00"/>
  </r>
  <r>
    <n v="253952462"/>
    <n v="64729136"/>
    <s v="REB"/>
    <n v="9862557"/>
    <n v="178"/>
    <s v="PEÇAS -Defeito de fabric./Sem Compressão"/>
    <s v="FUNCIONAL"/>
    <x v="1"/>
    <n v="69921"/>
    <x v="205"/>
    <s v="SP"/>
    <n v="934"/>
    <s v="CDP Ouro"/>
    <n v="1350"/>
    <s v="W11677211"/>
    <s v="Compressores Herméticos"/>
    <x v="0"/>
    <n v="1000"/>
    <n v="5004042"/>
    <s v="BRASIL WEB TRANSPORTES E LOGISTICA"/>
    <n v="499.02"/>
    <d v="2025-03-10T00:00:00"/>
  </r>
  <r>
    <n v="253872469"/>
    <n v="64641777"/>
    <s v="REB"/>
    <n v="9536879"/>
    <n v="178"/>
    <s v="PEÇAS -Defeito de fabric./Sem Compressão"/>
    <s v="FUNCIONAL"/>
    <x v="2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98.58"/>
    <d v="2024-11-11T00:00:00"/>
  </r>
  <r>
    <n v="254035426"/>
    <n v="64812428"/>
    <s v="REB"/>
    <n v="9536879"/>
    <n v="178"/>
    <s v="PEÇAS -Defeito de fabric./Sem Compressão"/>
    <s v="FUNCIONAL"/>
    <x v="0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98.58"/>
    <d v="2025-07-17T00:00:00"/>
  </r>
  <r>
    <n v="254035425"/>
    <n v="64812710"/>
    <s v="REB"/>
    <n v="9536879"/>
    <n v="178"/>
    <s v="PEÇAS -Defeito de fabric./Sem Compressão"/>
    <s v="FUNCIONAL"/>
    <x v="0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98.58"/>
    <d v="2025-07-17T00:00:00"/>
  </r>
  <r>
    <n v="254035423"/>
    <n v="64812720"/>
    <s v="REB"/>
    <n v="9536879"/>
    <n v="178"/>
    <s v="PEÇAS -Defeito de fabric./Sem Compressão"/>
    <s v="FUNCIONAL"/>
    <x v="0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98.58"/>
    <d v="2025-07-17T00:00:00"/>
  </r>
  <r>
    <n v="254035424"/>
    <n v="64812721"/>
    <s v="REB"/>
    <n v="9536879"/>
    <n v="178"/>
    <s v="PEÇAS -Defeito de fabric./Sem Compressão"/>
    <s v="FUNCIONAL"/>
    <x v="0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98.58"/>
    <d v="2025-07-17T00:00:00"/>
  </r>
  <r>
    <n v="254035427"/>
    <n v="64812734"/>
    <s v="REB"/>
    <n v="9536879"/>
    <n v="178"/>
    <s v="PEÇAS -Defeito de fabric./Sem Compressão"/>
    <s v="FUNCIONAL"/>
    <x v="0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98.58"/>
    <d v="2025-07-17T00:00:00"/>
  </r>
  <r>
    <n v="254004079"/>
    <n v="64776620"/>
    <s v="REB"/>
    <n v="9555567"/>
    <n v="173"/>
    <s v="PEÇAS - Defeito de fabric./Alta Amperage"/>
    <s v="FUNCIONAL"/>
    <x v="1"/>
    <n v="88020"/>
    <x v="262"/>
    <s v="GO"/>
    <n v="932"/>
    <s v="CDP Prata"/>
    <n v="1350"/>
    <s v="W11435392"/>
    <s v="Placas de Controle"/>
    <x v="1"/>
    <n v="2000"/>
    <n v="5002858"/>
    <s v="FAVORITA TRANSPORTES LTDA"/>
    <n v="498.31"/>
    <d v="2025-05-26T00:00:00"/>
  </r>
  <r>
    <n v="253952273"/>
    <n v="64729100"/>
    <s v="REB"/>
    <n v="9397353"/>
    <n v="178"/>
    <s v="PEÇAS -Defeito de fabric./Sem Compressão"/>
    <s v="FUNCIONAL"/>
    <x v="2"/>
    <n v="31587"/>
    <x v="135"/>
    <s v="SP"/>
    <n v="643"/>
    <s v="Elite"/>
    <n v="1350"/>
    <s v="W10393823"/>
    <s v="Compressores Herméticos"/>
    <x v="0"/>
    <n v="1000"/>
    <n v="5004042"/>
    <s v="BRASIL WEB TRANSPORTES E LOGISTICA"/>
    <n v="497.84"/>
    <d v="2025-03-10T00:00:00"/>
  </r>
  <r>
    <n v="253999726"/>
    <n v="64777338"/>
    <s v="ROB"/>
    <n v="10009529"/>
    <n v="311"/>
    <s v="DEV-PRODUTO TROCADO-LOGÍSTICA"/>
    <s v="LOGÍSTICA"/>
    <x v="2"/>
    <n v="78820"/>
    <x v="114"/>
    <s v="AM"/>
    <n v="934"/>
    <s v="CDP Ouro"/>
    <n v="1350"/>
    <s v="W10895697"/>
    <s v="Placas de Controle"/>
    <x v="1"/>
    <n v="1000"/>
    <n v="5002858"/>
    <s v="FAVORITA TRANSPORTES LTDA"/>
    <n v="497.29"/>
    <d v="2025-05-23T00:00:00"/>
  </r>
  <r>
    <n v="253988884"/>
    <n v="64760861"/>
    <s v="REB"/>
    <n v="9043531"/>
    <n v="176"/>
    <s v="PEÇAS - Defeito de fabric./Interrompido"/>
    <s v="FUNCIONAL"/>
    <x v="2"/>
    <n v="49363"/>
    <x v="249"/>
    <s v="SP"/>
    <n v="644"/>
    <s v="Plus"/>
    <n v="1350"/>
    <n v="326075685"/>
    <s v="Compressores Herméticos"/>
    <x v="0"/>
    <n v="1000"/>
    <n v="5004042"/>
    <s v="BRASIL WEB TRANSPORTES E LOGISTICA"/>
    <n v="496.85"/>
    <d v="2025-05-05T00:00:00"/>
  </r>
  <r>
    <n v="254004056"/>
    <n v="64778314"/>
    <s v="REB"/>
    <n v="9981183"/>
    <n v="173"/>
    <s v="PEÇAS - Defeito de fabric./Alta Amperage"/>
    <s v="FUNCIONAL"/>
    <x v="1"/>
    <n v="78757"/>
    <x v="50"/>
    <s v="RS"/>
    <n v="643"/>
    <s v="Elite"/>
    <n v="1350"/>
    <s v="W11300698"/>
    <s v="Mecanismos"/>
    <x v="2"/>
    <n v="2000"/>
    <n v="5003024"/>
    <s v="RODOBRAS TRANSPORTES RODOVIARIOS LT"/>
    <n v="496.44"/>
    <d v="2025-05-26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1268184"/>
    <s v="Placas de Controle"/>
    <x v="1"/>
    <n v="4000"/>
    <n v="5004101"/>
    <s v="UNIDOCK'S ASSESSORIA E LOGISTICA DE"/>
    <n v="495.98"/>
    <d v="2025-07-16T00:00:00"/>
  </r>
  <r>
    <n v="254035383"/>
    <n v="64811812"/>
    <s v="REB"/>
    <n v="10111926"/>
    <n v="90"/>
    <s v="CLIENTE-não solicitou"/>
    <s v="COMERCIAL"/>
    <x v="0"/>
    <n v="47026"/>
    <x v="16"/>
    <s v="BA"/>
    <n v="643"/>
    <s v="Elite"/>
    <n v="1350"/>
    <s v="W11677638"/>
    <s v="Portas"/>
    <x v="6"/>
    <n v="1000"/>
    <n v="5004101"/>
    <s v="UNIDOCK'S ASSESSORIA E LOGISTICA DE"/>
    <n v="495.31"/>
    <d v="2025-07-17T00:00:00"/>
  </r>
  <r>
    <n v="254033375"/>
    <n v="64802443"/>
    <s v="REB"/>
    <n v="10086434"/>
    <n v="173"/>
    <s v="PEÇAS - Defeito de fabric./Alta Amperage"/>
    <s v="FUNCIONAL"/>
    <x v="0"/>
    <n v="30121"/>
    <x v="23"/>
    <s v="SP"/>
    <n v="648"/>
    <s v="Ultra"/>
    <n v="1350"/>
    <s v="W11300816"/>
    <s v="Mecanismos"/>
    <x v="2"/>
    <n v="4000"/>
    <n v="5004042"/>
    <s v="BRASIL WEB TRANSPORTES E LOGISTICA"/>
    <n v="494.64"/>
    <d v="2025-07-01T00:00:00"/>
  </r>
  <r>
    <n v="254012510"/>
    <n v="64789061"/>
    <s v="REB"/>
    <n v="9706905"/>
    <n v="178"/>
    <s v="PEÇAS -Defeito de fabric./Sem Compressão"/>
    <s v="FUNCIONAL"/>
    <x v="2"/>
    <n v="30121"/>
    <x v="23"/>
    <s v="SP"/>
    <n v="648"/>
    <s v="Ultra"/>
    <n v="1350"/>
    <s v="W11133678"/>
    <s v="Compressores Herméticos"/>
    <x v="0"/>
    <n v="1000"/>
    <n v="5004042"/>
    <s v="BRASIL WEB TRANSPORTES E LOGISTICA"/>
    <n v="493.36"/>
    <d v="2025-06-10T00:00:00"/>
  </r>
  <r>
    <n v="254035390"/>
    <n v="64811676"/>
    <s v="REB"/>
    <n v="9953910"/>
    <n v="178"/>
    <s v="PEÇAS -Defeito de fabric./Sem Compressão"/>
    <s v="FUNCIONAL"/>
    <x v="1"/>
    <n v="50867"/>
    <x v="259"/>
    <s v="ES"/>
    <n v="644"/>
    <s v="Plus"/>
    <n v="1350"/>
    <s v="W10393822"/>
    <s v="Compressores Herméticos"/>
    <x v="0"/>
    <n v="1000"/>
    <n v="5004042"/>
    <s v="BRASIL WEB TRANSPORTES E LOGISTICA"/>
    <n v="492.76"/>
    <d v="2025-07-17T00:00:00"/>
  </r>
  <r>
    <n v="253988789"/>
    <n v="64759490"/>
    <s v="REB"/>
    <n v="9961481"/>
    <n v="90"/>
    <s v="CLIENTE-não solicitou"/>
    <s v="COMERCIAL"/>
    <x v="1"/>
    <n v="3618"/>
    <x v="154"/>
    <s v="SP"/>
    <n v="350"/>
    <s v="Ats On"/>
    <n v="1350"/>
    <s v="W10347201"/>
    <s v="Prateleiras"/>
    <x v="9"/>
    <n v="5000"/>
    <n v="5004042"/>
    <s v="BRASIL WEB TRANSPORTES E LOGISTICA"/>
    <n v="492.51"/>
    <d v="2025-05-05T00:00:00"/>
  </r>
  <r>
    <n v="254042178"/>
    <n v="64795999"/>
    <s v="REB"/>
    <n v="9855079"/>
    <n v="173"/>
    <s v="PEÇAS - Defeito de fabric./Alta Amperage"/>
    <s v="FUNCIONAL"/>
    <x v="0"/>
    <n v="66"/>
    <x v="73"/>
    <s v="GO"/>
    <n v="931"/>
    <s v="Ats Off"/>
    <n v="1350"/>
    <s v="W10666796"/>
    <s v="Compressores Herméticos"/>
    <x v="0"/>
    <n v="1000"/>
    <n v="5002858"/>
    <s v="FAVORITA TRANSPORTES LTDA"/>
    <n v="491.94"/>
    <d v="2025-06-23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245250"/>
    <s v="Válvulas de Água"/>
    <x v="5"/>
    <n v="10000"/>
    <n v="5002858"/>
    <s v="FAVORITA TRANSPORTES LTDA"/>
    <n v="491.2"/>
    <d v="2025-07-15T00:00:00"/>
  </r>
  <r>
    <n v="253872474"/>
    <n v="64642204"/>
    <s v="REB"/>
    <n v="9698475"/>
    <n v="173"/>
    <s v="PEÇAS - Defeito de fabric./Alta Amperage"/>
    <s v="FUNCIONAL"/>
    <x v="1"/>
    <n v="77466"/>
    <x v="263"/>
    <s v="SP"/>
    <n v="932"/>
    <s v="CDP Prata"/>
    <n v="1350"/>
    <s v="W11423858"/>
    <s v="Motores"/>
    <x v="1"/>
    <n v="1000"/>
    <n v="5003482"/>
    <s v="TMA TRANSPORTE LOTACAO E LOGISTICA"/>
    <n v="490.21"/>
    <d v="2024-11-11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0882241"/>
    <s v="Agitadores"/>
    <x v="2"/>
    <n v="10000"/>
    <n v="5004101"/>
    <s v="UNIDOCK'S ASSESSORIA E LOGISTICA DE"/>
    <n v="489.86"/>
    <d v="2025-02-19T00:00:00"/>
  </r>
  <r>
    <n v="253952535"/>
    <n v="64728638"/>
    <s v="REB"/>
    <n v="9298901"/>
    <n v="178"/>
    <s v="PEÇAS -Defeito de fabric./Sem Compressão"/>
    <s v="FUNCIONAL"/>
    <x v="1"/>
    <n v="81459"/>
    <x v="221"/>
    <s v="SP"/>
    <n v="648"/>
    <s v="Ultra"/>
    <n v="1350"/>
    <s v="W10393823"/>
    <s v="Compressores Herméticos"/>
    <x v="0"/>
    <n v="1000"/>
    <n v="5004042"/>
    <s v="BRASIL WEB TRANSPORTES E LOGISTICA"/>
    <n v="489.15"/>
    <d v="2025-03-10T00:00:00"/>
  </r>
  <r>
    <n v="254030665"/>
    <n v="64799578"/>
    <s v="REB"/>
    <n v="9803450"/>
    <n v="178"/>
    <s v="PEÇAS -Defeito de fabric./Sem Compressão"/>
    <s v="FUNCIONAL"/>
    <x v="1"/>
    <n v="29697"/>
    <x v="211"/>
    <s v="SP"/>
    <n v="641"/>
    <s v="CDP Diamante"/>
    <n v="1350"/>
    <s v="W10393814"/>
    <s v="Compressores Herméticos"/>
    <x v="0"/>
    <n v="1000"/>
    <n v="5004042"/>
    <s v="BRASIL WEB TRANSPORTES E LOGISTICA"/>
    <n v="488.88"/>
    <d v="2025-07-01T00:00:00"/>
  </r>
  <r>
    <n v="253995081"/>
    <n v="64772654"/>
    <s v="REB"/>
    <n v="9268227"/>
    <n v="178"/>
    <s v="PEÇAS -Defeito de fabric./Sem Compressão"/>
    <s v="FUNCIONAL"/>
    <x v="1"/>
    <n v="18949"/>
    <x v="264"/>
    <s v="SP"/>
    <n v="933"/>
    <s v="Top"/>
    <n v="1350"/>
    <s v="W11133677"/>
    <s v="Compressores Herméticos"/>
    <x v="0"/>
    <n v="1000"/>
    <n v="5004042"/>
    <s v="BRASIL WEB TRANSPORTES E LOGISTICA"/>
    <n v="488.78"/>
    <d v="2025-05-16T00:00:00"/>
  </r>
  <r>
    <n v="254041616"/>
    <n v="64772324"/>
    <s v="ROB"/>
    <n v="10005316"/>
    <n v="668"/>
    <s v="DEV-ERRO DE CADASTRO DA ALÍQUOTA"/>
    <s v="TRIBUTÁRIO"/>
    <x v="0"/>
    <n v="32533"/>
    <x v="194"/>
    <s v="PE"/>
    <n v="713"/>
    <s v="Key Account"/>
    <n v="1350"/>
    <s v="W10899325"/>
    <s v="Placas de Controle"/>
    <x v="1"/>
    <n v="2000"/>
    <n v="5004101"/>
    <s v="UNIDOCK'S ASSESSORIA E LOGISTICA DE"/>
    <n v="488.73"/>
    <d v="2025-05-16T00:00:00"/>
  </r>
  <r>
    <n v="253992728"/>
    <n v="64767515"/>
    <s v="REB"/>
    <n v="10018568"/>
    <n v="104"/>
    <s v="PEÇAS-Código trocado(embalag X conteúdo)"/>
    <s v="LOGÍSTICA"/>
    <x v="1"/>
    <n v="29112"/>
    <x v="255"/>
    <s v="SP"/>
    <n v="932"/>
    <s v="CDP Prata"/>
    <n v="1350"/>
    <s v="W10846991"/>
    <s v="Gaxetas"/>
    <x v="4"/>
    <n v="5000"/>
    <n v="5004042"/>
    <s v="BRASIL WEB TRANSPORTES E LOGISTICA"/>
    <n v="488.57"/>
    <d v="2025-05-12T00:00:00"/>
  </r>
  <r>
    <n v="254012606"/>
    <n v="64781971"/>
    <s v="REB"/>
    <n v="9442973"/>
    <n v="173"/>
    <s v="PEÇAS - Defeito de fabric./Alta Amperage"/>
    <s v="FUNCIONAL"/>
    <x v="1"/>
    <n v="71476"/>
    <x v="265"/>
    <s v="RJ"/>
    <n v="934"/>
    <s v="CDP Ouro"/>
    <n v="1350"/>
    <s v="W11251564"/>
    <s v="Placas de Controle"/>
    <x v="1"/>
    <n v="1000"/>
    <n v="5003176"/>
    <s v="J C THEDIN TRANSPORTES LTDA"/>
    <n v="488.45"/>
    <d v="2025-06-10T00:00:00"/>
  </r>
  <r>
    <n v="254033426"/>
    <n v="64807398"/>
    <s v="REB"/>
    <n v="9998760"/>
    <n v="178"/>
    <s v="PEÇAS -Defeito de fabric./Sem Compressão"/>
    <s v="FUNCIONAL"/>
    <x v="0"/>
    <n v="61675"/>
    <x v="12"/>
    <s v="MG"/>
    <n v="643"/>
    <s v="Elite"/>
    <n v="1350"/>
    <s v="W10393822"/>
    <s v="Compressores Herméticos"/>
    <x v="0"/>
    <n v="1000"/>
    <n v="5004215"/>
    <s v="BRASIL WEB TRANSPORTES E LOGISTICA"/>
    <n v="487.99"/>
    <d v="2025-07-08T00:00:00"/>
  </r>
  <r>
    <n v="254012509"/>
    <n v="64788657"/>
    <s v="REB"/>
    <n v="9413620"/>
    <n v="178"/>
    <s v="PEÇAS -Defeito de fabric./Sem Compressão"/>
    <s v="FUNCIONAL"/>
    <x v="2"/>
    <n v="29985"/>
    <x v="266"/>
    <s v="GO"/>
    <n v="350"/>
    <s v="Ats On"/>
    <n v="1350"/>
    <s v="W10393823"/>
    <s v="Compressores Herméticos"/>
    <x v="0"/>
    <n v="1000"/>
    <n v="5002858"/>
    <s v="FAVORITA TRANSPORTES LTDA"/>
    <n v="487.84"/>
    <d v="2025-06-10T00:00:00"/>
  </r>
  <r>
    <n v="253961316"/>
    <n v="64737877"/>
    <s v="REB"/>
    <n v="9907466"/>
    <n v="173"/>
    <s v="PEÇAS - Defeito de fabric./Alta Amperage"/>
    <s v="FUNCIONAL"/>
    <x v="1"/>
    <n v="30990"/>
    <x v="26"/>
    <s v="ES"/>
    <n v="713"/>
    <s v="Key Account"/>
    <n v="1350"/>
    <n v="326061171"/>
    <s v="Placas de Controle"/>
    <x v="1"/>
    <n v="2000"/>
    <n v="5004042"/>
    <s v="BRASIL WEB TRANSPORTES E LOGISTICA"/>
    <n v="487.56"/>
    <d v="2025-03-26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299803"/>
    <s v="Mecanismos"/>
    <x v="2"/>
    <n v="5000"/>
    <n v="5002858"/>
    <s v="FAVORITA TRANSPORTES LTDA"/>
    <n v="487.55"/>
    <d v="2025-07-15T00:00:00"/>
  </r>
  <r>
    <n v="254018389"/>
    <n v="64793132"/>
    <s v="REB"/>
    <n v="10078832"/>
    <n v="173"/>
    <s v="PEÇAS - Defeito de fabric./Alta Amperage"/>
    <s v="FUNCIONAL"/>
    <x v="2"/>
    <n v="85703"/>
    <x v="164"/>
    <s v="DF"/>
    <n v="350"/>
    <s v="Ats On"/>
    <n v="1350"/>
    <s v="W11340257"/>
    <s v="Placas de Interface"/>
    <x v="1"/>
    <n v="1000"/>
    <n v="5002858"/>
    <s v="FAVORITA TRANSPORTES LTDA"/>
    <n v="486.86"/>
    <d v="2025-06-17T00:00:00"/>
  </r>
  <r>
    <n v="254042253"/>
    <n v="64796011"/>
    <s v="REB"/>
    <n v="9863991"/>
    <n v="176"/>
    <s v="PEÇAS - Defeito de fabric./Interrompido"/>
    <s v="FUNCIONAL"/>
    <x v="0"/>
    <n v="36065"/>
    <x v="7"/>
    <s v="GO"/>
    <n v="643"/>
    <s v="Elite"/>
    <n v="1350"/>
    <s v="W10393823"/>
    <s v="Compressores Herméticos"/>
    <x v="0"/>
    <n v="1000"/>
    <n v="5002858"/>
    <s v="FAVORITA TRANSPORTES LTDA"/>
    <n v="486.58"/>
    <d v="2025-06-23T00:00:00"/>
  </r>
  <r>
    <n v="254012500"/>
    <n v="64789115"/>
    <s v="REB"/>
    <n v="9688377"/>
    <n v="176"/>
    <s v="PEÇAS - Defeito de fabric./Interrompido"/>
    <s v="FUNCIONAL"/>
    <x v="2"/>
    <n v="28707"/>
    <x v="209"/>
    <s v="SP"/>
    <n v="648"/>
    <s v="Ultra"/>
    <n v="1350"/>
    <s v="W10375479"/>
    <s v="Compressores Herméticos"/>
    <x v="0"/>
    <n v="1000"/>
    <n v="5004042"/>
    <s v="BRASIL WEB TRANSPORTES E LOGISTICA"/>
    <n v="485.99"/>
    <d v="2025-06-10T00:00:00"/>
  </r>
  <r>
    <s v="Sem TR"/>
    <n v="64795884"/>
    <s v="REB"/>
    <n v="10061375"/>
    <n v="90"/>
    <s v="CLIENTE-não solicitou"/>
    <s v="COMERCIAL"/>
    <x v="1"/>
    <n v="25656"/>
    <x v="173"/>
    <s v="SP"/>
    <n v="931"/>
    <s v="Ats Off"/>
    <n v="1350"/>
    <s v="W10915379"/>
    <s v="Placas de Controle"/>
    <x v="1"/>
    <n v="1000"/>
    <n v="5004042"/>
    <s v="BRASIL WEB TRANSPORTES E LOGISTICA"/>
    <n v="485.78"/>
    <d v="2025-06-23T00:00:00"/>
  </r>
  <r>
    <n v="253915530"/>
    <n v="64687650"/>
    <s v="REB"/>
    <n v="9795221"/>
    <n v="173"/>
    <s v="PEÇAS - Defeito de fabric./Alta Amperage"/>
    <s v="FUNCIONAL"/>
    <x v="1"/>
    <n v="3236"/>
    <x v="45"/>
    <s v="SP"/>
    <n v="931"/>
    <s v="Ats Off"/>
    <n v="1350"/>
    <s v="W10276238"/>
    <s v="Placas de Interface"/>
    <x v="1"/>
    <n v="1000"/>
    <n v="5003254"/>
    <s v="TMA TRANSPORTE LOTACAO E LOGISTICA"/>
    <n v="483.29"/>
    <d v="2025-01-09T00:00:00"/>
  </r>
  <r>
    <n v="254012433"/>
    <n v="64782017"/>
    <s v="REB"/>
    <n v="9764061"/>
    <n v="176"/>
    <s v="PEÇAS - Defeito de fabric./Interrompido"/>
    <s v="FUNCIONAL"/>
    <x v="2"/>
    <n v="66"/>
    <x v="73"/>
    <s v="GO"/>
    <n v="931"/>
    <s v="Ats Off"/>
    <n v="1350"/>
    <s v="W11426737"/>
    <s v="Placas de Controle"/>
    <x v="1"/>
    <n v="1000"/>
    <n v="5002858"/>
    <s v="FAVORITA TRANSPORTES LTDA"/>
    <n v="482.56"/>
    <d v="2025-06-10T00:00:00"/>
  </r>
  <r>
    <s v="Sem TR"/>
    <n v="64715368"/>
    <s v="REB"/>
    <n v="9830104"/>
    <n v="671"/>
    <s v="DEV-ENVIADO PARA GESTÃO DE CONSEQUENCIA"/>
    <s v="TRANSPORTADORA"/>
    <x v="1"/>
    <n v="22040"/>
    <x v="230"/>
    <s v="SP"/>
    <n v="350"/>
    <s v="Ats On"/>
    <n v="1350"/>
    <s v="W11516477"/>
    <s v="Compressores Herméticos"/>
    <x v="0"/>
    <n v="1000"/>
    <n v="5004042"/>
    <s v="BRASIL WEB TRANSPORTES E LOGISTICA"/>
    <n v="482.5"/>
    <d v="2025-02-18T00:00:00"/>
  </r>
  <r>
    <n v="253961418"/>
    <n v="64735978"/>
    <s v="REB"/>
    <n v="9734523"/>
    <n v="176"/>
    <s v="PEÇAS - Defeito de fabric./Interrompido"/>
    <s v="FUNCIONAL"/>
    <x v="1"/>
    <n v="81379"/>
    <x v="267"/>
    <s v="SP"/>
    <n v="934"/>
    <s v="CDP Ouro"/>
    <n v="1350"/>
    <s v="W11133677"/>
    <s v="Compressores Herméticos"/>
    <x v="0"/>
    <n v="1000"/>
    <n v="5004042"/>
    <s v="BRASIL WEB TRANSPORTES E LOGISTICA"/>
    <n v="482.33"/>
    <d v="2025-03-25T00:00:00"/>
  </r>
  <r>
    <n v="253961365"/>
    <n v="64737163"/>
    <s v="REB"/>
    <n v="9292556"/>
    <n v="178"/>
    <s v="PEÇAS -Defeito de fabric./Sem Compressão"/>
    <s v="FUNCIONAL"/>
    <x v="1"/>
    <n v="56605"/>
    <x v="268"/>
    <s v="AL"/>
    <n v="934"/>
    <s v="CDP Ouro"/>
    <n v="1350"/>
    <s v="W10393823"/>
    <s v="Compressores Herméticos"/>
    <x v="0"/>
    <n v="1000"/>
    <n v="5004101"/>
    <s v="UNIDOCK'S ASSESSORIA E LOGISTICA DE"/>
    <n v="481.51"/>
    <d v="2025-03-24T00:00:00"/>
  </r>
  <r>
    <n v="253983848"/>
    <n v="64759348"/>
    <s v="REB"/>
    <n v="9933247"/>
    <n v="173"/>
    <s v="PEÇAS - Defeito de fabric./Alta Amperage"/>
    <s v="FUNCIONAL"/>
    <x v="2"/>
    <n v="9599"/>
    <x v="121"/>
    <s v="SP"/>
    <n v="931"/>
    <s v="Ats Off"/>
    <n v="1350"/>
    <s v="W11516477"/>
    <s v="Compressores Herméticos"/>
    <x v="0"/>
    <n v="1000"/>
    <n v="5004042"/>
    <s v="BRASIL WEB TRANSPORTES E LOGISTICA"/>
    <n v="481.42"/>
    <d v="2025-04-28T00:00:00"/>
  </r>
  <r>
    <n v="253953824"/>
    <n v="64731416"/>
    <s v="REB"/>
    <n v="9930817"/>
    <n v="90"/>
    <s v="CLIENTE-não solicitou"/>
    <s v="COMERCIAL"/>
    <x v="1"/>
    <n v="59136"/>
    <x v="269"/>
    <s v="SP"/>
    <n v="648"/>
    <s v="Ultra"/>
    <n v="1350"/>
    <s v="W10221056"/>
    <s v="Condensadores"/>
    <x v="0"/>
    <n v="4000"/>
    <n v="5004042"/>
    <s v="BRASIL WEB TRANSPORTES E LOGISTICA"/>
    <n v="481.13"/>
    <d v="2025-03-14T00:00:00"/>
  </r>
  <r>
    <s v="Sem TR"/>
    <n v="64634443"/>
    <s v="REB"/>
    <n v="9597467"/>
    <n v="125"/>
    <s v="DEV-Extravio de produto (Transportadora)"/>
    <s v="TRANSPORTADORA"/>
    <x v="0"/>
    <n v="47026"/>
    <x v="16"/>
    <s v="BA"/>
    <n v="643"/>
    <s v="Elite"/>
    <n v="1350"/>
    <s v="W10257566"/>
    <s v="Fusíveis/Fusíveis térmicos"/>
    <x v="1"/>
    <n v="50000"/>
    <n v="5004101"/>
    <s v="UNIDOCK'S ASSESSORIA E LOGISTICA DE"/>
    <n v="480.16"/>
    <d v="2024-10-29T00:00:00"/>
  </r>
  <r>
    <n v="254012614"/>
    <n v="64789466"/>
    <s v="REB"/>
    <n v="9979730"/>
    <n v="173"/>
    <s v="PEÇAS - Defeito de fabric./Alta Amperage"/>
    <s v="FUNCIONAL"/>
    <x v="2"/>
    <n v="75812"/>
    <x v="102"/>
    <s v="SP"/>
    <n v="931"/>
    <s v="Ats Off"/>
    <n v="1350"/>
    <s v="W11509192"/>
    <s v="Dispensers"/>
    <x v="9"/>
    <n v="1000"/>
    <n v="5004042"/>
    <s v="BRASIL WEB TRANSPORTES E LOGISTICA"/>
    <n v="479.98"/>
    <d v="2025-06-10T00:00:00"/>
  </r>
  <r>
    <s v="Sem TR"/>
    <n v="64691072"/>
    <s v="REB"/>
    <n v="9757193"/>
    <n v="671"/>
    <s v="DEV-ENVIADO PARA GESTÃO DE CONSEQUENCIA"/>
    <s v="TRANSPORTADORA"/>
    <x v="1"/>
    <n v="61876"/>
    <x v="212"/>
    <s v="SC"/>
    <n v="932"/>
    <s v="CDP Prata"/>
    <n v="1350"/>
    <s v="W11368174"/>
    <s v="Compressores Herméticos"/>
    <x v="0"/>
    <n v="1000"/>
    <n v="5003024"/>
    <s v="RODOBRAS TRANSPORTES RODOVIARIOS LT"/>
    <n v="479.91"/>
    <d v="2025-01-14T00:00:00"/>
  </r>
  <r>
    <n v="253950216"/>
    <n v="64730029"/>
    <s v="REB"/>
    <n v="9804539"/>
    <n v="671"/>
    <s v="DEV-ENVIADO PARA GESTÃO DE CONSEQUENCIA"/>
    <s v="TRANSPORTADORA"/>
    <x v="1"/>
    <n v="61876"/>
    <x v="212"/>
    <s v="SC"/>
    <n v="932"/>
    <s v="CDP Prata"/>
    <n v="1350"/>
    <s v="W11368174"/>
    <s v="Compressores Herméticos"/>
    <x v="0"/>
    <n v="1000"/>
    <n v="5003024"/>
    <s v="RODOBRAS TRANSPORTES RODOVIARIOS LT"/>
    <n v="479.91"/>
    <d v="2025-03-11T00:00:00"/>
  </r>
  <r>
    <n v="254038371"/>
    <n v="64804268"/>
    <s v="REB"/>
    <n v="9641652"/>
    <n v="167"/>
    <s v="PEÇAS - Avaria - Quebrada/Depósito"/>
    <s v="LOGÍSTICA"/>
    <x v="1"/>
    <n v="32488"/>
    <x v="270"/>
    <s v="RJ"/>
    <n v="933"/>
    <s v="Top"/>
    <n v="1350"/>
    <s v="W11566930"/>
    <s v="Outros"/>
    <x v="7"/>
    <n v="2000"/>
    <n v="5003176"/>
    <s v="J C THEDIN TRANSPORTES LTDA"/>
    <n v="479.86"/>
    <d v="2025-07-22T00:00:00"/>
  </r>
  <r>
    <n v="254035398"/>
    <n v="64796953"/>
    <s v="REB"/>
    <n v="9509575"/>
    <n v="173"/>
    <s v="PEÇAS - Defeito de fabric./Alta Amperage"/>
    <s v="FUNCIONAL"/>
    <x v="0"/>
    <n v="61263"/>
    <x v="18"/>
    <s v="CE"/>
    <n v="648"/>
    <s v="Ultra"/>
    <n v="1350"/>
    <s v="W11121357"/>
    <s v="Placas de Controle"/>
    <x v="1"/>
    <n v="2000"/>
    <n v="5004101"/>
    <s v="UNIDOCK'S ASSESSORIA E LOGISTICA DE"/>
    <n v="479.46"/>
    <d v="2025-07-17T00:00:00"/>
  </r>
  <r>
    <s v="Sem TR"/>
    <n v="64734274"/>
    <s v="ROB"/>
    <n v="9901965"/>
    <n v="671"/>
    <s v="DEV-ENVIADO PARA GESTÃO DE CONSEQUENCIA"/>
    <s v="TRANSPORTADORA"/>
    <x v="1"/>
    <n v="28563"/>
    <x v="271"/>
    <s v="RS"/>
    <n v="701"/>
    <s v="Descredenciado"/>
    <n v="1350"/>
    <s v="W10640425"/>
    <s v="Placas de Interface"/>
    <x v="1"/>
    <n v="2000"/>
    <n v="5003024"/>
    <s v="RODOBRAS TRANSPORTES RODOVIARIOS LT"/>
    <n v="478.4"/>
    <d v="2025-03-19T00:00:00"/>
  </r>
  <r>
    <n v="254024098"/>
    <n v="64803605"/>
    <s v="ZRDI"/>
    <n v="10016219"/>
    <n v="208"/>
    <s v="DEV-Atraso entrega- LOGISTICA(Transp)"/>
    <s v="TRANSPORTADORA"/>
    <x v="2"/>
    <n v="57907512"/>
    <x v="272"/>
    <s v="PA"/>
    <n v="474"/>
    <s v="Site Brastemp"/>
    <n v="1352"/>
    <s v="W10351342"/>
    <s v="Ice Maker"/>
    <x v="7"/>
    <n v="1000"/>
    <n v="5002359"/>
    <s v="EMPRESA BRASILEIRA DE CORREIOS E"/>
    <n v="478.3"/>
    <d v="2025-07-01T00:00:00"/>
  </r>
  <r>
    <n v="253995068"/>
    <n v="64772553"/>
    <s v="REB"/>
    <n v="10034749"/>
    <n v="176"/>
    <s v="PEÇAS - Defeito de fabric./Interrompido"/>
    <s v="FUNCIONAL"/>
    <x v="1"/>
    <n v="3649"/>
    <x v="148"/>
    <s v="SP"/>
    <n v="350"/>
    <s v="Ats On"/>
    <n v="1350"/>
    <s v="W11516476"/>
    <s v="Compressores Herméticos"/>
    <x v="0"/>
    <n v="1000"/>
    <n v="5004042"/>
    <s v="BRASIL WEB TRANSPORTES E LOGISTICA"/>
    <n v="477.32"/>
    <d v="2025-05-16T00:00:00"/>
  </r>
  <r>
    <n v="254012501"/>
    <n v="64789455"/>
    <s v="REB"/>
    <n v="9627661"/>
    <n v="178"/>
    <s v="PEÇAS -Defeito de fabric./Sem Compressão"/>
    <s v="FUNCIONAL"/>
    <x v="2"/>
    <n v="28991"/>
    <x v="65"/>
    <s v="MG"/>
    <n v="643"/>
    <s v="Elite"/>
    <n v="1350"/>
    <s v="W10393823"/>
    <s v="Compressores Herméticos"/>
    <x v="0"/>
    <n v="1000"/>
    <n v="5004215"/>
    <s v="BRASIL WEB TRANSPORTES E LOGISTICA"/>
    <n v="477.02"/>
    <d v="2025-06-10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1375485"/>
    <s v="Compressores Herméticos"/>
    <x v="0"/>
    <n v="1000"/>
    <n v="5004101"/>
    <s v="UNIDOCK'S ASSESSORIA E LOGISTICA DE"/>
    <n v="476.83"/>
    <d v="2025-03-11T00:00:00"/>
  </r>
  <r>
    <n v="254033100"/>
    <n v="64807471"/>
    <s v="REB"/>
    <n v="9919055"/>
    <n v="176"/>
    <s v="PEÇAS - Defeito de fabric./Interrompido"/>
    <s v="FUNCIONAL"/>
    <x v="2"/>
    <n v="66"/>
    <x v="73"/>
    <s v="GO"/>
    <n v="931"/>
    <s v="Ats Off"/>
    <n v="1350"/>
    <s v="W10732276"/>
    <s v="Placas de Controle"/>
    <x v="1"/>
    <n v="1000"/>
    <n v="5002858"/>
    <s v="FAVORITA TRANSPORTES LTDA"/>
    <n v="476.77"/>
    <d v="2025-07-08T00:00:00"/>
  </r>
  <r>
    <n v="254018347"/>
    <n v="64793313"/>
    <s v="REB"/>
    <n v="9847710"/>
    <n v="178"/>
    <s v="PEÇAS -Defeito de fabric./Sem Compressão"/>
    <s v="FUNCIONAL"/>
    <x v="1"/>
    <n v="67141"/>
    <x v="214"/>
    <s v="SP"/>
    <n v="648"/>
    <s v="Ultra"/>
    <n v="1350"/>
    <s v="W10393814"/>
    <s v="Compressores Herméticos"/>
    <x v="0"/>
    <n v="1000"/>
    <n v="5004042"/>
    <s v="BRASIL WEB TRANSPORTES E LOGISTICA"/>
    <n v="476.48"/>
    <d v="2025-06-17T00:00:00"/>
  </r>
  <r>
    <n v="253970911"/>
    <n v="64748225"/>
    <s v="REB"/>
    <n v="9847711"/>
    <n v="178"/>
    <s v="PEÇAS -Defeito de fabric./Sem Compressão"/>
    <s v="FUNCIONAL"/>
    <x v="2"/>
    <n v="67141"/>
    <x v="214"/>
    <s v="SP"/>
    <n v="648"/>
    <s v="Ultra"/>
    <n v="1350"/>
    <s v="W10393814"/>
    <s v="Compressores Herméticos"/>
    <x v="0"/>
    <n v="1000"/>
    <n v="5004042"/>
    <s v="BRASIL WEB TRANSPORTES E LOGISTICA"/>
    <n v="476.48"/>
    <d v="2025-04-09T00:00:00"/>
  </r>
  <r>
    <n v="254018327"/>
    <n v="64791992"/>
    <s v="REB"/>
    <n v="9638262"/>
    <n v="176"/>
    <s v="PEÇAS - Defeito de fabric./Interrompido"/>
    <s v="FUNCIONAL"/>
    <x v="2"/>
    <n v="59011"/>
    <x v="273"/>
    <s v="SP"/>
    <n v="648"/>
    <s v="Ultra"/>
    <n v="1350"/>
    <s v="W10393815"/>
    <s v="Compressores Herméticos"/>
    <x v="0"/>
    <n v="1000"/>
    <n v="5004042"/>
    <s v="BRASIL WEB TRANSPORTES E LOGISTICA"/>
    <n v="476.48"/>
    <d v="2025-06-17T00:00:00"/>
  </r>
  <r>
    <n v="254018327"/>
    <n v="64792236"/>
    <s v="REB"/>
    <n v="9791899"/>
    <n v="173"/>
    <s v="PEÇAS - Defeito de fabric./Alta Amperage"/>
    <s v="FUNCIONAL"/>
    <x v="2"/>
    <n v="59011"/>
    <x v="273"/>
    <s v="SP"/>
    <n v="648"/>
    <s v="Ultra"/>
    <n v="1350"/>
    <s v="W10393815"/>
    <s v="Compressores Herméticos"/>
    <x v="0"/>
    <n v="1000"/>
    <n v="5004042"/>
    <s v="BRASIL WEB TRANSPORTES E LOGISTICA"/>
    <n v="476.48"/>
    <d v="2025-06-17T00:00:00"/>
  </r>
  <r>
    <s v="Sem TR"/>
    <n v="64809765"/>
    <s v="ZRDI"/>
    <n v="10127852"/>
    <s v="D18"/>
    <s v="DEV D2C - Arrependimento não quero mais"/>
    <s v="COMERCIAL"/>
    <x v="2"/>
    <n v="51708277"/>
    <x v="274"/>
    <s v="SP"/>
    <n v="474"/>
    <s v="Site Brastemp"/>
    <n v="1352"/>
    <s v="W10544765"/>
    <s v="Placas de Interface"/>
    <x v="1"/>
    <n v="1000"/>
    <n v="5002359"/>
    <s v="EMPRESA BRASILEIRA DE CORREIOS E"/>
    <n v="476.23"/>
    <d v="2025-07-14T00:00:00"/>
  </r>
  <r>
    <n v="254042088"/>
    <n v="64795426"/>
    <s v="REB"/>
    <n v="9967934"/>
    <n v="173"/>
    <s v="PEÇAS - Defeito de fabric./Alta Amperage"/>
    <s v="FUNCIONAL"/>
    <x v="0"/>
    <n v="70555"/>
    <x v="150"/>
    <s v="SC"/>
    <n v="648"/>
    <s v="Ultra"/>
    <n v="1350"/>
    <s v="W11340256"/>
    <s v="Placas de Interface"/>
    <x v="1"/>
    <n v="1000"/>
    <n v="5003024"/>
    <s v="RODOBRAS TRANSPORTES RODOVIARIOS LT"/>
    <n v="476.09"/>
    <d v="2025-06-23T00:00:00"/>
  </r>
  <r>
    <n v="254003874"/>
    <n v="64777844"/>
    <s v="REB"/>
    <n v="9967322"/>
    <n v="173"/>
    <s v="PEÇAS - Defeito de fabric./Alta Amperage"/>
    <s v="FUNCIONAL"/>
    <x v="1"/>
    <n v="14441"/>
    <x v="61"/>
    <s v="SP"/>
    <n v="931"/>
    <s v="Ats Off"/>
    <n v="1350"/>
    <s v="W11516477"/>
    <s v="Compressores Herméticos"/>
    <x v="0"/>
    <n v="1000"/>
    <n v="5004042"/>
    <s v="BRASIL WEB TRANSPORTES E LOGISTICA"/>
    <n v="475.62"/>
    <d v="2025-05-26T00:00:00"/>
  </r>
  <r>
    <n v="253952127"/>
    <n v="64729236"/>
    <s v="REB"/>
    <n v="9887595"/>
    <n v="173"/>
    <s v="PEÇAS - Defeito de fabric./Alta Amperage"/>
    <s v="FUNCIONAL"/>
    <x v="1"/>
    <n v="3236"/>
    <x v="45"/>
    <s v="SP"/>
    <n v="931"/>
    <s v="Ats Off"/>
    <n v="1350"/>
    <s v="W11160617"/>
    <s v="Placas de Controle"/>
    <x v="1"/>
    <n v="1000"/>
    <n v="5004042"/>
    <s v="BRASIL WEB TRANSPORTES E LOGISTICA"/>
    <n v="474.63"/>
    <d v="2025-03-10T00:00:00"/>
  </r>
  <r>
    <n v="253952535"/>
    <n v="64728641"/>
    <s v="REB"/>
    <n v="9168268"/>
    <n v="178"/>
    <s v="PEÇAS -Defeito de fabric./Sem Compressão"/>
    <s v="FUNCIONAL"/>
    <x v="1"/>
    <n v="81459"/>
    <x v="221"/>
    <s v="SP"/>
    <n v="648"/>
    <s v="Ultra"/>
    <n v="1350"/>
    <s v="W10393815"/>
    <s v="Compressores Herméticos"/>
    <x v="0"/>
    <n v="1000"/>
    <n v="5004042"/>
    <s v="BRASIL WEB TRANSPORTES E LOGISTICA"/>
    <n v="472.92"/>
    <d v="2025-03-10T00:00:00"/>
  </r>
  <r>
    <n v="253988857"/>
    <n v="64759328"/>
    <s v="REB"/>
    <n v="9150202"/>
    <n v="173"/>
    <s v="PEÇAS - Defeito de fabric./Alta Amperage"/>
    <s v="FUNCIONAL"/>
    <x v="1"/>
    <n v="28296"/>
    <x v="222"/>
    <s v="SP"/>
    <n v="648"/>
    <s v="Ultra"/>
    <n v="1350"/>
    <s v="W10393815"/>
    <s v="Compressores Herméticos"/>
    <x v="0"/>
    <n v="1000"/>
    <n v="5004042"/>
    <s v="BRASIL WEB TRANSPORTES E LOGISTICA"/>
    <n v="472.92"/>
    <d v="2025-05-05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0897149"/>
    <s v="Rolamentos"/>
    <x v="2"/>
    <n v="50000"/>
    <n v="5004391"/>
    <s v="JEONCEL TRANSPORTES LTDA"/>
    <n v="472.7"/>
    <d v="2025-05-08T00:00:00"/>
  </r>
  <r>
    <n v="253922512"/>
    <n v="64694693"/>
    <s v="REB"/>
    <n v="9282964"/>
    <n v="178"/>
    <s v="PEÇAS -Defeito de fabric./Sem Compressão"/>
    <s v="FUNCIONAL"/>
    <x v="1"/>
    <n v="25727"/>
    <x v="275"/>
    <s v="GO"/>
    <n v="644"/>
    <s v="Plus"/>
    <n v="1350"/>
    <s v="W10393823"/>
    <s v="Compressores Herméticos"/>
    <x v="0"/>
    <n v="1000"/>
    <n v="5002858"/>
    <s v="FAVORITA TRANSPORTES LTDA"/>
    <n v="472.44"/>
    <d v="2025-01-20T00:00:00"/>
  </r>
  <r>
    <n v="253995134"/>
    <n v="64772594"/>
    <s v="REB"/>
    <n v="9035096"/>
    <n v="177"/>
    <s v="PEÇAS - Defeito de fabric./Ruído"/>
    <s v="FUNCIONAL"/>
    <x v="2"/>
    <n v="27991"/>
    <x v="120"/>
    <s v="SP"/>
    <n v="644"/>
    <s v="Plus"/>
    <n v="1350"/>
    <s v="W11677211"/>
    <s v="Compressores Herméticos"/>
    <x v="0"/>
    <n v="1000"/>
    <n v="5004042"/>
    <s v="BRASIL WEB TRANSPORTES E LOGISTICA"/>
    <n v="472.09"/>
    <d v="2025-05-16T00:00:00"/>
  </r>
  <r>
    <n v="253961389"/>
    <n v="64737317"/>
    <s v="REB"/>
    <n v="9806201"/>
    <n v="173"/>
    <s v="PEÇAS - Defeito de fabric./Alta Amperage"/>
    <s v="FUNCIONAL"/>
    <x v="1"/>
    <n v="70149"/>
    <x v="147"/>
    <s v="SP"/>
    <n v="963"/>
    <s v="Ats Distribuidoras"/>
    <n v="1350"/>
    <s v="W10160035"/>
    <s v="Magnetrons"/>
    <x v="1"/>
    <n v="2000"/>
    <n v="5004042"/>
    <s v="BRASIL WEB TRANSPORTES E LOGISTICA"/>
    <n v="471.62"/>
    <d v="2025-03-24T00:00:00"/>
  </r>
  <r>
    <n v="254012501"/>
    <n v="64789318"/>
    <s v="REB"/>
    <n v="9470072"/>
    <n v="178"/>
    <s v="PEÇAS -Defeito de fabric./Sem Compressão"/>
    <s v="FUNCIONAL"/>
    <x v="2"/>
    <n v="28991"/>
    <x v="65"/>
    <s v="MG"/>
    <n v="643"/>
    <s v="Elite"/>
    <n v="1350"/>
    <s v="W10393822"/>
    <s v="Compressores Herméticos"/>
    <x v="0"/>
    <n v="1000"/>
    <n v="5004215"/>
    <s v="BRASIL WEB TRANSPORTES E LOGISTICA"/>
    <n v="471.59"/>
    <d v="2025-06-10T00:00:00"/>
  </r>
  <r>
    <n v="254038266"/>
    <n v="64811747"/>
    <s v="REB"/>
    <n v="10125669"/>
    <n v="176"/>
    <s v="PEÇAS - Defeito de fabric./Interrompido"/>
    <s v="FUNCIONAL"/>
    <x v="0"/>
    <n v="3506"/>
    <x v="46"/>
    <s v="SP"/>
    <n v="931"/>
    <s v="Ats Off"/>
    <n v="1350"/>
    <s v="W11516476"/>
    <s v="Compressores Herméticos"/>
    <x v="0"/>
    <n v="1000"/>
    <n v="5004042"/>
    <s v="BRASIL WEB TRANSPORTES E LOGISTICA"/>
    <n v="471.27"/>
    <d v="2025-07-22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1254865"/>
    <s v="Mecanismos"/>
    <x v="2"/>
    <n v="3000"/>
    <n v="5002359"/>
    <s v="EMPRESA BRASILEIRA DE CORREIOS E"/>
    <n v="471.24"/>
    <d v="2025-05-20T00:00:00"/>
  </r>
  <r>
    <n v="254026372"/>
    <n v="64805838"/>
    <s v="ZRDI"/>
    <n v="10088950"/>
    <n v="208"/>
    <s v="DEV-Atraso entrega- LOGISTICA(Transp)"/>
    <s v="TRANSPORTADORA"/>
    <x v="2"/>
    <n v="51833289"/>
    <x v="276"/>
    <s v="RS"/>
    <n v="474"/>
    <s v="Site Brastemp"/>
    <n v="1352"/>
    <n v="326048020"/>
    <s v="Suportes"/>
    <x v="6"/>
    <n v="1000"/>
    <n v="5002359"/>
    <s v="EMPRESA BRASILEIRA DE CORREIOS E"/>
    <n v="470.48"/>
    <d v="2025-07-04T00:00:00"/>
  </r>
  <r>
    <n v="253907561"/>
    <n v="64676844"/>
    <s v="REB"/>
    <n v="9023385"/>
    <n v="178"/>
    <s v="PEÇAS -Defeito de fabric./Sem Compressão"/>
    <s v="FUNCIONAL"/>
    <x v="1"/>
    <n v="28681"/>
    <x v="277"/>
    <s v="SP"/>
    <n v="643"/>
    <s v="Elite"/>
    <n v="1350"/>
    <s v="W10393814"/>
    <s v="Compressores Herméticos"/>
    <x v="0"/>
    <n v="1000"/>
    <n v="5003482"/>
    <s v="TMA TRANSPORTE LOTACAO E LOGISTICA"/>
    <n v="470.47"/>
    <d v="2024-12-23T00:00:00"/>
  </r>
  <r>
    <n v="253953860"/>
    <n v="64732034"/>
    <s v="REB"/>
    <n v="9726643"/>
    <n v="671"/>
    <s v="DEV-ENVIADO PARA GESTÃO DE CONSEQUENCIA"/>
    <s v="TRANSPORTADORA"/>
    <x v="1"/>
    <n v="85591"/>
    <x v="161"/>
    <s v="SC"/>
    <n v="643"/>
    <s v="Elite"/>
    <n v="1350"/>
    <s v="W10637619"/>
    <s v="Placas de Interface"/>
    <x v="1"/>
    <n v="1000"/>
    <n v="5003024"/>
    <s v="RODOBRAS TRANSPORTES RODOVIARIOS LT"/>
    <n v="469.82"/>
    <d v="2025-03-14T00:00:00"/>
  </r>
  <r>
    <s v="Sem TR"/>
    <n v="64720647"/>
    <s v="REB"/>
    <n v="9683873"/>
    <n v="160"/>
    <s v="OI Cancelada - Ver motivo no texto"/>
    <s v="OUTROS"/>
    <x v="1"/>
    <n v="84681"/>
    <x v="17"/>
    <s v="BA"/>
    <n v="643"/>
    <s v="Elite"/>
    <n v="1350"/>
    <s v="W10393822"/>
    <s v="Compressores Herméticos"/>
    <x v="0"/>
    <n v="1000"/>
    <n v="5004101"/>
    <s v="UNIDOCK'S ASSESSORIA E LOGISTICA DE"/>
    <n v="469.25"/>
    <d v="2025-03-07T00:00:00"/>
  </r>
  <r>
    <n v="254024244"/>
    <n v="64804149"/>
    <s v="ROB"/>
    <n v="10076956"/>
    <n v="115"/>
    <s v="PEÇAS-Recusa do cliente"/>
    <s v="COMERCIAL"/>
    <x v="2"/>
    <n v="77676"/>
    <x v="278"/>
    <s v="DF"/>
    <n v="350"/>
    <s v="Ats On"/>
    <n v="1350"/>
    <s v="W10544750"/>
    <s v="Motores"/>
    <x v="1"/>
    <n v="1000"/>
    <n v="5002858"/>
    <s v="FAVORITA TRANSPORTES LTDA"/>
    <n v="468.83"/>
    <d v="2025-07-02T00:00:00"/>
  </r>
  <r>
    <n v="254012552"/>
    <n v="64789326"/>
    <s v="REB"/>
    <n v="9299457"/>
    <n v="173"/>
    <s v="PEÇAS - Defeito de fabric./Alta Amperage"/>
    <s v="FUNCIONAL"/>
    <x v="2"/>
    <n v="59026"/>
    <x v="279"/>
    <s v="ES"/>
    <n v="932"/>
    <s v="CDP Prata"/>
    <n v="1350"/>
    <s v="W10393822"/>
    <s v="Compressores Herméticos"/>
    <x v="0"/>
    <n v="1000"/>
    <n v="5004042"/>
    <s v="BRASIL WEB TRANSPORTES E LOGISTICA"/>
    <n v="468.73"/>
    <d v="2025-06-10T00:00:00"/>
  </r>
  <r>
    <n v="253981590"/>
    <n v="64757831"/>
    <s v="REB"/>
    <n v="9939319"/>
    <n v="178"/>
    <s v="PEÇAS -Defeito de fabric./Sem Compressão"/>
    <s v="FUNCIONAL"/>
    <x v="1"/>
    <n v="87383"/>
    <x v="77"/>
    <s v="RJ"/>
    <n v="933"/>
    <s v="Top"/>
    <n v="1350"/>
    <s v="W10393822"/>
    <s v="Compressores Herméticos"/>
    <x v="0"/>
    <n v="1000"/>
    <n v="5003176"/>
    <s v="J C THEDIN TRANSPORTES LTDA"/>
    <n v="468.51"/>
    <d v="2025-04-25T00:00:00"/>
  </r>
  <r>
    <n v="254003853"/>
    <n v="64776210"/>
    <s v="REB"/>
    <n v="9823109"/>
    <n v="176"/>
    <s v="PEÇAS - Defeito de fabric./Interrompido"/>
    <s v="FUNCIONAL"/>
    <x v="2"/>
    <n v="3506"/>
    <x v="46"/>
    <s v="SP"/>
    <n v="931"/>
    <s v="Ats Off"/>
    <n v="1350"/>
    <s v="W11619403"/>
    <s v="Placas de Controle"/>
    <x v="1"/>
    <n v="2000"/>
    <n v="5004042"/>
    <s v="BRASIL WEB TRANSPORTES E LOGISTICA"/>
    <n v="468.49"/>
    <d v="2025-05-26T00:00:00"/>
  </r>
  <r>
    <n v="253988860"/>
    <n v="64764422"/>
    <s v="REB"/>
    <n v="9781127"/>
    <n v="178"/>
    <s v="PEÇAS -Defeito de fabric./Sem Compressão"/>
    <s v="FUNCIONAL"/>
    <x v="1"/>
    <n v="28684"/>
    <x v="235"/>
    <s v="SP"/>
    <n v="648"/>
    <s v="Ultra"/>
    <n v="1350"/>
    <s v="W11677211"/>
    <s v="Compressores Herméticos"/>
    <x v="0"/>
    <n v="1000"/>
    <n v="5004042"/>
    <s v="BRASIL WEB TRANSPORTES E LOGISTICA"/>
    <n v="468.31"/>
    <d v="2025-05-05T00:00:00"/>
  </r>
  <r>
    <s v="Sem TR"/>
    <n v="64776640"/>
    <s v="REB"/>
    <n v="10017872"/>
    <n v="509"/>
    <s v="Qtd de peças a Menor dentro do Volume"/>
    <s v="LOGÍSTICA"/>
    <x v="2"/>
    <n v="64683"/>
    <x v="56"/>
    <s v="RS"/>
    <n v="648"/>
    <s v="Ultra"/>
    <n v="1350"/>
    <s v="W11369860"/>
    <s v="Motores Ventiladores"/>
    <x v="1"/>
    <n v="12000"/>
    <n v="5002359"/>
    <s v="EMPRESA BRASILEIRA DE CORREIOS E"/>
    <n v="468.07"/>
    <d v="2025-05-26T00:00:00"/>
  </r>
  <r>
    <n v="254033689"/>
    <n v="64795959"/>
    <s v="REB"/>
    <n v="9660358"/>
    <n v="176"/>
    <s v="PEÇAS - Defeito de fabric./Interrompido"/>
    <s v="FUNCIONAL"/>
    <x v="1"/>
    <n v="24089"/>
    <x v="134"/>
    <s v="RJ"/>
    <n v="931"/>
    <s v="Ats Off"/>
    <n v="1350"/>
    <s v="W11248047"/>
    <s v="Placas de Interface"/>
    <x v="1"/>
    <n v="1000"/>
    <n v="5003176"/>
    <s v="J C THEDIN TRANSPORTES LTDA"/>
    <n v="467.89"/>
    <d v="2025-06-23T00:00:00"/>
  </r>
  <r>
    <n v="254033682"/>
    <n v="64795603"/>
    <s v="REB"/>
    <n v="9767598"/>
    <n v="176"/>
    <s v="PEÇAS - Defeito de fabric./Interrompido"/>
    <s v="FUNCIONAL"/>
    <x v="1"/>
    <n v="24089"/>
    <x v="134"/>
    <s v="RJ"/>
    <n v="931"/>
    <s v="Ats Off"/>
    <n v="1350"/>
    <s v="W11248047"/>
    <s v="Placas de Interface"/>
    <x v="1"/>
    <n v="1000"/>
    <n v="5003176"/>
    <s v="J C THEDIN TRANSPORTES LTDA"/>
    <n v="467.89"/>
    <d v="2025-06-23T00:00:00"/>
  </r>
  <r>
    <n v="254033687"/>
    <n v="64795955"/>
    <s v="REB"/>
    <n v="9803763"/>
    <n v="176"/>
    <s v="PEÇAS - Defeito de fabric./Interrompido"/>
    <s v="FUNCIONAL"/>
    <x v="1"/>
    <n v="24089"/>
    <x v="134"/>
    <s v="RJ"/>
    <n v="931"/>
    <s v="Ats Off"/>
    <n v="1350"/>
    <s v="W11248047"/>
    <s v="Placas de Interface"/>
    <x v="1"/>
    <n v="1000"/>
    <n v="5003176"/>
    <s v="J C THEDIN TRANSPORTES LTDA"/>
    <n v="467.89"/>
    <d v="2025-06-23T00:00:00"/>
  </r>
  <r>
    <n v="253891654"/>
    <n v="64659738"/>
    <s v="REB"/>
    <n v="8930642"/>
    <n v="178"/>
    <s v="PEÇAS -Defeito de fabric./Sem Compressão"/>
    <s v="FUNCIONAL"/>
    <x v="1"/>
    <n v="55093"/>
    <x v="231"/>
    <s v="SP"/>
    <n v="648"/>
    <s v="Ultra"/>
    <n v="1350"/>
    <s v="W10575086"/>
    <s v="Compressores Herméticos"/>
    <x v="0"/>
    <n v="1000"/>
    <n v="5003254"/>
    <s v="TMA TRANSPORTE LOTACAO E LOGISTICA"/>
    <n v="467.11"/>
    <d v="2024-12-05T00:00:00"/>
  </r>
  <r>
    <n v="253995063"/>
    <n v="64764803"/>
    <s v="REB"/>
    <n v="9871794"/>
    <n v="178"/>
    <s v="PEÇAS -Defeito de fabric./Sem Compressão"/>
    <s v="FUNCIONAL"/>
    <x v="2"/>
    <n v="1632"/>
    <x v="280"/>
    <s v="AL"/>
    <n v="931"/>
    <s v="Ats Off"/>
    <n v="1350"/>
    <s v="W10393810"/>
    <s v="Compressores Herméticos"/>
    <x v="0"/>
    <n v="1000"/>
    <n v="5004101"/>
    <s v="UNIDOCK'S ASSESSORIA E LOGISTICA DE"/>
    <n v="466.78"/>
    <d v="2025-05-16T00:00:00"/>
  </r>
  <r>
    <n v="254033686"/>
    <n v="64795905"/>
    <s v="REB"/>
    <n v="10075766"/>
    <n v="176"/>
    <s v="PEÇAS - Defeito de fabric./Interrompido"/>
    <s v="FUNCIONAL"/>
    <x v="1"/>
    <n v="24089"/>
    <x v="134"/>
    <s v="RJ"/>
    <n v="931"/>
    <s v="Ats Off"/>
    <n v="1350"/>
    <s v="W10174808"/>
    <s v="Calhas/Canaletas"/>
    <x v="9"/>
    <n v="1000"/>
    <n v="5003176"/>
    <s v="J C THEDIN TRANSPORTES LTDA"/>
    <n v="466.58"/>
    <d v="2025-06-23T00:00:00"/>
  </r>
  <r>
    <n v="253988857"/>
    <n v="64762306"/>
    <s v="REB"/>
    <n v="9175135"/>
    <n v="173"/>
    <s v="PEÇAS - Defeito de fabric./Alta Amperage"/>
    <s v="FUNCIONAL"/>
    <x v="2"/>
    <n v="28296"/>
    <x v="222"/>
    <s v="SP"/>
    <n v="648"/>
    <s v="Ultra"/>
    <n v="1350"/>
    <s v="W10393847"/>
    <s v="Compressores Herméticos"/>
    <x v="0"/>
    <n v="1000"/>
    <n v="5004042"/>
    <s v="BRASIL WEB TRANSPORTES E LOGISTICA"/>
    <n v="466.34"/>
    <d v="2025-05-05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1299803"/>
    <s v="Mecanismos"/>
    <x v="2"/>
    <n v="5000"/>
    <n v="5003024"/>
    <s v="RODOBRAS TRANSPORTES RODOVIARIOS LT"/>
    <n v="466"/>
    <d v="2025-01-28T00:00:00"/>
  </r>
  <r>
    <n v="254007582"/>
    <n v="64783634"/>
    <s v="REB"/>
    <n v="9350148"/>
    <n v="173"/>
    <s v="PEÇAS - Defeito de fabric./Alta Amperage"/>
    <s v="FUNCIONAL"/>
    <x v="1"/>
    <n v="33403"/>
    <x v="260"/>
    <s v="RN"/>
    <n v="648"/>
    <s v="Ultra"/>
    <n v="1350"/>
    <s v="W10393823"/>
    <s v="Compressores Herméticos"/>
    <x v="0"/>
    <n v="1000"/>
    <n v="5004101"/>
    <s v="UNIDOCK'S ASSESSORIA E LOGISTICA DE"/>
    <n v="465.33"/>
    <d v="2025-06-02T00:00:00"/>
  </r>
  <r>
    <n v="253903210"/>
    <n v="64668887"/>
    <s v="REB"/>
    <n v="9559456"/>
    <n v="671"/>
    <s v="DEV-ENVIADO PARA GESTÃO DE CONSEQUENCIA"/>
    <s v="TRANSPORTADORA"/>
    <x v="1"/>
    <n v="46511"/>
    <x v="281"/>
    <s v="SC"/>
    <n v="932"/>
    <s v="CDP Prata"/>
    <n v="1350"/>
    <s v="W11228638"/>
    <s v="Placas de Interface"/>
    <x v="1"/>
    <n v="1000"/>
    <n v="5003024"/>
    <s v="RODOBRAS TRANSPORTES RODOVIARIOS LT"/>
    <n v="465.31"/>
    <d v="2024-12-18T00:00:00"/>
  </r>
  <r>
    <n v="254033319"/>
    <n v="64806572"/>
    <s v="REB"/>
    <n v="10111068"/>
    <n v="173"/>
    <s v="PEÇAS - Defeito de fabric./Alta Amperage"/>
    <s v="FUNCIONAL"/>
    <x v="1"/>
    <n v="26939"/>
    <x v="126"/>
    <s v="PR"/>
    <n v="643"/>
    <s v="Elite"/>
    <n v="1350"/>
    <s v="W11251564"/>
    <s v="Placas de Controle"/>
    <x v="1"/>
    <n v="1000"/>
    <n v="5003024"/>
    <s v="RODOBRAS TRANSPORTES RODOVIARIOS LT"/>
    <n v="464.91"/>
    <d v="2025-07-08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391011"/>
    <s v="Placas de Controle"/>
    <x v="1"/>
    <n v="1000"/>
    <n v="5004042"/>
    <s v="BRASIL WEB TRANSPORTES E LOGISTICA"/>
    <n v="464.84"/>
    <d v="2025-07-08T00:00:00"/>
  </r>
  <r>
    <n v="254004025"/>
    <n v="64775178"/>
    <s v="REB"/>
    <n v="9414920"/>
    <n v="176"/>
    <s v="PEÇAS - Defeito de fabric./Interrompido"/>
    <s v="FUNCIONAL"/>
    <x v="1"/>
    <n v="61859"/>
    <x v="282"/>
    <s v="MG"/>
    <n v="934"/>
    <s v="CDP Ouro"/>
    <n v="1350"/>
    <s v="W10393814"/>
    <s v="Compressores Herméticos"/>
    <x v="0"/>
    <n v="1000"/>
    <n v="5004215"/>
    <s v="BRASIL WEB TRANSPORTES E LOGISTICA"/>
    <n v="464.82"/>
    <d v="2025-05-26T00:00:00"/>
  </r>
  <r>
    <n v="254012531"/>
    <n v="64787911"/>
    <s v="REB"/>
    <n v="9292029"/>
    <n v="178"/>
    <s v="PEÇAS -Defeito de fabric./Sem Compressão"/>
    <s v="FUNCIONAL"/>
    <x v="2"/>
    <n v="47026"/>
    <x v="16"/>
    <s v="BA"/>
    <n v="643"/>
    <s v="Elite"/>
    <n v="1350"/>
    <s v="W10393822"/>
    <s v="Compressores Herméticos"/>
    <x v="0"/>
    <n v="1000"/>
    <n v="5004101"/>
    <s v="UNIDOCK'S ASSESSORIA E LOGISTICA DE"/>
    <n v="463.93"/>
    <d v="2025-06-10T00:00:00"/>
  </r>
  <r>
    <n v="253988857"/>
    <n v="64763750"/>
    <s v="REB"/>
    <n v="9833008"/>
    <n v="173"/>
    <s v="PEÇAS - Defeito de fabric./Alta Amperage"/>
    <s v="FUNCIONAL"/>
    <x v="1"/>
    <n v="28296"/>
    <x v="222"/>
    <s v="SP"/>
    <n v="648"/>
    <s v="Ultra"/>
    <n v="1350"/>
    <s v="W10375479"/>
    <s v="Compressores Herméticos"/>
    <x v="0"/>
    <n v="1000"/>
    <n v="5004042"/>
    <s v="BRASIL WEB TRANSPORTES E LOGISTICA"/>
    <n v="463.9"/>
    <d v="2025-05-05T00:00:00"/>
  </r>
  <r>
    <n v="254018255"/>
    <n v="64766778"/>
    <s v="REB"/>
    <n v="9833008"/>
    <n v="173"/>
    <s v="PEÇAS - Defeito de fabric./Alta Amperage"/>
    <s v="FUNCIONAL"/>
    <x v="2"/>
    <n v="28296"/>
    <x v="222"/>
    <s v="SP"/>
    <n v="648"/>
    <s v="Ultra"/>
    <n v="1350"/>
    <s v="W11375485"/>
    <s v="Compressores Herméticos"/>
    <x v="0"/>
    <n v="1000"/>
    <n v="5004042"/>
    <s v="BRASIL WEB TRANSPORTES E LOGISTICA"/>
    <n v="463.89"/>
    <d v="2025-06-16T00:00:00"/>
  </r>
  <r>
    <s v="Sem TR"/>
    <n v="64812042"/>
    <s v="ZRDI"/>
    <n v="10110935"/>
    <s v="D10"/>
    <s v="DEV D2C - Comprou modelo errado"/>
    <s v="COMERCIAL"/>
    <x v="2"/>
    <n v="58119947"/>
    <x v="283"/>
    <s v="SP"/>
    <n v="475"/>
    <s v="Site Consul"/>
    <n v="1352"/>
    <n v="326076875"/>
    <s v="Vidros"/>
    <x v="6"/>
    <n v="1000"/>
    <n v="5002359"/>
    <s v="EMPRESA BRASILEIRA DE CORREIOS E"/>
    <n v="462.84"/>
    <d v="2025-07-25T00:00:00"/>
  </r>
  <r>
    <s v="Sem TR"/>
    <n v="64812042"/>
    <s v="ZRDI"/>
    <n v="10110935"/>
    <s v="D10"/>
    <s v="DEV D2C - Comprou modelo errado"/>
    <s v="COMERCIAL"/>
    <x v="2"/>
    <n v="58119947"/>
    <x v="283"/>
    <s v="SP"/>
    <n v="475"/>
    <s v="Site Consul"/>
    <n v="1352"/>
    <n v="326076875"/>
    <s v="Vidros"/>
    <x v="6"/>
    <n v="1000"/>
    <n v="5002359"/>
    <s v="EMPRESA BRASILEIRA DE CORREIOS E"/>
    <n v="462.84"/>
    <d v="2025-07-25T00:00:00"/>
  </r>
  <r>
    <n v="254030456"/>
    <n v="64796053"/>
    <s v="REB"/>
    <n v="10082071"/>
    <n v="90"/>
    <s v="CLIENTE-não solicitou"/>
    <s v="COMERCIAL"/>
    <x v="1"/>
    <n v="3467"/>
    <x v="115"/>
    <s v="SP"/>
    <n v="931"/>
    <s v="Ats Off"/>
    <n v="1350"/>
    <s v="W11564151"/>
    <s v="Evaporadores"/>
    <x v="0"/>
    <n v="2000"/>
    <n v="5004042"/>
    <s v="BRASIL WEB TRANSPORTES E LOGISTICA"/>
    <n v="461.71"/>
    <d v="2025-07-01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257566"/>
    <s v="Fusíveis/Fusíveis térmicos"/>
    <x v="1"/>
    <n v="50000"/>
    <n v="5002359"/>
    <s v="EMPRESA BRASILEIRA DE CORREIOS E"/>
    <n v="461.5"/>
    <d v="2025-07-08T00:00:00"/>
  </r>
  <r>
    <n v="253952479"/>
    <n v="64729002"/>
    <s v="REB"/>
    <n v="9356478"/>
    <n v="178"/>
    <s v="PEÇAS -Defeito de fabric./Sem Compressão"/>
    <s v="FUNCIONAL"/>
    <x v="1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61.26"/>
    <d v="2025-03-10T00:00:00"/>
  </r>
  <r>
    <n v="253952481"/>
    <n v="64729003"/>
    <s v="REB"/>
    <n v="9356478"/>
    <n v="178"/>
    <s v="PEÇAS -Defeito de fabric./Sem Compressão"/>
    <s v="FUNCIONAL"/>
    <x v="1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61.26"/>
    <d v="2025-03-10T00:00:00"/>
  </r>
  <r>
    <n v="253952478"/>
    <n v="64729001"/>
    <s v="REB"/>
    <n v="9356478"/>
    <n v="178"/>
    <s v="PEÇAS -Defeito de fabric./Sem Compressão"/>
    <s v="FUNCIONAL"/>
    <x v="1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61.26"/>
    <d v="2025-03-10T00:00:00"/>
  </r>
  <r>
    <n v="253952480"/>
    <n v="64728962"/>
    <s v="REB"/>
    <n v="9356478"/>
    <n v="178"/>
    <s v="PEÇAS -Defeito de fabric./Sem Compressão"/>
    <s v="FUNCIONAL"/>
    <x v="1"/>
    <n v="73602"/>
    <x v="200"/>
    <s v="MA"/>
    <n v="648"/>
    <s v="Ultra"/>
    <n v="1350"/>
    <s v="W10393823"/>
    <s v="Compressores Herméticos"/>
    <x v="0"/>
    <n v="1000"/>
    <n v="5004101"/>
    <s v="UNIDOCK'S ASSESSORIA E LOGISTICA DE"/>
    <n v="461.26"/>
    <d v="2025-03-10T00:00:00"/>
  </r>
  <r>
    <n v="253961340"/>
    <n v="64738010"/>
    <s v="REB"/>
    <n v="9927822"/>
    <n v="109"/>
    <s v="PEÇAS-Erro de catálogo/BT"/>
    <s v="ENGENHARIA"/>
    <x v="2"/>
    <n v="45455"/>
    <x v="284"/>
    <s v="SP"/>
    <n v="350"/>
    <s v="Ats On"/>
    <n v="1350"/>
    <s v="W10529145"/>
    <s v="Motores"/>
    <x v="1"/>
    <n v="1000"/>
    <n v="5004042"/>
    <s v="BRASIL WEB TRANSPORTES E LOGISTICA"/>
    <n v="460.5"/>
    <d v="2025-03-26T00:00:00"/>
  </r>
  <r>
    <n v="253988857"/>
    <n v="64763733"/>
    <s v="REB"/>
    <n v="9218378"/>
    <n v="178"/>
    <s v="PEÇAS -Defeito de fabric./Sem Compressão"/>
    <s v="FUNCIONAL"/>
    <x v="1"/>
    <n v="28296"/>
    <x v="222"/>
    <s v="SP"/>
    <n v="648"/>
    <s v="Ultra"/>
    <n v="1350"/>
    <s v="W10375479"/>
    <s v="Compressores Herméticos"/>
    <x v="0"/>
    <n v="1000"/>
    <n v="5004042"/>
    <s v="BRASIL WEB TRANSPORTES E LOGISTICA"/>
    <n v="460.45"/>
    <d v="2025-05-05T00:00:00"/>
  </r>
  <r>
    <n v="253995239"/>
    <n v="64769690"/>
    <s v="REB"/>
    <n v="10011006"/>
    <n v="176"/>
    <s v="PEÇAS - Defeito de fabric./Interrompido"/>
    <s v="FUNCIONAL"/>
    <x v="1"/>
    <n v="83572"/>
    <x v="105"/>
    <s v="SP"/>
    <n v="931"/>
    <s v="Ats Off"/>
    <n v="1350"/>
    <s v="W10827973"/>
    <s v="Placas de Controle"/>
    <x v="1"/>
    <n v="1000"/>
    <n v="5004042"/>
    <s v="BRASIL WEB TRANSPORTES E LOGISTICA"/>
    <n v="459.91"/>
    <d v="2025-05-15T00:00:00"/>
  </r>
  <r>
    <n v="253952238"/>
    <n v="64729102"/>
    <s v="REB"/>
    <n v="9481164"/>
    <n v="178"/>
    <s v="PEÇAS -Defeito de fabric./Sem Compressão"/>
    <s v="FUNCIONAL"/>
    <x v="1"/>
    <n v="29696"/>
    <x v="225"/>
    <s v="SP"/>
    <n v="933"/>
    <s v="Top"/>
    <n v="1350"/>
    <s v="W11677210"/>
    <s v="Compressores Herméticos"/>
    <x v="0"/>
    <n v="1000"/>
    <n v="5004042"/>
    <s v="BRASIL WEB TRANSPORTES E LOGISTICA"/>
    <n v="458.68"/>
    <d v="2025-03-10T00:00:00"/>
  </r>
  <r>
    <n v="254018368"/>
    <n v="64791581"/>
    <s v="REB"/>
    <n v="10064972"/>
    <n v="90"/>
    <s v="CLIENTE-não solicitou"/>
    <s v="COMERCIAL"/>
    <x v="2"/>
    <n v="72786"/>
    <x v="41"/>
    <s v="SC"/>
    <n v="643"/>
    <s v="Elite"/>
    <n v="1350"/>
    <s v="W10287527"/>
    <s v="Prateleiras"/>
    <x v="9"/>
    <n v="4000"/>
    <n v="5003024"/>
    <s v="RODOBRAS TRANSPORTES RODOVIARIOS LT"/>
    <n v="458.58"/>
    <d v="2025-06-17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221056"/>
    <s v="Condensadores"/>
    <x v="0"/>
    <n v="5000"/>
    <n v="5004101"/>
    <s v="UNIDOCK'S ASSESSORIA E LOGISTICA DE"/>
    <n v="458.58"/>
    <d v="2025-06-24T00:00:00"/>
  </r>
  <r>
    <n v="254042316"/>
    <n v="64796705"/>
    <s v="REB"/>
    <n v="10000210"/>
    <n v="173"/>
    <s v="PEÇAS - Defeito de fabric./Alta Amperage"/>
    <s v="FUNCIONAL"/>
    <x v="0"/>
    <n v="3236"/>
    <x v="45"/>
    <s v="SP"/>
    <n v="931"/>
    <s v="Ats Off"/>
    <n v="1350"/>
    <s v="W11516476"/>
    <s v="Compressores Herméticos"/>
    <x v="0"/>
    <n v="1000"/>
    <n v="5004042"/>
    <s v="BRASIL WEB TRANSPORTES E LOGISTICA"/>
    <n v="458.54"/>
    <d v="2025-06-24T00:00:00"/>
  </r>
  <r>
    <n v="254042318"/>
    <n v="64796959"/>
    <s v="REB"/>
    <n v="10027963"/>
    <n v="173"/>
    <s v="PEÇAS - Defeito de fabric./Alta Amperage"/>
    <s v="FUNCIONAL"/>
    <x v="0"/>
    <n v="3236"/>
    <x v="45"/>
    <s v="SP"/>
    <n v="931"/>
    <s v="Ats Off"/>
    <n v="1350"/>
    <s v="W11516476"/>
    <s v="Compressores Herméticos"/>
    <x v="0"/>
    <n v="1000"/>
    <n v="5004042"/>
    <s v="BRASIL WEB TRANSPORTES E LOGISTICA"/>
    <n v="458.54"/>
    <d v="2025-06-24T00:00:00"/>
  </r>
  <r>
    <n v="254042317"/>
    <n v="64796888"/>
    <s v="REB"/>
    <n v="9971584"/>
    <n v="173"/>
    <s v="PEÇAS - Defeito de fabric./Alta Amperage"/>
    <s v="FUNCIONAL"/>
    <x v="0"/>
    <n v="3236"/>
    <x v="45"/>
    <s v="SP"/>
    <n v="931"/>
    <s v="Ats Off"/>
    <n v="1350"/>
    <s v="W11516476"/>
    <s v="Compressores Herméticos"/>
    <x v="0"/>
    <n v="1000"/>
    <n v="5004042"/>
    <s v="BRASIL WEB TRANSPORTES E LOGISTICA"/>
    <n v="458.36"/>
    <d v="2025-06-24T00:00:00"/>
  </r>
  <r>
    <s v="Sem TR"/>
    <n v="64794905"/>
    <s v="ROB"/>
    <n v="10074921"/>
    <n v="25"/>
    <s v="OC. 80 - EXTRAVIO TOTAL"/>
    <s v="TRANSPORTADORA"/>
    <x v="0"/>
    <n v="52543"/>
    <x v="285"/>
    <s v="RO"/>
    <n v="934"/>
    <s v="CDP Ouro"/>
    <n v="1350"/>
    <s v="W10779052"/>
    <s v="Mangueiras"/>
    <x v="5"/>
    <n v="100000"/>
    <n v="5002858"/>
    <s v="FAVORITA TRANSPORTES LTDA"/>
    <n v="458"/>
    <d v="2025-06-19T00:00:00"/>
  </r>
  <r>
    <s v="Sem TR"/>
    <n v="64729000"/>
    <s v="REB"/>
    <n v="43547"/>
    <n v="178"/>
    <s v="PEÇAS -Defeito de fabric./Sem Compressão"/>
    <s v="FUNCIONAL"/>
    <x v="2"/>
    <n v="73602"/>
    <x v="200"/>
    <s v="MA"/>
    <n v="648"/>
    <s v="Ultra"/>
    <n v="1550"/>
    <s v="W11375485"/>
    <s v="Compressores Herméticos"/>
    <x v="0"/>
    <n v="1000"/>
    <n v="5004391"/>
    <s v="JEONCEL TRANSPORTES LTDA"/>
    <n v="457.53"/>
    <d v="2025-03-10T00:00:00"/>
  </r>
  <r>
    <s v="Sem TR"/>
    <n v="64729042"/>
    <s v="REB"/>
    <n v="43547"/>
    <n v="178"/>
    <s v="PEÇAS -Defeito de fabric./Sem Compressão"/>
    <s v="FUNCIONAL"/>
    <x v="2"/>
    <n v="73602"/>
    <x v="200"/>
    <s v="MA"/>
    <n v="648"/>
    <s v="Ultra"/>
    <n v="1550"/>
    <s v="W11375485"/>
    <s v="Compressores Herméticos"/>
    <x v="0"/>
    <n v="1000"/>
    <n v="5004391"/>
    <s v="JEONCEL TRANSPORTES LTDA"/>
    <n v="457.53"/>
    <d v="2025-03-10T00:00:00"/>
  </r>
  <r>
    <s v="Sem TR"/>
    <n v="64729051"/>
    <s v="REB"/>
    <n v="43547"/>
    <n v="178"/>
    <s v="PEÇAS -Defeito de fabric./Sem Compressão"/>
    <s v="FUNCIONAL"/>
    <x v="2"/>
    <n v="73602"/>
    <x v="200"/>
    <s v="MA"/>
    <n v="648"/>
    <s v="Ultra"/>
    <n v="1550"/>
    <s v="W11375485"/>
    <s v="Compressores Herméticos"/>
    <x v="0"/>
    <n v="1000"/>
    <n v="5004391"/>
    <s v="JEONCEL TRANSPORTES LTDA"/>
    <n v="457.53"/>
    <d v="2025-03-10T00:00:00"/>
  </r>
  <r>
    <n v="253995139"/>
    <n v="64766697"/>
    <s v="REB"/>
    <n v="9913139"/>
    <n v="168"/>
    <s v="PEÇAS-Def.Fabric.Empenamento/Abaulamento"/>
    <s v="FUNCIONAL"/>
    <x v="1"/>
    <n v="28991"/>
    <x v="65"/>
    <s v="MG"/>
    <n v="643"/>
    <s v="Elite"/>
    <n v="1350"/>
    <s v="W10882241"/>
    <s v="Agitadores"/>
    <x v="2"/>
    <n v="12000"/>
    <n v="5004215"/>
    <s v="BRASIL WEB TRANSPORTES E LOGISTICA"/>
    <n v="456.38"/>
    <d v="2025-05-15T00:00:00"/>
  </r>
  <r>
    <n v="254035430"/>
    <n v="64812294"/>
    <s v="REB"/>
    <n v="10111479"/>
    <n v="167"/>
    <s v="PEÇAS - Avaria - Quebrada/Depósito"/>
    <s v="LOGÍSTICA"/>
    <x v="0"/>
    <n v="75752"/>
    <x v="74"/>
    <s v="PR"/>
    <n v="648"/>
    <s v="Ultra"/>
    <n v="1350"/>
    <s v="W11298039"/>
    <s v="Gavetas"/>
    <x v="9"/>
    <n v="6000"/>
    <n v="5003024"/>
    <s v="RODOBRAS TRANSPORTES RODOVIARIOS LT"/>
    <n v="455.95"/>
    <d v="2025-07-17T00:00:00"/>
  </r>
  <r>
    <n v="254042284"/>
    <n v="64796003"/>
    <s v="REB"/>
    <n v="9994413"/>
    <n v="176"/>
    <s v="PEÇAS - Defeito de fabric./Interrompido"/>
    <s v="FUNCIONAL"/>
    <x v="0"/>
    <n v="66"/>
    <x v="73"/>
    <s v="GO"/>
    <n v="931"/>
    <s v="Ats Off"/>
    <n v="1350"/>
    <s v="W10544750"/>
    <s v="Motores"/>
    <x v="1"/>
    <n v="1000"/>
    <n v="5002858"/>
    <s v="FAVORITA TRANSPORTES LTDA"/>
    <n v="455.54"/>
    <d v="2025-06-23T00:00:00"/>
  </r>
  <r>
    <n v="253952493"/>
    <n v="64729123"/>
    <s v="REB"/>
    <n v="9425880"/>
    <n v="178"/>
    <s v="PEÇAS -Defeito de fabric./Sem Compressão"/>
    <s v="FUNCIONAL"/>
    <x v="1"/>
    <n v="76236"/>
    <x v="286"/>
    <s v="SP"/>
    <n v="641"/>
    <s v="CDP Diamante"/>
    <n v="1350"/>
    <s v="W10393815"/>
    <s v="Compressores Herméticos"/>
    <x v="0"/>
    <n v="1000"/>
    <n v="5004042"/>
    <s v="BRASIL WEB TRANSPORTES E LOGISTICA"/>
    <n v="455.3"/>
    <d v="2025-03-10T00:00:00"/>
  </r>
  <r>
    <n v="254012518"/>
    <n v="64788532"/>
    <s v="REB"/>
    <n v="10034439"/>
    <n v="90"/>
    <s v="CLIENTE-não solicitou"/>
    <s v="COMERCIAL"/>
    <x v="2"/>
    <n v="36065"/>
    <x v="7"/>
    <s v="GO"/>
    <n v="643"/>
    <s v="Elite"/>
    <n v="1350"/>
    <s v="W11225183"/>
    <s v="Portas"/>
    <x v="6"/>
    <n v="1000"/>
    <n v="5002858"/>
    <s v="FAVORITA TRANSPORTES LTDA"/>
    <n v="455.13"/>
    <d v="2025-06-10T00:00:00"/>
  </r>
  <r>
    <s v="Sem TR"/>
    <n v="64812655"/>
    <s v="REB"/>
    <n v="9945469"/>
    <n v="178"/>
    <s v="PEÇAS -Defeito de fabric./Sem Compressão"/>
    <s v="FUNCIONAL"/>
    <x v="1"/>
    <n v="47026"/>
    <x v="16"/>
    <s v="BA"/>
    <n v="643"/>
    <s v="Elite"/>
    <n v="1350"/>
    <s v="W10393823"/>
    <s v="Compressores Herméticos"/>
    <x v="0"/>
    <n v="1000"/>
    <n v="5004101"/>
    <s v="UNIDOCK'S ASSESSORIA E LOGISTICA DE"/>
    <n v="455.1"/>
    <d v="2025-07-17T00:00:00"/>
  </r>
  <r>
    <n v="254012530"/>
    <n v="64789415"/>
    <s v="REB"/>
    <n v="9945469"/>
    <n v="173"/>
    <s v="PEÇAS - Defeito de fabric./Alta Amperage"/>
    <s v="FUNCIONAL"/>
    <x v="2"/>
    <n v="47026"/>
    <x v="16"/>
    <s v="BA"/>
    <n v="643"/>
    <s v="Elite"/>
    <n v="1350"/>
    <s v="W10393823"/>
    <s v="Compressores Herméticos"/>
    <x v="0"/>
    <n v="1000"/>
    <n v="5004101"/>
    <s v="UNIDOCK'S ASSESSORIA E LOGISTICA DE"/>
    <n v="455.1"/>
    <d v="2025-06-10T00:00:00"/>
  </r>
  <r>
    <n v="254030267"/>
    <n v="64795961"/>
    <s v="REB"/>
    <n v="9945469"/>
    <n v="178"/>
    <s v="PEÇAS -Defeito de fabric./Sem Compressão"/>
    <s v="FUNCIONAL"/>
    <x v="0"/>
    <n v="47026"/>
    <x v="16"/>
    <s v="BA"/>
    <n v="643"/>
    <s v="Elite"/>
    <n v="1350"/>
    <s v="W10393823"/>
    <s v="Compressores Herméticos"/>
    <x v="0"/>
    <n v="1000"/>
    <n v="5004101"/>
    <s v="UNIDOCK'S ASSESSORIA E LOGISTICA DE"/>
    <n v="455.1"/>
    <d v="2025-07-01T00:00:00"/>
  </r>
  <r>
    <n v="253988854"/>
    <n v="64763924"/>
    <s v="REB"/>
    <n v="9046285"/>
    <n v="178"/>
    <s v="PEÇAS -Defeito de fabric./Sem Compressão"/>
    <s v="FUNCIONAL"/>
    <x v="2"/>
    <n v="27984"/>
    <x v="204"/>
    <s v="SP"/>
    <n v="644"/>
    <s v="Plus"/>
    <n v="1350"/>
    <s v="W10575086"/>
    <s v="Compressores Herméticos"/>
    <x v="0"/>
    <n v="1000"/>
    <n v="5004042"/>
    <s v="BRASIL WEB TRANSPORTES E LOGISTICA"/>
    <n v="454.25"/>
    <d v="2025-05-05T00:00:00"/>
  </r>
  <r>
    <n v="253988853"/>
    <n v="64763925"/>
    <s v="REB"/>
    <n v="9046285"/>
    <n v="178"/>
    <s v="PEÇAS -Defeito de fabric./Sem Compressão"/>
    <s v="FUNCIONAL"/>
    <x v="2"/>
    <n v="27984"/>
    <x v="204"/>
    <s v="SP"/>
    <n v="644"/>
    <s v="Plus"/>
    <n v="1350"/>
    <s v="W10575086"/>
    <s v="Compressores Herméticos"/>
    <x v="0"/>
    <n v="1000"/>
    <n v="5004042"/>
    <s v="BRASIL WEB TRANSPORTES E LOGISTICA"/>
    <n v="454.25"/>
    <d v="2025-05-05T00:00:00"/>
  </r>
  <r>
    <n v="253970815"/>
    <n v="64748736"/>
    <s v="REB"/>
    <n v="9743029"/>
    <n v="178"/>
    <s v="PEÇAS -Defeito de fabric./Sem Compressão"/>
    <s v="FUNCIONAL"/>
    <x v="1"/>
    <n v="50822"/>
    <x v="40"/>
    <s v="AL"/>
    <n v="644"/>
    <s v="Plus"/>
    <n v="1350"/>
    <s v="W11133678"/>
    <s v="Compressores Herméticos"/>
    <x v="0"/>
    <n v="1000"/>
    <n v="5004101"/>
    <s v="UNIDOCK'S ASSESSORIA E LOGISTICA DE"/>
    <n v="454.01"/>
    <d v="2025-04-09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s v="W10897149"/>
    <s v="Rolamentos"/>
    <x v="2"/>
    <n v="50000"/>
    <n v="5003024"/>
    <s v="RODOBRAS TRANSPORTES RODOVIARIOS LT"/>
    <n v="453.84"/>
    <d v="2025-01-28T00:00:00"/>
  </r>
  <r>
    <n v="254035372"/>
    <n v="64812730"/>
    <s v="REB"/>
    <n v="10114326"/>
    <n v="173"/>
    <s v="PEÇAS - Defeito de fabric./Alta Amperage"/>
    <s v="FUNCIONAL"/>
    <x v="0"/>
    <n v="30990"/>
    <x v="26"/>
    <s v="ES"/>
    <n v="713"/>
    <s v="Key Account"/>
    <n v="1350"/>
    <s v="W10882241"/>
    <s v="Agitadores"/>
    <x v="2"/>
    <n v="15000"/>
    <n v="5004042"/>
    <s v="BRASIL WEB TRANSPORTES E LOGISTICA"/>
    <n v="453.41"/>
    <d v="2025-07-17T00:00:00"/>
  </r>
  <r>
    <n v="253961390"/>
    <n v="64735742"/>
    <s v="REB"/>
    <n v="9917473"/>
    <n v="173"/>
    <s v="PEÇAS - Defeito de fabric./Alta Amperage"/>
    <s v="FUNCIONAL"/>
    <x v="1"/>
    <n v="70149"/>
    <x v="147"/>
    <s v="SP"/>
    <n v="963"/>
    <s v="Ats Distribuidoras"/>
    <n v="1350"/>
    <s v="W11516476"/>
    <s v="Compressores Herméticos"/>
    <x v="0"/>
    <n v="1000"/>
    <n v="5004042"/>
    <s v="BRASIL WEB TRANSPORTES E LOGISTICA"/>
    <n v="453.06"/>
    <d v="2025-03-26T00:00:00"/>
  </r>
  <r>
    <n v="254030536"/>
    <n v="64799847"/>
    <s v="REB"/>
    <n v="10051368"/>
    <n v="176"/>
    <s v="PEÇAS - Defeito de fabric./Interrompido"/>
    <s v="FUNCIONAL"/>
    <x v="1"/>
    <n v="75812"/>
    <x v="102"/>
    <s v="SP"/>
    <n v="931"/>
    <s v="Ats Off"/>
    <n v="1350"/>
    <s v="W11516476"/>
    <s v="Compressores Herméticos"/>
    <x v="0"/>
    <n v="1000"/>
    <n v="5004042"/>
    <s v="BRASIL WEB TRANSPORTES E LOGISTICA"/>
    <n v="453.06"/>
    <d v="2025-07-01T00:00:00"/>
  </r>
  <r>
    <n v="254033450"/>
    <n v="64802469"/>
    <s v="REB"/>
    <n v="10051368"/>
    <n v="173"/>
    <s v="PEÇAS - Defeito de fabric./Alta Amperage"/>
    <s v="FUNCIONAL"/>
    <x v="1"/>
    <n v="75812"/>
    <x v="102"/>
    <s v="SP"/>
    <n v="931"/>
    <s v="Ats Off"/>
    <n v="1350"/>
    <s v="W11516476"/>
    <s v="Compressores Herméticos"/>
    <x v="0"/>
    <n v="1000"/>
    <n v="5004042"/>
    <s v="BRASIL WEB TRANSPORTES E LOGISTICA"/>
    <n v="453.06"/>
    <d v="2025-07-01T00:00:00"/>
  </r>
  <r>
    <n v="254033450"/>
    <n v="64807204"/>
    <s v="REB"/>
    <n v="10090532"/>
    <n v="173"/>
    <s v="PEÇAS - Defeito de fabric./Alta Amperage"/>
    <s v="FUNCIONAL"/>
    <x v="1"/>
    <n v="75812"/>
    <x v="102"/>
    <s v="SP"/>
    <n v="931"/>
    <s v="Ats Off"/>
    <n v="1350"/>
    <s v="W11516476"/>
    <s v="Compressores Herméticos"/>
    <x v="0"/>
    <n v="1000"/>
    <n v="5004042"/>
    <s v="BRASIL WEB TRANSPORTES E LOGISTICA"/>
    <n v="453.06"/>
    <d v="2025-07-08T00:00:00"/>
  </r>
  <r>
    <n v="254003867"/>
    <n v="64777930"/>
    <s v="REB"/>
    <n v="10027668"/>
    <n v="173"/>
    <s v="PEÇAS - Defeito de fabric./Alta Amperage"/>
    <s v="FUNCIONAL"/>
    <x v="1"/>
    <n v="9452"/>
    <x v="42"/>
    <s v="SP"/>
    <n v="931"/>
    <s v="Ats Off"/>
    <n v="1350"/>
    <s v="W11516476"/>
    <s v="Compressores Herméticos"/>
    <x v="0"/>
    <n v="1000"/>
    <n v="5004042"/>
    <s v="BRASIL WEB TRANSPORTES E LOGISTICA"/>
    <n v="453.06"/>
    <d v="2025-05-26T00:00:00"/>
  </r>
  <r>
    <n v="253988781"/>
    <n v="64763802"/>
    <s v="REB"/>
    <n v="9919987"/>
    <n v="173"/>
    <s v="PEÇAS - Defeito de fabric./Alta Amperage"/>
    <s v="FUNCIONAL"/>
    <x v="0"/>
    <n v="3236"/>
    <x v="45"/>
    <s v="SP"/>
    <n v="931"/>
    <s v="Ats Off"/>
    <n v="1350"/>
    <s v="W11516476"/>
    <s v="Compressores Herméticos"/>
    <x v="0"/>
    <n v="1000"/>
    <n v="5004042"/>
    <s v="BRASIL WEB TRANSPORTES E LOGISTICA"/>
    <n v="453.06"/>
    <d v="2025-05-05T00:00:00"/>
  </r>
  <r>
    <n v="253970693"/>
    <n v="64748563"/>
    <s v="REB"/>
    <n v="9938302"/>
    <n v="176"/>
    <s v="PEÇAS - Defeito de fabric./Interrompido"/>
    <s v="FUNCIONAL"/>
    <x v="2"/>
    <n v="3506"/>
    <x v="46"/>
    <s v="SP"/>
    <n v="931"/>
    <s v="Ats Off"/>
    <n v="1350"/>
    <s v="W11516477"/>
    <s v="Compressores Herméticos"/>
    <x v="0"/>
    <n v="1000"/>
    <n v="5004042"/>
    <s v="BRASIL WEB TRANSPORTES E LOGISTICA"/>
    <n v="453.06"/>
    <d v="2025-04-09T00:00:00"/>
  </r>
  <r>
    <n v="254018234"/>
    <n v="64793161"/>
    <s v="REB"/>
    <n v="10065690"/>
    <n v="173"/>
    <s v="PEÇAS - Defeito de fabric./Alta Amperage"/>
    <s v="FUNCIONAL"/>
    <x v="2"/>
    <n v="21594"/>
    <x v="97"/>
    <s v="SP"/>
    <n v="931"/>
    <s v="Ats Off"/>
    <n v="1350"/>
    <s v="W11516476"/>
    <s v="Compressores Herméticos"/>
    <x v="0"/>
    <n v="1000"/>
    <n v="5004042"/>
    <s v="BRASIL WEB TRANSPORTES E LOGISTICA"/>
    <n v="453.06"/>
    <d v="2025-06-17T00:00:00"/>
  </r>
  <r>
    <n v="254018238"/>
    <n v="64757377"/>
    <s v="REB"/>
    <n v="9973417"/>
    <n v="170"/>
    <s v="PEÇAS - Avaria - Riscada/Depósito"/>
    <s v="LOGÍSTICA"/>
    <x v="2"/>
    <n v="24089"/>
    <x v="134"/>
    <s v="RJ"/>
    <n v="931"/>
    <s v="Ats Off"/>
    <n v="1350"/>
    <s v="W11229600"/>
    <s v="Isolantes"/>
    <x v="4"/>
    <n v="1000"/>
    <n v="5003176"/>
    <s v="J C THEDIN TRANSPORTES LTDA"/>
    <n v="452.57"/>
    <d v="2025-05-30T00:00:00"/>
  </r>
  <r>
    <n v="254038372"/>
    <n v="64813818"/>
    <s v="REB"/>
    <n v="10096522"/>
    <n v="173"/>
    <s v="PEÇAS - Defeito de fabric./Alta Amperage"/>
    <s v="FUNCIONAL"/>
    <x v="1"/>
    <n v="40998"/>
    <x v="8"/>
    <s v="GO"/>
    <n v="648"/>
    <s v="Ultra"/>
    <n v="1350"/>
    <s v="W10393823"/>
    <s v="Compressores Herméticos"/>
    <x v="0"/>
    <n v="1000"/>
    <n v="5002858"/>
    <s v="FAVORITA TRANSPORTES LTDA"/>
    <n v="452.36"/>
    <d v="2025-07-22T00:00:00"/>
  </r>
  <r>
    <n v="253952200"/>
    <n v="64728940"/>
    <s v="REB"/>
    <n v="8924669"/>
    <n v="178"/>
    <s v="PEÇAS -Defeito de fabric./Sem Compressão"/>
    <s v="FUNCIONAL"/>
    <x v="1"/>
    <n v="25727"/>
    <x v="275"/>
    <s v="GO"/>
    <n v="644"/>
    <s v="Plus"/>
    <n v="1350"/>
    <s v="W10393815"/>
    <s v="Compressores Herméticos"/>
    <x v="0"/>
    <n v="1000"/>
    <n v="5002858"/>
    <s v="FAVORITA TRANSPORTES LTDA"/>
    <n v="451.82"/>
    <d v="2025-03-10T00:00:00"/>
  </r>
  <r>
    <s v="Sem TR"/>
    <n v="64731948"/>
    <s v="REB"/>
    <n v="46650"/>
    <n v="173"/>
    <s v="PEÇAS - Defeito de fabric./Alta Amperage"/>
    <s v="FUNCIONAL"/>
    <x v="2"/>
    <n v="33403"/>
    <x v="260"/>
    <s v="RN"/>
    <n v="648"/>
    <s v="Ultra"/>
    <n v="1550"/>
    <s v="W11368174"/>
    <s v="Compressores Herméticos"/>
    <x v="0"/>
    <n v="1000"/>
    <n v="5004391"/>
    <s v="JEONCEL TRANSPORTES LTDA"/>
    <n v="451.81"/>
    <d v="2025-03-14T00:00:00"/>
  </r>
  <r>
    <n v="253998004"/>
    <n v="64774145"/>
    <s v="REB"/>
    <n v="9644367"/>
    <n v="173"/>
    <s v="PEÇAS - Defeito de fabric./Alta Amperage"/>
    <s v="FUNCIONAL"/>
    <x v="2"/>
    <n v="71652"/>
    <x v="24"/>
    <s v="RJ"/>
    <n v="933"/>
    <s v="Top"/>
    <n v="1350"/>
    <s v="W11677210"/>
    <s v="Compressores Herméticos"/>
    <x v="0"/>
    <n v="1000"/>
    <n v="5003176"/>
    <s v="J C THEDIN TRANSPORTES LTDA"/>
    <n v="450.95"/>
    <d v="2025-05-20T00:00:00"/>
  </r>
  <r>
    <n v="254003931"/>
    <n v="64767373"/>
    <s v="REB"/>
    <n v="9791117"/>
    <n v="178"/>
    <s v="PEÇAS -Defeito de fabric./Sem Compressão"/>
    <s v="FUNCIONAL"/>
    <x v="1"/>
    <n v="29706"/>
    <x v="149"/>
    <s v="RN"/>
    <n v="644"/>
    <s v="Plus"/>
    <n v="1350"/>
    <s v="W10393815"/>
    <s v="Compressores Herméticos"/>
    <x v="0"/>
    <n v="1000"/>
    <n v="5004101"/>
    <s v="UNIDOCK'S ASSESSORIA E LOGISTICA DE"/>
    <n v="449.47"/>
    <d v="2025-05-26T00:00:00"/>
  </r>
  <r>
    <n v="254033390"/>
    <n v="64806387"/>
    <s v="REB"/>
    <n v="10070204"/>
    <n v="90"/>
    <s v="CLIENTE-não solicitou"/>
    <s v="COMERCIAL"/>
    <x v="1"/>
    <n v="33574"/>
    <x v="288"/>
    <s v="PE"/>
    <n v="350"/>
    <s v="Ats On"/>
    <n v="1350"/>
    <s v="W10887231"/>
    <s v="Placas de Controle"/>
    <x v="1"/>
    <n v="1000"/>
    <n v="5004101"/>
    <s v="UNIDOCK'S ASSESSORIA E LOGISTICA DE"/>
    <n v="449.24"/>
    <d v="2025-07-08T00:00:00"/>
  </r>
  <r>
    <s v="Sem TR"/>
    <n v="64796935"/>
    <s v="ZRDI"/>
    <n v="10093261"/>
    <s v="D35"/>
    <s v="DEV D2C - Prod difere do comprado"/>
    <s v="COMERCIAL"/>
    <x v="2"/>
    <n v="53791826"/>
    <x v="289"/>
    <s v="MG"/>
    <n v="474"/>
    <s v="Site Brastemp"/>
    <n v="1352"/>
    <n v="326061171"/>
    <s v="Placas de Controle"/>
    <x v="1"/>
    <n v="1000"/>
    <n v="5002359"/>
    <s v="EMPRESA BRASILEIRA DE CORREIOS E"/>
    <n v="449.11"/>
    <d v="2025-06-27T00:00:00"/>
  </r>
  <r>
    <n v="253948549"/>
    <n v="64719818"/>
    <s v="REB"/>
    <n v="9177175"/>
    <n v="178"/>
    <s v="PEÇAS -Defeito de fabric./Sem Compressão"/>
    <s v="FUNCIONAL"/>
    <x v="1"/>
    <n v="61868"/>
    <x v="290"/>
    <s v="MA"/>
    <n v="643"/>
    <s v="Elite"/>
    <n v="1350"/>
    <s v="W10393847"/>
    <s v="Compressores Herméticos"/>
    <x v="0"/>
    <n v="1000"/>
    <n v="5004101"/>
    <s v="UNIDOCK'S ASSESSORIA E LOGISTICA DE"/>
    <n v="448.29"/>
    <d v="2025-03-07T00:00:00"/>
  </r>
  <r>
    <n v="254012532"/>
    <n v="64789379"/>
    <s v="REB"/>
    <n v="9292029"/>
    <n v="178"/>
    <s v="PEÇAS -Defeito de fabric./Sem Compressão"/>
    <s v="FUNCIONAL"/>
    <x v="1"/>
    <n v="47026"/>
    <x v="16"/>
    <s v="BA"/>
    <n v="643"/>
    <s v="Elite"/>
    <n v="1350"/>
    <s v="W10393823"/>
    <s v="Compressores Herméticos"/>
    <x v="0"/>
    <n v="1000"/>
    <n v="5004101"/>
    <s v="UNIDOCK'S ASSESSORIA E LOGISTICA DE"/>
    <n v="447.93"/>
    <d v="2025-06-10T00:00:00"/>
  </r>
  <r>
    <n v="253886216"/>
    <n v="64653260"/>
    <s v="REB"/>
    <n v="9620750"/>
    <n v="173"/>
    <s v="PEÇAS - Defeito de fabric./Alta Amperage"/>
    <s v="FUNCIONAL"/>
    <x v="1"/>
    <n v="3236"/>
    <x v="45"/>
    <s v="SP"/>
    <n v="931"/>
    <s v="Ats Off"/>
    <n v="1350"/>
    <s v="W11516476"/>
    <s v="Compressores Herméticos"/>
    <x v="0"/>
    <n v="1000"/>
    <n v="5003254"/>
    <s v="TMA TRANSPORTE LOTACAO E LOGISTICA"/>
    <n v="447.63"/>
    <d v="2024-11-29T00:00:00"/>
  </r>
  <r>
    <n v="253915558"/>
    <n v="64687649"/>
    <s v="REB"/>
    <n v="9719960"/>
    <n v="173"/>
    <s v="PEÇAS - Defeito de fabric./Alta Amperage"/>
    <s v="FUNCIONAL"/>
    <x v="1"/>
    <n v="9452"/>
    <x v="42"/>
    <s v="SP"/>
    <n v="931"/>
    <s v="Ats Off"/>
    <n v="1350"/>
    <s v="W11516476"/>
    <s v="Compressores Herméticos"/>
    <x v="0"/>
    <n v="1000"/>
    <n v="5003254"/>
    <s v="TMA TRANSPORTE LOTACAO E LOGISTICA"/>
    <n v="447.63"/>
    <d v="2025-01-09T00:00:00"/>
  </r>
  <r>
    <n v="253952167"/>
    <n v="64728979"/>
    <s v="REB"/>
    <n v="9835981"/>
    <n v="173"/>
    <s v="PEÇAS - Defeito de fabric./Alta Amperage"/>
    <s v="FUNCIONAL"/>
    <x v="1"/>
    <n v="9452"/>
    <x v="42"/>
    <s v="SP"/>
    <n v="931"/>
    <s v="Ats Off"/>
    <n v="1350"/>
    <s v="W11516476"/>
    <s v="Compressores Herméticos"/>
    <x v="0"/>
    <n v="1000"/>
    <n v="5004042"/>
    <s v="BRASIL WEB TRANSPORTES E LOGISTICA"/>
    <n v="447.63"/>
    <d v="2025-03-10T00:00:00"/>
  </r>
  <r>
    <n v="254035401"/>
    <n v="64812372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35407"/>
    <n v="64812501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35406"/>
    <n v="64812503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35403"/>
    <n v="64812516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35404"/>
    <n v="64812517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35405"/>
    <n v="64812681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35402"/>
    <n v="64812739"/>
    <s v="REB"/>
    <n v="10009022"/>
    <n v="178"/>
    <s v="PEÇAS -Defeito de fabric./Sem Compressão"/>
    <s v="FUNCIONAL"/>
    <x v="0"/>
    <n v="61868"/>
    <x v="290"/>
    <s v="MA"/>
    <n v="643"/>
    <s v="Elite"/>
    <n v="1350"/>
    <s v="W10393823"/>
    <s v="Compressores Herméticos"/>
    <x v="0"/>
    <n v="1000"/>
    <n v="5004101"/>
    <s v="UNIDOCK'S ASSESSORIA E LOGISTICA DE"/>
    <n v="447.57"/>
    <d v="2025-07-17T00:00:00"/>
  </r>
  <r>
    <n v="254018316"/>
    <n v="64791373"/>
    <s v="REB"/>
    <n v="9537064"/>
    <n v="176"/>
    <s v="PEÇAS - Defeito de fabric./Interrompido"/>
    <s v="FUNCIONAL"/>
    <x v="2"/>
    <n v="50055"/>
    <x v="241"/>
    <s v="MS"/>
    <n v="648"/>
    <s v="Ultra"/>
    <n v="1350"/>
    <s v="W10393814"/>
    <s v="Compressores Herméticos"/>
    <x v="0"/>
    <n v="1000"/>
    <n v="5002573"/>
    <s v="CARVALIMA TRANSPORTES LTDA"/>
    <n v="447.56"/>
    <d v="2025-06-17T00:00:00"/>
  </r>
  <r>
    <n v="254042213"/>
    <n v="64795127"/>
    <s v="REB"/>
    <n v="10088224"/>
    <n v="177"/>
    <s v="PEÇAS - Defeito de fabric./Ruído"/>
    <s v="FUNCIONAL"/>
    <x v="0"/>
    <n v="3236"/>
    <x v="45"/>
    <s v="SP"/>
    <n v="931"/>
    <s v="Ats Off"/>
    <n v="1350"/>
    <s v="W10693530"/>
    <s v="Cestos"/>
    <x v="9"/>
    <n v="1000"/>
    <n v="5004042"/>
    <s v="BRASIL WEB TRANSPORTES E LOGISTICA"/>
    <n v="447.3"/>
    <d v="2025-06-23T00:00:00"/>
  </r>
  <r>
    <n v="253995219"/>
    <n v="64772231"/>
    <s v="REB"/>
    <n v="9618556"/>
    <n v="173"/>
    <s v="PEÇAS - Defeito de fabric./Alta Amperage"/>
    <s v="FUNCIONAL"/>
    <x v="1"/>
    <n v="69921"/>
    <x v="205"/>
    <s v="SP"/>
    <n v="934"/>
    <s v="CDP Ouro"/>
    <n v="1350"/>
    <s v="W10827972"/>
    <s v="Placas de Controle"/>
    <x v="1"/>
    <n v="1000"/>
    <n v="5004042"/>
    <s v="BRASIL WEB TRANSPORTES E LOGISTICA"/>
    <n v="446.43"/>
    <d v="2025-05-16T00:00:00"/>
  </r>
  <r>
    <n v="254018368"/>
    <n v="64793140"/>
    <s v="REB"/>
    <n v="10036632"/>
    <n v="90"/>
    <s v="CLIENTE-não solicitou"/>
    <s v="COMERCIAL"/>
    <x v="2"/>
    <n v="72786"/>
    <x v="41"/>
    <s v="SC"/>
    <n v="643"/>
    <s v="Elite"/>
    <n v="1350"/>
    <s v="W10212396"/>
    <s v="Prateleiras"/>
    <x v="9"/>
    <n v="25000"/>
    <n v="5003024"/>
    <s v="RODOBRAS TRANSPORTES RODOVIARIOS LT"/>
    <n v="446.41"/>
    <d v="2025-06-17T00:00:00"/>
  </r>
  <r>
    <n v="254035336"/>
    <n v="64812490"/>
    <s v="REB"/>
    <n v="9851567"/>
    <n v="176"/>
    <s v="PEÇAS - Defeito de fabric./Interrompido"/>
    <s v="FUNCIONAL"/>
    <x v="1"/>
    <n v="4318"/>
    <x v="89"/>
    <s v="SC"/>
    <n v="931"/>
    <s v="Ats Off"/>
    <n v="1350"/>
    <s v="W10364075"/>
    <s v="Placas de Controle"/>
    <x v="1"/>
    <n v="1000"/>
    <n v="5003024"/>
    <s v="RODOBRAS TRANSPORTES RODOVIARIOS LT"/>
    <n v="446.19"/>
    <d v="2025-07-17T00:00:00"/>
  </r>
  <r>
    <n v="253832003"/>
    <n v="64606422"/>
    <s v="REB"/>
    <n v="9177479"/>
    <n v="671"/>
    <s v="DEV-ENVIADO PARA GESTÃO DE CONSEQUENCIA"/>
    <s v="TRANSPORTADORA"/>
    <x v="1"/>
    <n v="1875"/>
    <x v="291"/>
    <s v="MS"/>
    <n v="350"/>
    <s v="Ats On"/>
    <n v="1350"/>
    <s v="W10393815"/>
    <s v="Compressores Herméticos"/>
    <x v="0"/>
    <n v="1000"/>
    <n v="5002573"/>
    <s v="CARVALIMA TRANSPORTES LTDA"/>
    <n v="446.06"/>
    <d v="2024-09-05T00:00:00"/>
  </r>
  <r>
    <n v="254035367"/>
    <n v="64812268"/>
    <s v="REB"/>
    <n v="10010142"/>
    <n v="178"/>
    <s v="PEÇAS -Defeito de fabric./Sem Compressão"/>
    <s v="FUNCIONAL"/>
    <x v="0"/>
    <n v="29164"/>
    <x v="32"/>
    <s v="BA"/>
    <n v="648"/>
    <s v="Ultra"/>
    <n v="1350"/>
    <s v="W11677211"/>
    <s v="Compressores Herméticos"/>
    <x v="0"/>
    <n v="1000"/>
    <n v="5004101"/>
    <s v="UNIDOCK'S ASSESSORIA E LOGISTICA DE"/>
    <n v="445.8"/>
    <d v="2025-07-17T00:00:00"/>
  </r>
  <r>
    <n v="254038342"/>
    <n v="64814579"/>
    <s v="REB"/>
    <n v="10010142"/>
    <n v="178"/>
    <s v="PEÇAS -Defeito de fabric./Sem Compressão"/>
    <s v="FUNCIONAL"/>
    <x v="0"/>
    <n v="29164"/>
    <x v="32"/>
    <s v="BA"/>
    <n v="648"/>
    <s v="Ultra"/>
    <n v="1350"/>
    <s v="W11677211"/>
    <s v="Compressores Herméticos"/>
    <x v="0"/>
    <n v="1000"/>
    <n v="5004101"/>
    <s v="UNIDOCK'S ASSESSORIA E LOGISTICA DE"/>
    <n v="445.8"/>
    <d v="2025-07-22T00:00:00"/>
  </r>
  <r>
    <n v="254018318"/>
    <n v="64792370"/>
    <s v="REB"/>
    <n v="9977772"/>
    <n v="173"/>
    <s v="PEÇAS - Defeito de fabric./Alta Amperage"/>
    <s v="FUNCIONAL"/>
    <x v="2"/>
    <n v="52520"/>
    <x v="292"/>
    <s v="RJ"/>
    <n v="713"/>
    <s v="Key Account"/>
    <n v="1350"/>
    <n v="326072969"/>
    <s v="Compressores Herméticos"/>
    <x v="0"/>
    <n v="1000"/>
    <n v="5003176"/>
    <s v="J C THEDIN TRANSPORTES LTDA"/>
    <n v="445.49"/>
    <d v="2025-06-16T00:00:00"/>
  </r>
  <r>
    <n v="254018258"/>
    <n v="64788821"/>
    <s v="REB"/>
    <n v="9939598"/>
    <n v="178"/>
    <s v="PEÇAS -Defeito de fabric./Sem Compressão"/>
    <s v="FUNCIONAL"/>
    <x v="1"/>
    <n v="29164"/>
    <x v="32"/>
    <s v="BA"/>
    <n v="648"/>
    <s v="Ultra"/>
    <n v="1350"/>
    <s v="W11677211"/>
    <s v="Compressores Herméticos"/>
    <x v="0"/>
    <n v="1000"/>
    <n v="5004101"/>
    <s v="UNIDOCK'S ASSESSORIA E LOGISTICA DE"/>
    <n v="444.49"/>
    <d v="2025-06-17T00:00:00"/>
  </r>
  <r>
    <n v="253970806"/>
    <n v="64748698"/>
    <s v="REB"/>
    <n v="9962970"/>
    <n v="90"/>
    <s v="CLIENTE-não solicitou"/>
    <s v="COMERCIAL"/>
    <x v="1"/>
    <n v="42046"/>
    <x v="293"/>
    <s v="PE"/>
    <n v="350"/>
    <s v="Ats On"/>
    <n v="1350"/>
    <n v="326042568"/>
    <s v="Portas"/>
    <x v="6"/>
    <n v="1000"/>
    <n v="5004101"/>
    <s v="UNIDOCK'S ASSESSORIA E LOGISTICA DE"/>
    <n v="444.25"/>
    <d v="2025-04-09T00:00:00"/>
  </r>
  <r>
    <n v="254033375"/>
    <n v="64802461"/>
    <s v="REB"/>
    <n v="10040330"/>
    <n v="173"/>
    <s v="PEÇAS - Defeito de fabric./Alta Amperage"/>
    <s v="FUNCIONAL"/>
    <x v="0"/>
    <n v="30121"/>
    <x v="23"/>
    <s v="SP"/>
    <n v="648"/>
    <s v="Ultra"/>
    <n v="1350"/>
    <s v="W11300675"/>
    <s v="Mecanismos"/>
    <x v="2"/>
    <n v="4000"/>
    <n v="5004042"/>
    <s v="BRASIL WEB TRANSPORTES E LOGISTICA"/>
    <n v="443.64"/>
    <d v="2025-07-01T00:00:00"/>
  </r>
  <r>
    <n v="254003906"/>
    <n v="64777291"/>
    <s v="REB"/>
    <n v="9480704"/>
    <n v="173"/>
    <s v="PEÇAS - Defeito de fabric./Alta Amperage"/>
    <s v="FUNCIONAL"/>
    <x v="1"/>
    <n v="27770"/>
    <x v="37"/>
    <s v="AL"/>
    <n v="641"/>
    <s v="CDP Diamante"/>
    <n v="1350"/>
    <s v="W10709306"/>
    <s v="Placas de Controle"/>
    <x v="1"/>
    <n v="2000"/>
    <n v="5004101"/>
    <s v="UNIDOCK'S ASSESSORIA E LOGISTICA DE"/>
    <n v="443.59"/>
    <d v="2025-05-26T00:00:00"/>
  </r>
  <r>
    <n v="254035317"/>
    <n v="64812507"/>
    <s v="REB"/>
    <n v="10029454"/>
    <n v="173"/>
    <s v="PEÇAS - Defeito de fabric./Alta Amperage"/>
    <s v="FUNCIONAL"/>
    <x v="2"/>
    <n v="66"/>
    <x v="73"/>
    <s v="GO"/>
    <n v="931"/>
    <s v="Ats Off"/>
    <n v="1350"/>
    <s v="W11248025"/>
    <s v="Placas de Interface"/>
    <x v="1"/>
    <n v="1000"/>
    <n v="5002858"/>
    <s v="FAVORITA TRANSPORTES LTDA"/>
    <n v="442.99"/>
    <d v="2025-07-17T00:00:00"/>
  </r>
  <r>
    <n v="253995225"/>
    <n v="64767532"/>
    <s v="REB"/>
    <n v="8741575"/>
    <n v="173"/>
    <s v="PEÇAS - Defeito de fabric./Alta Amperage"/>
    <s v="FUNCIONAL"/>
    <x v="2"/>
    <n v="73003"/>
    <x v="294"/>
    <s v="SC"/>
    <n v="931"/>
    <s v="Ats Off"/>
    <n v="1350"/>
    <n v="326075685"/>
    <s v="Compressores Herméticos"/>
    <x v="0"/>
    <n v="1000"/>
    <n v="5003024"/>
    <s v="RODOBRAS TRANSPORTES RODOVIARIOS LT"/>
    <n v="442.92"/>
    <d v="2025-05-15T00:00:00"/>
  </r>
  <r>
    <s v="Sem TR"/>
    <n v="64730690"/>
    <s v="REB"/>
    <n v="9736799"/>
    <n v="671"/>
    <s v="DEV-ENVIADO PARA GESTÃO DE CONSEQUENCIA"/>
    <s v="TRANSPORTADORA"/>
    <x v="1"/>
    <n v="81397"/>
    <x v="295"/>
    <s v="SC"/>
    <n v="933"/>
    <s v="Top"/>
    <n v="1350"/>
    <s v="W10791633"/>
    <s v="Retentores"/>
    <x v="4"/>
    <n v="50000"/>
    <n v="5003024"/>
    <s v="RODOBRAS TRANSPORTES RODOVIARIOS LT"/>
    <n v="442.37"/>
    <d v="2025-03-12T00:00:00"/>
  </r>
  <r>
    <s v="Sem TR"/>
    <n v="64814791"/>
    <s v="ZRDI"/>
    <n v="10149380"/>
    <s v="D10"/>
    <s v="DEV D2C - Comprou modelo errado"/>
    <s v="COMERCIAL"/>
    <x v="1"/>
    <n v="55541642"/>
    <x v="296"/>
    <s v="SP"/>
    <n v="474"/>
    <s v="Site Brastemp"/>
    <n v="1352"/>
    <s v="W11619317"/>
    <s v="Placas de Controle"/>
    <x v="1"/>
    <n v="1000"/>
    <n v="5002359"/>
    <s v="EMPRESA BRASILEIRA DE CORREIOS E"/>
    <n v="442.16"/>
    <d v="2025-07-28T00:00:00"/>
  </r>
  <r>
    <s v="Sem TR"/>
    <n v="64819648"/>
    <s v="ZRDI"/>
    <n v="10127847"/>
    <s v="D18"/>
    <s v="DEV D2C - Arrependimento não quero mais"/>
    <s v="COMERCIAL"/>
    <x v="1"/>
    <n v="5866596"/>
    <x v="297"/>
    <s v="SP"/>
    <n v="474"/>
    <s v="Site Brastemp"/>
    <n v="1352"/>
    <s v="W11619317"/>
    <s v="Placas de Controle"/>
    <x v="1"/>
    <n v="1000"/>
    <n v="5002359"/>
    <s v="EMPRESA BRASILEIRA DE CORREIOS E"/>
    <n v="442.16"/>
    <d v="2025-07-29T00:00:00"/>
  </r>
  <r>
    <n v="254018203"/>
    <n v="64789457"/>
    <s v="REB"/>
    <n v="9802055"/>
    <n v="178"/>
    <s v="PEÇAS -Defeito de fabric./Sem Compressão"/>
    <s v="FUNCIONAL"/>
    <x v="1"/>
    <n v="5039"/>
    <x v="298"/>
    <s v="RS"/>
    <n v="350"/>
    <s v="Ats On"/>
    <n v="1350"/>
    <s v="W10393847"/>
    <s v="Compressores Herméticos"/>
    <x v="0"/>
    <n v="1000"/>
    <n v="5003024"/>
    <s v="RODOBRAS TRANSPORTES RODOVIARIOS LT"/>
    <n v="442.06"/>
    <d v="2025-06-18T00:00:00"/>
  </r>
  <r>
    <n v="254003872"/>
    <n v="64777759"/>
    <s v="REB"/>
    <n v="9917582"/>
    <n v="173"/>
    <s v="PEÇAS - Defeito de fabric./Alta Amperage"/>
    <s v="FUNCIONAL"/>
    <x v="1"/>
    <n v="13757"/>
    <x v="14"/>
    <s v="SP"/>
    <n v="713"/>
    <s v="Key Account"/>
    <n v="1350"/>
    <s v="W11299803"/>
    <s v="Mecanismos"/>
    <x v="2"/>
    <n v="4000"/>
    <n v="5004042"/>
    <s v="BRASIL WEB TRANSPORTES E LOGISTICA"/>
    <n v="442"/>
    <d v="2025-05-26T00:00:00"/>
  </r>
  <r>
    <n v="253995145"/>
    <n v="64768043"/>
    <s v="REB"/>
    <n v="9606793"/>
    <n v="173"/>
    <s v="PEÇAS - Defeito de fabric./Alta Amperage"/>
    <s v="FUNCIONAL"/>
    <x v="2"/>
    <n v="30847"/>
    <x v="87"/>
    <s v="SP"/>
    <n v="644"/>
    <s v="Plus"/>
    <n v="1350"/>
    <s v="W10441742"/>
    <s v="Compressores Herméticos"/>
    <x v="0"/>
    <n v="1000"/>
    <n v="5004042"/>
    <s v="BRASIL WEB TRANSPORTES E LOGISTICA"/>
    <n v="441.28"/>
    <d v="2025-05-16T00:00:00"/>
  </r>
  <r>
    <s v="Sem TR"/>
    <n v="64805229"/>
    <s v="ZRDI"/>
    <n v="10103518"/>
    <s v="D10"/>
    <s v="DEV D2C - Comprou modelo errado"/>
    <s v="COMERCIAL"/>
    <x v="2"/>
    <n v="5892118"/>
    <x v="299"/>
    <s v="SP"/>
    <n v="497"/>
    <s v="Site KA(novo)"/>
    <n v="1352"/>
    <s v="W10557280"/>
    <s v="Acessórios"/>
    <x v="7"/>
    <n v="1000"/>
    <n v="5002359"/>
    <s v="EMPRESA BRASILEIRA DE CORREIOS E"/>
    <n v="440.38"/>
    <d v="2025-07-03T00:00:00"/>
  </r>
  <r>
    <n v="254042152"/>
    <n v="64796049"/>
    <s v="REB"/>
    <n v="9998752"/>
    <n v="173"/>
    <s v="PEÇAS - Defeito de fabric./Alta Amperage"/>
    <s v="FUNCIONAL"/>
    <x v="0"/>
    <n v="67567"/>
    <x v="300"/>
    <s v="MG"/>
    <n v="350"/>
    <s v="Ats On"/>
    <n v="1350"/>
    <s v="W10393809"/>
    <s v="Compressores Herméticos"/>
    <x v="0"/>
    <n v="1000"/>
    <n v="5004215"/>
    <s v="BRASIL WEB TRANSPORTES E LOGISTICA"/>
    <n v="440.26"/>
    <d v="2025-06-23T00:00:00"/>
  </r>
  <r>
    <n v="254018344"/>
    <n v="64793470"/>
    <s v="REB"/>
    <n v="9927206"/>
    <n v="176"/>
    <s v="PEÇAS - Defeito de fabric./Interrompido"/>
    <s v="FUNCIONAL"/>
    <x v="1"/>
    <n v="67141"/>
    <x v="214"/>
    <s v="SP"/>
    <n v="648"/>
    <s v="Ultra"/>
    <n v="1350"/>
    <s v="W10798744"/>
    <s v="Compressores Herméticos"/>
    <x v="0"/>
    <n v="1000"/>
    <n v="5004042"/>
    <s v="BRASIL WEB TRANSPORTES E LOGISTICA"/>
    <n v="440.19"/>
    <d v="2025-06-17T00:00:00"/>
  </r>
  <r>
    <n v="254018345"/>
    <n v="64793469"/>
    <s v="REB"/>
    <n v="9927206"/>
    <n v="173"/>
    <s v="PEÇAS - Defeito de fabric./Alta Amperage"/>
    <s v="FUNCIONAL"/>
    <x v="2"/>
    <n v="67141"/>
    <x v="214"/>
    <s v="SP"/>
    <n v="648"/>
    <s v="Ultra"/>
    <n v="1350"/>
    <s v="W10798744"/>
    <s v="Compressores Herméticos"/>
    <x v="0"/>
    <n v="1000"/>
    <n v="5004042"/>
    <s v="BRASIL WEB TRANSPORTES E LOGISTICA"/>
    <n v="440.19"/>
    <d v="2025-06-17T00:00:00"/>
  </r>
  <r>
    <n v="253851674"/>
    <n v="64624962"/>
    <s v="REB"/>
    <n v="9536563"/>
    <n v="173"/>
    <s v="PEÇAS - Defeito de fabric./Alta Amperage"/>
    <s v="FUNCIONAL"/>
    <x v="1"/>
    <n v="27770"/>
    <x v="37"/>
    <s v="AL"/>
    <n v="644"/>
    <s v="Plus"/>
    <n v="1350"/>
    <s v="W10827973"/>
    <s v="Placas de Controle"/>
    <x v="1"/>
    <n v="1000"/>
    <n v="5004101"/>
    <s v="UNIDOCK'S ASSESSORIA E LOGISTICA DE"/>
    <n v="439.83"/>
    <d v="2024-10-09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s v="W10905134"/>
    <s v="Placas de Controle"/>
    <x v="1"/>
    <n v="2000"/>
    <n v="5003024"/>
    <s v="RODOBRAS TRANSPORTES RODOVIARIOS LT"/>
    <n v="439.7"/>
    <d v="2025-01-28T00:00:00"/>
  </r>
  <r>
    <n v="253988782"/>
    <n v="64763859"/>
    <s v="REB"/>
    <n v="9969680"/>
    <n v="176"/>
    <s v="PEÇAS - Defeito de fabric./Interrompido"/>
    <s v="FUNCIONAL"/>
    <x v="2"/>
    <n v="3506"/>
    <x v="46"/>
    <s v="SP"/>
    <n v="931"/>
    <s v="Ats Off"/>
    <n v="1350"/>
    <s v="W11102708"/>
    <s v="Bombas"/>
    <x v="1"/>
    <n v="1000"/>
    <n v="5004042"/>
    <s v="BRASIL WEB TRANSPORTES E LOGISTICA"/>
    <n v="439.52"/>
    <d v="2025-05-05T00:00:00"/>
  </r>
  <r>
    <n v="253995142"/>
    <n v="64771060"/>
    <s v="REB"/>
    <n v="9936354"/>
    <n v="178"/>
    <s v="PEÇAS -Defeito de fabric./Sem Compressão"/>
    <s v="FUNCIONAL"/>
    <x v="2"/>
    <n v="30121"/>
    <x v="23"/>
    <s v="SP"/>
    <n v="648"/>
    <s v="Ultra"/>
    <n v="1350"/>
    <s v="W10393809"/>
    <s v="Compressores Herméticos"/>
    <x v="0"/>
    <n v="1000"/>
    <n v="5004042"/>
    <s v="BRASIL WEB TRANSPORTES E LOGISTICA"/>
    <n v="438.79"/>
    <d v="2025-05-15T00:00:00"/>
  </r>
  <r>
    <n v="253983917"/>
    <n v="64759546"/>
    <s v="REB"/>
    <n v="9829607"/>
    <n v="178"/>
    <s v="PEÇAS -Defeito de fabric./Sem Compressão"/>
    <s v="FUNCIONAL"/>
    <x v="2"/>
    <n v="34150"/>
    <x v="301"/>
    <s v="BA"/>
    <n v="350"/>
    <s v="Ats On"/>
    <n v="1350"/>
    <s v="W10393815"/>
    <s v="Compressores Herméticos"/>
    <x v="0"/>
    <n v="1000"/>
    <n v="5004101"/>
    <s v="UNIDOCK'S ASSESSORIA E LOGISTICA DE"/>
    <n v="437.46"/>
    <d v="2025-04-28T00:00:00"/>
  </r>
  <r>
    <n v="254018316"/>
    <n v="64793319"/>
    <s v="REB"/>
    <n v="9850006"/>
    <n v="176"/>
    <s v="PEÇAS - Defeito de fabric./Interrompido"/>
    <s v="FUNCIONAL"/>
    <x v="2"/>
    <n v="50055"/>
    <x v="241"/>
    <s v="MS"/>
    <n v="648"/>
    <s v="Ultra"/>
    <n v="1350"/>
    <s v="W11375485"/>
    <s v="Compressores Herméticos"/>
    <x v="0"/>
    <n v="1000"/>
    <n v="5002573"/>
    <s v="CARVALIMA TRANSPORTES LTDA"/>
    <n v="437.31"/>
    <d v="2025-06-17T00:00:00"/>
  </r>
  <r>
    <s v="Sem TR"/>
    <n v="64820345"/>
    <s v="ZRDI"/>
    <n v="10145605"/>
    <s v="D10"/>
    <s v="DEV D2C - Comprou modelo errado"/>
    <s v="COMERCIAL"/>
    <x v="1"/>
    <n v="57818287"/>
    <x v="302"/>
    <s v="SP"/>
    <n v="474"/>
    <s v="Site Brastemp"/>
    <n v="1352"/>
    <s v="W10806305"/>
    <s v="Placas de Controle"/>
    <x v="1"/>
    <n v="1000"/>
    <n v="5002359"/>
    <s v="EMPRESA BRASILEIRA DE CORREIOS E"/>
    <n v="437.12"/>
    <d v="2025-07-30T00:00:00"/>
  </r>
  <r>
    <s v="Sem TR"/>
    <n v="64810022"/>
    <s v="ZRDI"/>
    <n v="10145595"/>
    <s v="D18"/>
    <s v="DEV D2C - Arrependimento não quero mais"/>
    <s v="COMERCIAL"/>
    <x v="2"/>
    <n v="53162633"/>
    <x v="303"/>
    <s v="SP"/>
    <n v="478"/>
    <s v="Corporativo"/>
    <n v="1352"/>
    <s v="W10806305"/>
    <s v="Placas de Controle"/>
    <x v="1"/>
    <n v="1000"/>
    <n v="5002359"/>
    <s v="EMPRESA BRASILEIRA DE CORREIOS E"/>
    <n v="437.12"/>
    <d v="2025-07-24T00:00:00"/>
  </r>
  <r>
    <s v="Sem TR"/>
    <n v="64810022"/>
    <s v="ZRDI"/>
    <n v="10145595"/>
    <s v="D18"/>
    <s v="DEV D2C - Arrependimento não quero mais"/>
    <s v="COMERCIAL"/>
    <x v="2"/>
    <n v="53162633"/>
    <x v="303"/>
    <s v="SP"/>
    <n v="478"/>
    <s v="Corporativo"/>
    <n v="1352"/>
    <s v="W10806305"/>
    <s v="Placas de Controle"/>
    <x v="1"/>
    <n v="1000"/>
    <n v="5002359"/>
    <s v="EMPRESA BRASILEIRA DE CORREIOS E"/>
    <n v="437.12"/>
    <d v="2025-07-24T00:00:00"/>
  </r>
  <r>
    <s v="Sem TR"/>
    <n v="64812784"/>
    <s v="ZDVP"/>
    <n v="9961387"/>
    <n v="173"/>
    <s v="PEÇAS - Defeito de fabric./Alta Amperage"/>
    <s v="FUNCIONAL"/>
    <x v="1"/>
    <n v="28684"/>
    <x v="235"/>
    <s v="SP"/>
    <n v="648"/>
    <s v="Ultra"/>
    <n v="1350"/>
    <n v="326061172"/>
    <s v="Placas de Controle"/>
    <x v="1"/>
    <n v="1000"/>
    <n v="5004042"/>
    <s v="BRASIL WEB TRANSPORTES E LOGISTICA"/>
    <n v="436.63"/>
    <d v="2025-07-17T00:00:00"/>
  </r>
  <r>
    <n v="253872397"/>
    <n v="64641942"/>
    <s v="REB"/>
    <n v="9399602"/>
    <n v="178"/>
    <s v="PEÇAS -Defeito de fabric./Sem Compressão"/>
    <s v="FUNCIONAL"/>
    <x v="2"/>
    <n v="29697"/>
    <x v="211"/>
    <s v="SP"/>
    <n v="933"/>
    <s v="Top"/>
    <n v="1350"/>
    <s v="W10393815"/>
    <s v="Compressores Herméticos"/>
    <x v="0"/>
    <n v="1000"/>
    <n v="5004042"/>
    <s v="BRASIL WEB TRANSPORTES E LOGISTICA"/>
    <n v="436.16"/>
    <d v="2024-11-11T00:00:00"/>
  </r>
  <r>
    <n v="254033337"/>
    <n v="64807151"/>
    <s v="REB"/>
    <n v="9779922"/>
    <n v="173"/>
    <s v="PEÇAS - Defeito de fabric./Alta Amperage"/>
    <s v="FUNCIONAL"/>
    <x v="1"/>
    <n v="27770"/>
    <x v="37"/>
    <s v="AL"/>
    <n v="641"/>
    <s v="CDP Diamante"/>
    <n v="1350"/>
    <s v="W11391012"/>
    <s v="Placas de Controle"/>
    <x v="1"/>
    <n v="1000"/>
    <n v="5004101"/>
    <s v="UNIDOCK'S ASSESSORIA E LOGISTICA DE"/>
    <n v="435.89"/>
    <d v="2025-07-08T00:00:00"/>
  </r>
  <r>
    <n v="253913191"/>
    <n v="64685029"/>
    <s v="REB"/>
    <n v="9630877"/>
    <n v="176"/>
    <s v="PEÇAS - Defeito de fabric./Interrompido"/>
    <s v="FUNCIONAL"/>
    <x v="1"/>
    <n v="87320"/>
    <x v="304"/>
    <s v="RJ"/>
    <n v="932"/>
    <s v="CDP Prata"/>
    <n v="1350"/>
    <n v="326061172"/>
    <s v="Placas de Controle"/>
    <x v="1"/>
    <n v="1000"/>
    <n v="5003176"/>
    <s v="J C THEDIN TRANSPORTES LTDA"/>
    <n v="435.85"/>
    <d v="2025-01-06T00:00:00"/>
  </r>
  <r>
    <n v="254033261"/>
    <n v="64800507"/>
    <s v="REB"/>
    <n v="10011844"/>
    <n v="176"/>
    <s v="PEÇAS - Defeito de fabric./Interrompido"/>
    <s v="FUNCIONAL"/>
    <x v="1"/>
    <n v="4425"/>
    <x v="305"/>
    <s v="SC"/>
    <n v="931"/>
    <s v="Ats Off"/>
    <n v="1350"/>
    <s v="W11248025"/>
    <s v="Placas de Interface"/>
    <x v="1"/>
    <n v="1000"/>
    <n v="5003024"/>
    <s v="RODOBRAS TRANSPORTES RODOVIARIOS LT"/>
    <n v="435.68"/>
    <d v="2025-07-01T00:00:00"/>
  </r>
  <r>
    <n v="254042156"/>
    <n v="64791466"/>
    <s v="REB"/>
    <n v="10042997"/>
    <n v="104"/>
    <s v="PEÇAS-Código trocado(embalag X conteúdo)"/>
    <s v="LOGÍSTICA"/>
    <x v="0"/>
    <n v="19716"/>
    <x v="252"/>
    <s v="SC"/>
    <n v="644"/>
    <s v="Plus"/>
    <n v="1350"/>
    <s v="W10367625"/>
    <s v="Gaxetas"/>
    <x v="4"/>
    <n v="10000"/>
    <n v="5003024"/>
    <s v="RODOBRAS TRANSPORTES RODOVIARIOS LT"/>
    <n v="435.4"/>
    <d v="2025-06-23T00:00:00"/>
  </r>
  <r>
    <s v="Sem TR"/>
    <n v="64799245"/>
    <s v="ZRDI"/>
    <n v="10085204"/>
    <s v="D35"/>
    <s v="DEV D2C - Prod difere do comprado"/>
    <s v="COMERCIAL"/>
    <x v="2"/>
    <n v="50023919"/>
    <x v="306"/>
    <s v="SC"/>
    <n v="474"/>
    <s v="Site Brastemp"/>
    <n v="1352"/>
    <s v="W10401572"/>
    <s v="Sensores"/>
    <x v="3"/>
    <n v="1000"/>
    <n v="5002359"/>
    <s v="EMPRESA BRASILEIRA DE CORREIOS E"/>
    <n v="434.43"/>
    <d v="2025-06-27T00:00:00"/>
  </r>
  <r>
    <n v="253992749"/>
    <n v="64757797"/>
    <s v="REB"/>
    <n v="9384989"/>
    <n v="178"/>
    <s v="PEÇAS -Defeito de fabric./Sem Compressão"/>
    <s v="FUNCIONAL"/>
    <x v="1"/>
    <n v="55093"/>
    <x v="231"/>
    <s v="SP"/>
    <n v="648"/>
    <s v="Ultra"/>
    <n v="1350"/>
    <s v="W11677210"/>
    <s v="Compressores Herméticos"/>
    <x v="0"/>
    <n v="1000"/>
    <n v="5004042"/>
    <s v="BRASIL WEB TRANSPORTES E LOGISTICA"/>
    <n v="434.16"/>
    <d v="2025-05-12T00:00:00"/>
  </r>
  <r>
    <n v="253870946"/>
    <n v="64637992"/>
    <s v="REB"/>
    <n v="9384989"/>
    <n v="178"/>
    <s v="PEÇAS -Defeito de fabric./Sem Compressão"/>
    <s v="FUNCIONAL"/>
    <x v="1"/>
    <n v="55093"/>
    <x v="231"/>
    <s v="SP"/>
    <n v="648"/>
    <s v="Ultra"/>
    <n v="1350"/>
    <s v="W11677211"/>
    <s v="Compressores Herméticos"/>
    <x v="0"/>
    <n v="1000"/>
    <n v="5003254"/>
    <s v="TMA TRANSPORTE LOTACAO E LOGISTICA"/>
    <n v="434.16"/>
    <d v="2024-11-04T00:00:00"/>
  </r>
  <r>
    <n v="253872430"/>
    <n v="64641694"/>
    <s v="REB"/>
    <n v="9435103"/>
    <n v="178"/>
    <s v="PEÇAS -Defeito de fabric./Sem Compressão"/>
    <s v="FUNCIONAL"/>
    <x v="1"/>
    <n v="55093"/>
    <x v="231"/>
    <s v="SP"/>
    <n v="648"/>
    <s v="Ultra"/>
    <n v="1350"/>
    <s v="W11677211"/>
    <s v="Compressores Herméticos"/>
    <x v="0"/>
    <n v="1000"/>
    <n v="5003254"/>
    <s v="TMA TRANSPORTE LOTACAO E LOGISTICA"/>
    <n v="434.16"/>
    <d v="2024-11-11T00:00:00"/>
  </r>
  <r>
    <n v="253891654"/>
    <n v="64660535"/>
    <s v="REB"/>
    <n v="9384989"/>
    <n v="178"/>
    <s v="PEÇAS -Defeito de fabric./Sem Compressão"/>
    <s v="FUNCIONAL"/>
    <x v="1"/>
    <n v="55093"/>
    <x v="231"/>
    <s v="SP"/>
    <n v="648"/>
    <s v="Ultra"/>
    <n v="1350"/>
    <s v="W11677211"/>
    <s v="Compressores Herméticos"/>
    <x v="0"/>
    <n v="1000"/>
    <n v="5003254"/>
    <s v="TMA TRANSPORTE LOTACAO E LOGISTICA"/>
    <n v="434.16"/>
    <d v="2024-12-05T00:00:00"/>
  </r>
  <r>
    <n v="253952366"/>
    <n v="64729072"/>
    <s v="REB"/>
    <n v="9384989"/>
    <n v="178"/>
    <s v="PEÇAS -Defeito de fabric./Sem Compressão"/>
    <s v="FUNCIONAL"/>
    <x v="2"/>
    <n v="55093"/>
    <x v="231"/>
    <s v="SP"/>
    <n v="648"/>
    <s v="Ultra"/>
    <n v="1350"/>
    <s v="W11677211"/>
    <s v="Compressores Herméticos"/>
    <x v="0"/>
    <n v="1000"/>
    <n v="5004042"/>
    <s v="BRASIL WEB TRANSPORTES E LOGISTICA"/>
    <n v="434.16"/>
    <d v="2025-03-10T00:00:00"/>
  </r>
  <r>
    <n v="253952366"/>
    <n v="64729075"/>
    <s v="REB"/>
    <n v="9441583"/>
    <n v="178"/>
    <s v="PEÇAS -Defeito de fabric./Sem Compressão"/>
    <s v="FUNCIONAL"/>
    <x v="2"/>
    <n v="55093"/>
    <x v="231"/>
    <s v="SP"/>
    <n v="648"/>
    <s v="Ultra"/>
    <n v="1350"/>
    <s v="W11677211"/>
    <s v="Compressores Herméticos"/>
    <x v="0"/>
    <n v="1000"/>
    <n v="5004042"/>
    <s v="BRASIL WEB TRANSPORTES E LOGISTICA"/>
    <n v="434.16"/>
    <d v="2025-03-10T00:00:00"/>
  </r>
  <r>
    <n v="253952368"/>
    <n v="64729080"/>
    <s v="REB"/>
    <n v="9441583"/>
    <n v="178"/>
    <s v="PEÇAS -Defeito de fabric./Sem Compressão"/>
    <s v="FUNCIONAL"/>
    <x v="2"/>
    <n v="55093"/>
    <x v="231"/>
    <s v="SP"/>
    <n v="648"/>
    <s v="Ultra"/>
    <n v="1350"/>
    <s v="W11677211"/>
    <s v="Compressores Herméticos"/>
    <x v="0"/>
    <n v="1000"/>
    <n v="5004042"/>
    <s v="BRASIL WEB TRANSPORTES E LOGISTICA"/>
    <n v="434.16"/>
    <d v="2025-03-10T00:00:00"/>
  </r>
  <r>
    <n v="253952367"/>
    <n v="64729092"/>
    <s v="REB"/>
    <n v="9441583"/>
    <n v="178"/>
    <s v="PEÇAS -Defeito de fabric./Sem Compressão"/>
    <s v="FUNCIONAL"/>
    <x v="2"/>
    <n v="55093"/>
    <x v="231"/>
    <s v="SP"/>
    <n v="648"/>
    <s v="Ultra"/>
    <n v="1350"/>
    <s v="W11677211"/>
    <s v="Compressores Herméticos"/>
    <x v="0"/>
    <n v="1000"/>
    <n v="5004042"/>
    <s v="BRASIL WEB TRANSPORTES E LOGISTICA"/>
    <n v="434.16"/>
    <d v="2025-03-10T00:00:00"/>
  </r>
  <r>
    <n v="253952366"/>
    <n v="64729099"/>
    <s v="REB"/>
    <n v="9435103"/>
    <n v="178"/>
    <s v="PEÇAS -Defeito de fabric./Sem Compressão"/>
    <s v="FUNCIONAL"/>
    <x v="2"/>
    <n v="55093"/>
    <x v="231"/>
    <s v="SP"/>
    <n v="648"/>
    <s v="Ultra"/>
    <n v="1350"/>
    <s v="W11677211"/>
    <s v="Compressores Herméticos"/>
    <x v="0"/>
    <n v="1000"/>
    <n v="5004042"/>
    <s v="BRASIL WEB TRANSPORTES E LOGISTICA"/>
    <n v="434.16"/>
    <d v="2025-03-10T00:00:00"/>
  </r>
  <r>
    <n v="254003947"/>
    <n v="64778354"/>
    <s v="REB"/>
    <n v="9855088"/>
    <n v="173"/>
    <s v="PEÇAS - Defeito de fabric./Alta Amperage"/>
    <s v="FUNCIONAL"/>
    <x v="2"/>
    <n v="30990"/>
    <x v="26"/>
    <s v="ES"/>
    <n v="713"/>
    <s v="Key Account"/>
    <n v="1350"/>
    <s v="W10709306"/>
    <s v="Placas de Controle"/>
    <x v="1"/>
    <n v="3000"/>
    <n v="5004042"/>
    <s v="BRASIL WEB TRANSPORTES E LOGISTICA"/>
    <n v="434.02"/>
    <d v="2025-05-26T00:00:00"/>
  </r>
  <r>
    <n v="254016289"/>
    <n v="64794462"/>
    <s v="ROB"/>
    <n v="10038955"/>
    <n v="182"/>
    <s v="PEÇAS - Extravio - Volume a menor"/>
    <s v="TRANSPORTADORA"/>
    <x v="1"/>
    <n v="4523"/>
    <x v="261"/>
    <s v="SC"/>
    <n v="350"/>
    <s v="Ats On"/>
    <n v="1350"/>
    <s v="W10838063"/>
    <s v="Placas de Controle"/>
    <x v="1"/>
    <n v="1000"/>
    <n v="5003024"/>
    <s v="RODOBRAS TRANSPORTES RODOVIARIOS LT"/>
    <n v="433.32"/>
    <d v="2025-06-18T00:00:00"/>
  </r>
  <r>
    <n v="253995202"/>
    <n v="64769297"/>
    <s v="REB"/>
    <n v="10007429"/>
    <n v="90"/>
    <s v="CLIENTE-não solicitou"/>
    <s v="COMERCIAL"/>
    <x v="1"/>
    <n v="60871"/>
    <x v="9"/>
    <s v="ES"/>
    <n v="713"/>
    <s v="Key Account"/>
    <n v="1350"/>
    <s v="W10855665"/>
    <s v="Placas de Controle"/>
    <x v="1"/>
    <n v="2000"/>
    <n v="5004042"/>
    <s v="BRASIL WEB TRANSPORTES E LOGISTICA"/>
    <n v="432.93"/>
    <d v="2025-05-16T00:00:00"/>
  </r>
  <r>
    <n v="254033295"/>
    <n v="64796702"/>
    <s v="REB"/>
    <n v="9994066"/>
    <n v="177"/>
    <s v="PEÇAS - Defeito de fabric./Ruído"/>
    <s v="FUNCIONAL"/>
    <x v="1"/>
    <n v="18805"/>
    <x v="307"/>
    <s v="PR"/>
    <n v="648"/>
    <s v="Ultra"/>
    <n v="1350"/>
    <s v="W11254865"/>
    <s v="Mecanismos"/>
    <x v="2"/>
    <n v="3000"/>
    <n v="5003024"/>
    <s v="RODOBRAS TRANSPORTES RODOVIARIOS LT"/>
    <n v="432.36"/>
    <d v="2025-07-08T00:00:00"/>
  </r>
  <r>
    <n v="254033384"/>
    <n v="64807311"/>
    <s v="REB"/>
    <n v="10095481"/>
    <n v="176"/>
    <s v="PEÇAS - Defeito de fabric./Interrompido"/>
    <s v="FUNCIONAL"/>
    <x v="1"/>
    <n v="31063"/>
    <x v="308"/>
    <s v="RJ"/>
    <n v="644"/>
    <s v="Plus"/>
    <n v="1350"/>
    <n v="326061172"/>
    <s v="Placas de Controle"/>
    <x v="1"/>
    <n v="1000"/>
    <n v="5003176"/>
    <s v="J C THEDIN TRANSPORTES LTDA"/>
    <n v="431.98"/>
    <d v="2025-07-08T00:00:00"/>
  </r>
  <r>
    <n v="254035391"/>
    <n v="64812344"/>
    <s v="REB"/>
    <n v="9953910"/>
    <n v="178"/>
    <s v="PEÇAS -Defeito de fabric./Sem Compressão"/>
    <s v="FUNCIONAL"/>
    <x v="1"/>
    <n v="50867"/>
    <x v="259"/>
    <s v="ES"/>
    <n v="644"/>
    <s v="Plus"/>
    <n v="1350"/>
    <s v="W11677210"/>
    <s v="Compressores Herméticos"/>
    <x v="0"/>
    <n v="1000"/>
    <n v="5004042"/>
    <s v="BRASIL WEB TRANSPORTES E LOGISTICA"/>
    <n v="431.82"/>
    <d v="2025-07-17T00:00:00"/>
  </r>
  <r>
    <n v="253988855"/>
    <n v="64762176"/>
    <s v="REB"/>
    <n v="9615441"/>
    <n v="176"/>
    <s v="PEÇAS - Defeito de fabric./Interrompido"/>
    <s v="FUNCIONAL"/>
    <x v="2"/>
    <n v="27991"/>
    <x v="120"/>
    <s v="SP"/>
    <n v="644"/>
    <s v="Plus"/>
    <n v="1350"/>
    <s v="W10769941"/>
    <s v="Compressores Herméticos"/>
    <x v="0"/>
    <n v="1000"/>
    <n v="5004042"/>
    <s v="BRASIL WEB TRANSPORTES E LOGISTICA"/>
    <n v="430.47"/>
    <d v="2025-05-05T00:00:00"/>
  </r>
  <r>
    <n v="253988884"/>
    <n v="64763939"/>
    <s v="REB"/>
    <n v="9630046"/>
    <n v="176"/>
    <s v="PEÇAS - Defeito de fabric./Interrompido"/>
    <s v="FUNCIONAL"/>
    <x v="2"/>
    <n v="49363"/>
    <x v="249"/>
    <s v="SP"/>
    <n v="644"/>
    <s v="Plus"/>
    <n v="1350"/>
    <s v="W10769941"/>
    <s v="Compressores Herméticos"/>
    <x v="0"/>
    <n v="1000"/>
    <n v="5004042"/>
    <s v="BRASIL WEB TRANSPORTES E LOGISTICA"/>
    <n v="430.47"/>
    <d v="2025-05-05T00:00:00"/>
  </r>
  <r>
    <n v="254004041"/>
    <n v="64778379"/>
    <s v="REB"/>
    <n v="9965623"/>
    <n v="173"/>
    <s v="PEÇAS - Defeito de fabric./Alta Amperage"/>
    <s v="FUNCIONAL"/>
    <x v="2"/>
    <n v="67948"/>
    <x v="15"/>
    <s v="SC"/>
    <n v="713"/>
    <s v="Key Account"/>
    <n v="1350"/>
    <s v="W11199202"/>
    <s v="Placas de Controle"/>
    <x v="1"/>
    <n v="2000"/>
    <n v="5003024"/>
    <s v="RODOBRAS TRANSPORTES RODOVIARIOS LT"/>
    <n v="430.12"/>
    <d v="2025-05-26T00:00:00"/>
  </r>
  <r>
    <n v="253953850"/>
    <n v="64731980"/>
    <s v="REB"/>
    <n v="8865973"/>
    <n v="178"/>
    <s v="PEÇAS -Defeito de fabric./Sem Compressão"/>
    <s v="FUNCIONAL"/>
    <x v="2"/>
    <n v="79953"/>
    <x v="309"/>
    <s v="SP"/>
    <n v="932"/>
    <s v="CDP Prata"/>
    <n v="1350"/>
    <s v="W10769941"/>
    <s v="Compressores Herméticos"/>
    <x v="0"/>
    <n v="1000"/>
    <n v="5004042"/>
    <s v="BRASIL WEB TRANSPORTES E LOGISTICA"/>
    <n v="429.63"/>
    <d v="2025-03-14T00:00:00"/>
  </r>
  <r>
    <n v="254028499"/>
    <n v="64795308"/>
    <s v="REB"/>
    <n v="10088392"/>
    <n v="170"/>
    <s v="PEÇAS - Avaria - Riscada/Depósito"/>
    <s v="LOGÍSTICA"/>
    <x v="2"/>
    <n v="52227"/>
    <x v="59"/>
    <s v="RJ"/>
    <n v="350"/>
    <s v="Ats On"/>
    <n v="1350"/>
    <n v="326039088"/>
    <s v="Gabinetes"/>
    <x v="6"/>
    <n v="1000"/>
    <n v="5003176"/>
    <s v="J C THEDIN TRANSPORTES LTDA"/>
    <n v="429.23"/>
    <d v="2025-06-20T00:00:00"/>
  </r>
  <r>
    <n v="254033418"/>
    <n v="64795882"/>
    <s v="REB"/>
    <n v="8851377"/>
    <n v="178"/>
    <s v="PEÇAS -Defeito de fabric./Sem Compressão"/>
    <s v="FUNCIONAL"/>
    <x v="0"/>
    <n v="53319"/>
    <x v="172"/>
    <s v="PR"/>
    <n v="644"/>
    <s v="Plus"/>
    <n v="1350"/>
    <s v="W11677210"/>
    <s v="Compressores Herméticos"/>
    <x v="0"/>
    <n v="1000"/>
    <n v="5003024"/>
    <s v="RODOBRAS TRANSPORTES RODOVIARIOS LT"/>
    <n v="429.14"/>
    <d v="2025-07-01T00:00:00"/>
  </r>
  <r>
    <n v="254033333"/>
    <n v="64806121"/>
    <s v="REB"/>
    <n v="9509103"/>
    <n v="176"/>
    <s v="PEÇAS - Defeito de fabric./Interrompido"/>
    <s v="FUNCIONAL"/>
    <x v="1"/>
    <n v="27210"/>
    <x v="310"/>
    <s v="PR"/>
    <n v="350"/>
    <s v="Ats On"/>
    <n v="1350"/>
    <s v="W11375485"/>
    <s v="Compressores Herméticos"/>
    <x v="0"/>
    <n v="1000"/>
    <n v="5003024"/>
    <s v="RODOBRAS TRANSPORTES RODOVIARIOS LT"/>
    <n v="429.11"/>
    <d v="2025-07-08T00:00:00"/>
  </r>
  <r>
    <n v="254041722"/>
    <n v="64796526"/>
    <s v="REB"/>
    <n v="9509103"/>
    <n v="176"/>
    <s v="PEÇAS - Defeito de fabric./Interrompido"/>
    <s v="FUNCIONAL"/>
    <x v="0"/>
    <n v="27210"/>
    <x v="310"/>
    <s v="PR"/>
    <n v="350"/>
    <s v="Ats On"/>
    <n v="1350"/>
    <s v="W11375485"/>
    <s v="Compressores Herméticos"/>
    <x v="0"/>
    <n v="1000"/>
    <n v="5003024"/>
    <s v="RODOBRAS TRANSPORTES RODOVIARIOS LT"/>
    <n v="429.11"/>
    <d v="2025-06-24T00:00:00"/>
  </r>
  <r>
    <n v="253983980"/>
    <n v="64759316"/>
    <s v="ZDVP"/>
    <n v="9967885"/>
    <n v="167"/>
    <s v="PEÇAS - Avaria - Quebrada/Depósito"/>
    <s v="LOGÍSTICA"/>
    <x v="1"/>
    <n v="53319"/>
    <x v="172"/>
    <s v="PR"/>
    <n v="644"/>
    <s v="Plus"/>
    <n v="1350"/>
    <s v="W10624070"/>
    <s v="Gavetas"/>
    <x v="9"/>
    <n v="4000"/>
    <n v="5003024"/>
    <s v="RODOBRAS TRANSPORTES RODOVIARIOS LT"/>
    <n v="428.96"/>
    <d v="2025-04-28T00:00:00"/>
  </r>
  <r>
    <n v="254030536"/>
    <n v="64800443"/>
    <s v="REB"/>
    <n v="10060731"/>
    <n v="176"/>
    <s v="PEÇAS - Defeito de fabric./Interrompido"/>
    <s v="FUNCIONAL"/>
    <x v="1"/>
    <n v="75812"/>
    <x v="102"/>
    <s v="SP"/>
    <n v="931"/>
    <s v="Ats Off"/>
    <n v="1350"/>
    <s v="W10798744"/>
    <s v="Compressores Herméticos"/>
    <x v="0"/>
    <n v="1000"/>
    <n v="5004042"/>
    <s v="BRASIL WEB TRANSPORTES E LOGISTICA"/>
    <n v="428.72"/>
    <d v="2025-07-01T00:00:00"/>
  </r>
  <r>
    <n v="253981565"/>
    <n v="64757749"/>
    <s v="REB"/>
    <n v="9261039"/>
    <n v="178"/>
    <s v="PEÇAS -Defeito de fabric./Sem Compressão"/>
    <s v="FUNCIONAL"/>
    <x v="2"/>
    <n v="69921"/>
    <x v="205"/>
    <s v="SP"/>
    <n v="934"/>
    <s v="CDP Ouro"/>
    <n v="1350"/>
    <s v="W10769941"/>
    <s v="Compressores Herméticos"/>
    <x v="0"/>
    <n v="1000"/>
    <n v="5004042"/>
    <s v="BRASIL WEB TRANSPORTES E LOGISTICA"/>
    <n v="428.5"/>
    <d v="2025-04-25T00:00:00"/>
  </r>
  <r>
    <n v="254009889"/>
    <n v="64788542"/>
    <s v="ROB"/>
    <n v="10060283"/>
    <n v="311"/>
    <s v="DEV-PRODUTO TROCADO-LOGÍSTICA"/>
    <s v="LOGÍSTICA"/>
    <x v="2"/>
    <n v="66743"/>
    <x v="170"/>
    <s v="SC"/>
    <n v="932"/>
    <s v="CDP Prata"/>
    <n v="1350"/>
    <n v="326039057"/>
    <s v="Gabinetes"/>
    <x v="6"/>
    <n v="1000"/>
    <n v="5003024"/>
    <s v="RODOBRAS TRANSPORTES RODOVIARIOS LT"/>
    <n v="428.47"/>
    <d v="2025-06-09T00:00:00"/>
  </r>
  <r>
    <s v="Sem TR"/>
    <n v="64803976"/>
    <s v="ZRDI"/>
    <n v="10112176"/>
    <s v="D10"/>
    <s v="DEV D2C - Comprou modelo errado"/>
    <s v="COMERCIAL"/>
    <x v="2"/>
    <n v="53084377"/>
    <x v="311"/>
    <s v="MG"/>
    <n v="474"/>
    <s v="Site Brastemp"/>
    <n v="1352"/>
    <s v="W10668378"/>
    <s v="Placas de Controle"/>
    <x v="1"/>
    <n v="1000"/>
    <n v="5002359"/>
    <s v="EMPRESA BRASILEIRA DE CORREIOS E"/>
    <n v="427.87"/>
    <d v="2025-07-14T00:00:00"/>
  </r>
  <r>
    <s v="Sem TR"/>
    <n v="64803976"/>
    <s v="ZRDI"/>
    <n v="10112176"/>
    <s v="D10"/>
    <s v="DEV D2C - Comprou modelo errado"/>
    <s v="COMERCIAL"/>
    <x v="2"/>
    <n v="53084377"/>
    <x v="311"/>
    <s v="MG"/>
    <n v="474"/>
    <s v="Site Brastemp"/>
    <n v="1352"/>
    <s v="W10668378"/>
    <s v="Placas de Controle"/>
    <x v="1"/>
    <n v="1000"/>
    <n v="5002359"/>
    <s v="EMPRESA BRASILEIRA DE CORREIOS E"/>
    <n v="427.87"/>
    <d v="2025-07-14T00:00:00"/>
  </r>
  <r>
    <n v="253961312"/>
    <n v="64735783"/>
    <s v="REB"/>
    <n v="9900699"/>
    <n v="173"/>
    <s v="PEÇAS - Defeito de fabric./Alta Amperage"/>
    <s v="FUNCIONAL"/>
    <x v="1"/>
    <n v="30847"/>
    <x v="87"/>
    <s v="SP"/>
    <n v="644"/>
    <s v="Plus"/>
    <n v="1350"/>
    <s v="W10416689"/>
    <s v="Placas de Controle"/>
    <x v="1"/>
    <n v="1000"/>
    <n v="5004042"/>
    <s v="BRASIL WEB TRANSPORTES E LOGISTICA"/>
    <n v="427.46"/>
    <d v="2025-03-24T00:00:00"/>
  </r>
  <r>
    <n v="254035415"/>
    <n v="64811675"/>
    <s v="REB"/>
    <n v="10079176"/>
    <n v="178"/>
    <s v="PEÇAS -Defeito de fabric./Sem Compressão"/>
    <s v="FUNCIONAL"/>
    <x v="1"/>
    <n v="70149"/>
    <x v="147"/>
    <s v="SP"/>
    <n v="963"/>
    <s v="Ats Distribuidoras"/>
    <n v="1350"/>
    <s v="W10375475"/>
    <s v="Compressores Herméticos"/>
    <x v="0"/>
    <n v="1000"/>
    <n v="5004042"/>
    <s v="BRASIL WEB TRANSPORTES E LOGISTICA"/>
    <n v="427.37"/>
    <d v="2025-07-17T00:00:00"/>
  </r>
  <r>
    <n v="254035415"/>
    <n v="64812326"/>
    <s v="REB"/>
    <n v="9936075"/>
    <n v="178"/>
    <s v="PEÇAS -Defeito de fabric./Sem Compressão"/>
    <s v="FUNCIONAL"/>
    <x v="1"/>
    <n v="70149"/>
    <x v="147"/>
    <s v="SP"/>
    <n v="963"/>
    <s v="Ats Distribuidoras"/>
    <n v="1350"/>
    <s v="W10375475"/>
    <s v="Compressores Herméticos"/>
    <x v="0"/>
    <n v="1000"/>
    <n v="5004042"/>
    <s v="BRASIL WEB TRANSPORTES E LOGISTICA"/>
    <n v="427.37"/>
    <d v="2025-07-17T00:00:00"/>
  </r>
  <r>
    <n v="253948589"/>
    <n v="64726474"/>
    <s v="REB"/>
    <n v="9810765"/>
    <n v="178"/>
    <s v="PEÇAS -Defeito de fabric./Sem Compressão"/>
    <s v="FUNCIONAL"/>
    <x v="2"/>
    <n v="87383"/>
    <x v="77"/>
    <s v="RJ"/>
    <n v="933"/>
    <s v="Top"/>
    <n v="1350"/>
    <s v="W11677210"/>
    <s v="Compressores Herméticos"/>
    <x v="0"/>
    <n v="1000"/>
    <n v="5003176"/>
    <s v="J C THEDIN TRANSPORTES LTDA"/>
    <n v="427.25"/>
    <d v="2025-03-07T00:00:00"/>
  </r>
  <r>
    <s v="Sem TR"/>
    <n v="64726651"/>
    <s v="REB"/>
    <n v="9834576"/>
    <n v="160"/>
    <s v="OI Cancelada - Ver motivo no texto"/>
    <s v="OUTROS"/>
    <x v="1"/>
    <n v="87407"/>
    <x v="208"/>
    <s v="SP"/>
    <n v="644"/>
    <s v="Plus"/>
    <n v="1350"/>
    <s v="W11209044"/>
    <s v="Prateleiras"/>
    <x v="9"/>
    <n v="7000"/>
    <n v="5004042"/>
    <s v="BRASIL WEB TRANSPORTES E LOGISTICA"/>
    <n v="426.11"/>
    <d v="2025-03-07T00:00:00"/>
  </r>
  <r>
    <n v="254012514"/>
    <n v="64788656"/>
    <s v="REB"/>
    <n v="9839674"/>
    <n v="176"/>
    <s v="PEÇAS - Defeito de fabric./Interrompido"/>
    <s v="FUNCIONAL"/>
    <x v="2"/>
    <n v="32272"/>
    <x v="312"/>
    <s v="PR"/>
    <n v="933"/>
    <s v="Top"/>
    <n v="1350"/>
    <s v="W11677210"/>
    <s v="Compressores Herméticos"/>
    <x v="0"/>
    <n v="1000"/>
    <n v="5003024"/>
    <s v="RODOBRAS TRANSPORTES RODOVIARIOS LT"/>
    <n v="425.35"/>
    <d v="2025-06-10T00:00:00"/>
  </r>
  <r>
    <n v="254033314"/>
    <n v="64802777"/>
    <s v="REB"/>
    <n v="10105074"/>
    <n v="176"/>
    <s v="PEÇAS - Defeito de fabric./Interrompido"/>
    <s v="FUNCIONAL"/>
    <x v="1"/>
    <n v="21594"/>
    <x v="97"/>
    <s v="SP"/>
    <n v="931"/>
    <s v="Ats Off"/>
    <n v="1350"/>
    <n v="326061172"/>
    <s v="Placas de Controle"/>
    <x v="1"/>
    <n v="1000"/>
    <n v="5004042"/>
    <s v="BRASIL WEB TRANSPORTES E LOGISTICA"/>
    <n v="425.25"/>
    <d v="2025-07-01T00:00:00"/>
  </r>
  <r>
    <s v="Sem TR"/>
    <n v="64798892"/>
    <s v="ZRDI"/>
    <n v="10094327"/>
    <s v="D18"/>
    <s v="DEV D2C - Arrependimento não quero mais"/>
    <s v="COMERCIAL"/>
    <x v="2"/>
    <n v="56709791"/>
    <x v="313"/>
    <s v="MG"/>
    <n v="474"/>
    <s v="Site Brastemp"/>
    <n v="1352"/>
    <s v="W10287547"/>
    <s v="Gavetas"/>
    <x v="9"/>
    <n v="2000"/>
    <n v="5002359"/>
    <s v="EMPRESA BRASILEIRA DE CORREIOS E"/>
    <n v="425.08"/>
    <d v="2025-06-28T00:00:00"/>
  </r>
  <r>
    <n v="254018190"/>
    <n v="64786658"/>
    <s v="REB"/>
    <n v="10057334"/>
    <n v="176"/>
    <s v="PEÇAS - Defeito de fabric./Interrompido"/>
    <s v="FUNCIONAL"/>
    <x v="2"/>
    <n v="4523"/>
    <x v="261"/>
    <s v="SC"/>
    <n v="350"/>
    <s v="Ats On"/>
    <n v="1350"/>
    <s v="W10235415"/>
    <s v="Placas de Controle"/>
    <x v="1"/>
    <n v="1000"/>
    <n v="5003024"/>
    <s v="RODOBRAS TRANSPORTES RODOVIARIOS LT"/>
    <n v="424.88"/>
    <d v="2025-06-05T00:00:00"/>
  </r>
  <r>
    <n v="253952468"/>
    <n v="64725377"/>
    <s v="REB"/>
    <n v="9791779"/>
    <n v="178"/>
    <s v="PEÇAS -Defeito de fabric./Sem Compressão"/>
    <s v="FUNCIONAL"/>
    <x v="2"/>
    <n v="72785"/>
    <x v="177"/>
    <s v="SP"/>
    <n v="641"/>
    <s v="CDP Diamante"/>
    <n v="1350"/>
    <s v="W10769941"/>
    <s v="Compressores Herméticos"/>
    <x v="0"/>
    <n v="1000"/>
    <n v="5004042"/>
    <s v="BRASIL WEB TRANSPORTES E LOGISTICA"/>
    <n v="424.4"/>
    <d v="2025-03-08T00:00:00"/>
  </r>
  <r>
    <n v="254030456"/>
    <n v="64796053"/>
    <s v="REB"/>
    <n v="10082071"/>
    <n v="90"/>
    <s v="CLIENTE-não solicitou"/>
    <s v="COMERCIAL"/>
    <x v="1"/>
    <n v="3467"/>
    <x v="115"/>
    <s v="SP"/>
    <n v="931"/>
    <s v="Ats Off"/>
    <n v="1350"/>
    <s v="W11351483"/>
    <s v="Motores Ventiladores"/>
    <x v="1"/>
    <n v="1000"/>
    <n v="5004042"/>
    <s v="BRASIL WEB TRANSPORTES E LOGISTICA"/>
    <n v="424.08"/>
    <d v="2025-07-01T00:00:00"/>
  </r>
  <r>
    <n v="254033377"/>
    <n v="64802776"/>
    <s v="REB"/>
    <n v="9913972"/>
    <n v="178"/>
    <s v="PEÇAS -Defeito de fabric./Sem Compressão"/>
    <s v="FUNCIONAL"/>
    <x v="1"/>
    <n v="30416"/>
    <x v="136"/>
    <s v="AM"/>
    <n v="648"/>
    <s v="Ultra"/>
    <n v="1350"/>
    <s v="W11133677"/>
    <s v="Compressores Herméticos"/>
    <x v="0"/>
    <n v="1000"/>
    <n v="5002858"/>
    <s v="FAVORITA TRANSPORTES LTDA"/>
    <n v="423.88"/>
    <d v="2025-07-01T00:00:00"/>
  </r>
  <r>
    <n v="254003944"/>
    <n v="64777847"/>
    <s v="REB"/>
    <n v="9913972"/>
    <n v="178"/>
    <s v="PEÇAS -Defeito de fabric./Sem Compressão"/>
    <s v="FUNCIONAL"/>
    <x v="2"/>
    <n v="30416"/>
    <x v="136"/>
    <s v="AM"/>
    <n v="648"/>
    <s v="Ultra"/>
    <n v="1350"/>
    <s v="W11133677"/>
    <s v="Compressores Herméticos"/>
    <x v="0"/>
    <n v="1000"/>
    <n v="5002858"/>
    <s v="FAVORITA TRANSPORTES LTDA"/>
    <n v="423.88"/>
    <d v="2025-05-26T00:00:00"/>
  </r>
  <r>
    <n v="253988857"/>
    <n v="64759326"/>
    <s v="REB"/>
    <n v="9891989"/>
    <n v="173"/>
    <s v="PEÇAS - Defeito de fabric./Alta Amperage"/>
    <s v="FUNCIONAL"/>
    <x v="1"/>
    <n v="28296"/>
    <x v="222"/>
    <s v="SP"/>
    <n v="648"/>
    <s v="Ultra"/>
    <n v="1350"/>
    <s v="W10799397"/>
    <s v="Compressores Herméticos"/>
    <x v="0"/>
    <n v="1000"/>
    <n v="5004042"/>
    <s v="BRASIL WEB TRANSPORTES E LOGISTICA"/>
    <n v="423.52"/>
    <d v="2025-05-05T00:00:00"/>
  </r>
  <r>
    <n v="253970911"/>
    <n v="64748855"/>
    <s v="REB"/>
    <n v="9905242"/>
    <n v="173"/>
    <s v="PEÇAS - Defeito de fabric./Alta Amperage"/>
    <s v="FUNCIONAL"/>
    <x v="2"/>
    <n v="67141"/>
    <x v="214"/>
    <s v="SP"/>
    <n v="648"/>
    <s v="Ultra"/>
    <n v="1350"/>
    <s v="W10799397"/>
    <s v="Compressores Herméticos"/>
    <x v="0"/>
    <n v="1000"/>
    <n v="5004042"/>
    <s v="BRASIL WEB TRANSPORTES E LOGISTICA"/>
    <n v="423.52"/>
    <d v="2025-04-09T00:00:00"/>
  </r>
  <r>
    <n v="253992725"/>
    <n v="64766847"/>
    <s v="REB"/>
    <n v="9891989"/>
    <n v="178"/>
    <s v="PEÇAS -Defeito de fabric./Sem Compressão"/>
    <s v="FUNCIONAL"/>
    <x v="2"/>
    <n v="28296"/>
    <x v="222"/>
    <s v="SP"/>
    <n v="648"/>
    <s v="Ultra"/>
    <n v="1350"/>
    <s v="W10799397"/>
    <s v="Compressores Herméticos"/>
    <x v="0"/>
    <n v="1000"/>
    <n v="5004042"/>
    <s v="BRASIL WEB TRANSPORTES E LOGISTICA"/>
    <n v="423.52"/>
    <d v="2025-05-12T00:00:00"/>
  </r>
  <r>
    <s v="Sem TR"/>
    <n v="64762887"/>
    <s v="REB"/>
    <n v="25503"/>
    <n v="173"/>
    <s v="PEÇAS - Defeito de fabric./Alta Amperage"/>
    <s v="FUNCIONAL"/>
    <x v="2"/>
    <n v="59715"/>
    <x v="314"/>
    <s v="PB"/>
    <n v="934"/>
    <s v="CDP Ouro"/>
    <n v="1550"/>
    <s v="W10769940"/>
    <s v="Compressores Herméticos"/>
    <x v="0"/>
    <n v="1000"/>
    <n v="5004391"/>
    <s v="JEONCEL TRANSPORTES LTDA"/>
    <n v="423.45"/>
    <d v="2025-05-05T00:00:00"/>
  </r>
  <r>
    <n v="254012633"/>
    <n v="64782262"/>
    <s v="REB"/>
    <n v="10065304"/>
    <n v="173"/>
    <s v="PEÇAS - Defeito de fabric./Alta Amperage"/>
    <s v="FUNCIONAL"/>
    <x v="2"/>
    <n v="86642"/>
    <x v="315"/>
    <s v="SP"/>
    <n v="932"/>
    <s v="CDP Prata"/>
    <n v="1350"/>
    <s v="W11435392"/>
    <s v="Placas de Controle"/>
    <x v="1"/>
    <n v="1000"/>
    <n v="5004042"/>
    <s v="BRASIL WEB TRANSPORTES E LOGISTICA"/>
    <n v="423.19"/>
    <d v="2025-06-10T00:00:00"/>
  </r>
  <r>
    <n v="253879226"/>
    <n v="64643328"/>
    <s v="REB"/>
    <n v="9673553"/>
    <n v="176"/>
    <s v="PEÇAS - Defeito de fabric./Interrompido"/>
    <s v="FUNCIONAL"/>
    <x v="1"/>
    <n v="21594"/>
    <x v="97"/>
    <s v="SP"/>
    <n v="931"/>
    <s v="Ats Off"/>
    <n v="1350"/>
    <s v="W10487697"/>
    <s v="Placas de Controle"/>
    <x v="1"/>
    <n v="1000"/>
    <n v="5003254"/>
    <s v="TMA TRANSPORTE LOTACAO E LOGISTICA"/>
    <n v="422.88"/>
    <d v="2024-11-12T00:00:00"/>
  </r>
  <r>
    <n v="254038379"/>
    <n v="64814564"/>
    <s v="REB"/>
    <n v="9629246"/>
    <n v="173"/>
    <s v="PEÇAS - Defeito de fabric./Alta Amperage"/>
    <s v="FUNCIONAL"/>
    <x v="0"/>
    <n v="56592"/>
    <x v="233"/>
    <s v="SE"/>
    <n v="641"/>
    <s v="CDP Diamante"/>
    <n v="1350"/>
    <s v="W11677210"/>
    <s v="Compressores Herméticos"/>
    <x v="0"/>
    <n v="1000"/>
    <n v="5004101"/>
    <s v="UNIDOCK'S ASSESSORIA E LOGISTICA DE"/>
    <n v="422.52"/>
    <d v="2025-07-22T00:00:00"/>
  </r>
  <r>
    <n v="254003944"/>
    <n v="64778500"/>
    <s v="REB"/>
    <n v="9968501"/>
    <n v="178"/>
    <s v="PEÇAS -Defeito de fabric./Sem Compressão"/>
    <s v="FUNCIONAL"/>
    <x v="2"/>
    <n v="30416"/>
    <x v="136"/>
    <s v="AM"/>
    <n v="648"/>
    <s v="Ultra"/>
    <n v="1350"/>
    <s v="W10769941"/>
    <s v="Compressores Herméticos"/>
    <x v="0"/>
    <n v="1000"/>
    <n v="5002858"/>
    <s v="FAVORITA TRANSPORTES LTDA"/>
    <n v="422.34"/>
    <d v="2025-05-26T00:00:00"/>
  </r>
  <r>
    <n v="253953774"/>
    <n v="64729427"/>
    <s v="REB"/>
    <n v="9844545"/>
    <n v="173"/>
    <s v="PEÇAS - Defeito de fabric./Alta Amperage"/>
    <s v="FUNCIONAL"/>
    <x v="1"/>
    <n v="27808"/>
    <x v="110"/>
    <s v="SP"/>
    <n v="641"/>
    <s v="CDP Diamante"/>
    <n v="1350"/>
    <s v="W10769941"/>
    <s v="Compressores Herméticos"/>
    <x v="0"/>
    <n v="1000"/>
    <n v="5004042"/>
    <s v="BRASIL WEB TRANSPORTES E LOGISTICA"/>
    <n v="422.26"/>
    <d v="2025-03-14T00:00:00"/>
  </r>
  <r>
    <n v="254033423"/>
    <n v="64807194"/>
    <s v="REB"/>
    <n v="10051060"/>
    <n v="173"/>
    <s v="PEÇAS - Defeito de fabric./Alta Amperage"/>
    <s v="FUNCIONAL"/>
    <x v="2"/>
    <n v="61371"/>
    <x v="96"/>
    <s v="DF"/>
    <n v="933"/>
    <s v="Top"/>
    <n v="1350"/>
    <s v="W11300675"/>
    <s v="Mecanismos"/>
    <x v="2"/>
    <n v="4000"/>
    <n v="5002858"/>
    <s v="FAVORITA TRANSPORTES LTDA"/>
    <n v="422.08"/>
    <d v="2025-07-08T00:00:00"/>
  </r>
  <r>
    <n v="254027695"/>
    <n v="64807248"/>
    <s v="ZRDI"/>
    <n v="10093701"/>
    <n v="208"/>
    <s v="DEV-Atraso entrega- LOGISTICA(Transp)"/>
    <s v="TRANSPORTADORA"/>
    <x v="2"/>
    <n v="51010360"/>
    <x v="316"/>
    <s v="SC"/>
    <n v="466"/>
    <s v="Sup ML Marketplace"/>
    <n v="1352"/>
    <s v="W10510889"/>
    <s v="Filtros"/>
    <x v="5"/>
    <n v="2000"/>
    <n v="5002359"/>
    <s v="EMPRESA BRASILEIRA DE CORREIOS E"/>
    <n v="420.9"/>
    <d v="2025-07-08T00:00:00"/>
  </r>
  <r>
    <n v="254004004"/>
    <n v="64777767"/>
    <s v="REB"/>
    <n v="9768632"/>
    <n v="178"/>
    <s v="PEÇAS -Defeito de fabric./Sem Compressão"/>
    <s v="FUNCIONAL"/>
    <x v="2"/>
    <n v="50867"/>
    <x v="259"/>
    <s v="ES"/>
    <n v="644"/>
    <s v="Plus"/>
    <n v="1350"/>
    <s v="W11677210"/>
    <s v="Compressores Herméticos"/>
    <x v="0"/>
    <n v="1000"/>
    <n v="5004042"/>
    <s v="BRASIL WEB TRANSPORTES E LOGISTICA"/>
    <n v="420.65"/>
    <d v="2025-05-26T00:00:00"/>
  </r>
  <r>
    <n v="253961336"/>
    <n v="64738262"/>
    <s v="REB"/>
    <n v="9650807"/>
    <n v="173"/>
    <s v="PEÇAS - Defeito de fabric./Alta Amperage"/>
    <s v="FUNCIONAL"/>
    <x v="1"/>
    <n v="42048"/>
    <x v="11"/>
    <s v="MT"/>
    <n v="644"/>
    <s v="Plus"/>
    <n v="1350"/>
    <s v="W11254865"/>
    <s v="Mecanismos"/>
    <x v="2"/>
    <n v="3000"/>
    <n v="5002573"/>
    <s v="CARVALIMA TRANSPORTES LTDA"/>
    <n v="420.3"/>
    <d v="2025-03-26T00:00:00"/>
  </r>
  <r>
    <n v="254042285"/>
    <n v="64796204"/>
    <s v="REB"/>
    <n v="10007787"/>
    <n v="173"/>
    <s v="PEÇAS - Defeito de fabric./Alta Amperage"/>
    <s v="FUNCIONAL"/>
    <x v="0"/>
    <n v="70555"/>
    <x v="150"/>
    <s v="SC"/>
    <n v="648"/>
    <s v="Ultra"/>
    <n v="1350"/>
    <s v="W10899324"/>
    <s v="Placas de Controle"/>
    <x v="1"/>
    <n v="2000"/>
    <n v="5003024"/>
    <s v="RODOBRAS TRANSPORTES RODOVIARIOS LT"/>
    <n v="420.16"/>
    <d v="2025-06-23T00:00:00"/>
  </r>
  <r>
    <n v="253988932"/>
    <n v="64764032"/>
    <s v="REB"/>
    <n v="9214103"/>
    <n v="173"/>
    <s v="PEÇAS - Defeito de fabric./Alta Amperage"/>
    <s v="FUNCIONAL"/>
    <x v="1"/>
    <n v="81075"/>
    <x v="223"/>
    <s v="BA"/>
    <n v="934"/>
    <s v="CDP Ouro"/>
    <n v="1350"/>
    <s v="W10441742"/>
    <s v="Compressores Herméticos"/>
    <x v="0"/>
    <n v="1000"/>
    <n v="5004101"/>
    <s v="UNIDOCK'S ASSESSORIA E LOGISTICA DE"/>
    <n v="420"/>
    <d v="2025-05-05T00:00:00"/>
  </r>
  <r>
    <n v="254033446"/>
    <n v="64807222"/>
    <s v="REB"/>
    <n v="9727174"/>
    <n v="178"/>
    <s v="PEÇAS -Defeito de fabric./Sem Compressão"/>
    <s v="FUNCIONAL"/>
    <x v="1"/>
    <n v="72785"/>
    <x v="177"/>
    <s v="SP"/>
    <n v="641"/>
    <s v="CDP Diamante"/>
    <n v="1350"/>
    <s v="W10769941"/>
    <s v="Compressores Herméticos"/>
    <x v="0"/>
    <n v="1000"/>
    <n v="5004042"/>
    <s v="BRASIL WEB TRANSPORTES E LOGISTICA"/>
    <n v="419.89"/>
    <d v="2025-07-08T00:00:00"/>
  </r>
  <r>
    <n v="254033339"/>
    <n v="64799443"/>
    <s v="REB"/>
    <n v="9771432"/>
    <n v="173"/>
    <s v="PEÇAS - Defeito de fabric./Alta Amperage"/>
    <s v="FUNCIONAL"/>
    <x v="0"/>
    <n v="27808"/>
    <x v="110"/>
    <s v="SP"/>
    <n v="641"/>
    <s v="CDP Diamante"/>
    <n v="1350"/>
    <s v="W10769941"/>
    <s v="Compressores Herméticos"/>
    <x v="0"/>
    <n v="1000"/>
    <n v="5004042"/>
    <s v="BRASIL WEB TRANSPORTES E LOGISTICA"/>
    <n v="419.89"/>
    <d v="2025-07-08T00:00:00"/>
  </r>
  <r>
    <n v="254041816"/>
    <n v="64795909"/>
    <s v="REB"/>
    <n v="10079711"/>
    <n v="90"/>
    <s v="CLIENTE-não solicitou"/>
    <s v="COMERCIAL"/>
    <x v="0"/>
    <n v="42455"/>
    <x v="81"/>
    <s v="SP"/>
    <n v="931"/>
    <s v="Ats Off"/>
    <n v="1350"/>
    <s v="W11342952"/>
    <s v="Gaxetas"/>
    <x v="4"/>
    <n v="1000"/>
    <n v="5004042"/>
    <s v="BRASIL WEB TRANSPORTES E LOGISTICA"/>
    <n v="419.74"/>
    <d v="2025-06-23T00:00:00"/>
  </r>
  <r>
    <n v="254012493"/>
    <n v="64789161"/>
    <s v="REB"/>
    <n v="9908404"/>
    <n v="173"/>
    <s v="PEÇAS - Defeito de fabric./Alta Amperage"/>
    <s v="FUNCIONAL"/>
    <x v="2"/>
    <n v="27808"/>
    <x v="110"/>
    <s v="SP"/>
    <n v="641"/>
    <s v="CDP Diamante"/>
    <n v="1350"/>
    <s v="W11516471"/>
    <s v="Compressores Herméticos"/>
    <x v="0"/>
    <n v="1000"/>
    <n v="5004042"/>
    <s v="BRASIL WEB TRANSPORTES E LOGISTICA"/>
    <n v="419.66"/>
    <d v="2025-06-10T00:00:00"/>
  </r>
  <r>
    <n v="254033339"/>
    <n v="64800636"/>
    <s v="REB"/>
    <n v="9908404"/>
    <n v="173"/>
    <s v="PEÇAS - Defeito de fabric./Alta Amperage"/>
    <s v="FUNCIONAL"/>
    <x v="0"/>
    <n v="27808"/>
    <x v="110"/>
    <s v="SP"/>
    <n v="641"/>
    <s v="CDP Diamante"/>
    <n v="1350"/>
    <s v="W11516471"/>
    <s v="Compressores Herméticos"/>
    <x v="0"/>
    <n v="1000"/>
    <n v="5004042"/>
    <s v="BRASIL WEB TRANSPORTES E LOGISTICA"/>
    <n v="419.66"/>
    <d v="2025-07-01T00:00:00"/>
  </r>
  <r>
    <s v="Sem TR"/>
    <n v="64792355"/>
    <s v="REB"/>
    <n v="10052753"/>
    <n v="509"/>
    <s v="Qtd de peças a Menor dentro do Volume"/>
    <s v="LOGÍSTICA"/>
    <x v="1"/>
    <n v="24289"/>
    <x v="17"/>
    <s v="MG"/>
    <n v="643"/>
    <s v="Elite"/>
    <n v="1350"/>
    <s v="W10460618"/>
    <s v="Tampas Móveis"/>
    <x v="6"/>
    <n v="4000"/>
    <n v="5002359"/>
    <s v="EMPRESA BRASILEIRA DE CORREIOS E"/>
    <n v="419.37"/>
    <d v="2025-06-16T00:00:00"/>
  </r>
  <r>
    <n v="254003943"/>
    <n v="64778392"/>
    <s v="REB"/>
    <n v="9860049"/>
    <n v="178"/>
    <s v="PEÇAS -Defeito de fabric./Sem Compressão"/>
    <s v="FUNCIONAL"/>
    <x v="2"/>
    <n v="30416"/>
    <x v="136"/>
    <s v="AM"/>
    <n v="648"/>
    <s v="Ultra"/>
    <n v="1350"/>
    <s v="W10393822"/>
    <s v="Compressores Herméticos"/>
    <x v="0"/>
    <n v="1000"/>
    <n v="5002858"/>
    <s v="FAVORITA TRANSPORTES LTDA"/>
    <n v="419.23"/>
    <d v="2025-05-26T00:00:00"/>
  </r>
  <r>
    <n v="253918649"/>
    <n v="64691660"/>
    <s v="REB"/>
    <n v="9500302"/>
    <n v="671"/>
    <s v="DEV-ENVIADO PARA GESTÃO DE CONSEQUENCIA"/>
    <s v="TRANSPORTADORA"/>
    <x v="1"/>
    <n v="82182"/>
    <x v="317"/>
    <s v="RS"/>
    <n v="932"/>
    <s v="CDP Prata"/>
    <n v="1350"/>
    <n v="326002674"/>
    <s v="Mangueiras"/>
    <x v="5"/>
    <n v="20000"/>
    <n v="5003024"/>
    <s v="RODOBRAS TRANSPORTES RODOVIARIOS LT"/>
    <n v="418.99"/>
    <d v="2025-01-15T00:00:00"/>
  </r>
  <r>
    <s v="Sem TR"/>
    <n v="64807185"/>
    <s v="ZRDI"/>
    <n v="10067758"/>
    <s v="D31"/>
    <s v="DEV D2C - Defeito estético manufatura"/>
    <s v="MANUFATURA"/>
    <x v="2"/>
    <n v="58062693"/>
    <x v="318"/>
    <s v="MG"/>
    <n v="474"/>
    <s v="Site Brastemp"/>
    <n v="1352"/>
    <s v="W10588999"/>
    <s v="Mesas Cocção"/>
    <x v="6"/>
    <n v="1000"/>
    <n v="5002359"/>
    <s v="EMPRESA BRASILEIRA DE CORREIOS E"/>
    <n v="418.79"/>
    <d v="2025-07-10T00:00:00"/>
  </r>
  <r>
    <s v="Sem TR"/>
    <n v="64807185"/>
    <s v="ZRDI"/>
    <n v="10067758"/>
    <s v="D31"/>
    <s v="DEV D2C - Defeito estético manufatura"/>
    <s v="MANUFATURA"/>
    <x v="2"/>
    <n v="58062693"/>
    <x v="318"/>
    <s v="MG"/>
    <n v="474"/>
    <s v="Site Brastemp"/>
    <n v="1352"/>
    <s v="W10588999"/>
    <s v="Mesas Cocção"/>
    <x v="6"/>
    <n v="1000"/>
    <n v="5002359"/>
    <s v="EMPRESA BRASILEIRA DE CORREIOS E"/>
    <n v="418.79"/>
    <d v="2025-07-10T00:00:00"/>
  </r>
  <r>
    <n v="254007521"/>
    <n v="64777697"/>
    <s v="REB"/>
    <n v="9951060"/>
    <n v="173"/>
    <s v="PEÇAS - Defeito de fabric./Alta Amperage"/>
    <s v="FUNCIONAL"/>
    <x v="2"/>
    <n v="9599"/>
    <x v="121"/>
    <s v="SP"/>
    <n v="931"/>
    <s v="Ats Off"/>
    <n v="1350"/>
    <s v="W11516525"/>
    <s v="Compressores Herméticos"/>
    <x v="0"/>
    <n v="1000"/>
    <n v="5004042"/>
    <s v="BRASIL WEB TRANSPORTES E LOGISTICA"/>
    <n v="418.66"/>
    <d v="2025-06-02T00:00:00"/>
  </r>
  <r>
    <n v="254042959"/>
    <n v="64802427"/>
    <s v="REB"/>
    <n v="49238"/>
    <n v="176"/>
    <s v="PEÇAS - Defeito de fabric./Interrompido"/>
    <s v="FUNCIONAL"/>
    <x v="0"/>
    <n v="33403"/>
    <x v="260"/>
    <s v="RN"/>
    <n v="648"/>
    <s v="Ultra"/>
    <n v="1550"/>
    <s v="W10799397"/>
    <s v="Compressores Herméticos"/>
    <x v="0"/>
    <n v="1000"/>
    <n v="5004391"/>
    <s v="JEONCEL TRANSPORTES LTDA"/>
    <n v="418.3"/>
    <d v="2025-07-01T00:00:00"/>
  </r>
  <r>
    <n v="254042958"/>
    <n v="64802472"/>
    <s v="REB"/>
    <n v="49238"/>
    <n v="173"/>
    <s v="PEÇAS - Defeito de fabric./Alta Amperage"/>
    <s v="FUNCIONAL"/>
    <x v="0"/>
    <n v="33403"/>
    <x v="260"/>
    <s v="RN"/>
    <n v="648"/>
    <s v="Ultra"/>
    <n v="1550"/>
    <s v="W10799397"/>
    <s v="Compressores Herméticos"/>
    <x v="0"/>
    <n v="1000"/>
    <n v="5004391"/>
    <s v="JEONCEL TRANSPORTES LTDA"/>
    <n v="418.3"/>
    <d v="2025-07-01T00:00:00"/>
  </r>
  <r>
    <n v="254035387"/>
    <n v="64812340"/>
    <s v="REB"/>
    <n v="9412977"/>
    <n v="178"/>
    <s v="PEÇAS -Defeito de fabric./Sem Compressão"/>
    <s v="FUNCIONAL"/>
    <x v="1"/>
    <n v="50867"/>
    <x v="259"/>
    <s v="ES"/>
    <n v="644"/>
    <s v="Plus"/>
    <n v="1350"/>
    <s v="W10375479"/>
    <s v="Compressores Herméticos"/>
    <x v="0"/>
    <n v="1000"/>
    <n v="5004042"/>
    <s v="BRASIL WEB TRANSPORTES E LOGISTICA"/>
    <n v="418.16"/>
    <d v="2025-07-17T00:00:00"/>
  </r>
  <r>
    <n v="253952273"/>
    <n v="64728313"/>
    <s v="REB"/>
    <n v="9744341"/>
    <n v="173"/>
    <s v="PEÇAS - Defeito de fabric./Alta Amperage"/>
    <s v="FUNCIONAL"/>
    <x v="1"/>
    <n v="31587"/>
    <x v="135"/>
    <s v="SP"/>
    <n v="643"/>
    <s v="Elite"/>
    <n v="1350"/>
    <s v="W11485341"/>
    <s v="Placas de Controle"/>
    <x v="1"/>
    <n v="1000"/>
    <n v="5004042"/>
    <s v="BRASIL WEB TRANSPORTES E LOGISTICA"/>
    <n v="418.05"/>
    <d v="2025-03-10T00:00:00"/>
  </r>
  <r>
    <n v="253879282"/>
    <n v="64642531"/>
    <s v="REB"/>
    <n v="8974574"/>
    <n v="671"/>
    <s v="DEV-ENVIADO PARA GESTÃO DE CONSEQUENCIA"/>
    <s v="TRANSPORTADORA"/>
    <x v="1"/>
    <n v="54802"/>
    <x v="319"/>
    <s v="RS"/>
    <n v="648"/>
    <s v="Ultra"/>
    <n v="1350"/>
    <s v="W11375485"/>
    <s v="Compressores Herméticos"/>
    <x v="0"/>
    <n v="1000"/>
    <n v="5003024"/>
    <s v="RODOBRAS TRANSPORTES RODOVIARIOS LT"/>
    <n v="417.94"/>
    <d v="2024-11-12T00:00:00"/>
  </r>
  <r>
    <n v="254003876"/>
    <n v="64773477"/>
    <s v="REB"/>
    <n v="10035028"/>
    <n v="173"/>
    <s v="PEÇAS - Defeito de fabric./Alta Amperage"/>
    <s v="FUNCIONAL"/>
    <x v="1"/>
    <n v="17539"/>
    <x v="320"/>
    <s v="SP"/>
    <n v="350"/>
    <s v="Ats On"/>
    <n v="1350"/>
    <s v="W11516471"/>
    <s v="Compressores Herméticos"/>
    <x v="0"/>
    <n v="1000"/>
    <n v="5004042"/>
    <s v="BRASIL WEB TRANSPORTES E LOGISTICA"/>
    <n v="417.9"/>
    <d v="2025-05-26T00:00:00"/>
  </r>
  <r>
    <n v="254042337"/>
    <n v="64792106"/>
    <s v="REB"/>
    <n v="10079509"/>
    <n v="104"/>
    <s v="PEÇAS-Código trocado(embalag X conteúdo)"/>
    <s v="LOGÍSTICA"/>
    <x v="0"/>
    <n v="2666"/>
    <x v="219"/>
    <s v="RJ"/>
    <n v="931"/>
    <s v="Ats Off"/>
    <n v="1350"/>
    <s v="W11342952"/>
    <s v="Gaxetas"/>
    <x v="4"/>
    <n v="1000"/>
    <n v="5003176"/>
    <s v="J C THEDIN TRANSPORTES LTDA"/>
    <n v="417.89"/>
    <d v="2025-06-17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1051514"/>
    <s v="Placas de Controle"/>
    <x v="1"/>
    <n v="1000"/>
    <n v="5002359"/>
    <s v="EMPRESA BRASILEIRA DE CORREIOS E"/>
    <n v="416.74"/>
    <d v="2025-05-20T00:00:00"/>
  </r>
  <r>
    <n v="254042207"/>
    <n v="64795943"/>
    <s v="REB"/>
    <n v="9936354"/>
    <n v="173"/>
    <s v="PEÇAS - Defeito de fabric./Alta Amperage"/>
    <s v="FUNCIONAL"/>
    <x v="0"/>
    <n v="30121"/>
    <x v="23"/>
    <s v="SP"/>
    <n v="648"/>
    <s v="Ultra"/>
    <n v="1350"/>
    <s v="W11161216"/>
    <s v="Placas de Controle"/>
    <x v="1"/>
    <n v="1000"/>
    <n v="5004042"/>
    <s v="BRASIL WEB TRANSPORTES E LOGISTICA"/>
    <n v="415.98"/>
    <d v="2025-06-23T00:00:00"/>
  </r>
  <r>
    <n v="253995539"/>
    <n v="64773527"/>
    <s v="ROB"/>
    <n v="10038717"/>
    <n v="115"/>
    <s v="PEÇAS-Recusa do cliente"/>
    <s v="COMERCIAL"/>
    <x v="1"/>
    <n v="13747"/>
    <x v="14"/>
    <s v="RS"/>
    <n v="713"/>
    <s v="Key Account"/>
    <n v="1350"/>
    <s v="W10855670"/>
    <s v="Placas de Controle"/>
    <x v="1"/>
    <n v="2000"/>
    <n v="5003024"/>
    <s v="RODOBRAS TRANSPORTES RODOVIARIOS LT"/>
    <n v="415.93"/>
    <d v="2025-05-19T00:00:00"/>
  </r>
  <r>
    <n v="254042144"/>
    <n v="64795676"/>
    <s v="REB"/>
    <n v="9718753"/>
    <n v="178"/>
    <s v="PEÇAS -Defeito de fabric./Sem Compressão"/>
    <s v="FUNCIONAL"/>
    <x v="0"/>
    <n v="78757"/>
    <x v="50"/>
    <s v="RS"/>
    <n v="643"/>
    <s v="Elite"/>
    <n v="1350"/>
    <s v="W10441742"/>
    <s v="Compressores Herméticos"/>
    <x v="0"/>
    <n v="1000"/>
    <n v="5003024"/>
    <s v="RODOBRAS TRANSPORTES RODOVIARIOS LT"/>
    <n v="415.39"/>
    <d v="2025-06-23T00:00:00"/>
  </r>
  <r>
    <n v="253995081"/>
    <n v="64756947"/>
    <s v="REB"/>
    <n v="8514749"/>
    <n v="178"/>
    <s v="PEÇAS -Defeito de fabric./Sem Compressão"/>
    <s v="FUNCIONAL"/>
    <x v="1"/>
    <n v="18949"/>
    <x v="264"/>
    <s v="SP"/>
    <n v="933"/>
    <s v="Top"/>
    <n v="1350"/>
    <s v="W10575086"/>
    <s v="Compressores Herméticos"/>
    <x v="0"/>
    <n v="1000"/>
    <n v="5004042"/>
    <s v="BRASIL WEB TRANSPORTES E LOGISTICA"/>
    <n v="415.17"/>
    <d v="2025-05-16T00:00:00"/>
  </r>
  <r>
    <n v="254012439"/>
    <n v="64780566"/>
    <s v="REB"/>
    <n v="10067537"/>
    <n v="176"/>
    <s v="PEÇAS - Defeito de fabric./Interrompido"/>
    <s v="FUNCIONAL"/>
    <x v="1"/>
    <n v="3506"/>
    <x v="46"/>
    <s v="SP"/>
    <n v="931"/>
    <s v="Ats Off"/>
    <n v="1350"/>
    <s v="W11344924"/>
    <s v="Painéis de Controle"/>
    <x v="6"/>
    <n v="1000"/>
    <n v="5004042"/>
    <s v="BRASIL WEB TRANSPORTES E LOGISTICA"/>
    <n v="414.73"/>
    <d v="2025-06-10T00:00:00"/>
  </r>
  <r>
    <n v="253952147"/>
    <n v="64722672"/>
    <s v="REB"/>
    <n v="9881858"/>
    <n v="178"/>
    <s v="PEÇAS -Defeito de fabric./Sem Compressão"/>
    <s v="FUNCIONAL"/>
    <x v="2"/>
    <n v="3652"/>
    <x v="51"/>
    <s v="SP"/>
    <n v="350"/>
    <s v="Ats On"/>
    <n v="1350"/>
    <s v="W11516523"/>
    <s v="Compressores Herméticos"/>
    <x v="0"/>
    <n v="1000"/>
    <n v="5004042"/>
    <s v="BRASIL WEB TRANSPORTES E LOGISTICA"/>
    <n v="414.49"/>
    <d v="2025-03-10T00:00:00"/>
  </r>
  <r>
    <n v="253891653"/>
    <n v="64658981"/>
    <s v="REB"/>
    <n v="9435103"/>
    <n v="178"/>
    <s v="PEÇAS -Defeito de fabric./Sem Compressão"/>
    <s v="FUNCIONAL"/>
    <x v="1"/>
    <n v="55093"/>
    <x v="231"/>
    <s v="SP"/>
    <n v="648"/>
    <s v="Ultra"/>
    <n v="1350"/>
    <s v="W10769941"/>
    <s v="Compressores Herméticos"/>
    <x v="0"/>
    <n v="1000"/>
    <n v="5003254"/>
    <s v="TMA TRANSPORTE LOTACAO E LOGISTICA"/>
    <n v="413.94"/>
    <d v="2024-12-05T00:00:00"/>
  </r>
  <r>
    <s v="Sem TR"/>
    <n v="64794988"/>
    <s v="REB"/>
    <n v="10078705"/>
    <n v="509"/>
    <s v="Qtd de peças a Menor dentro do Volume"/>
    <s v="LOGÍSTICA"/>
    <x v="1"/>
    <n v="53891"/>
    <x v="321"/>
    <s v="BA"/>
    <n v="934"/>
    <s v="CDP Ouro"/>
    <n v="1350"/>
    <s v="W10531315"/>
    <s v="Sensores"/>
    <x v="3"/>
    <n v="50000"/>
    <n v="5002359"/>
    <s v="EMPRESA BRASILEIRA DE CORREIOS E"/>
    <n v="413.75"/>
    <d v="2025-06-23T00:00:00"/>
  </r>
  <r>
    <n v="254036532"/>
    <n v="64814364"/>
    <s v="ZRDI"/>
    <n v="10091721"/>
    <n v="208"/>
    <s v="DEV-Atraso entrega- LOGISTICA(Transp)"/>
    <s v="TRANSPORTADORA"/>
    <x v="2"/>
    <n v="53617758"/>
    <x v="322"/>
    <s v="CE"/>
    <n v="475"/>
    <s v="Site Consul"/>
    <n v="1352"/>
    <s v="W10805272"/>
    <s v="Mesas Cocção"/>
    <x v="6"/>
    <n v="1000"/>
    <n v="5002359"/>
    <s v="EMPRESA BRASILEIRA DE CORREIOS E"/>
    <n v="413.73"/>
    <d v="2025-07-22T00:00:00"/>
  </r>
  <r>
    <s v="Sem TR"/>
    <n v="64808167"/>
    <s v="ZRDI"/>
    <n v="10118587"/>
    <s v="D10"/>
    <s v="DEV D2C - Comprou modelo errado"/>
    <s v="COMERCIAL"/>
    <x v="2"/>
    <n v="52998264"/>
    <x v="323"/>
    <s v="CE"/>
    <n v="474"/>
    <s v="Site Brastemp"/>
    <n v="1352"/>
    <s v="W11619317"/>
    <s v="Placas de Controle"/>
    <x v="1"/>
    <n v="1000"/>
    <n v="5002359"/>
    <s v="EMPRESA BRASILEIRA DE CORREIOS E"/>
    <n v="412.84"/>
    <d v="2025-07-18T00:00:00"/>
  </r>
  <r>
    <s v="Sem TR"/>
    <n v="64808167"/>
    <s v="ZRDI"/>
    <n v="10118587"/>
    <s v="D10"/>
    <s v="DEV D2C - Comprou modelo errado"/>
    <s v="COMERCIAL"/>
    <x v="2"/>
    <n v="52998264"/>
    <x v="323"/>
    <s v="CE"/>
    <n v="474"/>
    <s v="Site Brastemp"/>
    <n v="1352"/>
    <s v="W11619317"/>
    <s v="Placas de Controle"/>
    <x v="1"/>
    <n v="1000"/>
    <n v="5002359"/>
    <s v="EMPRESA BRASILEIRA DE CORREIOS E"/>
    <n v="412.84"/>
    <d v="2025-07-18T00:00:00"/>
  </r>
  <r>
    <n v="253988124"/>
    <n v="64763813"/>
    <s v="REB"/>
    <n v="9400450"/>
    <n v="178"/>
    <s v="PEÇAS -Defeito de fabric./Sem Compressão"/>
    <s v="FUNCIONAL"/>
    <x v="1"/>
    <n v="30121"/>
    <x v="23"/>
    <s v="SP"/>
    <n v="648"/>
    <s v="Ultra"/>
    <n v="1350"/>
    <s v="W11375485"/>
    <s v="Compressores Herméticos"/>
    <x v="0"/>
    <n v="1000"/>
    <n v="5004042"/>
    <s v="BRASIL WEB TRANSPORTES E LOGISTICA"/>
    <n v="412.72"/>
    <d v="2025-05-08T00:00:00"/>
  </r>
  <r>
    <s v="Sem TR"/>
    <n v="64817659"/>
    <s v="REB"/>
    <n v="10134986"/>
    <n v="178"/>
    <s v="PEÇAS -Defeito de fabric./Sem Compressão"/>
    <s v="FUNCIONAL"/>
    <x v="1"/>
    <n v="70149"/>
    <x v="147"/>
    <s v="SP"/>
    <n v="963"/>
    <s v="Ats Distribuidoras"/>
    <n v="1350"/>
    <s v="W11129355"/>
    <s v="Compressores Herméticos"/>
    <x v="0"/>
    <n v="1000"/>
    <n v="5004042"/>
    <s v="BRASIL WEB TRANSPORTES E LOGISTICA"/>
    <n v="412.71"/>
    <d v="2025-07-25T00:00:00"/>
  </r>
  <r>
    <n v="253983938"/>
    <n v="64759461"/>
    <s v="REB"/>
    <n v="9802780"/>
    <n v="178"/>
    <s v="PEÇAS -Defeito de fabric./Sem Compressão"/>
    <s v="FUNCIONAL"/>
    <x v="1"/>
    <n v="55093"/>
    <x v="231"/>
    <s v="SP"/>
    <n v="648"/>
    <s v="Ultra"/>
    <n v="1350"/>
    <s v="W10441742"/>
    <s v="Compressores Herméticos"/>
    <x v="0"/>
    <n v="1000"/>
    <n v="5004042"/>
    <s v="BRASIL WEB TRANSPORTES E LOGISTICA"/>
    <n v="412.66"/>
    <d v="2025-04-28T00:00:00"/>
  </r>
  <r>
    <n v="254034408"/>
    <n v="64813035"/>
    <s v="ROB"/>
    <n v="10113493"/>
    <n v="208"/>
    <s v="DEV-Atraso entrega- LOGISTICA(Transp)"/>
    <s v="TRANSPORTADORA"/>
    <x v="0"/>
    <n v="3625"/>
    <x v="324"/>
    <s v="SP"/>
    <n v="350"/>
    <s v="Ats On"/>
    <n v="1350"/>
    <s v="W11516471"/>
    <s v="Compressores Herméticos"/>
    <x v="0"/>
    <n v="1000"/>
    <n v="5004101"/>
    <s v="UNIDOCK'S ASSESSORIA E LOGISTICA DE"/>
    <n v="412.58"/>
    <d v="2025-07-18T00:00:00"/>
  </r>
  <r>
    <n v="253952509"/>
    <n v="64723401"/>
    <s v="REB"/>
    <n v="9385628"/>
    <n v="176"/>
    <s v="PEÇAS - Defeito de fabric./Interrompido"/>
    <s v="FUNCIONAL"/>
    <x v="2"/>
    <n v="77425"/>
    <x v="98"/>
    <s v="PE"/>
    <n v="643"/>
    <s v="Elite"/>
    <n v="1350"/>
    <s v="W11458016"/>
    <s v="Placas de Controle"/>
    <x v="1"/>
    <n v="2000"/>
    <n v="5004101"/>
    <s v="UNIDOCK'S ASSESSORIA E LOGISTICA DE"/>
    <n v="412.11"/>
    <d v="2025-03-08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1245250"/>
    <s v="Válvulas de Água"/>
    <x v="5"/>
    <n v="8000"/>
    <n v="5004101"/>
    <s v="UNIDOCK'S ASSESSORIA E LOGISTICA DE"/>
    <n v="411.36"/>
    <d v="2025-03-13T00:00:00"/>
  </r>
  <r>
    <n v="253988905"/>
    <n v="64763711"/>
    <s v="REB"/>
    <n v="9995348"/>
    <n v="168"/>
    <s v="PEÇAS-Def.Fabric.Empenamento/Abaulamento"/>
    <s v="FUNCIONAL"/>
    <x v="1"/>
    <n v="69085"/>
    <x v="178"/>
    <s v="SP"/>
    <n v="641"/>
    <s v="CDP Diamante"/>
    <n v="1350"/>
    <s v="W11433177"/>
    <s v="Acessórios"/>
    <x v="7"/>
    <n v="1000"/>
    <n v="5004042"/>
    <s v="BRASIL WEB TRANSPORTES E LOGISTICA"/>
    <n v="410.57"/>
    <d v="2025-05-05T00:00:00"/>
  </r>
  <r>
    <n v="254007297"/>
    <n v="64783265"/>
    <s v="REB"/>
    <n v="9779744"/>
    <n v="177"/>
    <s v="PEÇAS - Defeito de fabric./Ruído"/>
    <s v="FUNCIONAL"/>
    <x v="1"/>
    <n v="1255"/>
    <x v="254"/>
    <s v="CE"/>
    <n v="931"/>
    <s v="Ats Off"/>
    <n v="1350"/>
    <s v="W11677211"/>
    <s v="Compressores Herméticos"/>
    <x v="0"/>
    <n v="1000"/>
    <n v="5004101"/>
    <s v="UNIDOCK'S ASSESSORIA E LOGISTICA DE"/>
    <n v="410.49"/>
    <d v="2025-06-02T00:00:00"/>
  </r>
  <r>
    <n v="254012434"/>
    <n v="64785983"/>
    <s v="REB"/>
    <n v="9862342"/>
    <n v="177"/>
    <s v="PEÇAS - Defeito de fabric./Ruído"/>
    <s v="FUNCIONAL"/>
    <x v="1"/>
    <n v="1255"/>
    <x v="254"/>
    <s v="CE"/>
    <n v="931"/>
    <s v="Ats Off"/>
    <n v="1350"/>
    <s v="W11677211"/>
    <s v="Compressores Herméticos"/>
    <x v="0"/>
    <n v="1000"/>
    <n v="5004101"/>
    <s v="UNIDOCK'S ASSESSORIA E LOGISTICA DE"/>
    <n v="410.49"/>
    <d v="2025-06-10T00:00:00"/>
  </r>
  <r>
    <s v="Sem TR"/>
    <n v="64812247"/>
    <s v="REB"/>
    <n v="9031133"/>
    <n v="176"/>
    <s v="PEÇAS - Defeito de fabric./Interrompido"/>
    <s v="FUNCIONAL"/>
    <x v="1"/>
    <n v="54802"/>
    <x v="319"/>
    <s v="RS"/>
    <n v="648"/>
    <s v="Ultra"/>
    <n v="1350"/>
    <s v="W10393847"/>
    <s v="Compressores Herméticos"/>
    <x v="0"/>
    <n v="1000"/>
    <n v="5003024"/>
    <s v="RODOBRAS TRANSPORTES RODOVIARIOS LT"/>
    <n v="409.72"/>
    <d v="2025-07-17T00:00:00"/>
  </r>
  <r>
    <n v="254004074"/>
    <n v="64777161"/>
    <s v="REB"/>
    <n v="9994989"/>
    <n v="176"/>
    <s v="PEÇAS - Defeito de fabric./Interrompido"/>
    <s v="FUNCIONAL"/>
    <x v="1"/>
    <n v="83572"/>
    <x v="105"/>
    <s v="SP"/>
    <n v="931"/>
    <s v="Ats Off"/>
    <n v="1350"/>
    <s v="W11435392"/>
    <s v="Placas de Controle"/>
    <x v="1"/>
    <n v="1000"/>
    <n v="5004042"/>
    <s v="BRASIL WEB TRANSPORTES E LOGISTICA"/>
    <n v="408.87"/>
    <d v="2025-05-26T00:00:00"/>
  </r>
  <r>
    <n v="254003949"/>
    <n v="64777725"/>
    <s v="REB"/>
    <n v="9959027"/>
    <n v="178"/>
    <s v="PEÇAS -Defeito de fabric./Sem Compressão"/>
    <s v="FUNCIONAL"/>
    <x v="1"/>
    <n v="31587"/>
    <x v="135"/>
    <s v="SP"/>
    <n v="643"/>
    <s v="Elite"/>
    <n v="1350"/>
    <s v="W10393802"/>
    <s v="Compressores Herméticos"/>
    <x v="0"/>
    <n v="1000"/>
    <n v="5004042"/>
    <s v="BRASIL WEB TRANSPORTES E LOGISTICA"/>
    <n v="408.77"/>
    <d v="2025-05-26T00:00:00"/>
  </r>
  <r>
    <s v="Sem TR"/>
    <n v="64817536"/>
    <s v="REB"/>
    <n v="9692194"/>
    <n v="178"/>
    <s v="PEÇAS -Defeito de fabric./Sem Compressão"/>
    <s v="FUNCIONAL"/>
    <x v="1"/>
    <n v="73602"/>
    <x v="200"/>
    <s v="MA"/>
    <n v="648"/>
    <s v="Ultra"/>
    <n v="1350"/>
    <s v="W11375485"/>
    <s v="Compressores Herméticos"/>
    <x v="0"/>
    <n v="1000"/>
    <n v="5004101"/>
    <s v="UNIDOCK'S ASSESSORIA E LOGISTICA DE"/>
    <n v="408.42"/>
    <d v="2025-07-25T00:00:00"/>
  </r>
  <r>
    <n v="254035423"/>
    <n v="64812611"/>
    <s v="REB"/>
    <n v="9692194"/>
    <n v="178"/>
    <s v="PEÇAS -Defeito de fabric./Sem Compressão"/>
    <s v="FUNCIONAL"/>
    <x v="0"/>
    <n v="73602"/>
    <x v="200"/>
    <s v="MA"/>
    <n v="648"/>
    <s v="Ultra"/>
    <n v="1350"/>
    <s v="W11375485"/>
    <s v="Compressores Herméticos"/>
    <x v="0"/>
    <n v="1000"/>
    <n v="5004101"/>
    <s v="UNIDOCK'S ASSESSORIA E LOGISTICA DE"/>
    <n v="408.42"/>
    <d v="2025-07-17T00:00:00"/>
  </r>
  <r>
    <n v="254035421"/>
    <n v="64812722"/>
    <s v="REB"/>
    <n v="9692194"/>
    <n v="178"/>
    <s v="PEÇAS -Defeito de fabric./Sem Compressão"/>
    <s v="FUNCIONAL"/>
    <x v="0"/>
    <n v="73602"/>
    <x v="200"/>
    <s v="MA"/>
    <n v="648"/>
    <s v="Ultra"/>
    <n v="1350"/>
    <s v="W11375485"/>
    <s v="Compressores Herméticos"/>
    <x v="0"/>
    <n v="1000"/>
    <n v="5004101"/>
    <s v="UNIDOCK'S ASSESSORIA E LOGISTICA DE"/>
    <n v="408.42"/>
    <d v="2025-07-17T00:00:00"/>
  </r>
  <r>
    <n v="254035422"/>
    <n v="64812723"/>
    <s v="REB"/>
    <n v="9692194"/>
    <n v="178"/>
    <s v="PEÇAS -Defeito de fabric./Sem Compressão"/>
    <s v="FUNCIONAL"/>
    <x v="0"/>
    <n v="73602"/>
    <x v="200"/>
    <s v="MA"/>
    <n v="648"/>
    <s v="Ultra"/>
    <n v="1350"/>
    <s v="W11375485"/>
    <s v="Compressores Herméticos"/>
    <x v="0"/>
    <n v="1000"/>
    <n v="5004101"/>
    <s v="UNIDOCK'S ASSESSORIA E LOGISTICA DE"/>
    <n v="408.42"/>
    <d v="2025-07-17T00:00:00"/>
  </r>
  <r>
    <n v="253907544"/>
    <n v="64676669"/>
    <s v="REB"/>
    <n v="9778691"/>
    <n v="671"/>
    <s v="DEV-ENVIADO PARA GESTÃO DE CONSEQUENCIA"/>
    <s v="TRANSPORTADORA"/>
    <x v="1"/>
    <n v="8192"/>
    <x v="118"/>
    <s v="PR"/>
    <n v="933"/>
    <s v="Top"/>
    <n v="1350"/>
    <s v="W11310109"/>
    <s v="Espargidores"/>
    <x v="2"/>
    <n v="10000"/>
    <n v="5003024"/>
    <s v="RODOBRAS TRANSPORTES RODOVIARIOS LT"/>
    <n v="407.99"/>
    <d v="2024-12-23T00:00:00"/>
  </r>
  <r>
    <n v="253952559"/>
    <n v="64729291"/>
    <s v="REB"/>
    <n v="9190338"/>
    <n v="178"/>
    <s v="PEÇAS -Defeito de fabric./Sem Compressão"/>
    <s v="FUNCIONAL"/>
    <x v="2"/>
    <n v="87383"/>
    <x v="77"/>
    <s v="RJ"/>
    <n v="933"/>
    <s v="Top"/>
    <n v="1350"/>
    <n v="326048367"/>
    <s v="Compressores Rotativos"/>
    <x v="0"/>
    <n v="1000"/>
    <n v="5003176"/>
    <s v="J C THEDIN TRANSPORTES LTDA"/>
    <n v="407.61"/>
    <d v="2025-03-10T00:00:00"/>
  </r>
  <r>
    <n v="254038268"/>
    <n v="64814648"/>
    <s v="REB"/>
    <n v="10146006"/>
    <n v="178"/>
    <s v="PEÇAS -Defeito de fabric./Sem Compressão"/>
    <s v="FUNCIONAL"/>
    <x v="1"/>
    <n v="3649"/>
    <x v="148"/>
    <s v="SP"/>
    <n v="350"/>
    <s v="Ats On"/>
    <n v="1350"/>
    <s v="W11516472"/>
    <s v="Compressores Herméticos"/>
    <x v="0"/>
    <n v="1000"/>
    <n v="5004042"/>
    <s v="BRASIL WEB TRANSPORTES E LOGISTICA"/>
    <n v="407.6"/>
    <d v="2025-07-22T00:00:00"/>
  </r>
  <r>
    <s v="Sem TR"/>
    <n v="64763467"/>
    <s v="ZDVP"/>
    <n v="9629973"/>
    <n v="178"/>
    <s v="PEÇAS -Defeito de fabric./Sem Compressão"/>
    <s v="FUNCIONAL"/>
    <x v="1"/>
    <n v="27991"/>
    <x v="120"/>
    <s v="SP"/>
    <n v="644"/>
    <s v="Plus"/>
    <n v="1350"/>
    <s v="W10769941"/>
    <s v="Compressores Herméticos"/>
    <x v="0"/>
    <n v="1000"/>
    <n v="5004042"/>
    <s v="BRASIL WEB TRANSPORTES E LOGISTICA"/>
    <n v="406.37"/>
    <d v="2025-05-05T00:00:00"/>
  </r>
  <r>
    <n v="253989856"/>
    <n v="64764995"/>
    <s v="ZDVP"/>
    <n v="9629973"/>
    <n v="178"/>
    <s v="PEÇAS -Defeito de fabric./Sem Compressão"/>
    <s v="FUNCIONAL"/>
    <x v="2"/>
    <n v="27991"/>
    <x v="120"/>
    <s v="SP"/>
    <n v="644"/>
    <s v="Plus"/>
    <n v="1350"/>
    <s v="W10769941"/>
    <s v="Compressores Herméticos"/>
    <x v="0"/>
    <n v="1000"/>
    <n v="5004042"/>
    <s v="BRASIL WEB TRANSPORTES E LOGISTICA"/>
    <n v="406.37"/>
    <d v="2025-05-07T00:00:00"/>
  </r>
  <r>
    <n v="253961316"/>
    <n v="64738026"/>
    <s v="REB"/>
    <n v="9314982"/>
    <n v="173"/>
    <s v="PEÇAS - Defeito de fabric./Alta Amperage"/>
    <s v="FUNCIONAL"/>
    <x v="1"/>
    <n v="30990"/>
    <x v="26"/>
    <s v="ES"/>
    <n v="713"/>
    <s v="Key Account"/>
    <n v="1350"/>
    <s v="W10899324"/>
    <s v="Placas de Controle"/>
    <x v="1"/>
    <n v="2000"/>
    <n v="5004042"/>
    <s v="BRASIL WEB TRANSPORTES E LOGISTICA"/>
    <n v="406.21"/>
    <d v="2025-03-26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1485343"/>
    <s v="Placas de Controle"/>
    <x v="1"/>
    <n v="1000"/>
    <n v="5004101"/>
    <s v="UNIDOCK'S ASSESSORIA E LOGISTICA DE"/>
    <n v="405.98"/>
    <d v="2025-01-27T00:00:00"/>
  </r>
  <r>
    <n v="253983848"/>
    <n v="64759658"/>
    <s v="REB"/>
    <n v="9943394"/>
    <n v="173"/>
    <s v="PEÇAS - Defeito de fabric./Alta Amperage"/>
    <s v="FUNCIONAL"/>
    <x v="2"/>
    <n v="9599"/>
    <x v="121"/>
    <s v="SP"/>
    <n v="931"/>
    <s v="Ats Off"/>
    <n v="1350"/>
    <s v="W11516471"/>
    <s v="Compressores Herméticos"/>
    <x v="0"/>
    <n v="1000"/>
    <n v="5004042"/>
    <s v="BRASIL WEB TRANSPORTES E LOGISTICA"/>
    <n v="405.54"/>
    <d v="2025-04-28T00:00:00"/>
  </r>
  <r>
    <n v="254007521"/>
    <n v="64780902"/>
    <s v="REB"/>
    <n v="9943394"/>
    <n v="173"/>
    <s v="PEÇAS - Defeito de fabric./Alta Amperage"/>
    <s v="FUNCIONAL"/>
    <x v="2"/>
    <n v="9599"/>
    <x v="121"/>
    <s v="SP"/>
    <n v="931"/>
    <s v="Ats Off"/>
    <n v="1350"/>
    <s v="W11516471"/>
    <s v="Compressores Herméticos"/>
    <x v="0"/>
    <n v="1000"/>
    <n v="5004042"/>
    <s v="BRASIL WEB TRANSPORTES E LOGISTICA"/>
    <n v="405.54"/>
    <d v="2025-06-02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311957"/>
    <s v="Válvulas de Água"/>
    <x v="5"/>
    <n v="8000"/>
    <n v="5004101"/>
    <s v="UNIDOCK'S ASSESSORIA E LOGISTICA DE"/>
    <n v="404.88"/>
    <d v="2025-03-13T00:00:00"/>
  </r>
  <r>
    <n v="254033361"/>
    <n v="64800147"/>
    <s v="REB"/>
    <n v="10010142"/>
    <n v="178"/>
    <s v="PEÇAS -Defeito de fabric./Sem Compressão"/>
    <s v="FUNCIONAL"/>
    <x v="1"/>
    <n v="29164"/>
    <x v="32"/>
    <s v="BA"/>
    <n v="648"/>
    <s v="Ultra"/>
    <n v="1350"/>
    <s v="W10393809"/>
    <s v="Compressores Herméticos"/>
    <x v="0"/>
    <n v="1000"/>
    <n v="5004101"/>
    <s v="UNIDOCK'S ASSESSORIA E LOGISTICA DE"/>
    <n v="404.67"/>
    <d v="2025-07-01T00:00:00"/>
  </r>
  <r>
    <s v="Sem TR"/>
    <n v="64812654"/>
    <s v="REB"/>
    <n v="9867230"/>
    <n v="178"/>
    <s v="PEÇAS -Defeito de fabric./Sem Compressão"/>
    <s v="FUNCIONAL"/>
    <x v="1"/>
    <n v="21621"/>
    <x v="325"/>
    <s v="SP"/>
    <n v="350"/>
    <s v="Ats On"/>
    <n v="1350"/>
    <s v="W11516523"/>
    <s v="Compressores Herméticos"/>
    <x v="0"/>
    <n v="1000"/>
    <n v="5004042"/>
    <s v="BRASIL WEB TRANSPORTES E LOGISTICA"/>
    <n v="404.53"/>
    <d v="2025-07-17T00:00:00"/>
  </r>
  <r>
    <n v="253953667"/>
    <n v="64731081"/>
    <s v="REB"/>
    <n v="9914698"/>
    <n v="176"/>
    <s v="PEÇAS - Defeito de fabric./Interrompido"/>
    <s v="FUNCIONAL"/>
    <x v="2"/>
    <n v="3618"/>
    <x v="154"/>
    <s v="SP"/>
    <n v="350"/>
    <s v="Ats On"/>
    <n v="1350"/>
    <s v="W10417020"/>
    <s v="Portas"/>
    <x v="6"/>
    <n v="1000"/>
    <n v="5004042"/>
    <s v="BRASIL WEB TRANSPORTES E LOGISTICA"/>
    <n v="404.35"/>
    <d v="2025-03-14T00:00:00"/>
  </r>
  <r>
    <n v="253963452"/>
    <n v="64736860"/>
    <s v="REB"/>
    <n v="9940883"/>
    <n v="176"/>
    <s v="PEÇAS - Defeito de fabric./Interrompido"/>
    <s v="FUNCIONAL"/>
    <x v="2"/>
    <n v="3618"/>
    <x v="154"/>
    <s v="SP"/>
    <n v="350"/>
    <s v="Ats On"/>
    <n v="1350"/>
    <s v="W10417020"/>
    <s v="Portas"/>
    <x v="6"/>
    <n v="1000"/>
    <n v="5004042"/>
    <s v="BRASIL WEB TRANSPORTES E LOGISTICA"/>
    <n v="404.35"/>
    <d v="2025-03-23T00:00:00"/>
  </r>
  <r>
    <s v="Sem TR"/>
    <n v="64691075"/>
    <s v="REB"/>
    <n v="9757192"/>
    <n v="671"/>
    <s v="DEV-ENVIADO PARA GESTÃO DE CONSEQUENCIA"/>
    <s v="TRANSPORTADORA"/>
    <x v="1"/>
    <n v="61876"/>
    <x v="212"/>
    <s v="SC"/>
    <n v="932"/>
    <s v="CDP Prata"/>
    <n v="1350"/>
    <s v="W10769940"/>
    <s v="Compressores Herméticos"/>
    <x v="0"/>
    <n v="1000"/>
    <n v="5003024"/>
    <s v="RODOBRAS TRANSPORTES RODOVIARIOS LT"/>
    <n v="404.22"/>
    <d v="2025-01-14T00:00:00"/>
  </r>
  <r>
    <n v="253995171"/>
    <n v="64771830"/>
    <s v="REB"/>
    <n v="9927841"/>
    <n v="173"/>
    <s v="PEÇAS - Defeito de fabric./Alta Amperage"/>
    <s v="FUNCIONAL"/>
    <x v="2"/>
    <n v="47470"/>
    <x v="6"/>
    <s v="SP"/>
    <n v="643"/>
    <s v="Elite"/>
    <n v="1350"/>
    <s v="W10555140"/>
    <s v="Resistências"/>
    <x v="1"/>
    <n v="7000"/>
    <n v="5004042"/>
    <s v="BRASIL WEB TRANSPORTES E LOGISTICA"/>
    <n v="403.72"/>
    <d v="2025-05-16T00:00:00"/>
  </r>
  <r>
    <n v="253900620"/>
    <n v="64666923"/>
    <s v="REB"/>
    <n v="9594894"/>
    <n v="173"/>
    <s v="PEÇAS - Defeito de fabric./Alta Amperage"/>
    <s v="FUNCIONAL"/>
    <x v="1"/>
    <n v="3236"/>
    <x v="45"/>
    <s v="SP"/>
    <n v="931"/>
    <s v="Ats Off"/>
    <n v="1350"/>
    <s v="W11516472"/>
    <s v="Compressores Herméticos"/>
    <x v="0"/>
    <n v="1000"/>
    <n v="5003254"/>
    <s v="TMA TRANSPORTE LOTACAO E LOGISTICA"/>
    <n v="403.28"/>
    <d v="2024-12-16T00:00:00"/>
  </r>
  <r>
    <n v="254012527"/>
    <n v="64789399"/>
    <s v="REB"/>
    <n v="10066194"/>
    <n v="104"/>
    <s v="PEÇAS-Código trocado(embalag X conteúdo)"/>
    <s v="LOGÍSTICA"/>
    <x v="2"/>
    <n v="44739"/>
    <x v="106"/>
    <s v="PR"/>
    <n v="350"/>
    <s v="Ats On"/>
    <n v="1350"/>
    <s v="W10417020"/>
    <s v="Portas"/>
    <x v="6"/>
    <n v="1000"/>
    <n v="5003024"/>
    <s v="RODOBRAS TRANSPORTES RODOVIARIOS LT"/>
    <n v="403.13"/>
    <d v="2025-06-10T00:00:00"/>
  </r>
  <r>
    <n v="254042051"/>
    <n v="64780478"/>
    <s v="REB"/>
    <n v="9998364"/>
    <n v="176"/>
    <s v="PEÇAS - Defeito de fabric./Interrompido"/>
    <s v="FUNCIONAL"/>
    <x v="0"/>
    <n v="44739"/>
    <x v="106"/>
    <s v="PR"/>
    <n v="350"/>
    <s v="Ats On"/>
    <n v="1350"/>
    <s v="W10417020"/>
    <s v="Portas"/>
    <x v="6"/>
    <n v="1000"/>
    <n v="5003024"/>
    <s v="RODOBRAS TRANSPORTES RODOVIARIOS LT"/>
    <n v="403.13"/>
    <d v="2025-05-29T00:00:00"/>
  </r>
  <r>
    <n v="253989815"/>
    <n v="64761323"/>
    <s v="REB"/>
    <n v="9853799"/>
    <n v="173"/>
    <s v="PEÇAS - Defeito de fabric./Alta Amperage"/>
    <s v="FUNCIONAL"/>
    <x v="2"/>
    <n v="30990"/>
    <x v="26"/>
    <s v="ES"/>
    <n v="713"/>
    <s v="Key Account"/>
    <n v="1350"/>
    <s v="W10619169"/>
    <s v="Placas de Controle"/>
    <x v="1"/>
    <n v="2000"/>
    <n v="5004042"/>
    <s v="BRASIL WEB TRANSPORTES E LOGISTICA"/>
    <n v="402.78"/>
    <d v="2025-05-07T00:00:00"/>
  </r>
  <r>
    <n v="254018175"/>
    <n v="64773438"/>
    <s v="REB"/>
    <n v="10001077"/>
    <n v="177"/>
    <s v="PEÇAS - Defeito de fabric./Ruído"/>
    <s v="FUNCIONAL"/>
    <x v="1"/>
    <n v="3467"/>
    <x v="115"/>
    <s v="SP"/>
    <n v="931"/>
    <s v="Ats Off"/>
    <n v="1350"/>
    <s v="W10882241"/>
    <s v="Agitadores"/>
    <x v="2"/>
    <n v="7000"/>
    <n v="5004042"/>
    <s v="BRASIL WEB TRANSPORTES E LOGISTICA"/>
    <n v="402.44"/>
    <d v="2025-06-16T00:00:00"/>
  </r>
  <r>
    <n v="253988791"/>
    <n v="64764109"/>
    <s v="REB"/>
    <n v="9979837"/>
    <n v="173"/>
    <s v="PEÇAS - Defeito de fabric./Alta Amperage"/>
    <s v="FUNCIONAL"/>
    <x v="2"/>
    <n v="3662"/>
    <x v="326"/>
    <s v="SP"/>
    <n v="350"/>
    <s v="Ats On"/>
    <n v="1350"/>
    <s v="W11516472"/>
    <s v="Compressores Herméticos"/>
    <x v="0"/>
    <n v="1000"/>
    <n v="5004042"/>
    <s v="BRASIL WEB TRANSPORTES E LOGISTICA"/>
    <n v="402.08"/>
    <d v="2025-05-05T00:00:00"/>
  </r>
  <r>
    <n v="254018187"/>
    <n v="64791936"/>
    <s v="REB"/>
    <n v="9964568"/>
    <n v="177"/>
    <s v="PEÇAS - Defeito de fabric./Ruído"/>
    <s v="FUNCIONAL"/>
    <x v="1"/>
    <n v="4318"/>
    <x v="89"/>
    <s v="SC"/>
    <n v="931"/>
    <s v="Ats Off"/>
    <n v="1350"/>
    <n v="326015418"/>
    <s v="Polias/Roldanas"/>
    <x v="2"/>
    <n v="15000"/>
    <n v="5003024"/>
    <s v="RODOBRAS TRANSPORTES RODOVIARIOS LT"/>
    <n v="401.85"/>
    <d v="2025-06-17T00:00:00"/>
  </r>
  <r>
    <n v="253970684"/>
    <n v="64748666"/>
    <s v="REB"/>
    <n v="9964466"/>
    <n v="178"/>
    <s v="PEÇAS -Defeito de fabric./Sem Compressão"/>
    <s v="FUNCIONAL"/>
    <x v="1"/>
    <n v="3389"/>
    <x v="327"/>
    <s v="SP"/>
    <n v="350"/>
    <s v="Ats On"/>
    <n v="1350"/>
    <s v="W11516472"/>
    <s v="Compressores Herméticos"/>
    <x v="0"/>
    <n v="1000"/>
    <n v="5004042"/>
    <s v="BRASIL WEB TRANSPORTES E LOGISTICA"/>
    <n v="401.49"/>
    <d v="2025-04-09T00:00:00"/>
  </r>
  <r>
    <n v="253970686"/>
    <n v="64748762"/>
    <s v="REB"/>
    <n v="9964466"/>
    <n v="178"/>
    <s v="PEÇAS -Defeito de fabric./Sem Compressão"/>
    <s v="FUNCIONAL"/>
    <x v="1"/>
    <n v="3389"/>
    <x v="327"/>
    <s v="SP"/>
    <n v="350"/>
    <s v="Ats On"/>
    <n v="1350"/>
    <s v="W11516472"/>
    <s v="Compressores Herméticos"/>
    <x v="0"/>
    <n v="1000"/>
    <n v="5004042"/>
    <s v="BRASIL WEB TRANSPORTES E LOGISTICA"/>
    <n v="401.49"/>
    <d v="2025-04-09T00:00:00"/>
  </r>
  <r>
    <n v="253891654"/>
    <n v="64660444"/>
    <s v="REB"/>
    <n v="9377903"/>
    <n v="178"/>
    <s v="PEÇAS -Defeito de fabric./Sem Compressão"/>
    <s v="FUNCIONAL"/>
    <x v="1"/>
    <n v="55093"/>
    <x v="231"/>
    <s v="SP"/>
    <n v="648"/>
    <s v="Ultra"/>
    <n v="1350"/>
    <s v="W10769940"/>
    <s v="Compressores Herméticos"/>
    <x v="0"/>
    <n v="1000"/>
    <n v="5003254"/>
    <s v="TMA TRANSPORTE LOTACAO E LOGISTICA"/>
    <n v="401.13"/>
    <d v="2024-12-05T00:00:00"/>
  </r>
  <r>
    <n v="253952366"/>
    <n v="64729090"/>
    <s v="REB"/>
    <n v="9377903"/>
    <n v="178"/>
    <s v="PEÇAS -Defeito de fabric./Sem Compressão"/>
    <s v="FUNCIONAL"/>
    <x v="2"/>
    <n v="55093"/>
    <x v="231"/>
    <s v="SP"/>
    <n v="648"/>
    <s v="Ultra"/>
    <n v="1350"/>
    <s v="W10769940"/>
    <s v="Compressores Herméticos"/>
    <x v="0"/>
    <n v="1000"/>
    <n v="5004042"/>
    <s v="BRASIL WEB TRANSPORTES E LOGISTICA"/>
    <n v="401.13"/>
    <d v="2025-03-10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257565"/>
    <s v="Fusíveis/Fusíveis térmicos"/>
    <x v="1"/>
    <n v="30000"/>
    <n v="5004042"/>
    <s v="BRASIL WEB TRANSPORTES E LOGISTICA"/>
    <n v="400.92"/>
    <d v="2025-07-08T00:00:00"/>
  </r>
  <r>
    <n v="253995239"/>
    <n v="64770488"/>
    <s v="REB"/>
    <n v="10022598"/>
    <n v="176"/>
    <s v="PEÇAS - Defeito de fabric./Interrompido"/>
    <s v="FUNCIONAL"/>
    <x v="1"/>
    <n v="83572"/>
    <x v="105"/>
    <s v="SP"/>
    <n v="931"/>
    <s v="Ats Off"/>
    <n v="1350"/>
    <s v="W11435390"/>
    <s v="Placas de Controle"/>
    <x v="1"/>
    <n v="1000"/>
    <n v="5004042"/>
    <s v="BRASIL WEB TRANSPORTES E LOGISTICA"/>
    <n v="400.89"/>
    <d v="2025-05-16T00:00:00"/>
  </r>
  <r>
    <n v="254018235"/>
    <n v="64792272"/>
    <s v="REB"/>
    <n v="10058904"/>
    <n v="90"/>
    <s v="CLIENTE-não solicitou"/>
    <s v="COMERCIAL"/>
    <x v="1"/>
    <n v="21621"/>
    <x v="325"/>
    <s v="SP"/>
    <n v="350"/>
    <s v="Ats On"/>
    <n v="1350"/>
    <n v="326071153"/>
    <s v="Filtros"/>
    <x v="5"/>
    <n v="1000"/>
    <n v="5004042"/>
    <s v="BRASIL WEB TRANSPORTES E LOGISTICA"/>
    <n v="400.87"/>
    <d v="2025-06-16T00:00:00"/>
  </r>
  <r>
    <s v="Sem TR"/>
    <n v="64731050"/>
    <s v="ROB"/>
    <n v="9901210"/>
    <n v="25"/>
    <s v="OC. 80 - EXTRAVIO TOTAL"/>
    <s v="TRANSPORTADORA"/>
    <x v="0"/>
    <n v="48500"/>
    <x v="22"/>
    <s v="MG"/>
    <n v="350"/>
    <s v="Ats On"/>
    <n v="1350"/>
    <s v="W10791633"/>
    <s v="Retentores"/>
    <x v="4"/>
    <n v="50000"/>
    <n v="5004101"/>
    <s v="UNIDOCK'S ASSESSORIA E LOGISTICA DE"/>
    <n v="400.81"/>
    <d v="2025-03-13T00:00:00"/>
  </r>
  <r>
    <n v="253879226"/>
    <n v="64642463"/>
    <s v="REB"/>
    <n v="9640320"/>
    <n v="176"/>
    <s v="PEÇAS - Defeito de fabric./Interrompido"/>
    <s v="FUNCIONAL"/>
    <x v="1"/>
    <n v="21594"/>
    <x v="97"/>
    <s v="SP"/>
    <n v="931"/>
    <s v="Ats Off"/>
    <n v="1350"/>
    <s v="W10672939"/>
    <s v="Placas de Controle"/>
    <x v="1"/>
    <n v="1000"/>
    <n v="5003254"/>
    <s v="TMA TRANSPORTE LOTACAO E LOGISTICA"/>
    <n v="400.55"/>
    <d v="2024-11-12T00:00:00"/>
  </r>
  <r>
    <n v="254012586"/>
    <n v="64781400"/>
    <s v="REB"/>
    <n v="9818563"/>
    <n v="178"/>
    <s v="PEÇAS -Defeito de fabric./Sem Compressão"/>
    <s v="FUNCIONAL"/>
    <x v="2"/>
    <n v="63620"/>
    <x v="328"/>
    <s v="MG"/>
    <n v="934"/>
    <s v="CDP Ouro"/>
    <n v="1350"/>
    <s v="W10769941"/>
    <s v="Compressores Herméticos"/>
    <x v="0"/>
    <n v="1000"/>
    <n v="5004215"/>
    <s v="BRASIL WEB TRANSPORTES E LOGISTICA"/>
    <n v="400.41"/>
    <d v="2025-06-10T00:00:00"/>
  </r>
  <r>
    <n v="254012585"/>
    <n v="64789509"/>
    <s v="REB"/>
    <n v="9818563"/>
    <n v="173"/>
    <s v="PEÇAS - Defeito de fabric./Alta Amperage"/>
    <s v="FUNCIONAL"/>
    <x v="2"/>
    <n v="63620"/>
    <x v="328"/>
    <s v="MG"/>
    <n v="934"/>
    <s v="CDP Ouro"/>
    <n v="1350"/>
    <s v="W10769941"/>
    <s v="Compressores Herméticos"/>
    <x v="0"/>
    <n v="1000"/>
    <n v="5004215"/>
    <s v="BRASIL WEB TRANSPORTES E LOGISTICA"/>
    <n v="400.41"/>
    <d v="2025-06-10T00:00:00"/>
  </r>
  <r>
    <n v="254018369"/>
    <n v="64778966"/>
    <s v="REB"/>
    <n v="10032109"/>
    <n v="104"/>
    <s v="PEÇAS-Código trocado(embalag X conteúdo)"/>
    <s v="LOGÍSTICA"/>
    <x v="2"/>
    <n v="72911"/>
    <x v="61"/>
    <s v="SP"/>
    <n v="931"/>
    <s v="Ats Off"/>
    <n v="1350"/>
    <s v="W11051514"/>
    <s v="Placas de Controle"/>
    <x v="1"/>
    <n v="1000"/>
    <n v="5004042"/>
    <s v="BRASIL WEB TRANSPORTES E LOGISTICA"/>
    <n v="399.65"/>
    <d v="2025-05-27T00:00:00"/>
  </r>
  <r>
    <n v="253952142"/>
    <n v="64728382"/>
    <s v="REB"/>
    <n v="9808386"/>
    <n v="176"/>
    <s v="PEÇAS - Defeito de fabric./Interrompido"/>
    <s v="FUNCIONAL"/>
    <x v="1"/>
    <n v="3524"/>
    <x v="93"/>
    <s v="SP"/>
    <n v="931"/>
    <s v="Ats Off"/>
    <n v="1350"/>
    <s v="W10769941"/>
    <s v="Compressores Herméticos"/>
    <x v="0"/>
    <n v="1000"/>
    <n v="5004042"/>
    <s v="BRASIL WEB TRANSPORTES E LOGISTICA"/>
    <n v="399.44"/>
    <d v="2025-03-10T00:00:00"/>
  </r>
  <r>
    <n v="254004074"/>
    <n v="64773123"/>
    <s v="REB"/>
    <n v="9927219"/>
    <n v="176"/>
    <s v="PEÇAS - Defeito de fabric./Interrompido"/>
    <s v="FUNCIONAL"/>
    <x v="1"/>
    <n v="83572"/>
    <x v="105"/>
    <s v="SP"/>
    <n v="931"/>
    <s v="Ats Off"/>
    <n v="1350"/>
    <s v="W11174304"/>
    <s v="Bombas"/>
    <x v="1"/>
    <n v="1000"/>
    <n v="5004042"/>
    <s v="BRASIL WEB TRANSPORTES E LOGISTICA"/>
    <n v="399.39"/>
    <d v="2025-05-26T00:00:00"/>
  </r>
  <r>
    <n v="254019189"/>
    <n v="64796799"/>
    <s v="ROB"/>
    <n v="10045892"/>
    <n v="268"/>
    <s v="DEV-APREENSÃO FISCAL - VENDAS"/>
    <s v="COMERCIAL"/>
    <x v="0"/>
    <n v="87213"/>
    <x v="201"/>
    <s v="CE"/>
    <n v="932"/>
    <s v="CDP Prata"/>
    <n v="1350"/>
    <s v="W11603414"/>
    <s v="Placas de Controle"/>
    <x v="1"/>
    <n v="2000"/>
    <n v="5004101"/>
    <s v="UNIDOCK'S ASSESSORIA E LOGISTICA DE"/>
    <n v="398.57"/>
    <d v="2025-06-24T00:00:00"/>
  </r>
  <r>
    <n v="253981398"/>
    <n v="64757814"/>
    <s v="REB"/>
    <n v="9737508"/>
    <n v="178"/>
    <s v="PEÇAS -Defeito de fabric./Sem Compressão"/>
    <s v="FUNCIONAL"/>
    <x v="1"/>
    <n v="19750"/>
    <x v="165"/>
    <s v="RR"/>
    <n v="648"/>
    <s v="Ultra"/>
    <n v="1350"/>
    <s v="W10393822"/>
    <s v="Compressores Herméticos"/>
    <x v="0"/>
    <n v="1000"/>
    <n v="5002858"/>
    <s v="FAVORITA TRANSPORTES LTDA"/>
    <n v="398.05"/>
    <d v="2025-04-25T00:00:00"/>
  </r>
  <r>
    <s v="Sem TR"/>
    <n v="64768429"/>
    <s v="ROB"/>
    <n v="50603"/>
    <n v="671"/>
    <s v="DEV-ENVIADO PARA GESTÃO DE CONSEQUENCIA"/>
    <s v="TRANSPORTADORA"/>
    <x v="2"/>
    <n v="79755"/>
    <x v="329"/>
    <s v="BA"/>
    <n v="934"/>
    <s v="CDP Ouro"/>
    <n v="1550"/>
    <s v="W11523064"/>
    <s v="Placas de Controle"/>
    <x v="1"/>
    <n v="2000"/>
    <n v="5004391"/>
    <s v="JEONCEL TRANSPORTES LTDA"/>
    <n v="397.92"/>
    <d v="2025-05-12T00:00:00"/>
  </r>
  <r>
    <n v="253952289"/>
    <n v="64725191"/>
    <s v="REB"/>
    <n v="9431431"/>
    <n v="178"/>
    <s v="PEÇAS -Defeito de fabric./Sem Compressão"/>
    <s v="FUNCIONAL"/>
    <x v="1"/>
    <n v="32455"/>
    <x v="92"/>
    <s v="SP"/>
    <n v="643"/>
    <s v="Elite"/>
    <n v="1350"/>
    <s v="W10769940"/>
    <s v="Compressores Herméticos"/>
    <x v="0"/>
    <n v="1000"/>
    <n v="5004042"/>
    <s v="BRASIL WEB TRANSPORTES E LOGISTICA"/>
    <n v="397.6"/>
    <d v="2025-03-10T00:00:00"/>
  </r>
  <r>
    <n v="254003907"/>
    <n v="64773257"/>
    <s v="REB"/>
    <n v="9459644"/>
    <n v="173"/>
    <s v="PEÇAS - Defeito de fabric./Alta Amperage"/>
    <s v="FUNCIONAL"/>
    <x v="1"/>
    <n v="27770"/>
    <x v="37"/>
    <s v="AL"/>
    <n v="641"/>
    <s v="CDP Diamante"/>
    <n v="1350"/>
    <n v="326061171"/>
    <s v="Placas de Controle"/>
    <x v="1"/>
    <n v="2000"/>
    <n v="5004101"/>
    <s v="UNIDOCK'S ASSESSORIA E LOGISTICA DE"/>
    <n v="397.08"/>
    <d v="2025-05-26T00:00:00"/>
  </r>
  <r>
    <n v="254012458"/>
    <n v="64788633"/>
    <s v="REB"/>
    <n v="10045793"/>
    <n v="167"/>
    <s v="PEÇAS - Avaria - Quebrada/Depósito"/>
    <s v="LOGÍSTICA"/>
    <x v="1"/>
    <n v="9248"/>
    <x v="62"/>
    <s v="MT"/>
    <n v="932"/>
    <s v="CDP Prata"/>
    <n v="1350"/>
    <n v="326039088"/>
    <s v="Gabinetes"/>
    <x v="6"/>
    <n v="1000"/>
    <n v="5002573"/>
    <s v="CARVALIMA TRANSPORTES LTDA"/>
    <n v="396.89"/>
    <d v="2025-06-10T00:00:00"/>
  </r>
  <r>
    <n v="254018388"/>
    <n v="64761981"/>
    <s v="REB"/>
    <n v="10058257"/>
    <n v="178"/>
    <s v="PEÇAS -Defeito de fabric./Sem Compressão"/>
    <s v="FUNCIONAL"/>
    <x v="2"/>
    <n v="83572"/>
    <x v="105"/>
    <s v="SP"/>
    <n v="931"/>
    <s v="Ats Off"/>
    <n v="1350"/>
    <s v="W11516472"/>
    <s v="Compressores Herméticos"/>
    <x v="0"/>
    <n v="1000"/>
    <n v="5004042"/>
    <s v="BRASIL WEB TRANSPORTES E LOGISTICA"/>
    <n v="396.68"/>
    <d v="2025-06-04T00:00:00"/>
  </r>
  <r>
    <n v="254003848"/>
    <n v="64778180"/>
    <s v="REB"/>
    <n v="10027640"/>
    <n v="176"/>
    <s v="PEÇAS - Defeito de fabric./Interrompido"/>
    <s v="FUNCIONAL"/>
    <x v="2"/>
    <n v="3506"/>
    <x v="46"/>
    <s v="SP"/>
    <n v="931"/>
    <s v="Ats Off"/>
    <n v="1350"/>
    <s v="W11516472"/>
    <s v="Compressores Herméticos"/>
    <x v="0"/>
    <n v="1000"/>
    <n v="5004042"/>
    <s v="BRASIL WEB TRANSPORTES E LOGISTICA"/>
    <n v="396.68"/>
    <d v="2025-05-26T00:00:00"/>
  </r>
  <r>
    <n v="253913119"/>
    <n v="64684574"/>
    <s v="REB"/>
    <n v="9592153"/>
    <n v="173"/>
    <s v="PEÇAS - Defeito de fabric./Alta Amperage"/>
    <s v="FUNCIONAL"/>
    <x v="1"/>
    <n v="30345"/>
    <x v="330"/>
    <s v="SP"/>
    <n v="644"/>
    <s v="Plus"/>
    <n v="1350"/>
    <s v="W11299803"/>
    <s v="Mecanismos"/>
    <x v="2"/>
    <n v="4000"/>
    <n v="5003482"/>
    <s v="TMA TRANSPORTE LOTACAO E LOGISTICA"/>
    <n v="396.4"/>
    <d v="2025-01-06T00:00:00"/>
  </r>
  <r>
    <s v="Sem TR"/>
    <n v="64806372"/>
    <s v="REB"/>
    <n v="9934428"/>
    <n v="176"/>
    <s v="PEÇAS - Defeito de fabric./Interrompido"/>
    <s v="FUNCIONAL"/>
    <x v="1"/>
    <n v="81988"/>
    <x v="38"/>
    <s v="MG"/>
    <n v="648"/>
    <s v="Ultra"/>
    <n v="1350"/>
    <n v="326065129"/>
    <s v="Resistências"/>
    <x v="1"/>
    <n v="5000"/>
    <n v="5004215"/>
    <s v="BRASIL WEB TRANSPORTES E LOGISTICA"/>
    <n v="396.36"/>
    <d v="2025-07-22T00:00:00"/>
  </r>
  <r>
    <n v="254018347"/>
    <n v="64792977"/>
    <s v="REB"/>
    <n v="9855376"/>
    <n v="178"/>
    <s v="PEÇAS -Defeito de fabric./Sem Compressão"/>
    <s v="FUNCIONAL"/>
    <x v="1"/>
    <n v="67141"/>
    <x v="214"/>
    <s v="SP"/>
    <n v="648"/>
    <s v="Ultra"/>
    <n v="1350"/>
    <s v="W10769941"/>
    <s v="Compressores Herméticos"/>
    <x v="0"/>
    <n v="1000"/>
    <n v="5004042"/>
    <s v="BRASIL WEB TRANSPORTES E LOGISTICA"/>
    <n v="396.05"/>
    <d v="2025-06-17T00:00:00"/>
  </r>
  <r>
    <n v="253970911"/>
    <n v="64748676"/>
    <s v="REB"/>
    <n v="9855376"/>
    <n v="173"/>
    <s v="PEÇAS - Defeito de fabric./Alta Amperage"/>
    <s v="FUNCIONAL"/>
    <x v="2"/>
    <n v="67141"/>
    <x v="214"/>
    <s v="SP"/>
    <n v="648"/>
    <s v="Ultra"/>
    <n v="1350"/>
    <s v="W10769941"/>
    <s v="Compressores Herméticos"/>
    <x v="0"/>
    <n v="1000"/>
    <n v="5004042"/>
    <s v="BRASIL WEB TRANSPORTES E LOGISTICA"/>
    <n v="396.05"/>
    <d v="2025-04-09T00:00:00"/>
  </r>
  <r>
    <n v="254042150"/>
    <n v="64795567"/>
    <s v="REB"/>
    <n v="10068509"/>
    <n v="176"/>
    <s v="PEÇAS - Defeito de fabric./Interrompido"/>
    <s v="FUNCIONAL"/>
    <x v="0"/>
    <n v="3389"/>
    <x v="327"/>
    <s v="SP"/>
    <n v="350"/>
    <s v="Ats On"/>
    <n v="1350"/>
    <s v="W11435392"/>
    <s v="Placas de Controle"/>
    <x v="1"/>
    <n v="1000"/>
    <n v="5004042"/>
    <s v="BRASIL WEB TRANSPORTES E LOGISTICA"/>
    <n v="395.93"/>
    <d v="2025-06-23T00:00:00"/>
  </r>
  <r>
    <n v="254042012"/>
    <n v="64795586"/>
    <s v="REB"/>
    <n v="10086308"/>
    <n v="176"/>
    <s v="PEÇAS - Defeito de fabric./Interrompido"/>
    <s v="FUNCIONAL"/>
    <x v="0"/>
    <n v="3389"/>
    <x v="327"/>
    <s v="SP"/>
    <n v="350"/>
    <s v="Ats On"/>
    <n v="1350"/>
    <s v="W11435392"/>
    <s v="Placas de Controle"/>
    <x v="1"/>
    <n v="1000"/>
    <n v="5004042"/>
    <s v="BRASIL WEB TRANSPORTES E LOGISTICA"/>
    <n v="395.93"/>
    <d v="2025-06-23T00:00:00"/>
  </r>
  <r>
    <s v="Sem TR"/>
    <n v="64726426"/>
    <s v="REB"/>
    <n v="47228"/>
    <n v="173"/>
    <s v="PEÇAS - Defeito de fabric./Alta Amperage"/>
    <s v="FUNCIONAL"/>
    <x v="2"/>
    <n v="56592"/>
    <x v="233"/>
    <s v="SE"/>
    <n v="641"/>
    <s v="CDP Diamante"/>
    <n v="1550"/>
    <s v="W10769941"/>
    <s v="Compressores Herméticos"/>
    <x v="0"/>
    <n v="1000"/>
    <n v="5004391"/>
    <s v="JEONCEL TRANSPORTES LTDA"/>
    <n v="395.21"/>
    <d v="2025-03-10T00:00:00"/>
  </r>
  <r>
    <n v="253970854"/>
    <n v="64748513"/>
    <s v="REB"/>
    <n v="9956069"/>
    <n v="167"/>
    <s v="PEÇAS - Avaria - Quebrada/Depósito"/>
    <s v="LOGÍSTICA"/>
    <x v="1"/>
    <n v="56043"/>
    <x v="48"/>
    <s v="PR"/>
    <n v="963"/>
    <s v="Ats Distribuidoras"/>
    <n v="1350"/>
    <s v="W10287547"/>
    <s v="Gavetas"/>
    <x v="9"/>
    <n v="3000"/>
    <n v="5003024"/>
    <s v="RODOBRAS TRANSPORTES RODOVIARIOS LT"/>
    <n v="395.11"/>
    <d v="2025-04-09T00:00:00"/>
  </r>
  <r>
    <n v="253995182"/>
    <n v="64770849"/>
    <s v="REB"/>
    <n v="9412977"/>
    <n v="178"/>
    <s v="PEÇAS -Defeito de fabric./Sem Compressão"/>
    <s v="FUNCIONAL"/>
    <x v="2"/>
    <n v="50867"/>
    <x v="259"/>
    <s v="ES"/>
    <n v="644"/>
    <s v="Plus"/>
    <n v="1350"/>
    <s v="W11677210"/>
    <s v="Compressores Herméticos"/>
    <x v="0"/>
    <n v="1000"/>
    <n v="5004042"/>
    <s v="BRASIL WEB TRANSPORTES E LOGISTICA"/>
    <n v="395"/>
    <d v="2025-05-15T00:00:00"/>
  </r>
  <r>
    <n v="253886243"/>
    <n v="64655449"/>
    <s v="REB"/>
    <n v="9402992"/>
    <n v="173"/>
    <s v="PEÇAS - Defeito de fabric./Alta Amperage"/>
    <s v="FUNCIONAL"/>
    <x v="1"/>
    <n v="27808"/>
    <x v="110"/>
    <s v="SP"/>
    <n v="644"/>
    <s v="Plus"/>
    <n v="1350"/>
    <s v="W10769940"/>
    <s v="Compressores Herméticos"/>
    <x v="0"/>
    <n v="1000"/>
    <n v="5003254"/>
    <s v="TMA TRANSPORTE LOTACAO E LOGISTICA"/>
    <n v="394.4"/>
    <d v="2024-11-29T00:00:00"/>
  </r>
  <r>
    <n v="253961415"/>
    <n v="64731253"/>
    <s v="REB"/>
    <n v="9802265"/>
    <n v="177"/>
    <s v="PEÇAS - Defeito de fabric./Ruído"/>
    <s v="FUNCIONAL"/>
    <x v="1"/>
    <n v="80432"/>
    <x v="3"/>
    <s v="ES"/>
    <n v="713"/>
    <s v="Key Account"/>
    <n v="1350"/>
    <s v="W11300816"/>
    <s v="Mecanismos"/>
    <x v="2"/>
    <n v="4000"/>
    <n v="5004042"/>
    <s v="BRASIL WEB TRANSPORTES E LOGISTICA"/>
    <n v="394.24"/>
    <d v="2025-03-26T00:00:00"/>
  </r>
  <r>
    <n v="254003949"/>
    <n v="64778030"/>
    <s v="REB"/>
    <n v="9922602"/>
    <n v="178"/>
    <s v="PEÇAS -Defeito de fabric./Sem Compressão"/>
    <s v="FUNCIONAL"/>
    <x v="1"/>
    <n v="31587"/>
    <x v="135"/>
    <s v="SP"/>
    <n v="643"/>
    <s v="Elite"/>
    <n v="1350"/>
    <s v="W10393802"/>
    <s v="Compressores Herméticos"/>
    <x v="0"/>
    <n v="1000"/>
    <n v="5004042"/>
    <s v="BRASIL WEB TRANSPORTES E LOGISTICA"/>
    <n v="394.15"/>
    <d v="2025-05-26T00:00:00"/>
  </r>
  <r>
    <n v="254004073"/>
    <n v="64777940"/>
    <s v="REB"/>
    <n v="9408658"/>
    <n v="176"/>
    <s v="PEÇAS - Defeito de fabric./Interrompido"/>
    <s v="FUNCIONAL"/>
    <x v="1"/>
    <n v="81988"/>
    <x v="38"/>
    <s v="MG"/>
    <n v="648"/>
    <s v="Ultra"/>
    <n v="1350"/>
    <s v="W10769941"/>
    <s v="Compressores Herméticos"/>
    <x v="0"/>
    <n v="1000"/>
    <n v="5004215"/>
    <s v="BRASIL WEB TRANSPORTES E LOGISTICA"/>
    <n v="393.61"/>
    <d v="2025-05-26T00:00:00"/>
  </r>
  <r>
    <n v="254035365"/>
    <n v="64812725"/>
    <s v="REB"/>
    <n v="9624463"/>
    <n v="173"/>
    <s v="PEÇAS - Defeito de fabric./Alta Amperage"/>
    <s v="FUNCIONAL"/>
    <x v="1"/>
    <n v="28016"/>
    <x v="331"/>
    <s v="RJ"/>
    <n v="933"/>
    <s v="Top"/>
    <n v="1350"/>
    <s v="W10769941"/>
    <s v="Compressores Herméticos"/>
    <x v="0"/>
    <n v="1000"/>
    <n v="5003176"/>
    <s v="J C THEDIN TRANSPORTES LTDA"/>
    <n v="393.42"/>
    <d v="2025-07-17T00:00:00"/>
  </r>
  <r>
    <n v="254033376"/>
    <n v="64802839"/>
    <s v="REB"/>
    <n v="10018136"/>
    <n v="178"/>
    <s v="PEÇAS -Defeito de fabric./Sem Compressão"/>
    <s v="FUNCIONAL"/>
    <x v="1"/>
    <n v="30416"/>
    <x v="136"/>
    <s v="AM"/>
    <n v="648"/>
    <s v="Ultra"/>
    <n v="1350"/>
    <s v="W10393822"/>
    <s v="Compressores Herméticos"/>
    <x v="0"/>
    <n v="1000"/>
    <n v="5002858"/>
    <s v="FAVORITA TRANSPORTES LTDA"/>
    <n v="393.38"/>
    <d v="2025-07-01T00:00:00"/>
  </r>
  <r>
    <n v="254018204"/>
    <n v="64792420"/>
    <s v="REB"/>
    <n v="10044791"/>
    <n v="168"/>
    <s v="PEÇAS-Def.Fabric.Empenamento/Abaulamento"/>
    <s v="FUNCIONAL"/>
    <x v="1"/>
    <n v="5136"/>
    <x v="181"/>
    <s v="RS"/>
    <n v="350"/>
    <s v="Ats On"/>
    <n v="1350"/>
    <s v="W11300695"/>
    <s v="Mecanismos"/>
    <x v="2"/>
    <n v="2000"/>
    <n v="5003024"/>
    <s v="RODOBRAS TRANSPORTES RODOVIARIOS LT"/>
    <n v="393.38"/>
    <d v="2025-06-16T00:00:00"/>
  </r>
  <r>
    <n v="254033377"/>
    <n v="64802775"/>
    <s v="REB"/>
    <n v="10018136"/>
    <n v="178"/>
    <s v="PEÇAS -Defeito de fabric./Sem Compressão"/>
    <s v="FUNCIONAL"/>
    <x v="1"/>
    <n v="30416"/>
    <x v="136"/>
    <s v="AM"/>
    <n v="648"/>
    <s v="Ultra"/>
    <n v="1350"/>
    <s v="W10393822"/>
    <s v="Compressores Herméticos"/>
    <x v="0"/>
    <n v="1000"/>
    <n v="5002858"/>
    <s v="FAVORITA TRANSPORTES LTDA"/>
    <n v="393.38"/>
    <d v="2025-07-01T00:00:00"/>
  </r>
  <r>
    <n v="253907565"/>
    <n v="64676814"/>
    <s v="REB"/>
    <n v="9660446"/>
    <n v="671"/>
    <s v="DEV-ENVIADO PARA GESTÃO DE CONSEQUENCIA"/>
    <s v="TRANSPORTADORA"/>
    <x v="1"/>
    <n v="30684"/>
    <x v="332"/>
    <s v="RS"/>
    <n v="644"/>
    <s v="Plus"/>
    <n v="1350"/>
    <s v="W11340257"/>
    <s v="Placas de Interface"/>
    <x v="1"/>
    <n v="1000"/>
    <n v="5003024"/>
    <s v="RODOBRAS TRANSPORTES RODOVIARIOS LT"/>
    <n v="393.21"/>
    <d v="2024-12-23T00:00:00"/>
  </r>
  <r>
    <n v="253891654"/>
    <n v="64657785"/>
    <s v="REB"/>
    <n v="9251405"/>
    <n v="178"/>
    <s v="PEÇAS -Defeito de fabric./Sem Compressão"/>
    <s v="FUNCIONAL"/>
    <x v="1"/>
    <n v="55093"/>
    <x v="231"/>
    <s v="SP"/>
    <n v="648"/>
    <s v="Ultra"/>
    <n v="1350"/>
    <s v="W10769940"/>
    <s v="Compressores Herméticos"/>
    <x v="0"/>
    <n v="1000"/>
    <n v="5003254"/>
    <s v="TMA TRANSPORTE LOTACAO E LOGISTICA"/>
    <n v="393.15"/>
    <d v="2024-12-05T00:00:00"/>
  </r>
  <r>
    <n v="253952365"/>
    <n v="64728918"/>
    <s v="REB"/>
    <n v="9251405"/>
    <n v="178"/>
    <s v="PEÇAS -Defeito de fabric./Sem Compressão"/>
    <s v="FUNCIONAL"/>
    <x v="1"/>
    <n v="55093"/>
    <x v="231"/>
    <s v="SP"/>
    <n v="648"/>
    <s v="Ultra"/>
    <n v="1350"/>
    <s v="W10769940"/>
    <s v="Compressores Herméticos"/>
    <x v="0"/>
    <n v="1000"/>
    <n v="5004042"/>
    <s v="BRASIL WEB TRANSPORTES E LOGISTICA"/>
    <n v="393.15"/>
    <d v="2025-03-10T00:00:00"/>
  </r>
  <r>
    <n v="253952364"/>
    <n v="64729033"/>
    <s v="REB"/>
    <n v="9251405"/>
    <n v="178"/>
    <s v="PEÇAS -Defeito de fabric./Sem Compressão"/>
    <s v="FUNCIONAL"/>
    <x v="2"/>
    <n v="55093"/>
    <x v="231"/>
    <s v="SP"/>
    <n v="648"/>
    <s v="Ultra"/>
    <n v="1350"/>
    <s v="W10769940"/>
    <s v="Compressores Herméticos"/>
    <x v="0"/>
    <n v="1000"/>
    <n v="5004042"/>
    <s v="BRASIL WEB TRANSPORTES E LOGISTICA"/>
    <n v="393.15"/>
    <d v="2025-03-10T00:00:00"/>
  </r>
  <r>
    <n v="253981588"/>
    <n v="64757827"/>
    <s v="REB"/>
    <n v="9974666"/>
    <n v="167"/>
    <s v="PEÇAS - Avaria - Quebrada/Depósito"/>
    <s v="LOGÍSTICA"/>
    <x v="2"/>
    <n v="82179"/>
    <x v="191"/>
    <s v="MG"/>
    <n v="350"/>
    <s v="Ats On"/>
    <n v="1350"/>
    <s v="W11516472"/>
    <s v="Compressores Herméticos"/>
    <x v="0"/>
    <n v="1000"/>
    <n v="5004215"/>
    <s v="BRASIL WEB TRANSPORTES E LOGISTICA"/>
    <n v="393.13"/>
    <d v="2025-04-25T00:00:00"/>
  </r>
  <r>
    <n v="253931176"/>
    <n v="64703927"/>
    <s v="REB"/>
    <n v="9108146"/>
    <n v="178"/>
    <s v="PEÇAS -Defeito de fabric./Sem Compressão"/>
    <s v="FUNCIONAL"/>
    <x v="1"/>
    <n v="81459"/>
    <x v="221"/>
    <s v="SP"/>
    <n v="648"/>
    <s v="Ultra"/>
    <n v="1350"/>
    <s v="W10769941"/>
    <s v="Compressores Herméticos"/>
    <x v="0"/>
    <n v="1000"/>
    <n v="5003482"/>
    <s v="TMA TRANSPORTE LOTACAO E LOGISTICA"/>
    <n v="393.1"/>
    <d v="2025-01-31T00:00:00"/>
  </r>
  <r>
    <n v="253988822"/>
    <n v="64762140"/>
    <s v="REB"/>
    <n v="10003143"/>
    <n v="173"/>
    <s v="PEÇAS - Defeito de fabric./Alta Amperage"/>
    <s v="FUNCIONAL"/>
    <x v="1"/>
    <n v="21594"/>
    <x v="97"/>
    <s v="SP"/>
    <n v="931"/>
    <s v="Ats Off"/>
    <n v="1350"/>
    <s v="W10665444"/>
    <s v="Bombas"/>
    <x v="1"/>
    <n v="2000"/>
    <n v="5004042"/>
    <s v="BRASIL WEB TRANSPORTES E LOGISTICA"/>
    <n v="392.96"/>
    <d v="2025-05-05T00:00:00"/>
  </r>
  <r>
    <s v="Sem TR"/>
    <n v="64807857"/>
    <s v="ZRDI"/>
    <n v="10103369"/>
    <s v="D35"/>
    <s v="DEV D2C - Prod difere do comprado"/>
    <s v="COMERCIAL"/>
    <x v="2"/>
    <n v="58115954"/>
    <x v="333"/>
    <s v="SP"/>
    <n v="474"/>
    <s v="Site Brastemp"/>
    <n v="1352"/>
    <s v="W11387305"/>
    <s v="Gases Refrigerantes"/>
    <x v="0"/>
    <n v="2000"/>
    <n v="5002359"/>
    <s v="EMPRESA BRASILEIRA DE CORREIOS E"/>
    <n v="392.96"/>
    <d v="2025-07-10T00:00:00"/>
  </r>
  <r>
    <n v="254042070"/>
    <n v="64786367"/>
    <s v="REB"/>
    <n v="10067616"/>
    <n v="173"/>
    <s v="PEÇAS - Defeito de fabric./Alta Amperage"/>
    <s v="FUNCIONAL"/>
    <x v="0"/>
    <n v="21594"/>
    <x v="97"/>
    <s v="SP"/>
    <n v="931"/>
    <s v="Ats Off"/>
    <n v="1350"/>
    <s v="W10665444"/>
    <s v="Bombas"/>
    <x v="1"/>
    <n v="2000"/>
    <n v="5004042"/>
    <s v="BRASIL WEB TRANSPORTES E LOGISTICA"/>
    <n v="392.96"/>
    <d v="2025-06-23T00:00:00"/>
  </r>
  <r>
    <n v="253981398"/>
    <n v="64757778"/>
    <s v="REB"/>
    <n v="9805199"/>
    <n v="178"/>
    <s v="PEÇAS -Defeito de fabric./Sem Compressão"/>
    <s v="FUNCIONAL"/>
    <x v="2"/>
    <n v="19750"/>
    <x v="165"/>
    <s v="RR"/>
    <n v="648"/>
    <s v="Ultra"/>
    <n v="1350"/>
    <s v="W10393823"/>
    <s v="Compressores Herméticos"/>
    <x v="0"/>
    <n v="1000"/>
    <n v="5002858"/>
    <s v="FAVORITA TRANSPORTES LTDA"/>
    <n v="392.92"/>
    <d v="2025-04-25T00:00:00"/>
  </r>
  <r>
    <n v="253981398"/>
    <n v="64757778"/>
    <s v="REB"/>
    <n v="9805199"/>
    <n v="178"/>
    <s v="PEÇAS -Defeito de fabric./Sem Compressão"/>
    <s v="FUNCIONAL"/>
    <x v="2"/>
    <n v="19750"/>
    <x v="165"/>
    <s v="RR"/>
    <n v="648"/>
    <s v="Ultra"/>
    <n v="1350"/>
    <s v="W10393823"/>
    <s v="Compressores Herméticos"/>
    <x v="0"/>
    <n v="1000"/>
    <n v="5002858"/>
    <s v="FAVORITA TRANSPORTES LTDA"/>
    <n v="392.92"/>
    <d v="2025-04-25T00:00:00"/>
  </r>
  <r>
    <n v="253931119"/>
    <n v="64699521"/>
    <s v="REB"/>
    <n v="9726991"/>
    <n v="173"/>
    <s v="PEÇAS - Defeito de fabric./Alta Amperage"/>
    <s v="FUNCIONAL"/>
    <x v="2"/>
    <n v="47026"/>
    <x v="16"/>
    <s v="BA"/>
    <n v="643"/>
    <s v="Elite"/>
    <n v="1350"/>
    <s v="W11340256"/>
    <s v="Placas de Interface"/>
    <x v="1"/>
    <n v="1000"/>
    <n v="5004101"/>
    <s v="UNIDOCK'S ASSESSORIA E LOGISTICA DE"/>
    <n v="392.51"/>
    <d v="2025-01-31T00:00:00"/>
  </r>
  <r>
    <n v="254033301"/>
    <n v="64807332"/>
    <s v="REB"/>
    <n v="9976783"/>
    <n v="173"/>
    <s v="PEÇAS - Defeito de fabric./Alta Amperage"/>
    <s v="FUNCIONAL"/>
    <x v="1"/>
    <n v="21594"/>
    <x v="97"/>
    <s v="SP"/>
    <n v="931"/>
    <s v="Ats Off"/>
    <n v="1350"/>
    <s v="W10904720"/>
    <s v="Placas de Controle"/>
    <x v="1"/>
    <n v="1000"/>
    <n v="5004042"/>
    <s v="BRASIL WEB TRANSPORTES E LOGISTICA"/>
    <n v="392.3"/>
    <d v="2025-07-08T00:00:00"/>
  </r>
  <r>
    <n v="254033315"/>
    <n v="64807269"/>
    <s v="REB"/>
    <n v="10030520"/>
    <n v="178"/>
    <s v="PEÇAS -Defeito de fabric./Sem Compressão"/>
    <s v="FUNCIONAL"/>
    <x v="1"/>
    <n v="21621"/>
    <x v="325"/>
    <s v="SP"/>
    <n v="350"/>
    <s v="Ats On"/>
    <n v="1350"/>
    <s v="W11516472"/>
    <s v="Compressores Herméticos"/>
    <x v="0"/>
    <n v="1000"/>
    <n v="5004042"/>
    <s v="BRASIL WEB TRANSPORTES E LOGISTICA"/>
    <n v="391.84"/>
    <d v="2025-07-08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700346"/>
    <s v="Placas de Controle"/>
    <x v="1"/>
    <n v="3000"/>
    <n v="5004101"/>
    <s v="UNIDOCK'S ASSESSORIA E LOGISTICA DE"/>
    <n v="391.4"/>
    <d v="2025-07-29T00:00:00"/>
  </r>
  <r>
    <n v="253891654"/>
    <n v="64656035"/>
    <s v="REB"/>
    <n v="9261097"/>
    <n v="178"/>
    <s v="PEÇAS -Defeito de fabric./Sem Compressão"/>
    <s v="FUNCIONAL"/>
    <x v="1"/>
    <n v="55093"/>
    <x v="231"/>
    <s v="SP"/>
    <n v="648"/>
    <s v="Ultra"/>
    <n v="1350"/>
    <s v="W10769941"/>
    <s v="Compressores Herméticos"/>
    <x v="0"/>
    <n v="1000"/>
    <n v="5003254"/>
    <s v="TMA TRANSPORTE LOTACAO E LOGISTICA"/>
    <n v="390.99"/>
    <d v="2024-12-05T00:00:00"/>
  </r>
  <r>
    <n v="253918599"/>
    <n v="64691839"/>
    <s v="REB"/>
    <n v="9240303"/>
    <n v="178"/>
    <s v="PEÇAS -Defeito de fabric./Sem Compressão"/>
    <s v="FUNCIONAL"/>
    <x v="1"/>
    <n v="55093"/>
    <x v="231"/>
    <s v="SP"/>
    <n v="648"/>
    <s v="Ultra"/>
    <n v="1350"/>
    <s v="W10769941"/>
    <s v="Compressores Herméticos"/>
    <x v="0"/>
    <n v="1000"/>
    <n v="5003254"/>
    <s v="TMA TRANSPORTE LOTACAO E LOGISTICA"/>
    <n v="390.99"/>
    <d v="2025-01-15T00:00:00"/>
  </r>
  <r>
    <n v="253952366"/>
    <n v="64729089"/>
    <s v="REB"/>
    <n v="9261097"/>
    <n v="178"/>
    <s v="PEÇAS -Defeito de fabric./Sem Compressão"/>
    <s v="FUNCIONAL"/>
    <x v="2"/>
    <n v="55093"/>
    <x v="231"/>
    <s v="SP"/>
    <n v="648"/>
    <s v="Ultra"/>
    <n v="1350"/>
    <s v="W10769941"/>
    <s v="Compressores Herméticos"/>
    <x v="0"/>
    <n v="1000"/>
    <n v="5004042"/>
    <s v="BRASIL WEB TRANSPORTES E LOGISTICA"/>
    <n v="390.99"/>
    <d v="2025-03-10T00:00:00"/>
  </r>
  <r>
    <n v="253952365"/>
    <n v="64729091"/>
    <s v="REB"/>
    <n v="9261097"/>
    <n v="178"/>
    <s v="PEÇAS -Defeito de fabric./Sem Compressão"/>
    <s v="FUNCIONAL"/>
    <x v="2"/>
    <n v="55093"/>
    <x v="231"/>
    <s v="SP"/>
    <n v="648"/>
    <s v="Ultra"/>
    <n v="1350"/>
    <s v="W10769941"/>
    <s v="Compressores Herméticos"/>
    <x v="0"/>
    <n v="1000"/>
    <n v="5004042"/>
    <s v="BRASIL WEB TRANSPORTES E LOGISTICA"/>
    <n v="390.99"/>
    <d v="2025-03-10T00:00:00"/>
  </r>
  <r>
    <n v="254003927"/>
    <n v="64778059"/>
    <s v="REB"/>
    <n v="9981567"/>
    <n v="173"/>
    <s v="PEÇAS - Defeito de fabric./Alta Amperage"/>
    <s v="FUNCIONAL"/>
    <x v="1"/>
    <n v="28902"/>
    <x v="57"/>
    <s v="DF"/>
    <n v="648"/>
    <s v="Ultra"/>
    <n v="1350"/>
    <s v="W10518617"/>
    <s v="Atuadores"/>
    <x v="2"/>
    <n v="12000"/>
    <n v="5002858"/>
    <s v="FAVORITA TRANSPORTES LTDA"/>
    <n v="390.17"/>
    <d v="2025-05-26T00:00:00"/>
  </r>
  <r>
    <s v="Sem TR"/>
    <n v="64726548"/>
    <s v="REB"/>
    <n v="9879618"/>
    <n v="125"/>
    <s v="DEV-Extravio de produto (Transportadora)"/>
    <s v="TRANSPORTADORA"/>
    <x v="0"/>
    <n v="41851"/>
    <x v="238"/>
    <s v="CE"/>
    <n v="648"/>
    <s v="Ultra"/>
    <n v="1350"/>
    <s v="W10648213"/>
    <s v="Gaxetas"/>
    <x v="4"/>
    <n v="5000"/>
    <n v="5004101"/>
    <s v="UNIDOCK'S ASSESSORIA E LOGISTICA DE"/>
    <n v="390.05"/>
    <d v="2025-03-07T00:00:00"/>
  </r>
  <r>
    <s v="Sem TR"/>
    <n v="64802864"/>
    <s v="REB"/>
    <n v="10069785"/>
    <n v="176"/>
    <s v="PEÇAS - Defeito de fabric./Interrompido"/>
    <s v="FUNCIONAL"/>
    <x v="1"/>
    <n v="3524"/>
    <x v="93"/>
    <s v="SP"/>
    <n v="931"/>
    <s v="Ats Off"/>
    <n v="1350"/>
    <s v="W10417020"/>
    <s v="Portas"/>
    <x v="6"/>
    <n v="1000"/>
    <n v="5004042"/>
    <s v="BRASIL WEB TRANSPORTES E LOGISTICA"/>
    <n v="389.92"/>
    <d v="2025-07-01T00:00:00"/>
  </r>
  <r>
    <n v="253997897"/>
    <n v="64774103"/>
    <s v="REB"/>
    <n v="10034677"/>
    <n v="173"/>
    <s v="PEÇAS - Defeito de fabric./Alta Amperage"/>
    <s v="FUNCIONAL"/>
    <x v="2"/>
    <n v="3524"/>
    <x v="93"/>
    <s v="SP"/>
    <n v="931"/>
    <s v="Ats Off"/>
    <n v="1350"/>
    <s v="W10417020"/>
    <s v="Portas"/>
    <x v="6"/>
    <n v="1000"/>
    <n v="5004042"/>
    <s v="BRASIL WEB TRANSPORTES E LOGISTICA"/>
    <n v="389.92"/>
    <d v="2025-05-20T00:00:00"/>
  </r>
  <r>
    <s v="Sem TR"/>
    <n v="64727752"/>
    <s v="REB"/>
    <n v="41603"/>
    <n v="173"/>
    <s v="PEÇAS - Defeito de fabric./Alta Amperage"/>
    <s v="FUNCIONAL"/>
    <x v="2"/>
    <n v="66162"/>
    <x v="334"/>
    <s v="CE"/>
    <n v="350"/>
    <s v="Ats On"/>
    <n v="1550"/>
    <s v="W10393810"/>
    <s v="Compressores Herméticos"/>
    <x v="0"/>
    <n v="1000"/>
    <n v="5004391"/>
    <s v="JEONCEL TRANSPORTES LTDA"/>
    <n v="389.86"/>
    <d v="2025-03-08T00:00:00"/>
  </r>
  <r>
    <s v="Sem TR"/>
    <n v="64728346"/>
    <s v="REB"/>
    <n v="41603"/>
    <n v="173"/>
    <s v="PEÇAS - Defeito de fabric./Alta Amperage"/>
    <s v="FUNCIONAL"/>
    <x v="2"/>
    <n v="66162"/>
    <x v="334"/>
    <s v="CE"/>
    <n v="350"/>
    <s v="Ats On"/>
    <n v="1550"/>
    <s v="W10393810"/>
    <s v="Compressores Herméticos"/>
    <x v="0"/>
    <n v="1000"/>
    <n v="5004391"/>
    <s v="JEONCEL TRANSPORTES LTDA"/>
    <n v="389.86"/>
    <d v="2025-03-10T00:00:00"/>
  </r>
  <r>
    <n v="254004032"/>
    <n v="64778272"/>
    <s v="REB"/>
    <n v="9779878"/>
    <n v="178"/>
    <s v="PEÇAS -Defeito de fabric./Sem Compressão"/>
    <s v="FUNCIONAL"/>
    <x v="1"/>
    <n v="61868"/>
    <x v="290"/>
    <s v="MA"/>
    <n v="643"/>
    <s v="Elite"/>
    <n v="1350"/>
    <s v="W11677211"/>
    <s v="Compressores Herméticos"/>
    <x v="0"/>
    <n v="1000"/>
    <n v="5004101"/>
    <s v="UNIDOCK'S ASSESSORIA E LOGISTICA DE"/>
    <n v="389.81"/>
    <d v="2025-05-26T00:00:00"/>
  </r>
  <r>
    <n v="253948545"/>
    <n v="64726610"/>
    <s v="REB"/>
    <n v="9779878"/>
    <n v="178"/>
    <s v="PEÇAS -Defeito de fabric./Sem Compressão"/>
    <s v="FUNCIONAL"/>
    <x v="1"/>
    <n v="61868"/>
    <x v="290"/>
    <s v="MA"/>
    <n v="643"/>
    <s v="Elite"/>
    <n v="1350"/>
    <s v="W11677211"/>
    <s v="Compressores Herméticos"/>
    <x v="0"/>
    <n v="1000"/>
    <n v="5004101"/>
    <s v="UNIDOCK'S ASSESSORIA E LOGISTICA DE"/>
    <n v="389.81"/>
    <d v="2025-03-07T00:00:00"/>
  </r>
  <r>
    <n v="253988835"/>
    <n v="64763969"/>
    <s v="REB"/>
    <n v="9788292"/>
    <n v="173"/>
    <s v="PEÇAS - Defeito de fabric./Alta Amperage"/>
    <s v="FUNCIONAL"/>
    <x v="1"/>
    <n v="21647"/>
    <x v="39"/>
    <s v="PR"/>
    <n v="641"/>
    <s v="CDP Diamante"/>
    <n v="1350"/>
    <s v="W11082463"/>
    <s v="Termostatos"/>
    <x v="3"/>
    <n v="11000"/>
    <n v="5003024"/>
    <s v="RODOBRAS TRANSPORTES RODOVIARIOS LT"/>
    <n v="389.1"/>
    <d v="2025-05-05T00:00:00"/>
  </r>
  <r>
    <n v="254031268"/>
    <n v="64808520"/>
    <s v="ZRDI"/>
    <n v="10060209"/>
    <s v="D20"/>
    <s v="DEV D2C - Demora na entrega"/>
    <s v="COMERCIAL"/>
    <x v="2"/>
    <n v="58052554"/>
    <x v="335"/>
    <s v="RJ"/>
    <n v="474"/>
    <s v="Site Brastemp"/>
    <n v="1352"/>
    <s v="W11184789"/>
    <s v="Vidros"/>
    <x v="6"/>
    <n v="1000"/>
    <n v="5003972"/>
    <s v="ICARO EXPRESS LOGISTICA LTDA"/>
    <n v="389"/>
    <d v="2025-07-15T00:00:00"/>
  </r>
  <r>
    <n v="254018322"/>
    <n v="64793106"/>
    <s v="REB"/>
    <n v="9863944"/>
    <n v="177"/>
    <s v="PEÇAS - Defeito de fabric./Ruído"/>
    <s v="FUNCIONAL"/>
    <x v="1"/>
    <n v="53319"/>
    <x v="172"/>
    <s v="PR"/>
    <n v="644"/>
    <s v="Plus"/>
    <n v="1350"/>
    <s v="W10769941"/>
    <s v="Compressores Herméticos"/>
    <x v="0"/>
    <n v="1000"/>
    <n v="5003024"/>
    <s v="RODOBRAS TRANSPORTES RODOVIARIOS LT"/>
    <n v="388.94"/>
    <d v="2025-06-17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269365"/>
    <s v="Placas de Controle"/>
    <x v="1"/>
    <n v="2000"/>
    <n v="5004101"/>
    <s v="UNIDOCK'S ASSESSORIA E LOGISTICA DE"/>
    <n v="388.89"/>
    <d v="2025-06-24T00:00:00"/>
  </r>
  <r>
    <n v="254003991"/>
    <n v="64777794"/>
    <s v="REB"/>
    <n v="9894539"/>
    <n v="173"/>
    <s v="PEÇAS - Defeito de fabric./Alta Amperage"/>
    <s v="FUNCIONAL"/>
    <x v="2"/>
    <n v="49243"/>
    <x v="67"/>
    <s v="MS"/>
    <n v="643"/>
    <s v="Elite"/>
    <n v="1350"/>
    <s v="W10827972"/>
    <s v="Placas de Controle"/>
    <x v="1"/>
    <n v="1000"/>
    <n v="5002573"/>
    <s v="CARVALIMA TRANSPORTES LTDA"/>
    <n v="388.55"/>
    <d v="2025-05-26T00:00:00"/>
  </r>
  <r>
    <n v="253992743"/>
    <n v="64766982"/>
    <s v="REB"/>
    <n v="9909843"/>
    <n v="176"/>
    <s v="PEÇAS - Defeito de fabric./Interrompido"/>
    <s v="FUNCIONAL"/>
    <x v="1"/>
    <n v="42455"/>
    <x v="81"/>
    <s v="SP"/>
    <n v="931"/>
    <s v="Ats Off"/>
    <n v="1350"/>
    <s v="W10417020"/>
    <s v="Portas"/>
    <x v="6"/>
    <n v="1000"/>
    <n v="5004042"/>
    <s v="BRASIL WEB TRANSPORTES E LOGISTICA"/>
    <n v="388.5"/>
    <d v="2025-05-12T00:00:00"/>
  </r>
  <r>
    <n v="254041759"/>
    <n v="64794883"/>
    <s v="REB"/>
    <n v="10015317"/>
    <n v="168"/>
    <s v="PEÇAS-Def.Fabric.Empenamento/Abaulamento"/>
    <s v="FUNCIONAL"/>
    <x v="0"/>
    <n v="27359"/>
    <x v="64"/>
    <s v="RS"/>
    <n v="641"/>
    <s v="CDP Diamante"/>
    <n v="1350"/>
    <s v="W10882241"/>
    <s v="Agitadores"/>
    <x v="2"/>
    <n v="8000"/>
    <n v="5003024"/>
    <s v="RODOBRAS TRANSPORTES RODOVIARIOS LT"/>
    <n v="388"/>
    <d v="2025-06-24T00:00:00"/>
  </r>
  <r>
    <n v="254007594"/>
    <n v="64781516"/>
    <s v="REB"/>
    <n v="10048243"/>
    <n v="173"/>
    <s v="PEÇAS - Defeito de fabric./Alta Amperage"/>
    <s v="FUNCIONAL"/>
    <x v="1"/>
    <n v="56043"/>
    <x v="48"/>
    <s v="PR"/>
    <n v="963"/>
    <s v="Ats Distribuidoras"/>
    <n v="1350"/>
    <s v="W11299803"/>
    <s v="Mecanismos"/>
    <x v="2"/>
    <n v="4000"/>
    <n v="5003024"/>
    <s v="RODOBRAS TRANSPORTES RODOVIARIOS LT"/>
    <n v="387.52"/>
    <d v="2025-06-02T00:00:00"/>
  </r>
  <r>
    <n v="253970794"/>
    <n v="64748768"/>
    <s v="REB"/>
    <n v="9596658"/>
    <n v="671"/>
    <s v="DEV-ENVIADO PARA GESTÃO DE CONSEQUENCIA"/>
    <s v="TRANSPORTADORA"/>
    <x v="2"/>
    <n v="35473"/>
    <x v="336"/>
    <s v="PR"/>
    <n v="932"/>
    <s v="CDP Prata"/>
    <n v="1350"/>
    <s v="W10769941"/>
    <s v="Compressores Herméticos"/>
    <x v="0"/>
    <n v="1000"/>
    <n v="5003024"/>
    <s v="RODOBRAS TRANSPORTES RODOVIARIOS LT"/>
    <n v="387.23"/>
    <d v="2025-04-09T00:00:00"/>
  </r>
  <r>
    <n v="254042181"/>
    <n v="64795954"/>
    <s v="REB"/>
    <n v="10050847"/>
    <n v="178"/>
    <s v="PEÇAS -Defeito de fabric./Sem Compressão"/>
    <s v="FUNCIONAL"/>
    <x v="0"/>
    <n v="5136"/>
    <x v="181"/>
    <s v="RS"/>
    <n v="350"/>
    <s v="Ats On"/>
    <n v="1350"/>
    <s v="W11516472"/>
    <s v="Compressores Herméticos"/>
    <x v="0"/>
    <n v="1000"/>
    <n v="5003024"/>
    <s v="RODOBRAS TRANSPORTES RODOVIARIOS LT"/>
    <n v="387.22"/>
    <d v="2025-06-23T00:00:00"/>
  </r>
  <r>
    <n v="254031843"/>
    <n v="64796865"/>
    <s v="REB"/>
    <n v="10046172"/>
    <n v="176"/>
    <s v="PEÇAS - Defeito de fabric./Interrompido"/>
    <s v="FUNCIONAL"/>
    <x v="1"/>
    <n v="3506"/>
    <x v="46"/>
    <s v="SP"/>
    <n v="931"/>
    <s v="Ats Off"/>
    <n v="1350"/>
    <s v="W11348867"/>
    <s v="Placas de Controle"/>
    <x v="1"/>
    <n v="1000"/>
    <n v="5004042"/>
    <s v="BRASIL WEB TRANSPORTES E LOGISTICA"/>
    <n v="387.18"/>
    <d v="2025-06-24T00:00:00"/>
  </r>
  <r>
    <s v="Sem TR"/>
    <n v="64795663"/>
    <s v="REB"/>
    <n v="10060428"/>
    <n v="509"/>
    <s v="Qtd de peças a Menor dentro do Volume"/>
    <s v="LOGÍSTICA"/>
    <x v="2"/>
    <n v="32263"/>
    <x v="157"/>
    <s v="PA"/>
    <n v="641"/>
    <s v="CDP Diamante"/>
    <n v="1350"/>
    <s v="W11448283"/>
    <s v="Capacitores"/>
    <x v="1"/>
    <n v="29000"/>
    <n v="5002359"/>
    <s v="EMPRESA BRASILEIRA DE CORREIOS E"/>
    <n v="386.86"/>
    <d v="2025-06-23T00:00:00"/>
  </r>
  <r>
    <n v="253993271"/>
    <n v="64771121"/>
    <s v="REB"/>
    <n v="10015570"/>
    <n v="311"/>
    <s v="DEV-PRODUTO TROCADO-LOGÍSTICA"/>
    <s v="LOGÍSTICA"/>
    <x v="2"/>
    <n v="24447"/>
    <x v="337"/>
    <s v="AC"/>
    <n v="350"/>
    <s v="Ats On"/>
    <n v="1350"/>
    <s v="W10764578"/>
    <s v="Conjunto Varetas"/>
    <x v="8"/>
    <n v="10000"/>
    <n v="5002858"/>
    <s v="FAVORITA TRANSPORTES LTDA"/>
    <n v="386.6"/>
    <d v="2025-05-15T00:00:00"/>
  </r>
  <r>
    <n v="253992668"/>
    <n v="64762723"/>
    <s v="REB"/>
    <n v="10003953"/>
    <n v="178"/>
    <s v="PEÇAS -Defeito de fabric./Sem Compressão"/>
    <s v="FUNCIONAL"/>
    <x v="2"/>
    <n v="2424"/>
    <x v="338"/>
    <s v="RJ"/>
    <n v="350"/>
    <s v="Ats On"/>
    <n v="1350"/>
    <s v="W11516472"/>
    <s v="Compressores Herméticos"/>
    <x v="0"/>
    <n v="1000"/>
    <n v="5003176"/>
    <s v="J C THEDIN TRANSPORTES LTDA"/>
    <n v="386.29"/>
    <d v="2025-05-12T00:00:00"/>
  </r>
  <r>
    <n v="254042043"/>
    <n v="64789342"/>
    <s v="REB"/>
    <n v="10000210"/>
    <n v="173"/>
    <s v="PEÇAS - Defeito de fabric./Alta Amperage"/>
    <s v="FUNCIONAL"/>
    <x v="0"/>
    <n v="3236"/>
    <x v="45"/>
    <s v="SP"/>
    <n v="931"/>
    <s v="Ats Off"/>
    <n v="1350"/>
    <s v="W11516472"/>
    <s v="Compressores Herméticos"/>
    <x v="0"/>
    <n v="1000"/>
    <n v="5004042"/>
    <s v="BRASIL WEB TRANSPORTES E LOGISTICA"/>
    <n v="386.26"/>
    <d v="2025-06-24T00:00:00"/>
  </r>
  <r>
    <n v="254018343"/>
    <n v="64792270"/>
    <s v="REB"/>
    <n v="10009477"/>
    <n v="90"/>
    <s v="CLIENTE-não solicitou"/>
    <s v="COMERCIAL"/>
    <x v="2"/>
    <n v="65510"/>
    <x v="246"/>
    <s v="RO"/>
    <n v="350"/>
    <s v="Ats On"/>
    <n v="1350"/>
    <s v="W10887231"/>
    <s v="Placas de Controle"/>
    <x v="1"/>
    <n v="1000"/>
    <n v="5002858"/>
    <s v="FAVORITA TRANSPORTES LTDA"/>
    <n v="386.11"/>
    <d v="2025-06-16T00:00:00"/>
  </r>
  <r>
    <n v="254004010"/>
    <n v="64775680"/>
    <s v="REB"/>
    <n v="9935994"/>
    <n v="173"/>
    <s v="PEÇAS - Defeito de fabric./Alta Amperage"/>
    <s v="FUNCIONAL"/>
    <x v="1"/>
    <n v="55093"/>
    <x v="231"/>
    <s v="SP"/>
    <n v="648"/>
    <s v="Ultra"/>
    <n v="1350"/>
    <s v="W11435392"/>
    <s v="Placas de Controle"/>
    <x v="1"/>
    <n v="1000"/>
    <n v="5004042"/>
    <s v="BRASIL WEB TRANSPORTES E LOGISTICA"/>
    <n v="385.85"/>
    <d v="2025-05-26T00:00:00"/>
  </r>
  <r>
    <n v="254018327"/>
    <n v="64793484"/>
    <s v="REB"/>
    <n v="9954617"/>
    <n v="176"/>
    <s v="PEÇAS - Defeito de fabric./Interrompido"/>
    <s v="FUNCIONAL"/>
    <x v="1"/>
    <n v="59011"/>
    <x v="273"/>
    <s v="SP"/>
    <n v="648"/>
    <s v="Ultra"/>
    <n v="1350"/>
    <s v="W11435392"/>
    <s v="Placas de Controle"/>
    <x v="1"/>
    <n v="1000"/>
    <n v="5004042"/>
    <s v="BRASIL WEB TRANSPORTES E LOGISTICA"/>
    <n v="385.85"/>
    <d v="2025-06-17T00:00:00"/>
  </r>
  <r>
    <n v="254042335"/>
    <n v="64796847"/>
    <s v="REB"/>
    <n v="10055893"/>
    <n v="176"/>
    <s v="PEÇAS - Defeito de fabric./Interrompido"/>
    <s v="FUNCIONAL"/>
    <x v="0"/>
    <n v="67141"/>
    <x v="214"/>
    <s v="SP"/>
    <n v="648"/>
    <s v="Ultra"/>
    <n v="1350"/>
    <s v="W11435392"/>
    <s v="Placas de Controle"/>
    <x v="1"/>
    <n v="1000"/>
    <n v="5004042"/>
    <s v="BRASIL WEB TRANSPORTES E LOGISTICA"/>
    <n v="385.85"/>
    <d v="2025-06-24T00:00:00"/>
  </r>
  <r>
    <n v="254004039"/>
    <n v="64777916"/>
    <s v="REB"/>
    <n v="9689965"/>
    <n v="173"/>
    <s v="PEÇAS - Defeito de fabric./Alta Amperage"/>
    <s v="FUNCIONAL"/>
    <x v="2"/>
    <n v="67948"/>
    <x v="15"/>
    <s v="SC"/>
    <n v="713"/>
    <s v="Key Account"/>
    <n v="1350"/>
    <s v="W11485343"/>
    <s v="Placas de Controle"/>
    <x v="1"/>
    <n v="1000"/>
    <n v="5003024"/>
    <s v="RODOBRAS TRANSPORTES RODOVIARIOS LT"/>
    <n v="385.71"/>
    <d v="2025-05-26T00:00:00"/>
  </r>
  <r>
    <n v="254042270"/>
    <n v="64796074"/>
    <s v="REB"/>
    <n v="9975712"/>
    <n v="173"/>
    <s v="PEÇAS - Defeito de fabric./Alta Amperage"/>
    <s v="FUNCIONAL"/>
    <x v="0"/>
    <n v="34365"/>
    <x v="339"/>
    <s v="CE"/>
    <n v="931"/>
    <s v="Ats Off"/>
    <n v="1350"/>
    <s v="W11300695"/>
    <s v="Mecanismos"/>
    <x v="2"/>
    <n v="2000"/>
    <n v="5004101"/>
    <s v="UNIDOCK'S ASSESSORIA E LOGISTICA DE"/>
    <n v="385.58"/>
    <d v="2025-06-23T00:00:00"/>
  </r>
  <r>
    <n v="253963584"/>
    <n v="64722819"/>
    <s v="REB"/>
    <n v="9875351"/>
    <n v="167"/>
    <s v="PEÇAS - Avaria - Quebrada/Depósito"/>
    <s v="LOGÍSTICA"/>
    <x v="1"/>
    <n v="4167"/>
    <x v="63"/>
    <s v="SP"/>
    <n v="931"/>
    <s v="Ats Off"/>
    <n v="1350"/>
    <s v="W10417020"/>
    <s v="Portas"/>
    <x v="6"/>
    <n v="1000"/>
    <n v="5004042"/>
    <s v="BRASIL WEB TRANSPORTES E LOGISTICA"/>
    <n v="385.17"/>
    <d v="2025-03-01T00:00:00"/>
  </r>
  <r>
    <s v="Sem TR"/>
    <n v="64736211"/>
    <s v="REB"/>
    <n v="9922353"/>
    <n v="125"/>
    <s v="DEV-Extravio de produto (Transportadora)"/>
    <s v="TRANSPORTADORA"/>
    <x v="0"/>
    <n v="34365"/>
    <x v="339"/>
    <s v="CE"/>
    <n v="931"/>
    <s v="Ats Off"/>
    <n v="1350"/>
    <s v="W10888353"/>
    <s v="Condensadores"/>
    <x v="0"/>
    <n v="1000"/>
    <n v="5004101"/>
    <s v="UNIDOCK'S ASSESSORIA E LOGISTICA DE"/>
    <n v="384.58"/>
    <d v="2025-03-21T00:00:00"/>
  </r>
  <r>
    <n v="253952271"/>
    <n v="64729275"/>
    <s v="REB"/>
    <n v="9875472"/>
    <n v="178"/>
    <s v="PEÇAS -Defeito de fabric./Sem Compressão"/>
    <s v="FUNCIONAL"/>
    <x v="2"/>
    <n v="31587"/>
    <x v="135"/>
    <s v="SP"/>
    <n v="643"/>
    <s v="Elite"/>
    <n v="1350"/>
    <s v="W11741183"/>
    <s v="Outros"/>
    <x v="7"/>
    <n v="1000"/>
    <n v="5004042"/>
    <s v="BRASIL WEB TRANSPORTES E LOGISTICA"/>
    <n v="384.02"/>
    <d v="2025-03-10T00:00:00"/>
  </r>
  <r>
    <n v="253970922"/>
    <n v="64748701"/>
    <s v="REB"/>
    <n v="9885263"/>
    <n v="178"/>
    <s v="PEÇAS -Defeito de fabric./Sem Compressão"/>
    <s v="FUNCIONAL"/>
    <x v="1"/>
    <n v="68085"/>
    <x v="4"/>
    <s v="SP"/>
    <n v="643"/>
    <s v="Elite"/>
    <n v="1350"/>
    <s v="W10769940"/>
    <s v="Compressores Herméticos"/>
    <x v="0"/>
    <n v="1000"/>
    <n v="5004042"/>
    <s v="BRASIL WEB TRANSPORTES E LOGISTICA"/>
    <n v="383.67"/>
    <d v="2025-04-09T00:00:00"/>
  </r>
  <r>
    <n v="253952271"/>
    <n v="64727515"/>
    <s v="REB"/>
    <n v="9835819"/>
    <n v="178"/>
    <s v="PEÇAS -Defeito de fabric./Sem Compressão"/>
    <s v="FUNCIONAL"/>
    <x v="2"/>
    <n v="31587"/>
    <x v="135"/>
    <s v="SP"/>
    <n v="643"/>
    <s v="Elite"/>
    <n v="1350"/>
    <s v="W10769941"/>
    <s v="Compressores Herméticos"/>
    <x v="0"/>
    <n v="1000"/>
    <n v="5004042"/>
    <s v="BRASIL WEB TRANSPORTES E LOGISTICA"/>
    <n v="383.67"/>
    <d v="2025-03-08T00:00:00"/>
  </r>
  <r>
    <n v="253995142"/>
    <n v="64771065"/>
    <s v="REB"/>
    <n v="9601507"/>
    <n v="178"/>
    <s v="PEÇAS -Defeito de fabric./Sem Compressão"/>
    <s v="FUNCIONAL"/>
    <x v="2"/>
    <n v="30121"/>
    <x v="23"/>
    <s v="SP"/>
    <n v="648"/>
    <s v="Ultra"/>
    <n v="1350"/>
    <s v="W10769941"/>
    <s v="Compressores Herméticos"/>
    <x v="0"/>
    <n v="1000"/>
    <n v="5004042"/>
    <s v="BRASIL WEB TRANSPORTES E LOGISTICA"/>
    <n v="383.67"/>
    <d v="2025-05-15T00:00:00"/>
  </r>
  <r>
    <n v="254033319"/>
    <n v="64807394"/>
    <s v="REB"/>
    <n v="9564386"/>
    <n v="173"/>
    <s v="PEÇAS - Defeito de fabric./Alta Amperage"/>
    <s v="FUNCIONAL"/>
    <x v="1"/>
    <n v="26939"/>
    <x v="126"/>
    <s v="PR"/>
    <n v="643"/>
    <s v="Elite"/>
    <n v="1350"/>
    <s v="W11161216"/>
    <s v="Placas de Controle"/>
    <x v="1"/>
    <n v="1000"/>
    <n v="5003024"/>
    <s v="RODOBRAS TRANSPORTES RODOVIARIOS LT"/>
    <n v="383.56"/>
    <d v="2025-07-08T00:00:00"/>
  </r>
  <r>
    <n v="254032490"/>
    <n v="64811452"/>
    <s v="ROB"/>
    <n v="10114959"/>
    <n v="182"/>
    <s v="PEÇAS - Extravio - Volume a menor"/>
    <s v="TRANSPORTADORA"/>
    <x v="1"/>
    <n v="61750"/>
    <x v="340"/>
    <s v="GO"/>
    <n v="932"/>
    <s v="CDP Prata"/>
    <n v="1350"/>
    <s v="W11371164"/>
    <s v="Mecanismos"/>
    <x v="2"/>
    <n v="2000"/>
    <n v="5002858"/>
    <s v="FAVORITA TRANSPORTES LTDA"/>
    <n v="383.52"/>
    <d v="2025-07-16T00:00:00"/>
  </r>
  <r>
    <s v="Sem TR"/>
    <n v="64722998"/>
    <s v="REB"/>
    <n v="9538069"/>
    <n v="160"/>
    <s v="OI Cancelada - Ver motivo no texto"/>
    <s v="OUTROS"/>
    <x v="1"/>
    <n v="29374"/>
    <x v="20"/>
    <s v="SP"/>
    <n v="643"/>
    <s v="Elite"/>
    <n v="1350"/>
    <s v="W10393810"/>
    <s v="Compressores Herméticos"/>
    <x v="0"/>
    <n v="1000"/>
    <n v="5004042"/>
    <s v="BRASIL WEB TRANSPORTES E LOGISTICA"/>
    <n v="383.03"/>
    <d v="2025-03-07T00:00:00"/>
  </r>
  <r>
    <s v="Sem TR"/>
    <n v="64817631"/>
    <s v="REB"/>
    <n v="10143381"/>
    <n v="173"/>
    <s v="PEÇAS - Defeito de fabric./Alta Amperage"/>
    <s v="FUNCIONAL"/>
    <x v="1"/>
    <n v="21594"/>
    <x v="97"/>
    <s v="SP"/>
    <n v="931"/>
    <s v="Ats Off"/>
    <n v="1350"/>
    <s v="W11516472"/>
    <s v="Compressores Herméticos"/>
    <x v="0"/>
    <n v="1000"/>
    <n v="5004042"/>
    <s v="BRASIL WEB TRANSPORTES E LOGISTICA"/>
    <n v="381.64"/>
    <d v="2025-07-25T00:00:00"/>
  </r>
  <r>
    <n v="253995113"/>
    <n v="64760882"/>
    <s v="REB"/>
    <n v="10018798"/>
    <n v="177"/>
    <s v="PEÇAS - Defeito de fabric./Ruído"/>
    <s v="FUNCIONAL"/>
    <x v="1"/>
    <n v="25656"/>
    <x v="173"/>
    <s v="SP"/>
    <n v="931"/>
    <s v="Ats Off"/>
    <n v="1350"/>
    <s v="W11516472"/>
    <s v="Compressores Herméticos"/>
    <x v="0"/>
    <n v="1000"/>
    <n v="5004042"/>
    <s v="BRASIL WEB TRANSPORTES E LOGISTICA"/>
    <n v="381.64"/>
    <d v="2025-05-15T00:00:00"/>
  </r>
  <r>
    <n v="253988834"/>
    <n v="64763914"/>
    <s v="REB"/>
    <n v="10003143"/>
    <n v="176"/>
    <s v="PEÇAS - Defeito de fabric./Interrompido"/>
    <s v="FUNCIONAL"/>
    <x v="1"/>
    <n v="21594"/>
    <x v="97"/>
    <s v="SP"/>
    <n v="931"/>
    <s v="Ats Off"/>
    <n v="1350"/>
    <s v="W11516472"/>
    <s v="Compressores Herméticos"/>
    <x v="0"/>
    <n v="1000"/>
    <n v="5004042"/>
    <s v="BRASIL WEB TRANSPORTES E LOGISTICA"/>
    <n v="381.64"/>
    <d v="2025-05-05T00:00:00"/>
  </r>
  <r>
    <n v="253995078"/>
    <n v="64772619"/>
    <s v="REB"/>
    <n v="10010906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4042"/>
    <s v="BRASIL WEB TRANSPORTES E LOGISTICA"/>
    <n v="381.64"/>
    <d v="2025-05-16T00:00:00"/>
  </r>
  <r>
    <n v="253953752"/>
    <n v="64731280"/>
    <s v="REB"/>
    <n v="9894890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4042"/>
    <s v="BRASIL WEB TRANSPORTES E LOGISTICA"/>
    <n v="381.64"/>
    <d v="2025-03-14T00:00:00"/>
  </r>
  <r>
    <n v="254003893"/>
    <n v="64778730"/>
    <s v="REB"/>
    <n v="10037382"/>
    <n v="173"/>
    <s v="PEÇAS - Defeito de fabric./Alta Amperage"/>
    <s v="FUNCIONAL"/>
    <x v="2"/>
    <n v="21594"/>
    <x v="97"/>
    <s v="SP"/>
    <n v="931"/>
    <s v="Ats Off"/>
    <n v="1350"/>
    <s v="W11516472"/>
    <s v="Compressores Herméticos"/>
    <x v="0"/>
    <n v="1000"/>
    <n v="5004042"/>
    <s v="BRASIL WEB TRANSPORTES E LOGISTICA"/>
    <n v="381.64"/>
    <d v="2025-05-26T00:00:00"/>
  </r>
  <r>
    <n v="254007300"/>
    <n v="64783260"/>
    <s v="REB"/>
    <n v="10006319"/>
    <n v="173"/>
    <s v="PEÇAS - Defeito de fabric./Alta Amperage"/>
    <s v="FUNCIONAL"/>
    <x v="2"/>
    <n v="3236"/>
    <x v="45"/>
    <s v="SP"/>
    <n v="931"/>
    <s v="Ats Off"/>
    <n v="1350"/>
    <s v="W11516472"/>
    <s v="Compressores Herméticos"/>
    <x v="0"/>
    <n v="1000"/>
    <n v="5004042"/>
    <s v="BRASIL WEB TRANSPORTES E LOGISTICA"/>
    <n v="381.64"/>
    <d v="2025-06-02T00:00:00"/>
  </r>
  <r>
    <n v="254018229"/>
    <n v="64790823"/>
    <s v="REB"/>
    <n v="10043921"/>
    <n v="173"/>
    <s v="PEÇAS - Defeito de fabric./Alta Amperage"/>
    <s v="FUNCIONAL"/>
    <x v="2"/>
    <n v="14441"/>
    <x v="61"/>
    <s v="SP"/>
    <n v="931"/>
    <s v="Ats Off"/>
    <n v="1350"/>
    <s v="W11516471"/>
    <s v="Compressores Herméticos"/>
    <x v="0"/>
    <n v="1000"/>
    <n v="5004042"/>
    <s v="BRASIL WEB TRANSPORTES E LOGISTICA"/>
    <n v="381.64"/>
    <d v="2025-06-17T00:00:00"/>
  </r>
  <r>
    <n v="254038269"/>
    <n v="64814785"/>
    <s v="REB"/>
    <n v="9963473"/>
    <n v="173"/>
    <s v="PEÇAS - Defeito de fabric./Alta Amperage"/>
    <s v="FUNCIONAL"/>
    <x v="0"/>
    <n v="4167"/>
    <x v="63"/>
    <s v="SP"/>
    <n v="931"/>
    <s v="Ats Off"/>
    <n v="1350"/>
    <s v="W11516472"/>
    <s v="Compressores Herméticos"/>
    <x v="0"/>
    <n v="1000"/>
    <n v="5004042"/>
    <s v="BRASIL WEB TRANSPORTES E LOGISTICA"/>
    <n v="381.64"/>
    <d v="2025-07-22T00:00:00"/>
  </r>
  <r>
    <n v="254041951"/>
    <n v="64796285"/>
    <s v="REB"/>
    <n v="9987830"/>
    <n v="177"/>
    <s v="PEÇAS - Defeito de fabric./Ruído"/>
    <s v="FUNCIONAL"/>
    <x v="0"/>
    <n v="78757"/>
    <x v="50"/>
    <s v="RS"/>
    <n v="643"/>
    <s v="Elite"/>
    <n v="1350"/>
    <s v="W11299803"/>
    <s v="Mecanismos"/>
    <x v="2"/>
    <n v="4000"/>
    <n v="5003024"/>
    <s v="RODOBRAS TRANSPORTES RODOVIARIOS LT"/>
    <n v="381.6"/>
    <d v="2025-06-23T00:00:00"/>
  </r>
  <r>
    <s v="Sem TR"/>
    <n v="64726557"/>
    <s v="REB"/>
    <n v="9879900"/>
    <n v="671"/>
    <s v="DEV-ENVIADO PARA GESTÃO DE CONSEQUENCIA"/>
    <s v="TRANSPORTADORA"/>
    <x v="1"/>
    <n v="5039"/>
    <x v="298"/>
    <s v="RS"/>
    <n v="350"/>
    <s v="Ats On"/>
    <n v="1350"/>
    <s v="W11300681"/>
    <s v="Mecanismos"/>
    <x v="2"/>
    <n v="2000"/>
    <n v="5003024"/>
    <s v="RODOBRAS TRANSPORTES RODOVIARIOS LT"/>
    <n v="381.2"/>
    <d v="2025-03-07T00:00:00"/>
  </r>
  <r>
    <n v="254007556"/>
    <n v="64783566"/>
    <s v="REB"/>
    <n v="9552768"/>
    <n v="173"/>
    <s v="PEÇAS - Defeito de fabric./Alta Amperage"/>
    <s v="FUNCIONAL"/>
    <x v="1"/>
    <n v="27253"/>
    <x v="167"/>
    <s v="PI"/>
    <n v="931"/>
    <s v="Ats Off"/>
    <n v="1350"/>
    <s v="W11516477"/>
    <s v="Compressores Herméticos"/>
    <x v="0"/>
    <n v="1000"/>
    <n v="5004101"/>
    <s v="UNIDOCK'S ASSESSORIA E LOGISTICA DE"/>
    <n v="380.89"/>
    <d v="2025-06-02T00:00:00"/>
  </r>
  <r>
    <n v="253988860"/>
    <n v="64764421"/>
    <s v="REB"/>
    <n v="9744636"/>
    <n v="178"/>
    <s v="PEÇAS -Defeito de fabric./Sem Compressão"/>
    <s v="FUNCIONAL"/>
    <x v="1"/>
    <n v="28684"/>
    <x v="235"/>
    <s v="SP"/>
    <n v="648"/>
    <s v="Ultra"/>
    <n v="1350"/>
    <s v="W11741179"/>
    <s v="Outros"/>
    <x v="7"/>
    <n v="1000"/>
    <n v="5004042"/>
    <s v="BRASIL WEB TRANSPORTES E LOGISTICA"/>
    <n v="380.31"/>
    <d v="2025-05-0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n v="326073242"/>
    <s v="Placas de Controle"/>
    <x v="1"/>
    <n v="3000"/>
    <n v="5004101"/>
    <s v="UNIDOCK'S ASSESSORIA E LOGISTICA DE"/>
    <n v="379.66"/>
    <d v="2025-03-13T00:00:00"/>
  </r>
  <r>
    <n v="254012508"/>
    <n v="64780546"/>
    <s v="REB"/>
    <n v="9730966"/>
    <n v="173"/>
    <s v="PEÇAS - Defeito de fabric./Alta Amperage"/>
    <s v="FUNCIONAL"/>
    <x v="2"/>
    <n v="29801"/>
    <x v="341"/>
    <s v="MG"/>
    <n v="644"/>
    <s v="Plus"/>
    <n v="1350"/>
    <n v="326061172"/>
    <s v="Placas de Controle"/>
    <x v="1"/>
    <n v="1000"/>
    <n v="5004215"/>
    <s v="BRASIL WEB TRANSPORTES E LOGISTICA"/>
    <n v="379.61"/>
    <d v="2025-06-10T00:00:00"/>
  </r>
  <r>
    <n v="253988871"/>
    <n v="64763771"/>
    <s v="REB"/>
    <n v="9930669"/>
    <n v="178"/>
    <s v="PEÇAS -Defeito de fabric./Sem Compressão"/>
    <s v="FUNCIONAL"/>
    <x v="1"/>
    <n v="31587"/>
    <x v="135"/>
    <s v="SP"/>
    <n v="643"/>
    <s v="Elite"/>
    <n v="1350"/>
    <s v="W11516472"/>
    <s v="Compressores Herméticos"/>
    <x v="0"/>
    <n v="1000"/>
    <n v="5004042"/>
    <s v="BRASIL WEB TRANSPORTES E LOGISTICA"/>
    <n v="379.35"/>
    <d v="2025-05-0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467328"/>
    <s v="Válvulas de Água"/>
    <x v="5"/>
    <n v="6000"/>
    <n v="5004101"/>
    <s v="UNIDOCK'S ASSESSORIA E LOGISTICA DE"/>
    <n v="379.2"/>
    <d v="2025-03-13T00:00:00"/>
  </r>
  <r>
    <n v="254003965"/>
    <n v="64777300"/>
    <s v="REB"/>
    <n v="9185157"/>
    <n v="178"/>
    <s v="PEÇAS -Defeito de fabric./Sem Compressão"/>
    <s v="FUNCIONAL"/>
    <x v="2"/>
    <n v="31862"/>
    <x v="342"/>
    <s v="SC"/>
    <n v="933"/>
    <s v="Top"/>
    <n v="1350"/>
    <s v="W10393801"/>
    <s v="Compressores Herméticos"/>
    <x v="0"/>
    <n v="1000"/>
    <n v="5003024"/>
    <s v="RODOBRAS TRANSPORTES RODOVIARIOS LT"/>
    <n v="378.94"/>
    <d v="2025-05-26T00:00:00"/>
  </r>
  <r>
    <n v="253952273"/>
    <n v="64728339"/>
    <s v="REB"/>
    <n v="9406378"/>
    <n v="178"/>
    <s v="PEÇAS -Defeito de fabric./Sem Compressão"/>
    <s v="FUNCIONAL"/>
    <x v="1"/>
    <n v="31587"/>
    <x v="135"/>
    <s v="SP"/>
    <n v="643"/>
    <s v="Elite"/>
    <n v="1350"/>
    <s v="W10769940"/>
    <s v="Compressores Herméticos"/>
    <x v="0"/>
    <n v="1000"/>
    <n v="5004042"/>
    <s v="BRASIL WEB TRANSPORTES E LOGISTICA"/>
    <n v="378.82"/>
    <d v="2025-03-10T00:00:00"/>
  </r>
  <r>
    <n v="254004009"/>
    <n v="64777181"/>
    <s v="REB"/>
    <n v="9935994"/>
    <n v="173"/>
    <s v="PEÇAS - Defeito de fabric./Alta Amperage"/>
    <s v="FUNCIONAL"/>
    <x v="1"/>
    <n v="55093"/>
    <x v="231"/>
    <s v="SP"/>
    <n v="648"/>
    <s v="Ultra"/>
    <n v="1350"/>
    <s v="W11435390"/>
    <s v="Placas de Controle"/>
    <x v="1"/>
    <n v="1000"/>
    <n v="5004042"/>
    <s v="BRASIL WEB TRANSPORTES E LOGISTICA"/>
    <n v="378.32"/>
    <d v="2025-05-26T00:00:00"/>
  </r>
  <r>
    <n v="254035429"/>
    <n v="64811426"/>
    <s v="REB"/>
    <n v="10108768"/>
    <n v="167"/>
    <s v="PEÇAS - Avaria - Quebrada/Depósito"/>
    <s v="LOGÍSTICA"/>
    <x v="0"/>
    <n v="75752"/>
    <x v="74"/>
    <s v="PR"/>
    <n v="648"/>
    <s v="Ultra"/>
    <n v="1350"/>
    <s v="W10287534"/>
    <s v="Prateleiras"/>
    <x v="9"/>
    <n v="15000"/>
    <n v="5003024"/>
    <s v="RODOBRAS TRANSPORTES RODOVIARIOS LT"/>
    <n v="378.31"/>
    <d v="2025-07-17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0678919"/>
    <s v="Placas de Controle"/>
    <x v="1"/>
    <n v="5000"/>
    <n v="5004391"/>
    <s v="JEONCEL TRANSPORTES LTDA"/>
    <n v="377.7"/>
    <d v="2025-05-08T00:00:00"/>
  </r>
  <r>
    <n v="253988936"/>
    <n v="64762145"/>
    <s v="REB"/>
    <n v="9741942"/>
    <n v="173"/>
    <s v="PEÇAS - Defeito de fabric./Alta Amperage"/>
    <s v="FUNCIONAL"/>
    <x v="1"/>
    <n v="81093"/>
    <x v="53"/>
    <s v="ES"/>
    <n v="713"/>
    <s v="Key Account"/>
    <n v="1350"/>
    <s v="W10882241"/>
    <s v="Agitadores"/>
    <x v="2"/>
    <n v="12000"/>
    <n v="5004042"/>
    <s v="BRASIL WEB TRANSPORTES E LOGISTICA"/>
    <n v="377.65"/>
    <d v="2025-05-05T00:00:00"/>
  </r>
  <r>
    <s v="Sem TR"/>
    <n v="64812196"/>
    <s v="ZRDI"/>
    <n v="10128473"/>
    <s v="D35"/>
    <s v="DEV D2C - Prod difere do comprado"/>
    <s v="COMERCIAL"/>
    <x v="2"/>
    <n v="55954717"/>
    <x v="343"/>
    <s v="SP"/>
    <n v="474"/>
    <s v="Site Brastemp"/>
    <n v="1352"/>
    <n v="326043167"/>
    <s v="Capas"/>
    <x v="6"/>
    <n v="1000"/>
    <n v="5002359"/>
    <s v="EMPRESA BRASILEIRA DE CORREIOS E"/>
    <n v="377.49"/>
    <d v="2025-07-26T00:00:00"/>
  </r>
  <r>
    <s v="Sem TR"/>
    <n v="64812196"/>
    <s v="ZRDI"/>
    <n v="10128473"/>
    <s v="D35"/>
    <s v="DEV D2C - Prod difere do comprado"/>
    <s v="COMERCIAL"/>
    <x v="2"/>
    <n v="55954717"/>
    <x v="343"/>
    <s v="SP"/>
    <n v="474"/>
    <s v="Site Brastemp"/>
    <n v="1352"/>
    <n v="326043167"/>
    <s v="Capas"/>
    <x v="6"/>
    <n v="1000"/>
    <n v="5002359"/>
    <s v="EMPRESA BRASILEIRA DE CORREIOS E"/>
    <n v="377.49"/>
    <d v="2025-07-26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0754676"/>
    <s v="Suportes"/>
    <x v="6"/>
    <n v="10000"/>
    <n v="5004391"/>
    <s v="JEONCEL TRANSPORTES LTDA"/>
    <n v="377.19"/>
    <d v="2025-05-08T00:00:00"/>
  </r>
  <r>
    <n v="253915636"/>
    <n v="64682693"/>
    <s v="ZDVP"/>
    <n v="9795301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3254"/>
    <s v="TMA TRANSPORTE LOTACAO E LOGISTICA"/>
    <n v="377.08"/>
    <d v="2025-01-09T00:00:00"/>
  </r>
  <r>
    <n v="253915635"/>
    <n v="64687661"/>
    <s v="ZDVP"/>
    <n v="9705654"/>
    <n v="173"/>
    <s v="PEÇAS - Defeito de fabric./Alta Amperage"/>
    <s v="FUNCIONAL"/>
    <x v="1"/>
    <n v="3236"/>
    <x v="45"/>
    <s v="SP"/>
    <n v="931"/>
    <s v="Ats Off"/>
    <n v="1350"/>
    <s v="W11516472"/>
    <s v="Compressores Herméticos"/>
    <x v="0"/>
    <n v="1000"/>
    <n v="5003254"/>
    <s v="TMA TRANSPORTE LOTACAO E LOGISTICA"/>
    <n v="377.08"/>
    <d v="2025-01-09T00:00:00"/>
  </r>
  <r>
    <n v="253931022"/>
    <n v="64703028"/>
    <s v="REB"/>
    <n v="9835981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3254"/>
    <s v="TMA TRANSPORTE LOTACAO E LOGISTICA"/>
    <n v="377.08"/>
    <d v="2025-01-31T00:00:00"/>
  </r>
  <r>
    <n v="253952490"/>
    <n v="64727360"/>
    <s v="REB"/>
    <n v="9817703"/>
    <n v="173"/>
    <s v="PEÇAS - Defeito de fabric./Alta Amperage"/>
    <s v="FUNCIONAL"/>
    <x v="2"/>
    <n v="75812"/>
    <x v="102"/>
    <s v="SP"/>
    <n v="931"/>
    <s v="Ats Off"/>
    <n v="1350"/>
    <s v="W11516472"/>
    <s v="Compressores Herméticos"/>
    <x v="0"/>
    <n v="1000"/>
    <n v="5004042"/>
    <s v="BRASIL WEB TRANSPORTES E LOGISTICA"/>
    <n v="377.08"/>
    <d v="2025-03-08T00:00:00"/>
  </r>
  <r>
    <n v="254041602"/>
    <n v="64729146"/>
    <s v="ZDVP"/>
    <n v="9795686"/>
    <n v="176"/>
    <s v="PEÇAS - Defeito de fabric./Interrompido"/>
    <s v="FUNCIONAL"/>
    <x v="0"/>
    <n v="3467"/>
    <x v="115"/>
    <s v="SP"/>
    <n v="931"/>
    <s v="Ats Off"/>
    <n v="1350"/>
    <s v="W11516472"/>
    <s v="Compressores Herméticos"/>
    <x v="0"/>
    <n v="1000"/>
    <n v="5004042"/>
    <s v="BRASIL WEB TRANSPORTES E LOGISTICA"/>
    <n v="377.08"/>
    <d v="2025-03-10T00:00:00"/>
  </r>
  <r>
    <n v="254004076"/>
    <n v="64777992"/>
    <s v="REB"/>
    <n v="9874497"/>
    <n v="173"/>
    <s v="PEÇAS - Defeito de fabric./Alta Amperage"/>
    <s v="FUNCIONAL"/>
    <x v="2"/>
    <n v="85461"/>
    <x v="180"/>
    <s v="MG"/>
    <n v="641"/>
    <s v="CDP Diamante"/>
    <n v="1350"/>
    <s v="W11485341"/>
    <s v="Placas de Controle"/>
    <x v="1"/>
    <n v="1000"/>
    <n v="5004215"/>
    <s v="BRASIL WEB TRANSPORTES E LOGISTICA"/>
    <n v="376.97"/>
    <d v="2025-05-26T00:00:00"/>
  </r>
  <r>
    <n v="253970947"/>
    <n v="64748349"/>
    <s v="REB"/>
    <n v="9902273"/>
    <n v="173"/>
    <s v="PEÇAS - Defeito de fabric./Alta Amperage"/>
    <s v="FUNCIONAL"/>
    <x v="1"/>
    <n v="76018"/>
    <x v="344"/>
    <s v="SE"/>
    <n v="350"/>
    <s v="Ats On"/>
    <n v="1350"/>
    <s v="W10732243"/>
    <s v="Magnetrons"/>
    <x v="1"/>
    <n v="1000"/>
    <n v="5004101"/>
    <s v="UNIDOCK'S ASSESSORIA E LOGISTICA DE"/>
    <n v="376.56"/>
    <d v="2025-04-09T00:00:00"/>
  </r>
  <r>
    <n v="254018351"/>
    <n v="64793489"/>
    <s v="REB"/>
    <n v="10073675"/>
    <n v="173"/>
    <s v="PEÇAS - Defeito de fabric./Alta Amperage"/>
    <s v="FUNCIONAL"/>
    <x v="2"/>
    <n v="69166"/>
    <x v="129"/>
    <s v="RJ"/>
    <n v="931"/>
    <s v="Ats Off"/>
    <n v="1350"/>
    <s v="W11516472"/>
    <s v="Compressores Herméticos"/>
    <x v="0"/>
    <n v="1000"/>
    <n v="5003176"/>
    <s v="J C THEDIN TRANSPORTES LTDA"/>
    <n v="376.23"/>
    <d v="2025-06-17T00:00:00"/>
  </r>
  <r>
    <n v="254033279"/>
    <n v="64790198"/>
    <s v="REB"/>
    <n v="9586801"/>
    <n v="173"/>
    <s v="PEÇAS - Defeito de fabric./Alta Amperage"/>
    <s v="FUNCIONAL"/>
    <x v="0"/>
    <n v="10164"/>
    <x v="183"/>
    <s v="PB"/>
    <n v="931"/>
    <s v="Ats Off"/>
    <n v="1350"/>
    <s v="W11251568"/>
    <s v="Placas de Controle"/>
    <x v="1"/>
    <n v="1000"/>
    <n v="5004101"/>
    <s v="UNIDOCK'S ASSESSORIA E LOGISTICA DE"/>
    <n v="375.63"/>
    <d v="2025-07-08T00:00:00"/>
  </r>
  <r>
    <n v="254012597"/>
    <n v="64789316"/>
    <s v="REB"/>
    <n v="10018016"/>
    <n v="173"/>
    <s v="PEÇAS - Defeito de fabric./Alta Amperage"/>
    <s v="FUNCIONAL"/>
    <x v="2"/>
    <n v="67948"/>
    <x v="15"/>
    <s v="SC"/>
    <n v="713"/>
    <s v="Key Account"/>
    <n v="1350"/>
    <s v="W11299803"/>
    <s v="Mecanismos"/>
    <x v="2"/>
    <n v="4000"/>
    <n v="5003024"/>
    <s v="RODOBRAS TRANSPORTES RODOVIARIOS LT"/>
    <n v="375.48"/>
    <d v="2025-06-10T00:00:00"/>
  </r>
  <r>
    <n v="253989793"/>
    <n v="64763328"/>
    <s v="REB"/>
    <n v="10000107"/>
    <n v="176"/>
    <s v="PEÇAS - Defeito de fabric./Interrompido"/>
    <s v="FUNCIONAL"/>
    <x v="2"/>
    <n v="3506"/>
    <x v="46"/>
    <s v="SP"/>
    <n v="931"/>
    <s v="Ats Off"/>
    <n v="1350"/>
    <s v="W11045281"/>
    <s v="Placas de Controle"/>
    <x v="1"/>
    <n v="2000"/>
    <n v="5004042"/>
    <s v="BRASIL WEB TRANSPORTES E LOGISTICA"/>
    <n v="375.22"/>
    <d v="2025-05-07T00:00:00"/>
  </r>
  <r>
    <n v="254012479"/>
    <n v="64788745"/>
    <s v="REB"/>
    <n v="10065690"/>
    <n v="173"/>
    <s v="PEÇAS - Defeito de fabric./Alta Amperage"/>
    <s v="FUNCIONAL"/>
    <x v="1"/>
    <n v="21594"/>
    <x v="97"/>
    <s v="SP"/>
    <n v="931"/>
    <s v="Ats Off"/>
    <n v="1350"/>
    <s v="W10417020"/>
    <s v="Portas"/>
    <x v="6"/>
    <n v="1000"/>
    <n v="5004042"/>
    <s v="BRASIL WEB TRANSPORTES E LOGISTICA"/>
    <n v="375.14"/>
    <d v="2025-06-10T00:00:00"/>
  </r>
  <r>
    <n v="254018369"/>
    <n v="64778965"/>
    <s v="REB"/>
    <n v="10030063"/>
    <n v="104"/>
    <s v="PEÇAS-Código trocado(embalag X conteúdo)"/>
    <s v="LOGÍSTICA"/>
    <x v="2"/>
    <n v="72911"/>
    <x v="61"/>
    <s v="SP"/>
    <n v="931"/>
    <s v="Ats Off"/>
    <n v="1350"/>
    <s v="W10417020"/>
    <s v="Portas"/>
    <x v="6"/>
    <n v="1000"/>
    <n v="5004042"/>
    <s v="BRASIL WEB TRANSPORTES E LOGISTICA"/>
    <n v="375.14"/>
    <d v="2025-05-27T00:00:00"/>
  </r>
  <r>
    <n v="254038390"/>
    <n v="64811712"/>
    <s v="REB"/>
    <n v="10134986"/>
    <n v="167"/>
    <s v="PEÇAS - Avaria - Quebrada/Depósito"/>
    <s v="LOGÍSTICA"/>
    <x v="0"/>
    <n v="70149"/>
    <x v="147"/>
    <s v="SP"/>
    <n v="963"/>
    <s v="Ats Distribuidoras"/>
    <n v="1350"/>
    <s v="W10417020"/>
    <s v="Portas"/>
    <x v="6"/>
    <n v="1000"/>
    <n v="5004042"/>
    <s v="BRASIL WEB TRANSPORTES E LOGISTICA"/>
    <n v="375.14"/>
    <d v="2025-07-22T00:00:00"/>
  </r>
  <r>
    <n v="253970926"/>
    <n v="64748007"/>
    <s v="REB"/>
    <n v="9946981"/>
    <n v="671"/>
    <s v="DEV-ENVIADO PARA GESTÃO DE CONSEQUENCIA"/>
    <s v="TRANSPORTADORA"/>
    <x v="2"/>
    <n v="69166"/>
    <x v="129"/>
    <s v="RJ"/>
    <n v="931"/>
    <s v="Ats Off"/>
    <n v="1350"/>
    <s v="W11516472"/>
    <s v="Compressores Herméticos"/>
    <x v="0"/>
    <n v="1000"/>
    <n v="5003176"/>
    <s v="J C THEDIN TRANSPORTES LTDA"/>
    <n v="375.12"/>
    <d v="2025-04-09T00:00:00"/>
  </r>
  <r>
    <n v="254033462"/>
    <n v="64803096"/>
    <s v="REB"/>
    <n v="9981216"/>
    <n v="173"/>
    <s v="PEÇAS - Defeito de fabric./Alta Amperage"/>
    <s v="FUNCIONAL"/>
    <x v="1"/>
    <n v="80833"/>
    <x v="132"/>
    <s v="PR"/>
    <n v="644"/>
    <s v="Plus"/>
    <n v="1350"/>
    <s v="W11630879"/>
    <s v="Compressores Herméticos"/>
    <x v="0"/>
    <n v="1000"/>
    <n v="5003024"/>
    <s v="RODOBRAS TRANSPORTES RODOVIARIOS LT"/>
    <n v="375.05"/>
    <d v="2025-07-08T00:00:00"/>
  </r>
  <r>
    <n v="254033475"/>
    <n v="64800638"/>
    <s v="REB"/>
    <n v="9689731"/>
    <n v="178"/>
    <s v="PEÇAS -Defeito de fabric./Sem Compressão"/>
    <s v="FUNCIONAL"/>
    <x v="1"/>
    <n v="92053"/>
    <x v="17"/>
    <s v="MG"/>
    <n v="643"/>
    <s v="Elite"/>
    <n v="1350"/>
    <s v="W11677210"/>
    <s v="Compressores Herméticos"/>
    <x v="0"/>
    <n v="1000"/>
    <n v="5004215"/>
    <s v="BRASIL WEB TRANSPORTES E LOGISTICA"/>
    <n v="374.64"/>
    <d v="2025-07-01T00:00:00"/>
  </r>
  <r>
    <n v="253952126"/>
    <n v="64728369"/>
    <s v="REB"/>
    <n v="9821040"/>
    <n v="178"/>
    <s v="PEÇAS -Defeito de fabric./Sem Compressão"/>
    <s v="FUNCIONAL"/>
    <x v="1"/>
    <n v="2666"/>
    <x v="219"/>
    <s v="RJ"/>
    <n v="931"/>
    <s v="Ats Off"/>
    <n v="1350"/>
    <s v="W11516472"/>
    <s v="Compressores Herméticos"/>
    <x v="0"/>
    <n v="1000"/>
    <n v="5003176"/>
    <s v="J C THEDIN TRANSPORTES LTDA"/>
    <n v="374.26"/>
    <d v="2025-03-10T00:00:00"/>
  </r>
  <r>
    <s v="Sem TR"/>
    <n v="64812536"/>
    <s v="REB"/>
    <n v="10106365"/>
    <n v="509"/>
    <s v="Qtd de peças a Menor dentro do Volume"/>
    <s v="LOGÍSTICA"/>
    <x v="1"/>
    <n v="86964"/>
    <x v="345"/>
    <s v="PB"/>
    <n v="713"/>
    <s v="Key Account"/>
    <n v="1350"/>
    <s v="W10856154"/>
    <s v="Capas"/>
    <x v="6"/>
    <n v="20000"/>
    <n v="5002359"/>
    <s v="EMPRESA BRASILEIRA DE CORREIOS E"/>
    <n v="374.03"/>
    <d v="2025-07-17T00:00:00"/>
  </r>
  <r>
    <n v="253983848"/>
    <n v="64759662"/>
    <s v="REB"/>
    <n v="9951062"/>
    <n v="173"/>
    <s v="PEÇAS - Defeito de fabric./Alta Amperage"/>
    <s v="FUNCIONAL"/>
    <x v="2"/>
    <n v="9599"/>
    <x v="121"/>
    <s v="SP"/>
    <n v="931"/>
    <s v="Ats Off"/>
    <n v="1350"/>
    <s v="W11516525"/>
    <s v="Compressores Herméticos"/>
    <x v="0"/>
    <n v="1000"/>
    <n v="5004042"/>
    <s v="BRASIL WEB TRANSPORTES E LOGISTICA"/>
    <n v="373.88"/>
    <d v="2025-04-28T00:00:00"/>
  </r>
  <r>
    <n v="254007521"/>
    <n v="64781515"/>
    <s v="REB"/>
    <n v="9951062"/>
    <n v="173"/>
    <s v="PEÇAS - Defeito de fabric./Alta Amperage"/>
    <s v="FUNCIONAL"/>
    <x v="2"/>
    <n v="9599"/>
    <x v="121"/>
    <s v="SP"/>
    <n v="931"/>
    <s v="Ats Off"/>
    <n v="1350"/>
    <s v="W11516525"/>
    <s v="Compressores Herméticos"/>
    <x v="0"/>
    <n v="1000"/>
    <n v="5004042"/>
    <s v="BRASIL WEB TRANSPORTES E LOGISTICA"/>
    <n v="373.88"/>
    <d v="2025-06-02T00:00:00"/>
  </r>
  <r>
    <n v="253981585"/>
    <n v="64757895"/>
    <s v="REB"/>
    <n v="9639823"/>
    <n v="177"/>
    <s v="PEÇAS - Defeito de fabric./Ruído"/>
    <s v="FUNCIONAL"/>
    <x v="1"/>
    <n v="80834"/>
    <x v="346"/>
    <s v="RO"/>
    <n v="934"/>
    <s v="CDP Ouro"/>
    <n v="1350"/>
    <s v="W11299803"/>
    <s v="Mecanismos"/>
    <x v="2"/>
    <n v="4000"/>
    <n v="5002858"/>
    <s v="FAVORITA TRANSPORTES LTDA"/>
    <n v="373.24"/>
    <d v="2025-04-25T00:00:00"/>
  </r>
  <r>
    <n v="254035439"/>
    <n v="64808486"/>
    <s v="REB"/>
    <n v="10120700"/>
    <n v="167"/>
    <s v="PEÇAS - Avaria - Quebrada/Depósito"/>
    <s v="LOGÍSTICA"/>
    <x v="1"/>
    <n v="88969"/>
    <x v="101"/>
    <s v="SC"/>
    <n v="641"/>
    <s v="CDP Diamante"/>
    <n v="1350"/>
    <s v="W10287527"/>
    <s v="Prateleiras"/>
    <x v="9"/>
    <n v="3000"/>
    <n v="5003024"/>
    <s v="RODOBRAS TRANSPORTES RODOVIARIOS LT"/>
    <n v="371.76"/>
    <d v="2025-07-17T00:00:00"/>
  </r>
  <r>
    <n v="254003931"/>
    <n v="64767315"/>
    <s v="REB"/>
    <n v="9924196"/>
    <n v="178"/>
    <s v="PEÇAS -Defeito de fabric./Sem Compressão"/>
    <s v="FUNCIONAL"/>
    <x v="1"/>
    <n v="29706"/>
    <x v="149"/>
    <s v="RN"/>
    <n v="644"/>
    <s v="Plus"/>
    <n v="1350"/>
    <s v="W11516471"/>
    <s v="Compressores Herméticos"/>
    <x v="0"/>
    <n v="1000"/>
    <n v="5004101"/>
    <s v="UNIDOCK'S ASSESSORIA E LOGISTICA DE"/>
    <n v="371.69"/>
    <d v="2025-05-26T00:00:00"/>
  </r>
  <r>
    <n v="253988917"/>
    <n v="64764450"/>
    <s v="REB"/>
    <n v="8650944"/>
    <n v="173"/>
    <s v="PEÇAS - Defeito de fabric./Alta Amperage"/>
    <s v="FUNCIONAL"/>
    <x v="1"/>
    <n v="73003"/>
    <x v="294"/>
    <s v="SC"/>
    <n v="931"/>
    <s v="Ats Off"/>
    <n v="1350"/>
    <s v="W11516477"/>
    <s v="Compressores Herméticos"/>
    <x v="0"/>
    <n v="1000"/>
    <n v="5003024"/>
    <s v="RODOBRAS TRANSPORTES RODOVIARIOS LT"/>
    <n v="371.51"/>
    <d v="2025-05-05T00:00:00"/>
  </r>
  <r>
    <n v="254033463"/>
    <n v="64807605"/>
    <s v="REB"/>
    <n v="8685521"/>
    <n v="173"/>
    <s v="PEÇAS - Defeito de fabric./Alta Amperage"/>
    <s v="FUNCIONAL"/>
    <x v="1"/>
    <n v="80834"/>
    <x v="346"/>
    <s v="RO"/>
    <n v="934"/>
    <s v="CDP Ouro"/>
    <n v="1350"/>
    <s v="W10330848"/>
    <s v="Compressores Herméticos"/>
    <x v="0"/>
    <n v="1000"/>
    <n v="5002858"/>
    <s v="FAVORITA TRANSPORTES LTDA"/>
    <n v="371.16"/>
    <d v="2025-07-08T00:00:00"/>
  </r>
  <r>
    <s v="Sem TR"/>
    <n v="64773517"/>
    <s v="ROB"/>
    <n v="50500"/>
    <n v="671"/>
    <s v="DEV-ENVIADO PARA GESTÃO DE CONSEQUENCIA"/>
    <s v="TRANSPORTADORA"/>
    <x v="2"/>
    <n v="82253"/>
    <x v="139"/>
    <s v="CE"/>
    <n v="934"/>
    <s v="CDP Ouro"/>
    <n v="1550"/>
    <s v="W10518617"/>
    <s v="Atuadores"/>
    <x v="2"/>
    <n v="10000"/>
    <n v="5004391"/>
    <s v="JEONCEL TRANSPORTES LTDA"/>
    <n v="371.15"/>
    <d v="2025-05-19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632303"/>
    <s v="Válvulas de Água"/>
    <x v="5"/>
    <n v="10000"/>
    <n v="5004042"/>
    <s v="BRASIL WEB TRANSPORTES E LOGISTICA"/>
    <n v="371.1"/>
    <d v="2025-05-26T00:00:00"/>
  </r>
  <r>
    <n v="254030532"/>
    <n v="64799732"/>
    <s v="REB"/>
    <n v="9913891"/>
    <n v="176"/>
    <s v="PEÇAS - Defeito de fabric./Interrompido"/>
    <s v="FUNCIONAL"/>
    <x v="1"/>
    <n v="54802"/>
    <x v="319"/>
    <s v="RS"/>
    <n v="648"/>
    <s v="Ultra"/>
    <n v="1350"/>
    <s v="W11340257"/>
    <s v="Placas de Interface"/>
    <x v="1"/>
    <n v="1000"/>
    <n v="5003024"/>
    <s v="RODOBRAS TRANSPORTES RODOVIARIOS LT"/>
    <n v="370.88"/>
    <d v="2025-07-01T00:00:00"/>
  </r>
  <r>
    <n v="253952258"/>
    <n v="64729191"/>
    <s v="REB"/>
    <n v="9847023"/>
    <n v="104"/>
    <s v="PEÇAS-Código trocado(embalag X conteúdo)"/>
    <s v="LOGÍSTICA"/>
    <x v="1"/>
    <n v="30416"/>
    <x v="136"/>
    <s v="AM"/>
    <n v="648"/>
    <s v="Ultra"/>
    <n v="1350"/>
    <s v="W10796892"/>
    <s v="Agitadores"/>
    <x v="2"/>
    <n v="10000"/>
    <n v="5002858"/>
    <s v="FAVORITA TRANSPORTES LTDA"/>
    <n v="370.42"/>
    <d v="2025-03-10T00:00:00"/>
  </r>
  <r>
    <n v="254035377"/>
    <n v="64812445"/>
    <s v="REB"/>
    <n v="10045706"/>
    <n v="176"/>
    <s v="PEÇAS - Defeito de fabric./Interrompido"/>
    <s v="FUNCIONAL"/>
    <x v="1"/>
    <n v="32263"/>
    <x v="157"/>
    <s v="PA"/>
    <n v="641"/>
    <s v="CDP Diamante"/>
    <n v="1350"/>
    <s v="W11251564"/>
    <s v="Placas de Controle"/>
    <x v="1"/>
    <n v="1000"/>
    <n v="5002858"/>
    <s v="FAVORITA TRANSPORTES LTDA"/>
    <n v="369.66"/>
    <d v="2025-07-17T00:00:00"/>
  </r>
  <r>
    <n v="253981471"/>
    <n v="64758015"/>
    <s v="REB"/>
    <n v="8085966"/>
    <n v="173"/>
    <s v="PEÇAS - Defeito de fabric./Alta Amperage"/>
    <s v="FUNCIONAL"/>
    <x v="2"/>
    <n v="29164"/>
    <x v="32"/>
    <s v="BA"/>
    <n v="648"/>
    <s v="Ultra"/>
    <n v="1350"/>
    <s v="W11240384"/>
    <s v="Placas de Controle"/>
    <x v="1"/>
    <n v="2000"/>
    <n v="5004101"/>
    <s v="UNIDOCK'S ASSESSORIA E LOGISTICA DE"/>
    <n v="369.46"/>
    <d v="2025-04-25T00:00:00"/>
  </r>
  <r>
    <n v="254038385"/>
    <n v="64805783"/>
    <s v="REB"/>
    <n v="9631613"/>
    <n v="173"/>
    <s v="PEÇAS - Defeito de fabric./Alta Amperage"/>
    <s v="FUNCIONAL"/>
    <x v="1"/>
    <n v="67595"/>
    <x v="19"/>
    <s v="DF"/>
    <n v="648"/>
    <s v="Ultra"/>
    <n v="1350"/>
    <s v="W10769941"/>
    <s v="Compressores Herméticos"/>
    <x v="0"/>
    <n v="1000"/>
    <n v="5002858"/>
    <s v="FAVORITA TRANSPORTES LTDA"/>
    <n v="369.4"/>
    <d v="2025-07-22T00:00:00"/>
  </r>
  <r>
    <n v="254003952"/>
    <n v="64776221"/>
    <s v="REB"/>
    <n v="9932032"/>
    <n v="173"/>
    <s v="PEÇAS - Defeito de fabric./Alta Amperage"/>
    <s v="FUNCIONAL"/>
    <x v="2"/>
    <n v="31862"/>
    <x v="342"/>
    <s v="SC"/>
    <n v="933"/>
    <s v="Top"/>
    <n v="1350"/>
    <s v="W11435396"/>
    <s v="Placas de Controle"/>
    <x v="1"/>
    <n v="2000"/>
    <n v="5003024"/>
    <s v="RODOBRAS TRANSPORTES RODOVIARIOS LT"/>
    <n v="369.19"/>
    <d v="2025-05-26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807957"/>
    <s v="Conjunto Varetas"/>
    <x v="8"/>
    <n v="5000"/>
    <n v="5004101"/>
    <s v="UNIDOCK'S ASSESSORIA E LOGISTICA DE"/>
    <n v="369.06"/>
    <d v="2025-06-24T00:00:00"/>
  </r>
  <r>
    <s v="Sem TR"/>
    <n v="64814322"/>
    <s v="REB"/>
    <n v="9640375"/>
    <n v="173"/>
    <s v="PEÇAS - Defeito de fabric./Alta Amperage"/>
    <s v="FUNCIONAL"/>
    <x v="1"/>
    <n v="29802"/>
    <x v="347"/>
    <s v="SP"/>
    <n v="934"/>
    <s v="CDP Ouro"/>
    <n v="1350"/>
    <s v="W11647660"/>
    <s v="Compressores Herméticos"/>
    <x v="0"/>
    <n v="1000"/>
    <n v="5004042"/>
    <s v="BRASIL WEB TRANSPORTES E LOGISTICA"/>
    <n v="368.95"/>
    <d v="2025-07-22T00:00:00"/>
  </r>
  <r>
    <s v="Sem TR"/>
    <n v="64768425"/>
    <s v="ROB"/>
    <n v="50578"/>
    <n v="25"/>
    <s v="OC. 80 - EXTRAVIO TOTAL"/>
    <s v="TRANSPORTADORA"/>
    <x v="1"/>
    <n v="2832"/>
    <x v="195"/>
    <s v="BA"/>
    <n v="350"/>
    <s v="Ats On"/>
    <n v="1550"/>
    <s v="W10678919"/>
    <s v="Placas de Controle"/>
    <x v="1"/>
    <n v="5000"/>
    <n v="5004391"/>
    <s v="JEONCEL TRANSPORTES LTDA"/>
    <n v="368.65"/>
    <d v="2025-05-12T00:00:00"/>
  </r>
  <r>
    <n v="253988776"/>
    <n v="64763900"/>
    <s v="REB"/>
    <n v="9888345"/>
    <n v="173"/>
    <s v="PEÇAS - Defeito de fabric./Alta Amperage"/>
    <s v="FUNCIONAL"/>
    <x v="1"/>
    <n v="578"/>
    <x v="232"/>
    <s v="MG"/>
    <n v="350"/>
    <s v="Ats On"/>
    <n v="1350"/>
    <s v="W11516472"/>
    <s v="Compressores Herméticos"/>
    <x v="0"/>
    <n v="1000"/>
    <n v="5004215"/>
    <s v="BRASIL WEB TRANSPORTES E LOGISTICA"/>
    <n v="368.62"/>
    <d v="2025-05-05T00:00:00"/>
  </r>
  <r>
    <n v="254033358"/>
    <n v="64806352"/>
    <s v="REB"/>
    <n v="9910599"/>
    <n v="173"/>
    <s v="PEÇAS - Defeito de fabric./Alta Amperage"/>
    <s v="FUNCIONAL"/>
    <x v="0"/>
    <n v="28991"/>
    <x v="65"/>
    <s v="MG"/>
    <n v="643"/>
    <s v="Elite"/>
    <n v="1350"/>
    <s v="W11391011"/>
    <s v="Placas de Controle"/>
    <x v="1"/>
    <n v="1000"/>
    <n v="5004215"/>
    <s v="BRASIL WEB TRANSPORTES E LOGISTICA"/>
    <n v="367.66"/>
    <d v="2025-07-08T00:00:00"/>
  </r>
  <r>
    <n v="254038519"/>
    <n v="64796203"/>
    <s v="REB"/>
    <n v="10074123"/>
    <n v="176"/>
    <s v="PEÇAS - Defeito de fabric./Interrompido"/>
    <s v="FUNCIONAL"/>
    <x v="0"/>
    <n v="1632"/>
    <x v="280"/>
    <s v="AL"/>
    <n v="931"/>
    <s v="Ats Off"/>
    <n v="1350"/>
    <s v="W11121357"/>
    <s v="Placas de Controle"/>
    <x v="1"/>
    <n v="1000"/>
    <n v="5004101"/>
    <s v="UNIDOCK'S ASSESSORIA E LOGISTICA DE"/>
    <n v="367.22"/>
    <d v="2025-06-23T00:00:00"/>
  </r>
  <r>
    <n v="254033302"/>
    <n v="64807176"/>
    <s v="REB"/>
    <n v="10008058"/>
    <n v="173"/>
    <s v="PEÇAS - Defeito de fabric./Alta Amperage"/>
    <s v="FUNCIONAL"/>
    <x v="1"/>
    <n v="21594"/>
    <x v="97"/>
    <s v="SP"/>
    <n v="931"/>
    <s v="Ats Off"/>
    <n v="1350"/>
    <s v="W11208459"/>
    <s v="Placas de Controle"/>
    <x v="1"/>
    <n v="1000"/>
    <n v="5004042"/>
    <s v="BRASIL WEB TRANSPORTES E LOGISTICA"/>
    <n v="367.19"/>
    <d v="2025-07-08T00:00:00"/>
  </r>
  <r>
    <n v="254018369"/>
    <n v="64786915"/>
    <s v="REB"/>
    <n v="10030066"/>
    <n v="176"/>
    <s v="PEÇAS - Defeito de fabric./Interrompido"/>
    <s v="FUNCIONAL"/>
    <x v="2"/>
    <n v="72911"/>
    <x v="61"/>
    <s v="SP"/>
    <n v="931"/>
    <s v="Ats Off"/>
    <n v="1350"/>
    <s v="W11208459"/>
    <s v="Placas de Controle"/>
    <x v="1"/>
    <n v="1000"/>
    <n v="5004042"/>
    <s v="BRASIL WEB TRANSPORTES E LOGISTICA"/>
    <n v="367.19"/>
    <d v="2025-06-05T00:00:00"/>
  </r>
  <r>
    <n v="254043999"/>
    <n v="64809670"/>
    <s v="REB"/>
    <n v="10123987"/>
    <n v="173"/>
    <s v="PEÇAS - Defeito de fabric./Alta Amperage"/>
    <s v="FUNCIONAL"/>
    <x v="0"/>
    <n v="2666"/>
    <x v="219"/>
    <s v="RJ"/>
    <n v="931"/>
    <s v="Ats Off"/>
    <n v="1350"/>
    <s v="W10720440"/>
    <s v="Bombas"/>
    <x v="1"/>
    <n v="1000"/>
    <n v="5003176"/>
    <s v="J C THEDIN TRANSPORTES LTDA"/>
    <n v="366.99"/>
    <d v="2025-07-12T00:00:00"/>
  </r>
  <r>
    <n v="253981560"/>
    <n v="64758384"/>
    <s v="REB"/>
    <n v="9960751"/>
    <n v="173"/>
    <s v="PEÇAS - Defeito de fabric./Alta Amperage"/>
    <s v="FUNCIONAL"/>
    <x v="1"/>
    <n v="63300"/>
    <x v="17"/>
    <s v="MG"/>
    <n v="643"/>
    <s v="Elite"/>
    <n v="1350"/>
    <s v="W10827972"/>
    <s v="Placas de Controle"/>
    <x v="1"/>
    <n v="1000"/>
    <n v="5004215"/>
    <s v="BRASIL WEB TRANSPORTES E LOGISTICA"/>
    <n v="366.86"/>
    <d v="2025-04-25T00:00:00"/>
  </r>
  <r>
    <n v="254033360"/>
    <n v="64807344"/>
    <s v="REB"/>
    <n v="10063051"/>
    <n v="173"/>
    <s v="PEÇAS - Defeito de fabric./Alta Amperage"/>
    <s v="FUNCIONAL"/>
    <x v="0"/>
    <n v="28991"/>
    <x v="65"/>
    <s v="MG"/>
    <n v="643"/>
    <s v="Elite"/>
    <n v="1350"/>
    <s v="W10827972"/>
    <s v="Placas de Controle"/>
    <x v="1"/>
    <n v="1000"/>
    <n v="5004215"/>
    <s v="BRASIL WEB TRANSPORTES E LOGISTICA"/>
    <n v="366.86"/>
    <d v="2025-07-08T00:00:00"/>
  </r>
  <r>
    <n v="254012510"/>
    <n v="64787901"/>
    <s v="REB"/>
    <n v="9885248"/>
    <n v="178"/>
    <s v="PEÇAS -Defeito de fabric./Sem Compressão"/>
    <s v="FUNCIONAL"/>
    <x v="2"/>
    <n v="30121"/>
    <x v="23"/>
    <s v="SP"/>
    <n v="648"/>
    <s v="Ultra"/>
    <n v="1350"/>
    <s v="W11741179"/>
    <s v="Outros"/>
    <x v="7"/>
    <n v="1000"/>
    <n v="5004042"/>
    <s v="BRASIL WEB TRANSPORTES E LOGISTICA"/>
    <n v="366.75"/>
    <d v="2025-06-10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592481"/>
    <s v="Placas de Controle"/>
    <x v="1"/>
    <n v="2000"/>
    <n v="5004101"/>
    <s v="UNIDOCK'S ASSESSORIA E LOGISTICA DE"/>
    <n v="366.67"/>
    <d v="2025-06-24T00:00:00"/>
  </r>
  <r>
    <n v="253853863"/>
    <n v="64627099"/>
    <s v="REB"/>
    <n v="9629882"/>
    <n v="90"/>
    <s v="CLIENTE-não solicitou"/>
    <s v="COMERCIAL"/>
    <x v="1"/>
    <n v="3649"/>
    <x v="148"/>
    <s v="SP"/>
    <n v="931"/>
    <s v="Ats Off"/>
    <n v="1350"/>
    <s v="W10846990"/>
    <s v="Gaxetas"/>
    <x v="4"/>
    <n v="5000"/>
    <n v="5003254"/>
    <s v="TMA TRANSPORTE LOTACAO E LOGISTICA"/>
    <n v="366.13"/>
    <d v="2024-10-14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1251568"/>
    <s v="Placas de Controle"/>
    <x v="1"/>
    <n v="1000"/>
    <n v="5004101"/>
    <s v="UNIDOCK'S ASSESSORIA E LOGISTICA DE"/>
    <n v="366.09"/>
    <d v="2025-06-24T00:00:00"/>
  </r>
  <r>
    <s v="Sem TR"/>
    <n v="64812399"/>
    <s v="REB"/>
    <n v="9709586"/>
    <n v="178"/>
    <s v="PEÇAS -Defeito de fabric./Sem Compressão"/>
    <s v="FUNCIONAL"/>
    <x v="1"/>
    <n v="48500"/>
    <x v="22"/>
    <s v="MG"/>
    <n v="350"/>
    <s v="Ats On"/>
    <n v="1350"/>
    <s v="W11516525"/>
    <s v="Compressores Herméticos"/>
    <x v="0"/>
    <n v="1000"/>
    <n v="5004215"/>
    <s v="BRASIL WEB TRANSPORTES E LOGISTICA"/>
    <n v="365.36"/>
    <d v="2025-07-17T00:00:00"/>
  </r>
  <r>
    <n v="254033281"/>
    <n v="64807560"/>
    <s v="REB"/>
    <n v="10006871"/>
    <n v="176"/>
    <s v="PEÇAS - Defeito de fabric./Interrompido"/>
    <s v="FUNCIONAL"/>
    <x v="0"/>
    <n v="13757"/>
    <x v="14"/>
    <s v="SP"/>
    <n v="713"/>
    <s v="Key Account"/>
    <n v="1350"/>
    <s v="W11300816"/>
    <s v="Mecanismos"/>
    <x v="2"/>
    <n v="3000"/>
    <n v="5004042"/>
    <s v="BRASIL WEB TRANSPORTES E LOGISTICA"/>
    <n v="365.22"/>
    <d v="2025-07-08T00:00:00"/>
  </r>
  <r>
    <n v="253961426"/>
    <n v="64739151"/>
    <s v="REB"/>
    <n v="9773138"/>
    <n v="178"/>
    <s v="PEÇAS -Defeito de fabric./Sem Compressão"/>
    <s v="FUNCIONAL"/>
    <x v="1"/>
    <n v="81548"/>
    <x v="348"/>
    <s v="SC"/>
    <n v="350"/>
    <s v="Ats On"/>
    <n v="1350"/>
    <s v="W11516471"/>
    <s v="Compressores Herméticos"/>
    <x v="0"/>
    <n v="1000"/>
    <n v="5003024"/>
    <s v="RODOBRAS TRANSPORTES RODOVIARIOS LT"/>
    <n v="365.05"/>
    <d v="2025-03-26T00:00:00"/>
  </r>
  <r>
    <n v="254033317"/>
    <n v="64806122"/>
    <s v="REB"/>
    <n v="10107888"/>
    <n v="176"/>
    <s v="PEÇAS - Defeito de fabric./Interrompido"/>
    <s v="FUNCIONAL"/>
    <x v="1"/>
    <n v="24089"/>
    <x v="134"/>
    <s v="RJ"/>
    <n v="931"/>
    <s v="Ats Off"/>
    <n v="1350"/>
    <s v="W11208459"/>
    <s v="Placas de Controle"/>
    <x v="1"/>
    <n v="1000"/>
    <n v="5003176"/>
    <s v="J C THEDIN TRANSPORTES LTDA"/>
    <n v="364.59"/>
    <d v="2025-07-08T00:00:00"/>
  </r>
  <r>
    <n v="253983825"/>
    <n v="64758302"/>
    <s v="REB"/>
    <n v="9995374"/>
    <n v="173"/>
    <s v="PEÇAS - Defeito de fabric./Alta Amperage"/>
    <s v="FUNCIONAL"/>
    <x v="1"/>
    <n v="3236"/>
    <x v="45"/>
    <s v="SP"/>
    <n v="931"/>
    <s v="Ats Off"/>
    <n v="1350"/>
    <s v="W10728426"/>
    <s v="Placas de Controle"/>
    <x v="1"/>
    <n v="1000"/>
    <n v="5004042"/>
    <s v="BRASIL WEB TRANSPORTES E LOGISTICA"/>
    <n v="364.56"/>
    <d v="2025-04-28T00:00:00"/>
  </r>
  <r>
    <n v="254031855"/>
    <n v="64796910"/>
    <s v="REB"/>
    <n v="10077247"/>
    <n v="176"/>
    <s v="PEÇAS - Defeito de fabric./Interrompido"/>
    <s v="FUNCIONAL"/>
    <x v="0"/>
    <n v="3506"/>
    <x v="46"/>
    <s v="SP"/>
    <n v="931"/>
    <s v="Ats Off"/>
    <n v="1350"/>
    <s v="W11102574"/>
    <s v="Placas de Controle"/>
    <x v="1"/>
    <n v="1000"/>
    <n v="5004042"/>
    <s v="BRASIL WEB TRANSPORTES E LOGISTICA"/>
    <n v="363.08"/>
    <d v="2025-06-24T00:00:00"/>
  </r>
  <r>
    <n v="254024074"/>
    <n v="64803513"/>
    <s v="ROB"/>
    <n v="10108604"/>
    <n v="115"/>
    <s v="PEÇAS-Recusa do cliente"/>
    <s v="COMERCIAL"/>
    <x v="2"/>
    <n v="30990"/>
    <x v="26"/>
    <s v="ES"/>
    <n v="713"/>
    <s v="Key Account"/>
    <n v="1350"/>
    <s v="W10515645"/>
    <s v="Filtros"/>
    <x v="5"/>
    <n v="18000"/>
    <n v="5004101"/>
    <s v="UNIDOCK'S ASSESSORIA E LOGISTICA DE"/>
    <n v="363.06"/>
    <d v="2025-07-01T00:00:00"/>
  </r>
  <r>
    <n v="254004051"/>
    <n v="64777857"/>
    <s v="REB"/>
    <n v="9898666"/>
    <n v="173"/>
    <s v="PEÇAS - Defeito de fabric./Alta Amperage"/>
    <s v="FUNCIONAL"/>
    <x v="2"/>
    <n v="72253"/>
    <x v="349"/>
    <s v="SC"/>
    <n v="933"/>
    <s v="Top"/>
    <n v="1350"/>
    <s v="W11387506"/>
    <s v="Placas de Controle"/>
    <x v="1"/>
    <n v="1000"/>
    <n v="5003024"/>
    <s v="RODOBRAS TRANSPORTES RODOVIARIOS LT"/>
    <n v="363.02"/>
    <d v="2025-05-26T00:00:00"/>
  </r>
  <r>
    <n v="253953850"/>
    <n v="64731979"/>
    <s v="REB"/>
    <n v="9369071"/>
    <n v="173"/>
    <s v="PEÇAS - Defeito de fabric./Alta Amperage"/>
    <s v="FUNCIONAL"/>
    <x v="2"/>
    <n v="79953"/>
    <x v="309"/>
    <s v="SP"/>
    <n v="932"/>
    <s v="CDP Prata"/>
    <n v="1350"/>
    <s v="W11647660"/>
    <s v="Compressores Herméticos"/>
    <x v="0"/>
    <n v="1000"/>
    <n v="5004042"/>
    <s v="BRASIL WEB TRANSPORTES E LOGISTICA"/>
    <n v="362.93"/>
    <d v="2025-03-14T00:00:00"/>
  </r>
  <r>
    <n v="254023985"/>
    <n v="64796114"/>
    <s v="REB"/>
    <n v="10058477"/>
    <n v="176"/>
    <s v="PEÇAS - Defeito de fabric./Interrompido"/>
    <s v="FUNCIONAL"/>
    <x v="0"/>
    <n v="64522"/>
    <x v="158"/>
    <s v="SP"/>
    <n v="643"/>
    <s v="Elite"/>
    <n v="1350"/>
    <s v="W10882241"/>
    <s v="Agitadores"/>
    <x v="2"/>
    <n v="8000"/>
    <n v="5004042"/>
    <s v="BRASIL WEB TRANSPORTES E LOGISTICA"/>
    <n v="362.65"/>
    <d v="2025-06-23T00:00:00"/>
  </r>
  <r>
    <s v="Sem TR"/>
    <n v="64811406"/>
    <s v="ZRDI"/>
    <n v="10133227"/>
    <s v="D30"/>
    <s v="DEV D2C - Defeito funcional manufatura"/>
    <s v="MANUFATURA"/>
    <x v="1"/>
    <n v="53073415"/>
    <x v="350"/>
    <s v="ES"/>
    <n v="474"/>
    <s v="Site Brastemp"/>
    <n v="1352"/>
    <s v="W11300681"/>
    <s v="Mecanismos"/>
    <x v="2"/>
    <n v="1000"/>
    <n v="5002359"/>
    <s v="EMPRESA BRASILEIRA DE CORREIOS E"/>
    <n v="362.25"/>
    <d v="2025-07-28T00:00:00"/>
  </r>
  <r>
    <s v="Sem TR"/>
    <n v="64810493"/>
    <s v="ROB"/>
    <n v="10138220"/>
    <n v="115"/>
    <s v="PEÇAS-Recusa do cliente"/>
    <s v="COMERCIAL"/>
    <x v="1"/>
    <n v="87059"/>
    <x v="142"/>
    <s v="MG"/>
    <n v="934"/>
    <s v="CDP Ouro"/>
    <n v="1350"/>
    <s v="W10531315"/>
    <s v="Sensores"/>
    <x v="3"/>
    <n v="43000"/>
    <n v="5004101"/>
    <s v="UNIDOCK'S ASSESSORIA E LOGISTICA DE"/>
    <n v="362.24"/>
    <d v="2025-07-29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1102572"/>
    <s v="Bandejas"/>
    <x v="9"/>
    <n v="1000"/>
    <n v="5004042"/>
    <s v="BRASIL WEB TRANSPORTES E LOGISTICA"/>
    <n v="362.12"/>
    <d v="2025-06-24T00:00:00"/>
  </r>
  <r>
    <n v="254003855"/>
    <n v="64775707"/>
    <s v="REB"/>
    <n v="9905314"/>
    <n v="176"/>
    <s v="PEÇAS - Defeito de fabric./Interrompido"/>
    <s v="FUNCIONAL"/>
    <x v="2"/>
    <n v="3506"/>
    <x v="46"/>
    <s v="SP"/>
    <n v="931"/>
    <s v="Ats Off"/>
    <n v="1350"/>
    <s v="W11516472"/>
    <s v="Compressores Herméticos"/>
    <x v="0"/>
    <n v="1000"/>
    <n v="5004042"/>
    <s v="BRASIL WEB TRANSPORTES E LOGISTICA"/>
    <n v="361.93"/>
    <d v="2025-05-26T00:00:00"/>
  </r>
  <r>
    <n v="253985010"/>
    <n v="64742673"/>
    <s v="REB"/>
    <n v="8731069"/>
    <n v="176"/>
    <s v="PEÇAS - Defeito de fabric./Interrompido"/>
    <s v="FUNCIONAL"/>
    <x v="1"/>
    <n v="42046"/>
    <x v="293"/>
    <s v="PE"/>
    <n v="350"/>
    <s v="Ats On"/>
    <n v="1350"/>
    <s v="W11516477"/>
    <s v="Compressores Herméticos"/>
    <x v="0"/>
    <n v="1000"/>
    <n v="5004101"/>
    <s v="UNIDOCK'S ASSESSORIA E LOGISTICA DE"/>
    <n v="361.18"/>
    <d v="2025-04-02T00:00:00"/>
  </r>
  <r>
    <n v="254012506"/>
    <n v="64789166"/>
    <s v="REB"/>
    <n v="10015689"/>
    <n v="178"/>
    <s v="PEÇAS -Defeito de fabric./Sem Compressão"/>
    <s v="FUNCIONAL"/>
    <x v="1"/>
    <n v="29164"/>
    <x v="32"/>
    <s v="BA"/>
    <n v="648"/>
    <s v="Ultra"/>
    <n v="1350"/>
    <s v="W11516471"/>
    <s v="Compressores Herméticos"/>
    <x v="0"/>
    <n v="1000"/>
    <n v="5004101"/>
    <s v="UNIDOCK'S ASSESSORIA E LOGISTICA DE"/>
    <n v="361.13"/>
    <d v="2025-06-10T00:00:00"/>
  </r>
  <r>
    <n v="254012505"/>
    <n v="64789396"/>
    <s v="REB"/>
    <n v="10015689"/>
    <n v="178"/>
    <s v="PEÇAS -Defeito de fabric./Sem Compressão"/>
    <s v="FUNCIONAL"/>
    <x v="1"/>
    <n v="29164"/>
    <x v="32"/>
    <s v="BA"/>
    <n v="648"/>
    <s v="Ultra"/>
    <n v="1350"/>
    <s v="W11516471"/>
    <s v="Compressores Herméticos"/>
    <x v="0"/>
    <n v="1000"/>
    <n v="5004101"/>
    <s v="UNIDOCK'S ASSESSORIA E LOGISTICA DE"/>
    <n v="361.13"/>
    <d v="2025-06-10T00:00:00"/>
  </r>
  <r>
    <n v="254035367"/>
    <n v="64806443"/>
    <s v="REB"/>
    <n v="10015689"/>
    <n v="178"/>
    <s v="PEÇAS -Defeito de fabric./Sem Compressão"/>
    <s v="FUNCIONAL"/>
    <x v="0"/>
    <n v="29164"/>
    <x v="32"/>
    <s v="BA"/>
    <n v="648"/>
    <s v="Ultra"/>
    <n v="1350"/>
    <s v="W11516471"/>
    <s v="Compressores Herméticos"/>
    <x v="0"/>
    <n v="1000"/>
    <n v="5004101"/>
    <s v="UNIDOCK'S ASSESSORIA E LOGISTICA DE"/>
    <n v="361.13"/>
    <d v="2025-07-17T00:00:00"/>
  </r>
  <r>
    <n v="254032697"/>
    <n v="64811635"/>
    <s v="ROB"/>
    <n v="10078671"/>
    <n v="268"/>
    <s v="DEV-APREENSÃO FISCAL - VENDAS"/>
    <s v="COMERCIAL"/>
    <x v="0"/>
    <n v="85837"/>
    <x v="352"/>
    <s v="RN"/>
    <n v="698"/>
    <s v="CDP Bronze"/>
    <n v="1350"/>
    <s v="W11393157"/>
    <s v="Tampas Móveis"/>
    <x v="6"/>
    <n v="2000"/>
    <n v="5004101"/>
    <s v="UNIDOCK'S ASSESSORIA E LOGISTICA DE"/>
    <n v="361.08"/>
    <d v="2025-07-16T00:00:00"/>
  </r>
  <r>
    <n v="254033688"/>
    <n v="64795956"/>
    <s v="REB"/>
    <n v="9909503"/>
    <n v="176"/>
    <s v="PEÇAS - Defeito de fabric./Interrompido"/>
    <s v="FUNCIONAL"/>
    <x v="1"/>
    <n v="24089"/>
    <x v="134"/>
    <s v="RJ"/>
    <n v="931"/>
    <s v="Ats Off"/>
    <n v="1350"/>
    <s v="W11435390"/>
    <s v="Placas de Controle"/>
    <x v="1"/>
    <n v="1000"/>
    <n v="5003176"/>
    <s v="J C THEDIN TRANSPORTES LTDA"/>
    <n v="360.92"/>
    <d v="2025-06-23T00:00:00"/>
  </r>
  <r>
    <n v="254033423"/>
    <n v="64807194"/>
    <s v="REB"/>
    <n v="10051060"/>
    <n v="173"/>
    <s v="PEÇAS - Defeito de fabric./Alta Amperage"/>
    <s v="FUNCIONAL"/>
    <x v="2"/>
    <n v="61371"/>
    <x v="96"/>
    <s v="DF"/>
    <n v="933"/>
    <s v="Top"/>
    <n v="1350"/>
    <s v="W11300816"/>
    <s v="Mecanismos"/>
    <x v="2"/>
    <n v="3000"/>
    <n v="5002858"/>
    <s v="FAVORITA TRANSPORTES LTDA"/>
    <n v="360.66"/>
    <d v="2025-07-08T00:00:00"/>
  </r>
  <r>
    <n v="254003873"/>
    <n v="64777770"/>
    <s v="REB"/>
    <n v="9918506"/>
    <n v="173"/>
    <s v="PEÇAS - Defeito de fabric./Alta Amperage"/>
    <s v="FUNCIONAL"/>
    <x v="2"/>
    <n v="13757"/>
    <x v="14"/>
    <s v="SP"/>
    <n v="713"/>
    <s v="Key Account"/>
    <n v="1350"/>
    <s v="W10882241"/>
    <s v="Agitadores"/>
    <x v="2"/>
    <n v="11000"/>
    <n v="5004042"/>
    <s v="BRASIL WEB TRANSPORTES E LOGISTICA"/>
    <n v="360.35"/>
    <d v="2025-05-26T00:00:00"/>
  </r>
  <r>
    <n v="254007541"/>
    <n v="64783181"/>
    <s v="REB"/>
    <n v="10035612"/>
    <n v="173"/>
    <s v="PEÇAS - Defeito de fabric./Alta Amperage"/>
    <s v="FUNCIONAL"/>
    <x v="1"/>
    <n v="21330"/>
    <x v="80"/>
    <s v="PR"/>
    <n v="643"/>
    <s v="Elite"/>
    <n v="1350"/>
    <s v="W11299805"/>
    <s v="Mecanismos"/>
    <x v="2"/>
    <n v="3000"/>
    <n v="5003024"/>
    <s v="RODOBRAS TRANSPORTES RODOVIARIOS LT"/>
    <n v="359.91"/>
    <d v="2025-06-02T00:00:00"/>
  </r>
  <r>
    <s v="Sem TR"/>
    <n v="64754583"/>
    <s v="ROB"/>
    <n v="50131"/>
    <n v="671"/>
    <s v="DEV-ENVIADO PARA GESTÃO DE CONSEQUENCIA"/>
    <s v="TRANSPORTADORA"/>
    <x v="1"/>
    <n v="8975"/>
    <x v="90"/>
    <s v="MA"/>
    <n v="931"/>
    <s v="Ats Off"/>
    <n v="1350"/>
    <s v="W10512776"/>
    <s v="Tanques"/>
    <x v="9"/>
    <n v="2000"/>
    <n v="5004391"/>
    <s v="JEONCEL TRANSPORTES LTDA"/>
    <n v="359.75"/>
    <d v="2025-04-22T00:00:00"/>
  </r>
  <r>
    <n v="253930942"/>
    <n v="64703933"/>
    <s v="REB"/>
    <n v="9480807"/>
    <n v="178"/>
    <s v="PEÇAS -Defeito de fabric./Sem Compressão"/>
    <s v="FUNCIONAL"/>
    <x v="1"/>
    <n v="2898"/>
    <x v="353"/>
    <s v="CE"/>
    <n v="931"/>
    <s v="Ats Off"/>
    <n v="1350"/>
    <s v="W10393810"/>
    <s v="Compressores Herméticos"/>
    <x v="0"/>
    <n v="1000"/>
    <n v="5004101"/>
    <s v="UNIDOCK'S ASSESSORIA E LOGISTICA DE"/>
    <n v="359.56"/>
    <d v="2025-01-31T00:00:00"/>
  </r>
  <r>
    <n v="253999724"/>
    <n v="64777336"/>
    <s v="ROB"/>
    <n v="10009527"/>
    <n v="311"/>
    <s v="DEV-PRODUTO TROCADO-LOGÍSTICA"/>
    <s v="LOGÍSTICA"/>
    <x v="2"/>
    <n v="78820"/>
    <x v="114"/>
    <s v="AM"/>
    <n v="934"/>
    <s v="CDP Ouro"/>
    <n v="1350"/>
    <s v="W10882443"/>
    <s v="Placas de Controle"/>
    <x v="1"/>
    <n v="1000"/>
    <n v="5002858"/>
    <s v="FAVORITA TRANSPORTES LTDA"/>
    <n v="359.41"/>
    <d v="2025-05-23T00:00:00"/>
  </r>
  <r>
    <n v="253915556"/>
    <n v="64687698"/>
    <s v="REB"/>
    <n v="9511695"/>
    <n v="173"/>
    <s v="PEÇAS - Defeito de fabric./Alta Amperage"/>
    <s v="FUNCIONAL"/>
    <x v="1"/>
    <n v="8975"/>
    <x v="90"/>
    <s v="MA"/>
    <n v="931"/>
    <s v="Ats Off"/>
    <n v="1350"/>
    <s v="W11516471"/>
    <s v="Compressores Herméticos"/>
    <x v="0"/>
    <n v="1000"/>
    <n v="5004101"/>
    <s v="UNIDOCK'S ASSESSORIA E LOGISTICA DE"/>
    <n v="359.12"/>
    <d v="2025-01-09T00:00:00"/>
  </r>
  <r>
    <s v="Sem TR"/>
    <n v="64795576"/>
    <s v="REB"/>
    <n v="10078794"/>
    <n v="509"/>
    <s v="Qtd de peças a Menor dentro do Volume"/>
    <s v="LOGÍSTICA"/>
    <x v="2"/>
    <n v="28434"/>
    <x v="112"/>
    <s v="DF"/>
    <n v="648"/>
    <s v="Ultra"/>
    <n v="1350"/>
    <s v="W10310999"/>
    <s v="Motores Ventiladores"/>
    <x v="1"/>
    <n v="8000"/>
    <n v="5002359"/>
    <s v="EMPRESA BRASILEIRA DE CORREIOS E"/>
    <n v="358.78"/>
    <d v="2025-06-23T00:00:00"/>
  </r>
  <r>
    <n v="253879226"/>
    <n v="64641578"/>
    <s v="REB"/>
    <n v="9678498"/>
    <n v="176"/>
    <s v="PEÇAS - Defeito de fabric./Interrompido"/>
    <s v="FUNCIONAL"/>
    <x v="1"/>
    <n v="21594"/>
    <x v="97"/>
    <s v="SP"/>
    <n v="931"/>
    <s v="Ats Off"/>
    <n v="1350"/>
    <s v="W11320227"/>
    <s v="Placas de Controle"/>
    <x v="1"/>
    <n v="1000"/>
    <n v="5003254"/>
    <s v="TMA TRANSPORTE LOTACAO E LOGISTICA"/>
    <n v="358.4"/>
    <d v="2024-11-12T00:00:00"/>
  </r>
  <r>
    <n v="254038062"/>
    <n v="64814604"/>
    <s v="REB"/>
    <n v="10049171"/>
    <n v="178"/>
    <s v="PEÇAS -Defeito de fabric./Sem Compressão"/>
    <s v="FUNCIONAL"/>
    <x v="1"/>
    <n v="2666"/>
    <x v="219"/>
    <s v="RJ"/>
    <n v="931"/>
    <s v="Ats Off"/>
    <n v="1350"/>
    <s v="W11516472"/>
    <s v="Compressores Herméticos"/>
    <x v="0"/>
    <n v="1000"/>
    <n v="5003176"/>
    <s v="J C THEDIN TRANSPORTES LTDA"/>
    <n v="357.33"/>
    <d v="2025-07-22T00:00:00"/>
  </r>
  <r>
    <n v="254003947"/>
    <n v="64778081"/>
    <s v="REB"/>
    <n v="9853799"/>
    <n v="173"/>
    <s v="PEÇAS - Defeito de fabric./Alta Amperage"/>
    <s v="FUNCIONAL"/>
    <x v="2"/>
    <n v="30990"/>
    <x v="26"/>
    <s v="ES"/>
    <n v="713"/>
    <s v="Key Account"/>
    <n v="1350"/>
    <s v="W11300675"/>
    <s v="Mecanismos"/>
    <x v="2"/>
    <n v="4000"/>
    <n v="5004042"/>
    <s v="BRASIL WEB TRANSPORTES E LOGISTICA"/>
    <n v="357"/>
    <d v="2025-05-26T00:00:00"/>
  </r>
  <r>
    <n v="253913052"/>
    <n v="64683748"/>
    <s v="REB"/>
    <n v="9795297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3254"/>
    <s v="TMA TRANSPORTE LOTACAO E LOGISTICA"/>
    <n v="356.9"/>
    <d v="2025-01-06T00:00:00"/>
  </r>
  <r>
    <n v="253913052"/>
    <n v="64684559"/>
    <s v="REB"/>
    <n v="9786288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3254"/>
    <s v="TMA TRANSPORTE LOTACAO E LOGISTICA"/>
    <n v="356.9"/>
    <d v="2025-01-06T00:00:00"/>
  </r>
  <r>
    <n v="253918547"/>
    <n v="64691700"/>
    <s v="REB"/>
    <n v="9795297"/>
    <n v="173"/>
    <s v="PEÇAS - Defeito de fabric./Alta Amperage"/>
    <s v="FUNCIONAL"/>
    <x v="1"/>
    <n v="9452"/>
    <x v="42"/>
    <s v="SP"/>
    <n v="931"/>
    <s v="Ats Off"/>
    <n v="1350"/>
    <s v="W11516472"/>
    <s v="Compressores Herméticos"/>
    <x v="0"/>
    <n v="1000"/>
    <n v="5003254"/>
    <s v="TMA TRANSPORTE LOTACAO E LOGISTICA"/>
    <n v="356.9"/>
    <d v="2025-01-15T00:00:00"/>
  </r>
  <r>
    <n v="254042114"/>
    <n v="64796930"/>
    <s v="REB"/>
    <n v="9919041"/>
    <n v="178"/>
    <s v="PEÇAS -Defeito de fabric./Sem Compressão"/>
    <s v="FUNCIONAL"/>
    <x v="0"/>
    <n v="78757"/>
    <x v="50"/>
    <s v="RS"/>
    <n v="643"/>
    <s v="Elite"/>
    <n v="1350"/>
    <s v="W10233770"/>
    <s v="Compressores Herméticos"/>
    <x v="0"/>
    <n v="1000"/>
    <n v="5003024"/>
    <s v="RODOBRAS TRANSPORTES RODOVIARIOS LT"/>
    <n v="356.53"/>
    <d v="2025-06-24T00:00:00"/>
  </r>
  <r>
    <n v="254042110"/>
    <n v="64796035"/>
    <s v="REB"/>
    <n v="10007106"/>
    <n v="173"/>
    <s v="PEÇAS - Defeito de fabric./Alta Amperage"/>
    <s v="FUNCIONAL"/>
    <x v="0"/>
    <n v="81338"/>
    <x v="354"/>
    <s v="SP"/>
    <n v="644"/>
    <s v="Plus"/>
    <n v="1350"/>
    <s v="W11300675"/>
    <s v="Mecanismos"/>
    <x v="2"/>
    <n v="3000"/>
    <n v="5004042"/>
    <s v="BRASIL WEB TRANSPORTES E LOGISTICA"/>
    <n v="356.49"/>
    <d v="2025-06-23T00:00:00"/>
  </r>
  <r>
    <n v="253988871"/>
    <n v="64763739"/>
    <s v="REB"/>
    <n v="9917374"/>
    <n v="178"/>
    <s v="PEÇAS -Defeito de fabric./Sem Compressão"/>
    <s v="FUNCIONAL"/>
    <x v="1"/>
    <n v="31587"/>
    <x v="135"/>
    <s v="SP"/>
    <n v="643"/>
    <s v="Elite"/>
    <n v="1350"/>
    <s v="W11516486"/>
    <s v="Compressores Herméticos"/>
    <x v="0"/>
    <n v="1000"/>
    <n v="5004042"/>
    <s v="BRASIL WEB TRANSPORTES E LOGISTICA"/>
    <n v="356.47"/>
    <d v="2025-05-05T00:00:00"/>
  </r>
  <r>
    <n v="254018179"/>
    <n v="64793304"/>
    <s v="REB"/>
    <n v="10060631"/>
    <n v="176"/>
    <s v="PEÇAS - Defeito de fabric./Interrompido"/>
    <s v="FUNCIONAL"/>
    <x v="1"/>
    <n v="3506"/>
    <x v="46"/>
    <s v="SP"/>
    <n v="931"/>
    <s v="Ats Off"/>
    <n v="1350"/>
    <s v="W10720170"/>
    <s v="Dispensers"/>
    <x v="9"/>
    <n v="1000"/>
    <n v="5004042"/>
    <s v="BRASIL WEB TRANSPORTES E LOGISTICA"/>
    <n v="356.21"/>
    <d v="2025-06-17T00:00:00"/>
  </r>
  <r>
    <n v="253988782"/>
    <n v="64763825"/>
    <s v="REB"/>
    <n v="9963438"/>
    <n v="176"/>
    <s v="PEÇAS - Defeito de fabric./Interrompido"/>
    <s v="FUNCIONAL"/>
    <x v="2"/>
    <n v="3506"/>
    <x v="46"/>
    <s v="SP"/>
    <n v="931"/>
    <s v="Ats Off"/>
    <n v="1350"/>
    <s v="W10720170"/>
    <s v="Dispensers"/>
    <x v="9"/>
    <n v="1000"/>
    <n v="5004042"/>
    <s v="BRASIL WEB TRANSPORTES E LOGISTICA"/>
    <n v="356.21"/>
    <d v="2025-05-05T00:00:00"/>
  </r>
  <r>
    <n v="254018278"/>
    <n v="64792351"/>
    <s v="REB"/>
    <n v="9411004"/>
    <n v="176"/>
    <s v="PEÇAS - Defeito de fabric./Interrompido"/>
    <s v="FUNCIONAL"/>
    <x v="1"/>
    <n v="33403"/>
    <x v="260"/>
    <s v="RN"/>
    <n v="648"/>
    <s v="Ultra"/>
    <n v="1350"/>
    <s v="W10393810"/>
    <s v="Compressores Herméticos"/>
    <x v="0"/>
    <n v="1000"/>
    <n v="5004101"/>
    <s v="UNIDOCK'S ASSESSORIA E LOGISTICA DE"/>
    <n v="355.85"/>
    <d v="2025-06-16T00:00:00"/>
  </r>
  <r>
    <s v="Sem TR"/>
    <n v="64808778"/>
    <s v="REB"/>
    <n v="9867774"/>
    <n v="178"/>
    <s v="PEÇAS -Defeito de fabric./Sem Compressão"/>
    <s v="FUNCIONAL"/>
    <x v="1"/>
    <n v="121"/>
    <x v="75"/>
    <s v="PR"/>
    <n v="931"/>
    <s v="Ats Off"/>
    <n v="1350"/>
    <s v="W11516472"/>
    <s v="Compressores Herméticos"/>
    <x v="0"/>
    <n v="1000"/>
    <n v="5003024"/>
    <s v="RODOBRAS TRANSPORTES RODOVIARIOS LT"/>
    <n v="355.62"/>
    <d v="2025-07-22T00:00:00"/>
  </r>
  <r>
    <n v="254007613"/>
    <n v="64778183"/>
    <s v="REB"/>
    <n v="9944929"/>
    <n v="176"/>
    <s v="PEÇAS - Defeito de fabric./Interrompido"/>
    <s v="FUNCIONAL"/>
    <x v="1"/>
    <n v="76269"/>
    <x v="305"/>
    <s v="SC"/>
    <n v="931"/>
    <s v="Ats Off"/>
    <n v="1350"/>
    <s v="W11516471"/>
    <s v="Compressores Herméticos"/>
    <x v="0"/>
    <n v="1000"/>
    <n v="5003024"/>
    <s v="RODOBRAS TRANSPORTES RODOVIARIOS LT"/>
    <n v="355.62"/>
    <d v="2025-06-02T00:00:00"/>
  </r>
  <r>
    <s v="Sem TR"/>
    <n v="64725377"/>
    <s v="REB"/>
    <n v="9791779"/>
    <n v="178"/>
    <s v="PEÇAS -Defeito de fabric./Sem Compressão"/>
    <s v="FUNCIONAL"/>
    <x v="2"/>
    <n v="72785"/>
    <x v="177"/>
    <s v="SP"/>
    <n v="641"/>
    <s v="CDP Diamante"/>
    <n v="1350"/>
    <s v="W10798744"/>
    <s v="Compressores Herméticos"/>
    <x v="0"/>
    <n v="1000"/>
    <n v="5004042"/>
    <s v="BRASIL WEB TRANSPORTES E LOGISTICA"/>
    <n v="355.04"/>
    <d v="2025-03-08T00:00:00"/>
  </r>
  <r>
    <n v="253988880"/>
    <n v="64764474"/>
    <s v="REB"/>
    <n v="9729499"/>
    <n v="173"/>
    <s v="PEÇAS - Defeito de fabric./Alta Amperage"/>
    <s v="FUNCIONAL"/>
    <x v="1"/>
    <n v="42048"/>
    <x v="11"/>
    <s v="MT"/>
    <n v="644"/>
    <s v="Plus"/>
    <n v="1350"/>
    <s v="W11299803"/>
    <s v="Mecanismos"/>
    <x v="2"/>
    <n v="4000"/>
    <n v="5002573"/>
    <s v="CARVALIMA TRANSPORTES LTDA"/>
    <n v="354.36"/>
    <d v="2025-05-05T00:00:00"/>
  </r>
  <r>
    <n v="253970807"/>
    <n v="64748899"/>
    <s v="REB"/>
    <n v="8957365"/>
    <n v="173"/>
    <s v="PEÇAS - Defeito de fabric./Alta Amperage"/>
    <s v="FUNCIONAL"/>
    <x v="1"/>
    <n v="42048"/>
    <x v="11"/>
    <s v="MT"/>
    <n v="644"/>
    <s v="Plus"/>
    <n v="1350"/>
    <n v="326061172"/>
    <s v="Placas de Controle"/>
    <x v="1"/>
    <n v="1000"/>
    <n v="5002573"/>
    <s v="CARVALIMA TRANSPORTES LTDA"/>
    <n v="354.04"/>
    <d v="2025-04-09T00:00:00"/>
  </r>
  <r>
    <n v="253961415"/>
    <n v="64731253"/>
    <s v="REB"/>
    <n v="9802265"/>
    <n v="177"/>
    <s v="PEÇAS - Defeito de fabric./Ruído"/>
    <s v="FUNCIONAL"/>
    <x v="1"/>
    <n v="80432"/>
    <x v="3"/>
    <s v="ES"/>
    <n v="713"/>
    <s v="Key Account"/>
    <n v="1350"/>
    <s v="W11300675"/>
    <s v="Mecanismos"/>
    <x v="2"/>
    <n v="4000"/>
    <n v="5004042"/>
    <s v="BRASIL WEB TRANSPORTES E LOGISTICA"/>
    <n v="354"/>
    <d v="2025-03-26T00:00:00"/>
  </r>
  <r>
    <n v="254038394"/>
    <n v="64814126"/>
    <s v="REB"/>
    <n v="10124591"/>
    <n v="167"/>
    <s v="PEÇAS - Avaria - Quebrada/Depósito"/>
    <s v="LOGÍSTICA"/>
    <x v="1"/>
    <n v="72786"/>
    <x v="41"/>
    <s v="SC"/>
    <n v="643"/>
    <s v="Elite"/>
    <n v="1350"/>
    <n v="326063836"/>
    <s v="Prateleiras"/>
    <x v="9"/>
    <n v="8000"/>
    <n v="5003024"/>
    <s v="RODOBRAS TRANSPORTES RODOVIARIOS LT"/>
    <n v="353.92"/>
    <d v="2025-07-22T00:00:00"/>
  </r>
  <r>
    <n v="254033440"/>
    <n v="64802817"/>
    <s v="REB"/>
    <n v="10100324"/>
    <n v="173"/>
    <s v="PEÇAS - Defeito de fabric./Alta Amperage"/>
    <s v="FUNCIONAL"/>
    <x v="1"/>
    <n v="69166"/>
    <x v="129"/>
    <s v="RJ"/>
    <n v="931"/>
    <s v="Ats Off"/>
    <n v="1350"/>
    <n v="326075625"/>
    <s v="Placas de Controle"/>
    <x v="1"/>
    <n v="2000"/>
    <n v="5003176"/>
    <s v="J C THEDIN TRANSPORTES LTDA"/>
    <n v="353.77"/>
    <d v="2025-07-01T00:00:00"/>
  </r>
  <r>
    <n v="253970808"/>
    <n v="64748866"/>
    <s v="REB"/>
    <n v="9957754"/>
    <n v="178"/>
    <s v="PEÇAS -Defeito de fabric./Sem Compressão"/>
    <s v="FUNCIONAL"/>
    <x v="2"/>
    <n v="42455"/>
    <x v="81"/>
    <s v="SP"/>
    <n v="931"/>
    <s v="Ats Off"/>
    <n v="1350"/>
    <s v="W11516472"/>
    <s v="Compressores Herméticos"/>
    <x v="0"/>
    <n v="1000"/>
    <n v="5004042"/>
    <s v="BRASIL WEB TRANSPORTES E LOGISTICA"/>
    <n v="353.47"/>
    <d v="2025-04-09T00:00:00"/>
  </r>
  <r>
    <n v="254042298"/>
    <n v="64796122"/>
    <s v="REB"/>
    <n v="9846833"/>
    <n v="173"/>
    <s v="PEÇAS - Defeito de fabric./Alta Amperage"/>
    <s v="FUNCIONAL"/>
    <x v="0"/>
    <n v="70555"/>
    <x v="150"/>
    <s v="SC"/>
    <n v="648"/>
    <s v="Ultra"/>
    <n v="1350"/>
    <s v="W11251564"/>
    <s v="Placas de Controle"/>
    <x v="1"/>
    <n v="1000"/>
    <n v="5003024"/>
    <s v="RODOBRAS TRANSPORTES RODOVIARIOS LT"/>
    <n v="353.25"/>
    <d v="2025-06-23T00:00:00"/>
  </r>
  <r>
    <n v="253970683"/>
    <n v="64748194"/>
    <s v="REB"/>
    <n v="9900141"/>
    <n v="173"/>
    <s v="PEÇAS - Defeito de fabric./Alta Amperage"/>
    <s v="FUNCIONAL"/>
    <x v="1"/>
    <n v="3236"/>
    <x v="45"/>
    <s v="SP"/>
    <n v="931"/>
    <s v="Ats Off"/>
    <n v="1350"/>
    <s v="W10875103"/>
    <s v="Motores Ventiladores"/>
    <x v="1"/>
    <n v="1000"/>
    <n v="5004042"/>
    <s v="BRASIL WEB TRANSPORTES E LOGISTICA"/>
    <n v="352.66"/>
    <d v="2025-04-09T00:00:00"/>
  </r>
  <r>
    <n v="254004032"/>
    <n v="64777582"/>
    <s v="REB"/>
    <n v="9500606"/>
    <n v="178"/>
    <s v="PEÇAS -Defeito de fabric./Sem Compressão"/>
    <s v="FUNCIONAL"/>
    <x v="1"/>
    <n v="61868"/>
    <x v="290"/>
    <s v="MA"/>
    <n v="643"/>
    <s v="Elite"/>
    <n v="1350"/>
    <s v="W10769940"/>
    <s v="Compressores Herméticos"/>
    <x v="0"/>
    <n v="1000"/>
    <n v="5004101"/>
    <s v="UNIDOCK'S ASSESSORIA E LOGISTICA DE"/>
    <n v="352.54"/>
    <d v="2025-05-26T00:00:00"/>
  </r>
  <r>
    <n v="253931143"/>
    <n v="64704145"/>
    <s v="REB"/>
    <n v="9500606"/>
    <n v="178"/>
    <s v="PEÇAS -Defeito de fabric./Sem Compressão"/>
    <s v="FUNCIONAL"/>
    <x v="1"/>
    <n v="61868"/>
    <x v="290"/>
    <s v="MA"/>
    <n v="643"/>
    <s v="Elite"/>
    <n v="1350"/>
    <s v="W10769940"/>
    <s v="Compressores Herméticos"/>
    <x v="0"/>
    <n v="1000"/>
    <n v="5004101"/>
    <s v="UNIDOCK'S ASSESSORIA E LOGISTICA DE"/>
    <n v="352.54"/>
    <d v="2025-01-31T00:00:00"/>
  </r>
  <r>
    <n v="253948558"/>
    <n v="64726468"/>
    <s v="REB"/>
    <n v="9500606"/>
    <n v="178"/>
    <s v="PEÇAS -Defeito de fabric./Sem Compressão"/>
    <s v="FUNCIONAL"/>
    <x v="1"/>
    <n v="61868"/>
    <x v="290"/>
    <s v="MA"/>
    <n v="643"/>
    <s v="Elite"/>
    <n v="1350"/>
    <s v="W10769940"/>
    <s v="Compressores Herméticos"/>
    <x v="0"/>
    <n v="1000"/>
    <n v="5004101"/>
    <s v="UNIDOCK'S ASSESSORIA E LOGISTICA DE"/>
    <n v="352.54"/>
    <d v="2025-03-07T00:00:00"/>
  </r>
  <r>
    <n v="253931146"/>
    <n v="64704090"/>
    <s v="REB"/>
    <n v="9500606"/>
    <n v="178"/>
    <s v="PEÇAS -Defeito de fabric./Sem Compressão"/>
    <s v="FUNCIONAL"/>
    <x v="1"/>
    <n v="61868"/>
    <x v="290"/>
    <s v="MA"/>
    <n v="643"/>
    <s v="Elite"/>
    <n v="1350"/>
    <s v="W10769940"/>
    <s v="Compressores Herméticos"/>
    <x v="0"/>
    <n v="1000"/>
    <n v="5004101"/>
    <s v="UNIDOCK'S ASSESSORIA E LOGISTICA DE"/>
    <n v="352.54"/>
    <d v="2025-01-31T00:00:00"/>
  </r>
  <r>
    <n v="253931147"/>
    <n v="64704154"/>
    <s v="REB"/>
    <n v="9500606"/>
    <n v="178"/>
    <s v="PEÇAS -Defeito de fabric./Sem Compressão"/>
    <s v="FUNCIONAL"/>
    <x v="1"/>
    <n v="61868"/>
    <x v="290"/>
    <s v="MA"/>
    <n v="643"/>
    <s v="Elite"/>
    <n v="1350"/>
    <s v="W10769940"/>
    <s v="Compressores Herméticos"/>
    <x v="0"/>
    <n v="1000"/>
    <n v="5004101"/>
    <s v="UNIDOCK'S ASSESSORIA E LOGISTICA DE"/>
    <n v="352.54"/>
    <d v="2025-01-31T00:00:00"/>
  </r>
  <r>
    <n v="253970894"/>
    <n v="64748386"/>
    <s v="REB"/>
    <n v="9500606"/>
    <n v="178"/>
    <s v="PEÇAS -Defeito de fabric./Sem Compressão"/>
    <s v="FUNCIONAL"/>
    <x v="2"/>
    <n v="61868"/>
    <x v="290"/>
    <s v="MA"/>
    <n v="643"/>
    <s v="Elite"/>
    <n v="1350"/>
    <s v="W10769940"/>
    <s v="Compressores Herméticos"/>
    <x v="0"/>
    <n v="1000"/>
    <n v="5004101"/>
    <s v="UNIDOCK'S ASSESSORIA E LOGISTICA DE"/>
    <n v="352.54"/>
    <d v="2025-04-09T00:00:00"/>
  </r>
  <r>
    <n v="254042088"/>
    <n v="64795426"/>
    <s v="REB"/>
    <n v="9967934"/>
    <n v="173"/>
    <s v="PEÇAS - Defeito de fabric./Alta Amperage"/>
    <s v="FUNCIONAL"/>
    <x v="0"/>
    <n v="70555"/>
    <x v="150"/>
    <s v="SC"/>
    <n v="648"/>
    <s v="Ultra"/>
    <n v="1350"/>
    <s v="W11251568"/>
    <s v="Placas de Controle"/>
    <x v="1"/>
    <n v="1000"/>
    <n v="5003024"/>
    <s v="RODOBRAS TRANSPORTES RODOVIARIOS LT"/>
    <n v="352.24"/>
    <d v="2025-06-23T00:00:00"/>
  </r>
  <r>
    <n v="254007539"/>
    <n v="64780907"/>
    <s v="REB"/>
    <n v="9646945"/>
    <n v="178"/>
    <s v="PEÇAS -Defeito de fabric./Sem Compressão"/>
    <s v="FUNCIONAL"/>
    <x v="2"/>
    <n v="20602"/>
    <x v="355"/>
    <s v="SP"/>
    <n v="350"/>
    <s v="Ats On"/>
    <n v="1350"/>
    <s v="W11647662"/>
    <s v="Compressores Herméticos"/>
    <x v="0"/>
    <n v="1000"/>
    <n v="5004042"/>
    <s v="BRASIL WEB TRANSPORTES E LOGISTICA"/>
    <n v="351.73"/>
    <d v="2025-06-02T00:00:00"/>
  </r>
  <r>
    <n v="254018223"/>
    <n v="64793114"/>
    <s v="REB"/>
    <n v="10052937"/>
    <n v="173"/>
    <s v="PEÇAS - Defeito de fabric./Alta Amperage"/>
    <s v="FUNCIONAL"/>
    <x v="1"/>
    <n v="10164"/>
    <x v="183"/>
    <s v="PB"/>
    <n v="931"/>
    <s v="Ats Off"/>
    <n v="1350"/>
    <s v="W11345788"/>
    <s v="Motores Ventiladores"/>
    <x v="1"/>
    <n v="1000"/>
    <n v="5004101"/>
    <s v="UNIDOCK'S ASSESSORIA E LOGISTICA DE"/>
    <n v="351.15"/>
    <d v="2025-06-17T00:00:00"/>
  </r>
  <r>
    <s v="Sem TR"/>
    <n v="64768421"/>
    <s v="ROB"/>
    <n v="50555"/>
    <n v="671"/>
    <s v="DEV-ENVIADO PARA GESTÃO DE CONSEQUENCIA"/>
    <s v="TRANSPORTADORA"/>
    <x v="2"/>
    <n v="12692"/>
    <x v="82"/>
    <s v="BA"/>
    <n v="641"/>
    <s v="CDP Diamante"/>
    <n v="1550"/>
    <n v="360480"/>
    <s v="Correias"/>
    <x v="2"/>
    <n v="15000"/>
    <n v="5004391"/>
    <s v="JEONCEL TRANSPORTES LTDA"/>
    <n v="350.17"/>
    <d v="2025-05-12T00:00:00"/>
  </r>
  <r>
    <n v="254018240"/>
    <n v="64793108"/>
    <s v="REB"/>
    <n v="10030923"/>
    <n v="168"/>
    <s v="PEÇAS-Def.Fabric.Empenamento/Abaulamento"/>
    <s v="FUNCIONAL"/>
    <x v="1"/>
    <n v="27337"/>
    <x v="145"/>
    <s v="RJ"/>
    <n v="641"/>
    <s v="CDP Diamante"/>
    <n v="1350"/>
    <s v="W10888353"/>
    <s v="Condensadores"/>
    <x v="0"/>
    <n v="1000"/>
    <n v="5003176"/>
    <s v="J C THEDIN TRANSPORTES LTDA"/>
    <n v="350.02"/>
    <d v="2025-06-17T00:00:00"/>
  </r>
  <r>
    <s v="Sem TR"/>
    <n v="64812425"/>
    <s v="REB"/>
    <n v="9785242"/>
    <n v="178"/>
    <s v="PEÇAS -Defeito de fabric./Sem Compressão"/>
    <s v="FUNCIONAL"/>
    <x v="1"/>
    <n v="72497"/>
    <x v="356"/>
    <s v="SC"/>
    <n v="933"/>
    <s v="Top"/>
    <n v="1350"/>
    <s v="W11741179"/>
    <s v="Outros"/>
    <x v="7"/>
    <n v="1000"/>
    <n v="5003024"/>
    <s v="RODOBRAS TRANSPORTES RODOVIARIOS LT"/>
    <n v="349.59"/>
    <d v="2025-07-17T00:00:00"/>
  </r>
  <r>
    <n v="254028928"/>
    <n v="64804090"/>
    <s v="REB"/>
    <n v="10090172"/>
    <n v="173"/>
    <s v="PEÇAS - Defeito de fabric./Alta Amperage"/>
    <s v="FUNCIONAL"/>
    <x v="1"/>
    <n v="67948"/>
    <x v="15"/>
    <s v="SC"/>
    <n v="713"/>
    <s v="Key Account"/>
    <n v="1350"/>
    <s v="W11300816"/>
    <s v="Mecanismos"/>
    <x v="2"/>
    <n v="3000"/>
    <n v="5003024"/>
    <s v="RODOBRAS TRANSPORTES RODOVIARIOS LT"/>
    <n v="349.35"/>
    <d v="2025-07-02T00:00:00"/>
  </r>
  <r>
    <s v="Sem TR"/>
    <n v="64808488"/>
    <s v="REB"/>
    <n v="10124480"/>
    <n v="104"/>
    <s v="PEÇAS-Código trocado(embalag X conteúdo)"/>
    <s v="LOGÍSTICA"/>
    <x v="1"/>
    <n v="31030"/>
    <x v="357"/>
    <s v="RS"/>
    <n v="934"/>
    <s v="CDP Ouro"/>
    <n v="1350"/>
    <s v="W10417020"/>
    <s v="Portas"/>
    <x v="6"/>
    <n v="1000"/>
    <n v="5003024"/>
    <s v="RODOBRAS TRANSPORTES RODOVIARIOS LT"/>
    <n v="349"/>
    <d v="2025-07-17T00:00:00"/>
  </r>
  <r>
    <n v="253961396"/>
    <n v="64737874"/>
    <s v="REB"/>
    <n v="9908549"/>
    <n v="173"/>
    <s v="PEÇAS - Defeito de fabric./Alta Amperage"/>
    <s v="FUNCIONAL"/>
    <x v="1"/>
    <n v="72911"/>
    <x v="61"/>
    <s v="SP"/>
    <n v="931"/>
    <s v="Ats Off"/>
    <n v="1350"/>
    <s v="W11516472"/>
    <s v="Compressores Herméticos"/>
    <x v="0"/>
    <n v="1000"/>
    <n v="5004042"/>
    <s v="BRASIL WEB TRANSPORTES E LOGISTICA"/>
    <n v="348.99"/>
    <d v="2025-03-25T00:00:00"/>
  </r>
  <r>
    <n v="253883067"/>
    <n v="64649968"/>
    <s v="REB"/>
    <n v="9450368"/>
    <n v="173"/>
    <s v="PEÇAS - Defeito de fabric./Alta Amperage"/>
    <s v="FUNCIONAL"/>
    <x v="1"/>
    <n v="54552"/>
    <x v="358"/>
    <s v="SP"/>
    <n v="934"/>
    <s v="CDP Ouro"/>
    <n v="1350"/>
    <s v="W10393809"/>
    <s v="Compressores Herméticos"/>
    <x v="0"/>
    <n v="1000"/>
    <n v="5003482"/>
    <s v="TMA TRANSPORTE LOTACAO E LOGISTICA"/>
    <n v="348.29"/>
    <d v="2024-11-21T00:00:00"/>
  </r>
  <r>
    <n v="254018279"/>
    <n v="64792465"/>
    <s v="REB"/>
    <n v="10007849"/>
    <n v="90"/>
    <s v="CLIENTE-não solicitou"/>
    <s v="COMERCIAL"/>
    <x v="1"/>
    <n v="33574"/>
    <x v="288"/>
    <s v="PE"/>
    <n v="350"/>
    <s v="Ats On"/>
    <n v="1350"/>
    <s v="W10882443"/>
    <s v="Placas de Controle"/>
    <x v="1"/>
    <n v="1000"/>
    <n v="5004101"/>
    <s v="UNIDOCK'S ASSESSORIA E LOGISTICA DE"/>
    <n v="348.09"/>
    <d v="2025-06-16T00:00:00"/>
  </r>
  <r>
    <s v="Sem TR"/>
    <n v="64797563"/>
    <s v="ZRDI"/>
    <n v="10066258"/>
    <s v="D25"/>
    <s v="DEV D2C - Prob na entrega (Não recebi)"/>
    <s v="TRANSPORTADORA"/>
    <x v="2"/>
    <n v="4619635"/>
    <x v="359"/>
    <s v="RJ"/>
    <n v="474"/>
    <s v="Site Brastemp"/>
    <n v="1352"/>
    <s v="W10320833"/>
    <s v="Filtros"/>
    <x v="5"/>
    <n v="2000"/>
    <n v="5002359"/>
    <s v="EMPRESA BRASILEIRA DE CORREIOS E"/>
    <n v="348.08"/>
    <d v="2025-06-26T00:00:00"/>
  </r>
  <r>
    <s v="Sem TR"/>
    <n v="64797563"/>
    <s v="ZRDI"/>
    <n v="10066258"/>
    <s v="D25"/>
    <s v="DEV D2C - Prob na entrega (Não recebi)"/>
    <s v="TRANSPORTADORA"/>
    <x v="2"/>
    <n v="4619635"/>
    <x v="359"/>
    <s v="RJ"/>
    <n v="474"/>
    <s v="Site Brastemp"/>
    <n v="1352"/>
    <s v="W10320833"/>
    <s v="Filtros"/>
    <x v="5"/>
    <n v="2000"/>
    <n v="5002359"/>
    <s v="EMPRESA BRASILEIRA DE CORREIOS E"/>
    <n v="348.08"/>
    <d v="2025-06-26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606115"/>
    <s v="Polias/Roldanas"/>
    <x v="2"/>
    <n v="30000"/>
    <n v="5002359"/>
    <s v="EMPRESA BRASILEIRA DE CORREIOS E"/>
    <n v="347.98"/>
    <d v="2025-07-08T00:00:00"/>
  </r>
  <r>
    <n v="253952262"/>
    <n v="64728449"/>
    <s v="REB"/>
    <n v="9798263"/>
    <n v="176"/>
    <s v="PEÇAS - Defeito de fabric./Interrompido"/>
    <s v="FUNCIONAL"/>
    <x v="1"/>
    <n v="30847"/>
    <x v="87"/>
    <s v="SP"/>
    <n v="644"/>
    <s v="Plus"/>
    <n v="1350"/>
    <s v="W10416689"/>
    <s v="Placas de Controle"/>
    <x v="1"/>
    <n v="1000"/>
    <n v="5004042"/>
    <s v="BRASIL WEB TRANSPORTES E LOGISTICA"/>
    <n v="347.74"/>
    <d v="2025-03-10T00:00:00"/>
  </r>
  <r>
    <n v="253988867"/>
    <n v="64764190"/>
    <s v="REB"/>
    <n v="9909606"/>
    <n v="173"/>
    <s v="PEÇAS - Defeito de fabric./Alta Amperage"/>
    <s v="FUNCIONAL"/>
    <x v="2"/>
    <n v="31063"/>
    <x v="308"/>
    <s v="RJ"/>
    <n v="644"/>
    <s v="Plus"/>
    <n v="1350"/>
    <s v="W11458014"/>
    <s v="Placas de Controle"/>
    <x v="1"/>
    <n v="1000"/>
    <n v="5003176"/>
    <s v="J C THEDIN TRANSPORTES LTDA"/>
    <n v="347.57"/>
    <d v="2025-05-05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0553787"/>
    <s v="Motores Ventiladores"/>
    <x v="1"/>
    <n v="5000"/>
    <n v="5004101"/>
    <s v="UNIDOCK'S ASSESSORIA E LOGISTICA DE"/>
    <n v="347.44"/>
    <d v="2025-07-16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0531315"/>
    <s v="Sensores"/>
    <x v="3"/>
    <n v="40000"/>
    <n v="5004101"/>
    <s v="UNIDOCK'S ASSESSORIA E LOGISTICA DE"/>
    <n v="347.19"/>
    <d v="2025-03-13T00:00:00"/>
  </r>
  <r>
    <n v="254009042"/>
    <n v="64787745"/>
    <s v="REB"/>
    <n v="10056147"/>
    <n v="220"/>
    <s v="DEV-Avaria 1 trecho transp - Produto"/>
    <s v="QUALIDADE"/>
    <x v="1"/>
    <n v="21621"/>
    <x v="325"/>
    <s v="SP"/>
    <n v="350"/>
    <s v="Ats On"/>
    <n v="1350"/>
    <s v="W11320161"/>
    <s v="Vidros"/>
    <x v="6"/>
    <n v="1000"/>
    <n v="5004042"/>
    <s v="BRASIL WEB TRANSPORTES E LOGISTICA"/>
    <n v="346.32"/>
    <d v="2025-06-06T00:00:00"/>
  </r>
  <r>
    <n v="254018235"/>
    <n v="64792272"/>
    <s v="REB"/>
    <n v="10058904"/>
    <n v="90"/>
    <s v="CLIENTE-não solicitou"/>
    <s v="COMERCIAL"/>
    <x v="1"/>
    <n v="21621"/>
    <x v="325"/>
    <s v="SP"/>
    <n v="350"/>
    <s v="Ats On"/>
    <n v="1350"/>
    <s v="W11320161"/>
    <s v="Vidros"/>
    <x v="6"/>
    <n v="1000"/>
    <n v="5004042"/>
    <s v="BRASIL WEB TRANSPORTES E LOGISTICA"/>
    <n v="346.32"/>
    <d v="2025-06-16T00:00:00"/>
  </r>
  <r>
    <n v="254041647"/>
    <n v="64789486"/>
    <s v="REB"/>
    <n v="9292774"/>
    <n v="176"/>
    <s v="PEÇAS - Defeito de fabric./Interrompido"/>
    <s v="FUNCIONAL"/>
    <x v="1"/>
    <n v="36065"/>
    <x v="7"/>
    <s v="GO"/>
    <n v="643"/>
    <s v="Elite"/>
    <n v="1350"/>
    <s v="W10393810"/>
    <s v="Compressores Herméticos"/>
    <x v="0"/>
    <n v="1000"/>
    <n v="5002858"/>
    <s v="FAVORITA TRANSPORTES LTDA"/>
    <n v="346.21"/>
    <d v="2025-06-23T00:00:00"/>
  </r>
  <r>
    <n v="253997976"/>
    <n v="64771951"/>
    <s v="REB"/>
    <n v="9894539"/>
    <n v="173"/>
    <s v="PEÇAS - Defeito de fabric./Alta Amperage"/>
    <s v="FUNCIONAL"/>
    <x v="2"/>
    <n v="49243"/>
    <x v="67"/>
    <s v="MS"/>
    <n v="643"/>
    <s v="Elite"/>
    <n v="1350"/>
    <s v="W11366400"/>
    <s v="Placas de Controle"/>
    <x v="1"/>
    <n v="1000"/>
    <n v="5002573"/>
    <s v="CARVALIMA TRANSPORTES LTDA"/>
    <n v="346.03"/>
    <d v="2025-05-20T00:00:00"/>
  </r>
  <r>
    <s v="Sem TR"/>
    <n v="64817640"/>
    <s v="REB"/>
    <n v="9667935"/>
    <n v="178"/>
    <s v="PEÇAS -Defeito de fabric./Sem Compressão"/>
    <s v="FUNCIONAL"/>
    <x v="1"/>
    <n v="28684"/>
    <x v="235"/>
    <s v="SP"/>
    <n v="648"/>
    <s v="Ultra"/>
    <n v="1350"/>
    <s v="W10393809"/>
    <s v="Compressores Herméticos"/>
    <x v="0"/>
    <n v="1000"/>
    <n v="5004042"/>
    <s v="BRASIL WEB TRANSPORTES E LOGISTICA"/>
    <n v="345.88"/>
    <d v="2025-07-25T00:00:00"/>
  </r>
  <r>
    <n v="254041603"/>
    <n v="64726428"/>
    <s v="ZDVP"/>
    <n v="8135112"/>
    <n v="178"/>
    <s v="PEÇAS -Defeito de fabric./Sem Compressão"/>
    <s v="FUNCIONAL"/>
    <x v="0"/>
    <n v="27253"/>
    <x v="167"/>
    <s v="PI"/>
    <n v="931"/>
    <s v="Ats Off"/>
    <n v="1350"/>
    <s v="W10769940"/>
    <s v="Compressores Herméticos"/>
    <x v="0"/>
    <n v="1000"/>
    <n v="5004101"/>
    <s v="UNIDOCK'S ASSESSORIA E LOGISTICA DE"/>
    <n v="345.23"/>
    <d v="2025-03-10T00:00:00"/>
  </r>
  <r>
    <n v="253948447"/>
    <n v="64696733"/>
    <s v="REB"/>
    <n v="9869616"/>
    <n v="109"/>
    <s v="PEÇAS-Erro de catálogo/BT"/>
    <s v="ENGENHARIA"/>
    <x v="2"/>
    <n v="3677"/>
    <x v="360"/>
    <s v="SP"/>
    <n v="931"/>
    <s v="Ats Off"/>
    <n v="1350"/>
    <n v="326043845"/>
    <s v="Portas"/>
    <x v="6"/>
    <n v="1000"/>
    <n v="5004042"/>
    <s v="BRASIL WEB TRANSPORTES E LOGISTICA"/>
    <n v="345.22"/>
    <d v="2025-02-28T00:00:00"/>
  </r>
  <r>
    <s v="Sem TR"/>
    <n v="64768430"/>
    <s v="ROB"/>
    <n v="50604"/>
    <n v="671"/>
    <s v="DEV-ENVIADO PARA GESTÃO DE CONSEQUENCIA"/>
    <s v="TRANSPORTADORA"/>
    <x v="2"/>
    <n v="79755"/>
    <x v="329"/>
    <s v="BA"/>
    <n v="934"/>
    <s v="CDP Ouro"/>
    <n v="1550"/>
    <s v="W10700346"/>
    <s v="Placas de Controle"/>
    <x v="1"/>
    <n v="2000"/>
    <n v="5004391"/>
    <s v="JEONCEL TRANSPORTES LTDA"/>
    <n v="345.12"/>
    <d v="2025-05-12T00:00:00"/>
  </r>
  <r>
    <s v="Sem TR"/>
    <n v="64792489"/>
    <s v="REB"/>
    <n v="9985171"/>
    <n v="176"/>
    <s v="PEÇAS - Defeito de fabric./Interrompido"/>
    <s v="FUNCIONAL"/>
    <x v="1"/>
    <n v="25656"/>
    <x v="173"/>
    <s v="SP"/>
    <n v="931"/>
    <s v="Ats Off"/>
    <n v="1350"/>
    <s v="W10882241"/>
    <s v="Agitadores"/>
    <x v="2"/>
    <n v="6000"/>
    <n v="5004042"/>
    <s v="BRASIL WEB TRANSPORTES E LOGISTICA"/>
    <n v="344.95"/>
    <d v="2025-06-16T00:00:00"/>
  </r>
  <r>
    <n v="254035380"/>
    <n v="64812696"/>
    <s v="REB"/>
    <n v="9687630"/>
    <n v="176"/>
    <s v="PEÇAS - Defeito de fabric./Interrompido"/>
    <s v="FUNCIONAL"/>
    <x v="1"/>
    <n v="36065"/>
    <x v="7"/>
    <s v="GO"/>
    <n v="643"/>
    <s v="Elite"/>
    <n v="1350"/>
    <s v="W10769940"/>
    <s v="Compressores Herméticos"/>
    <x v="0"/>
    <n v="1000"/>
    <n v="5002858"/>
    <s v="FAVORITA TRANSPORTES LTDA"/>
    <n v="344.86"/>
    <d v="2025-07-17T00:00:00"/>
  </r>
  <r>
    <n v="253952176"/>
    <n v="64727337"/>
    <s v="REB"/>
    <n v="9711809"/>
    <n v="173"/>
    <s v="PEÇAS - Defeito de fabric./Alta Amperage"/>
    <s v="FUNCIONAL"/>
    <x v="2"/>
    <n v="13757"/>
    <x v="14"/>
    <s v="SP"/>
    <n v="713"/>
    <s v="Key Account"/>
    <n v="1350"/>
    <s v="W10827973"/>
    <s v="Placas de Controle"/>
    <x v="1"/>
    <n v="1000"/>
    <n v="5004042"/>
    <s v="BRASIL WEB TRANSPORTES E LOGISTICA"/>
    <n v="344.81"/>
    <d v="2025-03-08T00:00:00"/>
  </r>
  <r>
    <n v="253919570"/>
    <n v="64694161"/>
    <s v="REB"/>
    <n v="9750514"/>
    <n v="220"/>
    <s v="DEV-Avaria 1 trecho transp - Produto"/>
    <s v="QUALIDADE"/>
    <x v="1"/>
    <n v="82140"/>
    <x v="361"/>
    <s v="SC"/>
    <n v="934"/>
    <s v="CDP Ouro"/>
    <n v="1350"/>
    <s v="W10888353"/>
    <s v="Condensadores"/>
    <x v="0"/>
    <n v="1000"/>
    <n v="5003024"/>
    <s v="RODOBRAS TRANSPORTES RODOVIARIOS LT"/>
    <n v="344.63"/>
    <d v="2025-01-17T00:00:00"/>
  </r>
  <r>
    <n v="254033254"/>
    <n v="64802819"/>
    <s v="REB"/>
    <n v="9997463"/>
    <n v="173"/>
    <s v="PEÇAS - Defeito de fabric./Alta Amperage"/>
    <s v="FUNCIONAL"/>
    <x v="1"/>
    <n v="1334"/>
    <x v="188"/>
    <s v="PI"/>
    <n v="350"/>
    <s v="Ats On"/>
    <n v="1350"/>
    <s v="W11516486"/>
    <s v="Compressores Herméticos"/>
    <x v="0"/>
    <n v="1000"/>
    <n v="5004101"/>
    <s v="UNIDOCK'S ASSESSORIA E LOGISTICA DE"/>
    <n v="344.53"/>
    <d v="2025-07-01T00:00:00"/>
  </r>
  <r>
    <s v="Sem TR"/>
    <n v="64809040"/>
    <s v="ZRDI"/>
    <n v="10134494"/>
    <s v="D10"/>
    <s v="DEV D2C - Comprou modelo errado"/>
    <s v="COMERCIAL"/>
    <x v="2"/>
    <n v="54955372"/>
    <x v="362"/>
    <s v="SP"/>
    <n v="474"/>
    <s v="Site Brastemp"/>
    <n v="1352"/>
    <s v="W11217869"/>
    <s v="Gavetas"/>
    <x v="9"/>
    <n v="1000"/>
    <n v="5002359"/>
    <s v="EMPRESA BRASILEIRA DE CORREIOS E"/>
    <n v="344.28"/>
    <d v="2025-07-22T00:00:00"/>
  </r>
  <r>
    <s v="Sem TR"/>
    <n v="64809040"/>
    <s v="ZRDI"/>
    <n v="10134494"/>
    <s v="D10"/>
    <s v="DEV D2C - Comprou modelo errado"/>
    <s v="COMERCIAL"/>
    <x v="2"/>
    <n v="54955372"/>
    <x v="362"/>
    <s v="SP"/>
    <n v="474"/>
    <s v="Site Brastemp"/>
    <n v="1352"/>
    <s v="W11217869"/>
    <s v="Gavetas"/>
    <x v="9"/>
    <n v="1000"/>
    <n v="5002359"/>
    <s v="EMPRESA BRASILEIRA DE CORREIOS E"/>
    <n v="344.28"/>
    <d v="2025-07-22T00:00:00"/>
  </r>
  <r>
    <n v="253992773"/>
    <n v="64762418"/>
    <s v="REB"/>
    <n v="9889395"/>
    <n v="173"/>
    <s v="PEÇAS - Defeito de fabric./Alta Amperage"/>
    <s v="FUNCIONAL"/>
    <x v="1"/>
    <n v="77746"/>
    <x v="119"/>
    <s v="GO"/>
    <n v="933"/>
    <s v="Top"/>
    <n v="1350"/>
    <s v="W10827973"/>
    <s v="Placas de Controle"/>
    <x v="1"/>
    <n v="1000"/>
    <n v="5002858"/>
    <s v="FAVORITA TRANSPORTES LTDA"/>
    <n v="344.16"/>
    <d v="2025-05-12T00:00:00"/>
  </r>
  <r>
    <s v="Sem TR"/>
    <n v="64795865"/>
    <s v="ZRDI"/>
    <n v="10091539"/>
    <s v="D10"/>
    <s v="DEV D2C - Comprou modelo errado"/>
    <s v="COMERCIAL"/>
    <x v="2"/>
    <n v="54667998"/>
    <x v="363"/>
    <s v="MG"/>
    <n v="474"/>
    <s v="Site Brastemp"/>
    <n v="1352"/>
    <s v="W10746509"/>
    <s v="Manípulos"/>
    <x v="6"/>
    <n v="5000"/>
    <n v="5002359"/>
    <s v="EMPRESA BRASILEIRA DE CORREIOS E"/>
    <n v="344.1"/>
    <d v="2025-06-23T00:00:00"/>
  </r>
  <r>
    <s v="Sem TR"/>
    <n v="64795865"/>
    <s v="ZRDI"/>
    <n v="10091539"/>
    <s v="D10"/>
    <s v="DEV D2C - Comprou modelo errado"/>
    <s v="COMERCIAL"/>
    <x v="2"/>
    <n v="54667998"/>
    <x v="363"/>
    <s v="MG"/>
    <n v="474"/>
    <s v="Site Brastemp"/>
    <n v="1352"/>
    <s v="W10746509"/>
    <s v="Manípulos"/>
    <x v="6"/>
    <n v="5000"/>
    <n v="5002359"/>
    <s v="EMPRESA BRASILEIRA DE CORREIOS E"/>
    <n v="344.1"/>
    <d v="2025-06-23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617044"/>
    <s v="Pressostatos"/>
    <x v="3"/>
    <n v="10000"/>
    <n v="5004042"/>
    <s v="BRASIL WEB TRANSPORTES E LOGISTICA"/>
    <n v="344.07"/>
    <d v="2025-05-26T00:00:00"/>
  </r>
  <r>
    <s v="Sem TR"/>
    <n v="64812405"/>
    <s v="REB"/>
    <n v="10125614"/>
    <n v="176"/>
    <s v="PEÇAS - Defeito de fabric./Interrompido"/>
    <s v="FUNCIONAL"/>
    <x v="1"/>
    <n v="3524"/>
    <x v="93"/>
    <s v="SP"/>
    <n v="931"/>
    <s v="Ats Off"/>
    <n v="1350"/>
    <n v="1020293"/>
    <s v="Relês"/>
    <x v="1"/>
    <n v="4000"/>
    <n v="5004042"/>
    <s v="BRASIL WEB TRANSPORTES E LOGISTICA"/>
    <n v="343.78"/>
    <d v="2025-07-17T00:00:00"/>
  </r>
  <r>
    <n v="254003943"/>
    <n v="64777765"/>
    <s v="REB"/>
    <n v="9457242"/>
    <n v="178"/>
    <s v="PEÇAS -Defeito de fabric./Sem Compressão"/>
    <s v="FUNCIONAL"/>
    <x v="2"/>
    <n v="30416"/>
    <x v="136"/>
    <s v="AM"/>
    <n v="648"/>
    <s v="Ultra"/>
    <n v="1350"/>
    <s v="W10375479"/>
    <s v="Compressores Herméticos"/>
    <x v="0"/>
    <n v="1000"/>
    <n v="5002858"/>
    <s v="FAVORITA TRANSPORTES LTDA"/>
    <n v="343.44"/>
    <d v="2025-05-26T00:00:00"/>
  </r>
  <r>
    <n v="253942888"/>
    <n v="64719728"/>
    <s v="ROB"/>
    <n v="9767054"/>
    <n v="671"/>
    <s v="DEV-ENVIADO PARA GESTÃO DE CONSEQUENCIA"/>
    <s v="TRANSPORTADORA"/>
    <x v="1"/>
    <n v="32681"/>
    <x v="179"/>
    <s v="RS"/>
    <n v="644"/>
    <s v="Plus"/>
    <n v="1350"/>
    <s v="W11160582"/>
    <s v="Placas de Controle"/>
    <x v="1"/>
    <n v="1000"/>
    <n v="5003024"/>
    <s v="RODOBRAS TRANSPORTES RODOVIARIOS LT"/>
    <n v="343.32"/>
    <d v="2025-02-25T00:00:00"/>
  </r>
  <r>
    <n v="253952168"/>
    <n v="64726662"/>
    <s v="REB"/>
    <n v="9795106"/>
    <n v="173"/>
    <s v="PEÇAS - Defeito de fabric./Alta Amperage"/>
    <s v="FUNCIONAL"/>
    <x v="1"/>
    <n v="9599"/>
    <x v="121"/>
    <s v="SP"/>
    <n v="931"/>
    <s v="Ats Off"/>
    <n v="1350"/>
    <s v="W11647662"/>
    <s v="Compressores Herméticos"/>
    <x v="0"/>
    <n v="1000"/>
    <n v="5004042"/>
    <s v="BRASIL WEB TRANSPORTES E LOGISTICA"/>
    <n v="342.56"/>
    <d v="2025-03-11T00:00:00"/>
  </r>
  <r>
    <n v="253883098"/>
    <n v="64649705"/>
    <s v="REB"/>
    <n v="9562356"/>
    <n v="176"/>
    <s v="PEÇAS - Defeito de fabric./Interrompido"/>
    <s v="FUNCIONAL"/>
    <x v="1"/>
    <n v="64319"/>
    <x v="125"/>
    <s v="SP"/>
    <n v="933"/>
    <s v="Top"/>
    <n v="1350"/>
    <s v="W11435390"/>
    <s v="Placas de Controle"/>
    <x v="1"/>
    <n v="1000"/>
    <n v="5003482"/>
    <s v="TMA TRANSPORTE LOTACAO E LOGISTICA"/>
    <n v="342.31"/>
    <d v="2024-11-21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591460"/>
    <s v="Placas de Controle"/>
    <x v="1"/>
    <n v="1000"/>
    <n v="5004042"/>
    <s v="BRASIL WEB TRANSPORTES E LOGISTICA"/>
    <n v="342.15"/>
    <d v="2025-07-08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86100"/>
    <s v="Placas de Controle"/>
    <x v="1"/>
    <n v="2000"/>
    <n v="5004101"/>
    <s v="UNIDOCK'S ASSESSORIA E LOGISTICA DE"/>
    <n v="341.67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586927"/>
    <s v="Placas de Controle"/>
    <x v="1"/>
    <n v="2000"/>
    <n v="5004101"/>
    <s v="UNIDOCK'S ASSESSORIA E LOGISTICA DE"/>
    <n v="341.67"/>
    <d v="2025-06-24T00:00:00"/>
  </r>
  <r>
    <n v="253952364"/>
    <n v="64729062"/>
    <s v="REB"/>
    <n v="9182976"/>
    <n v="178"/>
    <s v="PEÇAS -Defeito de fabric./Sem Compressão"/>
    <s v="FUNCIONAL"/>
    <x v="2"/>
    <n v="55093"/>
    <x v="231"/>
    <s v="SP"/>
    <n v="648"/>
    <s v="Ultra"/>
    <n v="1350"/>
    <s v="W11516472"/>
    <s v="Compressores Herméticos"/>
    <x v="0"/>
    <n v="1000"/>
    <n v="5004042"/>
    <s v="BRASIL WEB TRANSPORTES E LOGISTICA"/>
    <n v="341.37"/>
    <d v="2025-03-10T00:00:00"/>
  </r>
  <r>
    <n v="254012595"/>
    <n v="64786593"/>
    <s v="REB"/>
    <n v="9965622"/>
    <n v="173"/>
    <s v="PEÇAS - Defeito de fabric./Alta Amperage"/>
    <s v="FUNCIONAL"/>
    <x v="2"/>
    <n v="67948"/>
    <x v="15"/>
    <s v="SC"/>
    <n v="713"/>
    <s v="Key Account"/>
    <n v="1350"/>
    <s v="W11299805"/>
    <s v="Mecanismos"/>
    <x v="2"/>
    <n v="3000"/>
    <n v="5003024"/>
    <s v="RODOBRAS TRANSPORTES RODOVIARIOS LT"/>
    <n v="341.34"/>
    <d v="2025-06-10T00:00:00"/>
  </r>
  <r>
    <s v="Sem TR"/>
    <n v="64814924"/>
    <s v="REB"/>
    <n v="9923702"/>
    <n v="178"/>
    <s v="PEÇAS -Defeito de fabric./Sem Compressão"/>
    <s v="FUNCIONAL"/>
    <x v="1"/>
    <n v="79766"/>
    <x v="364"/>
    <s v="MG"/>
    <n v="932"/>
    <s v="CDP Prata"/>
    <n v="1350"/>
    <s v="W11647660"/>
    <s v="Compressores Herméticos"/>
    <x v="0"/>
    <n v="1000"/>
    <n v="5004215"/>
    <s v="BRASIL WEB TRANSPORTES E LOGISTICA"/>
    <n v="341.25"/>
    <d v="2025-07-22T00:00:00"/>
  </r>
  <r>
    <n v="254018366"/>
    <n v="64792429"/>
    <s v="REB"/>
    <n v="10037665"/>
    <n v="176"/>
    <s v="PEÇAS - Defeito de fabric./Interrompido"/>
    <s v="FUNCIONAL"/>
    <x v="1"/>
    <n v="72332"/>
    <x v="190"/>
    <s v="RJ"/>
    <n v="933"/>
    <s v="Top"/>
    <n v="1350"/>
    <s v="W11364875"/>
    <s v="Válvulas de Água"/>
    <x v="5"/>
    <n v="12000"/>
    <n v="5003176"/>
    <s v="J C THEDIN TRANSPORTES LTDA"/>
    <n v="341.04"/>
    <d v="2025-06-16T00:00:00"/>
  </r>
  <r>
    <s v="Sem TR"/>
    <n v="64804189"/>
    <s v="ZRDI"/>
    <n v="10103530"/>
    <s v="D31"/>
    <s v="DEV D2C - Defeito estético manufatura"/>
    <s v="MANUFATURA"/>
    <x v="2"/>
    <n v="52301413"/>
    <x v="365"/>
    <s v="SP"/>
    <n v="474"/>
    <s v="Site Brastemp"/>
    <n v="1352"/>
    <s v="W10428064"/>
    <s v="Termostatos"/>
    <x v="3"/>
    <n v="1000"/>
    <n v="5002359"/>
    <s v="EMPRESA BRASILEIRA DE CORREIOS E"/>
    <n v="340.59"/>
    <d v="2025-07-02T00:00:00"/>
  </r>
  <r>
    <s v="Sem TR"/>
    <n v="64804189"/>
    <s v="ZRDI"/>
    <n v="10103530"/>
    <s v="D31"/>
    <s v="DEV D2C - Defeito estético manufatura"/>
    <s v="MANUFATURA"/>
    <x v="2"/>
    <n v="52301413"/>
    <x v="365"/>
    <s v="SP"/>
    <n v="474"/>
    <s v="Site Brastemp"/>
    <n v="1352"/>
    <s v="W10428064"/>
    <s v="Termostatos"/>
    <x v="3"/>
    <n v="1000"/>
    <n v="5002359"/>
    <s v="EMPRESA BRASILEIRA DE CORREIOS E"/>
    <n v="340.59"/>
    <d v="2025-07-02T00:00:00"/>
  </r>
  <r>
    <n v="254042464"/>
    <n v="64796898"/>
    <s v="REB"/>
    <n v="9814727"/>
    <n v="178"/>
    <s v="PEÇAS -Defeito de fabric./Sem Compressão"/>
    <s v="FUNCIONAL"/>
    <x v="0"/>
    <n v="27825"/>
    <x v="116"/>
    <s v="SP"/>
    <n v="641"/>
    <s v="CDP Diamante"/>
    <n v="1350"/>
    <s v="W11647660"/>
    <s v="Compressores Herméticos"/>
    <x v="0"/>
    <n v="1000"/>
    <n v="5004042"/>
    <s v="BRASIL WEB TRANSPORTES E LOGISTICA"/>
    <n v="340.52"/>
    <d v="2025-06-24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678919"/>
    <s v="Placas de Controle"/>
    <x v="1"/>
    <n v="5000"/>
    <n v="5002858"/>
    <s v="FAVORITA TRANSPORTES LTDA"/>
    <n v="340.5"/>
    <d v="2025-07-15T00:00:00"/>
  </r>
  <r>
    <n v="254042557"/>
    <n v="64796205"/>
    <s v="REB"/>
    <n v="9981183"/>
    <n v="173"/>
    <s v="PEÇAS - Defeito de fabric./Alta Amperage"/>
    <s v="FUNCIONAL"/>
    <x v="0"/>
    <n v="78757"/>
    <x v="50"/>
    <s v="RS"/>
    <n v="643"/>
    <s v="Elite"/>
    <n v="1350"/>
    <s v="W10912972"/>
    <s v="Placas de Controle"/>
    <x v="1"/>
    <n v="1000"/>
    <n v="5003024"/>
    <s v="RODOBRAS TRANSPORTES RODOVIARIOS LT"/>
    <n v="340.2"/>
    <d v="2025-06-23T00:00:00"/>
  </r>
  <r>
    <s v="Sem TR"/>
    <n v="64812378"/>
    <s v="REB"/>
    <n v="9960619"/>
    <n v="176"/>
    <s v="PEÇAS - Defeito de fabric./Interrompido"/>
    <s v="FUNCIONAL"/>
    <x v="1"/>
    <n v="81988"/>
    <x v="38"/>
    <s v="MG"/>
    <n v="648"/>
    <s v="Ultra"/>
    <n v="1350"/>
    <s v="W11647660"/>
    <s v="Compressores Herméticos"/>
    <x v="0"/>
    <n v="1000"/>
    <n v="5004215"/>
    <s v="BRASIL WEB TRANSPORTES E LOGISTICA"/>
    <n v="340.08"/>
    <d v="2025-07-17T00:00:00"/>
  </r>
  <r>
    <n v="253850500"/>
    <n v="64621236"/>
    <s v="REB"/>
    <n v="9518604"/>
    <n v="173"/>
    <s v="PEÇAS - Defeito de fabric./Alta Amperage"/>
    <s v="FUNCIONAL"/>
    <x v="2"/>
    <n v="89618"/>
    <x v="366"/>
    <s v="PA"/>
    <n v="932"/>
    <s v="CDP Prata"/>
    <n v="1350"/>
    <s v="W11647660"/>
    <s v="Compressores Herméticos"/>
    <x v="0"/>
    <n v="1000"/>
    <n v="5002858"/>
    <s v="FAVORITA TRANSPORTES LTDA"/>
    <n v="339.85"/>
    <d v="2024-10-03T00:00:00"/>
  </r>
  <r>
    <n v="253995078"/>
    <n v="64772334"/>
    <s v="REB"/>
    <n v="9889968"/>
    <n v="173"/>
    <s v="PEÇAS - Defeito de fabric./Alta Amperage"/>
    <s v="FUNCIONAL"/>
    <x v="1"/>
    <n v="9452"/>
    <x v="42"/>
    <s v="SP"/>
    <n v="931"/>
    <s v="Ats Off"/>
    <n v="1350"/>
    <s v="W11208458"/>
    <s v="Placas de Controle"/>
    <x v="1"/>
    <n v="1000"/>
    <n v="5004042"/>
    <s v="BRASIL WEB TRANSPORTES E LOGISTICA"/>
    <n v="339.83"/>
    <d v="2025-05-16T00:00:00"/>
  </r>
  <r>
    <n v="254042035"/>
    <n v="64794278"/>
    <s v="REB"/>
    <n v="10081334"/>
    <n v="173"/>
    <s v="PEÇAS - Defeito de fabric./Alta Amperage"/>
    <s v="FUNCIONAL"/>
    <x v="0"/>
    <n v="9452"/>
    <x v="42"/>
    <s v="SP"/>
    <n v="931"/>
    <s v="Ats Off"/>
    <n v="1350"/>
    <s v="W11208458"/>
    <s v="Placas de Controle"/>
    <x v="1"/>
    <n v="1000"/>
    <n v="5004042"/>
    <s v="BRASIL WEB TRANSPORTES E LOGISTICA"/>
    <n v="339.83"/>
    <d v="2025-06-23T00:00:00"/>
  </r>
  <r>
    <n v="254012554"/>
    <n v="64789476"/>
    <s v="REB"/>
    <n v="9746582"/>
    <n v="173"/>
    <s v="PEÇAS - Defeito de fabric./Alta Amperage"/>
    <s v="FUNCIONAL"/>
    <x v="2"/>
    <n v="61675"/>
    <x v="12"/>
    <s v="MG"/>
    <n v="643"/>
    <s v="Elite"/>
    <n v="1350"/>
    <s v="W11161216"/>
    <s v="Placas de Controle"/>
    <x v="1"/>
    <n v="1000"/>
    <n v="5004215"/>
    <s v="BRASIL WEB TRANSPORTES E LOGISTICA"/>
    <n v="339.39"/>
    <d v="2025-06-10T00:00:00"/>
  </r>
  <r>
    <n v="254007554"/>
    <n v="64782318"/>
    <s v="REB"/>
    <n v="8977497"/>
    <n v="176"/>
    <s v="PEÇAS - Defeito de fabric./Interrompido"/>
    <s v="FUNCIONAL"/>
    <x v="1"/>
    <n v="24089"/>
    <x v="134"/>
    <s v="RJ"/>
    <n v="931"/>
    <s v="Ats Off"/>
    <n v="1350"/>
    <s v="W11161214"/>
    <s v="Placas de Interface"/>
    <x v="1"/>
    <n v="2000"/>
    <n v="5003176"/>
    <s v="J C THEDIN TRANSPORTES LTDA"/>
    <n v="339.32"/>
    <d v="2025-06-02T00:00:00"/>
  </r>
  <r>
    <n v="253970759"/>
    <n v="64748334"/>
    <s v="REB"/>
    <n v="9908404"/>
    <n v="173"/>
    <s v="PEÇAS - Defeito de fabric./Alta Amperage"/>
    <s v="FUNCIONAL"/>
    <x v="1"/>
    <n v="27808"/>
    <x v="110"/>
    <s v="SP"/>
    <n v="641"/>
    <s v="CDP Diamante"/>
    <n v="1350"/>
    <s v="W11677208"/>
    <s v="Compressores Herméticos"/>
    <x v="0"/>
    <n v="1000"/>
    <n v="5004042"/>
    <s v="BRASIL WEB TRANSPORTES E LOGISTICA"/>
    <n v="338.93"/>
    <d v="2025-04-09T00:00:00"/>
  </r>
  <r>
    <n v="254004042"/>
    <n v="64778207"/>
    <s v="REB"/>
    <n v="10018016"/>
    <n v="173"/>
    <s v="PEÇAS - Defeito de fabric./Alta Amperage"/>
    <s v="FUNCIONAL"/>
    <x v="1"/>
    <n v="67948"/>
    <x v="15"/>
    <s v="SC"/>
    <n v="713"/>
    <s v="Key Account"/>
    <n v="1350"/>
    <s v="W11300816"/>
    <s v="Mecanismos"/>
    <x v="2"/>
    <n v="3000"/>
    <n v="5003024"/>
    <s v="RODOBRAS TRANSPORTES RODOVIARIOS LT"/>
    <n v="338.58"/>
    <d v="2025-05-26T00:00:00"/>
  </r>
  <r>
    <n v="254018192"/>
    <n v="64760419"/>
    <s v="REB"/>
    <n v="9923844"/>
    <n v="176"/>
    <s v="PEÇAS - Defeito de fabric./Interrompido"/>
    <s v="FUNCIONAL"/>
    <x v="2"/>
    <n v="5011"/>
    <x v="189"/>
    <s v="RS"/>
    <n v="350"/>
    <s v="Ats On"/>
    <n v="1350"/>
    <s v="W10417020"/>
    <s v="Portas"/>
    <x v="6"/>
    <n v="1000"/>
    <n v="5003024"/>
    <s v="RODOBRAS TRANSPORTES RODOVIARIOS LT"/>
    <n v="338.32"/>
    <d v="2025-04-29T00:00:00"/>
  </r>
  <r>
    <n v="254012530"/>
    <n v="64789450"/>
    <s v="REB"/>
    <n v="10053475"/>
    <n v="173"/>
    <s v="PEÇAS - Defeito de fabric./Alta Amperage"/>
    <s v="FUNCIONAL"/>
    <x v="1"/>
    <n v="47026"/>
    <x v="16"/>
    <s v="BA"/>
    <n v="643"/>
    <s v="Elite"/>
    <n v="1350"/>
    <s v="W10838042"/>
    <s v="Placas de Controle"/>
    <x v="1"/>
    <n v="1000"/>
    <n v="5004101"/>
    <s v="UNIDOCK'S ASSESSORIA E LOGISTICA DE"/>
    <n v="338.28"/>
    <d v="2025-06-10T00:00:00"/>
  </r>
  <r>
    <n v="254033302"/>
    <n v="64802818"/>
    <s v="REB"/>
    <n v="10065689"/>
    <n v="176"/>
    <s v="PEÇAS - Defeito de fabric./Interrompido"/>
    <s v="FUNCIONAL"/>
    <x v="1"/>
    <n v="21594"/>
    <x v="97"/>
    <s v="SP"/>
    <n v="931"/>
    <s v="Ats Off"/>
    <n v="1350"/>
    <s v="W11410580"/>
    <s v="Compressores Herméticos"/>
    <x v="0"/>
    <n v="1000"/>
    <n v="5004042"/>
    <s v="BRASIL WEB TRANSPORTES E LOGISTICA"/>
    <n v="338.1"/>
    <d v="2025-07-01T00:00:00"/>
  </r>
  <r>
    <n v="254004033"/>
    <n v="64758527"/>
    <s v="REB"/>
    <n v="8755006"/>
    <n v="176"/>
    <s v="PEÇAS - Defeito de fabric./Interrompido"/>
    <s v="FUNCIONAL"/>
    <x v="2"/>
    <n v="62608"/>
    <x v="367"/>
    <s v="RO"/>
    <n v="644"/>
    <s v="Plus"/>
    <n v="1350"/>
    <s v="W10375475"/>
    <s v="Compressores Herméticos"/>
    <x v="0"/>
    <n v="1000"/>
    <n v="5002858"/>
    <s v="FAVORITA TRANSPORTES LTDA"/>
    <n v="337.91"/>
    <d v="2025-05-26T00:00:00"/>
  </r>
  <r>
    <n v="253952363"/>
    <n v="64729079"/>
    <s v="REB"/>
    <n v="9118100"/>
    <n v="178"/>
    <s v="PEÇAS -Defeito de fabric./Sem Compressão"/>
    <s v="FUNCIONAL"/>
    <x v="1"/>
    <n v="55093"/>
    <x v="231"/>
    <s v="SP"/>
    <n v="648"/>
    <s v="Ultra"/>
    <n v="1350"/>
    <s v="W10393809"/>
    <s v="Compressores Herméticos"/>
    <x v="0"/>
    <n v="1000"/>
    <n v="5004042"/>
    <s v="BRASIL WEB TRANSPORTES E LOGISTICA"/>
    <n v="337.8"/>
    <d v="2025-03-10T00:00:00"/>
  </r>
  <r>
    <n v="253891654"/>
    <n v="64660434"/>
    <s v="REB"/>
    <n v="9118100"/>
    <n v="178"/>
    <s v="PEÇAS -Defeito de fabric./Sem Compressão"/>
    <s v="FUNCIONAL"/>
    <x v="1"/>
    <n v="55093"/>
    <x v="231"/>
    <s v="SP"/>
    <n v="648"/>
    <s v="Ultra"/>
    <n v="1350"/>
    <s v="W10393809"/>
    <s v="Compressores Herméticos"/>
    <x v="0"/>
    <n v="1000"/>
    <n v="5003254"/>
    <s v="TMA TRANSPORTE LOTACAO E LOGISTICA"/>
    <n v="337.8"/>
    <d v="2024-12-05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733149"/>
    <s v="Manípulos"/>
    <x v="6"/>
    <n v="14000"/>
    <n v="5002858"/>
    <s v="FAVORITA TRANSPORTES LTDA"/>
    <n v="337.51"/>
    <d v="2025-07-15T00:00:00"/>
  </r>
  <r>
    <n v="253989841"/>
    <n v="64764890"/>
    <s v="REB"/>
    <n v="10007106"/>
    <n v="167"/>
    <s v="PEÇAS - Avaria - Quebrada/Depósito"/>
    <s v="LOGÍSTICA"/>
    <x v="2"/>
    <n v="81338"/>
    <x v="354"/>
    <s v="SP"/>
    <n v="644"/>
    <s v="Plus"/>
    <n v="1350"/>
    <s v="W10390580"/>
    <s v="Trempes"/>
    <x v="6"/>
    <n v="2000"/>
    <n v="5004042"/>
    <s v="BRASIL WEB TRANSPORTES E LOGISTICA"/>
    <n v="337.32"/>
    <d v="2025-05-07T00:00:00"/>
  </r>
  <r>
    <n v="253961250"/>
    <n v="64737307"/>
    <s v="REB"/>
    <n v="9792280"/>
    <n v="173"/>
    <s v="PEÇAS - Defeito de fabric./Alta Amperage"/>
    <s v="FUNCIONAL"/>
    <x v="1"/>
    <n v="13757"/>
    <x v="14"/>
    <s v="SP"/>
    <n v="713"/>
    <s v="Key Account"/>
    <n v="1350"/>
    <s v="W11300816"/>
    <s v="Mecanismos"/>
    <x v="2"/>
    <n v="3000"/>
    <n v="5004042"/>
    <s v="BRASIL WEB TRANSPORTES E LOGISTICA"/>
    <n v="337.32"/>
    <d v="2025-03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221052"/>
    <s v="Condensadores"/>
    <x v="0"/>
    <n v="5000"/>
    <n v="5004101"/>
    <s v="UNIDOCK'S ASSESSORIA E LOGISTICA DE"/>
    <n v="337.21"/>
    <d v="2025-06-24T00:00:00"/>
  </r>
  <r>
    <n v="253952306"/>
    <n v="64729244"/>
    <s v="REB"/>
    <n v="9789575"/>
    <n v="173"/>
    <s v="PEÇAS - Defeito de fabric./Alta Amperage"/>
    <s v="FUNCIONAL"/>
    <x v="1"/>
    <n v="35368"/>
    <x v="176"/>
    <s v="ES"/>
    <n v="350"/>
    <s v="Ats On"/>
    <n v="1350"/>
    <s v="W11516472"/>
    <s v="Compressores Herméticos"/>
    <x v="0"/>
    <n v="1000"/>
    <n v="5004042"/>
    <s v="BRASIL WEB TRANSPORTES E LOGISTICA"/>
    <n v="336.69"/>
    <d v="2025-03-10T00:00:00"/>
  </r>
  <r>
    <s v="Sem TR"/>
    <n v="64773513"/>
    <s v="ROB"/>
    <n v="50338"/>
    <n v="671"/>
    <s v="DEV-ENVIADO PARA GESTÃO DE CONSEQUENCIA"/>
    <s v="TRANSPORTADORA"/>
    <x v="2"/>
    <n v="27770"/>
    <x v="37"/>
    <s v="AL"/>
    <n v="641"/>
    <s v="CDP Diamante"/>
    <n v="1550"/>
    <s v="W11279516"/>
    <s v="Conjunto Varetas"/>
    <x v="8"/>
    <n v="6000"/>
    <n v="5004391"/>
    <s v="JEONCEL TRANSPORTES LTDA"/>
    <n v="336.56"/>
    <d v="2025-05-19T00:00:00"/>
  </r>
  <r>
    <n v="253970698"/>
    <n v="64748427"/>
    <s v="REB"/>
    <n v="9786238"/>
    <n v="176"/>
    <s v="PEÇAS - Defeito de fabric./Interrompido"/>
    <s v="FUNCIONAL"/>
    <x v="2"/>
    <n v="3506"/>
    <x v="46"/>
    <s v="SP"/>
    <n v="931"/>
    <s v="Ats Off"/>
    <n v="1350"/>
    <s v="W11208458"/>
    <s v="Placas de Controle"/>
    <x v="1"/>
    <n v="1000"/>
    <n v="5004042"/>
    <s v="BRASIL WEB TRANSPORTES E LOGISTICA"/>
    <n v="336.54"/>
    <d v="2025-04-09T00:00:00"/>
  </r>
  <r>
    <n v="254012502"/>
    <n v="64788637"/>
    <s v="REB"/>
    <n v="9777790"/>
    <n v="173"/>
    <s v="PEÇAS - Defeito de fabric./Alta Amperage"/>
    <s v="FUNCIONAL"/>
    <x v="1"/>
    <n v="29095"/>
    <x v="368"/>
    <s v="SP"/>
    <n v="933"/>
    <s v="Top"/>
    <n v="1350"/>
    <s v="W10393808"/>
    <s v="Compressores Herméticos"/>
    <x v="0"/>
    <n v="1000"/>
    <n v="5004042"/>
    <s v="BRASIL WEB TRANSPORTES E LOGISTICA"/>
    <n v="336.49"/>
    <d v="2025-06-10T00:00:00"/>
  </r>
  <r>
    <n v="253961327"/>
    <n v="64737324"/>
    <s v="REB"/>
    <n v="9342854"/>
    <n v="178"/>
    <s v="PEÇAS -Defeito de fabric./Sem Compressão"/>
    <s v="FUNCIONAL"/>
    <x v="1"/>
    <n v="32458"/>
    <x v="369"/>
    <s v="RJ"/>
    <n v="932"/>
    <s v="CDP Prata"/>
    <n v="1350"/>
    <s v="W11647660"/>
    <s v="Compressores Herméticos"/>
    <x v="0"/>
    <n v="1000"/>
    <n v="5003176"/>
    <s v="J C THEDIN TRANSPORTES LTDA"/>
    <n v="336.3"/>
    <d v="2025-03-24T00:00:00"/>
  </r>
  <r>
    <n v="254012460"/>
    <n v="64781970"/>
    <s v="REB"/>
    <n v="10060535"/>
    <n v="173"/>
    <s v="PEÇAS - Defeito de fabric./Alta Amperage"/>
    <s v="FUNCIONAL"/>
    <x v="2"/>
    <n v="9599"/>
    <x v="121"/>
    <s v="SP"/>
    <n v="931"/>
    <s v="Ats Off"/>
    <n v="1350"/>
    <s v="W11199202"/>
    <s v="Placas de Controle"/>
    <x v="1"/>
    <n v="1000"/>
    <n v="5004042"/>
    <s v="BRASIL WEB TRANSPORTES E LOGISTICA"/>
    <n v="336.27"/>
    <d v="2025-06-10T00:00:00"/>
  </r>
  <r>
    <s v="Sem TR"/>
    <n v="64658415"/>
    <s v="ROB"/>
    <n v="9675575"/>
    <n v="25"/>
    <s v="OC. 80 - EXTRAVIO TOTAL"/>
    <s v="TRANSPORTADORA"/>
    <x v="0"/>
    <n v="31978"/>
    <x v="370"/>
    <s v="PE"/>
    <n v="350"/>
    <s v="Ats On"/>
    <n v="1350"/>
    <s v="W10269365"/>
    <s v="Placas de Controle"/>
    <x v="1"/>
    <n v="2000"/>
    <n v="5004101"/>
    <s v="UNIDOCK'S ASSESSORIA E LOGISTICA DE"/>
    <n v="336.01"/>
    <d v="2024-12-03T00:00:00"/>
  </r>
  <r>
    <n v="253992765"/>
    <n v="64767002"/>
    <s v="REB"/>
    <n v="9842289"/>
    <n v="178"/>
    <s v="PEÇAS -Defeito de fabric./Sem Compressão"/>
    <s v="FUNCIONAL"/>
    <x v="2"/>
    <n v="71652"/>
    <x v="24"/>
    <s v="RJ"/>
    <n v="933"/>
    <s v="Top"/>
    <n v="1350"/>
    <s v="W11647660"/>
    <s v="Compressores Herméticos"/>
    <x v="0"/>
    <n v="1000"/>
    <n v="5003176"/>
    <s v="J C THEDIN TRANSPORTES LTDA"/>
    <n v="335.77"/>
    <d v="2025-05-12T00:00:00"/>
  </r>
  <r>
    <s v="Sem TR"/>
    <n v="64776624"/>
    <s v="REB"/>
    <n v="10041892"/>
    <n v="671"/>
    <s v="DEV-ENVIADO PARA GESTÃO DE CONSEQUENCIA"/>
    <s v="TRANSPORTADORA"/>
    <x v="1"/>
    <n v="27825"/>
    <x v="116"/>
    <s v="SP"/>
    <n v="641"/>
    <s v="CDP Diamante"/>
    <n v="1350"/>
    <s v="W11677208"/>
    <s v="Compressores Herméticos"/>
    <x v="0"/>
    <n v="1000"/>
    <n v="5004042"/>
    <s v="BRASIL WEB TRANSPORTES E LOGISTICA"/>
    <n v="335.57"/>
    <d v="2025-05-23T00:00:00"/>
  </r>
  <r>
    <n v="253918533"/>
    <n v="64691837"/>
    <s v="REB"/>
    <n v="9803004"/>
    <n v="104"/>
    <s v="PEÇAS-Código trocado(embalag X conteúdo)"/>
    <s v="LOGÍSTICA"/>
    <x v="1"/>
    <n v="1255"/>
    <x v="254"/>
    <s v="CE"/>
    <n v="931"/>
    <s v="Ats Off"/>
    <n v="1350"/>
    <s v="W11741179"/>
    <s v="Outros"/>
    <x v="7"/>
    <n v="1000"/>
    <n v="5004101"/>
    <s v="UNIDOCK'S ASSESSORIA E LOGISTICA DE"/>
    <n v="335.34"/>
    <d v="2025-01-15T00:00:00"/>
  </r>
  <r>
    <n v="253988930"/>
    <n v="64764369"/>
    <s v="REB"/>
    <n v="9835468"/>
    <n v="173"/>
    <s v="PEÇAS - Defeito de fabric./Alta Amperage"/>
    <s v="FUNCIONAL"/>
    <x v="1"/>
    <n v="81075"/>
    <x v="223"/>
    <s v="BA"/>
    <n v="934"/>
    <s v="CDP Ouro"/>
    <n v="1350"/>
    <s v="W11647662"/>
    <s v="Compressores Herméticos"/>
    <x v="0"/>
    <n v="1000"/>
    <n v="5004101"/>
    <s v="UNIDOCK'S ASSESSORIA E LOGISTICA DE"/>
    <n v="335"/>
    <d v="2025-05-05T00:00:00"/>
  </r>
  <r>
    <n v="253988932"/>
    <n v="64763948"/>
    <s v="REB"/>
    <n v="8713691"/>
    <n v="173"/>
    <s v="PEÇAS - Defeito de fabric./Alta Amperage"/>
    <s v="FUNCIONAL"/>
    <x v="1"/>
    <n v="81075"/>
    <x v="223"/>
    <s v="BA"/>
    <n v="934"/>
    <s v="CDP Ouro"/>
    <n v="1350"/>
    <s v="W11563665"/>
    <s v="Compressores Herméticos"/>
    <x v="0"/>
    <n v="1000"/>
    <n v="5004101"/>
    <s v="UNIDOCK'S ASSESSORIA E LOGISTICA DE"/>
    <n v="334.87"/>
    <d v="2025-05-05T00:00:00"/>
  </r>
  <r>
    <n v="253915595"/>
    <n v="64687555"/>
    <s v="REB"/>
    <n v="9595098"/>
    <n v="178"/>
    <s v="PEÇAS -Defeito de fabric./Sem Compressão"/>
    <s v="FUNCIONAL"/>
    <x v="1"/>
    <n v="32455"/>
    <x v="92"/>
    <s v="SP"/>
    <n v="648"/>
    <s v="Ultra"/>
    <n v="1350"/>
    <s v="W10799397"/>
    <s v="Compressores Herméticos"/>
    <x v="0"/>
    <n v="1000"/>
    <n v="5003482"/>
    <s v="TMA TRANSPORTE LOTACAO E LOGISTICA"/>
    <n v="334.87"/>
    <d v="2025-01-09T00:00:00"/>
  </r>
  <r>
    <n v="253988871"/>
    <n v="64763466"/>
    <s v="REB"/>
    <n v="9959027"/>
    <n v="178"/>
    <s v="PEÇAS -Defeito de fabric./Sem Compressão"/>
    <s v="FUNCIONAL"/>
    <x v="1"/>
    <n v="31587"/>
    <x v="135"/>
    <s v="SP"/>
    <n v="643"/>
    <s v="Elite"/>
    <n v="1350"/>
    <s v="W11677208"/>
    <s v="Compressores Herméticos"/>
    <x v="0"/>
    <n v="1000"/>
    <n v="5004042"/>
    <s v="BRASIL WEB TRANSPORTES E LOGISTICA"/>
    <n v="334.83"/>
    <d v="2025-05-05T00:00:00"/>
  </r>
  <r>
    <n v="253988870"/>
    <n v="64763678"/>
    <s v="REB"/>
    <n v="9959027"/>
    <n v="178"/>
    <s v="PEÇAS -Defeito de fabric./Sem Compressão"/>
    <s v="FUNCIONAL"/>
    <x v="1"/>
    <n v="31587"/>
    <x v="135"/>
    <s v="SP"/>
    <n v="643"/>
    <s v="Elite"/>
    <n v="1350"/>
    <s v="W11677208"/>
    <s v="Compressores Herméticos"/>
    <x v="0"/>
    <n v="1000"/>
    <n v="5004042"/>
    <s v="BRASIL WEB TRANSPORTES E LOGISTICA"/>
    <n v="334.83"/>
    <d v="2025-05-05T00:00:00"/>
  </r>
  <r>
    <n v="254007609"/>
    <n v="64776086"/>
    <s v="REB"/>
    <n v="9756053"/>
    <n v="178"/>
    <s v="PEÇAS -Defeito de fabric./Sem Compressão"/>
    <s v="FUNCIONAL"/>
    <x v="2"/>
    <n v="71652"/>
    <x v="24"/>
    <s v="RJ"/>
    <n v="933"/>
    <s v="Top"/>
    <n v="1350"/>
    <s v="W11647660"/>
    <s v="Compressores Herméticos"/>
    <x v="0"/>
    <n v="1000"/>
    <n v="5003176"/>
    <s v="J C THEDIN TRANSPORTES LTDA"/>
    <n v="334.78"/>
    <d v="2025-06-02T00:00:00"/>
  </r>
  <r>
    <n v="253988874"/>
    <n v="64761362"/>
    <s v="REB"/>
    <n v="9902372"/>
    <n v="178"/>
    <s v="PEÇAS -Defeito de fabric./Sem Compressão"/>
    <s v="FUNCIONAL"/>
    <x v="1"/>
    <n v="34875"/>
    <x v="371"/>
    <s v="SC"/>
    <n v="350"/>
    <s v="Ats On"/>
    <n v="1350"/>
    <s v="W11516471"/>
    <s v="Compressores Herméticos"/>
    <x v="0"/>
    <n v="1000"/>
    <n v="5003024"/>
    <s v="RODOBRAS TRANSPORTES RODOVIARIOS LT"/>
    <n v="334.68"/>
    <d v="2025-05-05T00:00:00"/>
  </r>
  <r>
    <s v="Sem TR"/>
    <n v="64814802"/>
    <s v="REB"/>
    <n v="8572804"/>
    <n v="177"/>
    <s v="PEÇAS - Defeito de fabric./Ruído"/>
    <s v="FUNCIONAL"/>
    <x v="1"/>
    <n v="21295"/>
    <x v="2"/>
    <s v="SP"/>
    <n v="648"/>
    <s v="Ultra"/>
    <n v="1350"/>
    <s v="W11647662"/>
    <s v="Compressores Herméticos"/>
    <x v="0"/>
    <n v="1000"/>
    <n v="5004042"/>
    <s v="BRASIL WEB TRANSPORTES E LOGISTICA"/>
    <n v="334.62"/>
    <d v="2025-07-22T00:00:00"/>
  </r>
  <r>
    <s v="Sem TR"/>
    <n v="64817387"/>
    <s v="REB"/>
    <n v="8572804"/>
    <n v="178"/>
    <s v="PEÇAS -Defeito de fabric./Sem Compressão"/>
    <s v="FUNCIONAL"/>
    <x v="1"/>
    <n v="21295"/>
    <x v="2"/>
    <s v="SP"/>
    <n v="648"/>
    <s v="Ultra"/>
    <n v="1350"/>
    <s v="W11647662"/>
    <s v="Compressores Herméticos"/>
    <x v="0"/>
    <n v="1000"/>
    <n v="5004042"/>
    <s v="BRASIL WEB TRANSPORTES E LOGISTICA"/>
    <n v="334.62"/>
    <d v="2025-07-25T00:00:00"/>
  </r>
  <r>
    <n v="254012476"/>
    <n v="64789375"/>
    <s v="REB"/>
    <n v="8572804"/>
    <n v="178"/>
    <s v="PEÇAS -Defeito de fabric./Sem Compressão"/>
    <s v="FUNCIONAL"/>
    <x v="2"/>
    <n v="21295"/>
    <x v="2"/>
    <s v="SP"/>
    <n v="648"/>
    <s v="Ultra"/>
    <n v="1350"/>
    <s v="W11647662"/>
    <s v="Compressores Herméticos"/>
    <x v="0"/>
    <n v="1000"/>
    <n v="5004042"/>
    <s v="BRASIL WEB TRANSPORTES E LOGISTICA"/>
    <n v="334.62"/>
    <d v="2025-06-10T00:00:00"/>
  </r>
  <r>
    <n v="254018100"/>
    <n v="64791697"/>
    <s v="REB"/>
    <n v="10076206"/>
    <n v="90"/>
    <s v="CLIENTE-não solicitou"/>
    <s v="COMERCIAL"/>
    <x v="1"/>
    <n v="2159"/>
    <x v="156"/>
    <s v="MG"/>
    <n v="350"/>
    <s v="Ats On"/>
    <n v="1350"/>
    <s v="W11648341"/>
    <s v="Gaxetas"/>
    <x v="4"/>
    <n v="1000"/>
    <n v="5004215"/>
    <s v="BRASIL WEB TRANSPORTES E LOGISTICA"/>
    <n v="334.51"/>
    <d v="2025-06-16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61172"/>
    <s v="Placas de Controle"/>
    <x v="1"/>
    <n v="1000"/>
    <n v="5004101"/>
    <s v="UNIDOCK'S ASSESSORIA E LOGISTICA DE"/>
    <n v="334.42"/>
    <d v="2025-06-24T00:00:00"/>
  </r>
  <r>
    <n v="253825622"/>
    <n v="64598817"/>
    <s v="REB"/>
    <n v="8911534"/>
    <n v="173"/>
    <s v="PEÇAS - Defeito de fabric./Alta Amperage"/>
    <s v="FUNCIONAL"/>
    <x v="1"/>
    <n v="81075"/>
    <x v="223"/>
    <s v="BA"/>
    <n v="934"/>
    <s v="CDP Ouro"/>
    <n v="1350"/>
    <s v="W11563665"/>
    <s v="Compressores Herméticos"/>
    <x v="0"/>
    <n v="1000"/>
    <n v="5004101"/>
    <s v="UNIDOCK'S ASSESSORIA E LOGISTICA DE"/>
    <n v="334.3"/>
    <d v="2024-08-27T00:00:00"/>
  </r>
  <r>
    <n v="253969221"/>
    <n v="64747734"/>
    <s v="ROB"/>
    <n v="9960927"/>
    <n v="170"/>
    <s v="PEÇAS - Avaria - Riscada/Depósito"/>
    <s v="LOGÍSTICA"/>
    <x v="1"/>
    <n v="85032"/>
    <x v="372"/>
    <s v="BA"/>
    <n v="350"/>
    <s v="Ats On"/>
    <n v="1350"/>
    <s v="W11368460"/>
    <s v="Portas"/>
    <x v="6"/>
    <n v="1000"/>
    <n v="5004101"/>
    <s v="UNIDOCK'S ASSESSORIA E LOGISTICA DE"/>
    <n v="333.98"/>
    <d v="2025-04-08T00:00:00"/>
  </r>
  <r>
    <n v="254018236"/>
    <n v="64792233"/>
    <s v="REB"/>
    <n v="10063004"/>
    <n v="90"/>
    <s v="CLIENTE-não solicitou"/>
    <s v="COMERCIAL"/>
    <x v="1"/>
    <n v="21647"/>
    <x v="39"/>
    <s v="PR"/>
    <n v="641"/>
    <s v="CDP Diamante"/>
    <n v="1350"/>
    <s v="W11300675"/>
    <s v="Mecanismos"/>
    <x v="2"/>
    <n v="3000"/>
    <n v="5003024"/>
    <s v="RODOBRAS TRANSPORTES RODOVIARIOS LT"/>
    <n v="333.9"/>
    <d v="2025-06-16T00:00:00"/>
  </r>
  <r>
    <s v="Sem TR"/>
    <n v="64812644"/>
    <s v="REB"/>
    <n v="9781846"/>
    <n v="178"/>
    <s v="PEÇAS -Defeito de fabric./Sem Compressão"/>
    <s v="FUNCIONAL"/>
    <x v="1"/>
    <n v="20602"/>
    <x v="355"/>
    <s v="SP"/>
    <n v="350"/>
    <s v="Ats On"/>
    <n v="1350"/>
    <s v="W11647660"/>
    <s v="Compressores Herméticos"/>
    <x v="0"/>
    <n v="1000"/>
    <n v="5004042"/>
    <s v="BRASIL WEB TRANSPORTES E LOGISTICA"/>
    <n v="333.41"/>
    <d v="2025-07-17T00:00:00"/>
  </r>
  <r>
    <n v="253922467"/>
    <n v="64692903"/>
    <s v="REB"/>
    <n v="9762188"/>
    <n v="178"/>
    <s v="PEÇAS -Defeito de fabric./Sem Compressão"/>
    <s v="FUNCIONAL"/>
    <x v="1"/>
    <n v="2666"/>
    <x v="219"/>
    <s v="RJ"/>
    <n v="931"/>
    <s v="Ats Off"/>
    <n v="1350"/>
    <s v="W11516472"/>
    <s v="Compressores Herméticos"/>
    <x v="0"/>
    <n v="1000"/>
    <n v="5003176"/>
    <s v="J C THEDIN TRANSPORTES LTDA"/>
    <n v="333.38"/>
    <d v="2025-01-20T00:00:00"/>
  </r>
  <r>
    <n v="253922467"/>
    <n v="64695436"/>
    <s v="REB"/>
    <n v="9771553"/>
    <n v="173"/>
    <s v="PEÇAS - Defeito de fabric./Alta Amperage"/>
    <s v="FUNCIONAL"/>
    <x v="1"/>
    <n v="2666"/>
    <x v="219"/>
    <s v="RJ"/>
    <n v="931"/>
    <s v="Ats Off"/>
    <n v="1350"/>
    <s v="W11516472"/>
    <s v="Compressores Herméticos"/>
    <x v="0"/>
    <n v="1000"/>
    <n v="5003176"/>
    <s v="J C THEDIN TRANSPORTES LTDA"/>
    <n v="333.38"/>
    <d v="2025-01-20T00:00:00"/>
  </r>
  <r>
    <n v="253956458"/>
    <n v="64732000"/>
    <s v="REB"/>
    <n v="9771553"/>
    <n v="178"/>
    <s v="PEÇAS -Defeito de fabric./Sem Compressão"/>
    <s v="FUNCIONAL"/>
    <x v="1"/>
    <n v="2666"/>
    <x v="219"/>
    <s v="RJ"/>
    <n v="931"/>
    <s v="Ats Off"/>
    <n v="1350"/>
    <s v="W11516472"/>
    <s v="Compressores Herméticos"/>
    <x v="0"/>
    <n v="1000"/>
    <n v="5003176"/>
    <s v="J C THEDIN TRANSPORTES LTDA"/>
    <n v="333.38"/>
    <d v="2025-03-14T00:00:00"/>
  </r>
  <r>
    <n v="253970911"/>
    <n v="64748852"/>
    <s v="REB"/>
    <n v="9922559"/>
    <n v="173"/>
    <s v="PEÇAS - Defeito de fabric./Alta Amperage"/>
    <s v="FUNCIONAL"/>
    <x v="2"/>
    <n v="67141"/>
    <x v="214"/>
    <s v="SP"/>
    <n v="648"/>
    <s v="Ultra"/>
    <n v="1350"/>
    <s v="W11677208"/>
    <s v="Compressores Herméticos"/>
    <x v="0"/>
    <n v="1000"/>
    <n v="5004042"/>
    <s v="BRASIL WEB TRANSPORTES E LOGISTICA"/>
    <n v="333.26"/>
    <d v="2025-04-09T00:00:00"/>
  </r>
  <r>
    <n v="253952359"/>
    <n v="64729093"/>
    <s v="REB"/>
    <n v="9662442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33.19"/>
    <d v="2025-03-10T00:00:00"/>
  </r>
  <r>
    <n v="253961250"/>
    <n v="64736491"/>
    <s v="REB"/>
    <n v="8726574"/>
    <n v="173"/>
    <s v="PEÇAS - Defeito de fabric./Alta Amperage"/>
    <s v="FUNCIONAL"/>
    <x v="1"/>
    <n v="13757"/>
    <x v="14"/>
    <s v="SP"/>
    <n v="713"/>
    <s v="Key Account"/>
    <n v="1350"/>
    <s v="W11199202"/>
    <s v="Placas de Controle"/>
    <x v="1"/>
    <n v="1000"/>
    <n v="5004042"/>
    <s v="BRASIL WEB TRANSPORTES E LOGISTICA"/>
    <n v="332.83"/>
    <d v="2025-03-24T00:00:00"/>
  </r>
  <r>
    <n v="254030457"/>
    <n v="64800531"/>
    <s v="REB"/>
    <n v="10001123"/>
    <n v="177"/>
    <s v="PEÇAS - Defeito de fabric./Ruído"/>
    <s v="FUNCIONAL"/>
    <x v="1"/>
    <n v="3618"/>
    <x v="154"/>
    <s v="SP"/>
    <n v="350"/>
    <s v="Ats On"/>
    <n v="1350"/>
    <s v="W11677208"/>
    <s v="Compressores Herméticos"/>
    <x v="0"/>
    <n v="1000"/>
    <n v="5004042"/>
    <s v="BRASIL WEB TRANSPORTES E LOGISTICA"/>
    <n v="332.62"/>
    <d v="2025-07-01T00:00:00"/>
  </r>
  <r>
    <n v="253943895"/>
    <n v="64721207"/>
    <s v="REB"/>
    <n v="9902577"/>
    <n v="240"/>
    <s v="DEV-Avaria - 2 trecho transp - Produto"/>
    <s v="QUALIDADE"/>
    <x v="1"/>
    <n v="66"/>
    <x v="73"/>
    <s v="GO"/>
    <n v="931"/>
    <s v="Ats Off"/>
    <n v="1350"/>
    <s v="W10901199"/>
    <s v="Portas"/>
    <x v="6"/>
    <n v="1000"/>
    <n v="5002858"/>
    <s v="FAVORITA TRANSPORTES LTDA"/>
    <n v="332.6"/>
    <d v="2025-02-26T00:00:00"/>
  </r>
  <r>
    <n v="254003772"/>
    <n v="64778271"/>
    <s v="REB"/>
    <n v="10012558"/>
    <n v="178"/>
    <s v="PEÇAS -Defeito de fabric./Sem Compressão"/>
    <s v="FUNCIONAL"/>
    <x v="1"/>
    <n v="1255"/>
    <x v="254"/>
    <s v="CE"/>
    <n v="931"/>
    <s v="Ats Off"/>
    <n v="1350"/>
    <s v="W11741179"/>
    <s v="Outros"/>
    <x v="7"/>
    <n v="1000"/>
    <n v="5004101"/>
    <s v="UNIDOCK'S ASSESSORIA E LOGISTICA DE"/>
    <n v="332.58"/>
    <d v="2025-05-26T00:00:00"/>
  </r>
  <r>
    <n v="254003771"/>
    <n v="64778729"/>
    <s v="REB"/>
    <n v="10012558"/>
    <n v="178"/>
    <s v="PEÇAS -Defeito de fabric./Sem Compressão"/>
    <s v="FUNCIONAL"/>
    <x v="1"/>
    <n v="1255"/>
    <x v="254"/>
    <s v="CE"/>
    <n v="931"/>
    <s v="Ats Off"/>
    <n v="1350"/>
    <s v="W11741179"/>
    <s v="Outros"/>
    <x v="7"/>
    <n v="1000"/>
    <n v="5004101"/>
    <s v="UNIDOCK'S ASSESSORIA E LOGISTICA DE"/>
    <n v="332.58"/>
    <d v="2025-05-26T00:00:00"/>
  </r>
  <r>
    <s v="Sem TR"/>
    <n v="64809842"/>
    <s v="REB"/>
    <n v="9988859"/>
    <n v="178"/>
    <s v="PEÇAS -Defeito de fabric./Sem Compressão"/>
    <s v="FUNCIONAL"/>
    <x v="1"/>
    <n v="72497"/>
    <x v="356"/>
    <s v="SC"/>
    <n v="933"/>
    <s v="Top"/>
    <n v="1350"/>
    <s v="W11741179"/>
    <s v="Outros"/>
    <x v="7"/>
    <n v="1000"/>
    <n v="5003024"/>
    <s v="RODOBRAS TRANSPORTES RODOVIARIOS LT"/>
    <n v="332.35"/>
    <d v="2025-07-17T00:00:00"/>
  </r>
  <r>
    <n v="254042075"/>
    <n v="64780237"/>
    <s v="REB"/>
    <n v="9785537"/>
    <n v="178"/>
    <s v="PEÇAS -Defeito de fabric./Sem Compressão"/>
    <s v="FUNCIONAL"/>
    <x v="0"/>
    <n v="30416"/>
    <x v="136"/>
    <s v="AM"/>
    <n v="648"/>
    <s v="Ultra"/>
    <n v="1350"/>
    <s v="W10575086"/>
    <s v="Compressores Herméticos"/>
    <x v="0"/>
    <n v="1000"/>
    <n v="5002858"/>
    <s v="FAVORITA TRANSPORTES LTDA"/>
    <n v="332.25"/>
    <d v="2025-07-01T00:00:00"/>
  </r>
  <r>
    <n v="254003853"/>
    <n v="64778109"/>
    <s v="REB"/>
    <n v="9841275"/>
    <n v="176"/>
    <s v="PEÇAS - Defeito de fabric./Interrompido"/>
    <s v="FUNCIONAL"/>
    <x v="2"/>
    <n v="3506"/>
    <x v="46"/>
    <s v="SP"/>
    <n v="931"/>
    <s v="Ats Off"/>
    <n v="1350"/>
    <s v="W10732485"/>
    <s v="Bombas"/>
    <x v="1"/>
    <n v="1000"/>
    <n v="5004042"/>
    <s v="BRASIL WEB TRANSPORTES E LOGISTICA"/>
    <n v="332.08"/>
    <d v="2025-05-26T00:00:00"/>
  </r>
  <r>
    <n v="253931125"/>
    <n v="64703775"/>
    <s v="REB"/>
    <n v="9673731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32.01"/>
    <d v="2025-01-31T00:00:00"/>
  </r>
  <r>
    <n v="253970829"/>
    <n v="64748434"/>
    <s v="REB"/>
    <n v="9673731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32.01"/>
    <d v="2025-04-09T00:00:00"/>
  </r>
  <r>
    <n v="253992763"/>
    <n v="64767001"/>
    <s v="REB"/>
    <n v="9717585"/>
    <n v="178"/>
    <s v="PEÇAS -Defeito de fabric./Sem Compressão"/>
    <s v="FUNCIONAL"/>
    <x v="1"/>
    <n v="69921"/>
    <x v="205"/>
    <s v="SP"/>
    <n v="934"/>
    <s v="CDP Ouro"/>
    <n v="1350"/>
    <s v="W11647660"/>
    <s v="Compressores Herméticos"/>
    <x v="0"/>
    <n v="1000"/>
    <n v="5004042"/>
    <s v="BRASIL WEB TRANSPORTES E LOGISTICA"/>
    <n v="331.94"/>
    <d v="2025-05-12T00:00:00"/>
  </r>
  <r>
    <n v="254042118"/>
    <n v="64791488"/>
    <s v="REB"/>
    <n v="9640414"/>
    <n v="173"/>
    <s v="PEÇAS - Defeito de fabric./Alta Amperage"/>
    <s v="FUNCIONAL"/>
    <x v="0"/>
    <n v="55093"/>
    <x v="231"/>
    <s v="SP"/>
    <n v="648"/>
    <s v="Ultra"/>
    <n v="1350"/>
    <s v="W11435390"/>
    <s v="Placas de Controle"/>
    <x v="1"/>
    <n v="1000"/>
    <n v="5004042"/>
    <s v="BRASIL WEB TRANSPORTES E LOGISTICA"/>
    <n v="331.93"/>
    <d v="2025-06-23T00:00:00"/>
  </r>
  <r>
    <n v="254018260"/>
    <n v="64792276"/>
    <s v="REB"/>
    <n v="10007706"/>
    <n v="90"/>
    <s v="CLIENTE-não solicitou"/>
    <s v="COMERCIAL"/>
    <x v="1"/>
    <n v="29731"/>
    <x v="14"/>
    <s v="RS"/>
    <n v="713"/>
    <s v="Key Account"/>
    <n v="1350"/>
    <s v="W10882443"/>
    <s v="Placas de Controle"/>
    <x v="1"/>
    <n v="1000"/>
    <n v="5003024"/>
    <s v="RODOBRAS TRANSPORTES RODOVIARIOS LT"/>
    <n v="331.91"/>
    <d v="2025-06-16T00:00:00"/>
  </r>
  <r>
    <n v="254018347"/>
    <n v="64791797"/>
    <s v="REB"/>
    <n v="9833021"/>
    <n v="176"/>
    <s v="PEÇAS - Defeito de fabric./Interrompido"/>
    <s v="FUNCIONAL"/>
    <x v="1"/>
    <n v="67141"/>
    <x v="214"/>
    <s v="SP"/>
    <n v="648"/>
    <s v="Ultra"/>
    <n v="1350"/>
    <s v="W11647660"/>
    <s v="Compressores Herméticos"/>
    <x v="0"/>
    <n v="1000"/>
    <n v="5004042"/>
    <s v="BRASIL WEB TRANSPORTES E LOGISTICA"/>
    <n v="331.89"/>
    <d v="2025-06-17T00:00:00"/>
  </r>
  <r>
    <n v="253970911"/>
    <n v="64748850"/>
    <s v="REB"/>
    <n v="9833021"/>
    <n v="173"/>
    <s v="PEÇAS - Defeito de fabric./Alta Amperage"/>
    <s v="FUNCIONAL"/>
    <x v="2"/>
    <n v="67141"/>
    <x v="214"/>
    <s v="SP"/>
    <n v="648"/>
    <s v="Ultra"/>
    <n v="1350"/>
    <s v="W11647662"/>
    <s v="Compressores Herméticos"/>
    <x v="0"/>
    <n v="1000"/>
    <n v="5004042"/>
    <s v="BRASIL WEB TRANSPORTES E LOGISTICA"/>
    <n v="331.89"/>
    <d v="2025-04-09T00:00:00"/>
  </r>
  <r>
    <n v="254033453"/>
    <n v="64807325"/>
    <s v="REB"/>
    <n v="10114509"/>
    <n v="176"/>
    <s v="PEÇAS - Defeito de fabric./Interrompido"/>
    <s v="FUNCIONAL"/>
    <x v="2"/>
    <n v="76462"/>
    <x v="243"/>
    <s v="DF"/>
    <n v="933"/>
    <s v="Top"/>
    <n v="1350"/>
    <s v="W11300675"/>
    <s v="Mecanismos"/>
    <x v="2"/>
    <n v="3000"/>
    <n v="5002858"/>
    <s v="FAVORITA TRANSPORTES LTDA"/>
    <n v="331.68"/>
    <d v="2025-07-08T00:00:00"/>
  </r>
  <r>
    <n v="254033426"/>
    <n v="64807398"/>
    <s v="REB"/>
    <n v="9998760"/>
    <n v="178"/>
    <s v="PEÇAS -Defeito de fabric./Sem Compressão"/>
    <s v="FUNCIONAL"/>
    <x v="0"/>
    <n v="61675"/>
    <x v="12"/>
    <s v="MG"/>
    <n v="643"/>
    <s v="Elite"/>
    <n v="1350"/>
    <s v="W10393802"/>
    <s v="Compressores Herméticos"/>
    <x v="0"/>
    <n v="1000"/>
    <n v="5004215"/>
    <s v="BRASIL WEB TRANSPORTES E LOGISTICA"/>
    <n v="331.67"/>
    <d v="2025-07-08T00:00:00"/>
  </r>
  <r>
    <n v="254033302"/>
    <n v="64799583"/>
    <s v="REB"/>
    <n v="10063487"/>
    <n v="173"/>
    <s v="PEÇAS - Defeito de fabric./Alta Amperage"/>
    <s v="FUNCIONAL"/>
    <x v="1"/>
    <n v="21594"/>
    <x v="97"/>
    <s v="SP"/>
    <n v="931"/>
    <s v="Ats Off"/>
    <n v="1350"/>
    <s v="W11647660"/>
    <s v="Compressores Herméticos"/>
    <x v="0"/>
    <n v="1000"/>
    <n v="5004042"/>
    <s v="BRASIL WEB TRANSPORTES E LOGISTICA"/>
    <n v="331.35"/>
    <d v="2025-07-01T00:00:00"/>
  </r>
  <r>
    <n v="253970913"/>
    <n v="64748681"/>
    <s v="REB"/>
    <n v="9833021"/>
    <n v="176"/>
    <s v="PEÇAS - Defeito de fabric./Interrompido"/>
    <s v="FUNCIONAL"/>
    <x v="1"/>
    <n v="67141"/>
    <x v="214"/>
    <s v="SP"/>
    <n v="648"/>
    <s v="Ultra"/>
    <n v="1350"/>
    <s v="W10799397"/>
    <s v="Compressores Herméticos"/>
    <x v="0"/>
    <n v="1000"/>
    <n v="5004042"/>
    <s v="BRASIL WEB TRANSPORTES E LOGISTICA"/>
    <n v="331.33"/>
    <d v="2025-04-09T00:00:00"/>
  </r>
  <r>
    <n v="254018347"/>
    <n v="64792976"/>
    <s v="REB"/>
    <n v="9780873"/>
    <n v="173"/>
    <s v="PEÇAS - Defeito de fabric./Alta Amperage"/>
    <s v="FUNCIONAL"/>
    <x v="1"/>
    <n v="67141"/>
    <x v="214"/>
    <s v="SP"/>
    <n v="648"/>
    <s v="Ultra"/>
    <n v="1350"/>
    <s v="W10798744"/>
    <s v="Compressores Herméticos"/>
    <x v="0"/>
    <n v="1000"/>
    <n v="5004042"/>
    <s v="BRASIL WEB TRANSPORTES E LOGISTICA"/>
    <n v="331.33"/>
    <d v="2025-06-17T00:00:00"/>
  </r>
  <r>
    <n v="254018326"/>
    <n v="64793479"/>
    <s v="REB"/>
    <n v="9638262"/>
    <n v="173"/>
    <s v="PEÇAS - Defeito de fabric./Alta Amperage"/>
    <s v="FUNCIONAL"/>
    <x v="1"/>
    <n v="59011"/>
    <x v="273"/>
    <s v="SP"/>
    <n v="648"/>
    <s v="Ultra"/>
    <n v="1350"/>
    <s v="W10798744"/>
    <s v="Compressores Herméticos"/>
    <x v="0"/>
    <n v="1000"/>
    <n v="5004042"/>
    <s v="BRASIL WEB TRANSPORTES E LOGISTICA"/>
    <n v="331.33"/>
    <d v="2025-06-17T00:00:00"/>
  </r>
  <r>
    <n v="253970913"/>
    <n v="64748851"/>
    <s v="REB"/>
    <n v="9780873"/>
    <n v="173"/>
    <s v="PEÇAS - Defeito de fabric./Alta Amperage"/>
    <s v="FUNCIONAL"/>
    <x v="0"/>
    <n v="67141"/>
    <x v="214"/>
    <s v="SP"/>
    <n v="648"/>
    <s v="Ultra"/>
    <n v="1350"/>
    <s v="W10799397"/>
    <s v="Compressores Herméticos"/>
    <x v="0"/>
    <n v="1000"/>
    <n v="5004042"/>
    <s v="BRASIL WEB TRANSPORTES E LOGISTICA"/>
    <n v="331.33"/>
    <d v="2025-04-09T00:00:00"/>
  </r>
  <r>
    <n v="253992725"/>
    <n v="64766387"/>
    <s v="REB"/>
    <n v="9833008"/>
    <n v="178"/>
    <s v="PEÇAS -Defeito de fabric./Sem Compressão"/>
    <s v="FUNCIONAL"/>
    <x v="2"/>
    <n v="28296"/>
    <x v="222"/>
    <s v="SP"/>
    <n v="648"/>
    <s v="Ultra"/>
    <n v="1350"/>
    <s v="W10799397"/>
    <s v="Compressores Herméticos"/>
    <x v="0"/>
    <n v="1000"/>
    <n v="5004042"/>
    <s v="BRASIL WEB TRANSPORTES E LOGISTICA"/>
    <n v="331.33"/>
    <d v="2025-05-12T00:00:00"/>
  </r>
  <r>
    <n v="253992725"/>
    <n v="64768464"/>
    <s v="REB"/>
    <n v="9780853"/>
    <n v="178"/>
    <s v="PEÇAS -Defeito de fabric./Sem Compressão"/>
    <s v="FUNCIONAL"/>
    <x v="2"/>
    <n v="28296"/>
    <x v="222"/>
    <s v="SP"/>
    <n v="648"/>
    <s v="Ultra"/>
    <n v="1350"/>
    <s v="W10799397"/>
    <s v="Compressores Herméticos"/>
    <x v="0"/>
    <n v="1000"/>
    <n v="5004042"/>
    <s v="BRASIL WEB TRANSPORTES E LOGISTICA"/>
    <n v="331.33"/>
    <d v="2025-05-12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1647662"/>
    <s v="Compressores Herméticos"/>
    <x v="0"/>
    <n v="1000"/>
    <n v="5003024"/>
    <s v="RODOBRAS TRANSPORTES RODOVIARIOS LT"/>
    <n v="331.3"/>
    <d v="2025-01-28T00:00:00"/>
  </r>
  <r>
    <s v="Sem TR"/>
    <n v="64773517"/>
    <s v="ROB"/>
    <n v="50500"/>
    <n v="671"/>
    <s v="DEV-ENVIADO PARA GESTÃO DE CONSEQUENCIA"/>
    <s v="TRANSPORTADORA"/>
    <x v="2"/>
    <n v="82253"/>
    <x v="139"/>
    <s v="CE"/>
    <n v="934"/>
    <s v="CDP Ouro"/>
    <n v="1550"/>
    <s v="W11086108"/>
    <s v="Placas de Controle"/>
    <x v="1"/>
    <n v="2000"/>
    <n v="5004391"/>
    <s v="JEONCEL TRANSPORTES LTDA"/>
    <n v="331.25"/>
    <d v="2025-05-19T00:00:00"/>
  </r>
  <r>
    <n v="253970902"/>
    <n v="64748208"/>
    <s v="REB"/>
    <n v="9906082"/>
    <n v="173"/>
    <s v="PEÇAS - Defeito de fabric./Alta Amperage"/>
    <s v="FUNCIONAL"/>
    <x v="1"/>
    <n v="64522"/>
    <x v="158"/>
    <s v="SP"/>
    <n v="643"/>
    <s v="Elite"/>
    <n v="1350"/>
    <s v="W11299803"/>
    <s v="Mecanismos"/>
    <x v="2"/>
    <n v="3000"/>
    <n v="5004042"/>
    <s v="BRASIL WEB TRANSPORTES E LOGISTICA"/>
    <n v="331.05"/>
    <d v="2025-04-09T00:00:00"/>
  </r>
  <r>
    <n v="253952363"/>
    <n v="64729095"/>
    <s v="REB"/>
    <n v="9182976"/>
    <n v="178"/>
    <s v="PEÇAS -Defeito de fabric./Sem Compressão"/>
    <s v="FUNCIONAL"/>
    <x v="1"/>
    <n v="55093"/>
    <x v="231"/>
    <s v="SP"/>
    <n v="648"/>
    <s v="Ultra"/>
    <n v="1350"/>
    <s v="W11516523"/>
    <s v="Compressores Herméticos"/>
    <x v="0"/>
    <n v="1000"/>
    <n v="5004042"/>
    <s v="BRASIL WEB TRANSPORTES E LOGISTICA"/>
    <n v="330.93"/>
    <d v="2025-03-10T00:00:00"/>
  </r>
  <r>
    <n v="253992749"/>
    <n v="64767816"/>
    <s v="REB"/>
    <n v="9182976"/>
    <n v="178"/>
    <s v="PEÇAS -Defeito de fabric./Sem Compressão"/>
    <s v="FUNCIONAL"/>
    <x v="1"/>
    <n v="55093"/>
    <x v="231"/>
    <s v="SP"/>
    <n v="648"/>
    <s v="Ultra"/>
    <n v="1350"/>
    <s v="W11516523"/>
    <s v="Compressores Herméticos"/>
    <x v="0"/>
    <n v="1000"/>
    <n v="5004042"/>
    <s v="BRASIL WEB TRANSPORTES E LOGISTICA"/>
    <n v="330.93"/>
    <d v="2025-05-12T00:00:00"/>
  </r>
  <r>
    <n v="253891654"/>
    <n v="64660539"/>
    <s v="REB"/>
    <n v="9171719"/>
    <n v="178"/>
    <s v="PEÇAS -Defeito de fabric./Sem Compressão"/>
    <s v="FUNCIONAL"/>
    <x v="1"/>
    <n v="55093"/>
    <x v="231"/>
    <s v="SP"/>
    <n v="648"/>
    <s v="Ultra"/>
    <n v="1350"/>
    <s v="W11516523"/>
    <s v="Compressores Herméticos"/>
    <x v="0"/>
    <n v="1000"/>
    <n v="5003254"/>
    <s v="TMA TRANSPORTE LOTACAO E LOGISTICA"/>
    <n v="330.93"/>
    <d v="2024-12-05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n v="4197305"/>
    <s v="Dobradiças"/>
    <x v="10"/>
    <n v="10000"/>
    <n v="5003024"/>
    <s v="RODOBRAS TRANSPORTES RODOVIARIOS LT"/>
    <n v="330.9"/>
    <d v="2025-01-28T00:00:00"/>
  </r>
  <r>
    <n v="254007592"/>
    <n v="64783384"/>
    <s v="REB"/>
    <n v="8833839"/>
    <n v="178"/>
    <s v="PEÇAS -Defeito de fabric./Sem Compressão"/>
    <s v="FUNCIONAL"/>
    <x v="2"/>
    <n v="53319"/>
    <x v="172"/>
    <s v="PR"/>
    <n v="644"/>
    <s v="Plus"/>
    <n v="1350"/>
    <s v="W10798744"/>
    <s v="Compressores Herméticos"/>
    <x v="0"/>
    <n v="1000"/>
    <n v="5003024"/>
    <s v="RODOBRAS TRANSPORTES RODOVIARIOS LT"/>
    <n v="330.85"/>
    <d v="2025-06-02T00:00:00"/>
  </r>
  <r>
    <s v="Sem TR"/>
    <n v="64810362"/>
    <s v="REB"/>
    <n v="10106365"/>
    <n v="509"/>
    <s v="Qtd de peças a Menor dentro do Volume"/>
    <s v="LOGÍSTICA"/>
    <x v="1"/>
    <n v="86964"/>
    <x v="345"/>
    <s v="PB"/>
    <n v="713"/>
    <s v="Key Account"/>
    <n v="1350"/>
    <s v="W11629019"/>
    <s v="Recipientes de Evaporação"/>
    <x v="9"/>
    <n v="26000"/>
    <n v="5002359"/>
    <s v="EMPRESA BRASILEIRA DE CORREIOS E"/>
    <n v="330.72"/>
    <d v="2025-07-21T00:00:00"/>
  </r>
  <r>
    <s v="Sem TR"/>
    <n v="64805579"/>
    <s v="ZRDI"/>
    <n v="10098417"/>
    <s v="D31"/>
    <s v="DEV D2C - Defeito estético manufatura"/>
    <s v="MANUFATURA"/>
    <x v="2"/>
    <n v="4580503"/>
    <x v="373"/>
    <s v="PB"/>
    <n v="478"/>
    <s v="Corporativo"/>
    <n v="1352"/>
    <n v="326075876"/>
    <s v="Filtros"/>
    <x v="5"/>
    <n v="1000"/>
    <n v="5002359"/>
    <s v="EMPRESA BRASILEIRA DE CORREIOS E"/>
    <n v="330.02"/>
    <d v="2025-07-04T00:00:00"/>
  </r>
  <r>
    <s v="Sem TR"/>
    <n v="64735293"/>
    <s v="REB"/>
    <n v="9936129"/>
    <n v="671"/>
    <s v="DEV-ENVIADO PARA GESTÃO DE CONSEQUENCIA"/>
    <s v="TRANSPORTADORA"/>
    <x v="1"/>
    <n v="27825"/>
    <x v="116"/>
    <s v="SP"/>
    <n v="641"/>
    <s v="CDP Diamante"/>
    <n v="1350"/>
    <s v="W11647660"/>
    <s v="Compressores Herméticos"/>
    <x v="0"/>
    <n v="1000"/>
    <n v="5004042"/>
    <s v="BRASIL WEB TRANSPORTES E LOGISTICA"/>
    <n v="329.57"/>
    <d v="2025-03-20T00:00:00"/>
  </r>
  <r>
    <n v="253970760"/>
    <n v="64748623"/>
    <s v="REB"/>
    <n v="9936129"/>
    <n v="178"/>
    <s v="PEÇAS -Defeito de fabric./Sem Compressão"/>
    <s v="FUNCIONAL"/>
    <x v="2"/>
    <n v="27825"/>
    <x v="116"/>
    <s v="SP"/>
    <n v="641"/>
    <s v="CDP Diamante"/>
    <n v="1350"/>
    <s v="W11647662"/>
    <s v="Compressores Herméticos"/>
    <x v="0"/>
    <n v="1000"/>
    <n v="5004042"/>
    <s v="BRASIL WEB TRANSPORTES E LOGISTICA"/>
    <n v="329.57"/>
    <d v="2025-04-09T00:00:00"/>
  </r>
  <r>
    <n v="253903181"/>
    <n v="64665160"/>
    <s v="REB"/>
    <n v="9658641"/>
    <n v="671"/>
    <s v="DEV-ENVIADO PARA GESTÃO DE CONSEQUENCIA"/>
    <s v="TRANSPORTADORA"/>
    <x v="2"/>
    <n v="28016"/>
    <x v="331"/>
    <s v="RJ"/>
    <n v="644"/>
    <s v="Plus"/>
    <n v="1350"/>
    <s v="W10393808"/>
    <s v="Compressores Herméticos"/>
    <x v="0"/>
    <n v="1000"/>
    <n v="5003176"/>
    <s v="J C THEDIN TRANSPORTES LTDA"/>
    <n v="329.27"/>
    <d v="2024-12-18T00:00:00"/>
  </r>
  <r>
    <n v="253992774"/>
    <n v="64766783"/>
    <s v="REB"/>
    <n v="9627857"/>
    <n v="173"/>
    <s v="PEÇAS - Defeito de fabric./Alta Amperage"/>
    <s v="FUNCIONAL"/>
    <x v="1"/>
    <n v="77746"/>
    <x v="119"/>
    <s v="GO"/>
    <n v="933"/>
    <s v="Top"/>
    <n v="1350"/>
    <s v="W10709306"/>
    <s v="Placas de Controle"/>
    <x v="1"/>
    <n v="2000"/>
    <n v="5002858"/>
    <s v="FAVORITA TRANSPORTES LTDA"/>
    <n v="329.1"/>
    <d v="2025-05-12T00:00:00"/>
  </r>
  <r>
    <n v="254033403"/>
    <n v="64802460"/>
    <s v="REB"/>
    <n v="9802639"/>
    <n v="178"/>
    <s v="PEÇAS -Defeito de fabric./Sem Compressão"/>
    <s v="FUNCIONAL"/>
    <x v="1"/>
    <n v="37434"/>
    <x v="95"/>
    <s v="GO"/>
    <n v="931"/>
    <s v="Ats Off"/>
    <n v="1350"/>
    <s v="W11741179"/>
    <s v="Outros"/>
    <x v="7"/>
    <n v="1000"/>
    <n v="5002858"/>
    <s v="FAVORITA TRANSPORTES LTDA"/>
    <n v="329.08"/>
    <d v="2025-07-01T00:00:00"/>
  </r>
  <r>
    <n v="253952272"/>
    <n v="64729150"/>
    <s v="REB"/>
    <n v="9808510"/>
    <n v="178"/>
    <s v="PEÇAS -Defeito de fabric./Sem Compressão"/>
    <s v="FUNCIONAL"/>
    <x v="1"/>
    <n v="31587"/>
    <x v="135"/>
    <s v="SP"/>
    <n v="643"/>
    <s v="Elite"/>
    <n v="1350"/>
    <s v="W10798744"/>
    <s v="Compressores Herméticos"/>
    <x v="0"/>
    <n v="1000"/>
    <n v="5004042"/>
    <s v="BRASIL WEB TRANSPORTES E LOGISTICA"/>
    <n v="328.86"/>
    <d v="2025-03-10T00:00:00"/>
  </r>
  <r>
    <n v="253988857"/>
    <n v="64763749"/>
    <s v="REB"/>
    <n v="9028692"/>
    <n v="178"/>
    <s v="PEÇAS -Defeito de fabric./Sem Compressão"/>
    <s v="FUNCIONAL"/>
    <x v="1"/>
    <n v="28296"/>
    <x v="222"/>
    <s v="SP"/>
    <n v="648"/>
    <s v="Ultra"/>
    <n v="1350"/>
    <s v="W10393809"/>
    <s v="Compressores Herméticos"/>
    <x v="0"/>
    <n v="1000"/>
    <n v="5004042"/>
    <s v="BRASIL WEB TRANSPORTES E LOGISTICA"/>
    <n v="328.85"/>
    <d v="2025-05-05T00:00:00"/>
  </r>
  <r>
    <n v="253886317"/>
    <n v="64655725"/>
    <s v="REB"/>
    <n v="9253382"/>
    <n v="178"/>
    <s v="PEÇAS -Defeito de fabric./Sem Compressão"/>
    <s v="FUNCIONAL"/>
    <x v="1"/>
    <n v="81459"/>
    <x v="221"/>
    <s v="SP"/>
    <n v="648"/>
    <s v="Ultra"/>
    <n v="1350"/>
    <s v="W10798744"/>
    <s v="Compressores Herméticos"/>
    <x v="0"/>
    <n v="1000"/>
    <n v="5004042"/>
    <s v="BRASIL WEB TRANSPORTES E LOGISTICA"/>
    <n v="328.85"/>
    <d v="2024-11-29T00:00:00"/>
  </r>
  <r>
    <n v="253948507"/>
    <n v="64726718"/>
    <s v="REB"/>
    <n v="9690982"/>
    <n v="178"/>
    <s v="PEÇAS -Defeito de fabric./Sem Compressão"/>
    <s v="FUNCIONAL"/>
    <x v="2"/>
    <n v="47470"/>
    <x v="6"/>
    <s v="SP"/>
    <n v="643"/>
    <s v="Elite"/>
    <n v="1350"/>
    <s v="W10393809"/>
    <s v="Compressores Herméticos"/>
    <x v="0"/>
    <n v="1000"/>
    <n v="5004042"/>
    <s v="BRASIL WEB TRANSPORTES E LOGISTICA"/>
    <n v="328.51"/>
    <d v="2025-03-07T00:00:00"/>
  </r>
  <r>
    <n v="253952362"/>
    <n v="64729094"/>
    <s v="REB"/>
    <n v="9738852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28.45"/>
    <d v="2025-03-10T00:00:00"/>
  </r>
  <r>
    <n v="253983938"/>
    <n v="64758350"/>
    <s v="REB"/>
    <n v="9738852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28.45"/>
    <d v="2025-04-28T00:00:00"/>
  </r>
  <r>
    <n v="253931125"/>
    <n v="64703726"/>
    <s v="REB"/>
    <n v="9738852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28.45"/>
    <d v="2025-01-31T00:00:00"/>
  </r>
  <r>
    <n v="253952361"/>
    <n v="64729071"/>
    <s v="REB"/>
    <n v="9738852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28.45"/>
    <d v="2025-03-10T00:00:00"/>
  </r>
  <r>
    <n v="254007692"/>
    <n v="64765729"/>
    <s v="REB"/>
    <n v="9844529"/>
    <n v="168"/>
    <s v="PEÇAS-Def.Fabric.Empenamento/Abaulamento"/>
    <s v="FUNCIONAL"/>
    <x v="1"/>
    <n v="4167"/>
    <x v="63"/>
    <s v="SP"/>
    <n v="931"/>
    <s v="Ats Off"/>
    <n v="1350"/>
    <s v="W10629659"/>
    <s v="Portas"/>
    <x v="6"/>
    <n v="1000"/>
    <n v="5004042"/>
    <s v="BRASIL WEB TRANSPORTES E LOGISTICA"/>
    <n v="328.22"/>
    <d v="2025-05-07T00:00:00"/>
  </r>
  <r>
    <s v="Sem TR"/>
    <n v="64817555"/>
    <s v="REB"/>
    <n v="9689821"/>
    <n v="176"/>
    <s v="PEÇAS - Defeito de fabric./Interrompido"/>
    <s v="FUNCIONAL"/>
    <x v="1"/>
    <n v="81988"/>
    <x v="38"/>
    <s v="MG"/>
    <n v="648"/>
    <s v="Ultra"/>
    <n v="1350"/>
    <s v="W10393808"/>
    <s v="Compressores Herméticos"/>
    <x v="0"/>
    <n v="1000"/>
    <n v="5004215"/>
    <s v="BRASIL WEB TRANSPORTES E LOGISTICA"/>
    <n v="328.12"/>
    <d v="2025-07-25T00:00:00"/>
  </r>
  <r>
    <n v="253900619"/>
    <n v="64664712"/>
    <s v="REB"/>
    <n v="9700022"/>
    <n v="173"/>
    <s v="PEÇAS - Defeito de fabric./Alta Amperage"/>
    <s v="FUNCIONAL"/>
    <x v="2"/>
    <n v="2458"/>
    <x v="374"/>
    <s v="ES"/>
    <n v="350"/>
    <s v="Ats On"/>
    <n v="1350"/>
    <s v="W11051514"/>
    <s v="Placas de Controle"/>
    <x v="1"/>
    <n v="1000"/>
    <n v="5004042"/>
    <s v="BRASIL WEB TRANSPORTES E LOGISTICA"/>
    <n v="327.98"/>
    <d v="2024-12-16T00:00:00"/>
  </r>
  <r>
    <n v="253931019"/>
    <n v="64703758"/>
    <s v="REB"/>
    <n v="9702993"/>
    <n v="173"/>
    <s v="PEÇAS - Defeito de fabric./Alta Amperage"/>
    <s v="FUNCIONAL"/>
    <x v="1"/>
    <n v="8975"/>
    <x v="90"/>
    <s v="MA"/>
    <n v="931"/>
    <s v="Ats Off"/>
    <n v="1350"/>
    <s v="W11516471"/>
    <s v="Compressores Herméticos"/>
    <x v="0"/>
    <n v="1000"/>
    <n v="5004101"/>
    <s v="UNIDOCK'S ASSESSORIA E LOGISTICA DE"/>
    <n v="327.64999999999998"/>
    <d v="2025-01-31T00:00:00"/>
  </r>
  <r>
    <n v="253931020"/>
    <n v="64703768"/>
    <s v="REB"/>
    <n v="9702993"/>
    <n v="173"/>
    <s v="PEÇAS - Defeito de fabric./Alta Amperage"/>
    <s v="FUNCIONAL"/>
    <x v="1"/>
    <n v="8975"/>
    <x v="90"/>
    <s v="MA"/>
    <n v="931"/>
    <s v="Ats Off"/>
    <n v="1350"/>
    <s v="W11516471"/>
    <s v="Compressores Herméticos"/>
    <x v="0"/>
    <n v="1000"/>
    <n v="5004101"/>
    <s v="UNIDOCK'S ASSESSORIA E LOGISTICA DE"/>
    <n v="327.64999999999998"/>
    <d v="2025-01-31T00:00:00"/>
  </r>
  <r>
    <n v="254035380"/>
    <n v="64812714"/>
    <s v="REB"/>
    <n v="9902621"/>
    <n v="176"/>
    <s v="PEÇAS - Defeito de fabric./Interrompido"/>
    <s v="FUNCIONAL"/>
    <x v="1"/>
    <n v="36065"/>
    <x v="7"/>
    <s v="GO"/>
    <n v="643"/>
    <s v="Elite"/>
    <n v="1350"/>
    <s v="W11516486"/>
    <s v="Compressores Herméticos"/>
    <x v="0"/>
    <n v="1000"/>
    <n v="5002858"/>
    <s v="FAVORITA TRANSPORTES LTDA"/>
    <n v="327.45999999999998"/>
    <d v="2025-07-17T00:00:00"/>
  </r>
  <r>
    <n v="254042258"/>
    <n v="64789487"/>
    <s v="REB"/>
    <n v="9902621"/>
    <n v="176"/>
    <s v="PEÇAS - Defeito de fabric./Interrompido"/>
    <s v="FUNCIONAL"/>
    <x v="0"/>
    <n v="36065"/>
    <x v="7"/>
    <s v="GO"/>
    <n v="643"/>
    <s v="Elite"/>
    <n v="1350"/>
    <s v="W11516486"/>
    <s v="Compressores Herméticos"/>
    <x v="0"/>
    <n v="1000"/>
    <n v="5002858"/>
    <s v="FAVORITA TRANSPORTES LTDA"/>
    <n v="327.45999999999998"/>
    <d v="2025-06-23T00:00:00"/>
  </r>
  <r>
    <n v="254012612"/>
    <n v="64788746"/>
    <s v="REB"/>
    <n v="9952954"/>
    <n v="173"/>
    <s v="PEÇAS - Defeito de fabric./Alta Amperage"/>
    <s v="FUNCIONAL"/>
    <x v="1"/>
    <n v="73003"/>
    <x v="294"/>
    <s v="SC"/>
    <n v="931"/>
    <s v="Ats Off"/>
    <n v="1350"/>
    <n v="326061172"/>
    <s v="Placas de Controle"/>
    <x v="1"/>
    <n v="1000"/>
    <n v="5003024"/>
    <s v="RODOBRAS TRANSPORTES RODOVIARIOS LT"/>
    <n v="327.39999999999998"/>
    <d v="2025-06-10T00:00:00"/>
  </r>
  <r>
    <n v="253988917"/>
    <n v="64764397"/>
    <s v="REB"/>
    <n v="9952954"/>
    <n v="173"/>
    <s v="PEÇAS - Defeito de fabric./Alta Amperage"/>
    <s v="FUNCIONAL"/>
    <x v="1"/>
    <n v="73003"/>
    <x v="294"/>
    <s v="SC"/>
    <n v="931"/>
    <s v="Ats Off"/>
    <n v="1350"/>
    <n v="326061172"/>
    <s v="Placas de Controle"/>
    <x v="1"/>
    <n v="1000"/>
    <n v="5003024"/>
    <s v="RODOBRAS TRANSPORTES RODOVIARIOS LT"/>
    <n v="327.39999999999998"/>
    <d v="2025-05-05T00:00:00"/>
  </r>
  <r>
    <s v="Sem TR"/>
    <n v="64768408"/>
    <s v="ROB"/>
    <n v="50198"/>
    <n v="671"/>
    <s v="DEV-ENVIADO PARA GESTÃO DE CONSEQUENCIA"/>
    <s v="TRANSPORTADORA"/>
    <x v="2"/>
    <n v="82253"/>
    <x v="139"/>
    <s v="CE"/>
    <n v="934"/>
    <s v="CDP Ouro"/>
    <n v="1550"/>
    <s v="W10257565"/>
    <s v="Fusíveis/Fusíveis térmicos"/>
    <x v="1"/>
    <n v="30000"/>
    <n v="5004391"/>
    <s v="JEONCEL TRANSPORTES LTDA"/>
    <n v="327.27"/>
    <d v="2025-05-12T00:00:00"/>
  </r>
  <r>
    <n v="254004058"/>
    <n v="64777907"/>
    <s v="REB"/>
    <n v="9733255"/>
    <n v="173"/>
    <s v="PEÇAS - Defeito de fabric./Alta Amperage"/>
    <s v="FUNCIONAL"/>
    <x v="2"/>
    <n v="79427"/>
    <x v="375"/>
    <s v="PR"/>
    <n v="932"/>
    <s v="CDP Prata"/>
    <n v="1350"/>
    <s v="W11199201"/>
    <s v="Placas de Controle"/>
    <x v="1"/>
    <n v="1000"/>
    <n v="5003024"/>
    <s v="RODOBRAS TRANSPORTES RODOVIARIOS LT"/>
    <n v="326.95"/>
    <d v="2025-05-26T00:00:00"/>
  </r>
  <r>
    <n v="254004058"/>
    <n v="64777907"/>
    <s v="REB"/>
    <n v="9733255"/>
    <n v="173"/>
    <s v="PEÇAS - Defeito de fabric./Alta Amperage"/>
    <s v="FUNCIONAL"/>
    <x v="2"/>
    <n v="79427"/>
    <x v="375"/>
    <s v="PR"/>
    <n v="932"/>
    <s v="CDP Prata"/>
    <n v="1350"/>
    <s v="W11199201"/>
    <s v="Placas de Controle"/>
    <x v="1"/>
    <n v="1000"/>
    <n v="5003024"/>
    <s v="RODOBRAS TRANSPORTES RODOVIARIOS LT"/>
    <n v="326.95"/>
    <d v="2025-05-26T00:00:00"/>
  </r>
  <r>
    <n v="254033359"/>
    <n v="64790323"/>
    <s v="REB"/>
    <n v="10054593"/>
    <n v="173"/>
    <s v="PEÇAS - Defeito de fabric./Alta Amperage"/>
    <s v="FUNCIONAL"/>
    <x v="0"/>
    <n v="28991"/>
    <x v="65"/>
    <s v="MG"/>
    <n v="643"/>
    <s v="Elite"/>
    <n v="1350"/>
    <s v="W11435390"/>
    <s v="Placas de Controle"/>
    <x v="1"/>
    <n v="1000"/>
    <n v="5004215"/>
    <s v="BRASIL WEB TRANSPORTES E LOGISTICA"/>
    <n v="326.8"/>
    <d v="2025-07-08T00:00:00"/>
  </r>
  <r>
    <s v="Sem TR"/>
    <n v="64812031"/>
    <s v="REB"/>
    <n v="10015688"/>
    <n v="173"/>
    <s v="PEÇAS - Defeito de fabric./Alta Amperage"/>
    <s v="FUNCIONAL"/>
    <x v="1"/>
    <n v="15493"/>
    <x v="103"/>
    <s v="BA"/>
    <n v="350"/>
    <s v="Ats On"/>
    <n v="1350"/>
    <s v="W11391011"/>
    <s v="Placas de Controle"/>
    <x v="1"/>
    <n v="1000"/>
    <n v="5004101"/>
    <s v="UNIDOCK'S ASSESSORIA E LOGISTICA DE"/>
    <n v="326.57"/>
    <d v="2025-07-22T00:00:00"/>
  </r>
  <r>
    <s v="Sem TR"/>
    <n v="64817460"/>
    <s v="REB"/>
    <n v="9667682"/>
    <n v="178"/>
    <s v="PEÇAS -Defeito de fabric./Sem Compressão"/>
    <s v="FUNCIONAL"/>
    <x v="1"/>
    <n v="55093"/>
    <x v="231"/>
    <s v="SP"/>
    <n v="648"/>
    <s v="Ultra"/>
    <n v="1350"/>
    <s v="W11677208"/>
    <s v="Compressores Herméticos"/>
    <x v="0"/>
    <n v="1000"/>
    <n v="5004042"/>
    <s v="BRASIL WEB TRANSPORTES E LOGISTICA"/>
    <n v="326.38"/>
    <d v="2025-07-25T00:00:00"/>
  </r>
  <r>
    <n v="253952360"/>
    <n v="64683023"/>
    <s v="REB"/>
    <n v="9662442"/>
    <n v="178"/>
    <s v="PEÇAS -Defeito de fabric./Sem Compressão"/>
    <s v="FUNCIONAL"/>
    <x v="2"/>
    <n v="55093"/>
    <x v="231"/>
    <s v="SP"/>
    <n v="648"/>
    <s v="Ultra"/>
    <n v="1350"/>
    <s v="W11677209"/>
    <s v="Compressores Herméticos"/>
    <x v="0"/>
    <n v="1000"/>
    <n v="5004042"/>
    <s v="BRASIL WEB TRANSPORTES E LOGISTICA"/>
    <n v="326.38"/>
    <d v="2025-03-10T00:00:00"/>
  </r>
  <r>
    <n v="253952361"/>
    <n v="64729078"/>
    <s v="REB"/>
    <n v="9662442"/>
    <n v="178"/>
    <s v="PEÇAS -Defeito de fabric./Sem Compressão"/>
    <s v="FUNCIONAL"/>
    <x v="2"/>
    <n v="55093"/>
    <x v="231"/>
    <s v="SP"/>
    <n v="648"/>
    <s v="Ultra"/>
    <n v="1350"/>
    <s v="W11677208"/>
    <s v="Compressores Herméticos"/>
    <x v="0"/>
    <n v="1000"/>
    <n v="5004042"/>
    <s v="BRASIL WEB TRANSPORTES E LOGISTICA"/>
    <n v="326.38"/>
    <d v="2025-03-10T00:00:00"/>
  </r>
  <r>
    <s v="Sem TR"/>
    <n v="64812454"/>
    <s v="REB"/>
    <n v="9839502"/>
    <n v="173"/>
    <s v="PEÇAS - Defeito de fabric./Alta Amperage"/>
    <s v="FUNCIONAL"/>
    <x v="1"/>
    <n v="72497"/>
    <x v="356"/>
    <s v="SC"/>
    <n v="933"/>
    <s v="Top"/>
    <n v="1350"/>
    <s v="W11129356"/>
    <s v="Compressores Herméticos"/>
    <x v="0"/>
    <n v="1000"/>
    <n v="5003024"/>
    <s v="RODOBRAS TRANSPORTES RODOVIARIOS LT"/>
    <n v="326.33999999999997"/>
    <d v="2025-07-17T00:00:00"/>
  </r>
  <r>
    <n v="253872472"/>
    <n v="64635582"/>
    <s v="REB"/>
    <n v="9192764"/>
    <n v="178"/>
    <s v="PEÇAS -Defeito de fabric./Sem Compressão"/>
    <s v="FUNCIONAL"/>
    <x v="1"/>
    <n v="74019"/>
    <x v="376"/>
    <s v="SP"/>
    <n v="933"/>
    <s v="Top"/>
    <n v="1350"/>
    <s v="W11647662"/>
    <s v="Compressores Herméticos"/>
    <x v="0"/>
    <n v="1000"/>
    <n v="5003254"/>
    <s v="TMA TRANSPORTE LOTACAO E LOGISTICA"/>
    <n v="326.08"/>
    <d v="2024-11-11T00:00:00"/>
  </r>
  <r>
    <n v="253970936"/>
    <n v="64748068"/>
    <s v="REB"/>
    <n v="9192764"/>
    <n v="173"/>
    <s v="PEÇAS - Defeito de fabric./Alta Amperage"/>
    <s v="FUNCIONAL"/>
    <x v="1"/>
    <n v="74019"/>
    <x v="376"/>
    <s v="SP"/>
    <n v="934"/>
    <s v="CDP Ouro"/>
    <n v="1350"/>
    <s v="W11647662"/>
    <s v="Compressores Herméticos"/>
    <x v="0"/>
    <n v="1000"/>
    <n v="5004042"/>
    <s v="BRASIL WEB TRANSPORTES E LOGISTICA"/>
    <n v="326.08"/>
    <d v="2025-04-09T00:00:00"/>
  </r>
  <r>
    <n v="253948516"/>
    <n v="64726648"/>
    <s v="REB"/>
    <n v="9246506"/>
    <n v="178"/>
    <s v="PEÇAS -Defeito de fabric./Sem Compressão"/>
    <s v="FUNCIONAL"/>
    <x v="1"/>
    <n v="53319"/>
    <x v="172"/>
    <s v="PR"/>
    <n v="644"/>
    <s v="Plus"/>
    <n v="1350"/>
    <s v="W10393802"/>
    <s v="Compressores Herméticos"/>
    <x v="0"/>
    <n v="1000"/>
    <n v="5003024"/>
    <s v="RODOBRAS TRANSPORTES RODOVIARIOS LT"/>
    <n v="325.99"/>
    <d v="2025-03-07T00:00:00"/>
  </r>
  <r>
    <n v="254018322"/>
    <n v="64793181"/>
    <s v="REB"/>
    <n v="9773521"/>
    <n v="178"/>
    <s v="PEÇAS -Defeito de fabric./Sem Compressão"/>
    <s v="FUNCIONAL"/>
    <x v="1"/>
    <n v="53319"/>
    <x v="172"/>
    <s v="PR"/>
    <n v="644"/>
    <s v="Plus"/>
    <n v="1350"/>
    <s v="W10798744"/>
    <s v="Compressores Herméticos"/>
    <x v="0"/>
    <n v="1000"/>
    <n v="5003024"/>
    <s v="RODOBRAS TRANSPORTES RODOVIARIOS LT"/>
    <n v="325.77999999999997"/>
    <d v="2025-06-17T00:00:00"/>
  </r>
  <r>
    <n v="254033418"/>
    <n v="64807570"/>
    <s v="REB"/>
    <n v="9773521"/>
    <n v="178"/>
    <s v="PEÇAS -Defeito de fabric./Sem Compressão"/>
    <s v="FUNCIONAL"/>
    <x v="0"/>
    <n v="53319"/>
    <x v="172"/>
    <s v="PR"/>
    <n v="644"/>
    <s v="Plus"/>
    <n v="1350"/>
    <s v="W10798744"/>
    <s v="Compressores Herméticos"/>
    <x v="0"/>
    <n v="1000"/>
    <n v="5003024"/>
    <s v="RODOBRAS TRANSPORTES RODOVIARIOS LT"/>
    <n v="325.77999999999997"/>
    <d v="2025-07-08T00:00:00"/>
  </r>
  <r>
    <n v="254012576"/>
    <n v="64789328"/>
    <s v="REB"/>
    <n v="9980649"/>
    <n v="173"/>
    <s v="PEÇAS - Defeito de fabric./Alta Amperage"/>
    <s v="FUNCIONAL"/>
    <x v="1"/>
    <n v="63620"/>
    <x v="328"/>
    <s v="MG"/>
    <n v="934"/>
    <s v="CDP Ouro"/>
    <n v="1350"/>
    <s v="W11647660"/>
    <s v="Compressores Herméticos"/>
    <x v="0"/>
    <n v="1000"/>
    <n v="5004215"/>
    <s v="BRASIL WEB TRANSPORTES E LOGISTICA"/>
    <n v="325.73"/>
    <d v="2025-06-10T00:00:00"/>
  </r>
  <r>
    <n v="254004006"/>
    <n v="64777739"/>
    <s v="REB"/>
    <n v="9773521"/>
    <n v="178"/>
    <s v="PEÇAS -Defeito de fabric./Sem Compressão"/>
    <s v="FUNCIONAL"/>
    <x v="1"/>
    <n v="53319"/>
    <x v="172"/>
    <s v="PR"/>
    <n v="644"/>
    <s v="Plus"/>
    <n v="1350"/>
    <s v="W11647660"/>
    <s v="Compressores Herméticos"/>
    <x v="0"/>
    <n v="1000"/>
    <n v="5003024"/>
    <s v="RODOBRAS TRANSPORTES RODOVIARIOS LT"/>
    <n v="325.72000000000003"/>
    <d v="2025-05-26T00:00:00"/>
  </r>
  <r>
    <n v="253988932"/>
    <n v="64764028"/>
    <s v="REB"/>
    <n v="9587047"/>
    <n v="173"/>
    <s v="PEÇAS - Defeito de fabric./Alta Amperage"/>
    <s v="FUNCIONAL"/>
    <x v="1"/>
    <n v="81075"/>
    <x v="223"/>
    <s v="BA"/>
    <n v="934"/>
    <s v="CDP Ouro"/>
    <n v="1350"/>
    <s v="W11677209"/>
    <s v="Compressores Herméticos"/>
    <x v="0"/>
    <n v="1000"/>
    <n v="5004101"/>
    <s v="UNIDOCK'S ASSESSORIA E LOGISTICA DE"/>
    <n v="325.7"/>
    <d v="2025-05-05T00:00:00"/>
  </r>
  <r>
    <s v="Sem TR"/>
    <n v="64814610"/>
    <s v="REB"/>
    <n v="10025103"/>
    <n v="176"/>
    <s v="PEÇAS - Defeito de fabric./Interrompido"/>
    <s v="FUNCIONAL"/>
    <x v="1"/>
    <n v="3250"/>
    <x v="377"/>
    <s v="SP"/>
    <n v="932"/>
    <s v="CDP Prata"/>
    <n v="1350"/>
    <s v="W11199201"/>
    <s v="Placas de Controle"/>
    <x v="1"/>
    <n v="1000"/>
    <n v="5004042"/>
    <s v="BRASIL WEB TRANSPORTES E LOGISTICA"/>
    <n v="325.47000000000003"/>
    <d v="2025-07-22T00:00:00"/>
  </r>
  <r>
    <n v="253922512"/>
    <n v="64694802"/>
    <s v="REB"/>
    <n v="9177666"/>
    <n v="178"/>
    <s v="PEÇAS -Defeito de fabric./Sem Compressão"/>
    <s v="FUNCIONAL"/>
    <x v="1"/>
    <n v="25727"/>
    <x v="275"/>
    <s v="GO"/>
    <n v="644"/>
    <s v="Plus"/>
    <n v="1350"/>
    <s v="W11647660"/>
    <s v="Compressores Herméticos"/>
    <x v="0"/>
    <n v="1000"/>
    <n v="5002858"/>
    <s v="FAVORITA TRANSPORTES LTDA"/>
    <n v="325.38"/>
    <d v="2025-01-20T00:00:00"/>
  </r>
  <r>
    <n v="254042147"/>
    <n v="64796059"/>
    <s v="REB"/>
    <n v="9941740"/>
    <n v="173"/>
    <s v="PEÇAS - Defeito de fabric./Alta Amperage"/>
    <s v="FUNCIONAL"/>
    <x v="0"/>
    <n v="32272"/>
    <x v="312"/>
    <s v="PR"/>
    <n v="933"/>
    <s v="Top"/>
    <n v="1350"/>
    <s v="W11647660"/>
    <s v="Compressores Herméticos"/>
    <x v="0"/>
    <n v="1000"/>
    <n v="5003024"/>
    <s v="RODOBRAS TRANSPORTES RODOVIARIOS LT"/>
    <n v="325.27"/>
    <d v="2025-06-23T00:00:00"/>
  </r>
  <r>
    <s v="Sem TR"/>
    <n v="64816351"/>
    <s v="REB"/>
    <n v="9673731"/>
    <n v="178"/>
    <s v="PEÇAS -Defeito de fabric./Sem Compressão"/>
    <s v="FUNCIONAL"/>
    <x v="1"/>
    <n v="55093"/>
    <x v="231"/>
    <s v="SP"/>
    <n v="648"/>
    <s v="Ultra"/>
    <n v="1350"/>
    <s v="W11677208"/>
    <s v="Compressores Herméticos"/>
    <x v="0"/>
    <n v="1000"/>
    <n v="5004042"/>
    <s v="BRASIL WEB TRANSPORTES E LOGISTICA"/>
    <n v="325.24"/>
    <d v="2025-07-25T00:00:00"/>
  </r>
  <r>
    <n v="254004023"/>
    <n v="64777163"/>
    <s v="REB"/>
    <n v="9788484"/>
    <n v="173"/>
    <s v="PEÇAS - Defeito de fabric./Alta Amperage"/>
    <s v="FUNCIONAL"/>
    <x v="1"/>
    <n v="61472"/>
    <x v="79"/>
    <s v="MG"/>
    <n v="350"/>
    <s v="Ats On"/>
    <n v="1350"/>
    <s v="W10798744"/>
    <s v="Compressores Herméticos"/>
    <x v="0"/>
    <n v="1000"/>
    <n v="5004215"/>
    <s v="BRASIL WEB TRANSPORTES E LOGISTICA"/>
    <n v="324.63"/>
    <d v="2025-05-26T00:00:00"/>
  </r>
  <r>
    <n v="254042019"/>
    <n v="64795945"/>
    <s v="REB"/>
    <n v="9966692"/>
    <n v="173"/>
    <s v="PEÇAS - Defeito de fabric./Alta Amperage"/>
    <s v="FUNCIONAL"/>
    <x v="0"/>
    <n v="21594"/>
    <x v="97"/>
    <s v="SP"/>
    <n v="931"/>
    <s v="Ats Off"/>
    <n v="1350"/>
    <s v="W10732485"/>
    <s v="Bombas"/>
    <x v="1"/>
    <n v="1000"/>
    <n v="5004042"/>
    <s v="BRASIL WEB TRANSPORTES E LOGISTICA"/>
    <n v="324.58999999999997"/>
    <d v="2025-06-23T00:00:00"/>
  </r>
  <r>
    <n v="254018332"/>
    <n v="64792232"/>
    <s v="REB"/>
    <n v="10045448"/>
    <n v="506"/>
    <s v="Qtd de peças a Maior dentro do Volume"/>
    <s v="LOGÍSTICA"/>
    <x v="1"/>
    <n v="64523"/>
    <x v="21"/>
    <s v="PB"/>
    <n v="713"/>
    <s v="Key Account"/>
    <n v="1350"/>
    <n v="326062041"/>
    <s v="Recipientes de Evaporação"/>
    <x v="9"/>
    <n v="27000"/>
    <n v="5004101"/>
    <s v="UNIDOCK'S ASSESSORIA E LOGISTICA DE"/>
    <n v="324.18"/>
    <d v="2025-06-16T00:00:00"/>
  </r>
  <r>
    <n v="253953786"/>
    <n v="64728373"/>
    <s v="REB"/>
    <n v="9760827"/>
    <n v="178"/>
    <s v="PEÇAS -Defeito de fabric./Sem Compressão"/>
    <s v="FUNCIONAL"/>
    <x v="2"/>
    <n v="29164"/>
    <x v="32"/>
    <s v="BA"/>
    <n v="648"/>
    <s v="Ultra"/>
    <n v="1350"/>
    <s v="W11647662"/>
    <s v="Compressores Herméticos"/>
    <x v="0"/>
    <n v="1000"/>
    <n v="5004101"/>
    <s v="UNIDOCK'S ASSESSORIA E LOGISTICA DE"/>
    <n v="324.01"/>
    <d v="2025-03-14T00:00:00"/>
  </r>
  <r>
    <n v="253953785"/>
    <n v="64728532"/>
    <s v="REB"/>
    <n v="9760827"/>
    <n v="178"/>
    <s v="PEÇAS -Defeito de fabric./Sem Compressão"/>
    <s v="FUNCIONAL"/>
    <x v="2"/>
    <n v="29164"/>
    <x v="32"/>
    <s v="BA"/>
    <n v="648"/>
    <s v="Ultra"/>
    <n v="1350"/>
    <s v="W11647662"/>
    <s v="Compressores Herméticos"/>
    <x v="0"/>
    <n v="1000"/>
    <n v="5004101"/>
    <s v="UNIDOCK'S ASSESSORIA E LOGISTICA DE"/>
    <n v="324.01"/>
    <d v="2025-03-14T00:00:00"/>
  </r>
  <r>
    <n v="253995114"/>
    <n v="64770540"/>
    <s v="REB"/>
    <n v="9985175"/>
    <n v="173"/>
    <s v="PEÇAS - Defeito de fabric./Alta Amperage"/>
    <s v="FUNCIONAL"/>
    <x v="1"/>
    <n v="26337"/>
    <x v="378"/>
    <s v="SP"/>
    <n v="350"/>
    <s v="Ats On"/>
    <n v="1350"/>
    <s v="W11199202"/>
    <s v="Placas de Controle"/>
    <x v="1"/>
    <n v="1000"/>
    <n v="5004042"/>
    <s v="BRASIL WEB TRANSPORTES E LOGISTICA"/>
    <n v="323.73"/>
    <d v="2025-05-15T00:00:00"/>
  </r>
  <r>
    <n v="254018237"/>
    <n v="64793485"/>
    <s v="REB"/>
    <n v="9676776"/>
    <n v="173"/>
    <s v="PEÇAS - Defeito de fabric./Alta Amperage"/>
    <s v="FUNCIONAL"/>
    <x v="2"/>
    <n v="22985"/>
    <x v="247"/>
    <s v="SC"/>
    <n v="641"/>
    <s v="CDP Diamante"/>
    <n v="1350"/>
    <s v="W10827973"/>
    <s v="Placas de Controle"/>
    <x v="1"/>
    <n v="1000"/>
    <n v="5003024"/>
    <s v="RODOBRAS TRANSPORTES RODOVIARIOS LT"/>
    <n v="323.63"/>
    <d v="2025-06-17T00:00:00"/>
  </r>
  <r>
    <n v="253981450"/>
    <n v="64758189"/>
    <s v="REB"/>
    <n v="9992545"/>
    <n v="173"/>
    <s v="PEÇAS - Defeito de fabric./Alta Amperage"/>
    <s v="FUNCIONAL"/>
    <x v="1"/>
    <n v="29037"/>
    <x v="379"/>
    <s v="SP"/>
    <n v="932"/>
    <s v="CDP Prata"/>
    <n v="1350"/>
    <n v="326059370"/>
    <s v="Placas de Controle"/>
    <x v="1"/>
    <n v="1000"/>
    <n v="5004042"/>
    <s v="BRASIL WEB TRANSPORTES E LOGISTICA"/>
    <n v="323.62"/>
    <d v="2025-04-25T00:00:00"/>
  </r>
  <r>
    <n v="253992753"/>
    <n v="64768236"/>
    <s v="REB"/>
    <n v="9899290"/>
    <n v="168"/>
    <s v="PEÇAS-Def.Fabric.Empenamento/Abaulamento"/>
    <s v="FUNCIONAL"/>
    <x v="1"/>
    <n v="60342"/>
    <x v="31"/>
    <s v="BA"/>
    <n v="648"/>
    <s v="Ultra"/>
    <n v="1350"/>
    <s v="W10882241"/>
    <s v="Agitadores"/>
    <x v="2"/>
    <n v="7000"/>
    <n v="5004101"/>
    <s v="UNIDOCK'S ASSESSORIA E LOGISTICA DE"/>
    <n v="323.60000000000002"/>
    <d v="2025-05-12T00:00:00"/>
  </r>
  <r>
    <n v="253948589"/>
    <n v="64721986"/>
    <s v="REB"/>
    <n v="9657008"/>
    <n v="178"/>
    <s v="PEÇAS -Defeito de fabric./Sem Compressão"/>
    <s v="FUNCIONAL"/>
    <x v="2"/>
    <n v="87383"/>
    <x v="77"/>
    <s v="RJ"/>
    <n v="933"/>
    <s v="Top"/>
    <n v="1350"/>
    <s v="W11741178"/>
    <s v="Outros"/>
    <x v="7"/>
    <n v="1000"/>
    <n v="5003176"/>
    <s v="J C THEDIN TRANSPORTES LTDA"/>
    <n v="323.54000000000002"/>
    <d v="2025-03-07T00:00:00"/>
  </r>
  <r>
    <s v="Sem TR"/>
    <n v="64806358"/>
    <s v="REB"/>
    <n v="10068638"/>
    <n v="173"/>
    <s v="PEÇAS - Defeito de fabric./Alta Amperage"/>
    <s v="FUNCIONAL"/>
    <x v="1"/>
    <n v="74760"/>
    <x v="380"/>
    <s v="SP"/>
    <n v="350"/>
    <s v="Ats On"/>
    <n v="1350"/>
    <s v="W10351342"/>
    <s v="Ice Maker"/>
    <x v="7"/>
    <n v="1000"/>
    <n v="5004042"/>
    <s v="BRASIL WEB TRANSPORTES E LOGISTICA"/>
    <n v="323.32"/>
    <d v="2025-07-08T00:00:00"/>
  </r>
  <r>
    <s v="Sem TR"/>
    <n v="64807274"/>
    <s v="REB"/>
    <n v="10014919"/>
    <n v="173"/>
    <s v="PEÇAS - Defeito de fabric./Alta Amperage"/>
    <s v="FUNCIONAL"/>
    <x v="1"/>
    <n v="74760"/>
    <x v="380"/>
    <s v="SP"/>
    <n v="350"/>
    <s v="Ats On"/>
    <n v="1350"/>
    <s v="W10351342"/>
    <s v="Ice Maker"/>
    <x v="7"/>
    <n v="1000"/>
    <n v="5004042"/>
    <s v="BRASIL WEB TRANSPORTES E LOGISTICA"/>
    <n v="323.32"/>
    <d v="2025-07-08T00:00:00"/>
  </r>
  <r>
    <n v="253915530"/>
    <n v="64687650"/>
    <s v="REB"/>
    <n v="9795221"/>
    <n v="173"/>
    <s v="PEÇAS - Defeito de fabric./Alta Amperage"/>
    <s v="FUNCIONAL"/>
    <x v="1"/>
    <n v="3236"/>
    <x v="45"/>
    <s v="SP"/>
    <n v="931"/>
    <s v="Ats Off"/>
    <n v="1350"/>
    <s v="W10899325"/>
    <s v="Placas de Controle"/>
    <x v="1"/>
    <n v="1000"/>
    <n v="5003254"/>
    <s v="TMA TRANSPORTE LOTACAO E LOGISTICA"/>
    <n v="323.31"/>
    <d v="2025-01-09T00:00:00"/>
  </r>
  <r>
    <n v="254038269"/>
    <n v="64814800"/>
    <s v="REB"/>
    <n v="9731528"/>
    <n v="173"/>
    <s v="PEÇAS - Defeito de fabric./Alta Amperage"/>
    <s v="FUNCIONAL"/>
    <x v="0"/>
    <n v="4167"/>
    <x v="63"/>
    <s v="SP"/>
    <n v="931"/>
    <s v="Ats Off"/>
    <n v="1350"/>
    <s v="W11435390"/>
    <s v="Placas de Controle"/>
    <x v="1"/>
    <n v="1000"/>
    <n v="5004042"/>
    <s v="BRASIL WEB TRANSPORTES E LOGISTICA"/>
    <n v="323.31"/>
    <d v="2025-07-22T00:00:00"/>
  </r>
  <r>
    <s v="Sem TR"/>
    <n v="64810838"/>
    <s v="ZRDI"/>
    <n v="10133021"/>
    <s v="D10"/>
    <s v="DEV D2C - Comprou modelo errado"/>
    <s v="COMERCIAL"/>
    <x v="2"/>
    <n v="54094399"/>
    <x v="381"/>
    <s v="SP"/>
    <n v="474"/>
    <s v="Site Brastemp"/>
    <n v="1352"/>
    <s v="W11300678"/>
    <s v="Mecanismos"/>
    <x v="2"/>
    <n v="1000"/>
    <n v="5002359"/>
    <s v="EMPRESA BRASILEIRA DE CORREIOS E"/>
    <n v="322.87"/>
    <d v="2025-07-23T00:00:00"/>
  </r>
  <r>
    <s v="Sem TR"/>
    <n v="64810838"/>
    <s v="ZRDI"/>
    <n v="10133021"/>
    <s v="D10"/>
    <s v="DEV D2C - Comprou modelo errado"/>
    <s v="COMERCIAL"/>
    <x v="2"/>
    <n v="54094399"/>
    <x v="381"/>
    <s v="SP"/>
    <n v="474"/>
    <s v="Site Brastemp"/>
    <n v="1352"/>
    <s v="W11300678"/>
    <s v="Mecanismos"/>
    <x v="2"/>
    <n v="1000"/>
    <n v="5002359"/>
    <s v="EMPRESA BRASILEIRA DE CORREIOS E"/>
    <n v="322.87"/>
    <d v="2025-07-23T00:00:00"/>
  </r>
  <r>
    <n v="254018344"/>
    <n v="64793380"/>
    <s v="REB"/>
    <n v="9930580"/>
    <n v="173"/>
    <s v="PEÇAS - Defeito de fabric./Alta Amperage"/>
    <s v="FUNCIONAL"/>
    <x v="1"/>
    <n v="67141"/>
    <x v="214"/>
    <s v="SP"/>
    <n v="648"/>
    <s v="Ultra"/>
    <n v="1350"/>
    <s v="W11647662"/>
    <s v="Compressores Herméticos"/>
    <x v="0"/>
    <n v="1000"/>
    <n v="5004042"/>
    <s v="BRASIL WEB TRANSPORTES E LOGISTICA"/>
    <n v="322.49"/>
    <d v="2025-06-17T00:00:00"/>
  </r>
  <r>
    <n v="253927013"/>
    <n v="64700614"/>
    <s v="REB"/>
    <n v="9473837"/>
    <n v="178"/>
    <s v="PEÇAS -Defeito de fabric./Sem Compressão"/>
    <s v="FUNCIONAL"/>
    <x v="1"/>
    <n v="72333"/>
    <x v="382"/>
    <s v="CE"/>
    <n v="934"/>
    <s v="CDP Ouro"/>
    <n v="1350"/>
    <s v="W10799397"/>
    <s v="Compressores Herméticos"/>
    <x v="0"/>
    <n v="1000"/>
    <n v="5004101"/>
    <s v="UNIDOCK'S ASSESSORIA E LOGISTICA DE"/>
    <n v="322.49"/>
    <d v="2025-01-27T00:00:00"/>
  </r>
  <r>
    <n v="253952466"/>
    <n v="64729336"/>
    <s v="REB"/>
    <n v="9473837"/>
    <n v="173"/>
    <s v="PEÇAS - Defeito de fabric./Alta Amperage"/>
    <s v="FUNCIONAL"/>
    <x v="1"/>
    <n v="72333"/>
    <x v="382"/>
    <s v="CE"/>
    <n v="934"/>
    <s v="CDP Ouro"/>
    <n v="1350"/>
    <s v="W10799397"/>
    <s v="Compressores Herméticos"/>
    <x v="0"/>
    <n v="1000"/>
    <n v="5004101"/>
    <s v="UNIDOCK'S ASSESSORIA E LOGISTICA DE"/>
    <n v="322.49"/>
    <d v="2025-03-10T00:00:00"/>
  </r>
  <r>
    <s v="Sem TR"/>
    <n v="64817461"/>
    <s v="REB"/>
    <n v="9383944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22.33"/>
    <d v="2025-07-25T00:00:00"/>
  </r>
  <r>
    <n v="253931093"/>
    <n v="64703733"/>
    <s v="REB"/>
    <n v="7399019"/>
    <n v="178"/>
    <s v="PEÇAS -Defeito de fabric./Sem Compressão"/>
    <s v="FUNCIONAL"/>
    <x v="1"/>
    <n v="27253"/>
    <x v="167"/>
    <s v="PI"/>
    <n v="931"/>
    <s v="Ats Off"/>
    <n v="1350"/>
    <s v="W10532542"/>
    <s v="Compressores Rotativos"/>
    <x v="0"/>
    <n v="1000"/>
    <n v="5004101"/>
    <s v="UNIDOCK'S ASSESSORIA E LOGISTICA DE"/>
    <n v="322.16000000000003"/>
    <d v="2025-01-31T00:00:00"/>
  </r>
  <r>
    <n v="254003903"/>
    <n v="64775156"/>
    <s v="REB"/>
    <n v="7399019"/>
    <n v="178"/>
    <s v="PEÇAS -Defeito de fabric./Sem Compressão"/>
    <s v="FUNCIONAL"/>
    <x v="1"/>
    <n v="27253"/>
    <x v="167"/>
    <s v="PI"/>
    <n v="931"/>
    <s v="Ats Off"/>
    <n v="1350"/>
    <s v="W10532542"/>
    <s v="Compressores Rotativos"/>
    <x v="0"/>
    <n v="1000"/>
    <n v="5004101"/>
    <s v="UNIDOCK'S ASSESSORIA E LOGISTICA DE"/>
    <n v="322.16000000000003"/>
    <d v="2025-05-26T00:00:00"/>
  </r>
  <r>
    <n v="253961430"/>
    <n v="64735323"/>
    <s v="REB"/>
    <n v="9866683"/>
    <n v="176"/>
    <s v="PEÇAS - Defeito de fabric./Interrompido"/>
    <s v="FUNCIONAL"/>
    <x v="1"/>
    <n v="83572"/>
    <x v="105"/>
    <s v="SP"/>
    <n v="931"/>
    <s v="Ats Off"/>
    <n v="1350"/>
    <s v="W11199202"/>
    <s v="Placas de Controle"/>
    <x v="1"/>
    <n v="1000"/>
    <n v="5004042"/>
    <s v="BRASIL WEB TRANSPORTES E LOGISTICA"/>
    <n v="321.77999999999997"/>
    <d v="2025-03-24T00:00:00"/>
  </r>
  <r>
    <n v="253932977"/>
    <n v="64674782"/>
    <s v="REB"/>
    <n v="9807107"/>
    <n v="173"/>
    <s v="PEÇAS - Defeito de fabric./Alta Amperage"/>
    <s v="FUNCIONAL"/>
    <x v="1"/>
    <n v="9015"/>
    <x v="72"/>
    <s v="SC"/>
    <n v="350"/>
    <s v="Ats On"/>
    <n v="1350"/>
    <s v="W11344924"/>
    <s v="Painéis de Controle"/>
    <x v="6"/>
    <n v="1000"/>
    <n v="5003024"/>
    <s v="RODOBRAS TRANSPORTES RODOVIARIOS LT"/>
    <n v="321.67"/>
    <d v="2025-02-05T00:00:00"/>
  </r>
  <r>
    <n v="253988800"/>
    <n v="64764180"/>
    <s v="REB"/>
    <n v="9957315"/>
    <n v="173"/>
    <s v="PEÇAS - Defeito de fabric./Alta Amperage"/>
    <s v="FUNCIONAL"/>
    <x v="0"/>
    <n v="13757"/>
    <x v="14"/>
    <s v="SP"/>
    <n v="713"/>
    <s v="Key Account"/>
    <n v="1350"/>
    <s v="W10591460"/>
    <s v="Placas de Controle"/>
    <x v="1"/>
    <n v="1000"/>
    <n v="5004042"/>
    <s v="BRASIL WEB TRANSPORTES E LOGISTICA"/>
    <n v="321.67"/>
    <d v="2025-05-05T00:00:00"/>
  </r>
  <r>
    <s v="Sem TR"/>
    <n v="64812271"/>
    <s v="REB"/>
    <n v="10119706"/>
    <n v="176"/>
    <s v="PEÇAS - Defeito de fabric./Interrompido"/>
    <s v="FUNCIONAL"/>
    <x v="1"/>
    <n v="75812"/>
    <x v="102"/>
    <s v="SP"/>
    <n v="931"/>
    <s v="Ats Off"/>
    <n v="1350"/>
    <s v="W11639757"/>
    <s v="Outros"/>
    <x v="7"/>
    <n v="1000"/>
    <n v="5004042"/>
    <s v="BRASIL WEB TRANSPORTES E LOGISTICA"/>
    <n v="321.58999999999997"/>
    <d v="2025-07-17T00:00:00"/>
  </r>
  <r>
    <n v="254012615"/>
    <n v="64786702"/>
    <s v="REB"/>
    <n v="10032135"/>
    <n v="173"/>
    <s v="PEÇAS - Defeito de fabric./Alta Amperage"/>
    <s v="FUNCIONAL"/>
    <x v="2"/>
    <n v="75812"/>
    <x v="102"/>
    <s v="SP"/>
    <n v="931"/>
    <s v="Ats Off"/>
    <n v="1350"/>
    <s v="W11543430"/>
    <s v="Outros"/>
    <x v="7"/>
    <n v="1000"/>
    <n v="5004042"/>
    <s v="BRASIL WEB TRANSPORTES E LOGISTICA"/>
    <n v="321.58999999999997"/>
    <d v="2025-06-10T00:00:00"/>
  </r>
  <r>
    <n v="253886232"/>
    <n v="64655230"/>
    <s v="REB"/>
    <n v="9689891"/>
    <n v="671"/>
    <s v="DEV-ENVIADO PARA GESTÃO DE CONSEQUENCIA"/>
    <s v="TRANSPORTADORA"/>
    <x v="1"/>
    <n v="13747"/>
    <x v="14"/>
    <s v="RS"/>
    <n v="713"/>
    <s v="Key Account"/>
    <n v="1350"/>
    <s v="W10678919"/>
    <s v="Placas de Controle"/>
    <x v="1"/>
    <n v="5000"/>
    <n v="5003024"/>
    <s v="RODOBRAS TRANSPORTES RODOVIARIOS LT"/>
    <n v="321.13"/>
    <d v="2024-11-29T00:00:00"/>
  </r>
  <r>
    <n v="253970890"/>
    <n v="64748440"/>
    <s v="REB"/>
    <n v="8009231"/>
    <n v="173"/>
    <s v="PEÇAS - Defeito de fabric./Alta Amperage"/>
    <s v="FUNCIONAL"/>
    <x v="2"/>
    <n v="59026"/>
    <x v="279"/>
    <s v="ES"/>
    <n v="932"/>
    <s v="CDP Prata"/>
    <n v="1350"/>
    <s v="W10393802"/>
    <s v="Compressores Herméticos"/>
    <x v="0"/>
    <n v="1000"/>
    <n v="5004042"/>
    <s v="BRASIL WEB TRANSPORTES E LOGISTICA"/>
    <n v="321"/>
    <d v="2025-04-09T00:00:00"/>
  </r>
  <r>
    <n v="253952271"/>
    <n v="64722557"/>
    <s v="REB"/>
    <n v="9819950"/>
    <n v="178"/>
    <s v="PEÇAS -Defeito de fabric./Sem Compressão"/>
    <s v="FUNCIONAL"/>
    <x v="2"/>
    <n v="31587"/>
    <x v="135"/>
    <s v="SP"/>
    <n v="643"/>
    <s v="Elite"/>
    <n v="1350"/>
    <s v="W10798744"/>
    <s v="Compressores Herméticos"/>
    <x v="0"/>
    <n v="1000"/>
    <n v="5004042"/>
    <s v="BRASIL WEB TRANSPORTES E LOGISTICA"/>
    <n v="320.95999999999998"/>
    <d v="2025-03-10T00:00:00"/>
  </r>
  <r>
    <n v="253952273"/>
    <n v="64728863"/>
    <s v="REB"/>
    <n v="9744336"/>
    <n v="178"/>
    <s v="PEÇAS -Defeito de fabric./Sem Compressão"/>
    <s v="FUNCIONAL"/>
    <x v="2"/>
    <n v="31587"/>
    <x v="135"/>
    <s v="SP"/>
    <n v="643"/>
    <s v="Elite"/>
    <n v="1350"/>
    <s v="W10798744"/>
    <s v="Compressores Herméticos"/>
    <x v="0"/>
    <n v="1000"/>
    <n v="5004042"/>
    <s v="BRASIL WEB TRANSPORTES E LOGISTICA"/>
    <n v="320.95999999999998"/>
    <d v="2025-03-10T00:00:00"/>
  </r>
  <r>
    <n v="254003901"/>
    <n v="64772298"/>
    <s v="REB"/>
    <n v="9546239"/>
    <n v="178"/>
    <s v="PEÇAS -Defeito de fabric./Sem Compressão"/>
    <s v="FUNCIONAL"/>
    <x v="1"/>
    <n v="27253"/>
    <x v="167"/>
    <s v="PI"/>
    <n v="931"/>
    <s v="Ats Off"/>
    <n v="1350"/>
    <s v="W11516471"/>
    <s v="Compressores Herméticos"/>
    <x v="0"/>
    <n v="1000"/>
    <n v="5004101"/>
    <s v="UNIDOCK'S ASSESSORIA E LOGISTICA DE"/>
    <n v="320.86"/>
    <d v="2025-05-26T00:00:00"/>
  </r>
  <r>
    <n v="254003902"/>
    <n v="64777846"/>
    <s v="REB"/>
    <n v="9546239"/>
    <n v="178"/>
    <s v="PEÇAS -Defeito de fabric./Sem Compressão"/>
    <s v="FUNCIONAL"/>
    <x v="1"/>
    <n v="27253"/>
    <x v="167"/>
    <s v="PI"/>
    <n v="931"/>
    <s v="Ats Off"/>
    <n v="1350"/>
    <s v="W11516471"/>
    <s v="Compressores Herméticos"/>
    <x v="0"/>
    <n v="1000"/>
    <n v="5004101"/>
    <s v="UNIDOCK'S ASSESSORIA E LOGISTICA DE"/>
    <n v="320.86"/>
    <d v="2025-05-26T00:00:00"/>
  </r>
  <r>
    <n v="254003903"/>
    <n v="64777865"/>
    <s v="REB"/>
    <n v="9546239"/>
    <n v="173"/>
    <s v="PEÇAS - Defeito de fabric./Alta Amperage"/>
    <s v="FUNCIONAL"/>
    <x v="1"/>
    <n v="27253"/>
    <x v="167"/>
    <s v="PI"/>
    <n v="931"/>
    <s v="Ats Off"/>
    <n v="1350"/>
    <s v="W11516471"/>
    <s v="Compressores Herméticos"/>
    <x v="0"/>
    <n v="1000"/>
    <n v="5004101"/>
    <s v="UNIDOCK'S ASSESSORIA E LOGISTICA DE"/>
    <n v="320.86"/>
    <d v="2025-05-26T00:00:00"/>
  </r>
  <r>
    <n v="254003900"/>
    <n v="64777876"/>
    <s v="REB"/>
    <n v="9546239"/>
    <n v="173"/>
    <s v="PEÇAS - Defeito de fabric./Alta Amperage"/>
    <s v="FUNCIONAL"/>
    <x v="1"/>
    <n v="27253"/>
    <x v="167"/>
    <s v="PI"/>
    <n v="931"/>
    <s v="Ats Off"/>
    <n v="1350"/>
    <s v="W11516471"/>
    <s v="Compressores Herméticos"/>
    <x v="0"/>
    <n v="1000"/>
    <n v="5004101"/>
    <s v="UNIDOCK'S ASSESSORIA E LOGISTICA DE"/>
    <n v="320.86"/>
    <d v="2025-05-26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0591460"/>
    <s v="Placas de Controle"/>
    <x v="1"/>
    <n v="1000"/>
    <n v="5002359"/>
    <s v="EMPRESA BRASILEIRA DE CORREIOS E"/>
    <n v="320.81"/>
    <d v="2025-05-20T00:00:00"/>
  </r>
  <r>
    <n v="254007624"/>
    <n v="64782231"/>
    <s v="REB"/>
    <n v="9689871"/>
    <n v="178"/>
    <s v="PEÇAS -Defeito de fabric./Sem Compressão"/>
    <s v="FUNCIONAL"/>
    <x v="2"/>
    <n v="86981"/>
    <x v="383"/>
    <s v="PA"/>
    <n v="934"/>
    <s v="CDP Ouro"/>
    <n v="1350"/>
    <s v="W10393808"/>
    <s v="Compressores Herméticos"/>
    <x v="0"/>
    <n v="1000"/>
    <n v="5002858"/>
    <s v="FAVORITA TRANSPORTES LTDA"/>
    <n v="320.56"/>
    <d v="2025-06-02T00:00:00"/>
  </r>
  <r>
    <n v="253952287"/>
    <n v="64725697"/>
    <s v="REB"/>
    <n v="9441523"/>
    <n v="178"/>
    <s v="PEÇAS -Defeito de fabric./Sem Compressão"/>
    <s v="FUNCIONAL"/>
    <x v="1"/>
    <n v="32455"/>
    <x v="92"/>
    <s v="SP"/>
    <n v="643"/>
    <s v="Elite"/>
    <n v="1350"/>
    <s v="W11647660"/>
    <s v="Compressores Herméticos"/>
    <x v="0"/>
    <n v="1000"/>
    <n v="5004042"/>
    <s v="BRASIL WEB TRANSPORTES E LOGISTICA"/>
    <n v="320.51"/>
    <d v="2025-03-10T00:00:00"/>
  </r>
  <r>
    <n v="253922527"/>
    <n v="64695569"/>
    <s v="REB"/>
    <n v="9417983"/>
    <n v="173"/>
    <s v="PEÇAS - Defeito de fabric./Alta Amperage"/>
    <s v="FUNCIONAL"/>
    <x v="1"/>
    <n v="27770"/>
    <x v="37"/>
    <s v="AL"/>
    <n v="644"/>
    <s v="Plus"/>
    <n v="1350"/>
    <s v="W11366400"/>
    <s v="Placas de Controle"/>
    <x v="1"/>
    <n v="1000"/>
    <n v="5004101"/>
    <s v="UNIDOCK'S ASSESSORIA E LOGISTICA DE"/>
    <n v="320.36"/>
    <d v="2025-01-20T00:00:00"/>
  </r>
  <r>
    <n v="254041598"/>
    <n v="64728866"/>
    <s v="ZDVP"/>
    <n v="9727927"/>
    <n v="173"/>
    <s v="PEÇAS - Defeito de fabric./Alta Amperage"/>
    <s v="FUNCIONAL"/>
    <x v="0"/>
    <n v="67948"/>
    <x v="15"/>
    <s v="SC"/>
    <n v="713"/>
    <s v="Key Account"/>
    <n v="1350"/>
    <s v="W11254865"/>
    <s v="Mecanismos"/>
    <x v="2"/>
    <n v="2000"/>
    <n v="5003024"/>
    <s v="RODOBRAS TRANSPORTES RODOVIARIOS LT"/>
    <n v="320.10000000000002"/>
    <d v="2025-03-10T00:00:00"/>
  </r>
  <r>
    <n v="254033362"/>
    <n v="64807316"/>
    <s v="REB"/>
    <n v="9791679"/>
    <n v="173"/>
    <s v="PEÇAS - Defeito de fabric./Alta Amperage"/>
    <s v="FUNCIONAL"/>
    <x v="2"/>
    <n v="29331"/>
    <x v="384"/>
    <s v="GO"/>
    <n v="641"/>
    <s v="CDP Diamante"/>
    <n v="1350"/>
    <s v="W10827973"/>
    <s v="Placas de Controle"/>
    <x v="1"/>
    <n v="1000"/>
    <n v="5002858"/>
    <s v="FAVORITA TRANSPORTES LTDA"/>
    <n v="320.06"/>
    <d v="2025-07-08T00:00:00"/>
  </r>
  <r>
    <n v="254038300"/>
    <n v="64809883"/>
    <s v="REB"/>
    <n v="10096719"/>
    <n v="173"/>
    <s v="PEÇAS - Defeito de fabric./Alta Amperage"/>
    <s v="FUNCIONAL"/>
    <x v="0"/>
    <n v="14474"/>
    <x v="25"/>
    <s v="RN"/>
    <n v="648"/>
    <s v="Ultra"/>
    <n v="1350"/>
    <s v="W11435400"/>
    <s v="Placas de Controle"/>
    <x v="1"/>
    <n v="1000"/>
    <n v="5004101"/>
    <s v="UNIDOCK'S ASSESSORIA E LOGISTICA DE"/>
    <n v="320.02999999999997"/>
    <d v="2025-07-22T00:00:00"/>
  </r>
  <r>
    <n v="254038369"/>
    <n v="64808276"/>
    <s v="REB"/>
    <n v="10092784"/>
    <n v="176"/>
    <s v="PEÇAS - Defeito de fabric./Interrompido"/>
    <s v="FUNCIONAL"/>
    <x v="0"/>
    <n v="31587"/>
    <x v="135"/>
    <s v="SP"/>
    <n v="643"/>
    <s v="Elite"/>
    <n v="1350"/>
    <s v="W11566930"/>
    <s v="Outros"/>
    <x v="7"/>
    <n v="1000"/>
    <n v="5004042"/>
    <s v="BRASIL WEB TRANSPORTES E LOGISTICA"/>
    <n v="319.87"/>
    <d v="2025-07-22T00:00:00"/>
  </r>
  <r>
    <n v="254041594"/>
    <n v="64728305"/>
    <s v="ZDVP"/>
    <n v="9859268"/>
    <n v="160"/>
    <s v="OI Cancelada - Ver motivo no texto"/>
    <s v="OUTROS"/>
    <x v="0"/>
    <n v="87407"/>
    <x v="208"/>
    <s v="SP"/>
    <n v="644"/>
    <s v="Plus"/>
    <n v="1350"/>
    <n v="326052631"/>
    <s v="Prateleiras"/>
    <x v="9"/>
    <n v="2000"/>
    <n v="5004042"/>
    <s v="BRASIL WEB TRANSPORTES E LOGISTICA"/>
    <n v="319.60000000000002"/>
    <d v="2025-03-10T00:00:00"/>
  </r>
  <r>
    <n v="253981560"/>
    <n v="64757785"/>
    <s v="REB"/>
    <n v="9857619"/>
    <n v="173"/>
    <s v="PEÇAS - Defeito de fabric./Alta Amperage"/>
    <s v="FUNCIONAL"/>
    <x v="1"/>
    <n v="63300"/>
    <x v="17"/>
    <s v="MG"/>
    <n v="643"/>
    <s v="Elite"/>
    <n v="1350"/>
    <s v="W11300816"/>
    <s v="Mecanismos"/>
    <x v="2"/>
    <n v="3000"/>
    <n v="5004215"/>
    <s v="BRASIL WEB TRANSPORTES E LOGISTICA"/>
    <n v="319.38"/>
    <d v="2025-04-25T00:00:00"/>
  </r>
  <r>
    <n v="254004060"/>
    <n v="64778270"/>
    <s v="REB"/>
    <n v="9688024"/>
    <n v="178"/>
    <s v="PEÇAS -Defeito de fabric./Sem Compressão"/>
    <s v="FUNCIONAL"/>
    <x v="2"/>
    <n v="80573"/>
    <x v="186"/>
    <s v="MA"/>
    <n v="643"/>
    <s v="Elite"/>
    <n v="1350"/>
    <s v="W11741179"/>
    <s v="Outros"/>
    <x v="7"/>
    <n v="1000"/>
    <n v="5004101"/>
    <s v="UNIDOCK'S ASSESSORIA E LOGISTICA DE"/>
    <n v="319.19"/>
    <d v="2025-05-26T00:00:00"/>
  </r>
  <r>
    <n v="253992669"/>
    <n v="64767963"/>
    <s v="REB"/>
    <n v="9991127"/>
    <n v="178"/>
    <s v="PEÇAS -Defeito de fabric./Sem Compressão"/>
    <s v="FUNCIONAL"/>
    <x v="1"/>
    <n v="2666"/>
    <x v="219"/>
    <s v="RJ"/>
    <n v="931"/>
    <s v="Ats Off"/>
    <n v="1350"/>
    <s v="W11516472"/>
    <s v="Compressores Herméticos"/>
    <x v="0"/>
    <n v="1000"/>
    <n v="5003176"/>
    <s v="J C THEDIN TRANSPORTES LTDA"/>
    <n v="319.11"/>
    <d v="2025-05-12T00:00:00"/>
  </r>
  <r>
    <n v="253970706"/>
    <n v="64748185"/>
    <s v="REB"/>
    <n v="9884528"/>
    <n v="176"/>
    <s v="PEÇAS - Defeito de fabric./Interrompido"/>
    <s v="FUNCIONAL"/>
    <x v="2"/>
    <n v="3506"/>
    <x v="46"/>
    <s v="SP"/>
    <n v="931"/>
    <s v="Ats Off"/>
    <n v="1350"/>
    <s v="W10591605"/>
    <s v="Placas de Controle"/>
    <x v="1"/>
    <n v="1000"/>
    <n v="5004042"/>
    <s v="BRASIL WEB TRANSPORTES E LOGISTICA"/>
    <n v="319.05"/>
    <d v="2025-04-09T00:00:00"/>
  </r>
  <r>
    <n v="253998023"/>
    <n v="64772613"/>
    <s v="ZDVP"/>
    <n v="9545275"/>
    <n v="176"/>
    <s v="PEÇAS - Defeito de fabric./Interrompido"/>
    <s v="FUNCIONAL"/>
    <x v="1"/>
    <n v="81988"/>
    <x v="38"/>
    <s v="MG"/>
    <n v="648"/>
    <s v="Ultra"/>
    <n v="1350"/>
    <s v="W11647660"/>
    <s v="Compressores Herméticos"/>
    <x v="0"/>
    <n v="1000"/>
    <n v="5004215"/>
    <s v="BRASIL WEB TRANSPORTES E LOGISTICA"/>
    <n v="318.87"/>
    <d v="2025-05-16T00:00:00"/>
  </r>
  <r>
    <s v="Sem TR"/>
    <n v="64817380"/>
    <s v="REB"/>
    <n v="9659560"/>
    <n v="173"/>
    <s v="PEÇAS - Defeito de fabric./Alta Amperage"/>
    <s v="FUNCIONAL"/>
    <x v="1"/>
    <n v="67948"/>
    <x v="15"/>
    <s v="SC"/>
    <n v="713"/>
    <s v="Key Account"/>
    <n v="1350"/>
    <s v="W10827973"/>
    <s v="Placas de Controle"/>
    <x v="1"/>
    <n v="1000"/>
    <n v="5003024"/>
    <s v="RODOBRAS TRANSPORTES RODOVIARIOS LT"/>
    <n v="318.77999999999997"/>
    <d v="2025-07-25T00:00:00"/>
  </r>
  <r>
    <n v="253970917"/>
    <n v="64749074"/>
    <s v="REB"/>
    <n v="9659560"/>
    <n v="173"/>
    <s v="PEÇAS - Defeito de fabric./Alta Amperage"/>
    <s v="FUNCIONAL"/>
    <x v="2"/>
    <n v="67948"/>
    <x v="15"/>
    <s v="SC"/>
    <n v="713"/>
    <s v="Key Account"/>
    <n v="1350"/>
    <s v="W10827973"/>
    <s v="Placas de Controle"/>
    <x v="1"/>
    <n v="1000"/>
    <n v="5003024"/>
    <s v="RODOBRAS TRANSPORTES RODOVIARIOS LT"/>
    <n v="318.77999999999997"/>
    <d v="2025-04-09T00:00:00"/>
  </r>
  <r>
    <n v="254042222"/>
    <n v="64796019"/>
    <s v="REB"/>
    <n v="10066003"/>
    <n v="176"/>
    <s v="PEÇAS - Defeito de fabric./Interrompido"/>
    <s v="FUNCIONAL"/>
    <x v="0"/>
    <n v="2424"/>
    <x v="338"/>
    <s v="RJ"/>
    <n v="350"/>
    <s v="Ats On"/>
    <n v="1350"/>
    <s v="W11106593"/>
    <s v="Bombas"/>
    <x v="1"/>
    <n v="1000"/>
    <n v="5003176"/>
    <s v="J C THEDIN TRANSPORTES LTDA"/>
    <n v="318.72000000000003"/>
    <d v="2025-06-23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743620"/>
    <s v="Lâmpadas"/>
    <x v="1"/>
    <n v="10000"/>
    <n v="5002858"/>
    <s v="FAVORITA TRANSPORTES LTDA"/>
    <n v="318.58"/>
    <d v="2025-07-15T00:00:00"/>
  </r>
  <r>
    <n v="253961432"/>
    <n v="64737864"/>
    <s v="REB"/>
    <n v="9850354"/>
    <n v="178"/>
    <s v="PEÇAS -Defeito de fabric./Sem Compressão"/>
    <s v="FUNCIONAL"/>
    <x v="1"/>
    <n v="84909"/>
    <x v="385"/>
    <s v="DF"/>
    <n v="641"/>
    <s v="CDP Diamante"/>
    <n v="1350"/>
    <s v="W10393809"/>
    <s v="Compressores Herméticos"/>
    <x v="0"/>
    <n v="1000"/>
    <n v="5002858"/>
    <s v="FAVORITA TRANSPORTES LTDA"/>
    <n v="318.27"/>
    <d v="2025-03-25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714366"/>
    <s v="Válvulas de Água"/>
    <x v="5"/>
    <n v="6000"/>
    <n v="5004101"/>
    <s v="UNIDOCK'S ASSESSORIA E LOGISTICA DE"/>
    <n v="318.24"/>
    <d v="2025-06-24T00:00:00"/>
  </r>
  <r>
    <s v="Sem TR"/>
    <n v="64812232"/>
    <s v="REB"/>
    <n v="9817616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8"/>
    <d v="2025-07-25T00:00:00"/>
  </r>
  <r>
    <s v="Sem TR"/>
    <n v="64812233"/>
    <s v="REB"/>
    <n v="9817616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8"/>
    <d v="2025-07-25T00:00:00"/>
  </r>
  <r>
    <s v="Sem TR"/>
    <n v="64812643"/>
    <s v="REB"/>
    <n v="9791896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8"/>
    <d v="2025-07-25T00:00:00"/>
  </r>
  <r>
    <s v="Sem TR"/>
    <n v="64816352"/>
    <s v="REB"/>
    <n v="9817615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8"/>
    <d v="2025-07-25T00:00:00"/>
  </r>
  <r>
    <s v="Sem TR"/>
    <n v="64817386"/>
    <s v="REB"/>
    <n v="9791896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8"/>
    <d v="2025-07-25T00:00:00"/>
  </r>
  <r>
    <n v="253931125"/>
    <n v="64703849"/>
    <s v="REB"/>
    <n v="9817616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8"/>
    <d v="2025-01-31T00:00:00"/>
  </r>
  <r>
    <n v="254007541"/>
    <n v="64783392"/>
    <s v="REB"/>
    <n v="9901033"/>
    <n v="173"/>
    <s v="PEÇAS - Defeito de fabric./Alta Amperage"/>
    <s v="FUNCIONAL"/>
    <x v="1"/>
    <n v="21330"/>
    <x v="80"/>
    <s v="PR"/>
    <n v="643"/>
    <s v="Elite"/>
    <n v="1350"/>
    <n v="326063223"/>
    <s v="Placas de Controle"/>
    <x v="1"/>
    <n v="1000"/>
    <n v="5003024"/>
    <s v="RODOBRAS TRANSPORTES RODOVIARIOS LT"/>
    <n v="317.94"/>
    <d v="2025-06-02T00:00:00"/>
  </r>
  <r>
    <n v="254007556"/>
    <n v="64783567"/>
    <s v="REB"/>
    <n v="9692355"/>
    <n v="173"/>
    <s v="PEÇAS - Defeito de fabric./Alta Amperage"/>
    <s v="FUNCIONAL"/>
    <x v="1"/>
    <n v="27253"/>
    <x v="167"/>
    <s v="PI"/>
    <n v="931"/>
    <s v="Ats Off"/>
    <n v="1350"/>
    <s v="W10393809"/>
    <s v="Compressores Herméticos"/>
    <x v="0"/>
    <n v="1000"/>
    <n v="5004101"/>
    <s v="UNIDOCK'S ASSESSORIA E LOGISTICA DE"/>
    <n v="317.64"/>
    <d v="2025-06-02T00:00:00"/>
  </r>
  <r>
    <n v="253952259"/>
    <n v="64729205"/>
    <s v="REB"/>
    <n v="9521648"/>
    <n v="176"/>
    <s v="PEÇAS - Defeito de fabric./Interrompido"/>
    <s v="FUNCIONAL"/>
    <x v="1"/>
    <n v="30684"/>
    <x v="332"/>
    <s v="RS"/>
    <n v="641"/>
    <s v="CDP Diamante"/>
    <n v="1350"/>
    <s v="W11593723"/>
    <s v="Placas de Controle"/>
    <x v="1"/>
    <n v="1000"/>
    <n v="5003024"/>
    <s v="RODOBRAS TRANSPORTES RODOVIARIOS LT"/>
    <n v="317.52999999999997"/>
    <d v="2025-03-10T00:00:00"/>
  </r>
  <r>
    <n v="253952258"/>
    <n v="64729134"/>
    <s v="REB"/>
    <n v="9862201"/>
    <n v="173"/>
    <s v="PEÇAS - Defeito de fabric./Alta Amperage"/>
    <s v="FUNCIONAL"/>
    <x v="1"/>
    <n v="30416"/>
    <x v="136"/>
    <s v="AM"/>
    <n v="648"/>
    <s v="Ultra"/>
    <n v="1350"/>
    <s v="W11340256"/>
    <s v="Placas de Interface"/>
    <x v="1"/>
    <n v="1000"/>
    <n v="5002858"/>
    <s v="FAVORITA TRANSPORTES LTDA"/>
    <n v="317.45999999999998"/>
    <d v="2025-03-10T00:00:00"/>
  </r>
  <r>
    <n v="253918546"/>
    <n v="64685782"/>
    <s v="REB"/>
    <n v="9820855"/>
    <n v="671"/>
    <s v="DEV-ENVIADO PARA GESTÃO DE CONSEQUENCIA"/>
    <s v="TRANSPORTADORA"/>
    <x v="1"/>
    <n v="9015"/>
    <x v="72"/>
    <s v="SC"/>
    <n v="931"/>
    <s v="Ats Off"/>
    <n v="1350"/>
    <s v="W10311980"/>
    <s v="Suportes"/>
    <x v="6"/>
    <n v="1000"/>
    <n v="5003024"/>
    <s v="RODOBRAS TRANSPORTES RODOVIARIOS LT"/>
    <n v="317.33"/>
    <d v="2025-01-15T00:00:00"/>
  </r>
  <r>
    <n v="254033377"/>
    <n v="64800508"/>
    <s v="REB"/>
    <n v="9968501"/>
    <n v="178"/>
    <s v="PEÇAS -Defeito de fabric./Sem Compressão"/>
    <s v="FUNCIONAL"/>
    <x v="1"/>
    <n v="30416"/>
    <x v="136"/>
    <s v="AM"/>
    <n v="648"/>
    <s v="Ultra"/>
    <n v="1350"/>
    <s v="W10393802"/>
    <s v="Compressores Herméticos"/>
    <x v="0"/>
    <n v="1000"/>
    <n v="5002858"/>
    <s v="FAVORITA TRANSPORTES LTDA"/>
    <n v="317.31"/>
    <d v="2025-07-01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829873"/>
    <s v="Outros"/>
    <x v="7"/>
    <n v="5000"/>
    <n v="5002359"/>
    <s v="EMPRESA BRASILEIRA DE CORREIOS E"/>
    <n v="317.23"/>
    <d v="2025-07-08T00:00:00"/>
  </r>
  <r>
    <n v="253925161"/>
    <n v="64698732"/>
    <s v="ROB"/>
    <n v="9779788"/>
    <n v="268"/>
    <s v="DEV-APREENSÃO FISCAL - VENDAS"/>
    <s v="COMERCIAL"/>
    <x v="1"/>
    <n v="67561"/>
    <x v="47"/>
    <s v="CE"/>
    <n v="934"/>
    <s v="CDP Ouro"/>
    <n v="1350"/>
    <n v="326014231"/>
    <s v="Evaporadores"/>
    <x v="0"/>
    <n v="2000"/>
    <n v="5004101"/>
    <s v="UNIDOCK'S ASSESSORIA E LOGISTICA DE"/>
    <n v="317.18"/>
    <d v="2025-01-28T00:00:00"/>
  </r>
  <r>
    <n v="254034408"/>
    <n v="64813035"/>
    <s v="ROB"/>
    <n v="10113493"/>
    <n v="208"/>
    <s v="DEV-Atraso entrega- LOGISTICA(Transp)"/>
    <s v="TRANSPORTADORA"/>
    <x v="0"/>
    <n v="3625"/>
    <x v="324"/>
    <s v="SP"/>
    <n v="350"/>
    <s v="Ats On"/>
    <n v="1350"/>
    <s v="W11366400"/>
    <s v="Placas de Controle"/>
    <x v="1"/>
    <n v="1000"/>
    <n v="5004101"/>
    <s v="UNIDOCK'S ASSESSORIA E LOGISTICA DE"/>
    <n v="317.08"/>
    <d v="2025-07-18T00:00:00"/>
  </r>
  <r>
    <s v="Sem TR"/>
    <n v="64743032"/>
    <s v="ROB"/>
    <n v="48999"/>
    <n v="671"/>
    <s v="DEV-ENVIADO PARA GESTÃO DE CONSEQUENCIA"/>
    <s v="TRANSPORTADORA"/>
    <x v="2"/>
    <n v="31596"/>
    <x v="386"/>
    <s v="CE"/>
    <n v="648"/>
    <s v="Ultra"/>
    <n v="1550"/>
    <s v="W10647948"/>
    <s v="Suportes"/>
    <x v="6"/>
    <n v="30000"/>
    <n v="5004391"/>
    <s v="JEONCEL TRANSPORTES LTDA"/>
    <n v="316.97000000000003"/>
    <d v="2025-03-31T00:00:00"/>
  </r>
  <r>
    <n v="253995081"/>
    <n v="64772628"/>
    <s v="REB"/>
    <n v="9987495"/>
    <n v="178"/>
    <s v="PEÇAS -Defeito de fabric./Sem Compressão"/>
    <s v="FUNCIONAL"/>
    <x v="1"/>
    <n v="18949"/>
    <x v="264"/>
    <s v="SP"/>
    <n v="933"/>
    <s v="Top"/>
    <n v="1350"/>
    <s v="W11741179"/>
    <s v="Outros"/>
    <x v="7"/>
    <n v="1000"/>
    <n v="5004042"/>
    <s v="BRASIL WEB TRANSPORTES E LOGISTICA"/>
    <n v="316.38"/>
    <d v="2025-05-16T00:00:00"/>
  </r>
  <r>
    <n v="254012474"/>
    <n v="64786703"/>
    <s v="REB"/>
    <n v="9987495"/>
    <n v="178"/>
    <s v="PEÇAS -Defeito de fabric./Sem Compressão"/>
    <s v="FUNCIONAL"/>
    <x v="2"/>
    <n v="18949"/>
    <x v="264"/>
    <s v="SP"/>
    <n v="933"/>
    <s v="Top"/>
    <n v="1350"/>
    <s v="W11741179"/>
    <s v="Outros"/>
    <x v="7"/>
    <n v="1000"/>
    <n v="5004042"/>
    <s v="BRASIL WEB TRANSPORTES E LOGISTICA"/>
    <n v="316.38"/>
    <d v="2025-06-10T00:00:00"/>
  </r>
  <r>
    <n v="254012475"/>
    <n v="64789367"/>
    <s v="REB"/>
    <n v="9987495"/>
    <n v="178"/>
    <s v="PEÇAS -Defeito de fabric./Sem Compressão"/>
    <s v="FUNCIONAL"/>
    <x v="2"/>
    <n v="18949"/>
    <x v="264"/>
    <s v="SP"/>
    <n v="933"/>
    <s v="Top"/>
    <n v="1350"/>
    <s v="W11741182"/>
    <s v="Outros"/>
    <x v="7"/>
    <n v="1000"/>
    <n v="5004042"/>
    <s v="BRASIL WEB TRANSPORTES E LOGISTICA"/>
    <n v="316.38"/>
    <d v="2025-06-10T00:00:00"/>
  </r>
  <r>
    <s v="Sem TR"/>
    <n v="64812391"/>
    <s v="REB"/>
    <n v="9312339"/>
    <n v="178"/>
    <s v="PEÇAS -Defeito de fabric./Sem Compressão"/>
    <s v="FUNCIONAL"/>
    <x v="1"/>
    <n v="29865"/>
    <x v="387"/>
    <s v="SP"/>
    <n v="932"/>
    <s v="CDP Prata"/>
    <n v="1350"/>
    <s v="W11647660"/>
    <s v="Compressores Herméticos"/>
    <x v="0"/>
    <n v="1000"/>
    <n v="5004042"/>
    <s v="BRASIL WEB TRANSPORTES E LOGISTICA"/>
    <n v="316.32"/>
    <d v="2025-07-17T00:00:00"/>
  </r>
  <r>
    <n v="253922527"/>
    <n v="64694613"/>
    <s v="REB"/>
    <n v="9100105"/>
    <n v="173"/>
    <s v="PEÇAS - Defeito de fabric./Alta Amperage"/>
    <s v="FUNCIONAL"/>
    <x v="1"/>
    <n v="27770"/>
    <x v="37"/>
    <s v="AL"/>
    <n v="644"/>
    <s v="Plus"/>
    <n v="1350"/>
    <s v="W10855670"/>
    <s v="Placas de Controle"/>
    <x v="1"/>
    <n v="1000"/>
    <n v="5004101"/>
    <s v="UNIDOCK'S ASSESSORIA E LOGISTICA DE"/>
    <n v="316.02"/>
    <d v="2025-01-20T00:00:00"/>
  </r>
  <r>
    <n v="253915595"/>
    <n v="64687087"/>
    <s v="REB"/>
    <n v="9549710"/>
    <n v="178"/>
    <s v="PEÇAS -Defeito de fabric./Sem Compressão"/>
    <s v="FUNCIONAL"/>
    <x v="1"/>
    <n v="32455"/>
    <x v="92"/>
    <s v="SP"/>
    <n v="648"/>
    <s v="Ultra"/>
    <n v="1350"/>
    <s v="W11647662"/>
    <s v="Compressores Herméticos"/>
    <x v="0"/>
    <n v="1000"/>
    <n v="5003482"/>
    <s v="TMA TRANSPORTE LOTACAO E LOGISTICA"/>
    <n v="315.86"/>
    <d v="2025-01-09T00:00:00"/>
  </r>
  <r>
    <n v="253988931"/>
    <n v="64764354"/>
    <s v="REB"/>
    <n v="9636197"/>
    <n v="173"/>
    <s v="PEÇAS - Defeito de fabric./Alta Amperage"/>
    <s v="FUNCIONAL"/>
    <x v="1"/>
    <n v="81075"/>
    <x v="223"/>
    <s v="BA"/>
    <n v="934"/>
    <s v="CDP Ouro"/>
    <n v="1350"/>
    <s v="W11647662"/>
    <s v="Compressores Herméticos"/>
    <x v="0"/>
    <n v="1000"/>
    <n v="5004101"/>
    <s v="UNIDOCK'S ASSESSORIA E LOGISTICA DE"/>
    <n v="315.7"/>
    <d v="2025-05-05T00:00:00"/>
  </r>
  <r>
    <n v="254004053"/>
    <n v="64777819"/>
    <s v="REB"/>
    <n v="9737656"/>
    <n v="178"/>
    <s v="PEÇAS -Defeito de fabric./Sem Compressão"/>
    <s v="FUNCIONAL"/>
    <x v="1"/>
    <n v="76654"/>
    <x v="388"/>
    <s v="BA"/>
    <n v="934"/>
    <s v="CDP Ouro"/>
    <n v="1350"/>
    <s v="W11647662"/>
    <s v="Compressores Herméticos"/>
    <x v="0"/>
    <n v="1000"/>
    <n v="5004101"/>
    <s v="UNIDOCK'S ASSESSORIA E LOGISTICA DE"/>
    <n v="315.57"/>
    <d v="2025-05-26T00:00:00"/>
  </r>
  <r>
    <n v="254003849"/>
    <n v="64776113"/>
    <s v="REB"/>
    <n v="10030119"/>
    <n v="176"/>
    <s v="PEÇAS - Defeito de fabric./Interrompido"/>
    <s v="FUNCIONAL"/>
    <x v="2"/>
    <n v="3506"/>
    <x v="46"/>
    <s v="SP"/>
    <n v="931"/>
    <s v="Ats Off"/>
    <n v="1350"/>
    <s v="W11199202"/>
    <s v="Placas de Controle"/>
    <x v="1"/>
    <n v="1000"/>
    <n v="5004042"/>
    <s v="BRASIL WEB TRANSPORTES E LOGISTICA"/>
    <n v="315.3"/>
    <d v="2025-05-26T00:00:00"/>
  </r>
  <r>
    <n v="253952271"/>
    <n v="64729266"/>
    <s v="REB"/>
    <n v="9829756"/>
    <n v="178"/>
    <s v="PEÇAS -Defeito de fabric./Sem Compressão"/>
    <s v="FUNCIONAL"/>
    <x v="2"/>
    <n v="31587"/>
    <x v="135"/>
    <s v="SP"/>
    <n v="643"/>
    <s v="Elite"/>
    <n v="1350"/>
    <s v="W11677208"/>
    <s v="Compressores Herméticos"/>
    <x v="0"/>
    <n v="1000"/>
    <n v="5004042"/>
    <s v="BRASIL WEB TRANSPORTES E LOGISTICA"/>
    <n v="314.94"/>
    <d v="2025-03-10T00:00:00"/>
  </r>
  <r>
    <n v="253953801"/>
    <n v="64731984"/>
    <s v="REB"/>
    <n v="9829756"/>
    <n v="178"/>
    <s v="PEÇAS -Defeito de fabric./Sem Compressão"/>
    <s v="FUNCIONAL"/>
    <x v="2"/>
    <n v="31587"/>
    <x v="135"/>
    <s v="SP"/>
    <n v="643"/>
    <s v="Elite"/>
    <n v="1350"/>
    <s v="W11677208"/>
    <s v="Compressores Herméticos"/>
    <x v="0"/>
    <n v="1000"/>
    <n v="5004042"/>
    <s v="BRASIL WEB TRANSPORTES E LOGISTICA"/>
    <n v="314.94"/>
    <d v="2025-03-14T00:00:00"/>
  </r>
  <r>
    <n v="253961321"/>
    <n v="64737878"/>
    <s v="REB"/>
    <n v="9798117"/>
    <n v="178"/>
    <s v="PEÇAS -Defeito de fabric./Sem Compressão"/>
    <s v="FUNCIONAL"/>
    <x v="2"/>
    <n v="31587"/>
    <x v="135"/>
    <s v="SP"/>
    <n v="643"/>
    <s v="Elite"/>
    <n v="1350"/>
    <s v="W11677208"/>
    <s v="Compressores Herméticos"/>
    <x v="0"/>
    <n v="1000"/>
    <n v="5004042"/>
    <s v="BRASIL WEB TRANSPORTES E LOGISTICA"/>
    <n v="314.94"/>
    <d v="2025-03-26T00:00:00"/>
  </r>
  <r>
    <n v="254024126"/>
    <n v="64803698"/>
    <s v="ZRDI"/>
    <n v="10050397"/>
    <n v="208"/>
    <s v="DEV-Atraso entrega- LOGISTICA(Transp)"/>
    <s v="TRANSPORTADORA"/>
    <x v="2"/>
    <n v="58044607"/>
    <x v="389"/>
    <s v="AP"/>
    <n v="474"/>
    <s v="Site Brastemp"/>
    <n v="1352"/>
    <s v="W10431991"/>
    <s v="Gavetas"/>
    <x v="9"/>
    <n v="1000"/>
    <n v="5002359"/>
    <s v="EMPRESA BRASILEIRA DE CORREIOS E"/>
    <n v="314.92"/>
    <d v="2025-07-01T00:00:00"/>
  </r>
  <r>
    <n v="254024126"/>
    <n v="64803698"/>
    <s v="ZRDI"/>
    <n v="10050397"/>
    <n v="208"/>
    <s v="DEV-Atraso entrega- LOGISTICA(Transp)"/>
    <s v="TRANSPORTADORA"/>
    <x v="2"/>
    <n v="58044607"/>
    <x v="389"/>
    <s v="AP"/>
    <n v="474"/>
    <s v="Site Brastemp"/>
    <n v="1352"/>
    <s v="W10431991"/>
    <s v="Gavetas"/>
    <x v="9"/>
    <n v="1000"/>
    <n v="5002359"/>
    <s v="EMPRESA BRASILEIRA DE CORREIOS E"/>
    <n v="314.92"/>
    <d v="2025-07-01T00:00:00"/>
  </r>
  <r>
    <n v="254024114"/>
    <n v="64803661"/>
    <s v="ZRDI"/>
    <n v="10044557"/>
    <n v="208"/>
    <s v="DEV-Atraso entrega- LOGISTICA(Transp)"/>
    <s v="TRANSPORTADORA"/>
    <x v="2"/>
    <n v="52911377"/>
    <x v="390"/>
    <s v="SE"/>
    <n v="474"/>
    <s v="Site Brastemp"/>
    <n v="1352"/>
    <n v="326047477"/>
    <s v="Gavetas"/>
    <x v="9"/>
    <n v="2000"/>
    <n v="5002359"/>
    <s v="EMPRESA BRASILEIRA DE CORREIOS E"/>
    <n v="314.68"/>
    <d v="2025-07-01T00:00:00"/>
  </r>
  <r>
    <n v="253970682"/>
    <n v="64748915"/>
    <s v="REB"/>
    <n v="9909439"/>
    <n v="173"/>
    <s v="PEÇAS - Defeito de fabric./Alta Amperage"/>
    <s v="FUNCIONAL"/>
    <x v="1"/>
    <n v="2809"/>
    <x v="28"/>
    <s v="RJ"/>
    <n v="350"/>
    <s v="Ats On"/>
    <n v="1350"/>
    <s v="W10351342"/>
    <s v="Ice Maker"/>
    <x v="7"/>
    <n v="1000"/>
    <n v="5003176"/>
    <s v="J C THEDIN TRANSPORTES LTDA"/>
    <n v="314.66000000000003"/>
    <d v="2025-04-09T00:00:00"/>
  </r>
  <r>
    <n v="253970751"/>
    <n v="64722432"/>
    <s v="REB"/>
    <n v="9953481"/>
    <n v="173"/>
    <s v="PEÇAS - Defeito de fabric./Alta Amperage"/>
    <s v="FUNCIONAL"/>
    <x v="1"/>
    <n v="27253"/>
    <x v="167"/>
    <s v="PI"/>
    <n v="931"/>
    <s v="Ats Off"/>
    <n v="1350"/>
    <s v="W11161217"/>
    <s v="Placas de Controle"/>
    <x v="1"/>
    <n v="1000"/>
    <n v="5004101"/>
    <s v="UNIDOCK'S ASSESSORIA E LOGISTICA DE"/>
    <n v="314.54000000000002"/>
    <d v="2025-04-09T00:00:00"/>
  </r>
  <r>
    <n v="254033261"/>
    <n v="64802475"/>
    <s v="REB"/>
    <n v="10097542"/>
    <n v="176"/>
    <s v="PEÇAS - Defeito de fabric./Interrompido"/>
    <s v="FUNCIONAL"/>
    <x v="1"/>
    <n v="4425"/>
    <x v="305"/>
    <s v="SC"/>
    <n v="931"/>
    <s v="Ats Off"/>
    <n v="1350"/>
    <s v="W11174304"/>
    <s v="Bombas"/>
    <x v="1"/>
    <n v="1000"/>
    <n v="5003024"/>
    <s v="RODOBRAS TRANSPORTES RODOVIARIOS LT"/>
    <n v="314.39"/>
    <d v="2025-07-01T00:00:00"/>
  </r>
  <r>
    <n v="253981590"/>
    <n v="64757830"/>
    <s v="REB"/>
    <n v="9663570"/>
    <n v="178"/>
    <s v="PEÇAS -Defeito de fabric./Sem Compressão"/>
    <s v="FUNCIONAL"/>
    <x v="1"/>
    <n v="87383"/>
    <x v="77"/>
    <s v="RJ"/>
    <n v="933"/>
    <s v="Top"/>
    <n v="1350"/>
    <s v="W10393808"/>
    <s v="Compressores Herméticos"/>
    <x v="0"/>
    <n v="1000"/>
    <n v="5003176"/>
    <s v="J C THEDIN TRANSPORTES LTDA"/>
    <n v="314.31"/>
    <d v="2025-04-25T00:00:00"/>
  </r>
  <r>
    <n v="253952363"/>
    <n v="64729082"/>
    <s v="REB"/>
    <n v="9615490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4.10000000000002"/>
    <d v="2025-03-10T00:00:00"/>
  </r>
  <r>
    <n v="253891653"/>
    <n v="64656023"/>
    <s v="REB"/>
    <n v="9623780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3254"/>
    <s v="TMA TRANSPORTE LOTACAO E LOGISTICA"/>
    <n v="314.10000000000002"/>
    <d v="2024-12-05T00:00:00"/>
  </r>
  <r>
    <n v="253891652"/>
    <n v="64660530"/>
    <s v="REB"/>
    <n v="9623780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3254"/>
    <s v="TMA TRANSPORTE LOTACAO E LOGISTICA"/>
    <n v="314.10000000000002"/>
    <d v="2024-12-05T00:00:00"/>
  </r>
  <r>
    <n v="253952355"/>
    <n v="64729063"/>
    <s v="REB"/>
    <n v="9615593"/>
    <n v="178"/>
    <s v="PEÇAS -Defeito de fabric./Sem Compressão"/>
    <s v="FUNCIONAL"/>
    <x v="1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4.10000000000002"/>
    <d v="2025-03-10T00:00:00"/>
  </r>
  <r>
    <n v="253952355"/>
    <n v="64718983"/>
    <s v="REB"/>
    <n v="9615490"/>
    <n v="178"/>
    <s v="PEÇAS -Defeito de fabric./Sem Compressão"/>
    <s v="FUNCIONAL"/>
    <x v="2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4.10000000000002"/>
    <d v="2025-03-10T00:00:00"/>
  </r>
  <r>
    <n v="253952355"/>
    <n v="64728883"/>
    <s v="REB"/>
    <n v="9623780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4.10000000000002"/>
    <d v="2025-03-10T00:00:00"/>
  </r>
  <r>
    <n v="253952356"/>
    <n v="64729076"/>
    <s v="REB"/>
    <n v="9623780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4.10000000000002"/>
    <d v="2025-03-10T00:00:00"/>
  </r>
  <r>
    <n v="253952369"/>
    <n v="64729077"/>
    <s v="REB"/>
    <n v="9615490"/>
    <n v="178"/>
    <s v="PEÇAS -Defeito de fabric./Sem Compressão"/>
    <s v="FUNCIONAL"/>
    <x v="2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314.10000000000002"/>
    <d v="2025-03-10T00:00:00"/>
  </r>
  <r>
    <n v="253952357"/>
    <n v="64729083"/>
    <s v="REB"/>
    <n v="9623780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4.10000000000002"/>
    <d v="2025-03-10T00:00:00"/>
  </r>
  <r>
    <n v="253952358"/>
    <n v="64729084"/>
    <s v="REB"/>
    <n v="9623780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4.10000000000002"/>
    <d v="2025-03-10T00:00:00"/>
  </r>
  <r>
    <n v="253952359"/>
    <n v="64729144"/>
    <s v="REB"/>
    <n v="9623780"/>
    <n v="178"/>
    <s v="PEÇAS -Defeito de fabric./Sem Compressão"/>
    <s v="FUNCIONAL"/>
    <x v="2"/>
    <n v="55093"/>
    <x v="231"/>
    <s v="SP"/>
    <n v="648"/>
    <s v="Ultra"/>
    <n v="1350"/>
    <s v="W11647660"/>
    <s v="Compressores Herméticos"/>
    <x v="0"/>
    <n v="1000"/>
    <n v="5004042"/>
    <s v="BRASIL WEB TRANSPORTES E LOGISTICA"/>
    <n v="314.10000000000002"/>
    <d v="2025-03-10T00:00:00"/>
  </r>
  <r>
    <n v="254033293"/>
    <n v="64807460"/>
    <s v="REB"/>
    <n v="9146420"/>
    <n v="173"/>
    <s v="PEÇAS - Defeito de fabric./Alta Amperage"/>
    <s v="FUNCIONAL"/>
    <x v="1"/>
    <n v="18708"/>
    <x v="391"/>
    <s v="MA"/>
    <n v="933"/>
    <s v="Top"/>
    <n v="1350"/>
    <s v="W11647662"/>
    <s v="Compressores Herméticos"/>
    <x v="0"/>
    <n v="1000"/>
    <n v="5004101"/>
    <s v="UNIDOCK'S ASSESSORIA E LOGISTICA DE"/>
    <n v="314.02"/>
    <d v="2025-07-08T00:00:00"/>
  </r>
  <r>
    <n v="254018176"/>
    <n v="64793284"/>
    <s v="REB"/>
    <n v="10010651"/>
    <n v="176"/>
    <s v="PEÇAS - Defeito de fabric./Interrompido"/>
    <s v="FUNCIONAL"/>
    <x v="1"/>
    <n v="3506"/>
    <x v="46"/>
    <s v="SP"/>
    <n v="931"/>
    <s v="Ats Off"/>
    <n v="1350"/>
    <s v="W11228626"/>
    <s v="Placas de Interface"/>
    <x v="1"/>
    <n v="1000"/>
    <n v="5004042"/>
    <s v="BRASIL WEB TRANSPORTES E LOGISTICA"/>
    <n v="313.83999999999997"/>
    <d v="2025-06-17T00:00:00"/>
  </r>
  <r>
    <n v="254033302"/>
    <n v="64807356"/>
    <s v="REB"/>
    <n v="10085915"/>
    <n v="173"/>
    <s v="PEÇAS - Defeito de fabric./Alta Amperage"/>
    <s v="FUNCIONAL"/>
    <x v="1"/>
    <n v="21594"/>
    <x v="97"/>
    <s v="SP"/>
    <n v="931"/>
    <s v="Ats Off"/>
    <n v="1350"/>
    <s v="W11228626"/>
    <s v="Placas de Interface"/>
    <x v="1"/>
    <n v="1000"/>
    <n v="5004042"/>
    <s v="BRASIL WEB TRANSPORTES E LOGISTICA"/>
    <n v="313.83999999999997"/>
    <d v="2025-07-08T00:00:00"/>
  </r>
  <r>
    <n v="254042071"/>
    <n v="64786368"/>
    <s v="REB"/>
    <n v="10085915"/>
    <n v="173"/>
    <s v="PEÇAS - Defeito de fabric./Alta Amperage"/>
    <s v="FUNCIONAL"/>
    <x v="0"/>
    <n v="21594"/>
    <x v="97"/>
    <s v="SP"/>
    <n v="931"/>
    <s v="Ats Off"/>
    <n v="1350"/>
    <s v="W11228626"/>
    <s v="Placas de Interface"/>
    <x v="1"/>
    <n v="1000"/>
    <n v="5004042"/>
    <s v="BRASIL WEB TRANSPORTES E LOGISTICA"/>
    <n v="313.83999999999997"/>
    <d v="2025-06-23T00:00:00"/>
  </r>
  <r>
    <n v="253961250"/>
    <n v="64738060"/>
    <s v="REB"/>
    <n v="9906010"/>
    <n v="173"/>
    <s v="PEÇAS - Defeito de fabric./Alta Amperage"/>
    <s v="FUNCIONAL"/>
    <x v="1"/>
    <n v="13757"/>
    <x v="14"/>
    <s v="SP"/>
    <n v="713"/>
    <s v="Key Account"/>
    <n v="1350"/>
    <s v="W11254865"/>
    <s v="Mecanismos"/>
    <x v="2"/>
    <n v="2000"/>
    <n v="5004042"/>
    <s v="BRASIL WEB TRANSPORTES E LOGISTICA"/>
    <n v="313.68"/>
    <d v="2025-03-25T00:00:00"/>
  </r>
  <r>
    <n v="254042001"/>
    <n v="64794992"/>
    <s v="REB"/>
    <n v="9710069"/>
    <n v="173"/>
    <s v="PEÇAS - Defeito de fabric./Alta Amperage"/>
    <s v="FUNCIONAL"/>
    <x v="0"/>
    <n v="30820"/>
    <x v="49"/>
    <s v="PE"/>
    <n v="350"/>
    <s v="Ats On"/>
    <n v="1350"/>
    <s v="W10799397"/>
    <s v="Compressores Herméticos"/>
    <x v="0"/>
    <n v="1000"/>
    <n v="5004101"/>
    <s v="UNIDOCK'S ASSESSORIA E LOGISTICA DE"/>
    <n v="313.27"/>
    <d v="2025-06-23T00:00:00"/>
  </r>
  <r>
    <n v="253995073"/>
    <n v="64767455"/>
    <s v="REB"/>
    <n v="9974226"/>
    <n v="104"/>
    <s v="PEÇAS-Código trocado(embalag X conteúdo)"/>
    <s v="LOGÍSTICA"/>
    <x v="1"/>
    <n v="4446"/>
    <x v="392"/>
    <s v="PR"/>
    <n v="350"/>
    <s v="Ats On"/>
    <n v="1350"/>
    <s v="W11106593"/>
    <s v="Bombas"/>
    <x v="1"/>
    <n v="1000"/>
    <n v="5003024"/>
    <s v="RODOBRAS TRANSPORTES RODOVIARIOS LT"/>
    <n v="313.14"/>
    <d v="2025-05-10T00:00:00"/>
  </r>
  <r>
    <n v="253992721"/>
    <n v="64766435"/>
    <s v="REB"/>
    <n v="9968488"/>
    <n v="178"/>
    <s v="PEÇAS -Defeito de fabric./Sem Compressão"/>
    <s v="FUNCIONAL"/>
    <x v="2"/>
    <n v="27257"/>
    <x v="393"/>
    <s v="AC"/>
    <n v="350"/>
    <s v="Ats On"/>
    <n v="1350"/>
    <s v="W11677208"/>
    <s v="Compressores Herméticos"/>
    <x v="0"/>
    <n v="1000"/>
    <n v="5002858"/>
    <s v="FAVORITA TRANSPORTES LTDA"/>
    <n v="313.12"/>
    <d v="2025-05-12T00:00:00"/>
  </r>
  <r>
    <s v="Sem TR"/>
    <n v="64811385"/>
    <s v="ZRDI"/>
    <n v="10112714"/>
    <s v="D13"/>
    <s v="DEV D2C - Comprou prod qtde errada"/>
    <s v="COMERCIAL"/>
    <x v="2"/>
    <n v="56301630"/>
    <x v="394"/>
    <s v="PA"/>
    <n v="474"/>
    <s v="Site Brastemp"/>
    <n v="1352"/>
    <s v="W10764578"/>
    <s v="Conjunto Varetas"/>
    <x v="8"/>
    <n v="3000"/>
    <n v="5002359"/>
    <s v="EMPRESA BRASILEIRA DE CORREIOS E"/>
    <n v="313.05"/>
    <d v="2025-07-17T00:00:00"/>
  </r>
  <r>
    <s v="Sem TR"/>
    <n v="64811385"/>
    <s v="ZRDI"/>
    <n v="10112714"/>
    <s v="D13"/>
    <s v="DEV D2C - Comprou prod qtde errada"/>
    <s v="COMERCIAL"/>
    <x v="2"/>
    <n v="56301630"/>
    <x v="394"/>
    <s v="PA"/>
    <n v="474"/>
    <s v="Site Brastemp"/>
    <n v="1352"/>
    <s v="W10764578"/>
    <s v="Conjunto Varetas"/>
    <x v="8"/>
    <n v="3000"/>
    <n v="5002359"/>
    <s v="EMPRESA BRASILEIRA DE CORREIOS E"/>
    <n v="313.05"/>
    <d v="2025-07-17T00:00:00"/>
  </r>
  <r>
    <n v="254004042"/>
    <n v="64778182"/>
    <s v="REB"/>
    <n v="10018018"/>
    <n v="173"/>
    <s v="PEÇAS - Defeito de fabric./Alta Amperage"/>
    <s v="FUNCIONAL"/>
    <x v="1"/>
    <n v="67948"/>
    <x v="15"/>
    <s v="SC"/>
    <n v="713"/>
    <s v="Key Account"/>
    <n v="1350"/>
    <s v="W11387506"/>
    <s v="Placas de Controle"/>
    <x v="1"/>
    <n v="1000"/>
    <n v="5003024"/>
    <s v="RODOBRAS TRANSPORTES RODOVIARIOS LT"/>
    <n v="312.95999999999998"/>
    <d v="2025-05-26T00:00:00"/>
  </r>
  <r>
    <n v="254013572"/>
    <n v="64791404"/>
    <s v="REB"/>
    <n v="9949511"/>
    <n v="240"/>
    <s v="DEV-Avaria - 2 trecho transp - Produto"/>
    <s v="QUALIDADE"/>
    <x v="0"/>
    <n v="85599"/>
    <x v="124"/>
    <s v="SP"/>
    <n v="934"/>
    <s v="CDP Ouro"/>
    <n v="1350"/>
    <s v="W10830936"/>
    <s v="Prateleiras"/>
    <x v="9"/>
    <n v="4000"/>
    <n v="5004042"/>
    <s v="BRASIL WEB TRANSPORTES E LOGISTICA"/>
    <n v="312.77999999999997"/>
    <d v="2025-06-13T00:00:00"/>
  </r>
  <r>
    <n v="254012528"/>
    <n v="64789564"/>
    <s v="REB"/>
    <n v="9776403"/>
    <n v="176"/>
    <s v="PEÇAS - Defeito de fabric./Interrompido"/>
    <s v="FUNCIONAL"/>
    <x v="1"/>
    <n v="46272"/>
    <x v="194"/>
    <s v="CE"/>
    <n v="713"/>
    <s v="Key Account"/>
    <n v="1350"/>
    <s v="W11300816"/>
    <s v="Mecanismos"/>
    <x v="2"/>
    <n v="3000"/>
    <n v="5004101"/>
    <s v="UNIDOCK'S ASSESSORIA E LOGISTICA DE"/>
    <n v="312.60000000000002"/>
    <d v="2025-06-10T00:00:00"/>
  </r>
  <r>
    <n v="254012459"/>
    <n v="64788472"/>
    <s v="REB"/>
    <n v="10051781"/>
    <n v="178"/>
    <s v="PEÇAS -Defeito de fabric./Sem Compressão"/>
    <s v="FUNCIONAL"/>
    <x v="0"/>
    <n v="9272"/>
    <x v="395"/>
    <s v="RS"/>
    <n v="931"/>
    <s v="Ats Off"/>
    <n v="1350"/>
    <s v="W11677208"/>
    <s v="Compressores Herméticos"/>
    <x v="0"/>
    <n v="1000"/>
    <n v="5003024"/>
    <s v="RODOBRAS TRANSPORTES RODOVIARIOS LT"/>
    <n v="312.58"/>
    <d v="2025-06-10T00:00:00"/>
  </r>
  <r>
    <s v="Sem TR"/>
    <n v="64817471"/>
    <s v="REB"/>
    <n v="10090178"/>
    <n v="173"/>
    <s v="PEÇAS - Defeito de fabric./Alta Amperage"/>
    <s v="FUNCIONAL"/>
    <x v="1"/>
    <n v="67948"/>
    <x v="15"/>
    <s v="SC"/>
    <n v="713"/>
    <s v="Key Account"/>
    <n v="1350"/>
    <s v="W10480671"/>
    <s v="Anéis Hidro"/>
    <x v="6"/>
    <n v="5000"/>
    <n v="5003024"/>
    <s v="RODOBRAS TRANSPORTES RODOVIARIOS LT"/>
    <n v="312.33"/>
    <d v="2025-07-25T00:00:00"/>
  </r>
  <r>
    <n v="253886315"/>
    <n v="64655734"/>
    <s v="REB"/>
    <n v="8726381"/>
    <n v="178"/>
    <s v="PEÇAS -Defeito de fabric./Sem Compressão"/>
    <s v="FUNCIONAL"/>
    <x v="1"/>
    <n v="81459"/>
    <x v="221"/>
    <s v="SP"/>
    <n v="648"/>
    <s v="Ultra"/>
    <n v="1350"/>
    <s v="W10798744"/>
    <s v="Compressores Herméticos"/>
    <x v="0"/>
    <n v="1000"/>
    <n v="5004042"/>
    <s v="BRASIL WEB TRANSPORTES E LOGISTICA"/>
    <n v="311.82"/>
    <d v="2024-11-29T00:00:00"/>
  </r>
  <r>
    <s v="Sem TR"/>
    <n v="64812642"/>
    <s v="REB"/>
    <n v="9910607"/>
    <n v="173"/>
    <s v="PEÇAS - Defeito de fabric./Alta Amperage"/>
    <s v="FUNCIONAL"/>
    <x v="1"/>
    <n v="81988"/>
    <x v="38"/>
    <s v="MG"/>
    <n v="648"/>
    <s v="Ultra"/>
    <n v="1350"/>
    <s v="W11647660"/>
    <s v="Compressores Herméticos"/>
    <x v="0"/>
    <n v="1000"/>
    <n v="5004215"/>
    <s v="BRASIL WEB TRANSPORTES E LOGISTICA"/>
    <n v="311.75"/>
    <d v="2025-07-25T00:00:00"/>
  </r>
  <r>
    <n v="254004073"/>
    <n v="64777760"/>
    <s v="REB"/>
    <n v="9910607"/>
    <n v="176"/>
    <s v="PEÇAS - Defeito de fabric./Interrompido"/>
    <s v="FUNCIONAL"/>
    <x v="2"/>
    <n v="81988"/>
    <x v="38"/>
    <s v="MG"/>
    <n v="648"/>
    <s v="Ultra"/>
    <n v="1350"/>
    <s v="W11647662"/>
    <s v="Compressores Herméticos"/>
    <x v="0"/>
    <n v="1000"/>
    <n v="5004215"/>
    <s v="BRASIL WEB TRANSPORTES E LOGISTICA"/>
    <n v="311.75"/>
    <d v="2025-05-26T00:00:00"/>
  </r>
  <r>
    <n v="254033467"/>
    <n v="64796021"/>
    <s v="REB"/>
    <n v="9910607"/>
    <n v="176"/>
    <s v="PEÇAS - Defeito de fabric./Interrompido"/>
    <s v="FUNCIONAL"/>
    <x v="0"/>
    <n v="81988"/>
    <x v="38"/>
    <s v="MG"/>
    <n v="648"/>
    <s v="Ultra"/>
    <n v="1350"/>
    <s v="W11647660"/>
    <s v="Compressores Herméticos"/>
    <x v="0"/>
    <n v="1000"/>
    <n v="5004215"/>
    <s v="BRASIL WEB TRANSPORTES E LOGISTICA"/>
    <n v="311.75"/>
    <d v="2025-07-01T00:00:00"/>
  </r>
  <r>
    <n v="254007620"/>
    <n v="64772008"/>
    <s v="REB"/>
    <n v="9689821"/>
    <n v="173"/>
    <s v="PEÇAS - Defeito de fabric./Alta Amperage"/>
    <s v="FUNCIONAL"/>
    <x v="2"/>
    <n v="81988"/>
    <x v="38"/>
    <s v="MG"/>
    <n v="648"/>
    <s v="Ultra"/>
    <n v="1350"/>
    <s v="W11435390"/>
    <s v="Placas de Controle"/>
    <x v="1"/>
    <n v="1000"/>
    <n v="5004215"/>
    <s v="BRASIL WEB TRANSPORTES E LOGISTICA"/>
    <n v="311.60000000000002"/>
    <d v="2025-06-02T00:00:00"/>
  </r>
  <r>
    <n v="253992749"/>
    <n v="64766845"/>
    <s v="REB"/>
    <n v="9788918"/>
    <n v="178"/>
    <s v="PEÇAS -Defeito de fabric./Sem Compressão"/>
    <s v="FUNCIONAL"/>
    <x v="1"/>
    <n v="55093"/>
    <x v="231"/>
    <s v="SP"/>
    <n v="648"/>
    <s v="Ultra"/>
    <n v="1350"/>
    <s v="W11677209"/>
    <s v="Compressores Herméticos"/>
    <x v="0"/>
    <n v="1000"/>
    <n v="5004042"/>
    <s v="BRASIL WEB TRANSPORTES E LOGISTICA"/>
    <n v="311.49"/>
    <d v="2025-05-12T00:00:00"/>
  </r>
  <r>
    <n v="253988935"/>
    <n v="64759628"/>
    <s v="REB"/>
    <n v="9727628"/>
    <n v="173"/>
    <s v="PEÇAS - Defeito de fabric./Alta Amperage"/>
    <s v="FUNCIONAL"/>
    <x v="1"/>
    <n v="81093"/>
    <x v="53"/>
    <s v="ES"/>
    <n v="713"/>
    <s v="Key Account"/>
    <n v="1350"/>
    <s v="W11300816"/>
    <s v="Mecanismos"/>
    <x v="2"/>
    <n v="3000"/>
    <n v="5004042"/>
    <s v="BRASIL WEB TRANSPORTES E LOGISTICA"/>
    <n v="311.31"/>
    <d v="2025-05-05T00:00:00"/>
  </r>
  <r>
    <n v="253992664"/>
    <n v="64767992"/>
    <s v="REB"/>
    <n v="9737973"/>
    <n v="173"/>
    <s v="PEÇAS - Defeito de fabric./Alta Amperage"/>
    <s v="FUNCIONAL"/>
    <x v="1"/>
    <n v="113"/>
    <x v="396"/>
    <s v="AL"/>
    <n v="350"/>
    <s v="Ats On"/>
    <n v="1350"/>
    <s v="W10799397"/>
    <s v="Compressores Herméticos"/>
    <x v="0"/>
    <n v="1000"/>
    <n v="5004101"/>
    <s v="UNIDOCK'S ASSESSORIA E LOGISTICA DE"/>
    <n v="311.10000000000002"/>
    <d v="2025-05-12T00:00:00"/>
  </r>
  <r>
    <n v="254012617"/>
    <n v="64789164"/>
    <s v="REB"/>
    <n v="9553097"/>
    <n v="178"/>
    <s v="PEÇAS -Defeito de fabric./Sem Compressão"/>
    <s v="FUNCIONAL"/>
    <x v="2"/>
    <n v="79856"/>
    <x v="397"/>
    <s v="PA"/>
    <n v="934"/>
    <s v="CDP Ouro"/>
    <n v="1350"/>
    <s v="W11647660"/>
    <s v="Compressores Herméticos"/>
    <x v="0"/>
    <n v="1000"/>
    <n v="5002858"/>
    <s v="FAVORITA TRANSPORTES LTDA"/>
    <n v="311.10000000000002"/>
    <d v="2025-06-10T00:00:00"/>
  </r>
  <r>
    <s v="Sem TR"/>
    <n v="64816561"/>
    <s v="REB"/>
    <n v="10069128"/>
    <n v="173"/>
    <s v="PEÇAS - Defeito de fabric./Alta Amperage"/>
    <s v="FUNCIONAL"/>
    <x v="1"/>
    <n v="60871"/>
    <x v="9"/>
    <s v="ES"/>
    <n v="713"/>
    <s v="Key Account"/>
    <n v="1350"/>
    <n v="326061172"/>
    <s v="Placas de Controle"/>
    <x v="1"/>
    <n v="1000"/>
    <n v="5004042"/>
    <s v="BRASIL WEB TRANSPORTES E LOGISTICA"/>
    <n v="311.01"/>
    <d v="2025-07-25T00:00:00"/>
  </r>
  <r>
    <n v="253992755"/>
    <n v="64768250"/>
    <s v="REB"/>
    <n v="9908617"/>
    <n v="173"/>
    <s v="PEÇAS - Defeito de fabric./Alta Amperage"/>
    <s v="FUNCIONAL"/>
    <x v="1"/>
    <n v="61473"/>
    <x v="398"/>
    <s v="SP"/>
    <n v="932"/>
    <s v="CDP Prata"/>
    <n v="1350"/>
    <n v="326061171"/>
    <s v="Placas de Controle"/>
    <x v="1"/>
    <n v="1000"/>
    <n v="5004042"/>
    <s v="BRASIL WEB TRANSPORTES E LOGISTICA"/>
    <n v="310.93"/>
    <d v="2025-05-12T00:00:00"/>
  </r>
  <r>
    <n v="253952411"/>
    <n v="64727982"/>
    <s v="REB"/>
    <n v="9442901"/>
    <n v="173"/>
    <s v="PEÇAS - Defeito de fabric./Alta Amperage"/>
    <s v="FUNCIONAL"/>
    <x v="1"/>
    <n v="56592"/>
    <x v="233"/>
    <s v="SE"/>
    <n v="641"/>
    <s v="CDP Diamante"/>
    <n v="1350"/>
    <s v="W10393809"/>
    <s v="Compressores Herméticos"/>
    <x v="0"/>
    <n v="1000"/>
    <n v="5004101"/>
    <s v="UNIDOCK'S ASSESSORIA E LOGISTICA DE"/>
    <n v="310.76"/>
    <d v="2025-03-10T00:00:00"/>
  </r>
  <r>
    <n v="253992775"/>
    <n v="64768304"/>
    <s v="REB"/>
    <n v="9661554"/>
    <n v="178"/>
    <s v="PEÇAS -Defeito de fabric./Sem Compressão"/>
    <s v="FUNCIONAL"/>
    <x v="2"/>
    <n v="78757"/>
    <x v="50"/>
    <s v="RS"/>
    <n v="643"/>
    <s v="Elite"/>
    <n v="1350"/>
    <s v="W11563664"/>
    <s v="Compressores Herméticos"/>
    <x v="0"/>
    <n v="1000"/>
    <n v="5003024"/>
    <s v="RODOBRAS TRANSPORTES RODOVIARIOS LT"/>
    <n v="310.66000000000003"/>
    <d v="2025-05-12T00:00:00"/>
  </r>
  <r>
    <n v="253992775"/>
    <n v="64768469"/>
    <s v="REB"/>
    <n v="9718753"/>
    <n v="178"/>
    <s v="PEÇAS -Defeito de fabric./Sem Compressão"/>
    <s v="FUNCIONAL"/>
    <x v="2"/>
    <n v="78757"/>
    <x v="50"/>
    <s v="RS"/>
    <n v="643"/>
    <s v="Elite"/>
    <n v="1350"/>
    <s v="W11563664"/>
    <s v="Compressores Herméticos"/>
    <x v="0"/>
    <n v="1000"/>
    <n v="5003024"/>
    <s v="RODOBRAS TRANSPORTES RODOVIARIOS LT"/>
    <n v="310.66000000000003"/>
    <d v="2025-05-12T00:00:00"/>
  </r>
  <r>
    <n v="254042144"/>
    <n v="64795676"/>
    <s v="REB"/>
    <n v="9718753"/>
    <n v="178"/>
    <s v="PEÇAS -Defeito de fabric./Sem Compressão"/>
    <s v="FUNCIONAL"/>
    <x v="0"/>
    <n v="78757"/>
    <x v="50"/>
    <s v="RS"/>
    <n v="643"/>
    <s v="Elite"/>
    <n v="1350"/>
    <s v="W11563665"/>
    <s v="Compressores Herméticos"/>
    <x v="0"/>
    <n v="1000"/>
    <n v="5003024"/>
    <s v="RODOBRAS TRANSPORTES RODOVIARIOS LT"/>
    <n v="310.66000000000003"/>
    <d v="2025-06-23T00:00:00"/>
  </r>
  <r>
    <n v="253913086"/>
    <n v="64682726"/>
    <s v="REB"/>
    <n v="9782894"/>
    <n v="176"/>
    <s v="PEÇAS - Defeito de fabric./Interrompido"/>
    <s v="FUNCIONAL"/>
    <x v="1"/>
    <n v="24289"/>
    <x v="17"/>
    <s v="MG"/>
    <n v="643"/>
    <s v="Elite"/>
    <n v="1350"/>
    <s v="W11236265"/>
    <s v="Placas de Controle"/>
    <x v="1"/>
    <n v="1000"/>
    <n v="5004215"/>
    <s v="BRASIL WEB TRANSPORTES E LOGISTICA"/>
    <n v="310.42"/>
    <d v="2025-01-06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0518617"/>
    <s v="Atuadores"/>
    <x v="2"/>
    <n v="10000"/>
    <n v="5004101"/>
    <s v="UNIDOCK'S ASSESSORIA E LOGISTICA DE"/>
    <n v="310.33999999999997"/>
    <d v="2025-02-19T00:00:00"/>
  </r>
  <r>
    <n v="254042139"/>
    <n v="64795255"/>
    <s v="REB"/>
    <n v="10066831"/>
    <n v="173"/>
    <s v="PEÇAS - Defeito de fabric./Alta Amperage"/>
    <s v="FUNCIONAL"/>
    <x v="0"/>
    <n v="27808"/>
    <x v="110"/>
    <s v="SP"/>
    <n v="641"/>
    <s v="CDP Diamante"/>
    <n v="1350"/>
    <s v="W11647660"/>
    <s v="Compressores Herméticos"/>
    <x v="0"/>
    <n v="1000"/>
    <n v="5004042"/>
    <s v="BRASIL WEB TRANSPORTES E LOGISTICA"/>
    <n v="309.93"/>
    <d v="2025-06-24T00:00:00"/>
  </r>
  <r>
    <n v="254033339"/>
    <n v="64802778"/>
    <s v="REB"/>
    <n v="10066831"/>
    <n v="173"/>
    <s v="PEÇAS - Defeito de fabric./Alta Amperage"/>
    <s v="FUNCIONAL"/>
    <x v="0"/>
    <n v="27808"/>
    <x v="110"/>
    <s v="SP"/>
    <n v="641"/>
    <s v="CDP Diamante"/>
    <n v="1350"/>
    <s v="W11647660"/>
    <s v="Compressores Herméticos"/>
    <x v="0"/>
    <n v="1000"/>
    <n v="5004042"/>
    <s v="BRASIL WEB TRANSPORTES E LOGISTICA"/>
    <n v="309.93"/>
    <d v="2025-07-01T00:00:00"/>
  </r>
  <r>
    <n v="254035411"/>
    <n v="64812612"/>
    <s v="REB"/>
    <n v="9984178"/>
    <n v="178"/>
    <s v="PEÇAS -Defeito de fabric./Sem Compressão"/>
    <s v="FUNCIONAL"/>
    <x v="1"/>
    <n v="62608"/>
    <x v="367"/>
    <s v="RO"/>
    <n v="644"/>
    <s v="Plus"/>
    <n v="1350"/>
    <s v="W11647660"/>
    <s v="Compressores Herméticos"/>
    <x v="0"/>
    <n v="1000"/>
    <n v="5002858"/>
    <s v="FAVORITA TRANSPORTES LTDA"/>
    <n v="309.91000000000003"/>
    <d v="2025-07-17T00:00:00"/>
  </r>
  <r>
    <n v="253932996"/>
    <n v="64706464"/>
    <s v="REB"/>
    <n v="9830505"/>
    <n v="90"/>
    <s v="CLIENTE-não solicitou"/>
    <s v="COMERCIAL"/>
    <x v="1"/>
    <n v="49237"/>
    <x v="399"/>
    <s v="SP"/>
    <n v="350"/>
    <s v="Ats On"/>
    <n v="1350"/>
    <s v="W11543430"/>
    <s v="Outros"/>
    <x v="7"/>
    <n v="1000"/>
    <n v="5003482"/>
    <s v="TMA TRANSPORTE LOTACAO E LOGISTICA"/>
    <n v="309.83"/>
    <d v="2025-02-05T00:00:00"/>
  </r>
  <r>
    <n v="254003872"/>
    <n v="64775861"/>
    <s v="REB"/>
    <n v="9906011"/>
    <n v="173"/>
    <s v="PEÇAS - Defeito de fabric./Alta Amperage"/>
    <s v="FUNCIONAL"/>
    <x v="1"/>
    <n v="13757"/>
    <x v="14"/>
    <s v="SP"/>
    <n v="713"/>
    <s v="Key Account"/>
    <n v="1350"/>
    <s v="W11435390"/>
    <s v="Placas de Controle"/>
    <x v="1"/>
    <n v="1000"/>
    <n v="5004042"/>
    <s v="BRASIL WEB TRANSPORTES E LOGISTICA"/>
    <n v="309.77999999999997"/>
    <d v="2025-05-26T00:00:00"/>
  </r>
  <r>
    <n v="254007593"/>
    <n v="64783659"/>
    <s v="REB"/>
    <n v="9926536"/>
    <n v="173"/>
    <s v="PEÇAS - Defeito de fabric./Alta Amperage"/>
    <s v="FUNCIONAL"/>
    <x v="1"/>
    <n v="55985"/>
    <x v="400"/>
    <s v="GO"/>
    <n v="934"/>
    <s v="CDP Ouro"/>
    <n v="1350"/>
    <s v="W11647662"/>
    <s v="Compressores Herméticos"/>
    <x v="0"/>
    <n v="1000"/>
    <n v="5002858"/>
    <s v="FAVORITA TRANSPORTES LTDA"/>
    <n v="309.73"/>
    <d v="2025-06-02T00:00:00"/>
  </r>
  <r>
    <n v="253970952"/>
    <n v="64748720"/>
    <s v="REB"/>
    <n v="9801725"/>
    <n v="178"/>
    <s v="PEÇAS -Defeito de fabric./Sem Compressão"/>
    <s v="FUNCIONAL"/>
    <x v="1"/>
    <n v="79856"/>
    <x v="397"/>
    <s v="PA"/>
    <n v="934"/>
    <s v="CDP Ouro"/>
    <n v="1350"/>
    <s v="W11647660"/>
    <s v="Compressores Herméticos"/>
    <x v="0"/>
    <n v="1000"/>
    <n v="5002858"/>
    <s v="FAVORITA TRANSPORTES LTDA"/>
    <n v="309.58"/>
    <d v="2025-04-09T00:00:00"/>
  </r>
  <r>
    <n v="254022276"/>
    <n v="64799889"/>
    <s v="ZRDI"/>
    <n v="10095972"/>
    <n v="208"/>
    <s v="DEV-Atraso entrega- LOGISTICA(Transp)"/>
    <s v="TRANSPORTADORA"/>
    <x v="2"/>
    <n v="50307794"/>
    <x v="401"/>
    <s v="SC"/>
    <n v="475"/>
    <s v="Site Consul"/>
    <n v="1352"/>
    <s v="W11199342"/>
    <s v="Filtros"/>
    <x v="5"/>
    <n v="3000"/>
    <n v="5002359"/>
    <s v="EMPRESA BRASILEIRA DE CORREIOS E"/>
    <n v="309.51"/>
    <d v="2025-06-27T00:00:00"/>
  </r>
  <r>
    <n v="254018293"/>
    <n v="64791523"/>
    <s v="REB"/>
    <n v="10008764"/>
    <n v="90"/>
    <s v="CLIENTE-não solicitou"/>
    <s v="COMERCIAL"/>
    <x v="2"/>
    <n v="36689"/>
    <x v="14"/>
    <s v="SP"/>
    <n v="713"/>
    <s v="Key Account"/>
    <n v="1350"/>
    <s v="W10855665"/>
    <s v="Placas de Controle"/>
    <x v="1"/>
    <n v="1000"/>
    <n v="5004042"/>
    <s v="BRASIL WEB TRANSPORTES E LOGISTICA"/>
    <n v="309.29000000000002"/>
    <d v="2025-06-16T00:00:00"/>
  </r>
  <r>
    <n v="253988932"/>
    <n v="64764355"/>
    <s v="REB"/>
    <n v="9636197"/>
    <n v="176"/>
    <s v="PEÇAS - Defeito de fabric./Interrompido"/>
    <s v="FUNCIONAL"/>
    <x v="1"/>
    <n v="81075"/>
    <x v="223"/>
    <s v="BA"/>
    <n v="934"/>
    <s v="CDP Ouro"/>
    <n v="1350"/>
    <s v="W11677209"/>
    <s v="Compressores Herméticos"/>
    <x v="0"/>
    <n v="1000"/>
    <n v="5004101"/>
    <s v="UNIDOCK'S ASSESSORIA E LOGISTICA DE"/>
    <n v="309.25"/>
    <d v="2025-05-05T00:00:00"/>
  </r>
  <r>
    <n v="254004014"/>
    <n v="64777869"/>
    <s v="REB"/>
    <n v="10021256"/>
    <n v="176"/>
    <s v="PEÇAS - Defeito de fabric./Interrompido"/>
    <s v="FUNCIONAL"/>
    <x v="1"/>
    <n v="58276"/>
    <x v="78"/>
    <s v="CE"/>
    <n v="644"/>
    <s v="Plus"/>
    <n v="1350"/>
    <s v="W11160655"/>
    <s v="Placas de Interface"/>
    <x v="1"/>
    <n v="3000"/>
    <n v="5004101"/>
    <s v="UNIDOCK'S ASSESSORIA E LOGISTICA DE"/>
    <n v="308.66000000000003"/>
    <d v="2025-05-26T00:00:00"/>
  </r>
  <r>
    <n v="254012635"/>
    <n v="64789545"/>
    <s v="ZDVP"/>
    <n v="10055258"/>
    <n v="167"/>
    <s v="PEÇAS - Avaria - Quebrada/Depósito"/>
    <s v="LOGÍSTICA"/>
    <x v="2"/>
    <n v="56043"/>
    <x v="48"/>
    <s v="PR"/>
    <n v="963"/>
    <s v="Ats Distribuidoras"/>
    <n v="1350"/>
    <s v="W10624070"/>
    <s v="Gavetas"/>
    <x v="9"/>
    <n v="3000"/>
    <n v="5003024"/>
    <s v="RODOBRAS TRANSPORTES RODOVIARIOS LT"/>
    <n v="308.51"/>
    <d v="2025-06-10T00:00:00"/>
  </r>
  <r>
    <n v="254012433"/>
    <n v="64789507"/>
    <s v="REB"/>
    <n v="9780713"/>
    <n v="176"/>
    <s v="PEÇAS - Defeito de fabric./Interrompido"/>
    <s v="FUNCIONAL"/>
    <x v="1"/>
    <n v="66"/>
    <x v="73"/>
    <s v="GO"/>
    <n v="931"/>
    <s v="Ats Off"/>
    <n v="1350"/>
    <s v="W11300678"/>
    <s v="Mecanismos"/>
    <x v="2"/>
    <n v="2000"/>
    <n v="5002858"/>
    <s v="FAVORITA TRANSPORTES LTDA"/>
    <n v="308.48"/>
    <d v="2025-06-10T00:00:00"/>
  </r>
  <r>
    <n v="254007584"/>
    <n v="64776456"/>
    <s v="REB"/>
    <n v="9958725"/>
    <n v="178"/>
    <s v="PEÇAS -Defeito de fabric./Sem Compressão"/>
    <s v="FUNCIONAL"/>
    <x v="2"/>
    <n v="37434"/>
    <x v="95"/>
    <s v="GO"/>
    <n v="931"/>
    <s v="Ats Off"/>
    <n v="1350"/>
    <s v="W11647662"/>
    <s v="Compressores Herméticos"/>
    <x v="0"/>
    <n v="1000"/>
    <n v="5002858"/>
    <s v="FAVORITA TRANSPORTES LTDA"/>
    <n v="308.07"/>
    <d v="2025-06-02T00:00:00"/>
  </r>
  <r>
    <n v="254018179"/>
    <n v="64793310"/>
    <s v="REB"/>
    <n v="10060632"/>
    <n v="176"/>
    <s v="PEÇAS - Defeito de fabric./Interrompido"/>
    <s v="FUNCIONAL"/>
    <x v="1"/>
    <n v="3506"/>
    <x v="46"/>
    <s v="SP"/>
    <n v="931"/>
    <s v="Ats Off"/>
    <n v="1350"/>
    <s v="W11636257"/>
    <s v="Placas de Controle"/>
    <x v="1"/>
    <n v="1000"/>
    <n v="5004042"/>
    <s v="BRASIL WEB TRANSPORTES E LOGISTICA"/>
    <n v="308.02"/>
    <d v="2025-06-17T00:00:00"/>
  </r>
  <r>
    <n v="254033460"/>
    <n v="64804503"/>
    <s v="REB"/>
    <n v="10039483"/>
    <n v="176"/>
    <s v="PEÇAS - Defeito de fabric./Interrompido"/>
    <s v="FUNCIONAL"/>
    <x v="1"/>
    <n v="80181"/>
    <x v="199"/>
    <s v="DF"/>
    <n v="934"/>
    <s v="CDP Ouro"/>
    <n v="1350"/>
    <s v="W11435392"/>
    <s v="Placas de Controle"/>
    <x v="1"/>
    <n v="1000"/>
    <n v="5002858"/>
    <s v="FAVORITA TRANSPORTES LTDA"/>
    <n v="307.89999999999998"/>
    <d v="2025-07-08T00:00:00"/>
  </r>
  <r>
    <n v="253983938"/>
    <n v="64759551"/>
    <s v="REB"/>
    <n v="9626307"/>
    <n v="178"/>
    <s v="PEÇAS -Defeito de fabric./Sem Compressão"/>
    <s v="FUNCIONAL"/>
    <x v="1"/>
    <n v="55093"/>
    <x v="231"/>
    <s v="SP"/>
    <n v="648"/>
    <s v="Ultra"/>
    <n v="1350"/>
    <s v="W11677209"/>
    <s v="Compressores Herméticos"/>
    <x v="0"/>
    <n v="1000"/>
    <n v="5004042"/>
    <s v="BRASIL WEB TRANSPORTES E LOGISTICA"/>
    <n v="307.67"/>
    <d v="2025-04-28T00:00:00"/>
  </r>
  <r>
    <n v="253931125"/>
    <n v="64703797"/>
    <s v="REB"/>
    <n v="9626307"/>
    <n v="178"/>
    <s v="PEÇAS -Defeito de fabric./Sem Compressão"/>
    <s v="FUNCIONAL"/>
    <x v="1"/>
    <n v="55093"/>
    <x v="231"/>
    <s v="SP"/>
    <n v="648"/>
    <s v="Ultra"/>
    <n v="1350"/>
    <s v="W11677209"/>
    <s v="Compressores Herméticos"/>
    <x v="0"/>
    <n v="1000"/>
    <n v="5004042"/>
    <s v="BRASIL WEB TRANSPORTES E LOGISTICA"/>
    <n v="307.67"/>
    <d v="2025-01-31T00:00:00"/>
  </r>
  <r>
    <n v="253952359"/>
    <n v="64729081"/>
    <s v="REB"/>
    <n v="9626307"/>
    <n v="178"/>
    <s v="PEÇAS -Defeito de fabric./Sem Compressão"/>
    <s v="FUNCIONAL"/>
    <x v="2"/>
    <n v="55093"/>
    <x v="231"/>
    <s v="SP"/>
    <n v="648"/>
    <s v="Ultra"/>
    <n v="1350"/>
    <s v="W11677209"/>
    <s v="Compressores Herméticos"/>
    <x v="0"/>
    <n v="1000"/>
    <n v="5004042"/>
    <s v="BRASIL WEB TRANSPORTES E LOGISTICA"/>
    <n v="307.67"/>
    <d v="2025-03-10T00:00:00"/>
  </r>
  <r>
    <n v="253970941"/>
    <n v="64748307"/>
    <s v="REB"/>
    <n v="9846703"/>
    <n v="173"/>
    <s v="PEÇAS - Defeito de fabric./Alta Amperage"/>
    <s v="FUNCIONAL"/>
    <x v="1"/>
    <n v="75751"/>
    <x v="108"/>
    <s v="PR"/>
    <n v="931"/>
    <s v="Ats Off"/>
    <n v="1350"/>
    <s v="W11677208"/>
    <s v="Compressores Herméticos"/>
    <x v="0"/>
    <n v="1000"/>
    <n v="5003024"/>
    <s v="RODOBRAS TRANSPORTES RODOVIARIOS LT"/>
    <n v="307.66000000000003"/>
    <d v="2025-04-09T00:00:00"/>
  </r>
  <r>
    <n v="254033453"/>
    <n v="64807325"/>
    <s v="REB"/>
    <n v="10114509"/>
    <n v="176"/>
    <s v="PEÇAS - Defeito de fabric./Interrompido"/>
    <s v="FUNCIONAL"/>
    <x v="2"/>
    <n v="76462"/>
    <x v="243"/>
    <s v="DF"/>
    <n v="933"/>
    <s v="Top"/>
    <n v="1350"/>
    <s v="W11299803"/>
    <s v="Mecanismos"/>
    <x v="2"/>
    <n v="3000"/>
    <n v="5002858"/>
    <s v="FAVORITA TRANSPORTES LTDA"/>
    <n v="307.58999999999997"/>
    <d v="2025-07-08T00:00:00"/>
  </r>
  <r>
    <n v="253891653"/>
    <n v="64638962"/>
    <s v="REB"/>
    <n v="9494537"/>
    <n v="178"/>
    <s v="PEÇAS -Defeito de fabric./Sem Compressão"/>
    <s v="FUNCIONAL"/>
    <x v="1"/>
    <n v="55093"/>
    <x v="231"/>
    <s v="SP"/>
    <n v="648"/>
    <s v="Ultra"/>
    <n v="1350"/>
    <s v="W11677208"/>
    <s v="Compressores Herméticos"/>
    <x v="0"/>
    <n v="1000"/>
    <n v="5003254"/>
    <s v="TMA TRANSPORTE LOTACAO E LOGISTICA"/>
    <n v="307.45"/>
    <d v="2024-12-05T00:00:00"/>
  </r>
  <r>
    <n v="254024685"/>
    <n v="64804778"/>
    <s v="ZRDI"/>
    <n v="10042616"/>
    <n v="208"/>
    <s v="DEV-Atraso entrega- LOGISTICA(Transp)"/>
    <s v="TRANSPORTADORA"/>
    <x v="2"/>
    <n v="58034682"/>
    <x v="402"/>
    <s v="MT"/>
    <n v="474"/>
    <s v="Site Brastemp"/>
    <n v="1352"/>
    <s v="W11393157"/>
    <s v="Tampas Móveis"/>
    <x v="6"/>
    <n v="1000"/>
    <n v="5002359"/>
    <s v="EMPRESA BRASILEIRA DE CORREIOS E"/>
    <n v="307.43"/>
    <d v="2025-07-02T00:00:00"/>
  </r>
  <r>
    <n v="254024685"/>
    <n v="64804778"/>
    <s v="ZRDI"/>
    <n v="10042616"/>
    <n v="208"/>
    <s v="DEV-Atraso entrega- LOGISTICA(Transp)"/>
    <s v="TRANSPORTADORA"/>
    <x v="2"/>
    <n v="58034682"/>
    <x v="402"/>
    <s v="MT"/>
    <n v="474"/>
    <s v="Site Brastemp"/>
    <n v="1352"/>
    <s v="W11393157"/>
    <s v="Tampas Móveis"/>
    <x v="6"/>
    <n v="1000"/>
    <n v="5002359"/>
    <s v="EMPRESA BRASILEIRA DE CORREIOS E"/>
    <n v="307.43"/>
    <d v="2025-07-02T00:00:00"/>
  </r>
  <r>
    <n v="254004039"/>
    <n v="64778234"/>
    <s v="REB"/>
    <n v="9627629"/>
    <n v="173"/>
    <s v="PEÇAS - Defeito de fabric./Alta Amperage"/>
    <s v="FUNCIONAL"/>
    <x v="2"/>
    <n v="67948"/>
    <x v="15"/>
    <s v="SC"/>
    <n v="713"/>
    <s v="Key Account"/>
    <n v="1350"/>
    <s v="W10780260"/>
    <s v="Placas de Controle"/>
    <x v="1"/>
    <n v="2000"/>
    <n v="5003024"/>
    <s v="RODOBRAS TRANSPORTES RODOVIARIOS LT"/>
    <n v="307.41000000000003"/>
    <d v="2025-05-26T00:00:00"/>
  </r>
  <r>
    <n v="253953765"/>
    <n v="64732089"/>
    <s v="REB"/>
    <n v="9526358"/>
    <n v="176"/>
    <s v="PEÇAS - Defeito de fabric./Interrompido"/>
    <s v="FUNCIONAL"/>
    <x v="1"/>
    <n v="24089"/>
    <x v="134"/>
    <s v="RJ"/>
    <n v="931"/>
    <s v="Ats Off"/>
    <n v="1350"/>
    <s v="W10711360"/>
    <s v="Placas de Interface"/>
    <x v="1"/>
    <n v="1000"/>
    <n v="5003176"/>
    <s v="J C THEDIN TRANSPORTES LTDA"/>
    <n v="307.36"/>
    <d v="2025-03-14T00:00:00"/>
  </r>
  <r>
    <s v="Sem TR"/>
    <n v="64815768"/>
    <s v="ZRDI"/>
    <n v="10149132"/>
    <s v="D18"/>
    <s v="DEV D2C - Arrependimento não quero mais"/>
    <s v="COMERCIAL"/>
    <x v="1"/>
    <n v="58172599"/>
    <x v="403"/>
    <s v="SP"/>
    <n v="478"/>
    <s v="Corporativo"/>
    <n v="1352"/>
    <n v="326076501"/>
    <s v="Transformadores"/>
    <x v="1"/>
    <n v="1000"/>
    <n v="5002359"/>
    <s v="EMPRESA BRASILEIRA DE CORREIOS E"/>
    <n v="307.36"/>
    <d v="2025-07-29T00:00:00"/>
  </r>
  <r>
    <n v="254035434"/>
    <n v="64812325"/>
    <s v="REB"/>
    <n v="10100221"/>
    <n v="173"/>
    <s v="PEÇAS - Defeito de fabric./Alta Amperage"/>
    <s v="FUNCIONAL"/>
    <x v="1"/>
    <n v="80833"/>
    <x v="132"/>
    <s v="PR"/>
    <n v="644"/>
    <s v="Plus"/>
    <n v="1350"/>
    <s v="W11435390"/>
    <s v="Placas de Controle"/>
    <x v="1"/>
    <n v="1000"/>
    <n v="5003024"/>
    <s v="RODOBRAS TRANSPORTES RODOVIARIOS LT"/>
    <n v="307.35000000000002"/>
    <d v="2025-07-17T00:00:00"/>
  </r>
  <r>
    <n v="253952477"/>
    <n v="64729052"/>
    <s v="REB"/>
    <n v="9116244"/>
    <n v="178"/>
    <s v="PEÇAS -Defeito de fabric./Sem Compressã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307.31"/>
    <d v="2025-03-10T00:00:00"/>
  </r>
  <r>
    <n v="253850160"/>
    <n v="64622969"/>
    <s v="REB"/>
    <n v="9116244"/>
    <n v="178"/>
    <s v="PEÇAS -Defeito de fabric./Sem Compressã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307.31"/>
    <d v="2024-10-07T00:00:00"/>
  </r>
  <r>
    <n v="254033280"/>
    <n v="64807210"/>
    <s v="REB"/>
    <n v="9876860"/>
    <n v="173"/>
    <s v="PEÇAS - Defeito de fabric./Alta Amperage"/>
    <s v="FUNCIONAL"/>
    <x v="1"/>
    <n v="13747"/>
    <x v="14"/>
    <s v="RS"/>
    <n v="713"/>
    <s v="Key Account"/>
    <n v="1350"/>
    <s v="W11593723"/>
    <s v="Placas de Controle"/>
    <x v="1"/>
    <n v="1000"/>
    <n v="5003024"/>
    <s v="RODOBRAS TRANSPORTES RODOVIARIOS LT"/>
    <n v="307.14999999999998"/>
    <d v="2025-07-08T00:00:00"/>
  </r>
  <r>
    <n v="254012475"/>
    <n v="64789506"/>
    <s v="REB"/>
    <n v="10029983"/>
    <n v="178"/>
    <s v="PEÇAS -Defeito de fabric./Sem Compressão"/>
    <s v="FUNCIONAL"/>
    <x v="2"/>
    <n v="18949"/>
    <x v="264"/>
    <s v="SP"/>
    <n v="933"/>
    <s v="Top"/>
    <n v="1350"/>
    <s v="W11647662"/>
    <s v="Compressores Herméticos"/>
    <x v="0"/>
    <n v="1000"/>
    <n v="5004042"/>
    <s v="BRASIL WEB TRANSPORTES E LOGISTICA"/>
    <n v="306.81"/>
    <d v="2025-06-10T00:00:00"/>
  </r>
  <r>
    <n v="253853840"/>
    <n v="64625045"/>
    <s v="REB"/>
    <n v="9612054"/>
    <n v="173"/>
    <s v="PEÇAS - Defeito de fabric./Alta Amperage"/>
    <s v="FUNCIONAL"/>
    <x v="1"/>
    <n v="3236"/>
    <x v="45"/>
    <s v="SP"/>
    <n v="931"/>
    <s v="Ats Off"/>
    <n v="1350"/>
    <s v="W11228626"/>
    <s v="Placas de Interface"/>
    <x v="1"/>
    <n v="1000"/>
    <n v="5003254"/>
    <s v="TMA TRANSPORTE LOTACAO E LOGISTICA"/>
    <n v="306.77999999999997"/>
    <d v="2024-10-11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518617"/>
    <s v="Atuadores"/>
    <x v="2"/>
    <n v="10000"/>
    <n v="5004101"/>
    <s v="UNIDOCK'S ASSESSORIA E LOGISTICA DE"/>
    <n v="306.61"/>
    <d v="2025-03-11T00:00:00"/>
  </r>
  <r>
    <n v="254042067"/>
    <n v="64795385"/>
    <s v="REB"/>
    <n v="10004699"/>
    <n v="176"/>
    <s v="PEÇAS - Defeito de fabric./Interrompido"/>
    <s v="FUNCIONAL"/>
    <x v="0"/>
    <n v="14474"/>
    <x v="25"/>
    <s v="RN"/>
    <n v="648"/>
    <s v="Ultra"/>
    <n v="1350"/>
    <s v="W11435392"/>
    <s v="Placas de Controle"/>
    <x v="1"/>
    <n v="1000"/>
    <n v="5004101"/>
    <s v="UNIDOCK'S ASSESSORIA E LOGISTICA DE"/>
    <n v="306.56"/>
    <d v="2025-06-23T00:00:00"/>
  </r>
  <r>
    <n v="253940769"/>
    <n v="64709091"/>
    <s v="REB"/>
    <n v="9853501"/>
    <n v="671"/>
    <s v="DEV-ENVIADO PARA GESTÃO DE CONSEQUENCIA"/>
    <s v="TRANSPORTADORA"/>
    <x v="1"/>
    <n v="89219"/>
    <x v="404"/>
    <s v="SP"/>
    <n v="350"/>
    <s v="Ats On"/>
    <n v="1350"/>
    <s v="W11550422"/>
    <s v="Placas de Controle"/>
    <x v="1"/>
    <n v="1000"/>
    <n v="5004042"/>
    <s v="BRASIL WEB TRANSPORTES E LOGISTICA"/>
    <n v="306.48"/>
    <d v="2025-02-19T00:00:00"/>
  </r>
  <r>
    <n v="253922548"/>
    <n v="64694758"/>
    <s v="REB"/>
    <n v="7763032"/>
    <n v="671"/>
    <s v="DEV-ENVIADO PARA GESTÃO DE CONSEQUENCIA"/>
    <s v="TRANSPORTADORA"/>
    <x v="1"/>
    <n v="34532"/>
    <x v="220"/>
    <s v="SC"/>
    <n v="350"/>
    <s v="Ats On"/>
    <n v="1350"/>
    <s v="W10393809"/>
    <s v="Compressores Herméticos"/>
    <x v="0"/>
    <n v="1000"/>
    <n v="5003024"/>
    <s v="RODOBRAS TRANSPORTES RODOVIARIOS LT"/>
    <n v="306.35000000000002"/>
    <d v="2025-01-20T00:00:00"/>
  </r>
  <r>
    <n v="253970784"/>
    <n v="64737908"/>
    <s v="REB"/>
    <n v="9954567"/>
    <n v="173"/>
    <s v="PEÇAS - Defeito de fabric./Alta Amperage"/>
    <s v="FUNCIONAL"/>
    <x v="2"/>
    <n v="31587"/>
    <x v="135"/>
    <s v="SP"/>
    <n v="643"/>
    <s v="Elite"/>
    <n v="1350"/>
    <s v="W10591460"/>
    <s v="Placas de Controle"/>
    <x v="1"/>
    <n v="1000"/>
    <n v="5004042"/>
    <s v="BRASIL WEB TRANSPORTES E LOGISTICA"/>
    <n v="305.99"/>
    <d v="2025-04-09T00:00:00"/>
  </r>
  <r>
    <n v="253995098"/>
    <n v="64771165"/>
    <s v="REB"/>
    <n v="9731490"/>
    <n v="173"/>
    <s v="PEÇAS - Defeito de fabric./Alta Amperage"/>
    <s v="FUNCIONAL"/>
    <x v="1"/>
    <n v="21594"/>
    <x v="97"/>
    <s v="SP"/>
    <n v="931"/>
    <s v="Ats Off"/>
    <n v="1350"/>
    <s v="W11647660"/>
    <s v="Compressores Herméticos"/>
    <x v="0"/>
    <n v="1000"/>
    <n v="5004042"/>
    <s v="BRASIL WEB TRANSPORTES E LOGISTICA"/>
    <n v="305.95"/>
    <d v="2025-05-15T00:00:00"/>
  </r>
  <r>
    <n v="254012612"/>
    <n v="64789442"/>
    <s v="REB"/>
    <n v="9647862"/>
    <n v="173"/>
    <s v="PEÇAS - Defeito de fabric./Alta Amperage"/>
    <s v="FUNCIONAL"/>
    <x v="1"/>
    <n v="73003"/>
    <x v="294"/>
    <s v="SC"/>
    <n v="931"/>
    <s v="Ats Off"/>
    <n v="1350"/>
    <s v="W11435400"/>
    <s v="Placas de Controle"/>
    <x v="1"/>
    <n v="1000"/>
    <n v="5003024"/>
    <s v="RODOBRAS TRANSPORTES RODOVIARIOS LT"/>
    <n v="305.92"/>
    <d v="2025-06-10T00:00:00"/>
  </r>
  <r>
    <n v="254007556"/>
    <n v="64783568"/>
    <s v="REB"/>
    <n v="9692360"/>
    <n v="173"/>
    <s v="PEÇAS - Defeito de fabric./Alta Amperage"/>
    <s v="FUNCIONAL"/>
    <x v="1"/>
    <n v="27253"/>
    <x v="167"/>
    <s v="PI"/>
    <n v="931"/>
    <s v="Ats Off"/>
    <n v="1350"/>
    <s v="W11677209"/>
    <s v="Compressores Herméticos"/>
    <x v="0"/>
    <n v="1000"/>
    <n v="5004101"/>
    <s v="UNIDOCK'S ASSESSORIA E LOGISTICA DE"/>
    <n v="305.58"/>
    <d v="2025-06-02T00:00:00"/>
  </r>
  <r>
    <s v="Sem TR"/>
    <n v="64798852"/>
    <s v="ZRDI"/>
    <n v="10097770"/>
    <s v="D31"/>
    <s v="DEV D2C - Defeito estético manufatura"/>
    <s v="MANUFATURA"/>
    <x v="2"/>
    <n v="51022383"/>
    <x v="405"/>
    <s v="RS"/>
    <n v="474"/>
    <s v="Site Brastemp"/>
    <n v="1352"/>
    <s v="W10616737"/>
    <s v="Gavetas"/>
    <x v="9"/>
    <n v="1000"/>
    <n v="5002359"/>
    <s v="EMPRESA BRASILEIRA DE CORREIOS E"/>
    <n v="305.45999999999998"/>
    <d v="2025-07-01T00:00:00"/>
  </r>
  <r>
    <n v="253983923"/>
    <n v="64759471"/>
    <s v="REB"/>
    <n v="9974281"/>
    <n v="173"/>
    <s v="PEÇAS - Defeito de fabric./Alta Amperage"/>
    <s v="FUNCIONAL"/>
    <x v="1"/>
    <n v="40923"/>
    <x v="406"/>
    <s v="RS"/>
    <n v="932"/>
    <s v="CDP Prata"/>
    <n v="1350"/>
    <s v="W11161217"/>
    <s v="Placas de Controle"/>
    <x v="1"/>
    <n v="1000"/>
    <n v="5003024"/>
    <s v="RODOBRAS TRANSPORTES RODOVIARIOS LT"/>
    <n v="305.07"/>
    <d v="2025-04-28T00:00:00"/>
  </r>
  <r>
    <n v="253953750"/>
    <n v="64731127"/>
    <s v="REB"/>
    <n v="9859236"/>
    <n v="671"/>
    <s v="DEV-ENVIADO PARA GESTÃO DE CONSEQUENCIA"/>
    <s v="TRANSPORTADORA"/>
    <x v="1"/>
    <n v="8192"/>
    <x v="118"/>
    <s v="PR"/>
    <n v="933"/>
    <s v="Top"/>
    <n v="1350"/>
    <s v="W10351342"/>
    <s v="Ice Maker"/>
    <x v="7"/>
    <n v="1000"/>
    <n v="5003024"/>
    <s v="RODOBRAS TRANSPORTES RODOVIARIOS LT"/>
    <n v="304.95"/>
    <d v="2025-03-14T00:00:00"/>
  </r>
  <r>
    <n v="254038377"/>
    <n v="64809233"/>
    <s v="REB"/>
    <n v="9747374"/>
    <n v="178"/>
    <s v="PEÇAS -Defeito de fabric./Sem Compressão"/>
    <s v="FUNCIONAL"/>
    <x v="0"/>
    <n v="50822"/>
    <x v="40"/>
    <s v="AL"/>
    <n v="644"/>
    <s v="Plus"/>
    <n v="1350"/>
    <s v="W10799397"/>
    <s v="Compressores Herméticos"/>
    <x v="0"/>
    <n v="1000"/>
    <n v="5004101"/>
    <s v="UNIDOCK'S ASSESSORIA E LOGISTICA DE"/>
    <n v="304.89999999999998"/>
    <d v="2025-07-22T00:00:00"/>
  </r>
  <r>
    <n v="254035386"/>
    <n v="64812320"/>
    <s v="REB"/>
    <n v="9747374"/>
    <n v="178"/>
    <s v="PEÇAS -Defeito de fabric./Sem Compressão"/>
    <s v="FUNCIONAL"/>
    <x v="0"/>
    <n v="50822"/>
    <x v="40"/>
    <s v="AL"/>
    <n v="644"/>
    <s v="Plus"/>
    <n v="1350"/>
    <s v="W10799397"/>
    <s v="Compressores Herméticos"/>
    <x v="0"/>
    <n v="1000"/>
    <n v="5004101"/>
    <s v="UNIDOCK'S ASSESSORIA E LOGISTICA DE"/>
    <n v="304.89999999999998"/>
    <d v="2025-07-17T00:00:00"/>
  </r>
  <r>
    <n v="253983938"/>
    <n v="64759585"/>
    <s v="REB"/>
    <n v="9997809"/>
    <n v="90"/>
    <s v="CLIENTE-não solicitou"/>
    <s v="COMERCIAL"/>
    <x v="1"/>
    <n v="55093"/>
    <x v="231"/>
    <s v="SP"/>
    <n v="648"/>
    <s v="Ultra"/>
    <n v="1350"/>
    <s v="W11387305"/>
    <s v="Gases Refrigerantes"/>
    <x v="0"/>
    <n v="2000"/>
    <n v="5004042"/>
    <s v="BRASIL WEB TRANSPORTES E LOGISTICA"/>
    <n v="304.83999999999997"/>
    <d v="2025-04-28T00:00:00"/>
  </r>
  <r>
    <n v="253970678"/>
    <n v="64748469"/>
    <s v="REB"/>
    <n v="9803004"/>
    <n v="178"/>
    <s v="PEÇAS -Defeito de fabric./Sem Compressão"/>
    <s v="FUNCIONAL"/>
    <x v="1"/>
    <n v="1255"/>
    <x v="254"/>
    <s v="CE"/>
    <n v="931"/>
    <s v="Ats Off"/>
    <n v="1350"/>
    <s v="W11647662"/>
    <s v="Compressores Herméticos"/>
    <x v="0"/>
    <n v="1000"/>
    <n v="5004101"/>
    <s v="UNIDOCK'S ASSESSORIA E LOGISTICA DE"/>
    <n v="304.76"/>
    <d v="2025-04-09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160655"/>
    <s v="Placas de Interface"/>
    <x v="1"/>
    <n v="3000"/>
    <n v="5004101"/>
    <s v="UNIDOCK'S ASSESSORIA E LOGISTICA DE"/>
    <n v="304.58999999999997"/>
    <d v="2025-06-24T00:00:00"/>
  </r>
  <r>
    <s v="Sem TR"/>
    <n v="64805797"/>
    <s v="ZRDI"/>
    <n v="10127818"/>
    <s v="D10"/>
    <s v="DEV D2C - Comprou modelo errado"/>
    <s v="COMERCIAL"/>
    <x v="2"/>
    <n v="58143070"/>
    <x v="407"/>
    <s v="SC"/>
    <n v="474"/>
    <s v="Site Brastemp"/>
    <n v="1352"/>
    <s v="W11195523"/>
    <s v="Motores"/>
    <x v="1"/>
    <n v="1000"/>
    <n v="5002359"/>
    <s v="EMPRESA BRASILEIRA DE CORREIOS E"/>
    <n v="304.35000000000002"/>
    <d v="2025-07-22T00:00:00"/>
  </r>
  <r>
    <s v="Sem TR"/>
    <n v="64805797"/>
    <s v="ZRDI"/>
    <n v="10127818"/>
    <s v="D10"/>
    <s v="DEV D2C - Comprou modelo errado"/>
    <s v="COMERCIAL"/>
    <x v="2"/>
    <n v="58143070"/>
    <x v="407"/>
    <s v="SC"/>
    <n v="474"/>
    <s v="Site Brastemp"/>
    <n v="1352"/>
    <s v="W11195523"/>
    <s v="Motores"/>
    <x v="1"/>
    <n v="1000"/>
    <n v="5002359"/>
    <s v="EMPRESA BRASILEIRA DE CORREIOS E"/>
    <n v="304.35000000000002"/>
    <d v="2025-07-22T00:00:00"/>
  </r>
  <r>
    <s v="Sem TR"/>
    <n v="64817382"/>
    <s v="REB"/>
    <n v="10000146"/>
    <n v="173"/>
    <s v="PEÇAS - Defeito de fabric./Alta Amperage"/>
    <s v="FUNCIONAL"/>
    <x v="1"/>
    <n v="4167"/>
    <x v="63"/>
    <s v="SP"/>
    <n v="931"/>
    <s v="Ats Off"/>
    <n v="1350"/>
    <s v="W11199201"/>
    <s v="Placas de Controle"/>
    <x v="1"/>
    <n v="1000"/>
    <n v="5004042"/>
    <s v="BRASIL WEB TRANSPORTES E LOGISTICA"/>
    <n v="304.31"/>
    <d v="2025-07-25T00:00:00"/>
  </r>
  <r>
    <n v="253988784"/>
    <n v="64763791"/>
    <s v="REB"/>
    <n v="9994795"/>
    <n v="176"/>
    <s v="PEÇAS - Defeito de fabric./Interrompido"/>
    <s v="FUNCIONAL"/>
    <x v="1"/>
    <n v="3506"/>
    <x v="46"/>
    <s v="SP"/>
    <n v="931"/>
    <s v="Ats Off"/>
    <n v="1350"/>
    <s v="W11199201"/>
    <s v="Placas de Controle"/>
    <x v="1"/>
    <n v="1000"/>
    <n v="5004042"/>
    <s v="BRASIL WEB TRANSPORTES E LOGISTICA"/>
    <n v="304.31"/>
    <d v="2025-05-05T00:00:00"/>
  </r>
  <r>
    <n v="253995098"/>
    <n v="64771682"/>
    <s v="REB"/>
    <n v="10008058"/>
    <n v="173"/>
    <s v="PEÇAS - Defeito de fabric./Alta Amperage"/>
    <s v="FUNCIONAL"/>
    <x v="1"/>
    <n v="21594"/>
    <x v="97"/>
    <s v="SP"/>
    <n v="931"/>
    <s v="Ats Off"/>
    <n v="1350"/>
    <s v="W11199201"/>
    <s v="Placas de Controle"/>
    <x v="1"/>
    <n v="1000"/>
    <n v="5004042"/>
    <s v="BRASIL WEB TRANSPORTES E LOGISTICA"/>
    <n v="304.31"/>
    <d v="2025-05-16T00:00:00"/>
  </r>
  <r>
    <n v="253944077"/>
    <n v="64709673"/>
    <s v="REB"/>
    <n v="9852812"/>
    <n v="176"/>
    <s v="PEÇAS - Defeito de fabric./Interrompido"/>
    <s v="FUNCIONAL"/>
    <x v="1"/>
    <n v="83572"/>
    <x v="105"/>
    <s v="SP"/>
    <n v="931"/>
    <s v="Ats Off"/>
    <n v="1350"/>
    <s v="W10619170"/>
    <s v="Placas de Controle"/>
    <x v="1"/>
    <n v="1000"/>
    <n v="5004042"/>
    <s v="BRASIL WEB TRANSPORTES E LOGISTICA"/>
    <n v="303.85000000000002"/>
    <d v="2025-02-11T00:00:00"/>
  </r>
  <r>
    <n v="254012596"/>
    <n v="64789411"/>
    <s v="REB"/>
    <n v="10018018"/>
    <n v="173"/>
    <s v="PEÇAS - Defeito de fabric./Alta Amperage"/>
    <s v="FUNCIONAL"/>
    <x v="2"/>
    <n v="67948"/>
    <x v="15"/>
    <s v="SC"/>
    <n v="713"/>
    <s v="Key Account"/>
    <n v="1350"/>
    <s v="W11300675"/>
    <s v="Mecanismos"/>
    <x v="2"/>
    <n v="3000"/>
    <n v="5003024"/>
    <s v="RODOBRAS TRANSPORTES RODOVIARIOS LT"/>
    <n v="303.72000000000003"/>
    <d v="2025-06-10T00:00:00"/>
  </r>
  <r>
    <n v="254007606"/>
    <n v="64781011"/>
    <s v="REB"/>
    <n v="9320439"/>
    <n v="178"/>
    <s v="PEÇAS -Defeito de fabric./Sem Compressão"/>
    <s v="FUNCIONAL"/>
    <x v="2"/>
    <n v="69578"/>
    <x v="197"/>
    <s v="MG"/>
    <n v="933"/>
    <s v="Top"/>
    <n v="1350"/>
    <s v="W11647660"/>
    <s v="Compressores Herméticos"/>
    <x v="0"/>
    <n v="1000"/>
    <n v="5004215"/>
    <s v="BRASIL WEB TRANSPORTES E LOGISTICA"/>
    <n v="303.62"/>
    <d v="2025-06-02T00:00:00"/>
  </r>
  <r>
    <s v="Sem TR"/>
    <n v="64773227"/>
    <s v="REB"/>
    <n v="9731528"/>
    <n v="173"/>
    <s v="PEÇAS - Defeito de fabric./Alta Amperage"/>
    <s v="FUNCIONAL"/>
    <x v="1"/>
    <n v="4167"/>
    <x v="63"/>
    <s v="SP"/>
    <n v="931"/>
    <s v="Ats Off"/>
    <n v="1350"/>
    <s v="W11636257"/>
    <s v="Placas de Controle"/>
    <x v="1"/>
    <n v="1000"/>
    <n v="5004042"/>
    <s v="BRASIL WEB TRANSPORTES E LOGISTICA"/>
    <n v="303.5"/>
    <d v="2025-07-25T00:00:00"/>
  </r>
  <r>
    <n v="254033384"/>
    <n v="64798778"/>
    <s v="REB"/>
    <n v="10095483"/>
    <n v="176"/>
    <s v="PEÇAS - Defeito de fabric./Interrompido"/>
    <s v="FUNCIONAL"/>
    <x v="1"/>
    <n v="31063"/>
    <x v="308"/>
    <s v="RJ"/>
    <n v="644"/>
    <s v="Plus"/>
    <n v="1350"/>
    <s v="W11435390"/>
    <s v="Placas de Controle"/>
    <x v="1"/>
    <n v="1000"/>
    <n v="5003176"/>
    <s v="J C THEDIN TRANSPORTES LTDA"/>
    <n v="303.32"/>
    <d v="2025-07-08T00:00:00"/>
  </r>
  <r>
    <n v="254035399"/>
    <n v="64812549"/>
    <s v="REB"/>
    <n v="9919609"/>
    <n v="173"/>
    <s v="PEÇAS - Defeito de fabric./Alta Amperage"/>
    <s v="FUNCIONAL"/>
    <x v="0"/>
    <n v="61263"/>
    <x v="18"/>
    <s v="CE"/>
    <n v="648"/>
    <s v="Ultra"/>
    <n v="1350"/>
    <s v="W11435400"/>
    <s v="Placas de Controle"/>
    <x v="1"/>
    <n v="1000"/>
    <n v="5004101"/>
    <s v="UNIDOCK'S ASSESSORIA E LOGISTICA DE"/>
    <n v="303.26"/>
    <d v="2025-07-17T00:00:00"/>
  </r>
  <r>
    <n v="254033340"/>
    <n v="64799712"/>
    <s v="REB"/>
    <n v="10002152"/>
    <n v="178"/>
    <s v="PEÇAS -Defeito de fabric./Sem Compressão"/>
    <s v="FUNCIONAL"/>
    <x v="0"/>
    <n v="27874"/>
    <x v="237"/>
    <s v="RS"/>
    <n v="641"/>
    <s v="CDP Diamante"/>
    <n v="1350"/>
    <s v="W11677209"/>
    <s v="Compressores Herméticos"/>
    <x v="0"/>
    <n v="1000"/>
    <n v="5003024"/>
    <s v="RODOBRAS TRANSPORTES RODOVIARIOS LT"/>
    <n v="303"/>
    <d v="2025-07-01T00:00:00"/>
  </r>
  <r>
    <n v="253918568"/>
    <n v="64691701"/>
    <s v="REB"/>
    <n v="9264412"/>
    <n v="173"/>
    <s v="PEÇAS - Defeito de fabric./Alta Amperage"/>
    <s v="FUNCIONAL"/>
    <x v="1"/>
    <n v="30345"/>
    <x v="330"/>
    <s v="SP"/>
    <n v="644"/>
    <s v="Plus"/>
    <n v="1350"/>
    <s v="W10711361"/>
    <s v="Placas de Interface"/>
    <x v="1"/>
    <n v="1000"/>
    <n v="5003482"/>
    <s v="TMA TRANSPORTE LOTACAO E LOGISTICA"/>
    <n v="302.94"/>
    <d v="2025-01-15T00:00:00"/>
  </r>
  <r>
    <n v="254007613"/>
    <n v="64783259"/>
    <s v="REB"/>
    <n v="9857739"/>
    <n v="176"/>
    <s v="PEÇAS - Defeito de fabric./Interrompido"/>
    <s v="FUNCIONAL"/>
    <x v="1"/>
    <n v="76269"/>
    <x v="305"/>
    <s v="SC"/>
    <n v="931"/>
    <s v="Ats Off"/>
    <n v="1350"/>
    <s v="W11647662"/>
    <s v="Compressores Herméticos"/>
    <x v="0"/>
    <n v="1000"/>
    <n v="5003024"/>
    <s v="RODOBRAS TRANSPORTES RODOVIARIOS LT"/>
    <n v="302.82"/>
    <d v="2025-06-02T00:00:00"/>
  </r>
  <r>
    <n v="253995149"/>
    <n v="64772211"/>
    <s v="REB"/>
    <n v="9975041"/>
    <n v="173"/>
    <s v="PEÇAS - Defeito de fabric./Alta Amperage"/>
    <s v="FUNCIONAL"/>
    <x v="2"/>
    <n v="31587"/>
    <x v="135"/>
    <s v="SP"/>
    <n v="643"/>
    <s v="Elite"/>
    <n v="1350"/>
    <s v="W11199201"/>
    <s v="Placas de Controle"/>
    <x v="1"/>
    <n v="1000"/>
    <n v="5004042"/>
    <s v="BRASIL WEB TRANSPORTES E LOGISTICA"/>
    <n v="302.68"/>
    <d v="2025-05-16T00:00:00"/>
  </r>
  <r>
    <n v="253952241"/>
    <n v="64728675"/>
    <s v="REB"/>
    <n v="9460970"/>
    <n v="176"/>
    <s v="PEÇAS - Defeito de fabric./Interrompido"/>
    <s v="FUNCIONAL"/>
    <x v="1"/>
    <n v="29706"/>
    <x v="149"/>
    <s v="RN"/>
    <n v="644"/>
    <s v="Plus"/>
    <n v="1350"/>
    <s v="W11485343"/>
    <s v="Placas de Controle"/>
    <x v="1"/>
    <n v="1000"/>
    <n v="5004101"/>
    <s v="UNIDOCK'S ASSESSORIA E LOGISTICA DE"/>
    <n v="302.66000000000003"/>
    <d v="2025-03-10T00:00:00"/>
  </r>
  <r>
    <n v="253988945"/>
    <n v="64764283"/>
    <s v="REB"/>
    <n v="9986086"/>
    <n v="173"/>
    <s v="PEÇAS - Defeito de fabric./Alta Amperage"/>
    <s v="FUNCIONAL"/>
    <x v="1"/>
    <n v="85461"/>
    <x v="180"/>
    <s v="MG"/>
    <n v="641"/>
    <s v="CDP Diamante"/>
    <n v="1350"/>
    <s v="W11161217"/>
    <s v="Placas de Controle"/>
    <x v="1"/>
    <n v="1000"/>
    <n v="5004215"/>
    <s v="BRASIL WEB TRANSPORTES E LOGISTICA"/>
    <n v="302.64999999999998"/>
    <d v="2025-05-05T00:00:00"/>
  </r>
  <r>
    <s v="Sem TR"/>
    <n v="64814882"/>
    <s v="REB"/>
    <n v="10036579"/>
    <n v="173"/>
    <s v="PEÇAS - Defeito de fabric./Alta Amperage"/>
    <s v="FUNCIONAL"/>
    <x v="1"/>
    <n v="64683"/>
    <x v="56"/>
    <s v="RS"/>
    <n v="648"/>
    <s v="Ultra"/>
    <n v="1350"/>
    <s v="W11741179"/>
    <s v="Outros"/>
    <x v="7"/>
    <n v="1000"/>
    <n v="5003024"/>
    <s v="RODOBRAS TRANSPORTES RODOVIARIOS LT"/>
    <n v="302.61"/>
    <d v="2025-07-22T00:00:00"/>
  </r>
  <r>
    <n v="253995209"/>
    <n v="64769788"/>
    <s v="REB"/>
    <n v="9994076"/>
    <n v="173"/>
    <s v="PEÇAS - Defeito de fabric./Alta Amperage"/>
    <s v="FUNCIONAL"/>
    <x v="2"/>
    <n v="64683"/>
    <x v="56"/>
    <s v="RS"/>
    <n v="648"/>
    <s v="Ultra"/>
    <n v="1350"/>
    <s v="W11741179"/>
    <s v="Outros"/>
    <x v="7"/>
    <n v="1000"/>
    <n v="5003024"/>
    <s v="RODOBRAS TRANSPORTES RODOVIARIOS LT"/>
    <n v="302.61"/>
    <d v="2025-05-16T00:00:00"/>
  </r>
  <r>
    <n v="253995208"/>
    <n v="64772409"/>
    <s v="REB"/>
    <n v="9994076"/>
    <n v="173"/>
    <s v="PEÇAS - Defeito de fabric./Alta Amperage"/>
    <s v="FUNCIONAL"/>
    <x v="2"/>
    <n v="64683"/>
    <x v="56"/>
    <s v="RS"/>
    <n v="648"/>
    <s v="Ultra"/>
    <n v="1350"/>
    <s v="W11741179"/>
    <s v="Outros"/>
    <x v="7"/>
    <n v="1000"/>
    <n v="5003024"/>
    <s v="RODOBRAS TRANSPORTES RODOVIARIOS LT"/>
    <n v="302.61"/>
    <d v="2025-05-16T00:00:00"/>
  </r>
  <r>
    <n v="253995210"/>
    <n v="64772434"/>
    <s v="REB"/>
    <n v="9994076"/>
    <n v="173"/>
    <s v="PEÇAS - Defeito de fabric./Alta Amperage"/>
    <s v="FUNCIONAL"/>
    <x v="2"/>
    <n v="64683"/>
    <x v="56"/>
    <s v="RS"/>
    <n v="648"/>
    <s v="Ultra"/>
    <n v="1350"/>
    <s v="W11741179"/>
    <s v="Outros"/>
    <x v="7"/>
    <n v="1000"/>
    <n v="5003024"/>
    <s v="RODOBRAS TRANSPORTES RODOVIARIOS LT"/>
    <n v="302.61"/>
    <d v="2025-05-16T00:00:00"/>
  </r>
  <r>
    <n v="254033338"/>
    <n v="64807092"/>
    <s v="REB"/>
    <n v="9480704"/>
    <n v="173"/>
    <s v="PEÇAS - Defeito de fabric./Alta Amperage"/>
    <s v="FUNCIONAL"/>
    <x v="1"/>
    <n v="27770"/>
    <x v="37"/>
    <s v="AL"/>
    <n v="641"/>
    <s v="CDP Diamante"/>
    <n v="1350"/>
    <s v="W11458016"/>
    <s v="Placas de Controle"/>
    <x v="1"/>
    <n v="1000"/>
    <n v="5004101"/>
    <s v="UNIDOCK'S ASSESSORIA E LOGISTICA DE"/>
    <n v="302.58999999999997"/>
    <d v="2025-07-08T00:00:00"/>
  </r>
  <r>
    <s v="Sem TR"/>
    <n v="64768432"/>
    <s v="ROB"/>
    <n v="50608"/>
    <n v="25"/>
    <s v="OC. 80 - EXTRAVIO TOTAL"/>
    <s v="TRANSPORTADORA"/>
    <x v="2"/>
    <n v="90230"/>
    <x v="408"/>
    <s v="BA"/>
    <n v="932"/>
    <s v="CDP Prata"/>
    <n v="1550"/>
    <s v="W10678919"/>
    <s v="Placas de Controle"/>
    <x v="1"/>
    <n v="4000"/>
    <n v="5004391"/>
    <s v="JEONCEL TRANSPORTES LTDA"/>
    <n v="302.47000000000003"/>
    <d v="2025-05-12T00:00:00"/>
  </r>
  <r>
    <n v="254003948"/>
    <n v="64778390"/>
    <s v="REB"/>
    <n v="9912660"/>
    <n v="173"/>
    <s v="PEÇAS - Defeito de fabric./Alta Amperage"/>
    <s v="FUNCIONAL"/>
    <x v="1"/>
    <n v="30990"/>
    <x v="26"/>
    <s v="ES"/>
    <n v="713"/>
    <s v="Key Account"/>
    <n v="1350"/>
    <s v="W10882241"/>
    <s v="Agitadores"/>
    <x v="2"/>
    <n v="10000"/>
    <n v="5004042"/>
    <s v="BRASIL WEB TRANSPORTES E LOGISTICA"/>
    <n v="302.27999999999997"/>
    <d v="2025-05-26T00:00:00"/>
  </r>
  <r>
    <s v="Sem TR"/>
    <n v="64804510"/>
    <s v="REB"/>
    <n v="10096281"/>
    <n v="509"/>
    <s v="Qtd de peças a Menor dentro do Volume"/>
    <s v="LOGÍSTICA"/>
    <x v="1"/>
    <n v="85461"/>
    <x v="180"/>
    <s v="MG"/>
    <n v="641"/>
    <s v="CDP Diamante"/>
    <n v="1350"/>
    <s v="W11391012"/>
    <s v="Placas de Controle"/>
    <x v="1"/>
    <n v="1000"/>
    <n v="5002359"/>
    <s v="EMPRESA BRASILEIRA DE CORREIOS E"/>
    <n v="302.02"/>
    <d v="2025-07-08T00:00:00"/>
  </r>
  <r>
    <n v="253995095"/>
    <n v="64771831"/>
    <s v="REB"/>
    <n v="9157302"/>
    <n v="173"/>
    <s v="PEÇAS - Defeito de fabric./Alta Amperage"/>
    <s v="FUNCIONAL"/>
    <x v="2"/>
    <n v="21295"/>
    <x v="2"/>
    <s v="SP"/>
    <n v="648"/>
    <s v="Ultra"/>
    <n v="1350"/>
    <s v="W10882241"/>
    <s v="Agitadores"/>
    <x v="2"/>
    <n v="5000"/>
    <n v="5004042"/>
    <s v="BRASIL WEB TRANSPORTES E LOGISTICA"/>
    <n v="302.01"/>
    <d v="2025-05-16T00:00:00"/>
  </r>
  <r>
    <n v="254003893"/>
    <n v="64778317"/>
    <s v="REB"/>
    <n v="10020377"/>
    <n v="173"/>
    <s v="PEÇAS - Defeito de fabric./Alta Amperage"/>
    <s v="FUNCIONAL"/>
    <x v="2"/>
    <n v="21594"/>
    <x v="97"/>
    <s v="SP"/>
    <n v="931"/>
    <s v="Ats Off"/>
    <n v="1350"/>
    <n v="326076094"/>
    <s v="Outros"/>
    <x v="7"/>
    <n v="1000"/>
    <n v="5004042"/>
    <s v="BRASIL WEB TRANSPORTES E LOGISTICA"/>
    <n v="301.82"/>
    <d v="2025-05-26T00:00:00"/>
  </r>
  <r>
    <n v="253913184"/>
    <n v="64682732"/>
    <s v="REB"/>
    <n v="9302694"/>
    <n v="178"/>
    <s v="PEÇAS -Defeito de fabric./Sem Compressão"/>
    <s v="FUNCIONAL"/>
    <x v="1"/>
    <n v="75929"/>
    <x v="409"/>
    <s v="SE"/>
    <n v="933"/>
    <s v="Top"/>
    <n v="1350"/>
    <s v="W11647660"/>
    <s v="Compressores Herméticos"/>
    <x v="0"/>
    <n v="1000"/>
    <n v="5004101"/>
    <s v="UNIDOCK'S ASSESSORIA E LOGISTICA DE"/>
    <n v="301.73"/>
    <d v="2025-01-06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606115"/>
    <s v="Polias/Roldanas"/>
    <x v="2"/>
    <n v="20000"/>
    <n v="5004042"/>
    <s v="BRASIL WEB TRANSPORTES E LOGISTICA"/>
    <n v="301.62"/>
    <d v="2025-07-08T00:00:00"/>
  </r>
  <r>
    <n v="253988918"/>
    <n v="64764479"/>
    <s v="REB"/>
    <n v="9418502"/>
    <n v="173"/>
    <s v="PEÇAS - Defeito de fabric./Alta Amperage"/>
    <s v="FUNCIONAL"/>
    <x v="1"/>
    <n v="73050"/>
    <x v="410"/>
    <s v="PE"/>
    <n v="350"/>
    <s v="Ats On"/>
    <n v="1350"/>
    <s v="W10799397"/>
    <s v="Compressores Herméticos"/>
    <x v="0"/>
    <n v="1000"/>
    <n v="5004101"/>
    <s v="UNIDOCK'S ASSESSORIA E LOGISTICA DE"/>
    <n v="301.36"/>
    <d v="2025-05-05T00:00:00"/>
  </r>
  <r>
    <n v="253952273"/>
    <n v="64729276"/>
    <s v="REB"/>
    <n v="9808510"/>
    <n v="173"/>
    <s v="PEÇAS - Defeito de fabric./Alta Amperage"/>
    <s v="FUNCIONAL"/>
    <x v="2"/>
    <n v="31587"/>
    <x v="135"/>
    <s v="SP"/>
    <n v="643"/>
    <s v="Elite"/>
    <n v="1350"/>
    <s v="W10351342"/>
    <s v="Ice Maker"/>
    <x v="7"/>
    <n v="1000"/>
    <n v="5004042"/>
    <s v="BRASIL WEB TRANSPORTES E LOGISTICA"/>
    <n v="301.33"/>
    <d v="2025-03-10T00:00:00"/>
  </r>
  <r>
    <n v="253998004"/>
    <n v="64774079"/>
    <s v="REB"/>
    <n v="9400144"/>
    <n v="173"/>
    <s v="PEÇAS - Defeito de fabric./Alta Amperage"/>
    <s v="FUNCIONAL"/>
    <x v="2"/>
    <n v="71652"/>
    <x v="24"/>
    <s v="RJ"/>
    <n v="933"/>
    <s v="Top"/>
    <n v="1350"/>
    <s v="W11677208"/>
    <s v="Compressores Herméticos"/>
    <x v="0"/>
    <n v="1000"/>
    <n v="5003176"/>
    <s v="J C THEDIN TRANSPORTES LTDA"/>
    <n v="300.99"/>
    <d v="2025-05-20T00:00:00"/>
  </r>
  <r>
    <s v="Sem TR"/>
    <n v="64789383"/>
    <s v="ROB"/>
    <n v="10072369"/>
    <n v="311"/>
    <s v="DEV-PRODUTO TROCADO-LOGÍSTICA"/>
    <s v="LOGÍSTICA"/>
    <x v="1"/>
    <n v="66"/>
    <x v="73"/>
    <s v="GO"/>
    <n v="931"/>
    <s v="Ats Off"/>
    <n v="1350"/>
    <s v="W11625270"/>
    <s v="Isolantes"/>
    <x v="4"/>
    <n v="1000"/>
    <n v="5002858"/>
    <s v="FAVORITA TRANSPORTES LTDA"/>
    <n v="300.89"/>
    <d v="2025-06-11T00:00:00"/>
  </r>
  <r>
    <n v="254033316"/>
    <n v="64807357"/>
    <s v="REB"/>
    <n v="9966397"/>
    <n v="178"/>
    <s v="PEÇAS -Defeito de fabric./Sem Compressão"/>
    <s v="FUNCIONAL"/>
    <x v="0"/>
    <n v="22985"/>
    <x v="247"/>
    <s v="SC"/>
    <n v="641"/>
    <s v="CDP Diamante"/>
    <n v="1350"/>
    <s v="W11677209"/>
    <s v="Compressores Herméticos"/>
    <x v="0"/>
    <n v="1000"/>
    <n v="5003024"/>
    <s v="RODOBRAS TRANSPORTES RODOVIARIOS LT"/>
    <n v="300.83999999999997"/>
    <d v="2025-07-08T00:00:00"/>
  </r>
  <r>
    <s v="Sem TR"/>
    <n v="64814920"/>
    <s v="REB"/>
    <n v="10134712"/>
    <n v="176"/>
    <s v="PEÇAS - Defeito de fabric./Interrompido"/>
    <s v="FUNCIONAL"/>
    <x v="1"/>
    <n v="3524"/>
    <x v="93"/>
    <s v="SP"/>
    <n v="931"/>
    <s v="Ats Off"/>
    <n v="1350"/>
    <s v="W11745349"/>
    <s v="Outros"/>
    <x v="7"/>
    <n v="1000"/>
    <n v="5004042"/>
    <s v="BRASIL WEB TRANSPORTES E LOGISTICA"/>
    <n v="300.77999999999997"/>
    <d v="2025-07-22T00:00:00"/>
  </r>
  <r>
    <n v="253927007"/>
    <n v="64700479"/>
    <s v="REB"/>
    <n v="9750498"/>
    <n v="173"/>
    <s v="PEÇAS - Defeito de fabric./Alta Amperage"/>
    <s v="FUNCIONAL"/>
    <x v="2"/>
    <n v="67948"/>
    <x v="15"/>
    <s v="SC"/>
    <n v="713"/>
    <s v="Key Account"/>
    <n v="1350"/>
    <s v="W11435400"/>
    <s v="Placas de Controle"/>
    <x v="1"/>
    <n v="1000"/>
    <n v="5003024"/>
    <s v="RODOBRAS TRANSPORTES RODOVIARIOS LT"/>
    <n v="300.72000000000003"/>
    <d v="2025-01-27T00:00:00"/>
  </r>
  <r>
    <n v="253995149"/>
    <n v="64766581"/>
    <s v="REB"/>
    <n v="10008075"/>
    <n v="173"/>
    <s v="PEÇAS - Defeito de fabric./Alta Amperage"/>
    <s v="FUNCIONAL"/>
    <x v="2"/>
    <n v="31587"/>
    <x v="135"/>
    <s v="SP"/>
    <n v="643"/>
    <s v="Elite"/>
    <n v="1350"/>
    <s v="W10619169"/>
    <s v="Placas de Controle"/>
    <x v="1"/>
    <n v="1000"/>
    <n v="5004042"/>
    <s v="BRASIL WEB TRANSPORTES E LOGISTICA"/>
    <n v="300.72000000000003"/>
    <d v="2025-05-16T00:00:00"/>
  </r>
  <r>
    <n v="254038368"/>
    <n v="64814580"/>
    <s v="REB"/>
    <n v="10088167"/>
    <n v="176"/>
    <s v="PEÇAS - Defeito de fabric./Interrompido"/>
    <s v="FUNCIONAL"/>
    <x v="0"/>
    <n v="31587"/>
    <x v="135"/>
    <s v="SP"/>
    <n v="643"/>
    <s v="Elite"/>
    <n v="1350"/>
    <s v="W10619169"/>
    <s v="Placas de Controle"/>
    <x v="1"/>
    <n v="1000"/>
    <n v="5004042"/>
    <s v="BRASIL WEB TRANSPORTES E LOGISTICA"/>
    <n v="300.72000000000003"/>
    <d v="2025-07-22T00:00:00"/>
  </r>
  <r>
    <n v="253953761"/>
    <n v="64732074"/>
    <s v="REB"/>
    <n v="9777134"/>
    <n v="173"/>
    <s v="PEÇAS - Defeito de fabric./Alta Amperage"/>
    <s v="FUNCIONAL"/>
    <x v="1"/>
    <n v="21594"/>
    <x v="97"/>
    <s v="SP"/>
    <n v="931"/>
    <s v="Ats Off"/>
    <n v="1350"/>
    <s v="W11199201"/>
    <s v="Placas de Controle"/>
    <x v="1"/>
    <n v="1000"/>
    <n v="5004042"/>
    <s v="BRASIL WEB TRANSPORTES E LOGISTICA"/>
    <n v="300.69"/>
    <d v="2025-03-14T00:00:00"/>
  </r>
  <r>
    <n v="254018212"/>
    <n v="64786488"/>
    <s v="REB"/>
    <n v="9574066"/>
    <n v="173"/>
    <s v="PEÇAS - Defeito de fabric./Alta Amperage"/>
    <s v="FUNCIONAL"/>
    <x v="2"/>
    <n v="9991"/>
    <x v="86"/>
    <s v="DF"/>
    <n v="648"/>
    <s v="Ultra"/>
    <n v="1350"/>
    <s v="W11161217"/>
    <s v="Placas de Controle"/>
    <x v="1"/>
    <n v="1000"/>
    <n v="5002858"/>
    <s v="FAVORITA TRANSPORTES LTDA"/>
    <n v="300.61"/>
    <d v="2025-06-17T00:00:00"/>
  </r>
  <r>
    <s v="Sem TR"/>
    <n v="64802095"/>
    <s v="ZRDI"/>
    <n v="10086868"/>
    <s v="D10"/>
    <s v="DEV D2C - Comprou modelo errado"/>
    <s v="COMERCIAL"/>
    <x v="2"/>
    <n v="53543935"/>
    <x v="411"/>
    <s v="RN"/>
    <n v="474"/>
    <s v="Site Brastemp"/>
    <n v="1352"/>
    <s v="W10686100"/>
    <s v="Placas de Controle"/>
    <x v="1"/>
    <n v="1000"/>
    <n v="5002359"/>
    <s v="EMPRESA BRASILEIRA DE CORREIOS E"/>
    <n v="299.41000000000003"/>
    <d v="2025-07-03T00:00:00"/>
  </r>
  <r>
    <s v="Sem TR"/>
    <n v="64802095"/>
    <s v="ZRDI"/>
    <n v="10086868"/>
    <s v="D10"/>
    <s v="DEV D2C - Comprou modelo errado"/>
    <s v="COMERCIAL"/>
    <x v="2"/>
    <n v="53543935"/>
    <x v="411"/>
    <s v="RN"/>
    <n v="474"/>
    <s v="Site Brastemp"/>
    <n v="1352"/>
    <s v="W10686100"/>
    <s v="Placas de Controle"/>
    <x v="1"/>
    <n v="1000"/>
    <n v="5002359"/>
    <s v="EMPRESA BRASILEIRA DE CORREIOS E"/>
    <n v="299.41000000000003"/>
    <d v="2025-07-03T00:00:00"/>
  </r>
  <r>
    <s v="Sem TR"/>
    <n v="64812619"/>
    <s v="REB"/>
    <n v="10087188"/>
    <n v="176"/>
    <s v="PEÇAS - Defeito de fabric./Interrompido"/>
    <s v="FUNCIONAL"/>
    <x v="1"/>
    <n v="29731"/>
    <x v="14"/>
    <s v="RS"/>
    <n v="713"/>
    <s v="Key Account"/>
    <n v="1350"/>
    <s v="W11161217"/>
    <s v="Placas de Controle"/>
    <x v="1"/>
    <n v="1000"/>
    <n v="5003024"/>
    <s v="RODOBRAS TRANSPORTES RODOVIARIOS LT"/>
    <n v="299.33"/>
    <d v="2025-07-17T00:00:00"/>
  </r>
  <r>
    <n v="254042208"/>
    <n v="64792082"/>
    <s v="REB"/>
    <n v="9988834"/>
    <n v="176"/>
    <s v="PEÇAS - Defeito de fabric./Interrompido"/>
    <s v="FUNCIONAL"/>
    <x v="0"/>
    <n v="29731"/>
    <x v="14"/>
    <s v="RS"/>
    <n v="713"/>
    <s v="Key Account"/>
    <n v="1350"/>
    <s v="W11161217"/>
    <s v="Placas de Controle"/>
    <x v="1"/>
    <n v="1000"/>
    <n v="5003024"/>
    <s v="RODOBRAS TRANSPORTES RODOVIARIOS LT"/>
    <n v="299.33"/>
    <d v="2025-06-23T00:00:00"/>
  </r>
  <r>
    <n v="253915561"/>
    <n v="64687636"/>
    <s v="REB"/>
    <n v="9371144"/>
    <n v="173"/>
    <s v="PEÇAS - Defeito de fabric./Alta Amperage"/>
    <s v="FUNCIONAL"/>
    <x v="1"/>
    <n v="19750"/>
    <x v="165"/>
    <s v="RR"/>
    <n v="648"/>
    <s v="Ultra"/>
    <n v="1350"/>
    <s v="W10769941"/>
    <s v="Compressores Herméticos"/>
    <x v="0"/>
    <n v="1000"/>
    <n v="5002858"/>
    <s v="FAVORITA TRANSPORTES LTDA"/>
    <n v="299.20999999999998"/>
    <d v="2025-01-09T00:00:00"/>
  </r>
  <r>
    <n v="254018363"/>
    <n v="64793160"/>
    <s v="REB"/>
    <n v="9969705"/>
    <n v="173"/>
    <s v="PEÇAS - Defeito de fabric./Alta Amperage"/>
    <s v="FUNCIONAL"/>
    <x v="2"/>
    <n v="70149"/>
    <x v="147"/>
    <s v="SP"/>
    <n v="963"/>
    <s v="Ats Distribuidoras"/>
    <n v="1350"/>
    <s v="W10351342"/>
    <s v="Ice Maker"/>
    <x v="7"/>
    <n v="1000"/>
    <n v="5004042"/>
    <s v="BRASIL WEB TRANSPORTES E LOGISTICA"/>
    <n v="299.08"/>
    <d v="2025-06-17T00:00:00"/>
  </r>
  <r>
    <n v="253952273"/>
    <n v="64724062"/>
    <s v="REB"/>
    <n v="9620888"/>
    <n v="173"/>
    <s v="PEÇAS - Defeito de fabric./Alta Amperage"/>
    <s v="FUNCIONAL"/>
    <x v="1"/>
    <n v="31587"/>
    <x v="135"/>
    <s v="SP"/>
    <n v="643"/>
    <s v="Elite"/>
    <n v="1350"/>
    <s v="W11199201"/>
    <s v="Placas de Controle"/>
    <x v="1"/>
    <n v="1000"/>
    <n v="5004042"/>
    <s v="BRASIL WEB TRANSPORTES E LOGISTICA"/>
    <n v="299.06"/>
    <d v="2025-03-08T00:00:00"/>
  </r>
  <r>
    <n v="253872356"/>
    <n v="64641781"/>
    <s v="REB"/>
    <n v="9658281"/>
    <n v="173"/>
    <s v="PEÇAS - Defeito de fabric./Alta Amperage"/>
    <s v="FUNCIONAL"/>
    <x v="1"/>
    <n v="13757"/>
    <x v="14"/>
    <s v="SP"/>
    <n v="713"/>
    <s v="Key Account"/>
    <n v="1350"/>
    <s v="W10709306"/>
    <s v="Placas de Controle"/>
    <x v="1"/>
    <n v="2000"/>
    <n v="5003254"/>
    <s v="TMA TRANSPORTE LOTACAO E LOGISTICA"/>
    <n v="299.02"/>
    <d v="2024-11-11T00:00:00"/>
  </r>
  <r>
    <n v="253913119"/>
    <n v="64684561"/>
    <s v="REB"/>
    <n v="9342405"/>
    <n v="173"/>
    <s v="PEÇAS - Defeito de fabric./Alta Amperage"/>
    <s v="FUNCIONAL"/>
    <x v="1"/>
    <n v="30345"/>
    <x v="330"/>
    <s v="SP"/>
    <n v="644"/>
    <s v="Plus"/>
    <n v="1350"/>
    <s v="W10711361"/>
    <s v="Placas de Interface"/>
    <x v="1"/>
    <n v="1000"/>
    <n v="5003482"/>
    <s v="TMA TRANSPORTE LOTACAO E LOGISTICA"/>
    <n v="298.95"/>
    <d v="2025-01-06T00:00:00"/>
  </r>
  <r>
    <n v="254003951"/>
    <n v="64777870"/>
    <s v="REB"/>
    <n v="9999334"/>
    <n v="173"/>
    <s v="PEÇAS - Defeito de fabric./Alta Amperage"/>
    <s v="FUNCIONAL"/>
    <x v="1"/>
    <n v="31738"/>
    <x v="412"/>
    <s v="RN"/>
    <n v="933"/>
    <s v="Top"/>
    <n v="1350"/>
    <s v="W11435392"/>
    <s v="Placas de Controle"/>
    <x v="1"/>
    <n v="1000"/>
    <n v="5004101"/>
    <s v="UNIDOCK'S ASSESSORIA E LOGISTICA DE"/>
    <n v="298.74"/>
    <d v="2025-05-26T00:00:00"/>
  </r>
  <r>
    <n v="254018182"/>
    <n v="64792321"/>
    <s v="REB"/>
    <n v="10013764"/>
    <n v="178"/>
    <s v="PEÇAS -Defeito de fabric./Sem Compressão"/>
    <s v="FUNCIONAL"/>
    <x v="1"/>
    <n v="3580"/>
    <x v="413"/>
    <s v="SP"/>
    <n v="350"/>
    <s v="Ats On"/>
    <n v="1350"/>
    <s v="W11677208"/>
    <s v="Compressores Herméticos"/>
    <x v="0"/>
    <n v="1000"/>
    <n v="5004042"/>
    <s v="BRASIL WEB TRANSPORTES E LOGISTICA"/>
    <n v="298.55"/>
    <d v="2025-06-16T00:00:00"/>
  </r>
  <r>
    <n v="253872447"/>
    <n v="64641699"/>
    <s v="REB"/>
    <n v="8951749"/>
    <n v="173"/>
    <s v="PEÇAS - Defeito de fabric./Alta Amperage"/>
    <s v="FUNCIONAL"/>
    <x v="2"/>
    <n v="61868"/>
    <x v="290"/>
    <s v="MA"/>
    <n v="643"/>
    <s v="Elite"/>
    <n v="1350"/>
    <s v="W11340257"/>
    <s v="Placas de Interface"/>
    <x v="1"/>
    <n v="1000"/>
    <n v="5004101"/>
    <s v="UNIDOCK'S ASSESSORIA E LOGISTICA DE"/>
    <n v="298.55"/>
    <d v="2024-11-11T00:00:00"/>
  </r>
  <r>
    <n v="254023823"/>
    <n v="64802518"/>
    <s v="ROB"/>
    <n v="10115033"/>
    <n v="115"/>
    <s v="PEÇAS-Recusa do cliente"/>
    <s v="COMERCIAL"/>
    <x v="2"/>
    <n v="64523"/>
    <x v="21"/>
    <s v="PB"/>
    <n v="713"/>
    <s v="Key Account"/>
    <n v="1350"/>
    <s v="W10515645"/>
    <s v="Filtros"/>
    <x v="5"/>
    <n v="14000"/>
    <n v="5000253"/>
    <s v="TRANSPORTADOR GENERICO"/>
    <n v="297.92"/>
    <d v="2025-07-01T00:00:00"/>
  </r>
  <r>
    <n v="253995079"/>
    <n v="64772219"/>
    <s v="REB"/>
    <n v="9925013"/>
    <n v="173"/>
    <s v="PEÇAS - Defeito de fabric./Alta Amperage"/>
    <s v="FUNCIONAL"/>
    <x v="1"/>
    <n v="9599"/>
    <x v="121"/>
    <s v="SP"/>
    <n v="931"/>
    <s v="Ats Off"/>
    <n v="1350"/>
    <n v="326061171"/>
    <s v="Placas de Controle"/>
    <x v="1"/>
    <n v="1000"/>
    <n v="5004042"/>
    <s v="BRASIL WEB TRANSPORTES E LOGISTICA"/>
    <n v="297.86"/>
    <d v="2025-05-16T00:00:00"/>
  </r>
  <r>
    <n v="254033356"/>
    <n v="64800552"/>
    <s v="REB"/>
    <n v="9963876"/>
    <n v="178"/>
    <s v="PEÇAS -Defeito de fabric./Sem Compressão"/>
    <s v="FUNCIONAL"/>
    <x v="1"/>
    <n v="28684"/>
    <x v="235"/>
    <s v="SP"/>
    <n v="648"/>
    <s v="Ultra"/>
    <n v="1350"/>
    <s v="W11647662"/>
    <s v="Compressores Herméticos"/>
    <x v="0"/>
    <n v="1000"/>
    <n v="5004042"/>
    <s v="BRASIL WEB TRANSPORTES E LOGISTICA"/>
    <n v="297.62"/>
    <d v="2025-07-01T00:00:00"/>
  </r>
  <r>
    <n v="253992775"/>
    <n v="64766388"/>
    <s v="REB"/>
    <n v="9718749"/>
    <n v="178"/>
    <s v="PEÇAS -Defeito de fabric./Sem Compressão"/>
    <s v="FUNCIONAL"/>
    <x v="2"/>
    <n v="78757"/>
    <x v="50"/>
    <s v="RS"/>
    <n v="643"/>
    <s v="Elite"/>
    <n v="1350"/>
    <s v="W11647660"/>
    <s v="Compressores Herméticos"/>
    <x v="0"/>
    <n v="1000"/>
    <n v="5003024"/>
    <s v="RODOBRAS TRANSPORTES RODOVIARIOS LT"/>
    <n v="297.54000000000002"/>
    <d v="2025-05-12T00:00:00"/>
  </r>
  <r>
    <n v="254033259"/>
    <n v="64807564"/>
    <s v="REB"/>
    <n v="10105109"/>
    <n v="176"/>
    <s v="PEÇAS - Defeito de fabric./Interrompido"/>
    <s v="FUNCIONAL"/>
    <x v="1"/>
    <n v="3652"/>
    <x v="51"/>
    <s v="SP"/>
    <n v="350"/>
    <s v="Ats On"/>
    <n v="1350"/>
    <s v="W11619317"/>
    <s v="Placas de Controle"/>
    <x v="1"/>
    <n v="1000"/>
    <n v="5004042"/>
    <s v="BRASIL WEB TRANSPORTES E LOGISTICA"/>
    <n v="297.33"/>
    <d v="2025-07-08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591460"/>
    <s v="Placas de Controle"/>
    <x v="1"/>
    <n v="1000"/>
    <n v="5004101"/>
    <s v="UNIDOCK'S ASSESSORIA E LOGISTICA DE"/>
    <n v="297.22000000000003"/>
    <d v="2025-06-24T00:00:00"/>
  </r>
  <r>
    <n v="254004056"/>
    <n v="64778314"/>
    <s v="REB"/>
    <n v="9981183"/>
    <n v="173"/>
    <s v="PEÇAS - Defeito de fabric./Alta Amperage"/>
    <s v="FUNCIONAL"/>
    <x v="1"/>
    <n v="78757"/>
    <x v="50"/>
    <s v="RS"/>
    <n v="643"/>
    <s v="Elite"/>
    <n v="1350"/>
    <s v="W11435392"/>
    <s v="Placas de Controle"/>
    <x v="1"/>
    <n v="1000"/>
    <n v="5003024"/>
    <s v="RODOBRAS TRANSPORTES RODOVIARIOS LT"/>
    <n v="297.18"/>
    <d v="2025-05-26T00:00:00"/>
  </r>
  <r>
    <n v="253900754"/>
    <n v="64669279"/>
    <s v="REB"/>
    <n v="9690981"/>
    <n v="178"/>
    <s v="PEÇAS -Defeito de fabric./Sem Compressão"/>
    <s v="FUNCIONAL"/>
    <x v="1"/>
    <n v="21293"/>
    <x v="99"/>
    <s v="SP"/>
    <n v="643"/>
    <s v="Elite"/>
    <n v="1350"/>
    <s v="W11677208"/>
    <s v="Compressores Herméticos"/>
    <x v="0"/>
    <n v="1000"/>
    <n v="5003254"/>
    <s v="TMA TRANSPORTE LOTACAO E LOGISTICA"/>
    <n v="296.86"/>
    <d v="2024-12-16T00:00:00"/>
  </r>
  <r>
    <n v="253953766"/>
    <n v="64732041"/>
    <s v="REB"/>
    <n v="9887984"/>
    <n v="176"/>
    <s v="PEÇAS - Defeito de fabric./Interrompido"/>
    <s v="FUNCIONAL"/>
    <x v="2"/>
    <n v="24089"/>
    <x v="134"/>
    <s v="RJ"/>
    <n v="931"/>
    <s v="Ats Off"/>
    <n v="1350"/>
    <s v="W11037252"/>
    <s v="Chaves Rotativas"/>
    <x v="3"/>
    <n v="1000"/>
    <n v="5003176"/>
    <s v="J C THEDIN TRANSPORTES LTDA"/>
    <n v="296.64999999999998"/>
    <d v="2025-03-14T00:00:00"/>
  </r>
  <r>
    <n v="254004345"/>
    <n v="64637240"/>
    <s v="ROB"/>
    <n v="9193298"/>
    <n v="668"/>
    <s v="DEV-ERRO DE CADASTRO DA ALÍQUOTA"/>
    <s v="TRIBUTÁRIO"/>
    <x v="1"/>
    <n v="28401"/>
    <x v="414"/>
    <s v="SP"/>
    <n v="713"/>
    <s v="Key Account"/>
    <n v="1350"/>
    <s v="W10761205"/>
    <s v="Placas de Controle"/>
    <x v="1"/>
    <n v="3000"/>
    <n v="5003482"/>
    <s v="TMA TRANSPORTE LOTACAO E LOGISTICA"/>
    <n v="296.44"/>
    <d v="2024-11-04T00:00:00"/>
  </r>
  <r>
    <n v="253948589"/>
    <n v="64721987"/>
    <s v="REB"/>
    <n v="9557090"/>
    <n v="178"/>
    <s v="PEÇAS -Defeito de fabric./Sem Compressão"/>
    <s v="FUNCIONAL"/>
    <x v="2"/>
    <n v="87383"/>
    <x v="77"/>
    <s v="RJ"/>
    <n v="933"/>
    <s v="Top"/>
    <n v="1350"/>
    <s v="W11647660"/>
    <s v="Compressores Herméticos"/>
    <x v="0"/>
    <n v="1000"/>
    <n v="5003176"/>
    <s v="J C THEDIN TRANSPORTES LTDA"/>
    <n v="296.37"/>
    <d v="2025-03-07T00:00:00"/>
  </r>
  <r>
    <n v="253948589"/>
    <n v="64726475"/>
    <s v="REB"/>
    <n v="9502937"/>
    <n v="178"/>
    <s v="PEÇAS -Defeito de fabric./Sem Compressão"/>
    <s v="FUNCIONAL"/>
    <x v="2"/>
    <n v="87383"/>
    <x v="77"/>
    <s v="RJ"/>
    <n v="933"/>
    <s v="Top"/>
    <n v="1350"/>
    <s v="W11647660"/>
    <s v="Compressores Herméticos"/>
    <x v="0"/>
    <n v="1000"/>
    <n v="5003176"/>
    <s v="J C THEDIN TRANSPORTES LTDA"/>
    <n v="296.37"/>
    <d v="2025-03-07T00:00:00"/>
  </r>
  <r>
    <n v="253992775"/>
    <n v="64768484"/>
    <s v="REB"/>
    <n v="9893155"/>
    <n v="173"/>
    <s v="PEÇAS - Defeito de fabric./Alta Amperage"/>
    <s v="FUNCIONAL"/>
    <x v="2"/>
    <n v="78757"/>
    <x v="50"/>
    <s v="RS"/>
    <n v="643"/>
    <s v="Elite"/>
    <n v="1350"/>
    <s v="W11435392"/>
    <s v="Placas de Controle"/>
    <x v="1"/>
    <n v="1000"/>
    <n v="5003024"/>
    <s v="RODOBRAS TRANSPORTES RODOVIARIOS LT"/>
    <n v="296.37"/>
    <d v="2025-05-12T00:00:00"/>
  </r>
  <r>
    <n v="253983918"/>
    <n v="64759351"/>
    <s v="REB"/>
    <n v="9911500"/>
    <n v="173"/>
    <s v="PEÇAS - Defeito de fabric./Alta Amperage"/>
    <s v="FUNCIONAL"/>
    <x v="1"/>
    <n v="34365"/>
    <x v="339"/>
    <s v="CE"/>
    <n v="931"/>
    <s v="Ats Off"/>
    <n v="1350"/>
    <s v="W11366400"/>
    <s v="Placas de Controle"/>
    <x v="1"/>
    <n v="1000"/>
    <n v="5004101"/>
    <s v="UNIDOCK'S ASSESSORIA E LOGISTICA DE"/>
    <n v="296.26"/>
    <d v="2025-04-28T00:00:00"/>
  </r>
  <r>
    <s v="Sem TR"/>
    <n v="64770018"/>
    <s v="ZDVP"/>
    <n v="9969353"/>
    <n v="173"/>
    <s v="PEÇAS - Defeito de fabric./Alta Amperage"/>
    <s v="FUNCIONAL"/>
    <x v="1"/>
    <n v="49243"/>
    <x v="67"/>
    <s v="MS"/>
    <n v="643"/>
    <s v="Elite"/>
    <n v="1350"/>
    <s v="W11647660"/>
    <s v="Compressores Herméticos"/>
    <x v="0"/>
    <n v="1000"/>
    <n v="5002573"/>
    <s v="CARVALIMA TRANSPORTES LTDA"/>
    <n v="296.16000000000003"/>
    <d v="2025-05-20T00:00:00"/>
  </r>
  <r>
    <s v="Sem TR"/>
    <n v="64774117"/>
    <s v="ZDVP"/>
    <n v="9969353"/>
    <n v="173"/>
    <s v="PEÇAS - Defeito de fabric./Alta Amperage"/>
    <s v="FUNCIONAL"/>
    <x v="1"/>
    <n v="49243"/>
    <x v="67"/>
    <s v="MS"/>
    <n v="643"/>
    <s v="Elite"/>
    <n v="1350"/>
    <s v="W11647660"/>
    <s v="Compressores Herméticos"/>
    <x v="0"/>
    <n v="1000"/>
    <n v="5002573"/>
    <s v="CARVALIMA TRANSPORTES LTDA"/>
    <n v="296.16000000000003"/>
    <d v="2025-05-20T00:00:00"/>
  </r>
  <r>
    <s v="Sem TR"/>
    <n v="64812451"/>
    <s v="REB"/>
    <n v="9904547"/>
    <n v="177"/>
    <s v="PEÇAS - Defeito de fabric./Ruído"/>
    <s v="FUNCIONAL"/>
    <x v="1"/>
    <n v="54802"/>
    <x v="319"/>
    <s v="RS"/>
    <n v="648"/>
    <s v="Ultra"/>
    <n v="1350"/>
    <s v="W11647662"/>
    <s v="Compressores Herméticos"/>
    <x v="0"/>
    <n v="1000"/>
    <n v="5003024"/>
    <s v="RODOBRAS TRANSPORTES RODOVIARIOS LT"/>
    <n v="296.11"/>
    <d v="2025-07-17T00:00:00"/>
  </r>
  <r>
    <n v="254042176"/>
    <n v="64790927"/>
    <s v="REB"/>
    <n v="10087927"/>
    <n v="104"/>
    <s v="PEÇAS-Código trocado(embalag X conteúdo)"/>
    <s v="LOGÍSTICA"/>
    <x v="0"/>
    <n v="84461"/>
    <x v="415"/>
    <s v="SP"/>
    <n v="350"/>
    <s v="Ats On"/>
    <n v="1350"/>
    <s v="W10729501"/>
    <s v="Painéis de Controle"/>
    <x v="6"/>
    <n v="3000"/>
    <n v="5004042"/>
    <s v="BRASIL WEB TRANSPORTES E LOGISTICA"/>
    <n v="295.93"/>
    <d v="2025-06-23T00:00:00"/>
  </r>
  <r>
    <n v="253988948"/>
    <n v="64762367"/>
    <s v="REB"/>
    <n v="9974674"/>
    <n v="173"/>
    <s v="PEÇAS - Defeito de fabric./Alta Amperage"/>
    <s v="FUNCIONAL"/>
    <x v="2"/>
    <n v="85461"/>
    <x v="180"/>
    <s v="MG"/>
    <n v="641"/>
    <s v="CDP Diamante"/>
    <n v="1350"/>
    <s v="W10912973"/>
    <s v="Placas de Controle"/>
    <x v="1"/>
    <n v="1000"/>
    <n v="5004215"/>
    <s v="BRASIL WEB TRANSPORTES E LOGISTICA"/>
    <n v="295.89999999999998"/>
    <d v="2025-05-05T00:00:00"/>
  </r>
  <r>
    <n v="253995175"/>
    <n v="64772558"/>
    <s v="REB"/>
    <n v="9917226"/>
    <n v="176"/>
    <s v="PEÇAS - Defeito de fabric./Interrompido"/>
    <s v="FUNCIONAL"/>
    <x v="2"/>
    <n v="49363"/>
    <x v="249"/>
    <s v="SP"/>
    <n v="644"/>
    <s v="Plus"/>
    <n v="1350"/>
    <s v="W10463578"/>
    <s v="Placas de Interface"/>
    <x v="1"/>
    <n v="1000"/>
    <n v="5004042"/>
    <s v="BRASIL WEB TRANSPORTES E LOGISTICA"/>
    <n v="295.86"/>
    <d v="2025-05-16T00:00:00"/>
  </r>
  <r>
    <n v="254041636"/>
    <n v="64819270"/>
    <s v="ROB"/>
    <n v="10133762"/>
    <n v="182"/>
    <s v="PEÇAS - Extravio - Volume a menor"/>
    <s v="TRANSPORTADORA"/>
    <x v="1"/>
    <n v="87684"/>
    <x v="416"/>
    <s v="PA"/>
    <n v="932"/>
    <s v="CDP Prata"/>
    <n v="1350"/>
    <s v="W10221056"/>
    <s v="Condensadores"/>
    <x v="0"/>
    <n v="3000"/>
    <n v="5002858"/>
    <s v="FAVORITA TRANSPORTES LTDA"/>
    <n v="295.81"/>
    <d v="2025-07-28T00:00:00"/>
  </r>
  <r>
    <n v="254035380"/>
    <n v="64812719"/>
    <s v="REB"/>
    <n v="9331502"/>
    <n v="176"/>
    <s v="PEÇAS - Defeito de fabric./Interrompido"/>
    <s v="FUNCIONAL"/>
    <x v="1"/>
    <n v="36065"/>
    <x v="7"/>
    <s v="GO"/>
    <n v="643"/>
    <s v="Elite"/>
    <n v="1350"/>
    <s v="W10799397"/>
    <s v="Compressores Herméticos"/>
    <x v="0"/>
    <n v="1000"/>
    <n v="5002858"/>
    <s v="FAVORITA TRANSPORTES LTDA"/>
    <n v="295.68"/>
    <d v="2025-07-17T00:00:00"/>
  </r>
  <r>
    <n v="253970698"/>
    <n v="64747547"/>
    <s v="REB"/>
    <n v="9920038"/>
    <n v="176"/>
    <s v="PEÇAS - Defeito de fabric./Interrompido"/>
    <s v="FUNCIONAL"/>
    <x v="2"/>
    <n v="3506"/>
    <x v="46"/>
    <s v="SP"/>
    <n v="931"/>
    <s v="Ats Off"/>
    <n v="1350"/>
    <s v="W11200625"/>
    <s v="Placas de Controle"/>
    <x v="1"/>
    <n v="1000"/>
    <n v="5004042"/>
    <s v="BRASIL WEB TRANSPORTES E LOGISTICA"/>
    <n v="295.64"/>
    <d v="2025-04-09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828358"/>
    <s v="Pressostatos"/>
    <x v="3"/>
    <n v="10000"/>
    <n v="5002858"/>
    <s v="FAVORITA TRANSPORTES LTDA"/>
    <n v="295.56"/>
    <d v="2025-07-15T00:00:00"/>
  </r>
  <r>
    <n v="254041576"/>
    <n v="64726609"/>
    <s v="ZDVP"/>
    <n v="9536670"/>
    <n v="178"/>
    <s v="PEÇAS -Defeito de fabric./Sem Compressão"/>
    <s v="FUNCIONAL"/>
    <x v="1"/>
    <n v="77773"/>
    <x v="417"/>
    <s v="GO"/>
    <n v="932"/>
    <s v="CDP Prata"/>
    <n v="1350"/>
    <s v="W11647662"/>
    <s v="Compressores Herméticos"/>
    <x v="0"/>
    <n v="1000"/>
    <n v="5002858"/>
    <s v="FAVORITA TRANSPORTES LTDA"/>
    <n v="295.27"/>
    <d v="2025-03-07T00:00:00"/>
  </r>
  <r>
    <n v="254012435"/>
    <n v="64789520"/>
    <s v="REB"/>
    <n v="9932134"/>
    <n v="173"/>
    <s v="PEÇAS - Defeito de fabric./Alta Amperage"/>
    <s v="FUNCIONAL"/>
    <x v="1"/>
    <n v="1334"/>
    <x v="188"/>
    <s v="PI"/>
    <n v="350"/>
    <s v="Ats On"/>
    <n v="1350"/>
    <s v="W11677209"/>
    <s v="Compressores Herméticos"/>
    <x v="0"/>
    <n v="1000"/>
    <n v="5004101"/>
    <s v="UNIDOCK'S ASSESSORIA E LOGISTICA DE"/>
    <n v="295.23"/>
    <d v="2025-06-10T00:00:00"/>
  </r>
  <r>
    <n v="254033963"/>
    <n v="64812512"/>
    <s v="ZRDI"/>
    <n v="10100791"/>
    <n v="208"/>
    <s v="DEV-Atraso entrega- LOGISTICA(Transp)"/>
    <s v="TRANSPORTADORA"/>
    <x v="2"/>
    <n v="58109803"/>
    <x v="418"/>
    <s v="PE"/>
    <n v="466"/>
    <s v="Sup ML Marketplace"/>
    <n v="1352"/>
    <n v="326028006"/>
    <s v="Evaporadores"/>
    <x v="0"/>
    <n v="1000"/>
    <n v="5002359"/>
    <s v="EMPRESA BRASILEIRA DE CORREIOS E"/>
    <n v="295.23"/>
    <d v="2025-07-17T00:00:00"/>
  </r>
  <r>
    <s v="Sem TR"/>
    <n v="64800146"/>
    <s v="ZRDI"/>
    <n v="10094208"/>
    <s v="D10"/>
    <s v="DEV D2C - Comprou modelo errado"/>
    <s v="COMERCIAL"/>
    <x v="2"/>
    <n v="4476139"/>
    <x v="419"/>
    <s v="SC"/>
    <n v="474"/>
    <s v="Site Brastemp"/>
    <n v="1352"/>
    <s v="W11161219"/>
    <s v="Placas de Interface"/>
    <x v="1"/>
    <n v="1000"/>
    <n v="5002359"/>
    <s v="EMPRESA BRASILEIRA DE CORREIOS E"/>
    <n v="295.12"/>
    <d v="2025-07-01T00:00:00"/>
  </r>
  <r>
    <n v="254043600"/>
    <n v="64726884"/>
    <s v="REB"/>
    <n v="9480062"/>
    <n v="176"/>
    <s v="PEÇAS - Defeito de fabric./Interrompido"/>
    <s v="FUNCIONAL"/>
    <x v="0"/>
    <n v="66"/>
    <x v="73"/>
    <s v="GO"/>
    <n v="931"/>
    <s v="Ats Off"/>
    <n v="1350"/>
    <s v="W10827973"/>
    <s v="Placas de Controle"/>
    <x v="1"/>
    <n v="1000"/>
    <n v="5002858"/>
    <s v="FAVORITA TRANSPORTES LTDA"/>
    <n v="295.08"/>
    <d v="2025-03-07T00:00:00"/>
  </r>
  <r>
    <n v="253952262"/>
    <n v="64728472"/>
    <s v="REB"/>
    <n v="9798266"/>
    <n v="173"/>
    <s v="PEÇAS - Defeito de fabric./Alta Amperage"/>
    <s v="FUNCIONAL"/>
    <x v="1"/>
    <n v="30847"/>
    <x v="87"/>
    <s v="SP"/>
    <n v="644"/>
    <s v="Plus"/>
    <n v="1350"/>
    <s v="W11299803"/>
    <s v="Mecanismos"/>
    <x v="2"/>
    <n v="3000"/>
    <n v="5004042"/>
    <s v="BRASIL WEB TRANSPORTES E LOGISTICA"/>
    <n v="294.95999999999998"/>
    <d v="2025-03-10T00:00:00"/>
  </r>
  <r>
    <n v="254043851"/>
    <n v="64808356"/>
    <s v="REB"/>
    <n v="10006886"/>
    <n v="173"/>
    <s v="PEÇAS - Defeito de fabric./Alta Amperage"/>
    <s v="FUNCIONAL"/>
    <x v="0"/>
    <n v="31790"/>
    <x v="160"/>
    <s v="SP"/>
    <n v="350"/>
    <s v="Ats On"/>
    <n v="1350"/>
    <s v="W11083820"/>
    <s v="Placas de Controle"/>
    <x v="1"/>
    <n v="1000"/>
    <n v="5004042"/>
    <s v="BRASIL WEB TRANSPORTES E LOGISTICA"/>
    <n v="294.79000000000002"/>
    <d v="2025-07-11T00:00:00"/>
  </r>
  <r>
    <n v="253952354"/>
    <n v="64728865"/>
    <s v="REB"/>
    <n v="9834629"/>
    <n v="671"/>
    <s v="DEV-ENVIADO PARA GESTÃO DE CONSEQUENCIA"/>
    <s v="TRANSPORTADORA"/>
    <x v="2"/>
    <n v="54802"/>
    <x v="319"/>
    <s v="RS"/>
    <n v="648"/>
    <s v="Ultra"/>
    <n v="1350"/>
    <s v="W11647662"/>
    <s v="Compressores Herméticos"/>
    <x v="0"/>
    <n v="1000"/>
    <n v="5003024"/>
    <s v="RODOBRAS TRANSPORTES RODOVIARIOS LT"/>
    <n v="294.74"/>
    <d v="2025-03-10T00:00:00"/>
  </r>
  <r>
    <n v="253992671"/>
    <n v="64768101"/>
    <s v="REB"/>
    <n v="10020520"/>
    <n v="173"/>
    <s v="PEÇAS - Defeito de fabric./Alta Amperage"/>
    <s v="FUNCIONAL"/>
    <x v="1"/>
    <n v="3649"/>
    <x v="148"/>
    <s v="SP"/>
    <n v="350"/>
    <s v="Ats On"/>
    <n v="1350"/>
    <s v="W11658252"/>
    <s v="Placas de Interface"/>
    <x v="1"/>
    <n v="1000"/>
    <n v="5004042"/>
    <s v="BRASIL WEB TRANSPORTES E LOGISTICA"/>
    <n v="294.48"/>
    <d v="2025-05-12T00:00:00"/>
  </r>
  <r>
    <n v="254003849"/>
    <n v="64777925"/>
    <s v="REB"/>
    <n v="10030121"/>
    <n v="176"/>
    <s v="PEÇAS - Defeito de fabric./Interrompido"/>
    <s v="FUNCIONAL"/>
    <x v="2"/>
    <n v="3506"/>
    <x v="46"/>
    <s v="SP"/>
    <n v="931"/>
    <s v="Ats Off"/>
    <n v="1350"/>
    <s v="W11191325"/>
    <s v="Redes Elétricas"/>
    <x v="1"/>
    <n v="1000"/>
    <n v="5004042"/>
    <s v="BRASIL WEB TRANSPORTES E LOGISTICA"/>
    <n v="294.22000000000003"/>
    <d v="2025-05-26T00:00:00"/>
  </r>
  <r>
    <n v="254007607"/>
    <n v="64783644"/>
    <s v="REB"/>
    <n v="9320439"/>
    <n v="178"/>
    <s v="PEÇAS -Defeito de fabric./Sem Compressão"/>
    <s v="FUNCIONAL"/>
    <x v="2"/>
    <n v="69578"/>
    <x v="197"/>
    <s v="MG"/>
    <n v="933"/>
    <s v="Top"/>
    <n v="1350"/>
    <s v="W11677208"/>
    <s v="Compressores Herméticos"/>
    <x v="0"/>
    <n v="1000"/>
    <n v="5004215"/>
    <s v="BRASIL WEB TRANSPORTES E LOGISTICA"/>
    <n v="294.08"/>
    <d v="2025-06-02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1161217"/>
    <s v="Placas de Controle"/>
    <x v="1"/>
    <n v="1000"/>
    <n v="5003024"/>
    <s v="RODOBRAS TRANSPORTES RODOVIARIOS LT"/>
    <n v="293.89"/>
    <d v="2025-01-28T00:00:00"/>
  </r>
  <r>
    <n v="254035313"/>
    <n v="64812369"/>
    <s v="REB"/>
    <n v="10015453"/>
    <n v="173"/>
    <s v="PEÇAS - Defeito de fabric./Alta Amperage"/>
    <s v="FUNCIONAL"/>
    <x v="2"/>
    <n v="66"/>
    <x v="73"/>
    <s v="GO"/>
    <n v="931"/>
    <s v="Ats Off"/>
    <n v="1350"/>
    <s v="W11573528"/>
    <s v="Placas de Controle"/>
    <x v="1"/>
    <n v="1000"/>
    <n v="5002858"/>
    <s v="FAVORITA TRANSPORTES LTDA"/>
    <n v="293.66000000000003"/>
    <d v="2025-07-17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1196470"/>
    <s v="Placas de Interface"/>
    <x v="1"/>
    <n v="2000"/>
    <n v="5003024"/>
    <s v="RODOBRAS TRANSPORTES RODOVIARIOS LT"/>
    <n v="293.66000000000003"/>
    <d v="2025-01-16T00:00:00"/>
  </r>
  <r>
    <n v="254031457"/>
    <n v="64810691"/>
    <s v="ROB"/>
    <n v="10119084"/>
    <n v="240"/>
    <s v="DEV-Avaria - 2 trecho transp - Produto"/>
    <s v="QUALIDADE"/>
    <x v="0"/>
    <n v="10164"/>
    <x v="183"/>
    <s v="PB"/>
    <n v="931"/>
    <s v="Ats Off"/>
    <n v="1350"/>
    <s v="W10788696"/>
    <s v="Portas"/>
    <x v="6"/>
    <n v="1000"/>
    <n v="5004466"/>
    <s v="CAMPINENSE TRANSPORTE"/>
    <n v="293.55"/>
    <d v="2025-07-15T00:00:00"/>
  </r>
  <r>
    <n v="253915592"/>
    <n v="64687759"/>
    <s v="REB"/>
    <n v="9641387"/>
    <n v="173"/>
    <s v="PEÇAS - Defeito de fabric./Alta Amperage"/>
    <s v="FUNCIONAL"/>
    <x v="1"/>
    <n v="30345"/>
    <x v="330"/>
    <s v="SP"/>
    <n v="644"/>
    <s v="Plus"/>
    <n v="1350"/>
    <s v="W10905134"/>
    <s v="Placas de Controle"/>
    <x v="1"/>
    <n v="1000"/>
    <n v="5003482"/>
    <s v="TMA TRANSPORTE LOTACAO E LOGISTICA"/>
    <n v="293.45"/>
    <d v="2025-01-09T00:00:00"/>
  </r>
  <r>
    <n v="253952369"/>
    <n v="64729260"/>
    <s v="REB"/>
    <n v="9441583"/>
    <n v="178"/>
    <s v="PEÇAS -Defeito de fabric./Sem Compressão"/>
    <s v="FUNCIONAL"/>
    <x v="2"/>
    <n v="55093"/>
    <x v="231"/>
    <s v="SP"/>
    <n v="648"/>
    <s v="Ultra"/>
    <n v="1350"/>
    <s v="W11647662"/>
    <s v="Compressores Herméticos"/>
    <x v="0"/>
    <n v="1000"/>
    <n v="5004042"/>
    <s v="BRASIL WEB TRANSPORTES E LOGISTICA"/>
    <n v="293.35000000000002"/>
    <d v="2025-03-10T00:00:00"/>
  </r>
  <r>
    <n v="253970893"/>
    <n v="64748749"/>
    <s v="REB"/>
    <n v="9607237"/>
    <n v="178"/>
    <s v="PEÇAS -Defeito de fabric./Sem Compressão"/>
    <s v="FUNCIONAL"/>
    <x v="1"/>
    <n v="61858"/>
    <x v="420"/>
    <s v="PI"/>
    <n v="934"/>
    <s v="CDP Ouro"/>
    <n v="1350"/>
    <s v="W11677209"/>
    <s v="Compressores Herméticos"/>
    <x v="0"/>
    <n v="1000"/>
    <n v="5004101"/>
    <s v="UNIDOCK'S ASSESSORIA E LOGISTICA DE"/>
    <n v="293.24"/>
    <d v="2025-04-09T00:00:00"/>
  </r>
  <r>
    <s v="Sem TR"/>
    <n v="64812422"/>
    <s v="REB"/>
    <n v="10121875"/>
    <n v="167"/>
    <s v="PEÇAS - Avaria - Quebrada/Depósito"/>
    <s v="LOGÍSTICA"/>
    <x v="1"/>
    <n v="85599"/>
    <x v="124"/>
    <s v="SP"/>
    <n v="934"/>
    <s v="CDP Ouro"/>
    <n v="1350"/>
    <s v="W11396368"/>
    <s v="Gavetas"/>
    <x v="9"/>
    <n v="3000"/>
    <n v="5004042"/>
    <s v="BRASIL WEB TRANSPORTES E LOGISTICA"/>
    <n v="293.22000000000003"/>
    <d v="2025-07-17T00:00:00"/>
  </r>
  <r>
    <n v="253952259"/>
    <n v="64729177"/>
    <s v="REB"/>
    <n v="9718613"/>
    <n v="177"/>
    <s v="PEÇAS - Defeito de fabric./Ruído"/>
    <s v="FUNCIONAL"/>
    <x v="1"/>
    <n v="30684"/>
    <x v="332"/>
    <s v="RS"/>
    <n v="641"/>
    <s v="CDP Diamante"/>
    <n v="1350"/>
    <s v="W11161216"/>
    <s v="Placas de Controle"/>
    <x v="1"/>
    <n v="1000"/>
    <n v="5003024"/>
    <s v="RODOBRAS TRANSPORTES RODOVIARIOS LT"/>
    <n v="293.13"/>
    <d v="2025-03-10T00:00:00"/>
  </r>
  <r>
    <n v="254042245"/>
    <n v="64795383"/>
    <s v="REB"/>
    <n v="9564480"/>
    <n v="176"/>
    <s v="PEÇAS - Defeito de fabric./Interrompido"/>
    <s v="FUNCIONAL"/>
    <x v="0"/>
    <n v="78757"/>
    <x v="50"/>
    <s v="RS"/>
    <n v="643"/>
    <s v="Elite"/>
    <n v="1350"/>
    <s v="W11161216"/>
    <s v="Placas de Controle"/>
    <x v="1"/>
    <n v="1000"/>
    <n v="5003024"/>
    <s v="RODOBRAS TRANSPORTES RODOVIARIOS LT"/>
    <n v="292.99"/>
    <d v="2025-06-23T00:00:00"/>
  </r>
  <r>
    <n v="254038295"/>
    <n v="64813068"/>
    <s v="REB"/>
    <n v="10124387"/>
    <n v="176"/>
    <s v="PEÇAS - Defeito de fabric./Interrompido"/>
    <s v="FUNCIONAL"/>
    <x v="1"/>
    <n v="5036"/>
    <x v="421"/>
    <s v="RS"/>
    <n v="350"/>
    <s v="Ats On"/>
    <n v="1350"/>
    <s v="W11161217"/>
    <s v="Placas de Controle"/>
    <x v="1"/>
    <n v="1000"/>
    <n v="5003024"/>
    <s v="RODOBRAS TRANSPORTES RODOVIARIOS LT"/>
    <n v="292.86"/>
    <d v="2025-07-22T00:00:00"/>
  </r>
  <r>
    <n v="254012565"/>
    <n v="64776457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71"/>
    <n v="64777588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8"/>
    <n v="64778587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2"/>
    <n v="64780706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72"/>
    <n v="64781983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1"/>
    <n v="64787222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0"/>
    <n v="64789081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73"/>
    <n v="64789108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6"/>
    <n v="64789146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4"/>
    <n v="64789195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3"/>
    <n v="64789197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9"/>
    <n v="64789217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70"/>
    <n v="64789229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4012567"/>
    <n v="64789239"/>
    <s v="REB"/>
    <n v="9688018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2.7"/>
    <d v="2025-06-10T00:00:00"/>
  </r>
  <r>
    <n v="253992759"/>
    <n v="64767542"/>
    <s v="REB"/>
    <n v="9913902"/>
    <n v="173"/>
    <s v="PEÇAS - Defeito de fabric./Alta Amperage"/>
    <s v="FUNCIONAL"/>
    <x v="1"/>
    <n v="64683"/>
    <x v="56"/>
    <s v="RS"/>
    <n v="648"/>
    <s v="Ultra"/>
    <n v="1350"/>
    <s v="W11647662"/>
    <s v="Compressores Herméticos"/>
    <x v="0"/>
    <n v="1000"/>
    <n v="5003024"/>
    <s v="RODOBRAS TRANSPORTES RODOVIARIOS LT"/>
    <n v="292.68"/>
    <d v="2025-05-12T00:00:00"/>
  </r>
  <r>
    <n v="253992760"/>
    <n v="64768485"/>
    <s v="REB"/>
    <n v="9913902"/>
    <n v="173"/>
    <s v="PEÇAS - Defeito de fabric./Alta Amperage"/>
    <s v="FUNCIONAL"/>
    <x v="1"/>
    <n v="64683"/>
    <x v="56"/>
    <s v="RS"/>
    <n v="648"/>
    <s v="Ultra"/>
    <n v="1350"/>
    <s v="W11647662"/>
    <s v="Compressores Herméticos"/>
    <x v="0"/>
    <n v="1000"/>
    <n v="5003024"/>
    <s v="RODOBRAS TRANSPORTES RODOVIARIOS LT"/>
    <n v="292.68"/>
    <d v="2025-05-12T00:00:00"/>
  </r>
  <r>
    <n v="253995208"/>
    <n v="64771063"/>
    <s v="REB"/>
    <n v="9913902"/>
    <n v="173"/>
    <s v="PEÇAS - Defeito de fabric./Alta Amperage"/>
    <s v="FUNCIONAL"/>
    <x v="2"/>
    <n v="64683"/>
    <x v="56"/>
    <s v="RS"/>
    <n v="648"/>
    <s v="Ultra"/>
    <n v="1350"/>
    <s v="W11647662"/>
    <s v="Compressores Herméticos"/>
    <x v="0"/>
    <n v="1000"/>
    <n v="5003024"/>
    <s v="RODOBRAS TRANSPORTES RODOVIARIOS LT"/>
    <n v="292.68"/>
    <d v="2025-05-16T00:00:00"/>
  </r>
  <r>
    <s v="Sem TR"/>
    <n v="64798572"/>
    <s v="ZRDI"/>
    <n v="10120309"/>
    <s v="D10"/>
    <s v="DEV D2C - Comprou modelo errado"/>
    <s v="COMERCIAL"/>
    <x v="2"/>
    <n v="58130468"/>
    <x v="422"/>
    <s v="SP"/>
    <n v="474"/>
    <s v="Site Brastemp"/>
    <n v="1352"/>
    <s v="W10915770"/>
    <s v="Vidros"/>
    <x v="6"/>
    <n v="1000"/>
    <n v="5002359"/>
    <s v="EMPRESA BRASILEIRA DE CORREIOS E"/>
    <n v="292.58"/>
    <d v="2025-07-11T00:00:00"/>
  </r>
  <r>
    <n v="253953769"/>
    <n v="64732010"/>
    <s v="REB"/>
    <n v="9886048"/>
    <n v="173"/>
    <s v="PEÇAS - Defeito de fabric./Alta Amperage"/>
    <s v="FUNCIONAL"/>
    <x v="1"/>
    <n v="27113"/>
    <x v="423"/>
    <s v="MG"/>
    <n v="350"/>
    <s v="Ats On"/>
    <n v="1350"/>
    <s v="W11199201"/>
    <s v="Placas de Controle"/>
    <x v="1"/>
    <n v="1000"/>
    <n v="5004215"/>
    <s v="BRASIL WEB TRANSPORTES E LOGISTICA"/>
    <n v="292.43"/>
    <d v="2025-03-14T00:00:00"/>
  </r>
  <r>
    <n v="253961250"/>
    <n v="64737310"/>
    <s v="REB"/>
    <n v="9906014"/>
    <n v="173"/>
    <s v="PEÇAS - Defeito de fabric./Alta Amperage"/>
    <s v="FUNCIONAL"/>
    <x v="1"/>
    <n v="13757"/>
    <x v="14"/>
    <s v="SP"/>
    <n v="713"/>
    <s v="Key Account"/>
    <n v="1350"/>
    <n v="326061171"/>
    <s v="Placas de Controle"/>
    <x v="1"/>
    <n v="1000"/>
    <n v="5004042"/>
    <s v="BRASIL WEB TRANSPORTES E LOGISTICA"/>
    <n v="292.37"/>
    <d v="2025-03-24T00:00:00"/>
  </r>
  <r>
    <n v="254035319"/>
    <n v="64812502"/>
    <s v="REB"/>
    <n v="10072844"/>
    <n v="173"/>
    <s v="PEÇAS - Defeito de fabric./Alta Amperage"/>
    <s v="FUNCIONAL"/>
    <x v="1"/>
    <n v="1334"/>
    <x v="188"/>
    <s v="PI"/>
    <n v="350"/>
    <s v="Ats On"/>
    <n v="1350"/>
    <s v="W11647662"/>
    <s v="Compressores Herméticos"/>
    <x v="0"/>
    <n v="1000"/>
    <n v="5004101"/>
    <s v="UNIDOCK'S ASSESSORIA E LOGISTICA DE"/>
    <n v="292.27999999999997"/>
    <d v="2025-07-17T00:00:00"/>
  </r>
  <r>
    <n v="254033374"/>
    <n v="64807514"/>
    <s v="REB"/>
    <n v="9896859"/>
    <n v="173"/>
    <s v="PEÇAS - Defeito de fabric./Alta Amperage"/>
    <s v="FUNCIONAL"/>
    <x v="1"/>
    <n v="29985"/>
    <x v="266"/>
    <s v="GO"/>
    <n v="350"/>
    <s v="Ats On"/>
    <n v="1350"/>
    <s v="W11435392"/>
    <s v="Placas de Controle"/>
    <x v="1"/>
    <n v="1000"/>
    <n v="5002858"/>
    <s v="FAVORITA TRANSPORTES LTDA"/>
    <n v="292.24"/>
    <d v="2025-07-08T00:00:00"/>
  </r>
  <r>
    <n v="254033096"/>
    <n v="64802437"/>
    <s v="REB"/>
    <n v="10090232"/>
    <n v="173"/>
    <s v="PEÇAS - Defeito de fabric./Alta Amperage"/>
    <s v="FUNCIONAL"/>
    <x v="2"/>
    <n v="66"/>
    <x v="73"/>
    <s v="GO"/>
    <n v="931"/>
    <s v="Ats Off"/>
    <n v="1350"/>
    <s v="W10659002"/>
    <s v="Magnetrons"/>
    <x v="1"/>
    <n v="1000"/>
    <n v="5002858"/>
    <s v="FAVORITA TRANSPORTES LTDA"/>
    <n v="291.98"/>
    <d v="2025-07-01T00:00:00"/>
  </r>
  <r>
    <n v="254042135"/>
    <n v="64795578"/>
    <s v="REB"/>
    <n v="10009300"/>
    <n v="173"/>
    <s v="PEÇAS - Defeito de fabric./Alta Amperage"/>
    <s v="FUNCIONAL"/>
    <x v="0"/>
    <n v="27210"/>
    <x v="310"/>
    <s v="PR"/>
    <n v="350"/>
    <s v="Ats On"/>
    <n v="1350"/>
    <s v="W11619403"/>
    <s v="Placas de Controle"/>
    <x v="1"/>
    <n v="1000"/>
    <n v="5003024"/>
    <s v="RODOBRAS TRANSPORTES RODOVIARIOS LT"/>
    <n v="291.95999999999998"/>
    <d v="2025-06-23T00:00:00"/>
  </r>
  <r>
    <n v="254042105"/>
    <n v="64795786"/>
    <s v="REB"/>
    <n v="10041138"/>
    <n v="173"/>
    <s v="PEÇAS - Defeito de fabric./Alta Amperage"/>
    <s v="FUNCIONAL"/>
    <x v="0"/>
    <n v="70555"/>
    <x v="150"/>
    <s v="SC"/>
    <n v="648"/>
    <s v="Ultra"/>
    <n v="1350"/>
    <s v="W11160578"/>
    <s v="Placas de Controle"/>
    <x v="1"/>
    <n v="1000"/>
    <n v="5003024"/>
    <s v="RODOBRAS TRANSPORTES RODOVIARIOS LT"/>
    <n v="291.88"/>
    <d v="2025-06-23T00:00:00"/>
  </r>
  <r>
    <n v="253932997"/>
    <n v="64706630"/>
    <s v="REB"/>
    <n v="9561037"/>
    <n v="173"/>
    <s v="PEÇAS - Defeito de fabric./Alta Amperage"/>
    <s v="FUNCIONAL"/>
    <x v="2"/>
    <n v="61868"/>
    <x v="290"/>
    <s v="MA"/>
    <n v="643"/>
    <s v="Elite"/>
    <n v="1350"/>
    <s v="W11161217"/>
    <s v="Placas de Controle"/>
    <x v="1"/>
    <n v="1000"/>
    <n v="5004101"/>
    <s v="UNIDOCK'S ASSESSORIA E LOGISTICA DE"/>
    <n v="291.7"/>
    <d v="2025-02-05T00:00:00"/>
  </r>
  <r>
    <n v="253992775"/>
    <n v="64766986"/>
    <s v="REB"/>
    <n v="9603343"/>
    <n v="178"/>
    <s v="PEÇAS -Defeito de fabric./Sem Compressão"/>
    <s v="FUNCIONAL"/>
    <x v="2"/>
    <n v="78757"/>
    <x v="50"/>
    <s v="RS"/>
    <n v="643"/>
    <s v="Elite"/>
    <n v="1350"/>
    <s v="W11677209"/>
    <s v="Compressores Herméticos"/>
    <x v="0"/>
    <n v="1000"/>
    <n v="5003024"/>
    <s v="RODOBRAS TRANSPORTES RODOVIARIOS LT"/>
    <n v="291.33999999999997"/>
    <d v="2025-05-12T00:00:00"/>
  </r>
  <r>
    <n v="253988863"/>
    <n v="64764152"/>
    <s v="REB"/>
    <n v="9555667"/>
    <n v="178"/>
    <s v="PEÇAS -Defeito de fabric./Sem Compressão"/>
    <s v="FUNCIONAL"/>
    <x v="1"/>
    <n v="29164"/>
    <x v="32"/>
    <s v="BA"/>
    <n v="648"/>
    <s v="Ultra"/>
    <n v="1350"/>
    <s v="W11677209"/>
    <s v="Compressores Herméticos"/>
    <x v="0"/>
    <n v="1000"/>
    <n v="5004101"/>
    <s v="UNIDOCK'S ASSESSORIA E LOGISTICA DE"/>
    <n v="291.22000000000003"/>
    <d v="2025-05-05T00:00:00"/>
  </r>
  <r>
    <n v="253952259"/>
    <n v="64729162"/>
    <s v="REB"/>
    <n v="9559451"/>
    <n v="176"/>
    <s v="PEÇAS - Defeito de fabric./Interrompido"/>
    <s v="FUNCIONAL"/>
    <x v="1"/>
    <n v="30684"/>
    <x v="332"/>
    <s v="RS"/>
    <n v="641"/>
    <s v="CDP Diamante"/>
    <n v="1350"/>
    <s v="W10915379"/>
    <s v="Placas de Controle"/>
    <x v="1"/>
    <n v="1000"/>
    <n v="5003024"/>
    <s v="RODOBRAS TRANSPORTES RODOVIARIOS LT"/>
    <n v="291.16000000000003"/>
    <d v="2025-03-10T00:00:00"/>
  </r>
  <r>
    <n v="254012535"/>
    <n v="64789336"/>
    <s v="REB"/>
    <n v="8829826"/>
    <n v="173"/>
    <s v="PEÇAS - Defeito de fabric./Alta Amperage"/>
    <s v="FUNCIONAL"/>
    <x v="2"/>
    <n v="47471"/>
    <x v="424"/>
    <s v="TO"/>
    <n v="643"/>
    <s v="Elite"/>
    <n v="1350"/>
    <s v="W11647660"/>
    <s v="Compressores Herméticos"/>
    <x v="0"/>
    <n v="1000"/>
    <n v="5002858"/>
    <s v="FAVORITA TRANSPORTES LTDA"/>
    <n v="290.88"/>
    <d v="2025-06-10T00:00:00"/>
  </r>
  <r>
    <n v="254038375"/>
    <n v="64778218"/>
    <s v="REB"/>
    <n v="8829826"/>
    <n v="173"/>
    <s v="PEÇAS - Defeito de fabric./Alta Amperage"/>
    <s v="FUNCIONAL"/>
    <x v="0"/>
    <n v="47471"/>
    <x v="424"/>
    <s v="TO"/>
    <n v="643"/>
    <s v="Elite"/>
    <n v="1350"/>
    <s v="W11647660"/>
    <s v="Compressores Herméticos"/>
    <x v="0"/>
    <n v="1000"/>
    <n v="5002858"/>
    <s v="FAVORITA TRANSPORTES LTDA"/>
    <n v="290.88"/>
    <d v="2025-07-22T00:00:00"/>
  </r>
  <r>
    <n v="254041814"/>
    <n v="64795381"/>
    <s v="REB"/>
    <n v="8829826"/>
    <n v="173"/>
    <s v="PEÇAS - Defeito de fabric./Alta Amperage"/>
    <s v="FUNCIONAL"/>
    <x v="0"/>
    <n v="47471"/>
    <x v="424"/>
    <s v="TO"/>
    <n v="643"/>
    <s v="Elite"/>
    <n v="1350"/>
    <s v="W11647660"/>
    <s v="Compressores Herméticos"/>
    <x v="0"/>
    <n v="1000"/>
    <n v="5002858"/>
    <s v="FAVORITA TRANSPORTES LTDA"/>
    <n v="290.88"/>
    <d v="2025-06-23T00:00:00"/>
  </r>
  <r>
    <n v="254042219"/>
    <n v="64796016"/>
    <s v="REB"/>
    <n v="8829826"/>
    <n v="173"/>
    <s v="PEÇAS - Defeito de fabric./Alta Amperage"/>
    <s v="FUNCIONAL"/>
    <x v="0"/>
    <n v="47471"/>
    <x v="424"/>
    <s v="TO"/>
    <n v="643"/>
    <s v="Elite"/>
    <n v="1350"/>
    <s v="W11647660"/>
    <s v="Compressores Herméticos"/>
    <x v="0"/>
    <n v="1000"/>
    <n v="5002858"/>
    <s v="FAVORITA TRANSPORTES LTDA"/>
    <n v="290.88"/>
    <d v="2025-06-23T00:00:00"/>
  </r>
  <r>
    <n v="254033317"/>
    <n v="64806570"/>
    <s v="REB"/>
    <n v="10107908"/>
    <n v="176"/>
    <s v="PEÇAS - Defeito de fabric./Interrompido"/>
    <s v="FUNCIONAL"/>
    <x v="1"/>
    <n v="24089"/>
    <x v="134"/>
    <s v="RJ"/>
    <n v="931"/>
    <s v="Ats Off"/>
    <n v="1350"/>
    <s v="W11435390"/>
    <s v="Placas de Controle"/>
    <x v="1"/>
    <n v="1000"/>
    <n v="5003176"/>
    <s v="J C THEDIN TRANSPORTES LTDA"/>
    <n v="290.87"/>
    <d v="2025-07-08T00:00:00"/>
  </r>
  <r>
    <s v="Sem TR"/>
    <n v="64813098"/>
    <s v="ZRDI"/>
    <n v="10123353"/>
    <s v="D31"/>
    <s v="DEV D2C - Defeito estético manufatura"/>
    <s v="MANUFATURA"/>
    <x v="2"/>
    <n v="55914051"/>
    <x v="425"/>
    <s v="BA"/>
    <n v="474"/>
    <s v="Site Brastemp"/>
    <n v="1352"/>
    <s v="W10638541"/>
    <s v="Filtros"/>
    <x v="5"/>
    <n v="1000"/>
    <n v="5002359"/>
    <s v="EMPRESA BRASILEIRA DE CORREIOS E"/>
    <n v="290.8"/>
    <d v="2025-07-21T00:00:00"/>
  </r>
  <r>
    <s v="Sem TR"/>
    <n v="64813098"/>
    <s v="ZRDI"/>
    <n v="10123353"/>
    <s v="D31"/>
    <s v="DEV D2C - Defeito estético manufatura"/>
    <s v="MANUFATURA"/>
    <x v="2"/>
    <n v="55914051"/>
    <x v="425"/>
    <s v="BA"/>
    <n v="474"/>
    <s v="Site Brastemp"/>
    <n v="1352"/>
    <s v="W10638541"/>
    <s v="Filtros"/>
    <x v="5"/>
    <n v="1000"/>
    <n v="5002359"/>
    <s v="EMPRESA BRASILEIRA DE CORREIOS E"/>
    <n v="290.8"/>
    <d v="2025-07-21T00:00:00"/>
  </r>
  <r>
    <s v="Sem TR"/>
    <n v="64817388"/>
    <s v="REB"/>
    <n v="9858032"/>
    <n v="176"/>
    <s v="PEÇAS - Defeito de fabric./Interrompido"/>
    <s v="FUNCIONAL"/>
    <x v="1"/>
    <n v="36065"/>
    <x v="7"/>
    <s v="GO"/>
    <n v="643"/>
    <s v="Elite"/>
    <n v="1350"/>
    <s v="W11647662"/>
    <s v="Compressores Herméticos"/>
    <x v="0"/>
    <n v="1000"/>
    <n v="5002858"/>
    <s v="FAVORITA TRANSPORTES LTDA"/>
    <n v="290.58999999999997"/>
    <d v="2025-07-25T00:00:00"/>
  </r>
  <r>
    <n v="254035580"/>
    <n v="64796971"/>
    <s v="REB"/>
    <n v="9891234"/>
    <n v="173"/>
    <s v="PEÇAS - Defeito de fabric./Alta Amperage"/>
    <s v="FUNCIONAL"/>
    <x v="1"/>
    <n v="59520"/>
    <x v="251"/>
    <s v="SC"/>
    <n v="643"/>
    <s v="Elite"/>
    <n v="1350"/>
    <s v="W11647662"/>
    <s v="Compressores Herméticos"/>
    <x v="0"/>
    <n v="1000"/>
    <n v="5003024"/>
    <s v="RODOBRAS TRANSPORTES RODOVIARIOS LT"/>
    <n v="290.58999999999997"/>
    <d v="2025-06-24T00:00:00"/>
  </r>
  <r>
    <n v="254035380"/>
    <n v="64812678"/>
    <s v="REB"/>
    <n v="9858032"/>
    <n v="176"/>
    <s v="PEÇAS - Defeito de fabric./Interrompido"/>
    <s v="FUNCIONAL"/>
    <x v="1"/>
    <n v="36065"/>
    <x v="7"/>
    <s v="GO"/>
    <n v="643"/>
    <s v="Elite"/>
    <n v="1350"/>
    <s v="W11647662"/>
    <s v="Compressores Herméticos"/>
    <x v="0"/>
    <n v="1000"/>
    <n v="5002858"/>
    <s v="FAVORITA TRANSPORTES LTDA"/>
    <n v="290.58999999999997"/>
    <d v="2025-07-17T00:00:00"/>
  </r>
  <r>
    <n v="254028928"/>
    <n v="64804090"/>
    <s v="REB"/>
    <n v="10090172"/>
    <n v="173"/>
    <s v="PEÇAS - Defeito de fabric./Alta Amperage"/>
    <s v="FUNCIONAL"/>
    <x v="1"/>
    <n v="67948"/>
    <x v="15"/>
    <s v="SC"/>
    <n v="713"/>
    <s v="Key Account"/>
    <n v="1350"/>
    <s v="W11299803"/>
    <s v="Mecanismos"/>
    <x v="2"/>
    <n v="3000"/>
    <n v="5003024"/>
    <s v="RODOBRAS TRANSPORTES RODOVIARIOS LT"/>
    <n v="290.58"/>
    <d v="2025-07-02T00:00:00"/>
  </r>
  <r>
    <n v="254033426"/>
    <n v="64807594"/>
    <s v="REB"/>
    <n v="9687585"/>
    <n v="178"/>
    <s v="PEÇAS -Defeito de fabric./Sem Compressão"/>
    <s v="FUNCIONAL"/>
    <x v="0"/>
    <n v="61675"/>
    <x v="12"/>
    <s v="MG"/>
    <n v="643"/>
    <s v="Elite"/>
    <n v="1350"/>
    <s v="W11647662"/>
    <s v="Compressores Herméticos"/>
    <x v="0"/>
    <n v="1000"/>
    <n v="5004215"/>
    <s v="BRASIL WEB TRANSPORTES E LOGISTICA"/>
    <n v="290.38"/>
    <d v="2025-07-08T00:00:00"/>
  </r>
  <r>
    <s v="Sem TR"/>
    <n v="64812446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2588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5270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6990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467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468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475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87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88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90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91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92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93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97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599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00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02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04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09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12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19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s v="Sem TR"/>
    <n v="64817641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25T00:00:00"/>
  </r>
  <r>
    <n v="254004032"/>
    <n v="64776197"/>
    <s v="REB"/>
    <n v="9793564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04026"/>
    <n v="64767183"/>
    <s v="REB"/>
    <n v="9793564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04027"/>
    <n v="64773873"/>
    <s v="REB"/>
    <n v="9793564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04031"/>
    <n v="64776183"/>
    <s v="REB"/>
    <n v="9793564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04028"/>
    <n v="64778181"/>
    <s v="REB"/>
    <n v="9793564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04029"/>
    <n v="64778274"/>
    <s v="REB"/>
    <n v="9793564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04030"/>
    <n v="64778275"/>
    <s v="REB"/>
    <n v="9793564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5-26T00:00:00"/>
  </r>
  <r>
    <n v="254035408"/>
    <n v="64812339"/>
    <s v="REB"/>
    <n v="9793564"/>
    <n v="178"/>
    <s v="PEÇAS -Defeito de fabric./Sem Compressão"/>
    <s v="FUNCIONAL"/>
    <x v="0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17T00:00:00"/>
  </r>
  <r>
    <n v="254035407"/>
    <n v="64812360"/>
    <s v="REB"/>
    <n v="9793564"/>
    <n v="178"/>
    <s v="PEÇAS -Defeito de fabric./Sem Compressão"/>
    <s v="FUNCIONAL"/>
    <x v="0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90.2"/>
    <d v="2025-07-17T00:00:00"/>
  </r>
  <r>
    <n v="254012535"/>
    <n v="64789137"/>
    <s v="REB"/>
    <n v="9645394"/>
    <n v="173"/>
    <s v="PEÇAS - Defeito de fabric./Alta Amperage"/>
    <s v="FUNCIONAL"/>
    <x v="2"/>
    <n v="47471"/>
    <x v="424"/>
    <s v="TO"/>
    <n v="643"/>
    <s v="Elite"/>
    <n v="1350"/>
    <s v="W11161217"/>
    <s v="Placas de Controle"/>
    <x v="1"/>
    <n v="1000"/>
    <n v="5002858"/>
    <s v="FAVORITA TRANSPORTES LTDA"/>
    <n v="290.02999999999997"/>
    <d v="2025-06-10T00:00:00"/>
  </r>
  <r>
    <n v="254038265"/>
    <n v="64811032"/>
    <s v="REB"/>
    <n v="10121198"/>
    <n v="176"/>
    <s v="PEÇAS - Defeito de fabric./Interrompido"/>
    <s v="FUNCIONAL"/>
    <x v="0"/>
    <n v="3506"/>
    <x v="46"/>
    <s v="SP"/>
    <n v="931"/>
    <s v="Ats Off"/>
    <n v="1350"/>
    <s v="W10855665"/>
    <s v="Placas de Controle"/>
    <x v="1"/>
    <n v="1000"/>
    <n v="5004042"/>
    <s v="BRASIL WEB TRANSPORTES E LOGISTICA"/>
    <n v="289.64"/>
    <d v="2025-07-22T00:00:00"/>
  </r>
  <r>
    <n v="253981551"/>
    <n v="64758105"/>
    <s v="REB"/>
    <n v="9776511"/>
    <n v="178"/>
    <s v="PEÇAS -Defeito de fabric./Sem Compressão"/>
    <s v="FUNCIONAL"/>
    <x v="1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89.42"/>
    <d v="2025-04-25T00:00:00"/>
  </r>
  <r>
    <n v="253915689"/>
    <n v="64689691"/>
    <s v="REB"/>
    <n v="9752927"/>
    <n v="170"/>
    <s v="PEÇAS - Avaria - Riscada/Depósito"/>
    <s v="LOGÍSTICA"/>
    <x v="1"/>
    <n v="4189"/>
    <x v="426"/>
    <s v="CE"/>
    <n v="931"/>
    <s v="Ats Off"/>
    <n v="1350"/>
    <s v="W10859619"/>
    <s v="Mesas Cocção"/>
    <x v="6"/>
    <n v="1000"/>
    <n v="5004101"/>
    <s v="UNIDOCK'S ASSESSORIA E LOGISTICA DE"/>
    <n v="289.36"/>
    <d v="2025-01-13T00:00:00"/>
  </r>
  <r>
    <n v="253988786"/>
    <n v="64760862"/>
    <s v="REB"/>
    <n v="9938301"/>
    <n v="176"/>
    <s v="PEÇAS - Defeito de fabric./Interrompido"/>
    <s v="FUNCIONAL"/>
    <x v="1"/>
    <n v="3506"/>
    <x v="46"/>
    <s v="SP"/>
    <n v="931"/>
    <s v="Ats Off"/>
    <n v="1350"/>
    <s v="W10806305"/>
    <s v="Placas de Controle"/>
    <x v="1"/>
    <n v="1000"/>
    <n v="5004042"/>
    <s v="BRASIL WEB TRANSPORTES E LOGISTICA"/>
    <n v="289.25"/>
    <d v="2025-05-05T00:00:00"/>
  </r>
  <r>
    <s v="Sem TR"/>
    <n v="64761635"/>
    <s v="ROB"/>
    <n v="50566"/>
    <n v="671"/>
    <s v="DEV-ENVIADO PARA GESTÃO DE CONSEQUENCIA"/>
    <s v="TRANSPORTADORA"/>
    <x v="2"/>
    <n v="64523"/>
    <x v="21"/>
    <s v="PB"/>
    <n v="713"/>
    <s v="Key Account"/>
    <n v="1550"/>
    <s v="W10606115"/>
    <s v="Polias/Roldanas"/>
    <x v="2"/>
    <n v="20000"/>
    <n v="5004391"/>
    <s v="JEONCEL TRANSPORTES LTDA"/>
    <n v="289.12"/>
    <d v="2025-04-30T00:00:00"/>
  </r>
  <r>
    <s v="Sem TR"/>
    <n v="64768429"/>
    <s v="ROB"/>
    <n v="50603"/>
    <n v="671"/>
    <s v="DEV-ENVIADO PARA GESTÃO DE CONSEQUENCIA"/>
    <s v="TRANSPORTADORA"/>
    <x v="2"/>
    <n v="79755"/>
    <x v="329"/>
    <s v="BA"/>
    <n v="934"/>
    <s v="CDP Ouro"/>
    <n v="1550"/>
    <s v="W10678919"/>
    <s v="Placas de Controle"/>
    <x v="1"/>
    <n v="4000"/>
    <n v="5004391"/>
    <s v="JEONCEL TRANSPORTES LTDA"/>
    <n v="288.86"/>
    <d v="2025-05-12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1498695"/>
    <s v="Capas"/>
    <x v="6"/>
    <n v="5000"/>
    <n v="5004101"/>
    <s v="UNIDOCK'S ASSESSORIA E LOGISTICA DE"/>
    <n v="288.70999999999998"/>
    <d v="2025-01-22T00:00:00"/>
  </r>
  <r>
    <n v="254038365"/>
    <n v="64802637"/>
    <s v="REB"/>
    <n v="10082966"/>
    <n v="173"/>
    <s v="PEÇAS - Defeito de fabric./Alta Amperage"/>
    <s v="FUNCIONAL"/>
    <x v="1"/>
    <n v="30742"/>
    <x v="428"/>
    <s v="SC"/>
    <n v="643"/>
    <s v="Elite"/>
    <n v="1350"/>
    <s v="W11435392"/>
    <s v="Placas de Controle"/>
    <x v="1"/>
    <n v="1000"/>
    <n v="5003024"/>
    <s v="RODOBRAS TRANSPORTES RODOVIARIOS LT"/>
    <n v="288.57"/>
    <d v="2025-07-22T00:00:00"/>
  </r>
  <r>
    <s v="Sem TR"/>
    <n v="64816445"/>
    <s v="REB"/>
    <n v="9823028"/>
    <n v="176"/>
    <s v="PEÇAS - Defeito de fabric./Interrompido"/>
    <s v="FUNCIONAL"/>
    <x v="1"/>
    <n v="36065"/>
    <x v="7"/>
    <s v="GO"/>
    <n v="643"/>
    <s v="Elite"/>
    <n v="1350"/>
    <s v="W10799397"/>
    <s v="Compressores Herméticos"/>
    <x v="0"/>
    <n v="1000"/>
    <n v="5002858"/>
    <s v="FAVORITA TRANSPORTES LTDA"/>
    <n v="288.5"/>
    <d v="2025-07-25T00:00:00"/>
  </r>
  <r>
    <s v="Sem TR"/>
    <n v="64817579"/>
    <s v="REB"/>
    <n v="9823028"/>
    <n v="176"/>
    <s v="PEÇAS - Defeito de fabric./Interrompido"/>
    <s v="FUNCIONAL"/>
    <x v="1"/>
    <n v="36065"/>
    <x v="7"/>
    <s v="GO"/>
    <n v="643"/>
    <s v="Elite"/>
    <n v="1350"/>
    <s v="W10799397"/>
    <s v="Compressores Herméticos"/>
    <x v="0"/>
    <n v="1000"/>
    <n v="5002858"/>
    <s v="FAVORITA TRANSPORTES LTDA"/>
    <n v="288.5"/>
    <d v="2025-07-25T00:00:00"/>
  </r>
  <r>
    <n v="254042254"/>
    <n v="64796012"/>
    <s v="REB"/>
    <n v="9823028"/>
    <n v="176"/>
    <s v="PEÇAS - Defeito de fabric./Interrompido"/>
    <s v="FUNCIONAL"/>
    <x v="0"/>
    <n v="36065"/>
    <x v="7"/>
    <s v="GO"/>
    <n v="643"/>
    <s v="Elite"/>
    <n v="1350"/>
    <s v="W10799397"/>
    <s v="Compressores Herméticos"/>
    <x v="0"/>
    <n v="1000"/>
    <n v="5002858"/>
    <s v="FAVORITA TRANSPORTES LTDA"/>
    <n v="288.5"/>
    <d v="2025-06-23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n v="326014231"/>
    <s v="Evaporadores"/>
    <x v="0"/>
    <n v="2000"/>
    <n v="5003024"/>
    <s v="RODOBRAS TRANSPORTES RODOVIARIOS LT"/>
    <n v="288.33999999999997"/>
    <d v="2025-01-16T00:00:00"/>
  </r>
  <r>
    <n v="254038301"/>
    <n v="64807582"/>
    <s v="REB"/>
    <n v="10052646"/>
    <n v="173"/>
    <s v="PEÇAS - Defeito de fabric./Alta Amperage"/>
    <s v="FUNCIONAL"/>
    <x v="1"/>
    <n v="18805"/>
    <x v="307"/>
    <s v="PR"/>
    <n v="648"/>
    <s v="Ultra"/>
    <n v="1350"/>
    <s v="W11254865"/>
    <s v="Mecanismos"/>
    <x v="2"/>
    <n v="2000"/>
    <n v="5003024"/>
    <s v="RODOBRAS TRANSPORTES RODOVIARIOS LT"/>
    <n v="288.24"/>
    <d v="2025-07-22T00:00:00"/>
  </r>
  <r>
    <s v="Sem TR"/>
    <n v="64812447"/>
    <s v="REB"/>
    <n v="9536879"/>
    <n v="178"/>
    <s v="PEÇAS -Defeito de fabric./Sem Compressã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288.2"/>
    <d v="2025-07-25T00:00:00"/>
  </r>
  <r>
    <s v="Sem TR"/>
    <n v="64815128"/>
    <s v="REB"/>
    <n v="9536879"/>
    <n v="176"/>
    <s v="PEÇAS - Defeito de fabric./Interrompid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288.2"/>
    <d v="2025-07-25T00:00:00"/>
  </r>
  <r>
    <s v="Sem TR"/>
    <n v="64816991"/>
    <s v="REB"/>
    <n v="9536879"/>
    <n v="178"/>
    <s v="PEÇAS -Defeito de fabric./Sem Compressã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288.2"/>
    <d v="2025-07-25T00:00:00"/>
  </r>
  <r>
    <s v="Sem TR"/>
    <n v="64817626"/>
    <s v="REB"/>
    <n v="9536879"/>
    <n v="178"/>
    <s v="PEÇAS -Defeito de fabric./Sem Compressã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288.2"/>
    <d v="2025-07-25T00:00:00"/>
  </r>
  <r>
    <s v="Sem TR"/>
    <n v="64817634"/>
    <s v="REB"/>
    <n v="9536879"/>
    <n v="178"/>
    <s v="PEÇAS -Defeito de fabric./Sem Compressão"/>
    <s v="FUNCIONAL"/>
    <x v="1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288.2"/>
    <d v="2025-07-25T00:00:00"/>
  </r>
  <r>
    <n v="254035428"/>
    <n v="64812735"/>
    <s v="REB"/>
    <n v="9536879"/>
    <n v="178"/>
    <s v="PEÇAS -Defeito de fabric./Sem Compressão"/>
    <s v="FUNCIONAL"/>
    <x v="0"/>
    <n v="73602"/>
    <x v="200"/>
    <s v="MA"/>
    <n v="648"/>
    <s v="Ultra"/>
    <n v="1350"/>
    <s v="W11647662"/>
    <s v="Compressores Herméticos"/>
    <x v="0"/>
    <n v="1000"/>
    <n v="5004101"/>
    <s v="UNIDOCK'S ASSESSORIA E LOGISTICA DE"/>
    <n v="288.2"/>
    <d v="2025-07-17T00:00:00"/>
  </r>
  <r>
    <n v="254035288"/>
    <n v="64812416"/>
    <s v="REB"/>
    <n v="10111425"/>
    <n v="173"/>
    <s v="PEÇAS - Defeito de fabric./Alta Amperage"/>
    <s v="FUNCIONAL"/>
    <x v="2"/>
    <n v="66"/>
    <x v="73"/>
    <s v="GO"/>
    <n v="931"/>
    <s v="Ats Off"/>
    <n v="1350"/>
    <s v="W11102574"/>
    <s v="Placas de Controle"/>
    <x v="1"/>
    <n v="1000"/>
    <n v="5002858"/>
    <s v="FAVORITA TRANSPORTES LTDA"/>
    <n v="288.05"/>
    <d v="2025-07-17T00:00:00"/>
  </r>
  <r>
    <n v="254035288"/>
    <n v="64812424"/>
    <s v="REB"/>
    <n v="10111426"/>
    <n v="173"/>
    <s v="PEÇAS - Defeito de fabric./Alta Amperage"/>
    <s v="FUNCIONAL"/>
    <x v="2"/>
    <n v="66"/>
    <x v="73"/>
    <s v="GO"/>
    <n v="931"/>
    <s v="Ats Off"/>
    <n v="1350"/>
    <s v="W11102574"/>
    <s v="Placas de Controle"/>
    <x v="1"/>
    <n v="1000"/>
    <n v="5002858"/>
    <s v="FAVORITA TRANSPORTES LTDA"/>
    <n v="288.05"/>
    <d v="2025-07-17T00:00:00"/>
  </r>
  <r>
    <n v="254042301"/>
    <n v="64795932"/>
    <s v="REB"/>
    <n v="9989836"/>
    <n v="173"/>
    <s v="PEÇAS - Defeito de fabric./Alta Amperage"/>
    <s v="FUNCIONAL"/>
    <x v="0"/>
    <n v="30121"/>
    <x v="23"/>
    <s v="SP"/>
    <n v="648"/>
    <s v="Ultra"/>
    <n v="1350"/>
    <n v="326061171"/>
    <s v="Placas de Controle"/>
    <x v="1"/>
    <n v="1000"/>
    <n v="5004042"/>
    <s v="BRASIL WEB TRANSPORTES E LOGISTICA"/>
    <n v="287.8"/>
    <d v="2025-06-23T00:00:00"/>
  </r>
  <r>
    <n v="254012479"/>
    <n v="64789544"/>
    <s v="REB"/>
    <n v="10006071"/>
    <n v="173"/>
    <s v="PEÇAS - Defeito de fabric./Alta Amperage"/>
    <s v="FUNCIONAL"/>
    <x v="1"/>
    <n v="21594"/>
    <x v="97"/>
    <s v="SP"/>
    <n v="931"/>
    <s v="Ats Off"/>
    <n v="1350"/>
    <s v="W10899324"/>
    <s v="Placas de Controle"/>
    <x v="1"/>
    <n v="1000"/>
    <n v="5004042"/>
    <s v="BRASIL WEB TRANSPORTES E LOGISTICA"/>
    <n v="287.79000000000002"/>
    <d v="2025-06-10T00:00:00"/>
  </r>
  <r>
    <n v="253913186"/>
    <n v="64684556"/>
    <s v="REB"/>
    <n v="9560103"/>
    <n v="176"/>
    <s v="PEÇAS - Defeito de fabric./Interrompido"/>
    <s v="FUNCIONAL"/>
    <x v="1"/>
    <n v="80432"/>
    <x v="3"/>
    <s v="ES"/>
    <n v="713"/>
    <s v="Key Account"/>
    <n v="1350"/>
    <s v="W11161216"/>
    <s v="Placas de Controle"/>
    <x v="1"/>
    <n v="1000"/>
    <n v="5004042"/>
    <s v="BRASIL WEB TRANSPORTES E LOGISTICA"/>
    <n v="287.47000000000003"/>
    <d v="2025-01-06T00:00:00"/>
  </r>
  <r>
    <n v="254012489"/>
    <n v="64789117"/>
    <s v="REB"/>
    <n v="8589407"/>
    <n v="173"/>
    <s v="PEÇAS - Defeito de fabric./Alta Amperage"/>
    <s v="FUNCIONAL"/>
    <x v="1"/>
    <n v="27253"/>
    <x v="167"/>
    <s v="PI"/>
    <n v="931"/>
    <s v="Ats Off"/>
    <n v="1350"/>
    <s v="W10799397"/>
    <s v="Compressores Herméticos"/>
    <x v="0"/>
    <n v="1000"/>
    <n v="5004101"/>
    <s v="UNIDOCK'S ASSESSORIA E LOGISTICA DE"/>
    <n v="287.32"/>
    <d v="2025-06-10T00:00:00"/>
  </r>
  <r>
    <n v="254012490"/>
    <n v="64789198"/>
    <s v="REB"/>
    <n v="8589407"/>
    <n v="178"/>
    <s v="PEÇAS -Defeito de fabric./Sem Compressão"/>
    <s v="FUNCIONAL"/>
    <x v="1"/>
    <n v="27253"/>
    <x v="167"/>
    <s v="PI"/>
    <n v="931"/>
    <s v="Ats Off"/>
    <n v="1350"/>
    <s v="W10799397"/>
    <s v="Compressores Herméticos"/>
    <x v="0"/>
    <n v="1000"/>
    <n v="5004101"/>
    <s v="UNIDOCK'S ASSESSORIA E LOGISTICA DE"/>
    <n v="287.32"/>
    <d v="2025-06-10T00:00:00"/>
  </r>
  <r>
    <n v="253995158"/>
    <n v="64772247"/>
    <s v="REB"/>
    <n v="9777211"/>
    <n v="178"/>
    <s v="PEÇAS -Defeito de fabric./Sem Compressão"/>
    <s v="FUNCIONAL"/>
    <x v="2"/>
    <n v="36655"/>
    <x v="429"/>
    <s v="RJ"/>
    <n v="932"/>
    <s v="CDP Prata"/>
    <n v="1350"/>
    <s v="W11677208"/>
    <s v="Compressores Herméticos"/>
    <x v="0"/>
    <n v="1000"/>
    <n v="5003176"/>
    <s v="J C THEDIN TRANSPORTES LTDA"/>
    <n v="287.16000000000003"/>
    <d v="2025-05-16T00:00:00"/>
  </r>
  <r>
    <n v="254035358"/>
    <n v="64812248"/>
    <s v="REB"/>
    <n v="9929874"/>
    <n v="176"/>
    <s v="PEÇAS - Defeito de fabric./Interrompido"/>
    <s v="FUNCIONAL"/>
    <x v="1"/>
    <n v="22211"/>
    <x v="146"/>
    <s v="SC"/>
    <n v="644"/>
    <s v="Plus"/>
    <n v="1350"/>
    <s v="W10591460"/>
    <s v="Placas de Controle"/>
    <x v="1"/>
    <n v="1000"/>
    <n v="5003024"/>
    <s v="RODOBRAS TRANSPORTES RODOVIARIOS LT"/>
    <n v="287.12"/>
    <d v="2025-07-17T00:00:00"/>
  </r>
  <r>
    <n v="253981560"/>
    <n v="64757785"/>
    <s v="REB"/>
    <n v="9857619"/>
    <n v="173"/>
    <s v="PEÇAS - Defeito de fabric./Alta Amperage"/>
    <s v="FUNCIONAL"/>
    <x v="1"/>
    <n v="63300"/>
    <x v="17"/>
    <s v="MG"/>
    <n v="643"/>
    <s v="Elite"/>
    <n v="1350"/>
    <s v="W11300675"/>
    <s v="Mecanismos"/>
    <x v="2"/>
    <n v="3000"/>
    <n v="5004215"/>
    <s v="BRASIL WEB TRANSPORTES E LOGISTICA"/>
    <n v="286.74"/>
    <d v="2025-04-25T00:00:00"/>
  </r>
  <r>
    <n v="254012535"/>
    <n v="64781973"/>
    <s v="REB"/>
    <n v="9274537"/>
    <n v="173"/>
    <s v="PEÇAS - Defeito de fabric./Alta Amperage"/>
    <s v="FUNCIONAL"/>
    <x v="2"/>
    <n v="47471"/>
    <x v="424"/>
    <s v="TO"/>
    <n v="643"/>
    <s v="Elite"/>
    <n v="1350"/>
    <s v="W11387506"/>
    <s v="Placas de Controle"/>
    <x v="1"/>
    <n v="1000"/>
    <n v="5002858"/>
    <s v="FAVORITA TRANSPORTES LTDA"/>
    <n v="286.60000000000002"/>
    <d v="2025-06-10T00:00:00"/>
  </r>
  <r>
    <n v="254021262"/>
    <n v="64798917"/>
    <s v="ZRDI"/>
    <n v="10060895"/>
    <n v="208"/>
    <s v="DEV-Atraso entrega- LOGISTICA(Transp)"/>
    <s v="TRANSPORTADORA"/>
    <x v="2"/>
    <n v="58057040"/>
    <x v="430"/>
    <s v="GO"/>
    <n v="474"/>
    <s v="Site Brastemp"/>
    <n v="1352"/>
    <s v="W10866791"/>
    <s v="Kits Instalação"/>
    <x v="7"/>
    <n v="2000"/>
    <n v="5002359"/>
    <s v="EMPRESA BRASILEIRA DE CORREIOS E"/>
    <n v="286.54000000000002"/>
    <d v="2025-06-26T00:00:00"/>
  </r>
  <r>
    <s v="Sem TR"/>
    <n v="64816596"/>
    <s v="ZRDI"/>
    <n v="10078179"/>
    <n v="25"/>
    <s v="OC. 80 - EXTRAVIO TOTAL"/>
    <s v="TRANSPORTADORA"/>
    <x v="2"/>
    <n v="50946575"/>
    <x v="431"/>
    <s v="SC"/>
    <n v="474"/>
    <s v="Site Brastemp"/>
    <n v="1352"/>
    <s v="W11300695"/>
    <s v="Mecanismos"/>
    <x v="2"/>
    <n v="1000"/>
    <n v="5002359"/>
    <s v="EMPRESA BRASILEIRA DE CORREIOS E"/>
    <n v="286.37"/>
    <d v="2025-07-24T00:00:00"/>
  </r>
  <r>
    <s v="Sem TR"/>
    <n v="64816596"/>
    <s v="ZRDI"/>
    <n v="10078179"/>
    <n v="25"/>
    <s v="OC. 80 - EXTRAVIO TOTAL"/>
    <s v="TRANSPORTADORA"/>
    <x v="2"/>
    <n v="50946575"/>
    <x v="431"/>
    <s v="SC"/>
    <n v="474"/>
    <s v="Site Brastemp"/>
    <n v="1352"/>
    <s v="W11300695"/>
    <s v="Mecanismos"/>
    <x v="2"/>
    <n v="1000"/>
    <n v="5002359"/>
    <s v="EMPRESA BRASILEIRA DE CORREIOS E"/>
    <n v="286.37"/>
    <d v="2025-07-24T00:00:00"/>
  </r>
  <r>
    <s v="Sem TR"/>
    <n v="64806937"/>
    <s v="REB"/>
    <n v="10108508"/>
    <n v="173"/>
    <s v="PEÇAS - Defeito de fabric./Alta Amperage"/>
    <s v="FUNCIONAL"/>
    <x v="1"/>
    <n v="48500"/>
    <x v="22"/>
    <s v="MG"/>
    <n v="350"/>
    <s v="Ats On"/>
    <n v="1350"/>
    <s v="W11199202"/>
    <s v="Placas de Controle"/>
    <x v="1"/>
    <n v="1000"/>
    <n v="5004215"/>
    <s v="BRASIL WEB TRANSPORTES E LOGISTICA"/>
    <n v="286.31"/>
    <d v="2025-07-17T00:00:00"/>
  </r>
  <r>
    <n v="254033254"/>
    <n v="64802815"/>
    <s v="REB"/>
    <n v="10066399"/>
    <n v="173"/>
    <s v="PEÇAS - Defeito de fabric./Alta Amperage"/>
    <s v="FUNCIONAL"/>
    <x v="1"/>
    <n v="1334"/>
    <x v="188"/>
    <s v="PI"/>
    <n v="350"/>
    <s v="Ats On"/>
    <n v="1350"/>
    <s v="W11677209"/>
    <s v="Compressores Herméticos"/>
    <x v="0"/>
    <n v="1000"/>
    <n v="5004101"/>
    <s v="UNIDOCK'S ASSESSORIA E LOGISTICA DE"/>
    <n v="286.31"/>
    <d v="2025-07-01T00:00:00"/>
  </r>
  <r>
    <n v="254028923"/>
    <n v="64800620"/>
    <s v="REB"/>
    <n v="10066678"/>
    <n v="173"/>
    <s v="PEÇAS - Defeito de fabric./Alta Amperage"/>
    <s v="FUNCIONAL"/>
    <x v="1"/>
    <n v="67948"/>
    <x v="15"/>
    <s v="SC"/>
    <n v="713"/>
    <s v="Key Account"/>
    <n v="1350"/>
    <s v="W11435400"/>
    <s v="Placas de Controle"/>
    <x v="1"/>
    <n v="1000"/>
    <n v="5003024"/>
    <s v="RODOBRAS TRANSPORTES RODOVIARIOS LT"/>
    <n v="286.18"/>
    <d v="2025-07-01T00:00:00"/>
  </r>
  <r>
    <n v="254033383"/>
    <n v="64802452"/>
    <s v="REB"/>
    <n v="10046924"/>
    <n v="176"/>
    <s v="PEÇAS - Defeito de fabric./Interrompido"/>
    <s v="FUNCIONAL"/>
    <x v="1"/>
    <n v="31063"/>
    <x v="308"/>
    <s v="RJ"/>
    <n v="644"/>
    <s v="Plus"/>
    <n v="1350"/>
    <s v="W10591460"/>
    <s v="Placas de Controle"/>
    <x v="1"/>
    <n v="1000"/>
    <n v="5003176"/>
    <s v="J C THEDIN TRANSPORTES LTDA"/>
    <n v="286.17"/>
    <d v="2025-07-01T00:00:00"/>
  </r>
  <r>
    <n v="253961390"/>
    <n v="64730268"/>
    <s v="REB"/>
    <n v="9823221"/>
    <n v="173"/>
    <s v="PEÇAS - Defeito de fabric./Alta Amperage"/>
    <s v="FUNCIONAL"/>
    <x v="1"/>
    <n v="70149"/>
    <x v="147"/>
    <s v="SP"/>
    <n v="963"/>
    <s v="Ats Distribuidoras"/>
    <n v="1350"/>
    <s v="W10806459"/>
    <s v="Motores Ventiladores"/>
    <x v="1"/>
    <n v="2000"/>
    <n v="5004042"/>
    <s v="BRASIL WEB TRANSPORTES E LOGISTICA"/>
    <n v="286.13"/>
    <d v="2025-03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125635"/>
    <s v="Placas de Controle"/>
    <x v="1"/>
    <n v="2000"/>
    <n v="5004101"/>
    <s v="UNIDOCK'S ASSESSORIA E LOGISTICA DE"/>
    <n v="286.12"/>
    <d v="2025-06-24T00:00:00"/>
  </r>
  <r>
    <s v="Sem TR"/>
    <n v="64804737"/>
    <s v="ZRDI"/>
    <n v="10092968"/>
    <n v="208"/>
    <s v="DEV-Atraso entrega- LOGISTICA(Transp)"/>
    <s v="TRANSPORTADORA"/>
    <x v="2"/>
    <n v="51493301"/>
    <x v="432"/>
    <s v="SP"/>
    <n v="475"/>
    <s v="Site Consul"/>
    <n v="1352"/>
    <s v="W11132264"/>
    <s v="Trempes"/>
    <x v="6"/>
    <n v="4000"/>
    <n v="5002359"/>
    <s v="EMPRESA BRASILEIRA DE CORREIOS E"/>
    <n v="286"/>
    <d v="2025-07-02T00:00:00"/>
  </r>
  <r>
    <n v="253970917"/>
    <n v="64748421"/>
    <s v="REB"/>
    <n v="9442721"/>
    <n v="178"/>
    <s v="PEÇAS -Defeito de fabric./Sem Compressão"/>
    <s v="FUNCIONAL"/>
    <x v="2"/>
    <n v="67948"/>
    <x v="15"/>
    <s v="SC"/>
    <n v="713"/>
    <s v="Key Account"/>
    <n v="1350"/>
    <s v="W11647662"/>
    <s v="Compressores Herméticos"/>
    <x v="0"/>
    <n v="1000"/>
    <n v="5003024"/>
    <s v="RODOBRAS TRANSPORTES RODOVIARIOS LT"/>
    <n v="285.91000000000003"/>
    <d v="2025-04-09T00:00:00"/>
  </r>
  <r>
    <n v="254003860"/>
    <n v="64777946"/>
    <s v="REB"/>
    <n v="10037580"/>
    <n v="90"/>
    <s v="CLIENTE-não solicitou"/>
    <s v="COMERCIAL"/>
    <x v="1"/>
    <n v="3648"/>
    <x v="130"/>
    <s v="SP"/>
    <n v="350"/>
    <s v="Ats On"/>
    <n v="1350"/>
    <s v="W10855670"/>
    <s v="Placas de Controle"/>
    <x v="1"/>
    <n v="1000"/>
    <n v="5004042"/>
    <s v="BRASIL WEB TRANSPORTES E LOGISTICA"/>
    <n v="285.8"/>
    <d v="2025-05-26T00:00:00"/>
  </r>
  <r>
    <s v="Sem TR"/>
    <n v="64768425"/>
    <s v="ROB"/>
    <n v="50578"/>
    <n v="25"/>
    <s v="OC. 80 - EXTRAVIO TOTAL"/>
    <s v="TRANSPORTADORA"/>
    <x v="1"/>
    <n v="2832"/>
    <x v="195"/>
    <s v="BA"/>
    <n v="350"/>
    <s v="Ats On"/>
    <n v="1550"/>
    <s v="W10764578"/>
    <s v="Conjunto Varetas"/>
    <x v="8"/>
    <n v="6000"/>
    <n v="5004391"/>
    <s v="JEONCEL TRANSPORTES LTDA"/>
    <n v="285.77999999999997"/>
    <d v="2025-05-12T00:00:00"/>
  </r>
  <r>
    <n v="254033462"/>
    <n v="64807309"/>
    <s v="REB"/>
    <n v="10010296"/>
    <n v="173"/>
    <s v="PEÇAS - Defeito de fabric./Alta Amperage"/>
    <s v="FUNCIONAL"/>
    <x v="1"/>
    <n v="80833"/>
    <x v="132"/>
    <s v="PR"/>
    <n v="644"/>
    <s v="Plus"/>
    <n v="1350"/>
    <s v="W11741178"/>
    <s v="Outros"/>
    <x v="7"/>
    <n v="1000"/>
    <n v="5003024"/>
    <s v="RODOBRAS TRANSPORTES RODOVIARIOS LT"/>
    <n v="285.66000000000003"/>
    <d v="2025-07-08T00:00:00"/>
  </r>
  <r>
    <n v="254004039"/>
    <n v="64776222"/>
    <s v="REB"/>
    <n v="9560111"/>
    <n v="173"/>
    <s v="PEÇAS - Defeito de fabric./Alta Amperage"/>
    <s v="FUNCIONAL"/>
    <x v="2"/>
    <n v="67948"/>
    <x v="15"/>
    <s v="SC"/>
    <n v="713"/>
    <s v="Key Account"/>
    <n v="1350"/>
    <s v="W11161216"/>
    <s v="Placas de Controle"/>
    <x v="1"/>
    <n v="1000"/>
    <n v="5003024"/>
    <s v="RODOBRAS TRANSPORTES RODOVIARIOS LT"/>
    <n v="285.57"/>
    <d v="2025-05-26T00:00:00"/>
  </r>
  <r>
    <n v="254035359"/>
    <n v="64812347"/>
    <s v="REB"/>
    <n v="9929874"/>
    <n v="176"/>
    <s v="PEÇAS - Defeito de fabric./Interrompido"/>
    <s v="FUNCIONAL"/>
    <x v="1"/>
    <n v="22211"/>
    <x v="146"/>
    <s v="SC"/>
    <n v="644"/>
    <s v="Plus"/>
    <n v="1350"/>
    <n v="326061171"/>
    <s v="Placas de Controle"/>
    <x v="1"/>
    <n v="1000"/>
    <n v="5003024"/>
    <s v="RODOBRAS TRANSPORTES RODOVIARIOS LT"/>
    <n v="285.39999999999998"/>
    <d v="2025-07-17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n v="326000516"/>
    <s v="Tirantes"/>
    <x v="8"/>
    <n v="200000"/>
    <n v="5004101"/>
    <s v="UNIDOCK'S ASSESSORIA E LOGISTICA DE"/>
    <n v="285.35000000000002"/>
    <d v="2025-07-29T00:00:00"/>
  </r>
  <r>
    <n v="254033452"/>
    <n v="64800501"/>
    <s v="REB"/>
    <n v="10087349"/>
    <n v="173"/>
    <s v="PEÇAS - Defeito de fabric./Alta Amperage"/>
    <s v="FUNCIONAL"/>
    <x v="1"/>
    <n v="76165"/>
    <x v="433"/>
    <s v="TO"/>
    <n v="641"/>
    <s v="CDP Diamante"/>
    <n v="1350"/>
    <s v="W11387506"/>
    <s v="Placas de Controle"/>
    <x v="1"/>
    <n v="1000"/>
    <n v="5002858"/>
    <s v="FAVORITA TRANSPORTES LTDA"/>
    <n v="285.31"/>
    <d v="2025-07-01T00:00:00"/>
  </r>
  <r>
    <n v="254018241"/>
    <n v="64793487"/>
    <s v="REB"/>
    <n v="9926865"/>
    <n v="173"/>
    <s v="PEÇAS - Defeito de fabric./Alta Amperage"/>
    <s v="FUNCIONAL"/>
    <x v="1"/>
    <n v="27770"/>
    <x v="37"/>
    <s v="AL"/>
    <n v="641"/>
    <s v="CDP Diamante"/>
    <n v="1350"/>
    <s v="W11482941"/>
    <s v="Placas de Controle"/>
    <x v="1"/>
    <n v="1000"/>
    <n v="5004101"/>
    <s v="UNIDOCK'S ASSESSORIA E LOGISTICA DE"/>
    <n v="285.29000000000002"/>
    <d v="2025-06-17T00:00:00"/>
  </r>
  <r>
    <n v="254033452"/>
    <n v="64800148"/>
    <s v="REB"/>
    <n v="10065079"/>
    <n v="173"/>
    <s v="PEÇAS - Defeito de fabric./Alta Amperage"/>
    <s v="FUNCIONAL"/>
    <x v="1"/>
    <n v="76165"/>
    <x v="433"/>
    <s v="TO"/>
    <n v="641"/>
    <s v="CDP Diamante"/>
    <n v="1350"/>
    <n v="326061171"/>
    <s v="Placas de Controle"/>
    <x v="1"/>
    <n v="1000"/>
    <n v="5002858"/>
    <s v="FAVORITA TRANSPORTES LTDA"/>
    <n v="285.25"/>
    <d v="2025-07-01T00:00:00"/>
  </r>
  <r>
    <n v="253981563"/>
    <n v="64756816"/>
    <s v="REB"/>
    <n v="9793766"/>
    <n v="173"/>
    <s v="PEÇAS - Defeito de fabric./Alta Amperage"/>
    <s v="FUNCIONAL"/>
    <x v="1"/>
    <n v="64683"/>
    <x v="56"/>
    <s v="RS"/>
    <n v="648"/>
    <s v="Ultra"/>
    <n v="1350"/>
    <s v="W11647662"/>
    <s v="Compressores Herméticos"/>
    <x v="0"/>
    <n v="1000"/>
    <n v="5003024"/>
    <s v="RODOBRAS TRANSPORTES RODOVIARIOS LT"/>
    <n v="285.02"/>
    <d v="2025-04-25T00:00:00"/>
  </r>
  <r>
    <n v="253953828"/>
    <n v="64732004"/>
    <s v="REB"/>
    <n v="9354510"/>
    <n v="178"/>
    <s v="PEÇAS -Defeito de fabric./Sem Compressão"/>
    <s v="FUNCIONAL"/>
    <x v="1"/>
    <n v="61675"/>
    <x v="12"/>
    <s v="MG"/>
    <n v="643"/>
    <s v="Elite"/>
    <n v="1350"/>
    <s v="W11647662"/>
    <s v="Compressores Herméticos"/>
    <x v="0"/>
    <n v="1000"/>
    <n v="5004215"/>
    <s v="BRASIL WEB TRANSPORTES E LOGISTICA"/>
    <n v="284.88"/>
    <d v="2025-03-14T00:00:00"/>
  </r>
  <r>
    <s v="Sem TR"/>
    <n v="64701909"/>
    <s v="ROB"/>
    <n v="9817420"/>
    <n v="221"/>
    <s v="DEV-Sinistro - SEGURO"/>
    <s v="TRANSPORTADORA"/>
    <x v="0"/>
    <n v="76307"/>
    <x v="434"/>
    <s v="SC"/>
    <n v="350"/>
    <s v="Ats On"/>
    <n v="1350"/>
    <s v="W10709306"/>
    <s v="Placas de Controle"/>
    <x v="1"/>
    <n v="2000"/>
    <n v="5003024"/>
    <s v="RODOBRAS TRANSPORTES RODOVIARIOS LT"/>
    <n v="284.64999999999998"/>
    <d v="2025-01-28T00:00:00"/>
  </r>
  <r>
    <n v="254033417"/>
    <n v="64802549"/>
    <s v="REB"/>
    <n v="10045061"/>
    <n v="173"/>
    <s v="PEÇAS - Defeito de fabric./Alta Amperage"/>
    <s v="FUNCIONAL"/>
    <x v="0"/>
    <n v="51613"/>
    <x v="34"/>
    <s v="MG"/>
    <n v="643"/>
    <s v="Elite"/>
    <n v="1350"/>
    <s v="W11082462"/>
    <s v="Termostatos"/>
    <x v="3"/>
    <n v="6000"/>
    <n v="5004215"/>
    <s v="BRASIL WEB TRANSPORTES E LOGISTICA"/>
    <n v="284.60000000000002"/>
    <d v="2025-07-01T00:00:00"/>
  </r>
  <r>
    <n v="254042334"/>
    <n v="64796291"/>
    <s v="REB"/>
    <n v="10001880"/>
    <n v="176"/>
    <s v="PEÇAS - Defeito de fabric./Interrompido"/>
    <s v="FUNCIONAL"/>
    <x v="0"/>
    <n v="81988"/>
    <x v="38"/>
    <s v="MG"/>
    <n v="648"/>
    <s v="Ultra"/>
    <n v="1350"/>
    <s v="W11647660"/>
    <s v="Compressores Herméticos"/>
    <x v="0"/>
    <n v="1000"/>
    <n v="5004215"/>
    <s v="BRASIL WEB TRANSPORTES E LOGISTICA"/>
    <n v="284.44"/>
    <d v="2025-06-23T00:00:00"/>
  </r>
  <r>
    <n v="254003843"/>
    <n v="64776908"/>
    <s v="REB"/>
    <n v="9857416"/>
    <n v="173"/>
    <s v="PEÇAS - Defeito de fabric./Alta Amperage"/>
    <s v="FUNCIONAL"/>
    <x v="1"/>
    <n v="2274"/>
    <x v="435"/>
    <s v="MG"/>
    <n v="350"/>
    <s v="Ats On"/>
    <n v="1350"/>
    <n v="326053534"/>
    <s v="Motores"/>
    <x v="1"/>
    <n v="1000"/>
    <n v="5004215"/>
    <s v="BRASIL WEB TRANSPORTES E LOGISTICA"/>
    <n v="284.37"/>
    <d v="2025-05-26T00:00:00"/>
  </r>
  <r>
    <s v="Sem TR"/>
    <n v="64790583"/>
    <s v="ZRDI"/>
    <n v="10073332"/>
    <s v="D10"/>
    <s v="DEV D2C - Comprou modelo errado"/>
    <s v="COMERCIAL"/>
    <x v="2"/>
    <n v="50954569"/>
    <x v="436"/>
    <s v="SC"/>
    <n v="474"/>
    <s v="Site Brastemp"/>
    <n v="1352"/>
    <n v="326075376"/>
    <s v="Prateleiras"/>
    <x v="9"/>
    <n v="1000"/>
    <n v="5002359"/>
    <s v="EMPRESA BRASILEIRA DE CORREIOS E"/>
    <n v="284.26"/>
    <d v="2025-06-30T00:00:00"/>
  </r>
  <r>
    <n v="254012537"/>
    <n v="64787950"/>
    <s v="REB"/>
    <n v="9915490"/>
    <n v="178"/>
    <s v="PEÇAS -Defeito de fabric./Sem Compressão"/>
    <s v="FUNCIONAL"/>
    <x v="1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6-10T00:00:00"/>
  </r>
  <r>
    <n v="254037877"/>
    <n v="64796060"/>
    <s v="REB"/>
    <n v="9915490"/>
    <n v="178"/>
    <s v="PEÇAS -Defeito de fabric./Sem Compressão"/>
    <s v="FUNCIONAL"/>
    <x v="1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6-23T00:00:00"/>
  </r>
  <r>
    <n v="254035390"/>
    <n v="64812349"/>
    <s v="REB"/>
    <n v="9915490"/>
    <n v="178"/>
    <s v="PEÇAS -Defeito de fabric./Sem Compressão"/>
    <s v="FUNCIONAL"/>
    <x v="1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7-17T00:00:00"/>
  </r>
  <r>
    <n v="253995179"/>
    <n v="64770710"/>
    <s v="REB"/>
    <n v="9915490"/>
    <n v="178"/>
    <s v="PEÇAS -Defeito de fabric./Sem Compressão"/>
    <s v="FUNCIONAL"/>
    <x v="2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5-15T00:00:00"/>
  </r>
  <r>
    <n v="253995178"/>
    <n v="64770864"/>
    <s v="REB"/>
    <n v="9915490"/>
    <n v="178"/>
    <s v="PEÇAS -Defeito de fabric./Sem Compressão"/>
    <s v="FUNCIONAL"/>
    <x v="2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5-15T00:00:00"/>
  </r>
  <r>
    <n v="254004003"/>
    <n v="64777517"/>
    <s v="REB"/>
    <n v="9915490"/>
    <n v="178"/>
    <s v="PEÇAS -Defeito de fabric./Sem Compressão"/>
    <s v="FUNCIONAL"/>
    <x v="2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5-26T00:00:00"/>
  </r>
  <r>
    <n v="254004004"/>
    <n v="64778070"/>
    <s v="REB"/>
    <n v="9915490"/>
    <n v="178"/>
    <s v="PEÇAS -Defeito de fabric./Sem Compressão"/>
    <s v="FUNCIONAL"/>
    <x v="2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5-26T00:00:00"/>
  </r>
  <r>
    <n v="254037878"/>
    <n v="64796200"/>
    <s v="REB"/>
    <n v="9915490"/>
    <n v="178"/>
    <s v="PEÇAS -Defeito de fabric./Sem Compressão"/>
    <s v="FUNCIONAL"/>
    <x v="0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6-23T00:00:00"/>
  </r>
  <r>
    <n v="254037879"/>
    <n v="64796201"/>
    <s v="REB"/>
    <n v="9915490"/>
    <n v="178"/>
    <s v="PEÇAS -Defeito de fabric./Sem Compressão"/>
    <s v="FUNCIONAL"/>
    <x v="0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6-23T00:00:00"/>
  </r>
  <r>
    <n v="254037880"/>
    <n v="64796202"/>
    <s v="REB"/>
    <n v="9915490"/>
    <n v="178"/>
    <s v="PEÇAS -Defeito de fabric./Sem Compressão"/>
    <s v="FUNCIONAL"/>
    <x v="0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83.87"/>
    <d v="2025-06-23T00:00:00"/>
  </r>
  <r>
    <n v="254018386"/>
    <n v="64788333"/>
    <s v="REB"/>
    <n v="9656978"/>
    <n v="173"/>
    <s v="PEÇAS - Defeito de fabric./Alta Amperage"/>
    <s v="FUNCIONAL"/>
    <x v="2"/>
    <n v="81988"/>
    <x v="38"/>
    <s v="MG"/>
    <n v="648"/>
    <s v="Ultra"/>
    <n v="1350"/>
    <s v="W10591605"/>
    <s v="Placas de Controle"/>
    <x v="1"/>
    <n v="1000"/>
    <n v="5004215"/>
    <s v="BRASIL WEB TRANSPORTES E LOGISTICA"/>
    <n v="283.77"/>
    <d v="2025-06-16T00:00:00"/>
  </r>
  <r>
    <n v="254012624"/>
    <n v="64789377"/>
    <s v="REB"/>
    <n v="9656978"/>
    <n v="176"/>
    <s v="PEÇAS - Defeito de fabric./Interrompido"/>
    <s v="FUNCIONAL"/>
    <x v="2"/>
    <n v="81988"/>
    <x v="38"/>
    <s v="MG"/>
    <n v="648"/>
    <s v="Ultra"/>
    <n v="1350"/>
    <s v="W10591605"/>
    <s v="Placas de Controle"/>
    <x v="1"/>
    <n v="1000"/>
    <n v="5004215"/>
    <s v="BRASIL WEB TRANSPORTES E LOGISTICA"/>
    <n v="283.77"/>
    <d v="2025-06-10T00:00:00"/>
  </r>
  <r>
    <s v="Sem TR"/>
    <n v="64777864"/>
    <s v="REB"/>
    <n v="10039837"/>
    <n v="509"/>
    <s v="Qtd de peças a Menor dentro do Volume"/>
    <s v="LOGÍSTICA"/>
    <x v="1"/>
    <n v="80164"/>
    <x v="437"/>
    <s v="SP"/>
    <n v="641"/>
    <s v="CDP Diamante"/>
    <n v="1350"/>
    <s v="W10531315"/>
    <s v="Sensores"/>
    <x v="3"/>
    <n v="32000"/>
    <n v="5002359"/>
    <s v="EMPRESA BRASILEIRA DE CORREIOS E"/>
    <n v="283.55"/>
    <d v="2025-05-26T00:00:00"/>
  </r>
  <r>
    <n v="254043849"/>
    <n v="64809675"/>
    <s v="REB"/>
    <n v="10113756"/>
    <n v="115"/>
    <s v="PEÇAS-Recusa do cliente"/>
    <s v="COMERCIAL"/>
    <x v="0"/>
    <n v="2343"/>
    <x v="438"/>
    <s v="MG"/>
    <n v="350"/>
    <s v="Ats On"/>
    <n v="1350"/>
    <s v="W10440443"/>
    <s v="Gaxetas"/>
    <x v="4"/>
    <n v="5000"/>
    <n v="5004215"/>
    <s v="BRASIL WEB TRANSPORTES E LOGISTICA"/>
    <n v="283.52"/>
    <d v="2025-07-12T00:00:00"/>
  </r>
  <r>
    <n v="254041869"/>
    <n v="64785948"/>
    <s v="REB"/>
    <n v="10077874"/>
    <n v="176"/>
    <s v="PEÇAS - Defeito de fabric./Interrompido"/>
    <s v="FUNCIONAL"/>
    <x v="0"/>
    <n v="121"/>
    <x v="75"/>
    <s v="PR"/>
    <n v="931"/>
    <s v="Ats Off"/>
    <n v="1350"/>
    <n v="326073242"/>
    <s v="Placas de Controle"/>
    <x v="1"/>
    <n v="2000"/>
    <n v="5003024"/>
    <s v="RODOBRAS TRANSPORTES RODOVIARIOS LT"/>
    <n v="283.5"/>
    <d v="2025-06-23T00:00:00"/>
  </r>
  <r>
    <n v="254004032"/>
    <n v="64778499"/>
    <s v="REB"/>
    <n v="9776513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83.49"/>
    <d v="2025-05-26T00:00:00"/>
  </r>
  <r>
    <n v="254012556"/>
    <n v="64789279"/>
    <s v="REB"/>
    <n v="9776513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83.49"/>
    <d v="2025-06-10T00:00:00"/>
  </r>
  <r>
    <n v="254012559"/>
    <n v="64789148"/>
    <s v="REB"/>
    <n v="9776513"/>
    <n v="178"/>
    <s v="PEÇAS -Defeito de fabric./Sem Compressão"/>
    <s v="FUNCIONAL"/>
    <x v="2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83.49"/>
    <d v="2025-06-10T00:00:00"/>
  </r>
  <r>
    <n v="254012558"/>
    <n v="64789230"/>
    <s v="REB"/>
    <n v="9776513"/>
    <n v="178"/>
    <s v="PEÇAS -Defeito de fabric./Sem Compressão"/>
    <s v="FUNCIONAL"/>
    <x v="2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83.49"/>
    <d v="2025-06-10T00:00:00"/>
  </r>
  <r>
    <n v="254012560"/>
    <n v="64789274"/>
    <s v="REB"/>
    <n v="9776513"/>
    <n v="178"/>
    <s v="PEÇAS -Defeito de fabric./Sem Compressão"/>
    <s v="FUNCIONAL"/>
    <x v="2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83.49"/>
    <d v="2025-06-10T00:00:00"/>
  </r>
  <r>
    <n v="254012557"/>
    <n v="64789275"/>
    <s v="REB"/>
    <n v="9776513"/>
    <n v="178"/>
    <s v="PEÇAS -Defeito de fabric./Sem Compressão"/>
    <s v="FUNCIONAL"/>
    <x v="2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83.49"/>
    <d v="2025-06-10T00:00:00"/>
  </r>
  <r>
    <n v="254007618"/>
    <n v="64777687"/>
    <s v="REB"/>
    <n v="9953886"/>
    <n v="176"/>
    <s v="PEÇAS - Defeito de fabric./Interrompido"/>
    <s v="FUNCIONAL"/>
    <x v="1"/>
    <n v="81988"/>
    <x v="38"/>
    <s v="MG"/>
    <n v="648"/>
    <s v="Ultra"/>
    <n v="1350"/>
    <s v="W11647660"/>
    <s v="Compressores Herméticos"/>
    <x v="0"/>
    <n v="1000"/>
    <n v="5004215"/>
    <s v="BRASIL WEB TRANSPORTES E LOGISTICA"/>
    <n v="283.39999999999998"/>
    <d v="2025-06-02T00:00:00"/>
  </r>
  <r>
    <n v="254035365"/>
    <n v="64812493"/>
    <s v="REB"/>
    <n v="9938657"/>
    <n v="173"/>
    <s v="PEÇAS - Defeito de fabric./Alta Amperage"/>
    <s v="FUNCIONAL"/>
    <x v="1"/>
    <n v="28016"/>
    <x v="331"/>
    <s v="RJ"/>
    <n v="933"/>
    <s v="Top"/>
    <n v="1350"/>
    <s v="W11458014"/>
    <s v="Placas de Controle"/>
    <x v="1"/>
    <n v="1000"/>
    <n v="5003176"/>
    <s v="J C THEDIN TRANSPORTES LTDA"/>
    <n v="283.27"/>
    <d v="2025-07-17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828358"/>
    <s v="Pressostatos"/>
    <x v="3"/>
    <n v="10000"/>
    <n v="5002359"/>
    <s v="EMPRESA BRASILEIRA DE CORREIOS E"/>
    <n v="282.94"/>
    <d v="2025-07-08T00:00:00"/>
  </r>
  <r>
    <n v="254033396"/>
    <n v="64802474"/>
    <s v="REB"/>
    <n v="10048615"/>
    <n v="173"/>
    <s v="PEÇAS - Defeito de fabric./Alta Amperage"/>
    <s v="FUNCIONAL"/>
    <x v="1"/>
    <n v="37434"/>
    <x v="95"/>
    <s v="GO"/>
    <n v="931"/>
    <s v="Ats Off"/>
    <n v="1350"/>
    <s v="W11435392"/>
    <s v="Placas de Controle"/>
    <x v="1"/>
    <n v="1000"/>
    <n v="5002858"/>
    <s v="FAVORITA TRANSPORTES LTDA"/>
    <n v="282.74"/>
    <d v="2025-07-01T00:00:00"/>
  </r>
  <r>
    <s v="Sem TR"/>
    <n v="64817565"/>
    <s v="REB"/>
    <n v="10010142"/>
    <n v="178"/>
    <s v="PEÇAS -Defeito de fabric./Sem Compressão"/>
    <s v="FUNCIONAL"/>
    <x v="1"/>
    <n v="29164"/>
    <x v="32"/>
    <s v="BA"/>
    <n v="648"/>
    <s v="Ultra"/>
    <n v="1350"/>
    <s v="W11647662"/>
    <s v="Compressores Herméticos"/>
    <x v="0"/>
    <n v="1000"/>
    <n v="5004101"/>
    <s v="UNIDOCK'S ASSESSORIA E LOGISTICA DE"/>
    <n v="282.72000000000003"/>
    <d v="2025-07-25T00:00:00"/>
  </r>
  <r>
    <n v="254007575"/>
    <n v="64782693"/>
    <s v="REB"/>
    <n v="10010142"/>
    <n v="178"/>
    <s v="PEÇAS -Defeito de fabric./Sem Compressão"/>
    <s v="FUNCIONAL"/>
    <x v="1"/>
    <n v="29164"/>
    <x v="32"/>
    <s v="BA"/>
    <n v="648"/>
    <s v="Ultra"/>
    <n v="1350"/>
    <s v="W11647662"/>
    <s v="Compressores Herméticos"/>
    <x v="0"/>
    <n v="1000"/>
    <n v="5004101"/>
    <s v="UNIDOCK'S ASSESSORIA E LOGISTICA DE"/>
    <n v="282.72000000000003"/>
    <d v="2025-06-02T00:00:00"/>
  </r>
  <r>
    <n v="254018098"/>
    <n v="64791582"/>
    <s v="REB"/>
    <n v="9950746"/>
    <n v="176"/>
    <s v="PEÇAS - Defeito de fabric./Interrompido"/>
    <s v="FUNCIONAL"/>
    <x v="2"/>
    <n v="66"/>
    <x v="73"/>
    <s v="GO"/>
    <n v="931"/>
    <s v="Ats Off"/>
    <n v="1350"/>
    <s v="W10720170"/>
    <s v="Dispensers"/>
    <x v="9"/>
    <n v="1000"/>
    <n v="5002858"/>
    <s v="FAVORITA TRANSPORTES LTDA"/>
    <n v="282.58"/>
    <d v="2025-06-17T00:00:00"/>
  </r>
  <r>
    <n v="254012531"/>
    <n v="64788473"/>
    <s v="REB"/>
    <n v="9561060"/>
    <n v="173"/>
    <s v="PEÇAS - Defeito de fabric./Alta Amperage"/>
    <s v="FUNCIONAL"/>
    <x v="2"/>
    <n v="47026"/>
    <x v="16"/>
    <s v="BA"/>
    <n v="643"/>
    <s v="Elite"/>
    <n v="1350"/>
    <s v="W11161216"/>
    <s v="Placas de Controle"/>
    <x v="1"/>
    <n v="1000"/>
    <n v="5004101"/>
    <s v="UNIDOCK'S ASSESSORIA E LOGISTICA DE"/>
    <n v="282.47000000000003"/>
    <d v="2025-06-10T00:00:00"/>
  </r>
  <r>
    <s v="Sem TR"/>
    <n v="64807150"/>
    <s v="REB"/>
    <n v="10082972"/>
    <n v="506"/>
    <s v="Qtd de peças a Maior dentro do Volume"/>
    <s v="LOGÍSTICA"/>
    <x v="1"/>
    <n v="28681"/>
    <x v="277"/>
    <s v="SP"/>
    <n v="643"/>
    <s v="Elite"/>
    <n v="1350"/>
    <n v="326065990"/>
    <s v="Recipientes de Evaporação"/>
    <x v="9"/>
    <n v="20000"/>
    <n v="5004042"/>
    <s v="BRASIL WEB TRANSPORTES E LOGISTICA"/>
    <n v="282.44"/>
    <d v="2025-07-08T00:00:00"/>
  </r>
  <r>
    <n v="253931135"/>
    <n v="64703958"/>
    <s v="REB"/>
    <n v="9688056"/>
    <n v="173"/>
    <s v="PEÇAS - Defeito de fabric./Alta Amperage"/>
    <s v="FUNCIONAL"/>
    <x v="1"/>
    <n v="56592"/>
    <x v="233"/>
    <s v="SE"/>
    <n v="933"/>
    <s v="Top"/>
    <n v="1350"/>
    <s v="W11677208"/>
    <s v="Compressores Herméticos"/>
    <x v="0"/>
    <n v="1000"/>
    <n v="5004101"/>
    <s v="UNIDOCK'S ASSESSORIA E LOGISTICA DE"/>
    <n v="282.33"/>
    <d v="2025-01-31T00:00:00"/>
  </r>
  <r>
    <n v="254004011"/>
    <n v="64776192"/>
    <s v="REB"/>
    <n v="9688056"/>
    <n v="173"/>
    <s v="PEÇAS - Defeito de fabric./Alta Amperage"/>
    <s v="FUNCIONAL"/>
    <x v="1"/>
    <n v="56592"/>
    <x v="233"/>
    <s v="SE"/>
    <n v="641"/>
    <s v="CDP Diamante"/>
    <n v="1350"/>
    <s v="W11677208"/>
    <s v="Compressores Herméticos"/>
    <x v="0"/>
    <n v="1000"/>
    <n v="5004101"/>
    <s v="UNIDOCK'S ASSESSORIA E LOGISTICA DE"/>
    <n v="282.33"/>
    <d v="2025-05-26T00:00:00"/>
  </r>
  <r>
    <n v="253926993"/>
    <n v="64700586"/>
    <s v="REB"/>
    <n v="9688056"/>
    <n v="173"/>
    <s v="PEÇAS - Defeito de fabric./Alta Amperage"/>
    <s v="FUNCIONAL"/>
    <x v="2"/>
    <n v="56592"/>
    <x v="233"/>
    <s v="SE"/>
    <n v="933"/>
    <s v="Top"/>
    <n v="1350"/>
    <s v="W11677208"/>
    <s v="Compressores Herméticos"/>
    <x v="0"/>
    <n v="1000"/>
    <n v="5004101"/>
    <s v="UNIDOCK'S ASSESSORIA E LOGISTICA DE"/>
    <n v="282.33"/>
    <d v="2025-01-27T00:00:00"/>
  </r>
  <r>
    <n v="253970961"/>
    <n v="64748339"/>
    <s v="REB"/>
    <n v="9900032"/>
    <n v="173"/>
    <s v="PEÇAS - Defeito de fabric./Alta Amperage"/>
    <s v="FUNCIONAL"/>
    <x v="2"/>
    <n v="87707"/>
    <x v="143"/>
    <s v="BA"/>
    <n v="648"/>
    <s v="Ultra"/>
    <n v="1350"/>
    <s v="W11435390"/>
    <s v="Placas de Controle"/>
    <x v="1"/>
    <n v="1000"/>
    <n v="5004101"/>
    <s v="UNIDOCK'S ASSESSORIA E LOGISTICA DE"/>
    <n v="282.25"/>
    <d v="2025-04-09T00:00:00"/>
  </r>
  <r>
    <n v="254033257"/>
    <n v="64802246"/>
    <s v="REB"/>
    <n v="10081826"/>
    <n v="173"/>
    <s v="PEÇAS - Defeito de fabric./Alta Amperage"/>
    <s v="FUNCIONAL"/>
    <x v="1"/>
    <n v="3236"/>
    <x v="45"/>
    <s v="SP"/>
    <n v="931"/>
    <s v="Ats Off"/>
    <n v="1350"/>
    <s v="W11619317"/>
    <s v="Placas de Controle"/>
    <x v="1"/>
    <n v="1000"/>
    <n v="5004042"/>
    <s v="BRASIL WEB TRANSPORTES E LOGISTICA"/>
    <n v="282.22000000000003"/>
    <d v="2025-07-08T00:00:00"/>
  </r>
  <r>
    <n v="254033450"/>
    <n v="64804426"/>
    <s v="REB"/>
    <n v="10113202"/>
    <n v="173"/>
    <s v="PEÇAS - Defeito de fabric./Alta Amperage"/>
    <s v="FUNCIONAL"/>
    <x v="1"/>
    <n v="75812"/>
    <x v="102"/>
    <s v="SP"/>
    <n v="931"/>
    <s v="Ats Off"/>
    <n v="1350"/>
    <s v="W11619317"/>
    <s v="Placas de Controle"/>
    <x v="1"/>
    <n v="1000"/>
    <n v="5004042"/>
    <s v="BRASIL WEB TRANSPORTES E LOGISTICA"/>
    <n v="282.22000000000003"/>
    <d v="2025-07-08T00:00:00"/>
  </r>
  <r>
    <s v="Sem TR"/>
    <n v="64807057"/>
    <s v="ZRDI"/>
    <n v="10129834"/>
    <s v="D10"/>
    <s v="DEV D2C - Comprou modelo errado"/>
    <s v="COMERCIAL"/>
    <x v="2"/>
    <n v="54586865"/>
    <x v="439"/>
    <s v="BA"/>
    <n v="466"/>
    <s v="Sup ML Marketplace"/>
    <n v="1352"/>
    <s v="W11226308"/>
    <s v="Tanques"/>
    <x v="9"/>
    <n v="1000"/>
    <n v="5002359"/>
    <s v="EMPRESA BRASILEIRA DE CORREIOS E"/>
    <n v="282.13"/>
    <d v="2025-07-24T00:00:00"/>
  </r>
  <r>
    <s v="Sem TR"/>
    <n v="64807057"/>
    <s v="ZRDI"/>
    <n v="10129834"/>
    <s v="D10"/>
    <s v="DEV D2C - Comprou modelo errado"/>
    <s v="COMERCIAL"/>
    <x v="2"/>
    <n v="54586865"/>
    <x v="439"/>
    <s v="BA"/>
    <n v="466"/>
    <s v="Sup ML Marketplace"/>
    <n v="1352"/>
    <s v="W11226308"/>
    <s v="Tanques"/>
    <x v="9"/>
    <n v="1000"/>
    <n v="5002359"/>
    <s v="EMPRESA BRASILEIRA DE CORREIOS E"/>
    <n v="282.13"/>
    <d v="2025-07-24T00:00:00"/>
  </r>
  <r>
    <n v="253970683"/>
    <n v="64748173"/>
    <s v="REB"/>
    <n v="9905369"/>
    <n v="173"/>
    <s v="PEÇAS - Defeito de fabric./Alta Amperage"/>
    <s v="FUNCIONAL"/>
    <x v="1"/>
    <n v="3236"/>
    <x v="45"/>
    <s v="SP"/>
    <n v="931"/>
    <s v="Ats Off"/>
    <n v="1350"/>
    <s v="W11619403"/>
    <s v="Placas de Controle"/>
    <x v="1"/>
    <n v="1000"/>
    <n v="5004042"/>
    <s v="BRASIL WEB TRANSPORTES E LOGISTICA"/>
    <n v="282.04000000000002"/>
    <d v="2025-04-09T00:00:00"/>
  </r>
  <r>
    <s v="Sem TR"/>
    <n v="64817605"/>
    <s v="REB"/>
    <n v="9692194"/>
    <n v="178"/>
    <s v="PEÇAS -Defeito de fabric./Sem Compressão"/>
    <s v="FUNCIONAL"/>
    <x v="1"/>
    <n v="73602"/>
    <x v="200"/>
    <s v="MA"/>
    <n v="648"/>
    <s v="Ultra"/>
    <n v="1350"/>
    <s v="W11677209"/>
    <s v="Compressores Herméticos"/>
    <x v="0"/>
    <n v="1000"/>
    <n v="5004101"/>
    <s v="UNIDOCK'S ASSESSORIA E LOGISTICA DE"/>
    <n v="282.02"/>
    <d v="2025-07-25T00:00:00"/>
  </r>
  <r>
    <s v="Sem TR"/>
    <n v="64807416"/>
    <s v="ZRDI"/>
    <n v="10127909"/>
    <s v="D18"/>
    <s v="DEV D2C - Arrependimento não quero mais"/>
    <s v="COMERCIAL"/>
    <x v="2"/>
    <n v="56379165"/>
    <x v="440"/>
    <s v="MG"/>
    <n v="474"/>
    <s v="Site Brastemp"/>
    <n v="1352"/>
    <s v="W10585027"/>
    <s v="Bombas"/>
    <x v="1"/>
    <n v="1000"/>
    <n v="5002359"/>
    <s v="EMPRESA BRASILEIRA DE CORREIOS E"/>
    <n v="281.63"/>
    <d v="2025-07-18T00:00:00"/>
  </r>
  <r>
    <s v="Sem TR"/>
    <n v="64807416"/>
    <s v="ZRDI"/>
    <n v="10127909"/>
    <s v="D18"/>
    <s v="DEV D2C - Arrependimento não quero mais"/>
    <s v="COMERCIAL"/>
    <x v="2"/>
    <n v="56379165"/>
    <x v="440"/>
    <s v="MG"/>
    <n v="474"/>
    <s v="Site Brastemp"/>
    <n v="1352"/>
    <s v="W10585027"/>
    <s v="Bombas"/>
    <x v="1"/>
    <n v="1000"/>
    <n v="5002359"/>
    <s v="EMPRESA BRASILEIRA DE CORREIOS E"/>
    <n v="281.63"/>
    <d v="2025-07-18T00:00:00"/>
  </r>
  <r>
    <s v="Sem TR"/>
    <n v="64819470"/>
    <s v="ZRDI"/>
    <n v="10142762"/>
    <s v="D10"/>
    <s v="DEV D2C - Comprou modelo errado"/>
    <s v="COMERCIAL"/>
    <x v="1"/>
    <n v="58165343"/>
    <x v="441"/>
    <s v="PE"/>
    <n v="475"/>
    <s v="Site Consul"/>
    <n v="1352"/>
    <s v="W10446925"/>
    <s v="Placas de Controle"/>
    <x v="1"/>
    <n v="1000"/>
    <n v="5002359"/>
    <s v="EMPRESA BRASILEIRA DE CORREIOS E"/>
    <n v="281.56"/>
    <d v="2025-07-29T00:00:00"/>
  </r>
  <r>
    <n v="253983944"/>
    <n v="64759909"/>
    <s v="REB"/>
    <n v="9749049"/>
    <n v="178"/>
    <s v="PEÇAS -Defeito de fabric./Sem Compressão"/>
    <s v="FUNCIONAL"/>
    <x v="2"/>
    <n v="61675"/>
    <x v="12"/>
    <s v="MG"/>
    <n v="643"/>
    <s v="Elite"/>
    <n v="1350"/>
    <s v="W11677209"/>
    <s v="Compressores Herméticos"/>
    <x v="0"/>
    <n v="1000"/>
    <n v="5004215"/>
    <s v="BRASIL WEB TRANSPORTES E LOGISTICA"/>
    <n v="281.39"/>
    <d v="2025-04-28T00:00:00"/>
  </r>
  <r>
    <n v="254003991"/>
    <n v="64777771"/>
    <s v="REB"/>
    <n v="10012440"/>
    <n v="173"/>
    <s v="PEÇAS - Defeito de fabric./Alta Amperage"/>
    <s v="FUNCIONAL"/>
    <x v="2"/>
    <n v="49243"/>
    <x v="67"/>
    <s v="MS"/>
    <n v="643"/>
    <s v="Elite"/>
    <n v="1350"/>
    <s v="W11366400"/>
    <s v="Placas de Controle"/>
    <x v="1"/>
    <n v="1000"/>
    <n v="5002573"/>
    <s v="CARVALIMA TRANSPORTES LTDA"/>
    <n v="281.38"/>
    <d v="2025-05-26T00:00:00"/>
  </r>
  <r>
    <n v="254021266"/>
    <n v="64798921"/>
    <s v="ZRDI"/>
    <n v="10070948"/>
    <n v="208"/>
    <s v="DEV-Atraso entrega- LOGISTICA(Transp)"/>
    <s v="TRANSPORTADORA"/>
    <x v="2"/>
    <n v="55191965"/>
    <x v="442"/>
    <s v="PI"/>
    <n v="474"/>
    <s v="Site Brastemp"/>
    <n v="1352"/>
    <n v="326075876"/>
    <s v="Filtros"/>
    <x v="5"/>
    <n v="1000"/>
    <n v="5002359"/>
    <s v="EMPRESA BRASILEIRA DE CORREIOS E"/>
    <n v="281.2"/>
    <d v="2025-06-26T00:00:00"/>
  </r>
  <r>
    <n v="253970784"/>
    <n v="64748651"/>
    <s v="REB"/>
    <n v="9835819"/>
    <n v="173"/>
    <s v="PEÇAS - Defeito de fabric./Alta Amperage"/>
    <s v="FUNCIONAL"/>
    <x v="2"/>
    <n v="31587"/>
    <x v="135"/>
    <s v="SP"/>
    <n v="643"/>
    <s v="Elite"/>
    <n v="1350"/>
    <s v="W10876756"/>
    <s v="Painéis de Controle"/>
    <x v="6"/>
    <n v="1000"/>
    <n v="5004042"/>
    <s v="BRASIL WEB TRANSPORTES E LOGISTICA"/>
    <n v="280.94"/>
    <d v="2025-04-09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1551361"/>
    <s v="Peças Mecanismos"/>
    <x v="2"/>
    <n v="21000"/>
    <n v="5004101"/>
    <s v="UNIDOCK'S ASSESSORIA E LOGISTICA DE"/>
    <n v="280.91000000000003"/>
    <d v="2025-07-29T00:00:00"/>
  </r>
  <r>
    <n v="253988783"/>
    <n v="64760620"/>
    <s v="REB"/>
    <n v="9994794"/>
    <n v="176"/>
    <s v="PEÇAS - Defeito de fabric./Interrompido"/>
    <s v="FUNCIONAL"/>
    <x v="2"/>
    <n v="3506"/>
    <x v="46"/>
    <s v="SP"/>
    <n v="931"/>
    <s v="Ats Off"/>
    <n v="1350"/>
    <s v="W10805250"/>
    <s v="Transformadores"/>
    <x v="1"/>
    <n v="1000"/>
    <n v="5004042"/>
    <s v="BRASIL WEB TRANSPORTES E LOGISTICA"/>
    <n v="280.83999999999997"/>
    <d v="2025-05-05T00:00:00"/>
  </r>
  <r>
    <s v="Sem TR"/>
    <n v="64805733"/>
    <s v="REB"/>
    <n v="9378510"/>
    <n v="178"/>
    <s v="PEÇAS -Defeito de fabric./Sem Compressão"/>
    <s v="FUNCIONAL"/>
    <x v="1"/>
    <n v="63300"/>
    <x v="17"/>
    <s v="MG"/>
    <n v="643"/>
    <s v="Elite"/>
    <n v="1350"/>
    <s v="W10798744"/>
    <s v="Compressores Herméticos"/>
    <x v="0"/>
    <n v="1000"/>
    <n v="5004215"/>
    <s v="BRASIL WEB TRANSPORTES E LOGISTICA"/>
    <n v="280.82"/>
    <d v="2025-07-22T00:00:00"/>
  </r>
  <r>
    <n v="254018317"/>
    <n v="64789841"/>
    <s v="REB"/>
    <n v="9942024"/>
    <n v="178"/>
    <s v="PEÇAS -Defeito de fabric./Sem Compressão"/>
    <s v="FUNCIONAL"/>
    <x v="1"/>
    <n v="50822"/>
    <x v="40"/>
    <s v="AL"/>
    <n v="644"/>
    <s v="Plus"/>
    <n v="1350"/>
    <s v="W11647662"/>
    <s v="Compressores Herméticos"/>
    <x v="0"/>
    <n v="1000"/>
    <n v="5004101"/>
    <s v="UNIDOCK'S ASSESSORIA E LOGISTICA DE"/>
    <n v="280.8"/>
    <d v="2025-06-16T00:00:00"/>
  </r>
  <r>
    <n v="254042267"/>
    <n v="64795368"/>
    <s v="REB"/>
    <n v="9942024"/>
    <n v="178"/>
    <s v="PEÇAS -Defeito de fabric./Sem Compressão"/>
    <s v="FUNCIONAL"/>
    <x v="0"/>
    <n v="50822"/>
    <x v="40"/>
    <s v="AL"/>
    <n v="644"/>
    <s v="Plus"/>
    <n v="1350"/>
    <s v="W11647662"/>
    <s v="Compressores Herméticos"/>
    <x v="0"/>
    <n v="1000"/>
    <n v="5004101"/>
    <s v="UNIDOCK'S ASSESSORIA E LOGISTICA DE"/>
    <n v="280.8"/>
    <d v="2025-06-23T00:00:00"/>
  </r>
  <r>
    <n v="254035386"/>
    <n v="64812348"/>
    <s v="REB"/>
    <n v="9942024"/>
    <n v="178"/>
    <s v="PEÇAS -Defeito de fabric./Sem Compressão"/>
    <s v="FUNCIONAL"/>
    <x v="0"/>
    <n v="50822"/>
    <x v="40"/>
    <s v="AL"/>
    <n v="644"/>
    <s v="Plus"/>
    <n v="1350"/>
    <s v="W11647662"/>
    <s v="Compressores Herméticos"/>
    <x v="0"/>
    <n v="1000"/>
    <n v="5004101"/>
    <s v="UNIDOCK'S ASSESSORIA E LOGISTICA DE"/>
    <n v="280.8"/>
    <d v="2025-07-17T00:00:00"/>
  </r>
  <r>
    <n v="254012501"/>
    <n v="64787223"/>
    <s v="REB"/>
    <n v="9998637"/>
    <n v="173"/>
    <s v="PEÇAS - Defeito de fabric./Alta Amperage"/>
    <s v="FUNCIONAL"/>
    <x v="2"/>
    <n v="28991"/>
    <x v="65"/>
    <s v="MG"/>
    <n v="643"/>
    <s v="Elite"/>
    <n v="1350"/>
    <s v="W11299803"/>
    <s v="Mecanismos"/>
    <x v="2"/>
    <n v="3000"/>
    <n v="5004215"/>
    <s v="BRASIL WEB TRANSPORTES E LOGISTICA"/>
    <n v="280.70999999999998"/>
    <d v="2025-06-10T00:00:00"/>
  </r>
  <r>
    <s v="Sem TR"/>
    <n v="64795927"/>
    <s v="ZRDI"/>
    <n v="10081931"/>
    <s v="D18"/>
    <s v="DEV D2C - Arrependimento não quero mais"/>
    <s v="COMERCIAL"/>
    <x v="2"/>
    <n v="55833450"/>
    <x v="443"/>
    <s v="SP"/>
    <n v="475"/>
    <s v="Site Consul"/>
    <n v="1352"/>
    <s v="W10866791"/>
    <s v="Kits Instalação"/>
    <x v="7"/>
    <n v="2000"/>
    <n v="5002359"/>
    <s v="EMPRESA BRASILEIRA DE CORREIOS E"/>
    <n v="280.7"/>
    <d v="2025-06-26T00:00:00"/>
  </r>
  <r>
    <s v="Sem TR"/>
    <n v="64789160"/>
    <s v="REB"/>
    <n v="10058290"/>
    <n v="509"/>
    <s v="Qtd de peças a Menor dentro do Volume"/>
    <s v="LOGÍSTICA"/>
    <x v="1"/>
    <n v="84461"/>
    <x v="415"/>
    <s v="SP"/>
    <n v="350"/>
    <s v="Ats On"/>
    <n v="1350"/>
    <s v="W11627749"/>
    <s v="Manuais do Consumidor"/>
    <x v="11"/>
    <n v="199000"/>
    <n v="5002359"/>
    <s v="EMPRESA BRASILEIRA DE CORREIOS E"/>
    <n v="280.58999999999997"/>
    <d v="2025-06-10T00:00:00"/>
  </r>
  <r>
    <n v="254024130"/>
    <n v="64803707"/>
    <s v="ZRDI"/>
    <n v="10054141"/>
    <n v="208"/>
    <s v="DEV-Atraso entrega- LOGISTICA(Transp)"/>
    <s v="TRANSPORTADORA"/>
    <x v="2"/>
    <n v="5706291"/>
    <x v="444"/>
    <s v="CE"/>
    <n v="474"/>
    <s v="Site Brastemp"/>
    <n v="1352"/>
    <s v="W10866791"/>
    <s v="Kits Instalação"/>
    <x v="7"/>
    <n v="2000"/>
    <n v="5002359"/>
    <s v="EMPRESA BRASILEIRA DE CORREIOS E"/>
    <n v="280.48"/>
    <d v="2025-07-01T00:00:00"/>
  </r>
  <r>
    <n v="254024130"/>
    <n v="64803707"/>
    <s v="ZRDI"/>
    <n v="10054141"/>
    <n v="208"/>
    <s v="DEV-Atraso entrega- LOGISTICA(Transp)"/>
    <s v="TRANSPORTADORA"/>
    <x v="2"/>
    <n v="5706291"/>
    <x v="444"/>
    <s v="CE"/>
    <n v="474"/>
    <s v="Site Brastemp"/>
    <n v="1352"/>
    <s v="W10866791"/>
    <s v="Kits Instalação"/>
    <x v="7"/>
    <n v="2000"/>
    <n v="5002359"/>
    <s v="EMPRESA BRASILEIRA DE CORREIOS E"/>
    <n v="280.48"/>
    <d v="2025-07-01T00:00:00"/>
  </r>
  <r>
    <s v="Sem TR"/>
    <n v="64814974"/>
    <s v="REB"/>
    <n v="9294698"/>
    <n v="178"/>
    <s v="PEÇAS -Defeito de fabric./Sem Compressão"/>
    <s v="FUNCIONAL"/>
    <x v="1"/>
    <n v="47026"/>
    <x v="16"/>
    <s v="BA"/>
    <n v="643"/>
    <s v="Elite"/>
    <n v="1350"/>
    <s v="W11647660"/>
    <s v="Compressores Herméticos"/>
    <x v="0"/>
    <n v="1000"/>
    <n v="5004101"/>
    <s v="UNIDOCK'S ASSESSORIA E LOGISTICA DE"/>
    <n v="280.25"/>
    <d v="2025-07-22T00:00:00"/>
  </r>
  <r>
    <n v="254003989"/>
    <n v="64766616"/>
    <s v="REB"/>
    <n v="9292031"/>
    <n v="178"/>
    <s v="PEÇAS -Defeito de fabric./Sem Compressão"/>
    <s v="FUNCIONAL"/>
    <x v="1"/>
    <n v="47026"/>
    <x v="16"/>
    <s v="BA"/>
    <n v="643"/>
    <s v="Elite"/>
    <n v="1350"/>
    <s v="W11647660"/>
    <s v="Compressores Herméticos"/>
    <x v="0"/>
    <n v="1000"/>
    <n v="5004101"/>
    <s v="UNIDOCK'S ASSESSORIA E LOGISTICA DE"/>
    <n v="280.25"/>
    <d v="2025-05-26T00:00:00"/>
  </r>
  <r>
    <n v="254012531"/>
    <n v="64788907"/>
    <s v="REB"/>
    <n v="9859976"/>
    <n v="178"/>
    <s v="PEÇAS -Defeito de fabric./Sem Compressão"/>
    <s v="FUNCIONAL"/>
    <x v="1"/>
    <n v="47026"/>
    <x v="16"/>
    <s v="BA"/>
    <n v="643"/>
    <s v="Elite"/>
    <n v="1350"/>
    <s v="W11647660"/>
    <s v="Compressores Herméticos"/>
    <x v="0"/>
    <n v="1000"/>
    <n v="5004101"/>
    <s v="UNIDOCK'S ASSESSORIA E LOGISTICA DE"/>
    <n v="280.25"/>
    <d v="2025-06-10T00:00:00"/>
  </r>
  <r>
    <n v="253983931"/>
    <n v="64759674"/>
    <s v="REB"/>
    <n v="9291362"/>
    <n v="178"/>
    <s v="PEÇAS -Defeito de fabric./Sem Compressão"/>
    <s v="FUNCIONAL"/>
    <x v="2"/>
    <n v="47026"/>
    <x v="16"/>
    <s v="BA"/>
    <n v="643"/>
    <s v="Elite"/>
    <n v="1350"/>
    <s v="W11647662"/>
    <s v="Compressores Herméticos"/>
    <x v="0"/>
    <n v="1000"/>
    <n v="5004101"/>
    <s v="UNIDOCK'S ASSESSORIA E LOGISTICA DE"/>
    <n v="280.25"/>
    <d v="2025-04-28T00:00:00"/>
  </r>
  <r>
    <n v="254012530"/>
    <n v="64785677"/>
    <s v="REB"/>
    <n v="9859976"/>
    <n v="178"/>
    <s v="PEÇAS -Defeito de fabric./Sem Compressão"/>
    <s v="FUNCIONAL"/>
    <x v="2"/>
    <n v="47026"/>
    <x v="16"/>
    <s v="BA"/>
    <n v="643"/>
    <s v="Elite"/>
    <n v="1350"/>
    <s v="W11647660"/>
    <s v="Compressores Herméticos"/>
    <x v="0"/>
    <n v="1000"/>
    <n v="5004101"/>
    <s v="UNIDOCK'S ASSESSORIA E LOGISTICA DE"/>
    <n v="280.25"/>
    <d v="2025-06-10T00:00:00"/>
  </r>
  <r>
    <s v="Sem TR"/>
    <n v="64716075"/>
    <s v="ROB"/>
    <n v="47054"/>
    <n v="25"/>
    <s v="OC. 80 - EXTRAVIO TOTAL"/>
    <s v="TRANSPORTADORA"/>
    <x v="0"/>
    <n v="1334"/>
    <x v="188"/>
    <s v="PI"/>
    <n v="350"/>
    <s v="Ats On"/>
    <n v="1550"/>
    <s v="W10591460"/>
    <s v="Placas de Controle"/>
    <x v="1"/>
    <n v="1000"/>
    <n v="5004101"/>
    <s v="UNIDOCK'S ASSESSORIA E LOGISTICA DE"/>
    <n v="280.14999999999998"/>
    <d v="2025-02-19T00:00:00"/>
  </r>
  <r>
    <n v="254018239"/>
    <n v="64792011"/>
    <s v="REB"/>
    <n v="10042869"/>
    <n v="90"/>
    <s v="CLIENTE-não solicitou"/>
    <s v="COMERCIAL"/>
    <x v="1"/>
    <n v="27113"/>
    <x v="423"/>
    <s v="MG"/>
    <n v="350"/>
    <s v="Ats On"/>
    <n v="1350"/>
    <s v="W10795781"/>
    <s v="Redes Elétricas"/>
    <x v="1"/>
    <n v="1000"/>
    <n v="5004215"/>
    <s v="BRASIL WEB TRANSPORTES E LOGISTICA"/>
    <n v="280.02999999999997"/>
    <d v="2025-06-16T00:00:00"/>
  </r>
  <r>
    <n v="254035388"/>
    <n v="64812354"/>
    <s v="REB"/>
    <n v="9575453"/>
    <n v="178"/>
    <s v="PEÇAS -Defeito de fabric./Sem Compressão"/>
    <s v="FUNCIONAL"/>
    <x v="1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79.93"/>
    <d v="2025-07-17T00:00:00"/>
  </r>
  <r>
    <n v="253995179"/>
    <n v="64769808"/>
    <s v="REB"/>
    <n v="9575453"/>
    <n v="178"/>
    <s v="PEÇAS -Defeito de fabric./Sem Compressão"/>
    <s v="FUNCIONAL"/>
    <x v="2"/>
    <n v="50867"/>
    <x v="259"/>
    <s v="ES"/>
    <n v="644"/>
    <s v="Plus"/>
    <n v="1350"/>
    <s v="W11647660"/>
    <s v="Compressores Herméticos"/>
    <x v="0"/>
    <n v="1000"/>
    <n v="5004042"/>
    <s v="BRASIL WEB TRANSPORTES E LOGISTICA"/>
    <n v="279.93"/>
    <d v="2025-05-15T00:00:00"/>
  </r>
  <r>
    <n v="254027350"/>
    <n v="64806753"/>
    <s v="ZRDI"/>
    <n v="10091688"/>
    <n v="208"/>
    <s v="DEV-Atraso entrega- LOGISTICA(Transp)"/>
    <s v="TRANSPORTADORA"/>
    <x v="2"/>
    <n v="58061664"/>
    <x v="445"/>
    <s v="SC"/>
    <n v="474"/>
    <s v="Site Brastemp"/>
    <n v="1352"/>
    <s v="W11047056"/>
    <s v="Placas de Controle"/>
    <x v="1"/>
    <n v="1000"/>
    <n v="5002359"/>
    <s v="EMPRESA BRASILEIRA DE CORREIOS E"/>
    <n v="279.56"/>
    <d v="2025-07-07T00:00:00"/>
  </r>
  <r>
    <n v="254024110"/>
    <n v="64803642"/>
    <s v="ZRDI"/>
    <n v="10038408"/>
    <n v="208"/>
    <s v="DEV-Atraso entrega- LOGISTICA(Transp)"/>
    <s v="TRANSPORTADORA"/>
    <x v="2"/>
    <n v="57144045"/>
    <x v="446"/>
    <s v="PA"/>
    <n v="474"/>
    <s v="Site Brastemp"/>
    <n v="1352"/>
    <s v="W10866791"/>
    <s v="Kits Instalação"/>
    <x v="7"/>
    <n v="2000"/>
    <n v="5002359"/>
    <s v="EMPRESA BRASILEIRA DE CORREIOS E"/>
    <n v="279.24"/>
    <d v="2025-07-01T00:00:00"/>
  </r>
  <r>
    <n v="253981563"/>
    <n v="64747078"/>
    <s v="REB"/>
    <n v="9605693"/>
    <n v="173"/>
    <s v="PEÇAS - Defeito de fabric./Alta Amperage"/>
    <s v="FUNCIONAL"/>
    <x v="1"/>
    <n v="64683"/>
    <x v="56"/>
    <s v="RS"/>
    <n v="648"/>
    <s v="Ultra"/>
    <n v="1350"/>
    <s v="W11677209"/>
    <s v="Compressores Herméticos"/>
    <x v="0"/>
    <n v="1000"/>
    <n v="5003024"/>
    <s v="RODOBRAS TRANSPORTES RODOVIARIOS LT"/>
    <n v="279.2"/>
    <d v="2025-04-23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086108"/>
    <s v="Placas de Controle"/>
    <x v="1"/>
    <n v="2000"/>
    <n v="5002858"/>
    <s v="FAVORITA TRANSPORTES LTDA"/>
    <n v="279.18"/>
    <d v="2025-07-15T00:00:00"/>
  </r>
  <r>
    <s v="Sem TR"/>
    <n v="64742634"/>
    <s v="ROB"/>
    <n v="9930195"/>
    <n v="671"/>
    <s v="DEV-ENVIADO PARA GESTÃO DE CONSEQUENCIA"/>
    <s v="TRANSPORTADORA"/>
    <x v="1"/>
    <n v="89608"/>
    <x v="447"/>
    <s v="MT"/>
    <n v="932"/>
    <s v="CDP Prata"/>
    <n v="1350"/>
    <s v="W11226018"/>
    <s v="Motores Ventiladores"/>
    <x v="1"/>
    <n v="4000"/>
    <n v="5002573"/>
    <s v="CARVALIMA TRANSPORTES LTDA"/>
    <n v="279.18"/>
    <d v="2025-03-31T00:00:00"/>
  </r>
  <r>
    <n v="254033319"/>
    <n v="64807358"/>
    <s v="REB"/>
    <n v="10096436"/>
    <n v="173"/>
    <s v="PEÇAS - Defeito de fabric./Alta Amperage"/>
    <s v="FUNCIONAL"/>
    <x v="1"/>
    <n v="26939"/>
    <x v="126"/>
    <s v="PR"/>
    <n v="643"/>
    <s v="Elite"/>
    <n v="1350"/>
    <s v="W11387505"/>
    <s v="Placas de Controle"/>
    <x v="1"/>
    <n v="1000"/>
    <n v="5003024"/>
    <s v="RODOBRAS TRANSPORTES RODOVIARIOS LT"/>
    <n v="279.10000000000002"/>
    <d v="2025-07-08T00:00:00"/>
  </r>
  <r>
    <n v="254012616"/>
    <n v="64789365"/>
    <s v="REB"/>
    <n v="9919043"/>
    <n v="178"/>
    <s v="PEÇAS -Defeito de fabric./Sem Compressão"/>
    <s v="FUNCIONAL"/>
    <x v="2"/>
    <n v="78757"/>
    <x v="50"/>
    <s v="RS"/>
    <n v="643"/>
    <s v="Elite"/>
    <n v="1350"/>
    <s v="W11647660"/>
    <s v="Compressores Herméticos"/>
    <x v="0"/>
    <n v="1000"/>
    <n v="5003024"/>
    <s v="RODOBRAS TRANSPORTES RODOVIARIOS LT"/>
    <n v="279.04000000000002"/>
    <d v="2025-06-10T00:00:00"/>
  </r>
  <r>
    <n v="254038369"/>
    <n v="64808275"/>
    <s v="REB"/>
    <n v="10131581"/>
    <n v="176"/>
    <s v="PEÇAS - Defeito de fabric./Interrompido"/>
    <s v="FUNCIONAL"/>
    <x v="0"/>
    <n v="31587"/>
    <x v="135"/>
    <s v="SP"/>
    <n v="643"/>
    <s v="Elite"/>
    <n v="1350"/>
    <n v="326061171"/>
    <s v="Placas de Controle"/>
    <x v="1"/>
    <n v="1000"/>
    <n v="5004042"/>
    <s v="BRASIL WEB TRANSPORTES E LOGISTICA"/>
    <n v="278.81"/>
    <d v="2025-07-22T00:00:00"/>
  </r>
  <r>
    <n v="253963974"/>
    <n v="64742817"/>
    <s v="ROB"/>
    <n v="9910682"/>
    <n v="310"/>
    <s v="DEV-PRODUTO TROCADO-TRANSPORTADOR"/>
    <s v="TRANSPORTADORA"/>
    <x v="1"/>
    <n v="63300"/>
    <x v="17"/>
    <s v="MG"/>
    <n v="643"/>
    <s v="Elite"/>
    <n v="1350"/>
    <n v="326003301"/>
    <s v="Recipientes de Evaporação"/>
    <x v="9"/>
    <n v="10000"/>
    <n v="5004101"/>
    <s v="UNIDOCK'S ASSESSORIA E LOGISTICA DE"/>
    <n v="278.69"/>
    <d v="2025-03-31T00:00:00"/>
  </r>
  <r>
    <n v="254003969"/>
    <n v="64777894"/>
    <s v="REB"/>
    <n v="9939484"/>
    <n v="173"/>
    <s v="PEÇAS - Defeito de fabric./Alta Amperage"/>
    <s v="FUNCIONAL"/>
    <x v="2"/>
    <n v="35420"/>
    <x v="448"/>
    <s v="MG"/>
    <n v="350"/>
    <s v="Ats On"/>
    <n v="1350"/>
    <s v="W10640425"/>
    <s v="Placas de Interface"/>
    <x v="1"/>
    <n v="1000"/>
    <n v="5004215"/>
    <s v="BRASIL WEB TRANSPORTES E LOGISTICA"/>
    <n v="278.49"/>
    <d v="2025-05-26T00:00:00"/>
  </r>
  <r>
    <n v="254033337"/>
    <n v="64807280"/>
    <s v="REB"/>
    <n v="10077087"/>
    <n v="173"/>
    <s v="PEÇAS - Defeito de fabric./Alta Amperage"/>
    <s v="FUNCIONAL"/>
    <x v="1"/>
    <n v="27770"/>
    <x v="37"/>
    <s v="AL"/>
    <n v="641"/>
    <s v="CDP Diamante"/>
    <n v="1350"/>
    <s v="W11482942"/>
    <s v="Placas de Controle"/>
    <x v="1"/>
    <n v="1000"/>
    <n v="5004101"/>
    <s v="UNIDOCK'S ASSESSORIA E LOGISTICA DE"/>
    <n v="278.45"/>
    <d v="2025-07-08T00:00:00"/>
  </r>
  <r>
    <n v="254012517"/>
    <n v="64789427"/>
    <s v="REB"/>
    <n v="9854232"/>
    <n v="168"/>
    <s v="PEÇAS-Def.Fabric.Empenamento/Abaulamento"/>
    <s v="FUNCIONAL"/>
    <x v="2"/>
    <n v="34532"/>
    <x v="220"/>
    <s v="SC"/>
    <n v="350"/>
    <s v="Ats On"/>
    <n v="1350"/>
    <s v="W10882241"/>
    <s v="Agitadores"/>
    <x v="2"/>
    <n v="6000"/>
    <n v="5003024"/>
    <s v="RODOBRAS TRANSPORTES RODOVIARIOS LT"/>
    <n v="278.39"/>
    <d v="2025-06-10T00:00:00"/>
  </r>
  <r>
    <n v="254018206"/>
    <n v="64792291"/>
    <s v="REB"/>
    <n v="10072014"/>
    <n v="104"/>
    <s v="PEÇAS-Código trocado(embalag X conteúdo)"/>
    <s v="LOGÍSTICA"/>
    <x v="1"/>
    <n v="8192"/>
    <x v="118"/>
    <s v="PR"/>
    <n v="933"/>
    <s v="Top"/>
    <n v="1350"/>
    <s v="W10885520"/>
    <s v="Cestos"/>
    <x v="9"/>
    <n v="1000"/>
    <n v="5003024"/>
    <s v="RODOBRAS TRANSPORTES RODOVIARIOS LT"/>
    <n v="278.31"/>
    <d v="2025-06-16T00:00:00"/>
  </r>
  <r>
    <n v="254035434"/>
    <n v="64812316"/>
    <s v="REB"/>
    <n v="9862014"/>
    <n v="173"/>
    <s v="PEÇAS - Defeito de fabric./Alta Amperage"/>
    <s v="FUNCIONAL"/>
    <x v="1"/>
    <n v="80833"/>
    <x v="132"/>
    <s v="PR"/>
    <n v="644"/>
    <s v="Plus"/>
    <n v="1350"/>
    <s v="W10591460"/>
    <s v="Placas de Controle"/>
    <x v="1"/>
    <n v="1000"/>
    <n v="5003024"/>
    <s v="RODOBRAS TRANSPORTES RODOVIARIOS LT"/>
    <n v="278.3"/>
    <d v="2025-07-17T00:00:00"/>
  </r>
  <r>
    <s v="Sem TR"/>
    <n v="64789102"/>
    <s v="REB"/>
    <n v="10056592"/>
    <n v="509"/>
    <s v="Qtd de peças a Menor dentro do Volume"/>
    <s v="LOGÍSTICA"/>
    <x v="1"/>
    <n v="72332"/>
    <x v="190"/>
    <s v="RJ"/>
    <n v="933"/>
    <s v="Top"/>
    <n v="1350"/>
    <s v="W10791633"/>
    <s v="Retentores"/>
    <x v="4"/>
    <n v="34000"/>
    <n v="5002359"/>
    <s v="EMPRESA BRASILEIRA DE CORREIOS E"/>
    <n v="278.27999999999997"/>
    <d v="2025-06-10T00:00:00"/>
  </r>
  <r>
    <n v="254038294"/>
    <n v="64814910"/>
    <s v="REB"/>
    <n v="9804228"/>
    <n v="176"/>
    <s v="PEÇAS - Defeito de fabric./Interrompido"/>
    <s v="FUNCIONAL"/>
    <x v="1"/>
    <n v="4318"/>
    <x v="89"/>
    <s v="SC"/>
    <n v="931"/>
    <s v="Ats Off"/>
    <n v="1350"/>
    <s v="W11161217"/>
    <s v="Placas de Controle"/>
    <x v="1"/>
    <n v="1000"/>
    <n v="5003024"/>
    <s v="RODOBRAS TRANSPORTES RODOVIARIOS LT"/>
    <n v="278.17"/>
    <d v="2025-07-22T00:00:00"/>
  </r>
  <r>
    <n v="253891674"/>
    <n v="64660301"/>
    <s v="REB"/>
    <n v="9599483"/>
    <n v="671"/>
    <s v="DEV-ENVIADO PARA GESTÃO DE CONSEQUENCIA"/>
    <s v="TRANSPORTADORA"/>
    <x v="1"/>
    <n v="76076"/>
    <x v="449"/>
    <s v="RS"/>
    <n v="931"/>
    <s v="Ats Off"/>
    <n v="1350"/>
    <s v="W11161217"/>
    <s v="Placas de Controle"/>
    <x v="1"/>
    <n v="1000"/>
    <n v="5003024"/>
    <s v="RODOBRAS TRANSPORTES RODOVIARIOS LT"/>
    <n v="278.01"/>
    <d v="2024-12-05T00:00:00"/>
  </r>
  <r>
    <n v="254007617"/>
    <n v="64783385"/>
    <s v="REB"/>
    <n v="9953886"/>
    <n v="176"/>
    <s v="PEÇAS - Defeito de fabric./Interrompido"/>
    <s v="FUNCIONAL"/>
    <x v="1"/>
    <n v="81988"/>
    <x v="38"/>
    <s v="MG"/>
    <n v="648"/>
    <s v="Ultra"/>
    <n v="1350"/>
    <s v="W11677208"/>
    <s v="Compressores Herméticos"/>
    <x v="0"/>
    <n v="1000"/>
    <n v="5004215"/>
    <s v="BRASIL WEB TRANSPORTES E LOGISTICA"/>
    <n v="277.62"/>
    <d v="2025-06-02T00:00:00"/>
  </r>
  <r>
    <n v="253907544"/>
    <n v="64675882"/>
    <s v="REB"/>
    <n v="9778689"/>
    <n v="671"/>
    <s v="DEV-ENVIADO PARA GESTÃO DE CONSEQUENCIA"/>
    <s v="TRANSPORTADORA"/>
    <x v="1"/>
    <n v="8192"/>
    <x v="118"/>
    <s v="PR"/>
    <n v="933"/>
    <s v="Top"/>
    <n v="1350"/>
    <s v="W11310109"/>
    <s v="Espargidores"/>
    <x v="2"/>
    <n v="10000"/>
    <n v="5003024"/>
    <s v="RODOBRAS TRANSPORTES RODOVIARIOS LT"/>
    <n v="277.56"/>
    <d v="2024-12-23T00:00:00"/>
  </r>
  <r>
    <n v="254012616"/>
    <n v="64789354"/>
    <s v="REB"/>
    <n v="9780591"/>
    <n v="178"/>
    <s v="PEÇAS -Defeito de fabric./Sem Compressão"/>
    <s v="FUNCIONAL"/>
    <x v="2"/>
    <n v="78757"/>
    <x v="50"/>
    <s v="RS"/>
    <n v="643"/>
    <s v="Elite"/>
    <n v="1350"/>
    <s v="W10233770"/>
    <s v="Compressores Herméticos"/>
    <x v="0"/>
    <n v="1000"/>
    <n v="5003024"/>
    <s v="RODOBRAS TRANSPORTES RODOVIARIOS LT"/>
    <n v="277.52"/>
    <d v="2025-06-10T00:00:00"/>
  </r>
  <r>
    <s v="Sem TR"/>
    <n v="64805042"/>
    <s v="ZRDI"/>
    <n v="10094220"/>
    <s v="D10"/>
    <s v="DEV D2C - Comprou modelo errado"/>
    <s v="COMERCIAL"/>
    <x v="2"/>
    <n v="4982228"/>
    <x v="450"/>
    <s v="SC"/>
    <n v="474"/>
    <s v="Site Brastemp"/>
    <n v="1352"/>
    <s v="W11115537"/>
    <s v="Prateleiras"/>
    <x v="9"/>
    <n v="2000"/>
    <n v="5002359"/>
    <s v="EMPRESA BRASILEIRA DE CORREIOS E"/>
    <n v="277.3"/>
    <d v="2025-07-11T00:00:00"/>
  </r>
  <r>
    <n v="253970807"/>
    <n v="64748552"/>
    <s v="REB"/>
    <n v="9881356"/>
    <n v="173"/>
    <s v="PEÇAS - Defeito de fabric./Alta Amperage"/>
    <s v="FUNCIONAL"/>
    <x v="1"/>
    <n v="42048"/>
    <x v="11"/>
    <s v="MT"/>
    <n v="644"/>
    <s v="Plus"/>
    <n v="1350"/>
    <s v="W11387505"/>
    <s v="Placas de Controle"/>
    <x v="1"/>
    <n v="1000"/>
    <n v="5002573"/>
    <s v="CARVALIMA TRANSPORTES LTDA"/>
    <n v="277.2"/>
    <d v="2025-04-09T00:00:00"/>
  </r>
  <r>
    <n v="254007586"/>
    <n v="64782050"/>
    <s v="REB"/>
    <n v="9606221"/>
    <n v="178"/>
    <s v="PEÇAS -Defeito de fabric./Sem Compressão"/>
    <s v="FUNCIONAL"/>
    <x v="2"/>
    <n v="42048"/>
    <x v="11"/>
    <s v="MT"/>
    <n v="644"/>
    <s v="Plus"/>
    <n v="1350"/>
    <s v="W11677208"/>
    <s v="Compressores Herméticos"/>
    <x v="0"/>
    <n v="1000"/>
    <n v="5002573"/>
    <s v="CARVALIMA TRANSPORTES LTDA"/>
    <n v="277.01"/>
    <d v="2025-06-02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n v="326015418"/>
    <s v="Polias/Roldanas"/>
    <x v="2"/>
    <n v="10000"/>
    <n v="5002359"/>
    <s v="EMPRESA BRASILEIRA DE CORREIOS E"/>
    <n v="277.01"/>
    <d v="2025-07-08T00:00:00"/>
  </r>
  <r>
    <n v="254004022"/>
    <n v="64777831"/>
    <s v="REB"/>
    <n v="9803043"/>
    <n v="173"/>
    <s v="PEÇAS - Defeito de fabric./Alta Amperage"/>
    <s v="FUNCIONAL"/>
    <x v="1"/>
    <n v="61467"/>
    <x v="451"/>
    <s v="CE"/>
    <n v="644"/>
    <s v="Plus"/>
    <n v="1350"/>
    <s v="W11435392"/>
    <s v="Placas de Controle"/>
    <x v="1"/>
    <n v="2000"/>
    <n v="5004101"/>
    <s v="UNIDOCK'S ASSESSORIA E LOGISTICA DE"/>
    <n v="276.95999999999998"/>
    <d v="2025-05-26T00:00:00"/>
  </r>
  <r>
    <n v="254038363"/>
    <n v="64805798"/>
    <s v="REB"/>
    <n v="10010142"/>
    <n v="178"/>
    <s v="PEÇAS -Defeito de fabric./Sem Compressão"/>
    <s v="FUNCIONAL"/>
    <x v="0"/>
    <n v="29164"/>
    <x v="32"/>
    <s v="BA"/>
    <n v="648"/>
    <s v="Ultra"/>
    <n v="1350"/>
    <s v="W11677209"/>
    <s v="Compressores Herméticos"/>
    <x v="0"/>
    <n v="1000"/>
    <n v="5004101"/>
    <s v="UNIDOCK'S ASSESSORIA E LOGISTICA DE"/>
    <n v="276.95"/>
    <d v="2025-07-22T00:00:00"/>
  </r>
  <r>
    <n v="254003852"/>
    <n v="64778031"/>
    <s v="REB"/>
    <n v="10046173"/>
    <n v="176"/>
    <s v="PEÇAS - Defeito de fabric./Interrompido"/>
    <s v="FUNCIONAL"/>
    <x v="2"/>
    <n v="3506"/>
    <x v="46"/>
    <s v="SP"/>
    <n v="931"/>
    <s v="Ats Off"/>
    <n v="1350"/>
    <s v="W10160035"/>
    <s v="Magnetrons"/>
    <x v="1"/>
    <n v="1000"/>
    <n v="5004042"/>
    <s v="BRASIL WEB TRANSPORTES E LOGISTICA"/>
    <n v="276.94"/>
    <d v="2025-05-26T00:00:00"/>
  </r>
  <r>
    <n v="254035325"/>
    <n v="64811805"/>
    <s v="REB"/>
    <n v="10109234"/>
    <n v="176"/>
    <s v="PEÇAS - Defeito de fabric./Interrompido"/>
    <s v="FUNCIONAL"/>
    <x v="0"/>
    <n v="3506"/>
    <x v="46"/>
    <s v="SP"/>
    <n v="931"/>
    <s v="Ats Off"/>
    <n v="1350"/>
    <s v="W10160035"/>
    <s v="Magnetrons"/>
    <x v="1"/>
    <n v="1000"/>
    <n v="5004042"/>
    <s v="BRASIL WEB TRANSPORTES E LOGISTICA"/>
    <n v="276.94"/>
    <d v="2025-07-17T00:00:00"/>
  </r>
  <r>
    <n v="253818905"/>
    <n v="64596692"/>
    <s v="REB"/>
    <n v="9344349"/>
    <n v="311"/>
    <s v="DEV-PRODUTO TROCADO-LOGÍSTICA"/>
    <s v="LOGÍSTICA"/>
    <x v="2"/>
    <n v="35280"/>
    <x v="151"/>
    <s v="BA"/>
    <n v="350"/>
    <s v="Ats On"/>
    <n v="1350"/>
    <s v="W10859619"/>
    <s v="Mesas Cocção"/>
    <x v="6"/>
    <n v="1000"/>
    <n v="5004101"/>
    <s v="UNIDOCK'S ASSESSORIA E LOGISTICA DE"/>
    <n v="276.64"/>
    <d v="2024-08-21T00:00:00"/>
  </r>
  <r>
    <s v="Sem TR"/>
    <n v="64792621"/>
    <s v="REB"/>
    <n v="10067386"/>
    <n v="125"/>
    <s v="DEV-Extravio de produto (Transportadora)"/>
    <s v="TRANSPORTADORA"/>
    <x v="0"/>
    <n v="27874"/>
    <x v="237"/>
    <s v="RS"/>
    <n v="641"/>
    <s v="CDP Diamante"/>
    <n v="1350"/>
    <s v="W11647662"/>
    <s v="Compressores Herméticos"/>
    <x v="0"/>
    <n v="1000"/>
    <n v="5003024"/>
    <s v="RODOBRAS TRANSPORTES RODOVIARIOS LT"/>
    <n v="276.06"/>
    <d v="2025-06-16T00:00:00"/>
  </r>
  <r>
    <n v="254018407"/>
    <n v="64788249"/>
    <s v="REB"/>
    <n v="10069543"/>
    <n v="173"/>
    <s v="PEÇAS - Defeito de fabric./Alta Amperage"/>
    <s v="FUNCIONAL"/>
    <x v="2"/>
    <n v="92025"/>
    <x v="452"/>
    <s v="MG"/>
    <n v="932"/>
    <s v="CDP Prata"/>
    <n v="1350"/>
    <s v="W10619169"/>
    <s v="Placas de Controle"/>
    <x v="1"/>
    <n v="1000"/>
    <n v="5004215"/>
    <s v="BRASIL WEB TRANSPORTES E LOGISTICA"/>
    <n v="275.95"/>
    <d v="2025-06-08T00:00:00"/>
  </r>
  <r>
    <s v="Sem TR"/>
    <n v="64816456"/>
    <s v="REB"/>
    <n v="9742824"/>
    <n v="173"/>
    <s v="PEÇAS - Defeito de fabric./Alta Amperage"/>
    <s v="FUNCIONAL"/>
    <x v="1"/>
    <n v="67948"/>
    <x v="15"/>
    <s v="SC"/>
    <n v="713"/>
    <s v="Key Account"/>
    <n v="1350"/>
    <s v="W11161217"/>
    <s v="Placas de Controle"/>
    <x v="1"/>
    <n v="1000"/>
    <n v="5003024"/>
    <s v="RODOBRAS TRANSPORTES RODOVIARIOS LT"/>
    <n v="275.64999999999998"/>
    <d v="2025-07-25T00:00:00"/>
  </r>
  <r>
    <n v="253927007"/>
    <n v="64700464"/>
    <s v="REB"/>
    <n v="9742824"/>
    <n v="173"/>
    <s v="PEÇAS - Defeito de fabric./Alta Amperage"/>
    <s v="FUNCIONAL"/>
    <x v="2"/>
    <n v="67948"/>
    <x v="15"/>
    <s v="SC"/>
    <n v="713"/>
    <s v="Key Account"/>
    <n v="1350"/>
    <s v="W11161217"/>
    <s v="Placas de Controle"/>
    <x v="1"/>
    <n v="1000"/>
    <n v="5003024"/>
    <s v="RODOBRAS TRANSPORTES RODOVIARIOS LT"/>
    <n v="275.64999999999998"/>
    <d v="2025-01-27T00:00:00"/>
  </r>
  <r>
    <s v="Sem TR"/>
    <n v="64754599"/>
    <s v="ROB"/>
    <n v="50280"/>
    <n v="671"/>
    <s v="DEV-ENVIADO PARA GESTÃO DE CONSEQUENCIA"/>
    <s v="TRANSPORTADORA"/>
    <x v="1"/>
    <n v="8975"/>
    <x v="90"/>
    <s v="MA"/>
    <n v="931"/>
    <s v="Ats Off"/>
    <n v="1350"/>
    <s v="W11673948"/>
    <s v="Tirantes"/>
    <x v="8"/>
    <n v="50000"/>
    <n v="5004391"/>
    <s v="JEONCEL TRANSPORTES LTDA"/>
    <n v="275.47000000000003"/>
    <d v="2025-04-22T00:00:00"/>
  </r>
  <r>
    <n v="253988788"/>
    <n v="64763845"/>
    <s v="REB"/>
    <n v="9549558"/>
    <n v="176"/>
    <s v="PEÇAS - Defeito de fabric./Interrompido"/>
    <s v="FUNCIONAL"/>
    <x v="1"/>
    <n v="3506"/>
    <x v="46"/>
    <s v="SP"/>
    <n v="931"/>
    <s v="Ats Off"/>
    <n v="1350"/>
    <s v="W11543430"/>
    <s v="Outros"/>
    <x v="7"/>
    <n v="1000"/>
    <n v="5004042"/>
    <s v="BRASIL WEB TRANSPORTES E LOGISTICA"/>
    <n v="275.37"/>
    <d v="2025-05-05T00:00:00"/>
  </r>
  <r>
    <n v="253961298"/>
    <n v="64739096"/>
    <s v="REB"/>
    <n v="9088808"/>
    <n v="178"/>
    <s v="PEÇAS -Defeito de fabric./Sem Compressão"/>
    <s v="FUNCIONAL"/>
    <x v="2"/>
    <n v="29164"/>
    <x v="32"/>
    <s v="BA"/>
    <n v="648"/>
    <s v="Ultra"/>
    <n v="1350"/>
    <s v="W11647662"/>
    <s v="Compressores Herméticos"/>
    <x v="0"/>
    <n v="1000"/>
    <n v="5004101"/>
    <s v="UNIDOCK'S ASSESSORIA E LOGISTICA DE"/>
    <n v="275.08999999999997"/>
    <d v="2025-03-26T00:00:00"/>
  </r>
  <r>
    <n v="253961299"/>
    <n v="64739209"/>
    <s v="REB"/>
    <n v="9088808"/>
    <n v="178"/>
    <s v="PEÇAS -Defeito de fabric./Sem Compressão"/>
    <s v="FUNCIONAL"/>
    <x v="2"/>
    <n v="29164"/>
    <x v="32"/>
    <s v="BA"/>
    <n v="648"/>
    <s v="Ultra"/>
    <n v="1350"/>
    <s v="W11647662"/>
    <s v="Compressores Herméticos"/>
    <x v="0"/>
    <n v="1000"/>
    <n v="5004101"/>
    <s v="UNIDOCK'S ASSESSORIA E LOGISTICA DE"/>
    <n v="275.08999999999997"/>
    <d v="2025-03-26T00:00:00"/>
  </r>
  <r>
    <n v="253883126"/>
    <n v="64649656"/>
    <s v="REB"/>
    <n v="8334203"/>
    <n v="173"/>
    <s v="PEÇAS - Defeito de fabric./Alta Amperage"/>
    <s v="FUNCIONAL"/>
    <x v="1"/>
    <n v="73602"/>
    <x v="200"/>
    <s v="MA"/>
    <n v="648"/>
    <s v="Ultra"/>
    <n v="1350"/>
    <s v="W10827973"/>
    <s v="Placas de Controle"/>
    <x v="1"/>
    <n v="1000"/>
    <n v="5004101"/>
    <s v="UNIDOCK'S ASSESSORIA E LOGISTICA DE"/>
    <n v="274.95999999999998"/>
    <d v="2024-11-21T00:00:00"/>
  </r>
  <r>
    <n v="253988926"/>
    <n v="64763803"/>
    <s v="REB"/>
    <n v="9805445"/>
    <n v="173"/>
    <s v="PEÇAS - Defeito de fabric./Alta Amperage"/>
    <s v="FUNCIONAL"/>
    <x v="2"/>
    <n v="80432"/>
    <x v="3"/>
    <s v="ES"/>
    <n v="713"/>
    <s v="Key Account"/>
    <n v="1350"/>
    <s v="W11391011"/>
    <s v="Placas de Controle"/>
    <x v="1"/>
    <n v="1000"/>
    <n v="5004042"/>
    <s v="BRASIL WEB TRANSPORTES E LOGISTICA"/>
    <n v="274.91000000000003"/>
    <d v="2025-05-05T00:00:00"/>
  </r>
  <r>
    <n v="254037094"/>
    <n v="64814998"/>
    <s v="ZRDI"/>
    <n v="10126698"/>
    <n v="208"/>
    <s v="DEV-Atraso entrega- LOGISTICA(Transp)"/>
    <s v="TRANSPORTADORA"/>
    <x v="2"/>
    <n v="51755434"/>
    <x v="453"/>
    <s v="RJ"/>
    <n v="474"/>
    <s v="Site Brastemp"/>
    <n v="1352"/>
    <s v="W10371191"/>
    <s v="Tampas Fixas"/>
    <x v="6"/>
    <n v="1000"/>
    <n v="5002359"/>
    <s v="EMPRESA BRASILEIRA DE CORREIOS E"/>
    <n v="274.82"/>
    <d v="2025-07-22T00:00:00"/>
  </r>
  <r>
    <n v="254037094"/>
    <n v="64814998"/>
    <s v="ZRDI"/>
    <n v="10126698"/>
    <n v="208"/>
    <s v="DEV-Atraso entrega- LOGISTICA(Transp)"/>
    <s v="TRANSPORTADORA"/>
    <x v="2"/>
    <n v="51755434"/>
    <x v="453"/>
    <s v="RJ"/>
    <n v="474"/>
    <s v="Site Brastemp"/>
    <n v="1352"/>
    <s v="W10371191"/>
    <s v="Tampas Fixas"/>
    <x v="6"/>
    <n v="1000"/>
    <n v="5002359"/>
    <s v="EMPRESA BRASILEIRA DE CORREIOS E"/>
    <n v="274.82"/>
    <d v="2025-07-2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396188"/>
    <s v="Placas de Interface"/>
    <x v="1"/>
    <n v="3000"/>
    <n v="5004101"/>
    <s v="UNIDOCK'S ASSESSORIA E LOGISTICA DE"/>
    <n v="274.56"/>
    <d v="2025-06-24T00:00:00"/>
  </r>
  <r>
    <n v="253981553"/>
    <n v="64757518"/>
    <s v="REB"/>
    <n v="9624832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74.5"/>
    <d v="2025-04-25T00:00:00"/>
  </r>
  <r>
    <n v="253981554"/>
    <n v="64757615"/>
    <s v="REB"/>
    <n v="9624832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74.5"/>
    <d v="2025-04-25T00:00:00"/>
  </r>
  <r>
    <s v="Sem TR"/>
    <n v="64731821"/>
    <s v="REB"/>
    <n v="9836415"/>
    <n v="160"/>
    <s v="OI Cancelada - Ver motivo no texto"/>
    <s v="OUTROS"/>
    <x v="1"/>
    <n v="83387"/>
    <x v="454"/>
    <s v="RJ"/>
    <n v="350"/>
    <s v="Ats On"/>
    <n v="1350"/>
    <s v="W10734080"/>
    <s v="Placas de Controle"/>
    <x v="1"/>
    <n v="1000"/>
    <n v="5003176"/>
    <s v="J C THEDIN TRANSPORTES LTDA"/>
    <n v="274.49"/>
    <d v="2025-03-17T00:00:00"/>
  </r>
  <r>
    <n v="254007591"/>
    <n v="64783150"/>
    <s v="REB"/>
    <n v="9575453"/>
    <n v="178"/>
    <s v="PEÇAS -Defeito de fabric./Sem Compressão"/>
    <s v="FUNCIONAL"/>
    <x v="1"/>
    <n v="50867"/>
    <x v="259"/>
    <s v="ES"/>
    <n v="644"/>
    <s v="Plus"/>
    <n v="1350"/>
    <s v="W11677208"/>
    <s v="Compressores Herméticos"/>
    <x v="0"/>
    <n v="1000"/>
    <n v="5004042"/>
    <s v="BRASIL WEB TRANSPORTES E LOGISTICA"/>
    <n v="274.22000000000003"/>
    <d v="2025-06-02T00:00:00"/>
  </r>
  <r>
    <n v="254035387"/>
    <n v="64807667"/>
    <s v="REB"/>
    <n v="9575453"/>
    <n v="178"/>
    <s v="PEÇAS -Defeito de fabric./Sem Compressão"/>
    <s v="FUNCIONAL"/>
    <x v="1"/>
    <n v="50867"/>
    <x v="259"/>
    <s v="ES"/>
    <n v="644"/>
    <s v="Plus"/>
    <n v="1350"/>
    <s v="W11677208"/>
    <s v="Compressores Herméticos"/>
    <x v="0"/>
    <n v="1000"/>
    <n v="5004042"/>
    <s v="BRASIL WEB TRANSPORTES E LOGISTICA"/>
    <n v="274.22000000000003"/>
    <d v="2025-07-17T00:00:00"/>
  </r>
  <r>
    <n v="254035389"/>
    <n v="64811811"/>
    <s v="REB"/>
    <n v="9575453"/>
    <n v="178"/>
    <s v="PEÇAS -Defeito de fabric./Sem Compressão"/>
    <s v="FUNCIONAL"/>
    <x v="1"/>
    <n v="50867"/>
    <x v="259"/>
    <s v="ES"/>
    <n v="644"/>
    <s v="Plus"/>
    <n v="1350"/>
    <s v="W11677208"/>
    <s v="Compressores Herméticos"/>
    <x v="0"/>
    <n v="1000"/>
    <n v="5004042"/>
    <s v="BRASIL WEB TRANSPORTES E LOGISTICA"/>
    <n v="274.22000000000003"/>
    <d v="2025-07-17T00:00:00"/>
  </r>
  <r>
    <n v="254035390"/>
    <n v="64812364"/>
    <s v="REB"/>
    <n v="9575453"/>
    <n v="178"/>
    <s v="PEÇAS -Defeito de fabric./Sem Compressão"/>
    <s v="FUNCIONAL"/>
    <x v="1"/>
    <n v="50867"/>
    <x v="259"/>
    <s v="ES"/>
    <n v="644"/>
    <s v="Plus"/>
    <n v="1350"/>
    <s v="W11677208"/>
    <s v="Compressores Herméticos"/>
    <x v="0"/>
    <n v="1000"/>
    <n v="5004042"/>
    <s v="BRASIL WEB TRANSPORTES E LOGISTICA"/>
    <n v="274.22000000000003"/>
    <d v="2025-07-17T00:00:00"/>
  </r>
  <r>
    <n v="253995182"/>
    <n v="64768212"/>
    <s v="REB"/>
    <n v="9575453"/>
    <n v="178"/>
    <s v="PEÇAS -Defeito de fabric./Sem Compressão"/>
    <s v="FUNCIONAL"/>
    <x v="2"/>
    <n v="50867"/>
    <x v="259"/>
    <s v="ES"/>
    <n v="644"/>
    <s v="Plus"/>
    <n v="1350"/>
    <s v="W11677208"/>
    <s v="Compressores Herméticos"/>
    <x v="0"/>
    <n v="1000"/>
    <n v="5004042"/>
    <s v="BRASIL WEB TRANSPORTES E LOGISTICA"/>
    <n v="274.22000000000003"/>
    <d v="2025-05-15T00:00:00"/>
  </r>
  <r>
    <n v="253995181"/>
    <n v="64770854"/>
    <s v="REB"/>
    <n v="9575453"/>
    <n v="178"/>
    <s v="PEÇAS -Defeito de fabric./Sem Compressão"/>
    <s v="FUNCIONAL"/>
    <x v="2"/>
    <n v="50867"/>
    <x v="259"/>
    <s v="ES"/>
    <n v="644"/>
    <s v="Plus"/>
    <n v="1350"/>
    <s v="W11677208"/>
    <s v="Compressores Herméticos"/>
    <x v="0"/>
    <n v="1000"/>
    <n v="5004042"/>
    <s v="BRASIL WEB TRANSPORTES E LOGISTICA"/>
    <n v="274.22000000000003"/>
    <d v="2025-05-15T00:00:00"/>
  </r>
  <r>
    <n v="254030462"/>
    <n v="64802464"/>
    <s v="REB"/>
    <n v="10072189"/>
    <n v="178"/>
    <s v="PEÇAS -Defeito de fabric./Sem Compressão"/>
    <s v="FUNCIONAL"/>
    <x v="1"/>
    <n v="22985"/>
    <x v="247"/>
    <s v="SC"/>
    <n v="641"/>
    <s v="CDP Diamante"/>
    <n v="1350"/>
    <s v="W11647662"/>
    <s v="Compressores Herméticos"/>
    <x v="0"/>
    <n v="1000"/>
    <n v="5003024"/>
    <s v="RODOBRAS TRANSPORTES RODOVIARIOS LT"/>
    <n v="274.08"/>
    <d v="2025-07-01T00:00:00"/>
  </r>
  <r>
    <n v="254018331"/>
    <n v="64793896"/>
    <s v="REB"/>
    <n v="9924297"/>
    <n v="178"/>
    <s v="PEÇAS -Defeito de fabric./Sem Compressão"/>
    <s v="FUNCIONAL"/>
    <x v="2"/>
    <n v="61868"/>
    <x v="290"/>
    <s v="MA"/>
    <n v="643"/>
    <s v="Elite"/>
    <n v="1350"/>
    <s v="W11647662"/>
    <s v="Compressores Herméticos"/>
    <x v="0"/>
    <n v="1000"/>
    <n v="5004101"/>
    <s v="UNIDOCK'S ASSESSORIA E LOGISTICA DE"/>
    <n v="273.83999999999997"/>
    <d v="2025-06-18T00:00:00"/>
  </r>
  <r>
    <n v="253948553"/>
    <n v="64726734"/>
    <s v="REB"/>
    <n v="9608967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73.76"/>
    <d v="2025-03-07T00:00:00"/>
  </r>
  <r>
    <n v="253948554"/>
    <n v="64726740"/>
    <s v="REB"/>
    <n v="9608967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73.76"/>
    <d v="2025-03-07T00:00:00"/>
  </r>
  <r>
    <n v="253948555"/>
    <n v="64726435"/>
    <s v="REB"/>
    <n v="9608967"/>
    <n v="178"/>
    <s v="PEÇAS -Defeito de fabric./Sem Compressão"/>
    <s v="FUNCIONAL"/>
    <x v="1"/>
    <n v="61868"/>
    <x v="290"/>
    <s v="MA"/>
    <n v="643"/>
    <s v="Elite"/>
    <n v="1350"/>
    <s v="W11677209"/>
    <s v="Compressores Herméticos"/>
    <x v="0"/>
    <n v="1000"/>
    <n v="5004101"/>
    <s v="UNIDOCK'S ASSESSORIA E LOGISTICA DE"/>
    <n v="273.76"/>
    <d v="2025-03-07T00:00:00"/>
  </r>
  <r>
    <s v="Sem TR"/>
    <n v="64799499"/>
    <s v="ZRDI"/>
    <n v="10103528"/>
    <s v="D31"/>
    <s v="DEV D2C - Defeito estético manufatura"/>
    <s v="MANUFATURA"/>
    <x v="2"/>
    <n v="52006934"/>
    <x v="455"/>
    <s v="SP"/>
    <n v="474"/>
    <s v="Site Brastemp"/>
    <n v="1352"/>
    <n v="326075876"/>
    <s v="Filtros"/>
    <x v="5"/>
    <n v="1000"/>
    <n v="5002359"/>
    <s v="EMPRESA BRASILEIRA DE CORREIOS E"/>
    <n v="273.62"/>
    <d v="2025-06-27T00:00:00"/>
  </r>
  <r>
    <s v="Sem TR"/>
    <n v="64808402"/>
    <s v="ZRDI"/>
    <n v="10122061"/>
    <s v="D31"/>
    <s v="DEV D2C - Defeito estético manufatura"/>
    <s v="MANUFATURA"/>
    <x v="2"/>
    <n v="52006934"/>
    <x v="455"/>
    <s v="SP"/>
    <n v="474"/>
    <s v="Site Brastemp"/>
    <n v="1352"/>
    <n v="326075876"/>
    <s v="Filtros"/>
    <x v="5"/>
    <n v="1000"/>
    <n v="5002359"/>
    <s v="EMPRESA BRASILEIRA DE CORREIOS E"/>
    <n v="273.62"/>
    <d v="2025-07-14T00:00:00"/>
  </r>
  <r>
    <s v="Sem TR"/>
    <n v="64808402"/>
    <s v="ZRDI"/>
    <n v="10122061"/>
    <s v="D31"/>
    <s v="DEV D2C - Defeito estético manufatura"/>
    <s v="MANUFATURA"/>
    <x v="2"/>
    <n v="52006934"/>
    <x v="455"/>
    <s v="SP"/>
    <n v="474"/>
    <s v="Site Brastemp"/>
    <n v="1352"/>
    <n v="326075876"/>
    <s v="Filtros"/>
    <x v="5"/>
    <n v="1000"/>
    <n v="5002359"/>
    <s v="EMPRESA BRASILEIRA DE CORREIOS E"/>
    <n v="273.62"/>
    <d v="2025-07-14T00:00:00"/>
  </r>
  <r>
    <s v="Sem TR"/>
    <n v="64809013"/>
    <s v="ZRDI"/>
    <n v="10103272"/>
    <s v="D30"/>
    <s v="DEV D2C - Defeito funcional manufatura"/>
    <s v="MANUFATURA"/>
    <x v="2"/>
    <n v="55597983"/>
    <x v="456"/>
    <s v="MG"/>
    <n v="466"/>
    <s v="Sup ML Marketplace"/>
    <n v="1352"/>
    <s v="W11225561"/>
    <s v="Tampas Móveis"/>
    <x v="6"/>
    <n v="1000"/>
    <n v="5002359"/>
    <s v="EMPRESA BRASILEIRA DE CORREIOS E"/>
    <n v="273.39"/>
    <d v="2025-07-22T00:00:00"/>
  </r>
  <r>
    <s v="Sem TR"/>
    <n v="64809013"/>
    <s v="ZRDI"/>
    <n v="10103272"/>
    <s v="D30"/>
    <s v="DEV D2C - Defeito funcional manufatura"/>
    <s v="MANUFATURA"/>
    <x v="2"/>
    <n v="55597983"/>
    <x v="456"/>
    <s v="MG"/>
    <n v="466"/>
    <s v="Sup ML Marketplace"/>
    <n v="1352"/>
    <s v="W11225561"/>
    <s v="Tampas Móveis"/>
    <x v="6"/>
    <n v="1000"/>
    <n v="5002359"/>
    <s v="EMPRESA BRASILEIRA DE CORREIOS E"/>
    <n v="273.39"/>
    <d v="2025-07-22T00:00:00"/>
  </r>
  <r>
    <n v="253953790"/>
    <n v="64730842"/>
    <s v="REB"/>
    <n v="9902370"/>
    <n v="178"/>
    <s v="PEÇAS -Defeito de fabric./Sem Compressão"/>
    <s v="FUNCIONAL"/>
    <x v="1"/>
    <n v="30000"/>
    <x v="457"/>
    <s v="SC"/>
    <n v="350"/>
    <s v="Ats On"/>
    <n v="1350"/>
    <s v="W10882241"/>
    <s v="Agitadores"/>
    <x v="2"/>
    <n v="6000"/>
    <n v="5003024"/>
    <s v="RODOBRAS TRANSPORTES RODOVIARIOS LT"/>
    <n v="273.02999999999997"/>
    <d v="2025-03-14T00:00:00"/>
  </r>
  <r>
    <n v="253883063"/>
    <n v="64650111"/>
    <s v="REB"/>
    <n v="9557044"/>
    <n v="671"/>
    <s v="DEV-ENVIADO PARA GESTÃO DE CONSEQUENCIA"/>
    <s v="TRANSPORTADORA"/>
    <x v="2"/>
    <n v="52520"/>
    <x v="292"/>
    <s v="RJ"/>
    <n v="713"/>
    <s v="Key Account"/>
    <n v="1350"/>
    <s v="W10591460"/>
    <s v="Placas de Controle"/>
    <x v="1"/>
    <n v="1000"/>
    <n v="5003176"/>
    <s v="J C THEDIN TRANSPORTES LTDA"/>
    <n v="272.81"/>
    <d v="2024-11-21T00:00:00"/>
  </r>
  <r>
    <n v="254012528"/>
    <n v="64789569"/>
    <s v="REB"/>
    <n v="9797541"/>
    <n v="173"/>
    <s v="PEÇAS - Defeito de fabric./Alta Amperage"/>
    <s v="FUNCIONAL"/>
    <x v="1"/>
    <n v="46272"/>
    <x v="194"/>
    <s v="CE"/>
    <n v="713"/>
    <s v="Key Account"/>
    <n v="1350"/>
    <s v="W11300675"/>
    <s v="Mecanismos"/>
    <x v="2"/>
    <n v="3000"/>
    <n v="5004101"/>
    <s v="UNIDOCK'S ASSESSORIA E LOGISTICA DE"/>
    <n v="272.43"/>
    <d v="2025-06-10T00:00:00"/>
  </r>
  <r>
    <n v="254033452"/>
    <n v="64800616"/>
    <s v="REB"/>
    <n v="10009649"/>
    <n v="173"/>
    <s v="PEÇAS - Defeito de fabric./Alta Amperage"/>
    <s v="FUNCIONAL"/>
    <x v="1"/>
    <n v="76165"/>
    <x v="433"/>
    <s v="TO"/>
    <n v="641"/>
    <s v="CDP Diamante"/>
    <n v="1350"/>
    <s v="W11435396"/>
    <s v="Placas de Controle"/>
    <x v="1"/>
    <n v="1000"/>
    <n v="5002858"/>
    <s v="FAVORITA TRANSPORTES LTDA"/>
    <n v="272.38"/>
    <d v="2025-07-01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245249"/>
    <s v="Válvulas de Água"/>
    <x v="5"/>
    <n v="5000"/>
    <n v="5004042"/>
    <s v="BRASIL WEB TRANSPORTES E LOGISTICA"/>
    <n v="272.25"/>
    <d v="2025-07-08T00:00:00"/>
  </r>
  <r>
    <n v="254018224"/>
    <n v="64791685"/>
    <s v="REB"/>
    <n v="9741891"/>
    <n v="173"/>
    <s v="PEÇAS - Defeito de fabric./Alta Amperage"/>
    <s v="FUNCIONAL"/>
    <x v="1"/>
    <n v="13757"/>
    <x v="14"/>
    <s v="SP"/>
    <n v="713"/>
    <s v="Key Account"/>
    <n v="1350"/>
    <s v="W11435392"/>
    <s v="Placas de Controle"/>
    <x v="1"/>
    <n v="1000"/>
    <n v="5004042"/>
    <s v="BRASIL WEB TRANSPORTES E LOGISTICA"/>
    <n v="272.22000000000003"/>
    <d v="2025-06-16T00:00:00"/>
  </r>
  <r>
    <n v="254033426"/>
    <n v="64807614"/>
    <s v="REB"/>
    <n v="9918430"/>
    <n v="178"/>
    <s v="PEÇAS -Defeito de fabric./Sem Compressão"/>
    <s v="FUNCIONAL"/>
    <x v="0"/>
    <n v="61675"/>
    <x v="12"/>
    <s v="MG"/>
    <n v="643"/>
    <s v="Elite"/>
    <n v="1350"/>
    <s v="W11647660"/>
    <s v="Compressores Herméticos"/>
    <x v="0"/>
    <n v="1000"/>
    <n v="5004215"/>
    <s v="BRASIL WEB TRANSPORTES E LOGISTICA"/>
    <n v="272.13"/>
    <d v="2025-07-08T00:00:00"/>
  </r>
  <r>
    <n v="253953809"/>
    <n v="64731830"/>
    <s v="REB"/>
    <n v="9816438"/>
    <n v="173"/>
    <s v="PEÇAS - Defeito de fabric./Alta Amperage"/>
    <s v="FUNCIONAL"/>
    <x v="1"/>
    <n v="35420"/>
    <x v="448"/>
    <s v="MG"/>
    <n v="350"/>
    <s v="Ats On"/>
    <n v="1350"/>
    <s v="W11619403"/>
    <s v="Placas de Controle"/>
    <x v="1"/>
    <n v="1000"/>
    <n v="5004215"/>
    <s v="BRASIL WEB TRANSPORTES E LOGISTICA"/>
    <n v="272.05"/>
    <d v="2025-03-14T00:00:00"/>
  </r>
  <r>
    <n v="253988797"/>
    <n v="64764294"/>
    <s v="REB"/>
    <n v="10010902"/>
    <n v="173"/>
    <s v="PEÇAS - Defeito de fabric./Alta Amperage"/>
    <s v="FUNCIONAL"/>
    <x v="2"/>
    <n v="9452"/>
    <x v="42"/>
    <s v="SP"/>
    <n v="931"/>
    <s v="Ats Off"/>
    <n v="1350"/>
    <s v="W11048231"/>
    <s v="Trilhos"/>
    <x v="6"/>
    <n v="2000"/>
    <n v="5004042"/>
    <s v="BRASIL WEB TRANSPORTES E LOGISTICA"/>
    <n v="271.83999999999997"/>
    <d v="2025-05-05T00:00:00"/>
  </r>
  <r>
    <n v="254033937"/>
    <n v="64812465"/>
    <s v="ZRDI"/>
    <n v="10089036"/>
    <n v="208"/>
    <s v="DEV-Atraso entrega- LOGISTICA(Transp)"/>
    <s v="TRANSPORTADORA"/>
    <x v="2"/>
    <n v="58092145"/>
    <x v="458"/>
    <s v="GO"/>
    <n v="466"/>
    <s v="Sup ML Marketplace"/>
    <n v="1352"/>
    <s v="W11393157"/>
    <s v="Tampas Móveis"/>
    <x v="6"/>
    <n v="1000"/>
    <n v="5002359"/>
    <s v="EMPRESA BRASILEIRA DE CORREIOS E"/>
    <n v="271.77999999999997"/>
    <d v="2025-07-17T00:00:00"/>
  </r>
  <r>
    <n v="254033980"/>
    <n v="64812545"/>
    <s v="ZRDI"/>
    <n v="10112669"/>
    <n v="208"/>
    <s v="DEV-Atraso entrega- LOGISTICA(Transp)"/>
    <s v="TRANSPORTADORA"/>
    <x v="2"/>
    <n v="58124458"/>
    <x v="459"/>
    <s v="GO"/>
    <n v="466"/>
    <s v="Sup ML Marketplace"/>
    <n v="1352"/>
    <s v="W11393157"/>
    <s v="Tampas Móveis"/>
    <x v="6"/>
    <n v="1000"/>
    <n v="5002359"/>
    <s v="EMPRESA BRASILEIRA DE CORREIOS E"/>
    <n v="271.77999999999997"/>
    <d v="2025-07-17T00:00:00"/>
  </r>
  <r>
    <n v="254033980"/>
    <n v="64812545"/>
    <s v="ZRDI"/>
    <n v="10112669"/>
    <n v="208"/>
    <s v="DEV-Atraso entrega- LOGISTICA(Transp)"/>
    <s v="TRANSPORTADORA"/>
    <x v="2"/>
    <n v="58124458"/>
    <x v="459"/>
    <s v="GO"/>
    <n v="466"/>
    <s v="Sup ML Marketplace"/>
    <n v="1352"/>
    <s v="W11393157"/>
    <s v="Tampas Móveis"/>
    <x v="6"/>
    <n v="1000"/>
    <n v="5002359"/>
    <s v="EMPRESA BRASILEIRA DE CORREIOS E"/>
    <n v="271.77999999999997"/>
    <d v="2025-07-17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591460"/>
    <s v="Placas de Controle"/>
    <x v="1"/>
    <n v="1000"/>
    <n v="5002359"/>
    <s v="EMPRESA BRASILEIRA DE CORREIOS E"/>
    <n v="271.74"/>
    <d v="2025-07-08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0171528"/>
    <s v="Pressostatos"/>
    <x v="3"/>
    <n v="10000"/>
    <n v="5004101"/>
    <s v="UNIDOCK'S ASSESSORIA E LOGISTICA DE"/>
    <n v="271.63"/>
    <d v="2025-01-27T00:00:00"/>
  </r>
  <r>
    <s v="Sem TR"/>
    <n v="64812350"/>
    <s v="REB"/>
    <n v="10121820"/>
    <n v="176"/>
    <s v="PEÇAS - Defeito de fabric./Interrompido"/>
    <s v="FUNCIONAL"/>
    <x v="1"/>
    <n v="25656"/>
    <x v="173"/>
    <s v="SP"/>
    <n v="931"/>
    <s v="Ats Off"/>
    <n v="1350"/>
    <s v="W11435390"/>
    <s v="Placas de Controle"/>
    <x v="1"/>
    <n v="1000"/>
    <n v="5004042"/>
    <s v="BRASIL WEB TRANSPORTES E LOGISTICA"/>
    <n v="271.58"/>
    <d v="2025-07-17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616687"/>
    <s v="Capas"/>
    <x v="6"/>
    <n v="10000"/>
    <n v="5004042"/>
    <s v="BRASIL WEB TRANSPORTES E LOGISTICA"/>
    <n v="271.52"/>
    <d v="2025-05-26T00:00:00"/>
  </r>
  <r>
    <n v="253995071"/>
    <n v="64766698"/>
    <s v="REB"/>
    <n v="9581187"/>
    <n v="176"/>
    <s v="PEÇAS - Defeito de fabric./Interrompido"/>
    <s v="FUNCIONAL"/>
    <x v="1"/>
    <n v="4318"/>
    <x v="89"/>
    <s v="SC"/>
    <n v="931"/>
    <s v="Ats Off"/>
    <n v="1350"/>
    <s v="W11435396"/>
    <s v="Placas de Controle"/>
    <x v="1"/>
    <n v="1000"/>
    <n v="5003024"/>
    <s v="RODOBRAS TRANSPORTES RODOVIARIOS LT"/>
    <n v="271.26"/>
    <d v="2025-05-15T00:00:00"/>
  </r>
  <r>
    <s v="Sem TR"/>
    <n v="64817981"/>
    <s v="ZRDI"/>
    <n v="10126752"/>
    <s v="D35"/>
    <s v="DEV D2C - Prod difere do comprado"/>
    <s v="COMERCIAL"/>
    <x v="1"/>
    <n v="58142844"/>
    <x v="152"/>
    <s v="RJ"/>
    <n v="474"/>
    <s v="Site Brastemp"/>
    <n v="1352"/>
    <s v="W10295024"/>
    <s v="Capas"/>
    <x v="6"/>
    <n v="1000"/>
    <n v="5002359"/>
    <s v="EMPRESA BRASILEIRA DE CORREIOS E"/>
    <n v="271.19"/>
    <d v="2025-07-30T00:00:00"/>
  </r>
  <r>
    <n v="254024107"/>
    <n v="64803639"/>
    <s v="ZRDI"/>
    <n v="10036159"/>
    <n v="208"/>
    <s v="DEV-Atraso entrega- LOGISTICA(Transp)"/>
    <s v="TRANSPORTADORA"/>
    <x v="2"/>
    <n v="58026454"/>
    <x v="460"/>
    <s v="AP"/>
    <n v="475"/>
    <s v="Site Consul"/>
    <n v="1352"/>
    <s v="W11509387"/>
    <s v="Filtros"/>
    <x v="5"/>
    <n v="2000"/>
    <n v="5002359"/>
    <s v="EMPRESA BRASILEIRA DE CORREIOS E"/>
    <n v="271.08"/>
    <d v="2025-07-01T00:00:00"/>
  </r>
  <r>
    <n v="254024107"/>
    <n v="64803639"/>
    <s v="ZRDI"/>
    <n v="10036159"/>
    <n v="208"/>
    <s v="DEV-Atraso entrega- LOGISTICA(Transp)"/>
    <s v="TRANSPORTADORA"/>
    <x v="2"/>
    <n v="58026454"/>
    <x v="460"/>
    <s v="AP"/>
    <n v="475"/>
    <s v="Site Consul"/>
    <n v="1352"/>
    <s v="W11509387"/>
    <s v="Filtros"/>
    <x v="5"/>
    <n v="2000"/>
    <n v="5002359"/>
    <s v="EMPRESA BRASILEIRA DE CORREIOS E"/>
    <n v="271.08"/>
    <d v="2025-07-01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32495"/>
    <s v="Placas de Controle"/>
    <x v="1"/>
    <n v="3000"/>
    <n v="5004101"/>
    <s v="UNIDOCK'S ASSESSORIA E LOGISTICA DE"/>
    <n v="270.83999999999997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32495"/>
    <s v="Placas de Controle"/>
    <x v="1"/>
    <n v="3000"/>
    <n v="5004101"/>
    <s v="UNIDOCK'S ASSESSORIA E LOGISTICA DE"/>
    <n v="270.83999999999997"/>
    <d v="2025-06-24T00:00:00"/>
  </r>
  <r>
    <n v="253961418"/>
    <n v="64735820"/>
    <s v="REB"/>
    <n v="9833169"/>
    <n v="173"/>
    <s v="PEÇAS - Defeito de fabric./Alta Amperage"/>
    <s v="FUNCIONAL"/>
    <x v="1"/>
    <n v="81379"/>
    <x v="267"/>
    <s v="SP"/>
    <n v="934"/>
    <s v="CDP Ouro"/>
    <n v="1350"/>
    <s v="W10591605"/>
    <s v="Placas de Controle"/>
    <x v="1"/>
    <n v="1000"/>
    <n v="5004042"/>
    <s v="BRASIL WEB TRANSPORTES E LOGISTICA"/>
    <n v="270.81"/>
    <d v="2025-03-25T00:00:00"/>
  </r>
  <r>
    <s v="Sem TR"/>
    <n v="64815255"/>
    <s v="ZRDI"/>
    <n v="10132626"/>
    <s v="D35"/>
    <s v="DEV D2C - Prod difere do comprado"/>
    <s v="COMERCIAL"/>
    <x v="2"/>
    <n v="58151485"/>
    <x v="461"/>
    <s v="SP"/>
    <n v="474"/>
    <s v="Site Brastemp"/>
    <n v="1352"/>
    <s v="W10866791"/>
    <s v="Kits Instalação"/>
    <x v="7"/>
    <n v="2000"/>
    <n v="5002359"/>
    <s v="EMPRESA BRASILEIRA DE CORREIOS E"/>
    <n v="270.8"/>
    <d v="2025-07-24T00:00:00"/>
  </r>
  <r>
    <s v="Sem TR"/>
    <n v="64815255"/>
    <s v="ZRDI"/>
    <n v="10132626"/>
    <s v="D35"/>
    <s v="DEV D2C - Prod difere do comprado"/>
    <s v="COMERCIAL"/>
    <x v="2"/>
    <n v="58151485"/>
    <x v="461"/>
    <s v="SP"/>
    <n v="474"/>
    <s v="Site Brastemp"/>
    <n v="1352"/>
    <s v="W10866791"/>
    <s v="Kits Instalação"/>
    <x v="7"/>
    <n v="2000"/>
    <n v="5002359"/>
    <s v="EMPRESA BRASILEIRA DE CORREIOS E"/>
    <n v="270.8"/>
    <d v="2025-07-24T00:00:00"/>
  </r>
  <r>
    <n v="254012501"/>
    <n v="64761982"/>
    <s v="REB"/>
    <n v="9839982"/>
    <n v="173"/>
    <s v="PEÇAS - Defeito de fabric./Alta Amperage"/>
    <s v="FUNCIONAL"/>
    <x v="2"/>
    <n v="28991"/>
    <x v="65"/>
    <s v="MG"/>
    <n v="643"/>
    <s v="Elite"/>
    <n v="1350"/>
    <s v="W11435390"/>
    <s v="Placas de Controle"/>
    <x v="1"/>
    <n v="1000"/>
    <n v="5004215"/>
    <s v="BRASIL WEB TRANSPORTES E LOGISTICA"/>
    <n v="270.69"/>
    <d v="2025-06-10T00:00:00"/>
  </r>
  <r>
    <n v="254035356"/>
    <n v="64812455"/>
    <s v="REB"/>
    <n v="10049637"/>
    <n v="176"/>
    <s v="PEÇAS - Defeito de fabric./Interrompido"/>
    <s v="FUNCIONAL"/>
    <x v="1"/>
    <n v="22211"/>
    <x v="146"/>
    <s v="SC"/>
    <n v="644"/>
    <s v="Plus"/>
    <n v="1350"/>
    <s v="W11435396"/>
    <s v="Placas de Controle"/>
    <x v="1"/>
    <n v="1000"/>
    <n v="5003024"/>
    <s v="RODOBRAS TRANSPORTES RODOVIARIOS LT"/>
    <n v="270.58"/>
    <d v="2025-07-17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643949"/>
    <s v="Tampas Móveis"/>
    <x v="6"/>
    <n v="2000"/>
    <n v="5002858"/>
    <s v="FAVORITA TRANSPORTES LTDA"/>
    <n v="270.41000000000003"/>
    <d v="2025-07-15T00:00:00"/>
  </r>
  <r>
    <n v="254018224"/>
    <n v="64793346"/>
    <s v="REB"/>
    <n v="9906011"/>
    <n v="176"/>
    <s v="PEÇAS - Defeito de fabric./Interrompido"/>
    <s v="FUNCIONAL"/>
    <x v="1"/>
    <n v="13757"/>
    <x v="14"/>
    <s v="SP"/>
    <n v="713"/>
    <s v="Key Account"/>
    <n v="1350"/>
    <s v="W11566930"/>
    <s v="Outros"/>
    <x v="7"/>
    <n v="1000"/>
    <n v="5004042"/>
    <s v="BRASIL WEB TRANSPORTES E LOGISTICA"/>
    <n v="270.38"/>
    <d v="2025-06-17T00:00:00"/>
  </r>
  <r>
    <n v="253983864"/>
    <n v="64759517"/>
    <s v="REB"/>
    <n v="9906011"/>
    <n v="173"/>
    <s v="PEÇAS - Defeito de fabric./Alta Amperage"/>
    <s v="FUNCIONAL"/>
    <x v="2"/>
    <n v="13757"/>
    <x v="14"/>
    <s v="SP"/>
    <n v="713"/>
    <s v="Key Account"/>
    <n v="1350"/>
    <s v="W11566930"/>
    <s v="Outros"/>
    <x v="7"/>
    <n v="1000"/>
    <n v="5004042"/>
    <s v="BRASIL WEB TRANSPORTES E LOGISTICA"/>
    <n v="270.38"/>
    <d v="2025-04-28T00:00:00"/>
  </r>
  <r>
    <n v="254038372"/>
    <n v="64813820"/>
    <s v="REB"/>
    <n v="10109162"/>
    <n v="173"/>
    <s v="PEÇAS - Defeito de fabric./Alta Amperage"/>
    <s v="FUNCIONAL"/>
    <x v="1"/>
    <n v="40998"/>
    <x v="8"/>
    <s v="GO"/>
    <n v="648"/>
    <s v="Ultra"/>
    <n v="1350"/>
    <s v="W11647662"/>
    <s v="Compressores Herméticos"/>
    <x v="0"/>
    <n v="1000"/>
    <n v="5002858"/>
    <s v="FAVORITA TRANSPORTES LTDA"/>
    <n v="270.14999999999998"/>
    <d v="2025-07-22T00:00:00"/>
  </r>
  <r>
    <s v="Sem TR"/>
    <n v="64817594"/>
    <s v="REB"/>
    <n v="10009696"/>
    <n v="178"/>
    <s v="PEÇAS -Defeito de fabric./Sem Compressão"/>
    <s v="FUNCIONAL"/>
    <x v="1"/>
    <n v="88906"/>
    <x v="69"/>
    <s v="GO"/>
    <n v="648"/>
    <s v="Ultra"/>
    <n v="1350"/>
    <s v="W11647662"/>
    <s v="Compressores Herméticos"/>
    <x v="0"/>
    <n v="1000"/>
    <n v="5002858"/>
    <s v="FAVORITA TRANSPORTES LTDA"/>
    <n v="270.05"/>
    <d v="2025-07-25T00:00:00"/>
  </r>
  <r>
    <n v="254035438"/>
    <n v="64812394"/>
    <s v="REB"/>
    <n v="10002554"/>
    <n v="178"/>
    <s v="PEÇAS -Defeito de fabric./Sem Compressão"/>
    <s v="FUNCIONAL"/>
    <x v="1"/>
    <n v="88906"/>
    <x v="69"/>
    <s v="GO"/>
    <n v="648"/>
    <s v="Ultra"/>
    <n v="1350"/>
    <s v="W11647662"/>
    <s v="Compressores Herméticos"/>
    <x v="0"/>
    <n v="1000"/>
    <n v="5002858"/>
    <s v="FAVORITA TRANSPORTES LTDA"/>
    <n v="270.05"/>
    <d v="2025-07-17T00:00:00"/>
  </r>
  <r>
    <n v="254035437"/>
    <n v="64812705"/>
    <s v="REB"/>
    <n v="10002554"/>
    <n v="178"/>
    <s v="PEÇAS -Defeito de fabric./Sem Compressão"/>
    <s v="FUNCIONAL"/>
    <x v="1"/>
    <n v="88906"/>
    <x v="69"/>
    <s v="GO"/>
    <n v="648"/>
    <s v="Ultra"/>
    <n v="1350"/>
    <s v="W11647662"/>
    <s v="Compressores Herméticos"/>
    <x v="0"/>
    <n v="1000"/>
    <n v="5002858"/>
    <s v="FAVORITA TRANSPORTES LTDA"/>
    <n v="270.05"/>
    <d v="2025-07-17T00:00:00"/>
  </r>
  <r>
    <n v="254032500"/>
    <n v="64811463"/>
    <s v="ZRDI"/>
    <n v="10060790"/>
    <n v="208"/>
    <s v="DEV-Atraso entrega- LOGISTICA(Transp)"/>
    <s v="TRANSPORTADORA"/>
    <x v="2"/>
    <n v="5976489"/>
    <x v="462"/>
    <s v="PE"/>
    <n v="474"/>
    <s v="Site Brastemp"/>
    <n v="1352"/>
    <s v="W10866791"/>
    <s v="Kits Instalação"/>
    <x v="7"/>
    <n v="2000"/>
    <n v="5002359"/>
    <s v="EMPRESA BRASILEIRA DE CORREIOS E"/>
    <n v="270.02"/>
    <d v="2025-07-16T00:00:00"/>
  </r>
  <r>
    <s v="Sem TR"/>
    <n v="64812486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1000"/>
    <n v="5004101"/>
    <s v="UNIDOCK'S ASSESSORIA E LOGISTICA DE"/>
    <n v="269.97000000000003"/>
    <d v="2025-07-17T00:00:00"/>
  </r>
  <r>
    <s v="Sem TR"/>
    <n v="64812669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1000"/>
    <n v="5004101"/>
    <s v="UNIDOCK'S ASSESSORIA E LOGISTICA DE"/>
    <n v="269.97000000000003"/>
    <d v="2025-07-17T00:00:00"/>
  </r>
  <r>
    <n v="254012533"/>
    <n v="64787106"/>
    <s v="REB"/>
    <n v="9280400"/>
    <n v="178"/>
    <s v="PEÇAS -Defeito de fabric./Sem Compressão"/>
    <s v="FUNCIONAL"/>
    <x v="1"/>
    <n v="47026"/>
    <x v="16"/>
    <s v="BA"/>
    <n v="643"/>
    <s v="Elite"/>
    <n v="1350"/>
    <s v="W10798744"/>
    <s v="Compressores Herméticos"/>
    <x v="0"/>
    <n v="1000"/>
    <n v="5004101"/>
    <s v="UNIDOCK'S ASSESSORIA E LOGISTICA DE"/>
    <n v="269.97000000000003"/>
    <d v="2025-06-10T00:00:00"/>
  </r>
  <r>
    <n v="254038369"/>
    <n v="64814849"/>
    <s v="REB"/>
    <n v="10140406"/>
    <n v="176"/>
    <s v="PEÇAS - Defeito de fabric./Interrompido"/>
    <s v="FUNCIONAL"/>
    <x v="0"/>
    <n v="31587"/>
    <x v="135"/>
    <s v="SP"/>
    <n v="643"/>
    <s v="Elite"/>
    <n v="1350"/>
    <s v="W11435390"/>
    <s v="Placas de Controle"/>
    <x v="1"/>
    <n v="1000"/>
    <n v="5004042"/>
    <s v="BRASIL WEB TRANSPORTES E LOGISTICA"/>
    <n v="269.97000000000003"/>
    <d v="2025-07-2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463578"/>
    <s v="Placas de Interface"/>
    <x v="1"/>
    <n v="1000"/>
    <n v="5004101"/>
    <s v="UNIDOCK'S ASSESSORIA E LOGISTICA DE"/>
    <n v="269.54000000000002"/>
    <d v="2025-06-24T00:00:00"/>
  </r>
  <r>
    <n v="254033435"/>
    <n v="64802774"/>
    <s v="REB"/>
    <n v="9958769"/>
    <n v="173"/>
    <s v="PEÇAS - Defeito de fabric./Alta Amperage"/>
    <s v="FUNCIONAL"/>
    <x v="2"/>
    <n v="67933"/>
    <x v="55"/>
    <s v="GO"/>
    <n v="648"/>
    <s v="Ultra"/>
    <n v="1350"/>
    <s v="W11647662"/>
    <s v="Compressores Herméticos"/>
    <x v="0"/>
    <n v="1000"/>
    <n v="5002858"/>
    <s v="FAVORITA TRANSPORTES LTDA"/>
    <n v="269.42"/>
    <d v="2025-07-01T00:00:00"/>
  </r>
  <r>
    <n v="254042323"/>
    <n v="64796209"/>
    <s v="REB"/>
    <n v="9482369"/>
    <n v="173"/>
    <s v="PEÇAS - Defeito de fabric./Alta Amperage"/>
    <s v="FUNCIONAL"/>
    <x v="0"/>
    <n v="70555"/>
    <x v="150"/>
    <s v="SC"/>
    <n v="648"/>
    <s v="Ultra"/>
    <n v="1350"/>
    <s v="W10463578"/>
    <s v="Placas de Interface"/>
    <x v="1"/>
    <n v="1000"/>
    <n v="5003024"/>
    <s v="RODOBRAS TRANSPORTES RODOVIARIOS LT"/>
    <n v="269.33"/>
    <d v="2025-06-23T00:00:00"/>
  </r>
  <r>
    <n v="254033341"/>
    <n v="64793403"/>
    <s v="REB"/>
    <n v="10047936"/>
    <n v="104"/>
    <s v="PEÇAS-Código trocado(embalag X conteúdo)"/>
    <s v="LOGÍSTICA"/>
    <x v="1"/>
    <n v="28016"/>
    <x v="331"/>
    <s v="RJ"/>
    <n v="933"/>
    <s v="Top"/>
    <n v="1350"/>
    <s v="W11299805"/>
    <s v="Mecanismos"/>
    <x v="2"/>
    <n v="2000"/>
    <n v="5003176"/>
    <s v="J C THEDIN TRANSPORTES LTDA"/>
    <n v="268.88"/>
    <d v="2025-07-08T00:00:00"/>
  </r>
  <r>
    <n v="253970807"/>
    <n v="64748901"/>
    <s v="REB"/>
    <n v="8758167"/>
    <n v="173"/>
    <s v="PEÇAS - Defeito de fabric./Alta Amperage"/>
    <s v="FUNCIONAL"/>
    <x v="1"/>
    <n v="42048"/>
    <x v="11"/>
    <s v="MT"/>
    <n v="644"/>
    <s v="Plus"/>
    <n v="1350"/>
    <s v="W11485341"/>
    <s v="Placas de Controle"/>
    <x v="1"/>
    <n v="1000"/>
    <n v="5002573"/>
    <s v="CARVALIMA TRANSPORTES LTDA"/>
    <n v="268.83"/>
    <d v="2025-04-09T00:00:00"/>
  </r>
  <r>
    <n v="254042108"/>
    <n v="64796320"/>
    <s v="REB"/>
    <n v="10031556"/>
    <n v="178"/>
    <s v="PEÇAS -Defeito de fabric./Sem Compressão"/>
    <s v="FUNCIONAL"/>
    <x v="0"/>
    <n v="78757"/>
    <x v="50"/>
    <s v="RS"/>
    <n v="643"/>
    <s v="Elite"/>
    <n v="1350"/>
    <s v="W11647660"/>
    <s v="Compressores Herméticos"/>
    <x v="0"/>
    <n v="1000"/>
    <n v="5003024"/>
    <s v="RODOBRAS TRANSPORTES RODOVIARIOS LT"/>
    <n v="268.74"/>
    <d v="2025-06-23T00:00:00"/>
  </r>
  <r>
    <s v="Sem TR"/>
    <n v="64798725"/>
    <s v="ZRDI"/>
    <n v="10057081"/>
    <s v="D10"/>
    <s v="DEV D2C - Comprou modelo errado"/>
    <s v="COMERCIAL"/>
    <x v="2"/>
    <n v="57875770"/>
    <x v="463"/>
    <s v="AL"/>
    <n v="475"/>
    <s v="Site Consul"/>
    <n v="1352"/>
    <s v="W10638541"/>
    <s v="Filtros"/>
    <x v="5"/>
    <n v="1000"/>
    <n v="5002359"/>
    <s v="EMPRESA BRASILEIRA DE CORREIOS E"/>
    <n v="268.70999999999998"/>
    <d v="2025-06-26T00:00:00"/>
  </r>
  <r>
    <s v="Sem TR"/>
    <n v="64798725"/>
    <s v="ZRDI"/>
    <n v="10057081"/>
    <s v="D10"/>
    <s v="DEV D2C - Comprou modelo errado"/>
    <s v="COMERCIAL"/>
    <x v="2"/>
    <n v="57875770"/>
    <x v="463"/>
    <s v="AL"/>
    <n v="475"/>
    <s v="Site Consul"/>
    <n v="1352"/>
    <s v="W10638541"/>
    <s v="Filtros"/>
    <x v="5"/>
    <n v="1000"/>
    <n v="5002359"/>
    <s v="EMPRESA BRASILEIRA DE CORREIOS E"/>
    <n v="268.70999999999998"/>
    <d v="2025-06-26T00:00:00"/>
  </r>
  <r>
    <n v="254012616"/>
    <n v="64787910"/>
    <s v="REB"/>
    <n v="9981183"/>
    <n v="178"/>
    <s v="PEÇAS -Defeito de fabric./Sem Compressão"/>
    <s v="FUNCIONAL"/>
    <x v="2"/>
    <n v="78757"/>
    <x v="50"/>
    <s v="RS"/>
    <n v="643"/>
    <s v="Elite"/>
    <n v="1350"/>
    <s v="W11647662"/>
    <s v="Compressores Herméticos"/>
    <x v="0"/>
    <n v="1000"/>
    <n v="5003024"/>
    <s v="RODOBRAS TRANSPORTES RODOVIARIOS LT"/>
    <n v="268.69"/>
    <d v="2025-06-10T00:00:00"/>
  </r>
  <r>
    <n v="254042300"/>
    <n v="64795931"/>
    <s v="REB"/>
    <n v="9981183"/>
    <n v="178"/>
    <s v="PEÇAS -Defeito de fabric./Sem Compressão"/>
    <s v="FUNCIONAL"/>
    <x v="0"/>
    <n v="78757"/>
    <x v="50"/>
    <s v="RS"/>
    <n v="643"/>
    <s v="Elite"/>
    <n v="1350"/>
    <s v="W11647662"/>
    <s v="Compressores Herméticos"/>
    <x v="0"/>
    <n v="1000"/>
    <n v="5003024"/>
    <s v="RODOBRAS TRANSPORTES RODOVIARIOS LT"/>
    <n v="268.69"/>
    <d v="2025-06-23T00:00:00"/>
  </r>
  <r>
    <n v="254018370"/>
    <n v="64793200"/>
    <s v="REB"/>
    <n v="9611140"/>
    <n v="176"/>
    <s v="PEÇAS - Defeito de fabric./Interrompido"/>
    <s v="FUNCIONAL"/>
    <x v="2"/>
    <n v="76269"/>
    <x v="305"/>
    <s v="SC"/>
    <n v="931"/>
    <s v="Ats Off"/>
    <n v="1350"/>
    <s v="W11161217"/>
    <s v="Placas de Controle"/>
    <x v="1"/>
    <n v="1000"/>
    <n v="5003024"/>
    <s v="RODOBRAS TRANSPORTES RODOVIARIOS LT"/>
    <n v="268.63"/>
    <d v="2025-06-17T00:00:00"/>
  </r>
  <r>
    <s v="Sem TR"/>
    <n v="64777138"/>
    <s v="REB"/>
    <n v="9984146"/>
    <n v="411"/>
    <s v="DEV-Extravio de PEÇAS (Transportadora)"/>
    <s v="TRANSPORTADORA"/>
    <x v="0"/>
    <n v="79856"/>
    <x v="397"/>
    <s v="PA"/>
    <n v="934"/>
    <s v="CDP Ouro"/>
    <n v="1350"/>
    <s v="W10711361"/>
    <s v="Placas de Interface"/>
    <x v="1"/>
    <n v="1000"/>
    <n v="5002858"/>
    <s v="FAVORITA TRANSPORTES LTDA"/>
    <n v="268.62"/>
    <d v="2025-06-07T00:00:00"/>
  </r>
  <r>
    <s v="Sem TR"/>
    <n v="64726455"/>
    <s v="REB"/>
    <n v="9692184"/>
    <n v="160"/>
    <s v="OI Cancelada - Ver motivo no texto"/>
    <s v="OUTROS"/>
    <x v="1"/>
    <n v="84681"/>
    <x v="17"/>
    <s v="BA"/>
    <n v="643"/>
    <s v="Elite"/>
    <n v="1350"/>
    <n v="326026647"/>
    <s v="Outros"/>
    <x v="7"/>
    <n v="1000"/>
    <n v="5004101"/>
    <s v="UNIDOCK'S ASSESSORIA E LOGISTICA DE"/>
    <n v="268.45"/>
    <d v="2025-03-07T00:00:00"/>
  </r>
  <r>
    <s v="Sem TR"/>
    <n v="64813026"/>
    <s v="REB"/>
    <n v="9692184"/>
    <n v="178"/>
    <s v="PEÇAS -Defeito de fabric./Sem Compressão"/>
    <s v="FUNCIONAL"/>
    <x v="1"/>
    <n v="84681"/>
    <x v="17"/>
    <s v="BA"/>
    <n v="643"/>
    <s v="Elite"/>
    <n v="1350"/>
    <n v="326026647"/>
    <s v="Outros"/>
    <x v="7"/>
    <n v="1000"/>
    <n v="5004101"/>
    <s v="UNIDOCK'S ASSESSORIA E LOGISTICA DE"/>
    <n v="268.45"/>
    <d v="2025-07-22T00:00:00"/>
  </r>
  <r>
    <n v="254035345"/>
    <n v="64812565"/>
    <s v="REB"/>
    <n v="10087557"/>
    <n v="173"/>
    <s v="PEÇAS - Defeito de fabric./Alta Amperage"/>
    <s v="FUNCIONAL"/>
    <x v="0"/>
    <n v="18708"/>
    <x v="391"/>
    <s v="MA"/>
    <n v="933"/>
    <s v="Top"/>
    <n v="1350"/>
    <s v="W11299805"/>
    <s v="Mecanismos"/>
    <x v="2"/>
    <n v="2000"/>
    <n v="5004101"/>
    <s v="UNIDOCK'S ASSESSORIA E LOGISTICA DE"/>
    <n v="268.38"/>
    <d v="2025-07-17T00:00:00"/>
  </r>
  <r>
    <n v="254033639"/>
    <n v="64812227"/>
    <s v="ZRDI"/>
    <n v="10057143"/>
    <s v="D25"/>
    <s v="DEV D2C - Prob na entrega (Não recebi)"/>
    <s v="TRANSPORTADORA"/>
    <x v="2"/>
    <n v="58050290"/>
    <x v="464"/>
    <s v="AM"/>
    <n v="474"/>
    <s v="Site Brastemp"/>
    <n v="1352"/>
    <s v="W10839977"/>
    <s v="Vidros"/>
    <x v="6"/>
    <n v="1000"/>
    <n v="5002359"/>
    <s v="EMPRESA BRASILEIRA DE CORREIOS E"/>
    <n v="268.31"/>
    <d v="2025-07-17T00:00:00"/>
  </r>
  <r>
    <n v="254033639"/>
    <n v="64812227"/>
    <s v="ZRDI"/>
    <n v="10057143"/>
    <s v="D25"/>
    <s v="DEV D2C - Prob na entrega (Não recebi)"/>
    <s v="TRANSPORTADORA"/>
    <x v="2"/>
    <n v="58050290"/>
    <x v="464"/>
    <s v="AM"/>
    <n v="474"/>
    <s v="Site Brastemp"/>
    <n v="1352"/>
    <s v="W10839977"/>
    <s v="Vidros"/>
    <x v="6"/>
    <n v="1000"/>
    <n v="5002359"/>
    <s v="EMPRESA BRASILEIRA DE CORREIOS E"/>
    <n v="268.31"/>
    <d v="2025-07-17T00:00:00"/>
  </r>
  <r>
    <n v="254004075"/>
    <n v="64778074"/>
    <s v="REB"/>
    <n v="10038228"/>
    <n v="90"/>
    <s v="CLIENTE-não solicitou"/>
    <s v="COMERCIAL"/>
    <x v="1"/>
    <n v="84637"/>
    <x v="465"/>
    <s v="MG"/>
    <n v="932"/>
    <s v="CDP Prata"/>
    <n v="1350"/>
    <s v="W11369860"/>
    <s v="Motores Ventiladores"/>
    <x v="1"/>
    <n v="6000"/>
    <n v="5004215"/>
    <s v="BRASIL WEB TRANSPORTES E LOGISTICA"/>
    <n v="268.02999999999997"/>
    <d v="2025-05-26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268576"/>
    <s v="Gaxetas"/>
    <x v="4"/>
    <n v="5000"/>
    <n v="5004101"/>
    <s v="UNIDOCK'S ASSESSORIA E LOGISTICA DE"/>
    <n v="267.95"/>
    <d v="2025-03-11T00:00:00"/>
  </r>
  <r>
    <s v="Sem TR"/>
    <n v="64778020"/>
    <s v="REB"/>
    <n v="9814725"/>
    <n v="173"/>
    <s v="PEÇAS - Defeito de fabric./Alta Amperage"/>
    <s v="FUNCIONAL"/>
    <x v="1"/>
    <n v="27804"/>
    <x v="466"/>
    <s v="SP"/>
    <n v="641"/>
    <s v="CDP Diamante"/>
    <n v="1350"/>
    <n v="326061171"/>
    <s v="Placas de Controle"/>
    <x v="1"/>
    <n v="1000"/>
    <n v="5004042"/>
    <s v="BRASIL WEB TRANSPORTES E LOGISTICA"/>
    <n v="267.89999999999998"/>
    <d v="2025-05-26T00:00:00"/>
  </r>
  <r>
    <n v="254042251"/>
    <n v="64795896"/>
    <s v="REB"/>
    <n v="10065066"/>
    <n v="173"/>
    <s v="PEÇAS - Defeito de fabric./Alta Amperage"/>
    <s v="FUNCIONAL"/>
    <x v="0"/>
    <n v="40998"/>
    <x v="8"/>
    <s v="GO"/>
    <n v="648"/>
    <s v="Ultra"/>
    <n v="1350"/>
    <s v="W11677209"/>
    <s v="Compressores Herméticos"/>
    <x v="0"/>
    <n v="1000"/>
    <n v="5002858"/>
    <s v="FAVORITA TRANSPORTES LTDA"/>
    <n v="267.87"/>
    <d v="2025-06-23T00:00:00"/>
  </r>
  <r>
    <s v="Sem TR"/>
    <n v="64768422"/>
    <s v="ROB"/>
    <n v="50556"/>
    <n v="671"/>
    <s v="DEV-ENVIADO PARA GESTÃO DE CONSEQUENCIA"/>
    <s v="TRANSPORTADORA"/>
    <x v="2"/>
    <n v="12692"/>
    <x v="82"/>
    <s v="BA"/>
    <n v="641"/>
    <s v="CDP Diamante"/>
    <n v="1550"/>
    <s v="W10257565"/>
    <s v="Fusíveis/Fusíveis térmicos"/>
    <x v="1"/>
    <n v="25000"/>
    <n v="5004391"/>
    <s v="JEONCEL TRANSPORTES LTDA"/>
    <n v="267.52"/>
    <d v="2025-05-12T00:00:00"/>
  </r>
  <r>
    <n v="253891653"/>
    <n v="64658160"/>
    <s v="REB"/>
    <n v="9441581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3254"/>
    <s v="TMA TRANSPORTE LOTACAO E LOGISTICA"/>
    <n v="267.47000000000003"/>
    <d v="2024-12-05T00:00:00"/>
  </r>
  <r>
    <n v="254033426"/>
    <n v="64807619"/>
    <s v="REB"/>
    <n v="10067251"/>
    <n v="178"/>
    <s v="PEÇAS -Defeito de fabric./Sem Compressão"/>
    <s v="FUNCIONAL"/>
    <x v="0"/>
    <n v="61675"/>
    <x v="12"/>
    <s v="MG"/>
    <n v="643"/>
    <s v="Elite"/>
    <n v="1350"/>
    <s v="W11677208"/>
    <s v="Compressores Herméticos"/>
    <x v="0"/>
    <n v="1000"/>
    <n v="5004215"/>
    <s v="BRASIL WEB TRANSPORTES E LOGISTICA"/>
    <n v="267.27999999999997"/>
    <d v="2025-07-08T00:00:00"/>
  </r>
  <r>
    <n v="253971452"/>
    <n v="64749878"/>
    <s v="ROB"/>
    <n v="50318"/>
    <n v="205"/>
    <s v="DEV-Desacordo c/pedido-LOGISTICA(Transp)"/>
    <s v="TRANSPORTADORA"/>
    <x v="2"/>
    <n v="26272"/>
    <x v="467"/>
    <s v="MA"/>
    <n v="350"/>
    <s v="Ats On"/>
    <n v="1550"/>
    <s v="W10310999"/>
    <s v="Motores Ventiladores"/>
    <x v="1"/>
    <n v="5000"/>
    <n v="5000253"/>
    <s v="TRANSPORTADOR GENERICO"/>
    <n v="267.08"/>
    <d v="2025-04-10T00:00:00"/>
  </r>
  <r>
    <s v="Sem TR"/>
    <n v="64807608"/>
    <s v="ZRDI"/>
    <n v="10094309"/>
    <s v="D15"/>
    <s v="DEV D2C - Arrependimento modelo comprado"/>
    <s v="COMERCIAL"/>
    <x v="2"/>
    <n v="54350625"/>
    <x v="468"/>
    <s v="BA"/>
    <n v="474"/>
    <s v="Site Brastemp"/>
    <n v="1352"/>
    <s v="W10616737"/>
    <s v="Gavetas"/>
    <x v="9"/>
    <n v="1000"/>
    <n v="5002359"/>
    <s v="EMPRESA BRASILEIRA DE CORREIOS E"/>
    <n v="267.02999999999997"/>
    <d v="2025-07-10T00:00:00"/>
  </r>
  <r>
    <n v="254032623"/>
    <n v="64810007"/>
    <s v="ZRDI"/>
    <n v="10119350"/>
    <n v="208"/>
    <s v="DEV-Atraso entrega- LOGISTICA(Transp)"/>
    <s v="TRANSPORTADORA"/>
    <x v="2"/>
    <n v="53514598"/>
    <x v="469"/>
    <s v="SP"/>
    <n v="746"/>
    <s v="Marketplace B2W"/>
    <n v="1352"/>
    <s v="W10866791"/>
    <s v="Kits Instalação"/>
    <x v="7"/>
    <n v="2000"/>
    <n v="5002359"/>
    <s v="EMPRESA BRASILEIRA DE CORREIOS E"/>
    <n v="266.74"/>
    <d v="2025-07-16T00:00:00"/>
  </r>
  <r>
    <n v="254032623"/>
    <n v="64810007"/>
    <s v="ZRDI"/>
    <n v="10119350"/>
    <n v="208"/>
    <s v="DEV-Atraso entrega- LOGISTICA(Transp)"/>
    <s v="TRANSPORTADORA"/>
    <x v="2"/>
    <n v="53514598"/>
    <x v="469"/>
    <s v="SP"/>
    <n v="746"/>
    <s v="Marketplace B2W"/>
    <n v="1352"/>
    <s v="W10866791"/>
    <s v="Kits Instalação"/>
    <x v="7"/>
    <n v="2000"/>
    <n v="5002359"/>
    <s v="EMPRESA BRASILEIRA DE CORREIOS E"/>
    <n v="266.74"/>
    <d v="2025-07-16T00:00:00"/>
  </r>
  <r>
    <n v="254003905"/>
    <n v="64778187"/>
    <s v="REB"/>
    <n v="10025086"/>
    <n v="173"/>
    <s v="PEÇAS - Defeito de fabric./Alta Amperage"/>
    <s v="FUNCIONAL"/>
    <x v="2"/>
    <n v="27511"/>
    <x v="470"/>
    <s v="SP"/>
    <n v="641"/>
    <s v="CDP Diamante"/>
    <n v="1350"/>
    <s v="W11300816"/>
    <s v="Mecanismos"/>
    <x v="2"/>
    <n v="2000"/>
    <n v="5004042"/>
    <s v="BRASIL WEB TRANSPORTES E LOGISTICA"/>
    <n v="266.33999999999997"/>
    <d v="2025-05-26T00:00:00"/>
  </r>
  <r>
    <n v="253983963"/>
    <n v="64759689"/>
    <s v="REB"/>
    <n v="9862014"/>
    <n v="173"/>
    <s v="PEÇAS - Defeito de fabric./Alta Amperage"/>
    <s v="FUNCIONAL"/>
    <x v="1"/>
    <n v="80833"/>
    <x v="132"/>
    <s v="PR"/>
    <n v="644"/>
    <s v="Plus"/>
    <n v="1350"/>
    <s v="W11320227"/>
    <s v="Placas de Controle"/>
    <x v="1"/>
    <n v="1000"/>
    <n v="5003024"/>
    <s v="RODOBRAS TRANSPORTES RODOVIARIOS LT"/>
    <n v="266.26"/>
    <d v="2025-04-28T00:00:00"/>
  </r>
  <r>
    <n v="254032510"/>
    <n v="64811474"/>
    <s v="ZRDI"/>
    <n v="10085092"/>
    <n v="208"/>
    <s v="DEV-Atraso entrega- LOGISTICA(Transp)"/>
    <s v="TRANSPORTADORA"/>
    <x v="2"/>
    <n v="58086161"/>
    <x v="471"/>
    <s v="SC"/>
    <n v="466"/>
    <s v="Sup ML Marketplace"/>
    <n v="1352"/>
    <s v="W11393157"/>
    <s v="Tampas Móveis"/>
    <x v="6"/>
    <n v="1000"/>
    <n v="5002359"/>
    <s v="EMPRESA BRASILEIRA DE CORREIOS E"/>
    <n v="266.2"/>
    <d v="2025-07-16T00:00:00"/>
  </r>
  <r>
    <n v="254038398"/>
    <n v="64813558"/>
    <s v="REB"/>
    <n v="9805445"/>
    <n v="176"/>
    <s v="PEÇAS - Defeito de fabric./Interrompido"/>
    <s v="FUNCIONAL"/>
    <x v="0"/>
    <n v="80432"/>
    <x v="3"/>
    <s v="ES"/>
    <n v="713"/>
    <s v="Key Account"/>
    <n v="1350"/>
    <s v="W11161216"/>
    <s v="Placas de Controle"/>
    <x v="1"/>
    <n v="1000"/>
    <n v="5004042"/>
    <s v="BRASIL WEB TRANSPORTES E LOGISTICA"/>
    <n v="265.95999999999998"/>
    <d v="2025-07-22T00:00:00"/>
  </r>
  <r>
    <n v="253970732"/>
    <n v="64749099"/>
    <s v="REB"/>
    <n v="9917582"/>
    <n v="173"/>
    <s v="PEÇAS - Defeito de fabric./Alta Amperage"/>
    <s v="FUNCIONAL"/>
    <x v="1"/>
    <n v="13757"/>
    <x v="14"/>
    <s v="SP"/>
    <n v="713"/>
    <s v="Key Account"/>
    <n v="1350"/>
    <s v="W11300816"/>
    <s v="Mecanismos"/>
    <x v="2"/>
    <n v="2000"/>
    <n v="5004042"/>
    <s v="BRASIL WEB TRANSPORTES E LOGISTICA"/>
    <n v="265.7"/>
    <d v="2025-04-09T00:00:00"/>
  </r>
  <r>
    <n v="253989797"/>
    <n v="64766019"/>
    <s v="REB"/>
    <n v="9917582"/>
    <n v="173"/>
    <s v="PEÇAS - Defeito de fabric./Alta Amperage"/>
    <s v="FUNCIONAL"/>
    <x v="1"/>
    <n v="13757"/>
    <x v="14"/>
    <s v="SP"/>
    <n v="713"/>
    <s v="Key Account"/>
    <n v="1350"/>
    <s v="W11300816"/>
    <s v="Mecanismos"/>
    <x v="2"/>
    <n v="2000"/>
    <n v="5004042"/>
    <s v="BRASIL WEB TRANSPORTES E LOGISTICA"/>
    <n v="265.7"/>
    <d v="2025-05-07T00:00:00"/>
  </r>
  <r>
    <n v="253886307"/>
    <n v="64655251"/>
    <s v="REB"/>
    <n v="9160356"/>
    <n v="176"/>
    <s v="PEÇAS - Defeito de fabric./Interrompido"/>
    <s v="FUNCIONAL"/>
    <x v="2"/>
    <n v="77909"/>
    <x v="472"/>
    <s v="PR"/>
    <n v="934"/>
    <s v="CDP Ouro"/>
    <n v="1350"/>
    <s v="W11387505"/>
    <s v="Placas de Controle"/>
    <x v="1"/>
    <n v="1000"/>
    <n v="5003024"/>
    <s v="RODOBRAS TRANSPORTES RODOVIARIOS LT"/>
    <n v="265.51"/>
    <d v="2024-11-29T00:00:00"/>
  </r>
  <r>
    <n v="253886307"/>
    <n v="64655251"/>
    <s v="REB"/>
    <n v="9160356"/>
    <n v="176"/>
    <s v="PEÇAS - Defeito de fabric./Interrompido"/>
    <s v="FUNCIONAL"/>
    <x v="2"/>
    <n v="77909"/>
    <x v="472"/>
    <s v="PR"/>
    <n v="934"/>
    <s v="CDP Ouro"/>
    <n v="1350"/>
    <s v="W11387505"/>
    <s v="Placas de Controle"/>
    <x v="1"/>
    <n v="1000"/>
    <n v="5003024"/>
    <s v="RODOBRAS TRANSPORTES RODOVIARIOS LT"/>
    <n v="265.51"/>
    <d v="2024-11-29T00:00:00"/>
  </r>
  <r>
    <n v="254035905"/>
    <n v="64814025"/>
    <s v="ZRDI"/>
    <n v="10103298"/>
    <n v="208"/>
    <s v="DEV-Atraso entrega- LOGISTICA(Transp)"/>
    <s v="TRANSPORTADORA"/>
    <x v="2"/>
    <n v="58115499"/>
    <x v="473"/>
    <s v="RJ"/>
    <n v="466"/>
    <s v="Sup ML Marketplace"/>
    <n v="1352"/>
    <s v="W11393157"/>
    <s v="Tampas Móveis"/>
    <x v="6"/>
    <n v="1000"/>
    <n v="5002359"/>
    <s v="EMPRESA BRASILEIRA DE CORREIOS E"/>
    <n v="265.48"/>
    <d v="2025-07-21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0866791"/>
    <s v="Kits Instalação"/>
    <x v="7"/>
    <n v="2000"/>
    <n v="5002359"/>
    <s v="EMPRESA BRASILEIRA DE CORREIOS E"/>
    <n v="265.3"/>
    <d v="2025-07-16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0866791"/>
    <s v="Kits Instalação"/>
    <x v="7"/>
    <n v="2000"/>
    <n v="5002359"/>
    <s v="EMPRESA BRASILEIRA DE CORREIOS E"/>
    <n v="265.3"/>
    <d v="2025-07-16T00:00:00"/>
  </r>
  <r>
    <n v="254018404"/>
    <n v="64792281"/>
    <s v="REB"/>
    <n v="10064996"/>
    <n v="167"/>
    <s v="PEÇAS - Avaria - Quebrada/Depósito"/>
    <s v="LOGÍSTICA"/>
    <x v="2"/>
    <n v="88969"/>
    <x v="101"/>
    <s v="SC"/>
    <n v="641"/>
    <s v="CDP Diamante"/>
    <n v="1350"/>
    <s v="W10830949"/>
    <s v="Gavetas"/>
    <x v="9"/>
    <n v="3000"/>
    <n v="5003024"/>
    <s v="RODOBRAS TRANSPORTES RODOVIARIOS LT"/>
    <n v="265.20999999999998"/>
    <d v="2025-06-16T00:00:00"/>
  </r>
  <r>
    <n v="254035371"/>
    <n v="64812253"/>
    <s v="REB"/>
    <n v="9853799"/>
    <n v="173"/>
    <s v="PEÇAS - Defeito de fabric./Alta Amperage"/>
    <s v="FUNCIONAL"/>
    <x v="0"/>
    <n v="30990"/>
    <x v="26"/>
    <s v="ES"/>
    <n v="713"/>
    <s v="Key Account"/>
    <n v="1350"/>
    <s v="W11396188"/>
    <s v="Placas de Interface"/>
    <x v="1"/>
    <n v="4000"/>
    <n v="5004042"/>
    <s v="BRASIL WEB TRANSPORTES E LOGISTICA"/>
    <n v="265.19"/>
    <d v="2025-07-17T00:00:00"/>
  </r>
  <r>
    <n v="254017685"/>
    <n v="64756927"/>
    <s v="ZDVP"/>
    <n v="9897571"/>
    <n v="173"/>
    <s v="PEÇAS - Defeito de fabric./Alta Amperage"/>
    <s v="FUNCIONAL"/>
    <x v="2"/>
    <n v="81338"/>
    <x v="354"/>
    <s v="SP"/>
    <n v="644"/>
    <s v="Plus"/>
    <n v="1350"/>
    <s v="W11300816"/>
    <s v="Mecanismos"/>
    <x v="2"/>
    <n v="2000"/>
    <n v="5004042"/>
    <s v="BRASIL WEB TRANSPORTES E LOGISTICA"/>
    <n v="265"/>
    <d v="2025-04-25T00:00:00"/>
  </r>
  <r>
    <s v="Sem TR"/>
    <n v="64812664"/>
    <s v="REB"/>
    <n v="9945467"/>
    <n v="178"/>
    <s v="PEÇAS -Defeito de fabric./Sem Compressão"/>
    <s v="FUNCIONAL"/>
    <x v="1"/>
    <n v="47026"/>
    <x v="16"/>
    <s v="BA"/>
    <n v="643"/>
    <s v="Elite"/>
    <n v="1350"/>
    <s v="W11647662"/>
    <s v="Compressores Herméticos"/>
    <x v="0"/>
    <n v="1000"/>
    <n v="5004101"/>
    <s v="UNIDOCK'S ASSESSORIA E LOGISTICA DE"/>
    <n v="264.69"/>
    <d v="2025-07-17T00:00:00"/>
  </r>
  <r>
    <n v="253913185"/>
    <n v="64684473"/>
    <s v="REB"/>
    <n v="9659401"/>
    <n v="176"/>
    <s v="PEÇAS - Defeito de fabric./Interrompido"/>
    <s v="FUNCIONAL"/>
    <x v="1"/>
    <n v="77676"/>
    <x v="278"/>
    <s v="DF"/>
    <n v="931"/>
    <s v="Ats Off"/>
    <n v="1350"/>
    <s v="W10591605"/>
    <s v="Placas de Controle"/>
    <x v="1"/>
    <n v="1000"/>
    <n v="5002858"/>
    <s v="FAVORITA TRANSPORTES LTDA"/>
    <n v="264.67"/>
    <d v="2025-01-06T00:00:00"/>
  </r>
  <r>
    <n v="253891654"/>
    <n v="64656036"/>
    <s v="REB"/>
    <n v="9435103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3254"/>
    <s v="TMA TRANSPORTE LOTACAO E LOGISTICA"/>
    <n v="264.38"/>
    <d v="2024-12-05T00:00:00"/>
  </r>
  <r>
    <n v="253891653"/>
    <n v="64659235"/>
    <s v="REB"/>
    <n v="9441583"/>
    <n v="178"/>
    <s v="PEÇAS -Defeito de fabric./Sem Compressão"/>
    <s v="FUNCIONAL"/>
    <x v="1"/>
    <n v="55093"/>
    <x v="231"/>
    <s v="SP"/>
    <n v="648"/>
    <s v="Ultra"/>
    <n v="1350"/>
    <s v="W11647660"/>
    <s v="Compressores Herméticos"/>
    <x v="0"/>
    <n v="1000"/>
    <n v="5003254"/>
    <s v="TMA TRANSPORTE LOTACAO E LOGISTICA"/>
    <n v="264.38"/>
    <d v="2024-12-05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0912973"/>
    <s v="Placas de Controle"/>
    <x v="1"/>
    <n v="1000"/>
    <n v="5003024"/>
    <s v="RODOBRAS TRANSPORTES RODOVIARIOS LT"/>
    <n v="264.33"/>
    <d v="2025-01-16T00:00:00"/>
  </r>
  <r>
    <s v="Sem TR"/>
    <n v="64801822"/>
    <s v="ZRDI"/>
    <n v="10108461"/>
    <s v="D31"/>
    <s v="DEV D2C - Defeito estético manufatura"/>
    <s v="MANUFATURA"/>
    <x v="2"/>
    <n v="58070968"/>
    <x v="475"/>
    <s v="SP"/>
    <n v="474"/>
    <s v="Site Brastemp"/>
    <n v="1352"/>
    <s v="W11289967"/>
    <s v="Prateleiras"/>
    <x v="9"/>
    <n v="1000"/>
    <n v="5002359"/>
    <s v="EMPRESA BRASILEIRA DE CORREIOS E"/>
    <n v="264"/>
    <d v="2025-07-01T00:00:00"/>
  </r>
  <r>
    <s v="Sem TR"/>
    <n v="64809108"/>
    <s v="ZRDI"/>
    <n v="10123930"/>
    <s v="D31"/>
    <s v="DEV D2C - Defeito estético manufatura"/>
    <s v="MANUFATURA"/>
    <x v="2"/>
    <n v="58070968"/>
    <x v="475"/>
    <s v="SP"/>
    <n v="474"/>
    <s v="Site Brastemp"/>
    <n v="1352"/>
    <s v="W11289967"/>
    <s v="Prateleiras"/>
    <x v="9"/>
    <n v="1000"/>
    <n v="5002359"/>
    <s v="EMPRESA BRASILEIRA DE CORREIOS E"/>
    <n v="264"/>
    <d v="2025-07-15T00:00:00"/>
  </r>
  <r>
    <s v="Sem TR"/>
    <n v="64809108"/>
    <s v="ZRDI"/>
    <n v="10123930"/>
    <s v="D31"/>
    <s v="DEV D2C - Defeito estético manufatura"/>
    <s v="MANUFATURA"/>
    <x v="2"/>
    <n v="58070968"/>
    <x v="475"/>
    <s v="SP"/>
    <n v="474"/>
    <s v="Site Brastemp"/>
    <n v="1352"/>
    <s v="W11289967"/>
    <s v="Prateleiras"/>
    <x v="9"/>
    <n v="1000"/>
    <n v="5002359"/>
    <s v="EMPRESA BRASILEIRA DE CORREIOS E"/>
    <n v="264"/>
    <d v="2025-07-15T00:00:00"/>
  </r>
  <r>
    <n v="254003948"/>
    <n v="64778315"/>
    <s v="REB"/>
    <n v="9966058"/>
    <n v="173"/>
    <s v="PEÇAS - Defeito de fabric./Alta Amperage"/>
    <s v="FUNCIONAL"/>
    <x v="1"/>
    <n v="30990"/>
    <x v="26"/>
    <s v="ES"/>
    <n v="713"/>
    <s v="Key Account"/>
    <n v="1350"/>
    <s v="W11299803"/>
    <s v="Mecanismos"/>
    <x v="2"/>
    <n v="3000"/>
    <n v="5004042"/>
    <s v="BRASIL WEB TRANSPORTES E LOGISTICA"/>
    <n v="263.85000000000002"/>
    <d v="2025-05-26T00:00:00"/>
  </r>
  <r>
    <n v="253981423"/>
    <n v="64757712"/>
    <s v="REB"/>
    <n v="9962767"/>
    <n v="167"/>
    <s v="PEÇAS - Avaria - Quebrada/Depósito"/>
    <s v="LOGÍSTICA"/>
    <x v="1"/>
    <n v="27253"/>
    <x v="167"/>
    <s v="PI"/>
    <n v="931"/>
    <s v="Ats Off"/>
    <n v="1350"/>
    <s v="W10512612"/>
    <s v="Tampas Móveis"/>
    <x v="6"/>
    <n v="2000"/>
    <n v="5004101"/>
    <s v="UNIDOCK'S ASSESSORIA E LOGISTICA DE"/>
    <n v="263.81"/>
    <d v="2025-04-25T00:00:00"/>
  </r>
  <r>
    <n v="253846641"/>
    <n v="64617450"/>
    <s v="REB"/>
    <n v="6289471"/>
    <n v="671"/>
    <s v="DEV-ENVIADO PARA GESTÃO DE CONSEQUENCIA"/>
    <s v="TRANSPORTADORA"/>
    <x v="1"/>
    <n v="1875"/>
    <x v="291"/>
    <s v="MS"/>
    <n v="350"/>
    <s v="Ats On"/>
    <n v="1350"/>
    <s v="W11133677"/>
    <s v="Compressores Herméticos"/>
    <x v="0"/>
    <n v="1000"/>
    <n v="5002573"/>
    <s v="CARVALIMA TRANSPORTES LTDA"/>
    <n v="263.79000000000002"/>
    <d v="2024-09-26T00:00:00"/>
  </r>
  <r>
    <s v="Sem TR"/>
    <n v="64816228"/>
    <s v="REB"/>
    <n v="10109101"/>
    <n v="168"/>
    <s v="PEÇAS-Def.Fabric.Empenamento/Abaulamento"/>
    <s v="FUNCIONAL"/>
    <x v="1"/>
    <n v="67948"/>
    <x v="15"/>
    <s v="SC"/>
    <n v="713"/>
    <s v="Key Account"/>
    <n v="1350"/>
    <s v="W11363944"/>
    <s v="Capas"/>
    <x v="6"/>
    <n v="10000"/>
    <n v="5003024"/>
    <s v="RODOBRAS TRANSPORTES RODOVIARIOS LT"/>
    <n v="263.73"/>
    <d v="2025-07-25T00:00:00"/>
  </r>
  <r>
    <n v="254018238"/>
    <n v="64793224"/>
    <s v="REB"/>
    <n v="10020892"/>
    <n v="176"/>
    <s v="PEÇAS - Defeito de fabric./Interrompido"/>
    <s v="FUNCIONAL"/>
    <x v="1"/>
    <n v="24089"/>
    <x v="134"/>
    <s v="RJ"/>
    <n v="931"/>
    <s v="Ats Off"/>
    <n v="1350"/>
    <s v="W10398340"/>
    <s v="Sensores"/>
    <x v="3"/>
    <n v="1000"/>
    <n v="5003176"/>
    <s v="J C THEDIN TRANSPORTES LTDA"/>
    <n v="263.64"/>
    <d v="2025-06-17T00:00:00"/>
  </r>
  <r>
    <n v="254042153"/>
    <n v="64796050"/>
    <s v="REB"/>
    <n v="10008484"/>
    <n v="173"/>
    <s v="PEÇAS - Defeito de fabric./Alta Amperage"/>
    <s v="FUNCIONAL"/>
    <x v="0"/>
    <n v="69166"/>
    <x v="129"/>
    <s v="RJ"/>
    <n v="931"/>
    <s v="Ats Off"/>
    <n v="1350"/>
    <s v="W10398340"/>
    <s v="Sensores"/>
    <x v="3"/>
    <n v="1000"/>
    <n v="5003176"/>
    <s v="J C THEDIN TRANSPORTES LTDA"/>
    <n v="263.64"/>
    <d v="2025-06-23T00:00:00"/>
  </r>
  <r>
    <n v="253995065"/>
    <n v="64772597"/>
    <s v="REB"/>
    <n v="9997826"/>
    <n v="176"/>
    <s v="PEÇAS - Defeito de fabric./Interrompido"/>
    <s v="FUNCIONAL"/>
    <x v="2"/>
    <n v="3506"/>
    <x v="46"/>
    <s v="SP"/>
    <n v="931"/>
    <s v="Ats Off"/>
    <n v="1350"/>
    <s v="W11300698"/>
    <s v="Mecanismos"/>
    <x v="2"/>
    <n v="1000"/>
    <n v="5004042"/>
    <s v="BRASIL WEB TRANSPORTES E LOGISTICA"/>
    <n v="263.42"/>
    <d v="2025-05-16T00:00:00"/>
  </r>
  <r>
    <n v="253988926"/>
    <n v="64760060"/>
    <s v="REB"/>
    <n v="9963208"/>
    <n v="176"/>
    <s v="PEÇAS - Defeito de fabric./Interrompido"/>
    <s v="FUNCIONAL"/>
    <x v="2"/>
    <n v="80432"/>
    <x v="3"/>
    <s v="ES"/>
    <n v="713"/>
    <s v="Key Account"/>
    <n v="1350"/>
    <s v="W11458016"/>
    <s v="Placas de Controle"/>
    <x v="1"/>
    <n v="1000"/>
    <n v="5004042"/>
    <s v="BRASIL WEB TRANSPORTES E LOGISTICA"/>
    <n v="263.3"/>
    <d v="2025-05-05T00:00:00"/>
  </r>
  <r>
    <n v="253988886"/>
    <n v="64763869"/>
    <s v="REB"/>
    <n v="9946998"/>
    <n v="176"/>
    <s v="PEÇAS - Defeito de fabric./Interrompido"/>
    <s v="FUNCIONAL"/>
    <x v="1"/>
    <n v="53012"/>
    <x v="476"/>
    <s v="RJ"/>
    <n v="350"/>
    <s v="Ats On"/>
    <n v="1350"/>
    <s v="W11482941"/>
    <s v="Placas de Controle"/>
    <x v="1"/>
    <n v="1000"/>
    <n v="5003176"/>
    <s v="J C THEDIN TRANSPORTES LTDA"/>
    <n v="263.20999999999998"/>
    <d v="2025-05-05T00:00:00"/>
  </r>
  <r>
    <n v="254033472"/>
    <n v="64807284"/>
    <s v="REB"/>
    <n v="10085697"/>
    <n v="173"/>
    <s v="PEÇAS - Defeito de fabric./Alta Amperage"/>
    <s v="FUNCIONAL"/>
    <x v="2"/>
    <n v="85703"/>
    <x v="164"/>
    <s v="DF"/>
    <n v="350"/>
    <s v="Ats On"/>
    <n v="1350"/>
    <s v="W11320227"/>
    <s v="Placas de Controle"/>
    <x v="1"/>
    <n v="1000"/>
    <n v="5002858"/>
    <s v="FAVORITA TRANSPORTES LTDA"/>
    <n v="263.08"/>
    <d v="2025-07-08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591605"/>
    <s v="Placas de Controle"/>
    <x v="1"/>
    <n v="1000"/>
    <n v="5004101"/>
    <s v="UNIDOCK'S ASSESSORIA E LOGISTICA DE"/>
    <n v="263.04000000000002"/>
    <d v="2025-03-11T00:00:00"/>
  </r>
  <r>
    <n v="253988782"/>
    <n v="64763834"/>
    <s v="REB"/>
    <n v="9959044"/>
    <n v="176"/>
    <s v="PEÇAS - Defeito de fabric./Interrompido"/>
    <s v="FUNCIONAL"/>
    <x v="2"/>
    <n v="3506"/>
    <x v="46"/>
    <s v="SP"/>
    <n v="931"/>
    <s v="Ats Off"/>
    <n v="1350"/>
    <s v="W11300698"/>
    <s v="Mecanismos"/>
    <x v="2"/>
    <n v="1000"/>
    <n v="5004042"/>
    <s v="BRASIL WEB TRANSPORTES E LOGISTICA"/>
    <n v="262.83"/>
    <d v="2025-05-05T00:00:00"/>
  </r>
  <r>
    <n v="254003855"/>
    <n v="64778562"/>
    <s v="REB"/>
    <n v="9894868"/>
    <n v="176"/>
    <s v="PEÇAS - Defeito de fabric./Interrompido"/>
    <s v="FUNCIONAL"/>
    <x v="2"/>
    <n v="3506"/>
    <x v="46"/>
    <s v="SP"/>
    <n v="931"/>
    <s v="Ats Off"/>
    <n v="1350"/>
    <s v="W11300698"/>
    <s v="Mecanismos"/>
    <x v="2"/>
    <n v="1000"/>
    <n v="5004042"/>
    <s v="BRASIL WEB TRANSPORTES E LOGISTICA"/>
    <n v="262.83"/>
    <d v="2025-05-26T00:00:00"/>
  </r>
  <r>
    <n v="254012528"/>
    <n v="64789368"/>
    <s v="REB"/>
    <n v="9860066"/>
    <n v="176"/>
    <s v="PEÇAS - Defeito de fabric./Interrompido"/>
    <s v="FUNCIONAL"/>
    <x v="1"/>
    <n v="46272"/>
    <x v="194"/>
    <s v="CE"/>
    <n v="713"/>
    <s v="Key Account"/>
    <n v="1350"/>
    <s v="W11299803"/>
    <s v="Mecanismos"/>
    <x v="2"/>
    <n v="3000"/>
    <n v="5004101"/>
    <s v="UNIDOCK'S ASSESSORIA E LOGISTICA DE"/>
    <n v="262.70999999999998"/>
    <d v="2025-06-10T00:00:00"/>
  </r>
  <r>
    <n v="254033259"/>
    <n v="64807322"/>
    <s v="REB"/>
    <n v="10105108"/>
    <n v="176"/>
    <s v="PEÇAS - Defeito de fabric./Interrompido"/>
    <s v="FUNCIONAL"/>
    <x v="1"/>
    <n v="3652"/>
    <x v="51"/>
    <s v="SP"/>
    <n v="350"/>
    <s v="Ats On"/>
    <n v="1350"/>
    <s v="W11482941"/>
    <s v="Placas de Controle"/>
    <x v="1"/>
    <n v="1000"/>
    <n v="5004042"/>
    <s v="BRASIL WEB TRANSPORTES E LOGISTICA"/>
    <n v="262.66000000000003"/>
    <d v="2025-07-08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897149"/>
    <s v="Rolamentos"/>
    <x v="2"/>
    <n v="30000"/>
    <n v="5004101"/>
    <s v="UNIDOCK'S ASSESSORIA E LOGISTICA DE"/>
    <n v="262.60000000000002"/>
    <d v="2025-03-13T00:00:00"/>
  </r>
  <r>
    <n v="254041636"/>
    <n v="64819270"/>
    <s v="ROB"/>
    <n v="10133762"/>
    <n v="182"/>
    <s v="PEÇAS - Extravio - Volume a menor"/>
    <s v="TRANSPORTADORA"/>
    <x v="1"/>
    <n v="87684"/>
    <x v="416"/>
    <s v="PA"/>
    <n v="932"/>
    <s v="CDP Prata"/>
    <n v="1350"/>
    <s v="W11745349"/>
    <s v="Outros"/>
    <x v="7"/>
    <n v="1000"/>
    <n v="5002858"/>
    <s v="FAVORITA TRANSPORTES LTDA"/>
    <n v="262.55"/>
    <d v="2025-07-28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32497"/>
    <s v="Placas de Controle"/>
    <x v="1"/>
    <n v="3000"/>
    <n v="5004101"/>
    <s v="UNIDOCK'S ASSESSORIA E LOGISTICA DE"/>
    <n v="262.51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32497"/>
    <s v="Placas de Controle"/>
    <x v="1"/>
    <n v="3000"/>
    <n v="5004101"/>
    <s v="UNIDOCK'S ASSESSORIA E LOGISTICA DE"/>
    <n v="262.51"/>
    <d v="2025-06-24T00:00:00"/>
  </r>
  <r>
    <n v="254035321"/>
    <n v="64812317"/>
    <s v="REB"/>
    <n v="10131693"/>
    <n v="176"/>
    <s v="PEÇAS - Defeito de fabric./Interrompido"/>
    <s v="FUNCIONAL"/>
    <x v="1"/>
    <n v="2424"/>
    <x v="338"/>
    <s v="RJ"/>
    <n v="350"/>
    <s v="Ats On"/>
    <n v="1350"/>
    <s v="W11687045"/>
    <s v="Tanques"/>
    <x v="9"/>
    <n v="1000"/>
    <n v="5003176"/>
    <s v="J C THEDIN TRANSPORTES LTDA"/>
    <n v="262.31"/>
    <d v="2025-07-17T00:00:00"/>
  </r>
  <r>
    <n v="253983944"/>
    <n v="64759909"/>
    <s v="REB"/>
    <n v="9749049"/>
    <n v="178"/>
    <s v="PEÇAS -Defeito de fabric./Sem Compressão"/>
    <s v="FUNCIONAL"/>
    <x v="2"/>
    <n v="61675"/>
    <x v="12"/>
    <s v="MG"/>
    <n v="643"/>
    <s v="Elite"/>
    <n v="1350"/>
    <n v="326026647"/>
    <s v="Outros"/>
    <x v="7"/>
    <n v="1000"/>
    <n v="5004215"/>
    <s v="BRASIL WEB TRANSPORTES E LOGISTICA"/>
    <n v="261.85000000000002"/>
    <d v="2025-04-28T00:00:00"/>
  </r>
  <r>
    <n v="254018102"/>
    <n v="64785847"/>
    <s v="REB"/>
    <n v="10058714"/>
    <n v="115"/>
    <s v="PEÇAS-Recusa do cliente"/>
    <s v="COMERCIAL"/>
    <x v="2"/>
    <n v="2666"/>
    <x v="219"/>
    <s v="RJ"/>
    <n v="931"/>
    <s v="Ats Off"/>
    <n v="1350"/>
    <s v="W11395607"/>
    <s v="Mesas Cocção"/>
    <x v="6"/>
    <n v="1000"/>
    <n v="5003176"/>
    <s v="J C THEDIN TRANSPORTES LTDA"/>
    <n v="261.77"/>
    <d v="2025-06-0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565766"/>
    <s v="Placas de Interface"/>
    <x v="1"/>
    <n v="3000"/>
    <n v="5004101"/>
    <s v="UNIDOCK'S ASSESSORIA E LOGISTICA DE"/>
    <n v="261.70999999999998"/>
    <d v="2025-06-24T00:00:00"/>
  </r>
  <r>
    <n v="253925162"/>
    <n v="64698733"/>
    <s v="ROB"/>
    <n v="9779789"/>
    <n v="268"/>
    <s v="DEV-APREENSÃO FISCAL - VENDAS"/>
    <s v="COMERCIAL"/>
    <x v="1"/>
    <n v="67561"/>
    <x v="47"/>
    <s v="CE"/>
    <n v="934"/>
    <s v="CDP Ouro"/>
    <n v="1350"/>
    <s v="W10211808"/>
    <s v="Evaporadores"/>
    <x v="0"/>
    <n v="2000"/>
    <n v="5004101"/>
    <s v="UNIDOCK'S ASSESSORIA E LOGISTICA DE"/>
    <n v="261.24"/>
    <d v="2025-01-28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467328"/>
    <s v="Válvulas de Água"/>
    <x v="5"/>
    <n v="4000"/>
    <n v="5004101"/>
    <s v="UNIDOCK'S ASSESSORIA E LOGISTICA DE"/>
    <n v="261"/>
    <d v="2025-06-24T00:00:00"/>
  </r>
  <r>
    <s v="Sem TR"/>
    <n v="64813225"/>
    <s v="ZRDI"/>
    <n v="10144624"/>
    <s v="D18"/>
    <s v="DEV D2C - Arrependimento não quero mais"/>
    <s v="COMERCIAL"/>
    <x v="2"/>
    <n v="57639996"/>
    <x v="477"/>
    <s v="SP"/>
    <n v="474"/>
    <s v="Site Brastemp"/>
    <n v="1352"/>
    <s v="W10371191"/>
    <s v="Tampas Fixas"/>
    <x v="6"/>
    <n v="1000"/>
    <n v="5002359"/>
    <s v="EMPRESA BRASILEIRA DE CORREIOS E"/>
    <n v="260.89999999999998"/>
    <d v="2025-07-22T00:00:00"/>
  </r>
  <r>
    <s v="Sem TR"/>
    <n v="64813225"/>
    <s v="ZRDI"/>
    <n v="10144624"/>
    <s v="D18"/>
    <s v="DEV D2C - Arrependimento não quero mais"/>
    <s v="COMERCIAL"/>
    <x v="2"/>
    <n v="57639996"/>
    <x v="477"/>
    <s v="SP"/>
    <n v="474"/>
    <s v="Site Brastemp"/>
    <n v="1352"/>
    <s v="W10371191"/>
    <s v="Tampas Fixas"/>
    <x v="6"/>
    <n v="1000"/>
    <n v="5002359"/>
    <s v="EMPRESA BRASILEIRA DE CORREIOS E"/>
    <n v="260.89999999999998"/>
    <d v="2025-07-22T00:00:00"/>
  </r>
  <r>
    <n v="254003930"/>
    <n v="64776253"/>
    <s v="REB"/>
    <n v="9716169"/>
    <n v="173"/>
    <s v="PEÇAS - Defeito de fabric./Alta Amperage"/>
    <s v="FUNCIONAL"/>
    <x v="1"/>
    <n v="29164"/>
    <x v="32"/>
    <s v="BA"/>
    <n v="648"/>
    <s v="Ultra"/>
    <n v="1350"/>
    <s v="W11435396"/>
    <s v="Placas de Controle"/>
    <x v="1"/>
    <n v="1000"/>
    <n v="5004101"/>
    <s v="UNIDOCK'S ASSESSORIA E LOGISTICA DE"/>
    <n v="260.77999999999997"/>
    <d v="2025-05-26T00:00:00"/>
  </r>
  <r>
    <n v="254007515"/>
    <n v="64782475"/>
    <s v="REB"/>
    <n v="10056016"/>
    <n v="104"/>
    <s v="PEÇAS-Código trocado(embalag X conteúdo)"/>
    <s v="LOGÍSTICA"/>
    <x v="2"/>
    <n v="3649"/>
    <x v="148"/>
    <s v="SP"/>
    <n v="350"/>
    <s v="Ats On"/>
    <n v="1350"/>
    <s v="W11687045"/>
    <s v="Tanques"/>
    <x v="9"/>
    <n v="1000"/>
    <n v="5004042"/>
    <s v="BRASIL WEB TRANSPORTES E LOGISTICA"/>
    <n v="260.73"/>
    <d v="2025-06-02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0399715"/>
    <s v="Motores Ventiladores"/>
    <x v="1"/>
    <n v="6000"/>
    <n v="5004101"/>
    <s v="UNIDOCK'S ASSESSORIA E LOGISTICA DE"/>
    <n v="260.7"/>
    <d v="2025-03-13T00:00:00"/>
  </r>
  <r>
    <n v="254042210"/>
    <n v="64796174"/>
    <s v="REB"/>
    <n v="10039901"/>
    <n v="173"/>
    <s v="PEÇAS - Defeito de fabric./Alta Amperage"/>
    <s v="FUNCIONAL"/>
    <x v="0"/>
    <n v="81338"/>
    <x v="354"/>
    <s v="SP"/>
    <n v="644"/>
    <s v="Plus"/>
    <n v="1350"/>
    <s v="W11300816"/>
    <s v="Mecanismos"/>
    <x v="2"/>
    <n v="2000"/>
    <n v="5004042"/>
    <s v="BRASIL WEB TRANSPORTES E LOGISTICA"/>
    <n v="260.64"/>
    <d v="2025-06-23T00:00:00"/>
  </r>
  <r>
    <n v="254040422"/>
    <n v="64818326"/>
    <s v="ZRDI"/>
    <n v="10136606"/>
    <n v="208"/>
    <s v="DEV-Atraso entrega- LOGISTICA(Transp)"/>
    <s v="TRANSPORTADORA"/>
    <x v="2"/>
    <n v="58154955"/>
    <x v="478"/>
    <s v="PR"/>
    <n v="474"/>
    <s v="Site Brastemp"/>
    <n v="1352"/>
    <s v="W10915770"/>
    <s v="Vidros"/>
    <x v="6"/>
    <n v="1000"/>
    <n v="5002359"/>
    <s v="EMPRESA BRASILEIRA DE CORREIOS E"/>
    <n v="260.49"/>
    <d v="2025-07-26T00:00:00"/>
  </r>
  <r>
    <n v="254040422"/>
    <n v="64818326"/>
    <s v="ZRDI"/>
    <n v="10136606"/>
    <n v="208"/>
    <s v="DEV-Atraso entrega- LOGISTICA(Transp)"/>
    <s v="TRANSPORTADORA"/>
    <x v="2"/>
    <n v="58154955"/>
    <x v="478"/>
    <s v="PR"/>
    <n v="474"/>
    <s v="Site Brastemp"/>
    <n v="1352"/>
    <s v="W10915770"/>
    <s v="Vidros"/>
    <x v="6"/>
    <n v="1000"/>
    <n v="5002359"/>
    <s v="EMPRESA BRASILEIRA DE CORREIOS E"/>
    <n v="260.49"/>
    <d v="2025-07-26T00:00:00"/>
  </r>
  <r>
    <s v="Sem TR"/>
    <n v="64805243"/>
    <s v="ZRDI"/>
    <n v="10095983"/>
    <s v="D10"/>
    <s v="DEV D2C - Comprou modelo errado"/>
    <s v="COMERCIAL"/>
    <x v="2"/>
    <n v="54104302"/>
    <x v="479"/>
    <s v="PR"/>
    <n v="474"/>
    <s v="Site Brastemp"/>
    <n v="1352"/>
    <s v="W10421468"/>
    <s v="Gavetas"/>
    <x v="9"/>
    <n v="1000"/>
    <n v="5002359"/>
    <s v="EMPRESA BRASILEIRA DE CORREIOS E"/>
    <n v="260.18"/>
    <d v="2025-07-08T00:00:00"/>
  </r>
  <r>
    <s v="Sem TR"/>
    <n v="64799305"/>
    <s v="ZRDI"/>
    <n v="10077716"/>
    <s v="D30"/>
    <s v="DEV D2C - Defeito funcional manufatura"/>
    <s v="MANUFATURA"/>
    <x v="2"/>
    <n v="53105778"/>
    <x v="480"/>
    <s v="AL"/>
    <n v="474"/>
    <s v="Site Brastemp"/>
    <n v="1352"/>
    <s v="W10866790"/>
    <s v="Kits Instalação"/>
    <x v="7"/>
    <n v="1000"/>
    <n v="5002359"/>
    <s v="EMPRESA BRASILEIRA DE CORREIOS E"/>
    <n v="259.94"/>
    <d v="2025-06-30T00:00:00"/>
  </r>
  <r>
    <n v="254032506"/>
    <n v="64811470"/>
    <s v="ZRDI"/>
    <n v="10081563"/>
    <n v="208"/>
    <s v="DEV-Atraso entrega- LOGISTICA(Transp)"/>
    <s v="TRANSPORTADORA"/>
    <x v="2"/>
    <n v="50543536"/>
    <x v="481"/>
    <s v="AL"/>
    <n v="474"/>
    <s v="Site Brastemp"/>
    <n v="1352"/>
    <s v="W10866790"/>
    <s v="Kits Instalação"/>
    <x v="7"/>
    <n v="1000"/>
    <n v="5002359"/>
    <s v="EMPRESA BRASILEIRA DE CORREIOS E"/>
    <n v="259.94"/>
    <d v="2025-07-16T00:00:00"/>
  </r>
  <r>
    <s v="Sem TR"/>
    <n v="64799305"/>
    <s v="ZRDI"/>
    <n v="10077716"/>
    <s v="D30"/>
    <s v="DEV D2C - Defeito funcional manufatura"/>
    <s v="MANUFATURA"/>
    <x v="2"/>
    <n v="53105778"/>
    <x v="480"/>
    <s v="AL"/>
    <n v="474"/>
    <s v="Site Brastemp"/>
    <n v="1352"/>
    <s v="W10866790"/>
    <s v="Kits Instalação"/>
    <x v="7"/>
    <n v="1000"/>
    <n v="5002359"/>
    <s v="EMPRESA BRASILEIRA DE CORREIOS E"/>
    <n v="259.94"/>
    <d v="2025-06-30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n v="4197305"/>
    <s v="Dobradiças"/>
    <x v="10"/>
    <n v="10000"/>
    <n v="5004101"/>
    <s v="UNIDOCK'S ASSESSORIA E LOGISTICA DE"/>
    <n v="259.7"/>
    <d v="2025-07-16T00:00:00"/>
  </r>
  <r>
    <n v="253952274"/>
    <n v="64565612"/>
    <s v="REB"/>
    <n v="9775562"/>
    <n v="173"/>
    <s v="PEÇAS - Defeito de fabric./Alta Amperage"/>
    <s v="FUNCIONAL"/>
    <x v="1"/>
    <n v="31790"/>
    <x v="160"/>
    <s v="SP"/>
    <n v="350"/>
    <s v="Ats On"/>
    <n v="1350"/>
    <s v="W10734080"/>
    <s v="Placas de Controle"/>
    <x v="1"/>
    <n v="1000"/>
    <n v="5004042"/>
    <s v="BRASIL WEB TRANSPORTES E LOGISTICA"/>
    <n v="259.66000000000003"/>
    <d v="2025-01-11T00:00:00"/>
  </r>
  <r>
    <n v="253913084"/>
    <n v="64684906"/>
    <s v="REB"/>
    <n v="9789707"/>
    <n v="176"/>
    <s v="PEÇAS - Defeito de fabric./Interrompido"/>
    <s v="FUNCIONAL"/>
    <x v="2"/>
    <n v="24089"/>
    <x v="134"/>
    <s v="RJ"/>
    <n v="931"/>
    <s v="Ats Off"/>
    <n v="1350"/>
    <s v="W10591605"/>
    <s v="Placas de Controle"/>
    <x v="1"/>
    <n v="1000"/>
    <n v="5003176"/>
    <s v="J C THEDIN TRANSPORTES LTDA"/>
    <n v="259.64999999999998"/>
    <d v="2025-01-06T00:00:00"/>
  </r>
  <r>
    <n v="253992782"/>
    <n v="64766143"/>
    <s v="REB"/>
    <n v="10022591"/>
    <n v="177"/>
    <s v="PEÇAS - Defeito de fabric./Ruído"/>
    <s v="FUNCIONAL"/>
    <x v="1"/>
    <n v="83572"/>
    <x v="105"/>
    <s v="SP"/>
    <n v="931"/>
    <s v="Ats Off"/>
    <n v="1350"/>
    <s v="W11300698"/>
    <s v="Mecanismos"/>
    <x v="2"/>
    <n v="1000"/>
    <n v="5004042"/>
    <s v="BRASIL WEB TRANSPORTES E LOGISTICA"/>
    <n v="259.58999999999997"/>
    <d v="2025-05-12T00:00:00"/>
  </r>
  <r>
    <s v="Sem TR"/>
    <n v="64750497"/>
    <s v="REB"/>
    <n v="9974268"/>
    <n v="671"/>
    <s v="DEV-ENVIADO PARA GESTÃO DE CONSEQUENCIA"/>
    <s v="TRANSPORTADORA"/>
    <x v="1"/>
    <n v="18805"/>
    <x v="307"/>
    <s v="PR"/>
    <n v="648"/>
    <s v="Ultra"/>
    <n v="1350"/>
    <s v="W10367623"/>
    <s v="Gaxetas"/>
    <x v="4"/>
    <n v="5000"/>
    <n v="5003024"/>
    <s v="RODOBRAS TRANSPORTES RODOVIARIOS LT"/>
    <n v="259.55"/>
    <d v="2025-04-11T00:00:00"/>
  </r>
  <r>
    <n v="254012576"/>
    <n v="64782288"/>
    <s v="REB"/>
    <n v="10028782"/>
    <n v="173"/>
    <s v="PEÇAS - Defeito de fabric./Alta Amperage"/>
    <s v="FUNCIONAL"/>
    <x v="1"/>
    <n v="63620"/>
    <x v="328"/>
    <s v="MG"/>
    <n v="934"/>
    <s v="CDP Ouro"/>
    <n v="1350"/>
    <s v="W11300698"/>
    <s v="Mecanismos"/>
    <x v="2"/>
    <n v="1000"/>
    <n v="5004215"/>
    <s v="BRASIL WEB TRANSPORTES E LOGISTICA"/>
    <n v="259.04000000000002"/>
    <d v="2025-06-10T00:00:00"/>
  </r>
  <r>
    <n v="254030207"/>
    <n v="64807390"/>
    <s v="REB"/>
    <n v="9992130"/>
    <n v="176"/>
    <s v="PEÇAS - Defeito de fabric./Interrompido"/>
    <s v="FUNCIONAL"/>
    <x v="1"/>
    <n v="32263"/>
    <x v="157"/>
    <s v="PA"/>
    <n v="641"/>
    <s v="CDP Diamante"/>
    <n v="1350"/>
    <s v="W10668378"/>
    <s v="Placas de Controle"/>
    <x v="1"/>
    <n v="1000"/>
    <n v="5002858"/>
    <s v="FAVORITA TRANSPORTES LTDA"/>
    <n v="258.99"/>
    <d v="2025-07-08T00:00:00"/>
  </r>
  <r>
    <n v="253988897"/>
    <n v="64764033"/>
    <s v="REB"/>
    <n v="9424399"/>
    <n v="176"/>
    <s v="PEÇAS - Defeito de fabric./Interrompido"/>
    <s v="FUNCIONAL"/>
    <x v="1"/>
    <n v="62749"/>
    <x v="482"/>
    <s v="CE"/>
    <n v="933"/>
    <s v="Top"/>
    <n v="1350"/>
    <s v="W10797831"/>
    <s v="Placas de Controle"/>
    <x v="1"/>
    <n v="1000"/>
    <n v="5004101"/>
    <s v="UNIDOCK'S ASSESSORIA E LOGISTICA DE"/>
    <n v="258.77999999999997"/>
    <d v="2025-05-05T00:00:00"/>
  </r>
  <r>
    <n v="254038387"/>
    <n v="64814653"/>
    <s v="REB"/>
    <n v="10066678"/>
    <n v="176"/>
    <s v="PEÇAS - Defeito de fabric./Interrompido"/>
    <s v="FUNCIONAL"/>
    <x v="1"/>
    <n v="67948"/>
    <x v="15"/>
    <s v="SC"/>
    <n v="713"/>
    <s v="Key Account"/>
    <n v="1350"/>
    <n v="326061171"/>
    <s v="Placas de Controle"/>
    <x v="1"/>
    <n v="1000"/>
    <n v="5003024"/>
    <s v="RODOBRAS TRANSPORTES RODOVIARIOS LT"/>
    <n v="258.66000000000003"/>
    <d v="2025-07-22T00:00:00"/>
  </r>
  <r>
    <n v="254033294"/>
    <n v="64807172"/>
    <s v="REB"/>
    <n v="9876714"/>
    <n v="176"/>
    <s v="PEÇAS - Defeito de fabric./Interrompido"/>
    <s v="FUNCIONAL"/>
    <x v="1"/>
    <n v="18805"/>
    <x v="307"/>
    <s v="PR"/>
    <n v="648"/>
    <s v="Ultra"/>
    <n v="1350"/>
    <s v="W10463578"/>
    <s v="Placas de Interface"/>
    <x v="1"/>
    <n v="1000"/>
    <n v="5003024"/>
    <s v="RODOBRAS TRANSPORTES RODOVIARIOS LT"/>
    <n v="258.57"/>
    <d v="2025-07-08T00:00:00"/>
  </r>
  <r>
    <n v="253992771"/>
    <n v="64768239"/>
    <s v="REB"/>
    <n v="9743140"/>
    <n v="173"/>
    <s v="PEÇAS - Defeito de fabric./Alta Amperage"/>
    <s v="FUNCIONAL"/>
    <x v="1"/>
    <n v="77425"/>
    <x v="98"/>
    <s v="PE"/>
    <n v="643"/>
    <s v="Elite"/>
    <n v="1350"/>
    <s v="W11677209"/>
    <s v="Compressores Herméticos"/>
    <x v="0"/>
    <n v="1000"/>
    <n v="5004101"/>
    <s v="UNIDOCK'S ASSESSORIA E LOGISTICA DE"/>
    <n v="258.37"/>
    <d v="2025-05-12T00:00:00"/>
  </r>
  <r>
    <n v="254033456"/>
    <n v="64802840"/>
    <s v="REB"/>
    <n v="9743140"/>
    <n v="173"/>
    <s v="PEÇAS - Defeito de fabric./Alta Amperage"/>
    <s v="FUNCIONAL"/>
    <x v="0"/>
    <n v="77425"/>
    <x v="98"/>
    <s v="PE"/>
    <n v="643"/>
    <s v="Elite"/>
    <n v="1350"/>
    <s v="W11677209"/>
    <s v="Compressores Herméticos"/>
    <x v="0"/>
    <n v="1000"/>
    <n v="5004101"/>
    <s v="UNIDOCK'S ASSESSORIA E LOGISTICA DE"/>
    <n v="258.37"/>
    <d v="2025-07-01T00:00:00"/>
  </r>
  <r>
    <n v="253883005"/>
    <n v="64650059"/>
    <s v="REB"/>
    <n v="9408661"/>
    <n v="178"/>
    <s v="PEÇAS -Defeito de fabric./Sem Compressão"/>
    <s v="FUNCIONAL"/>
    <x v="2"/>
    <n v="19750"/>
    <x v="165"/>
    <s v="RR"/>
    <n v="648"/>
    <s v="Ultra"/>
    <n v="1350"/>
    <s v="W10393808"/>
    <s v="Compressores Herméticos"/>
    <x v="0"/>
    <n v="1000"/>
    <n v="5002858"/>
    <s v="FAVORITA TRANSPORTES LTDA"/>
    <n v="258.29000000000002"/>
    <d v="2024-11-21T00:00:00"/>
  </r>
  <r>
    <s v="Sem TR"/>
    <n v="64787107"/>
    <s v="REB"/>
    <n v="50935"/>
    <n v="167"/>
    <s v="PEÇAS - Avaria - Quebrada/Depósito"/>
    <s v="LOGÍSTICA"/>
    <x v="2"/>
    <n v="23101"/>
    <x v="14"/>
    <s v="PB"/>
    <n v="713"/>
    <s v="Key Account"/>
    <n v="1550"/>
    <s v="W10169464"/>
    <s v="Defletores/Difusores"/>
    <x v="5"/>
    <n v="10000"/>
    <n v="5004391"/>
    <s v="JEONCEL TRANSPORTES LTDA"/>
    <n v="258.24"/>
    <d v="2025-06-10T00:00:00"/>
  </r>
  <r>
    <s v="Sem TR"/>
    <n v="64819613"/>
    <s v="ZRDI"/>
    <n v="10154715"/>
    <s v="D31"/>
    <s v="DEV D2C - Defeito estético manufatura"/>
    <s v="MANUFATURA"/>
    <x v="1"/>
    <n v="51288338"/>
    <x v="483"/>
    <s v="SP"/>
    <n v="474"/>
    <s v="Site Brastemp"/>
    <n v="1352"/>
    <n v="326075876"/>
    <s v="Filtros"/>
    <x v="5"/>
    <n v="1000"/>
    <n v="5003972"/>
    <s v="ICARO EXPRESS LOGISTICA LTDA"/>
    <n v="258.02"/>
    <d v="2025-07-30T00:00:00"/>
  </r>
  <r>
    <n v="253970788"/>
    <n v="64748746"/>
    <s v="REB"/>
    <n v="9779929"/>
    <n v="176"/>
    <s v="PEÇAS - Defeito de fabric./Interrompido"/>
    <s v="FUNCIONAL"/>
    <x v="2"/>
    <n v="33403"/>
    <x v="260"/>
    <s v="RN"/>
    <n v="648"/>
    <s v="Ultra"/>
    <n v="1350"/>
    <s v="W11435392"/>
    <s v="Placas de Controle"/>
    <x v="1"/>
    <n v="1000"/>
    <n v="5004101"/>
    <s v="UNIDOCK'S ASSESSORIA E LOGISTICA DE"/>
    <n v="257.77999999999997"/>
    <d v="2025-04-09T00:00:00"/>
  </r>
  <r>
    <n v="254020519"/>
    <n v="64778235"/>
    <s v="REB"/>
    <n v="10035676"/>
    <n v="165"/>
    <s v="PEÇAS - Defeito de fabric./Incompleta"/>
    <s v="FUNCIONAL"/>
    <x v="2"/>
    <n v="79427"/>
    <x v="375"/>
    <s v="PR"/>
    <n v="932"/>
    <s v="CDP Prata"/>
    <n v="1350"/>
    <n v="50122"/>
    <s v="Correias"/>
    <x v="2"/>
    <n v="4000"/>
    <n v="5003024"/>
    <s v="RODOBRAS TRANSPORTES RODOVIARIOS LT"/>
    <n v="257.64"/>
    <d v="2025-06-02T00:00:00"/>
  </r>
  <r>
    <n v="253983889"/>
    <n v="64757096"/>
    <s v="REB"/>
    <n v="9894481"/>
    <n v="177"/>
    <s v="PEÇAS - Defeito de fabric./Ruído"/>
    <s v="FUNCIONAL"/>
    <x v="2"/>
    <n v="27396"/>
    <x v="484"/>
    <s v="MT"/>
    <n v="934"/>
    <s v="CDP Ouro"/>
    <n v="1350"/>
    <s v="W11300698"/>
    <s v="Mecanismos"/>
    <x v="2"/>
    <n v="1000"/>
    <n v="5002573"/>
    <s v="CARVALIMA TRANSPORTES LTDA"/>
    <n v="257.45"/>
    <d v="2025-04-28T00:00:00"/>
  </r>
  <r>
    <n v="254031876"/>
    <n v="64806612"/>
    <s v="REB"/>
    <n v="10085961"/>
    <n v="104"/>
    <s v="PEÇAS-Código trocado(embalag X conteúdo)"/>
    <s v="LOGÍSTICA"/>
    <x v="1"/>
    <n v="3506"/>
    <x v="46"/>
    <s v="SP"/>
    <n v="931"/>
    <s v="Ats Off"/>
    <n v="1350"/>
    <s v="W10367623"/>
    <s v="Gaxetas"/>
    <x v="4"/>
    <n v="5000"/>
    <n v="5004042"/>
    <s v="BRASIL WEB TRANSPORTES E LOGISTICA"/>
    <n v="257.44"/>
    <d v="2025-07-08T00:00:00"/>
  </r>
  <r>
    <n v="254032633"/>
    <n v="64811542"/>
    <s v="ZRDI"/>
    <n v="10136562"/>
    <n v="208"/>
    <s v="DEV-Atraso entrega- LOGISTICA(Transp)"/>
    <s v="TRANSPORTADORA"/>
    <x v="2"/>
    <n v="56467152"/>
    <x v="485"/>
    <s v="ES"/>
    <n v="466"/>
    <s v="Sup ML Marketplace"/>
    <n v="1352"/>
    <s v="W10585027"/>
    <s v="Bombas"/>
    <x v="1"/>
    <n v="1000"/>
    <n v="5002359"/>
    <s v="EMPRESA BRASILEIRA DE CORREIOS E"/>
    <n v="257.41000000000003"/>
    <d v="2025-07-16T00:00:00"/>
  </r>
  <r>
    <n v="254018224"/>
    <n v="64793201"/>
    <s v="REB"/>
    <n v="9570002"/>
    <n v="176"/>
    <s v="PEÇAS - Defeito de fabric./Interrompido"/>
    <s v="FUNCIONAL"/>
    <x v="1"/>
    <n v="13757"/>
    <x v="14"/>
    <s v="SP"/>
    <n v="713"/>
    <s v="Key Account"/>
    <n v="1350"/>
    <s v="W11387506"/>
    <s v="Placas de Controle"/>
    <x v="1"/>
    <n v="1000"/>
    <n v="5004042"/>
    <s v="BRASIL WEB TRANSPORTES E LOGISTICA"/>
    <n v="257.22000000000003"/>
    <d v="2025-06-17T00:00:00"/>
  </r>
  <r>
    <n v="254035341"/>
    <n v="64812492"/>
    <s v="REB"/>
    <n v="9992087"/>
    <n v="173"/>
    <s v="PEÇAS - Defeito de fabric./Alta Amperage"/>
    <s v="FUNCIONAL"/>
    <x v="1"/>
    <n v="9991"/>
    <x v="86"/>
    <s v="DF"/>
    <n v="648"/>
    <s v="Ultra"/>
    <n v="1350"/>
    <n v="326061172"/>
    <s v="Placas de Controle"/>
    <x v="1"/>
    <n v="1000"/>
    <n v="5002858"/>
    <s v="FAVORITA TRANSPORTES LTDA"/>
    <n v="257.14"/>
    <d v="2025-07-17T00:00:00"/>
  </r>
  <r>
    <s v="Sem TR"/>
    <n v="64813916"/>
    <s v="ZRDI"/>
    <n v="10094950"/>
    <n v="25"/>
    <s v="OC. 80 - EXTRAVIO TOTAL"/>
    <s v="TRANSPORTADORA"/>
    <x v="2"/>
    <n v="4070901"/>
    <x v="486"/>
    <s v="SP"/>
    <n v="475"/>
    <s v="Site Consul"/>
    <n v="1352"/>
    <s v="W10866791"/>
    <s v="Kits Instalação"/>
    <x v="7"/>
    <n v="2000"/>
    <n v="5002359"/>
    <s v="EMPRESA BRASILEIRA DE CORREIOS E"/>
    <n v="256.60000000000002"/>
    <d v="2025-07-21T00:00:00"/>
  </r>
  <r>
    <s v="Sem TR"/>
    <n v="64813916"/>
    <s v="ZRDI"/>
    <n v="10094950"/>
    <n v="25"/>
    <s v="OC. 80 - EXTRAVIO TOTAL"/>
    <s v="TRANSPORTADORA"/>
    <x v="2"/>
    <n v="4070901"/>
    <x v="486"/>
    <s v="SP"/>
    <n v="475"/>
    <s v="Site Consul"/>
    <n v="1352"/>
    <s v="W10866791"/>
    <s v="Kits Instalação"/>
    <x v="7"/>
    <n v="2000"/>
    <n v="5002359"/>
    <s v="EMPRESA BRASILEIRA DE CORREIOS E"/>
    <n v="256.60000000000002"/>
    <d v="2025-07-21T00:00:00"/>
  </r>
  <r>
    <n v="253970916"/>
    <n v="64743993"/>
    <s v="REB"/>
    <n v="9731037"/>
    <n v="176"/>
    <s v="PEÇAS - Defeito de fabric./Interrompido"/>
    <s v="FUNCIONAL"/>
    <x v="1"/>
    <n v="67602"/>
    <x v="487"/>
    <s v="ES"/>
    <n v="934"/>
    <s v="CDP Ouro"/>
    <n v="1350"/>
    <s v="W11435390"/>
    <s v="Placas de Controle"/>
    <x v="1"/>
    <n v="1000"/>
    <n v="5004042"/>
    <s v="BRASIL WEB TRANSPORTES E LOGISTICA"/>
    <n v="256.52"/>
    <d v="2025-04-09T00:00:00"/>
  </r>
  <r>
    <n v="253988917"/>
    <n v="64760963"/>
    <s v="REB"/>
    <n v="9837385"/>
    <n v="173"/>
    <s v="PEÇAS - Defeito de fabric./Alta Amperage"/>
    <s v="FUNCIONAL"/>
    <x v="1"/>
    <n v="73003"/>
    <x v="294"/>
    <s v="SC"/>
    <n v="931"/>
    <s v="Ats Off"/>
    <n v="1350"/>
    <s v="W11435392"/>
    <s v="Placas de Controle"/>
    <x v="1"/>
    <n v="1000"/>
    <n v="5003024"/>
    <s v="RODOBRAS TRANSPORTES RODOVIARIOS LT"/>
    <n v="256.36"/>
    <d v="2025-05-05T00:00:00"/>
  </r>
  <r>
    <n v="253953756"/>
    <n v="64732080"/>
    <s v="REB"/>
    <n v="9645285"/>
    <n v="173"/>
    <s v="PEÇAS - Defeito de fabric./Alta Amperage"/>
    <s v="FUNCIONAL"/>
    <x v="1"/>
    <n v="14474"/>
    <x v="25"/>
    <s v="RN"/>
    <n v="648"/>
    <s v="Ultra"/>
    <n v="1350"/>
    <s v="W11387506"/>
    <s v="Placas de Controle"/>
    <x v="1"/>
    <n v="1000"/>
    <n v="5004101"/>
    <s v="UNIDOCK'S ASSESSORIA E LOGISTICA DE"/>
    <n v="256.33"/>
    <d v="2025-03-14T00:00:00"/>
  </r>
  <r>
    <n v="253961316"/>
    <n v="64738219"/>
    <s v="REB"/>
    <n v="9855088"/>
    <n v="173"/>
    <s v="PEÇAS - Defeito de fabric./Alta Amperage"/>
    <s v="FUNCIONAL"/>
    <x v="1"/>
    <n v="30990"/>
    <x v="26"/>
    <s v="ES"/>
    <n v="713"/>
    <s v="Key Account"/>
    <n v="1350"/>
    <s v="W10591460"/>
    <s v="Placas de Controle"/>
    <x v="1"/>
    <n v="1000"/>
    <n v="5004042"/>
    <s v="BRASIL WEB TRANSPORTES E LOGISTICA"/>
    <n v="256.08999999999997"/>
    <d v="2025-03-25T00:00:00"/>
  </r>
  <r>
    <n v="254033454"/>
    <n v="64806943"/>
    <s v="REB"/>
    <n v="10002548"/>
    <n v="173"/>
    <s v="PEÇAS - Defeito de fabric./Alta Amperage"/>
    <s v="FUNCIONAL"/>
    <x v="2"/>
    <n v="76462"/>
    <x v="243"/>
    <s v="DF"/>
    <n v="933"/>
    <s v="Top"/>
    <n v="1350"/>
    <s v="W11619317"/>
    <s v="Placas de Controle"/>
    <x v="1"/>
    <n v="1000"/>
    <n v="5002858"/>
    <s v="FAVORITA TRANSPORTES LTDA"/>
    <n v="256.06"/>
    <d v="2025-07-08T00:00:00"/>
  </r>
  <r>
    <s v="Sem TR"/>
    <n v="64811711"/>
    <s v="REB"/>
    <n v="10129481"/>
    <n v="509"/>
    <s v="Qtd de peças a Menor dentro do Volume"/>
    <s v="LOGÍSTICA"/>
    <x v="1"/>
    <n v="578"/>
    <x v="232"/>
    <s v="MG"/>
    <n v="350"/>
    <s v="Ats On"/>
    <n v="1350"/>
    <s v="W11435390"/>
    <s v="Placas de Controle"/>
    <x v="1"/>
    <n v="1000"/>
    <n v="5002359"/>
    <s v="EMPRESA BRASILEIRA DE CORREIOS E"/>
    <n v="255.85"/>
    <d v="2025-07-22T00:00:00"/>
  </r>
  <r>
    <n v="254031840"/>
    <n v="64796846"/>
    <s v="REB"/>
    <n v="10078960"/>
    <n v="176"/>
    <s v="PEÇAS - Defeito de fabric./Interrompido"/>
    <s v="FUNCIONAL"/>
    <x v="1"/>
    <n v="3506"/>
    <x v="46"/>
    <s v="SP"/>
    <n v="931"/>
    <s v="Ats Off"/>
    <n v="1350"/>
    <s v="W10398340"/>
    <s v="Sensores"/>
    <x v="3"/>
    <n v="1000"/>
    <n v="5004042"/>
    <s v="BRASIL WEB TRANSPORTES E LOGISTICA"/>
    <n v="255.77"/>
    <d v="2025-06-24T00:00:00"/>
  </r>
  <r>
    <n v="254031865"/>
    <n v="64802433"/>
    <s v="REB"/>
    <n v="10078960"/>
    <n v="176"/>
    <s v="PEÇAS - Defeito de fabric./Interrompido"/>
    <s v="FUNCIONAL"/>
    <x v="1"/>
    <n v="3506"/>
    <x v="46"/>
    <s v="SP"/>
    <n v="931"/>
    <s v="Ats Off"/>
    <n v="1350"/>
    <s v="W10398340"/>
    <s v="Sensores"/>
    <x v="3"/>
    <n v="1000"/>
    <n v="5004042"/>
    <s v="BRASIL WEB TRANSPORTES E LOGISTICA"/>
    <n v="255.77"/>
    <d v="2025-07-01T00:00:00"/>
  </r>
  <r>
    <n v="254038264"/>
    <n v="64807976"/>
    <s v="REB"/>
    <n v="10113100"/>
    <n v="176"/>
    <s v="PEÇAS - Defeito de fabric./Interrompido"/>
    <s v="FUNCIONAL"/>
    <x v="0"/>
    <n v="3506"/>
    <x v="46"/>
    <s v="SP"/>
    <n v="931"/>
    <s v="Ats Off"/>
    <n v="1350"/>
    <s v="W10398340"/>
    <s v="Sensores"/>
    <x v="3"/>
    <n v="1000"/>
    <n v="5004042"/>
    <s v="BRASIL WEB TRANSPORTES E LOGISTICA"/>
    <n v="255.77"/>
    <d v="2025-07-22T00:00:00"/>
  </r>
  <r>
    <n v="254044333"/>
    <n v="64809799"/>
    <s v="REB"/>
    <n v="10099475"/>
    <n v="173"/>
    <s v="PEÇAS - Defeito de fabric./Alta Amperage"/>
    <s v="FUNCIONAL"/>
    <x v="0"/>
    <n v="22041"/>
    <x v="70"/>
    <s v="SP"/>
    <n v="931"/>
    <s v="Ats Off"/>
    <n v="1350"/>
    <s v="W10398340"/>
    <s v="Sensores"/>
    <x v="3"/>
    <n v="1000"/>
    <n v="5004042"/>
    <s v="BRASIL WEB TRANSPORTES E LOGISTICA"/>
    <n v="255.77"/>
    <d v="2025-07-13T00:00:00"/>
  </r>
  <r>
    <n v="254007611"/>
    <n v="64782587"/>
    <s v="REB"/>
    <n v="9599480"/>
    <n v="173"/>
    <s v="PEÇAS - Defeito de fabric./Alta Amperage"/>
    <s v="FUNCIONAL"/>
    <x v="1"/>
    <n v="73003"/>
    <x v="294"/>
    <s v="SC"/>
    <n v="931"/>
    <s v="Ats Off"/>
    <n v="1350"/>
    <s v="W11435392"/>
    <s v="Placas de Controle"/>
    <x v="1"/>
    <n v="1000"/>
    <n v="5003024"/>
    <s v="RODOBRAS TRANSPORTES RODOVIARIOS LT"/>
    <n v="255.67"/>
    <d v="2025-06-02T00:00:00"/>
  </r>
  <r>
    <n v="254012511"/>
    <n v="64788505"/>
    <s v="REB"/>
    <n v="9847019"/>
    <n v="178"/>
    <s v="PEÇAS -Defeito de fabric./Sem Compressão"/>
    <s v="FUNCIONAL"/>
    <x v="2"/>
    <n v="30416"/>
    <x v="136"/>
    <s v="AM"/>
    <n v="648"/>
    <s v="Ultra"/>
    <n v="1350"/>
    <s v="W10393808"/>
    <s v="Compressores Herméticos"/>
    <x v="0"/>
    <n v="1000"/>
    <n v="5002858"/>
    <s v="FAVORITA TRANSPORTES LTDA"/>
    <n v="255.59"/>
    <d v="2025-06-10T00:00:00"/>
  </r>
  <r>
    <n v="253970705"/>
    <n v="64747548"/>
    <s v="REB"/>
    <n v="9884528"/>
    <n v="90"/>
    <s v="CLIENTE-não solicitou"/>
    <s v="COMERCIAL"/>
    <x v="2"/>
    <n v="3506"/>
    <x v="46"/>
    <s v="SP"/>
    <n v="931"/>
    <s v="Ats Off"/>
    <n v="1350"/>
    <s v="W10398340"/>
    <s v="Sensores"/>
    <x v="3"/>
    <n v="1000"/>
    <n v="5004042"/>
    <s v="BRASIL WEB TRANSPORTES E LOGISTICA"/>
    <n v="255.2"/>
    <d v="2025-04-09T00:00:00"/>
  </r>
  <r>
    <n v="254038164"/>
    <n v="64816134"/>
    <s v="ZRDI"/>
    <n v="10128127"/>
    <n v="208"/>
    <s v="DEV-Atraso entrega- LOGISTICA(Transp)"/>
    <s v="TRANSPORTADORA"/>
    <x v="2"/>
    <n v="53419018"/>
    <x v="488"/>
    <s v="RJ"/>
    <n v="475"/>
    <s v="Site Consul"/>
    <n v="1352"/>
    <s v="W11132264"/>
    <s v="Trempes"/>
    <x v="6"/>
    <n v="4000"/>
    <n v="5002359"/>
    <s v="EMPRESA BRASILEIRA DE CORREIOS E"/>
    <n v="255.08"/>
    <d v="2025-07-23T00:00:00"/>
  </r>
  <r>
    <n v="254038164"/>
    <n v="64816134"/>
    <s v="ZRDI"/>
    <n v="10128127"/>
    <n v="208"/>
    <s v="DEV-Atraso entrega- LOGISTICA(Transp)"/>
    <s v="TRANSPORTADORA"/>
    <x v="2"/>
    <n v="53419018"/>
    <x v="488"/>
    <s v="RJ"/>
    <n v="475"/>
    <s v="Site Consul"/>
    <n v="1352"/>
    <s v="W11132264"/>
    <s v="Trempes"/>
    <x v="6"/>
    <n v="4000"/>
    <n v="5002359"/>
    <s v="EMPRESA BRASILEIRA DE CORREIOS E"/>
    <n v="255.08"/>
    <d v="2025-07-23T00:00:00"/>
  </r>
  <r>
    <s v="Sem TR"/>
    <n v="64814407"/>
    <s v="ZRDI"/>
    <n v="10123292"/>
    <s v="D11"/>
    <s v="DEV D2C - Comprou prod dimensão errada"/>
    <s v="COMERCIAL"/>
    <x v="1"/>
    <n v="54104424"/>
    <x v="489"/>
    <s v="RJ"/>
    <n v="474"/>
    <s v="Site Brastemp"/>
    <n v="1352"/>
    <s v="W11132264"/>
    <s v="Trempes"/>
    <x v="6"/>
    <n v="4000"/>
    <n v="5002359"/>
    <s v="EMPRESA BRASILEIRA DE CORREIOS E"/>
    <n v="255.08"/>
    <d v="2025-07-29T00:00:00"/>
  </r>
  <r>
    <n v="254018228"/>
    <n v="64792474"/>
    <s v="REB"/>
    <n v="9968109"/>
    <n v="168"/>
    <s v="PEÇAS-Def.Fabric.Empenamento/Abaulamento"/>
    <s v="FUNCIONAL"/>
    <x v="1"/>
    <n v="13757"/>
    <x v="14"/>
    <s v="SP"/>
    <n v="713"/>
    <s v="Key Account"/>
    <n v="1350"/>
    <s v="W10882241"/>
    <s v="Agitadores"/>
    <x v="2"/>
    <n v="7000"/>
    <n v="5004042"/>
    <s v="BRASIL WEB TRANSPORTES E LOGISTICA"/>
    <n v="255.02"/>
    <d v="2025-06-16T00:00:00"/>
  </r>
  <r>
    <n v="254018227"/>
    <n v="64793904"/>
    <s v="REB"/>
    <n v="9968109"/>
    <n v="168"/>
    <s v="PEÇAS-Def.Fabric.Empenamento/Abaulamento"/>
    <s v="FUNCIONAL"/>
    <x v="1"/>
    <n v="13757"/>
    <x v="14"/>
    <s v="SP"/>
    <n v="713"/>
    <s v="Key Account"/>
    <n v="1350"/>
    <s v="W10882241"/>
    <s v="Agitadores"/>
    <x v="2"/>
    <n v="7000"/>
    <n v="5004042"/>
    <s v="BRASIL WEB TRANSPORTES E LOGISTICA"/>
    <n v="255.02"/>
    <d v="2025-06-18T00:00:00"/>
  </r>
  <r>
    <n v="254022393"/>
    <n v="64800005"/>
    <s v="ZRDI"/>
    <n v="10071842"/>
    <s v="D25"/>
    <s v="DEV D2C - Prob na entrega (Não recebi)"/>
    <s v="TRANSPORTADORA"/>
    <x v="2"/>
    <n v="58066816"/>
    <x v="490"/>
    <s v="RJ"/>
    <n v="474"/>
    <s v="Site Brastemp"/>
    <n v="1352"/>
    <s v="W10866791"/>
    <s v="Kits Instalação"/>
    <x v="7"/>
    <n v="2000"/>
    <n v="5003972"/>
    <s v="ICARO EXPRESS LOGISTICA LTDA"/>
    <n v="254.82"/>
    <d v="2025-06-28T00:00:00"/>
  </r>
  <r>
    <n v="254033946"/>
    <n v="64812494"/>
    <s v="ZRDI"/>
    <n v="10095816"/>
    <n v="208"/>
    <s v="DEV-Atraso entrega- LOGISTICA(Transp)"/>
    <s v="TRANSPORTADORA"/>
    <x v="2"/>
    <n v="58104443"/>
    <x v="491"/>
    <s v="PI"/>
    <n v="474"/>
    <s v="Site Brastemp"/>
    <n v="1352"/>
    <s v="W10866790"/>
    <s v="Kits Instalação"/>
    <x v="7"/>
    <n v="1000"/>
    <n v="5002359"/>
    <s v="EMPRESA BRASILEIRA DE CORREIOS E"/>
    <n v="254.58"/>
    <d v="2025-07-17T00:00:00"/>
  </r>
  <r>
    <n v="254033946"/>
    <n v="64812494"/>
    <s v="ZRDI"/>
    <n v="10095816"/>
    <n v="208"/>
    <s v="DEV-Atraso entrega- LOGISTICA(Transp)"/>
    <s v="TRANSPORTADORA"/>
    <x v="2"/>
    <n v="58104443"/>
    <x v="491"/>
    <s v="PI"/>
    <n v="474"/>
    <s v="Site Brastemp"/>
    <n v="1352"/>
    <s v="W10866790"/>
    <s v="Kits Instalação"/>
    <x v="7"/>
    <n v="1000"/>
    <n v="5002359"/>
    <s v="EMPRESA BRASILEIRA DE CORREIOS E"/>
    <n v="254.58"/>
    <d v="2025-07-17T00:00:00"/>
  </r>
  <r>
    <n v="254043494"/>
    <n v="64809671"/>
    <s v="REB"/>
    <n v="10104149"/>
    <n v="173"/>
    <s v="PEÇAS - Defeito de fabric./Alta Amperage"/>
    <s v="FUNCIONAL"/>
    <x v="0"/>
    <n v="38744"/>
    <x v="492"/>
    <s v="SC"/>
    <n v="350"/>
    <s v="Ats On"/>
    <n v="1350"/>
    <s v="W10666466"/>
    <s v="Acessórios"/>
    <x v="7"/>
    <n v="1000"/>
    <n v="5003024"/>
    <s v="RODOBRAS TRANSPORTES RODOVIARIOS LT"/>
    <n v="254.55"/>
    <d v="2025-07-12T00:00:00"/>
  </r>
  <r>
    <n v="254033558"/>
    <n v="64812024"/>
    <s v="ZRDI"/>
    <n v="10109765"/>
    <s v="D25"/>
    <s v="DEV D2C - Prob na entrega (Não recebi)"/>
    <s v="TRANSPORTADORA"/>
    <x v="2"/>
    <n v="58120672"/>
    <x v="493"/>
    <s v="SE"/>
    <n v="475"/>
    <s v="Site Consul"/>
    <n v="1352"/>
    <s v="W10866791"/>
    <s v="Kits Instalação"/>
    <x v="7"/>
    <n v="2000"/>
    <n v="5002359"/>
    <s v="EMPRESA BRASILEIRA DE CORREIOS E"/>
    <n v="254.52"/>
    <d v="2025-07-17T00:00:00"/>
  </r>
  <r>
    <n v="254033558"/>
    <n v="64812024"/>
    <s v="ZRDI"/>
    <n v="10109765"/>
    <s v="D25"/>
    <s v="DEV D2C - Prob na entrega (Não recebi)"/>
    <s v="TRANSPORTADORA"/>
    <x v="2"/>
    <n v="58120672"/>
    <x v="493"/>
    <s v="SE"/>
    <n v="475"/>
    <s v="Site Consul"/>
    <n v="1352"/>
    <s v="W10866791"/>
    <s v="Kits Instalação"/>
    <x v="7"/>
    <n v="2000"/>
    <n v="5002359"/>
    <s v="EMPRESA BRASILEIRA DE CORREIOS E"/>
    <n v="254.52"/>
    <d v="2025-07-17T00:00:00"/>
  </r>
  <r>
    <n v="253988778"/>
    <n v="64764446"/>
    <s v="REB"/>
    <n v="9998706"/>
    <n v="173"/>
    <s v="PEÇAS - Defeito de fabric./Alta Amperage"/>
    <s v="FUNCIONAL"/>
    <x v="2"/>
    <n v="2374"/>
    <x v="242"/>
    <s v="MG"/>
    <n v="350"/>
    <s v="Ats On"/>
    <n v="1350"/>
    <s v="W11300698"/>
    <s v="Mecanismos"/>
    <x v="2"/>
    <n v="1000"/>
    <n v="5004215"/>
    <s v="BRASIL WEB TRANSPORTES E LOGISTICA"/>
    <n v="254.43"/>
    <d v="2025-05-05T00:00:00"/>
  </r>
  <r>
    <s v="Sem TR"/>
    <n v="64802699"/>
    <s v="ZRDI"/>
    <n v="10095727"/>
    <s v="D18"/>
    <s v="DEV D2C - Arrependimento não quero mais"/>
    <s v="COMERCIAL"/>
    <x v="2"/>
    <n v="50456457"/>
    <x v="494"/>
    <s v="BA"/>
    <n v="475"/>
    <s v="Site Consul"/>
    <n v="1352"/>
    <s v="W10866791"/>
    <s v="Kits Instalação"/>
    <x v="7"/>
    <n v="2000"/>
    <n v="5002359"/>
    <s v="EMPRESA BRASILEIRA DE CORREIOS E"/>
    <n v="254.42"/>
    <d v="2025-07-01T00:00:00"/>
  </r>
  <r>
    <s v="Sem TR"/>
    <n v="64765591"/>
    <s v="ROB"/>
    <n v="10017865"/>
    <n v="671"/>
    <s v="DEV-ENVIADO PARA GESTÃO DE CONSEQUENCIA"/>
    <s v="TRANSPORTADORA"/>
    <x v="1"/>
    <n v="58438"/>
    <x v="161"/>
    <s v="PR"/>
    <n v="643"/>
    <s v="Elite"/>
    <n v="1350"/>
    <s v="W11448283"/>
    <s v="Capacitores"/>
    <x v="1"/>
    <n v="20000"/>
    <n v="5003024"/>
    <s v="RODOBRAS TRANSPORTES RODOVIARIOS LT"/>
    <n v="254"/>
    <d v="2025-05-07T00:00:00"/>
  </r>
  <r>
    <n v="253918664"/>
    <n v="64691629"/>
    <s v="REB"/>
    <n v="9764525"/>
    <n v="90"/>
    <s v="CLIENTE-não solicitou"/>
    <s v="COMERCIAL"/>
    <x v="1"/>
    <n v="90803"/>
    <x v="495"/>
    <s v="GO"/>
    <n v="350"/>
    <s v="Ats On"/>
    <n v="1350"/>
    <s v="W11195522"/>
    <s v="Motores"/>
    <x v="1"/>
    <n v="2000"/>
    <n v="5002858"/>
    <s v="FAVORITA TRANSPORTES LTDA"/>
    <n v="253.81"/>
    <d v="2025-01-15T00:00:00"/>
  </r>
  <r>
    <n v="254036651"/>
    <n v="64814549"/>
    <s v="REB"/>
    <n v="10097538"/>
    <n v="220"/>
    <s v="DEV-Avaria 1 trecho transp - Produto"/>
    <s v="QUALIDADE"/>
    <x v="0"/>
    <n v="4318"/>
    <x v="89"/>
    <s v="SC"/>
    <n v="931"/>
    <s v="Ats Off"/>
    <n v="1350"/>
    <s v="W11719781"/>
    <s v="Outros"/>
    <x v="7"/>
    <n v="1000"/>
    <n v="5003024"/>
    <s v="RODOBRAS TRANSPORTES RODOVIARIOS LT"/>
    <n v="253.76"/>
    <d v="2025-07-22T00:00:00"/>
  </r>
  <r>
    <n v="253995098"/>
    <n v="64771170"/>
    <s v="REB"/>
    <n v="9817647"/>
    <n v="173"/>
    <s v="PEÇAS - Defeito de fabric./Alta Amperage"/>
    <s v="FUNCIONAL"/>
    <x v="1"/>
    <n v="21594"/>
    <x v="97"/>
    <s v="SP"/>
    <n v="931"/>
    <s v="Ats Off"/>
    <n v="1350"/>
    <s v="W11487407"/>
    <s v="Placas de Controle"/>
    <x v="1"/>
    <n v="1000"/>
    <n v="5004042"/>
    <s v="BRASIL WEB TRANSPORTES E LOGISTICA"/>
    <n v="253.54"/>
    <d v="2025-05-15T00:00:00"/>
  </r>
  <r>
    <n v="254022275"/>
    <n v="64799888"/>
    <s v="ZRDI"/>
    <n v="10093863"/>
    <n v="208"/>
    <s v="DEV-Atraso entrega- LOGISTICA(Transp)"/>
    <s v="TRANSPORTADORA"/>
    <x v="2"/>
    <n v="58098738"/>
    <x v="496"/>
    <s v="SC"/>
    <n v="474"/>
    <s v="Site Brastemp"/>
    <n v="1352"/>
    <s v="W10616737"/>
    <s v="Gavetas"/>
    <x v="9"/>
    <n v="1000"/>
    <n v="5002359"/>
    <s v="EMPRESA BRASILEIRA DE CORREIOS E"/>
    <n v="253.46"/>
    <d v="2025-06-27T00:00:00"/>
  </r>
  <r>
    <n v="254018175"/>
    <n v="64773438"/>
    <s v="REB"/>
    <n v="10001077"/>
    <n v="177"/>
    <s v="PEÇAS - Defeito de fabric./Ruído"/>
    <s v="FUNCIONAL"/>
    <x v="1"/>
    <n v="3467"/>
    <x v="115"/>
    <s v="SP"/>
    <n v="931"/>
    <s v="Ats Off"/>
    <n v="1350"/>
    <s v="W11300698"/>
    <s v="Mecanismos"/>
    <x v="2"/>
    <n v="1000"/>
    <n v="5004042"/>
    <s v="BRASIL WEB TRANSPORTES E LOGISTICA"/>
    <n v="253.43"/>
    <d v="2025-06-16T00:00:00"/>
  </r>
  <r>
    <s v="Sem TR"/>
    <n v="64816301"/>
    <s v="REB"/>
    <n v="9759269"/>
    <n v="173"/>
    <s v="PEÇAS - Defeito de fabric./Alta Amperage"/>
    <s v="FUNCIONAL"/>
    <x v="1"/>
    <n v="4167"/>
    <x v="63"/>
    <s v="SP"/>
    <n v="931"/>
    <s v="Ats Off"/>
    <n v="1350"/>
    <s v="W11619317"/>
    <s v="Placas de Controle"/>
    <x v="1"/>
    <n v="1000"/>
    <n v="5004042"/>
    <s v="BRASIL WEB TRANSPORTES E LOGISTICA"/>
    <n v="252.9"/>
    <d v="2025-07-25T00:00:00"/>
  </r>
  <r>
    <n v="254036739"/>
    <n v="64764110"/>
    <s v="ZDVP"/>
    <n v="9813904"/>
    <n v="176"/>
    <s v="PEÇAS - Defeito de fabric./Interrompido"/>
    <s v="FUNCIONAL"/>
    <x v="1"/>
    <n v="3506"/>
    <x v="46"/>
    <s v="SP"/>
    <n v="931"/>
    <s v="Ats Off"/>
    <n v="1350"/>
    <s v="W11619403"/>
    <s v="Placas de Controle"/>
    <x v="1"/>
    <n v="1000"/>
    <n v="5004042"/>
    <s v="BRASIL WEB TRANSPORTES E LOGISTICA"/>
    <n v="252.9"/>
    <d v="2025-05-05T00:00:00"/>
  </r>
  <r>
    <n v="253989855"/>
    <n v="64763033"/>
    <s v="ZDVP"/>
    <n v="9813904"/>
    <n v="176"/>
    <s v="PEÇAS - Defeito de fabric./Interrompido"/>
    <s v="FUNCIONAL"/>
    <x v="2"/>
    <n v="3506"/>
    <x v="46"/>
    <s v="SP"/>
    <n v="931"/>
    <s v="Ats Off"/>
    <n v="1350"/>
    <s v="W11619403"/>
    <s v="Placas de Controle"/>
    <x v="1"/>
    <n v="1000"/>
    <n v="5004042"/>
    <s v="BRASIL WEB TRANSPORTES E LOGISTICA"/>
    <n v="252.9"/>
    <d v="2025-05-07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4197305"/>
    <s v="Dobradiças"/>
    <x v="10"/>
    <n v="8000"/>
    <n v="5002858"/>
    <s v="FAVORITA TRANSPORTES LTDA"/>
    <n v="252.88"/>
    <d v="2025-07-15T00:00:00"/>
  </r>
  <r>
    <n v="254018099"/>
    <n v="64792414"/>
    <s v="REB"/>
    <n v="9857567"/>
    <n v="168"/>
    <s v="PEÇAS-Def.Fabric.Empenamento/Abaulamento"/>
    <s v="FUNCIONAL"/>
    <x v="2"/>
    <n v="578"/>
    <x v="232"/>
    <s v="MG"/>
    <n v="350"/>
    <s v="Ats On"/>
    <n v="1350"/>
    <s v="W10417020"/>
    <s v="Portas"/>
    <x v="6"/>
    <n v="1000"/>
    <n v="5004215"/>
    <s v="BRASIL WEB TRANSPORTES E LOGISTICA"/>
    <n v="252.85"/>
    <d v="2025-06-16T00:00:00"/>
  </r>
  <r>
    <n v="253952314"/>
    <n v="64729300"/>
    <s v="REB"/>
    <n v="9898590"/>
    <n v="671"/>
    <s v="DEV-ENVIADO PARA GESTÃO DE CONSEQUENCIA"/>
    <s v="TRANSPORTADORA"/>
    <x v="1"/>
    <n v="38744"/>
    <x v="492"/>
    <s v="SC"/>
    <n v="350"/>
    <s v="Ats On"/>
    <n v="1350"/>
    <s v="W11619317"/>
    <s v="Placas de Controle"/>
    <x v="1"/>
    <n v="1000"/>
    <n v="5003024"/>
    <s v="RODOBRAS TRANSPORTES RODOVIARIOS LT"/>
    <n v="252.7"/>
    <d v="2025-03-10T00:00:00"/>
  </r>
  <r>
    <n v="253988817"/>
    <n v="64761655"/>
    <s v="REB"/>
    <n v="9797760"/>
    <n v="176"/>
    <s v="PEÇAS - Defeito de fabric./Interrompido"/>
    <s v="FUNCIONAL"/>
    <x v="1"/>
    <n v="14474"/>
    <x v="25"/>
    <s v="RN"/>
    <n v="648"/>
    <s v="Ultra"/>
    <n v="1350"/>
    <s v="W11435392"/>
    <s v="Placas de Controle"/>
    <x v="1"/>
    <n v="1000"/>
    <n v="5004101"/>
    <s v="UNIDOCK'S ASSESSORIA E LOGISTICA DE"/>
    <n v="252.63"/>
    <d v="2025-05-05T00:00:00"/>
  </r>
  <r>
    <n v="254012525"/>
    <n v="64789181"/>
    <s v="REB"/>
    <n v="9958736"/>
    <n v="173"/>
    <s v="PEÇAS - Defeito de fabric./Alta Amperage"/>
    <s v="FUNCIONAL"/>
    <x v="2"/>
    <n v="40998"/>
    <x v="8"/>
    <s v="GO"/>
    <n v="648"/>
    <s v="Ultra"/>
    <n v="1350"/>
    <s v="W11299805"/>
    <s v="Mecanismos"/>
    <x v="2"/>
    <n v="2000"/>
    <n v="5002858"/>
    <s v="FAVORITA TRANSPORTES LTDA"/>
    <n v="252.6"/>
    <d v="2025-06-10T00:00:00"/>
  </r>
  <r>
    <s v="Sem TR"/>
    <n v="64804990"/>
    <s v="ZRDI"/>
    <n v="10067734"/>
    <s v="D36"/>
    <s v="DEV D2C - Não comprei esse produto"/>
    <s v="COMERCIAL"/>
    <x v="2"/>
    <n v="55366134"/>
    <x v="497"/>
    <s v="MT"/>
    <n v="474"/>
    <s v="Site Brastemp"/>
    <n v="1352"/>
    <s v="W11225561"/>
    <s v="Tampas Móveis"/>
    <x v="6"/>
    <n v="1000"/>
    <n v="5002359"/>
    <s v="EMPRESA BRASILEIRA DE CORREIOS E"/>
    <n v="252.45"/>
    <d v="2025-07-03T00:00:00"/>
  </r>
  <r>
    <s v="Sem TR"/>
    <n v="64798719"/>
    <s v="ZRDI"/>
    <n v="10085214"/>
    <s v="D35"/>
    <s v="DEV D2C - Prod difere do comprado"/>
    <s v="COMERCIAL"/>
    <x v="2"/>
    <n v="52393917"/>
    <x v="498"/>
    <s v="RJ"/>
    <n v="474"/>
    <s v="Site Brastemp"/>
    <n v="1352"/>
    <s v="W10616737"/>
    <s v="Gavetas"/>
    <x v="9"/>
    <n v="1000"/>
    <n v="5002359"/>
    <s v="EMPRESA BRASILEIRA DE CORREIOS E"/>
    <n v="252.27"/>
    <d v="2025-06-26T00:00:00"/>
  </r>
  <r>
    <n v="254033440"/>
    <n v="64805065"/>
    <s v="REB"/>
    <n v="10061871"/>
    <n v="173"/>
    <s v="PEÇAS - Defeito de fabric./Alta Amperage"/>
    <s v="FUNCIONAL"/>
    <x v="1"/>
    <n v="69166"/>
    <x v="129"/>
    <s v="RJ"/>
    <n v="931"/>
    <s v="Ats Off"/>
    <n v="1350"/>
    <s v="W10806305"/>
    <s v="Placas de Controle"/>
    <x v="1"/>
    <n v="1000"/>
    <n v="5003176"/>
    <s v="J C THEDIN TRANSPORTES LTDA"/>
    <n v="252.03"/>
    <d v="2025-07-08T00:00:00"/>
  </r>
  <r>
    <n v="254038132"/>
    <n v="64816098"/>
    <s v="ZRDI"/>
    <n v="10050252"/>
    <n v="208"/>
    <s v="DEV-Atraso entrega- LOGISTICA(Transp)"/>
    <s v="TRANSPORTADORA"/>
    <x v="2"/>
    <n v="58043169"/>
    <x v="499"/>
    <s v="DF"/>
    <n v="474"/>
    <s v="Site Brastemp"/>
    <n v="1352"/>
    <s v="W10866791"/>
    <s v="Kits Instalação"/>
    <x v="7"/>
    <n v="2000"/>
    <n v="5002359"/>
    <s v="EMPRESA BRASILEIRA DE CORREIOS E"/>
    <n v="251.84"/>
    <d v="2025-07-23T00:00:00"/>
  </r>
  <r>
    <n v="254038132"/>
    <n v="64816098"/>
    <s v="ZRDI"/>
    <n v="10050252"/>
    <n v="208"/>
    <s v="DEV-Atraso entrega- LOGISTICA(Transp)"/>
    <s v="TRANSPORTADORA"/>
    <x v="2"/>
    <n v="58043169"/>
    <x v="499"/>
    <s v="DF"/>
    <n v="474"/>
    <s v="Site Brastemp"/>
    <n v="1352"/>
    <s v="W10866791"/>
    <s v="Kits Instalação"/>
    <x v="7"/>
    <n v="2000"/>
    <n v="5002359"/>
    <s v="EMPRESA BRASILEIRA DE CORREIOS E"/>
    <n v="251.84"/>
    <d v="2025-07-23T00:00:00"/>
  </r>
  <r>
    <s v="Sem TR"/>
    <n v="64800683"/>
    <s v="ZRDI"/>
    <n v="10106599"/>
    <s v="D35"/>
    <s v="DEV D2C - Prod difere do comprado"/>
    <s v="COMERCIAL"/>
    <x v="2"/>
    <n v="58117664"/>
    <x v="500"/>
    <s v="SP"/>
    <n v="474"/>
    <s v="Site Brastemp"/>
    <n v="1352"/>
    <s v="W10915770"/>
    <s v="Vidros"/>
    <x v="6"/>
    <n v="1000"/>
    <n v="5002359"/>
    <s v="EMPRESA BRASILEIRA DE CORREIOS E"/>
    <n v="251.8"/>
    <d v="2025-07-07T00:00:00"/>
  </r>
  <r>
    <s v="Sem TR"/>
    <n v="64800683"/>
    <s v="ZRDI"/>
    <n v="10106599"/>
    <s v="D35"/>
    <s v="DEV D2C - Prod difere do comprado"/>
    <s v="COMERCIAL"/>
    <x v="2"/>
    <n v="58117664"/>
    <x v="500"/>
    <s v="SP"/>
    <n v="474"/>
    <s v="Site Brastemp"/>
    <n v="1352"/>
    <s v="W10915770"/>
    <s v="Vidros"/>
    <x v="6"/>
    <n v="1000"/>
    <n v="5002359"/>
    <s v="EMPRESA BRASILEIRA DE CORREIOS E"/>
    <n v="251.8"/>
    <d v="2025-07-07T00:00:00"/>
  </r>
  <r>
    <n v="253970917"/>
    <n v="64749074"/>
    <s v="REB"/>
    <n v="9659560"/>
    <n v="173"/>
    <s v="PEÇAS - Defeito de fabric./Alta Amperage"/>
    <s v="FUNCIONAL"/>
    <x v="2"/>
    <n v="67948"/>
    <x v="15"/>
    <s v="SC"/>
    <n v="713"/>
    <s v="Key Account"/>
    <n v="1350"/>
    <s v="W11435392"/>
    <s v="Placas de Controle"/>
    <x v="1"/>
    <n v="1000"/>
    <n v="5003024"/>
    <s v="RODOBRAS TRANSPORTES RODOVIARIOS LT"/>
    <n v="251.67"/>
    <d v="2025-04-09T00:00:00"/>
  </r>
  <r>
    <n v="254033473"/>
    <n v="64796181"/>
    <s v="REB"/>
    <n v="10083684"/>
    <n v="509"/>
    <s v="Qtd de peças a Menor dentro do Volume"/>
    <s v="LOGÍSTICA"/>
    <x v="2"/>
    <n v="87707"/>
    <x v="143"/>
    <s v="BA"/>
    <n v="648"/>
    <s v="Ultra"/>
    <n v="1350"/>
    <s v="W10399715"/>
    <s v="Motores Ventiladores"/>
    <x v="1"/>
    <n v="5000"/>
    <n v="5004101"/>
    <s v="UNIDOCK'S ASSESSORIA E LOGISTICA DE"/>
    <n v="251.52"/>
    <d v="2025-07-01T00:00:00"/>
  </r>
  <r>
    <n v="253953832"/>
    <n v="64731976"/>
    <s v="REB"/>
    <n v="9344162"/>
    <n v="176"/>
    <s v="PEÇAS - Defeito de fabric./Interrompido"/>
    <s v="FUNCIONAL"/>
    <x v="1"/>
    <n v="62749"/>
    <x v="482"/>
    <s v="CE"/>
    <n v="933"/>
    <s v="Top"/>
    <n v="1350"/>
    <s v="W11121357"/>
    <s v="Placas de Controle"/>
    <x v="1"/>
    <n v="1000"/>
    <n v="5004101"/>
    <s v="UNIDOCK'S ASSESSORIA E LOGISTICA DE"/>
    <n v="251.49"/>
    <d v="2025-03-14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1299805"/>
    <s v="Mecanismos"/>
    <x v="2"/>
    <n v="2000"/>
    <n v="5003024"/>
    <s v="RODOBRAS TRANSPORTES RODOVIARIOS LT"/>
    <n v="251.16"/>
    <d v="2025-01-28T00:00:00"/>
  </r>
  <r>
    <n v="254033450"/>
    <n v="64805748"/>
    <s v="REB"/>
    <n v="10109410"/>
    <n v="173"/>
    <s v="PEÇAS - Defeito de fabric./Alta Amperage"/>
    <s v="FUNCIONAL"/>
    <x v="1"/>
    <n v="75812"/>
    <x v="102"/>
    <s v="SP"/>
    <n v="931"/>
    <s v="Ats Off"/>
    <n v="1350"/>
    <s v="W11458014"/>
    <s v="Placas de Controle"/>
    <x v="1"/>
    <n v="1000"/>
    <n v="5004042"/>
    <s v="BRASIL WEB TRANSPORTES E LOGISTICA"/>
    <n v="251.13"/>
    <d v="2025-07-08T00:00:00"/>
  </r>
  <r>
    <n v="254018321"/>
    <n v="64789842"/>
    <s v="REB"/>
    <n v="9864084"/>
    <n v="173"/>
    <s v="PEÇAS - Defeito de fabric./Alta Amperage"/>
    <s v="FUNCIONAL"/>
    <x v="1"/>
    <n v="53252"/>
    <x v="501"/>
    <s v="TO"/>
    <n v="641"/>
    <s v="CDP Diamante"/>
    <n v="1350"/>
    <n v="326061171"/>
    <s v="Placas de Controle"/>
    <x v="1"/>
    <n v="1000"/>
    <n v="5002858"/>
    <s v="FAVORITA TRANSPORTES LTDA"/>
    <n v="251.06"/>
    <d v="2025-06-16T00:00:00"/>
  </r>
  <r>
    <n v="253944067"/>
    <n v="64711017"/>
    <s v="REB"/>
    <n v="9423966"/>
    <n v="173"/>
    <s v="PEÇAS - Defeito de fabric./Alta Amperage"/>
    <s v="FUNCIONAL"/>
    <x v="1"/>
    <n v="61868"/>
    <x v="290"/>
    <s v="MA"/>
    <n v="643"/>
    <s v="Elite"/>
    <n v="1350"/>
    <s v="W10797831"/>
    <s v="Placas de Controle"/>
    <x v="1"/>
    <n v="1000"/>
    <n v="5004101"/>
    <s v="UNIDOCK'S ASSESSORIA E LOGISTICA DE"/>
    <n v="250.94"/>
    <d v="2025-02-17T00:00:00"/>
  </r>
  <r>
    <n v="253995071"/>
    <n v="64771059"/>
    <s v="REB"/>
    <n v="9917885"/>
    <n v="176"/>
    <s v="PEÇAS - Defeito de fabric./Interrompido"/>
    <s v="FUNCIONAL"/>
    <x v="1"/>
    <n v="4318"/>
    <x v="89"/>
    <s v="SC"/>
    <n v="931"/>
    <s v="Ats Off"/>
    <n v="1350"/>
    <s v="W11387305"/>
    <s v="Gases Refrigerantes"/>
    <x v="0"/>
    <n v="2000"/>
    <n v="5003024"/>
    <s v="RODOBRAS TRANSPORTES RODOVIARIOS LT"/>
    <n v="250.64"/>
    <d v="2025-05-15T00:00:00"/>
  </r>
  <r>
    <n v="253992775"/>
    <n v="64768455"/>
    <s v="REB"/>
    <n v="10009353"/>
    <n v="167"/>
    <s v="PEÇAS - Avaria - Quebrada/Depósito"/>
    <s v="LOGÍSTICA"/>
    <x v="2"/>
    <n v="78757"/>
    <x v="50"/>
    <s v="RS"/>
    <n v="643"/>
    <s v="Elite"/>
    <n v="1350"/>
    <s v="W11363944"/>
    <s v="Capas"/>
    <x v="6"/>
    <n v="9000"/>
    <n v="5003024"/>
    <s v="RODOBRAS TRANSPORTES RODOVIARIOS LT"/>
    <n v="250.49"/>
    <d v="2025-05-1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30758"/>
    <s v="Resistências"/>
    <x v="1"/>
    <n v="5000"/>
    <n v="5004101"/>
    <s v="UNIDOCK'S ASSESSORIA E LOGISTICA DE"/>
    <n v="250.43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30758"/>
    <s v="Resistências"/>
    <x v="1"/>
    <n v="5000"/>
    <n v="5004101"/>
    <s v="UNIDOCK'S ASSESSORIA E LOGISTICA DE"/>
    <n v="250.43"/>
    <d v="2025-06-24T00:00:00"/>
  </r>
  <r>
    <n v="254018212"/>
    <n v="64793105"/>
    <s v="REB"/>
    <n v="10029772"/>
    <n v="173"/>
    <s v="PEÇAS - Defeito de fabric./Alta Amperage"/>
    <s v="FUNCIONAL"/>
    <x v="2"/>
    <n v="9991"/>
    <x v="86"/>
    <s v="DF"/>
    <n v="648"/>
    <s v="Ultra"/>
    <n v="1350"/>
    <s v="W11619317"/>
    <s v="Placas de Controle"/>
    <x v="1"/>
    <n v="1000"/>
    <n v="5002858"/>
    <s v="FAVORITA TRANSPORTES LTDA"/>
    <n v="250.42"/>
    <d v="2025-06-17T00:00:00"/>
  </r>
  <r>
    <n v="253995143"/>
    <n v="64760076"/>
    <s v="REB"/>
    <n v="9847023"/>
    <n v="173"/>
    <s v="PEÇAS - Defeito de fabric./Alta Amperage"/>
    <s v="FUNCIONAL"/>
    <x v="2"/>
    <n v="30416"/>
    <x v="136"/>
    <s v="AM"/>
    <n v="648"/>
    <s v="Ultra"/>
    <n v="1350"/>
    <s v="W11647660"/>
    <s v="Compressores Herméticos"/>
    <x v="0"/>
    <n v="1000"/>
    <n v="5002858"/>
    <s v="FAVORITA TRANSPORTES LTDA"/>
    <n v="250.37"/>
    <d v="2025-05-15T00:00:00"/>
  </r>
  <r>
    <n v="254026098"/>
    <n v="64800035"/>
    <s v="ZRDI"/>
    <n v="10014761"/>
    <n v="208"/>
    <s v="DEV-Atraso entrega- LOGISTICA(Transp)"/>
    <s v="TRANSPORTADORA"/>
    <x v="2"/>
    <n v="58002057"/>
    <x v="502"/>
    <s v="MA"/>
    <n v="475"/>
    <s v="Site Consul"/>
    <n v="1352"/>
    <s v="W10866791"/>
    <s v="Kits Instalação"/>
    <x v="7"/>
    <n v="1000"/>
    <n v="5002359"/>
    <s v="EMPRESA BRASILEIRA DE CORREIOS E"/>
    <n v="250.22"/>
    <d v="2025-07-04T00:00:00"/>
  </r>
  <r>
    <n v="254033277"/>
    <n v="64807299"/>
    <s v="REB"/>
    <n v="10105756"/>
    <n v="173"/>
    <s v="PEÇAS - Defeito de fabric./Alta Amperage"/>
    <s v="FUNCIONAL"/>
    <x v="1"/>
    <n v="9272"/>
    <x v="395"/>
    <s v="RS"/>
    <n v="931"/>
    <s v="Ats Off"/>
    <n v="1350"/>
    <s v="W11543430"/>
    <s v="Outros"/>
    <x v="7"/>
    <n v="1000"/>
    <n v="5003024"/>
    <s v="RODOBRAS TRANSPORTES RODOVIARIOS LT"/>
    <n v="250.06"/>
    <d v="2025-07-08T00:00:00"/>
  </r>
  <r>
    <n v="253926901"/>
    <n v="64698593"/>
    <s v="REB"/>
    <n v="9813856"/>
    <n v="177"/>
    <s v="PEÇAS - Defeito de fabric./Ruído"/>
    <s v="FUNCIONAL"/>
    <x v="1"/>
    <n v="21594"/>
    <x v="97"/>
    <s v="SP"/>
    <n v="931"/>
    <s v="Ats Off"/>
    <n v="1350"/>
    <s v="W10417020"/>
    <s v="Portas"/>
    <x v="6"/>
    <n v="1000"/>
    <n v="5003254"/>
    <s v="TMA TRANSPORTE LOTACAO E LOGISTICA"/>
    <n v="249.92"/>
    <d v="2025-01-27T00:00:00"/>
  </r>
  <r>
    <n v="254018386"/>
    <n v="64792349"/>
    <s v="REB"/>
    <n v="9627698"/>
    <n v="173"/>
    <s v="PEÇAS - Defeito de fabric./Alta Amperage"/>
    <s v="FUNCIONAL"/>
    <x v="2"/>
    <n v="81988"/>
    <x v="38"/>
    <s v="MG"/>
    <n v="648"/>
    <s v="Ultra"/>
    <n v="1350"/>
    <n v="326061171"/>
    <s v="Placas de Controle"/>
    <x v="1"/>
    <n v="1000"/>
    <n v="5004215"/>
    <s v="BRASIL WEB TRANSPORTES E LOGISTICA"/>
    <n v="249.84"/>
    <d v="2025-06-16T00:00:00"/>
  </r>
  <r>
    <n v="253913113"/>
    <n v="64684434"/>
    <s v="REB"/>
    <n v="9660752"/>
    <n v="173"/>
    <s v="PEÇAS - Defeito de fabric./Alta Amperage"/>
    <s v="FUNCIONAL"/>
    <x v="1"/>
    <n v="29374"/>
    <x v="20"/>
    <s v="SP"/>
    <n v="643"/>
    <s v="Elite"/>
    <n v="1350"/>
    <s v="W11387505"/>
    <s v="Placas de Controle"/>
    <x v="1"/>
    <n v="1000"/>
    <n v="5003254"/>
    <s v="TMA TRANSPORTE LOTACAO E LOGISTICA"/>
    <n v="249.74"/>
    <d v="2025-01-06T00:00:00"/>
  </r>
  <r>
    <s v="Sem TR"/>
    <n v="64819097"/>
    <s v="ZRDI"/>
    <n v="10100810"/>
    <s v="D31"/>
    <s v="DEV D2C - Defeito estético manufatura"/>
    <s v="MANUFATURA"/>
    <x v="1"/>
    <n v="58110536"/>
    <x v="503"/>
    <s v="PA"/>
    <n v="474"/>
    <s v="Site Brastemp"/>
    <n v="1352"/>
    <s v="W10624070"/>
    <s v="Gavetas"/>
    <x v="9"/>
    <n v="1000"/>
    <n v="5002359"/>
    <s v="EMPRESA BRASILEIRA DE CORREIOS E"/>
    <n v="249.35"/>
    <d v="2025-07-29T00:00:00"/>
  </r>
  <r>
    <n v="254033683"/>
    <n v="64795641"/>
    <s v="REB"/>
    <n v="10086377"/>
    <n v="176"/>
    <s v="PEÇAS - Defeito de fabric./Interrompido"/>
    <s v="FUNCIONAL"/>
    <x v="1"/>
    <n v="24089"/>
    <x v="134"/>
    <s v="RJ"/>
    <n v="931"/>
    <s v="Ats Off"/>
    <n v="1350"/>
    <s v="W11647632"/>
    <s v="Dutos"/>
    <x v="0"/>
    <n v="1000"/>
    <n v="5003176"/>
    <s v="J C THEDIN TRANSPORTES LTDA"/>
    <n v="249.34"/>
    <d v="2025-06-23T00:00:00"/>
  </r>
  <r>
    <n v="254018229"/>
    <n v="64786599"/>
    <s v="REB"/>
    <n v="10046803"/>
    <n v="104"/>
    <s v="PEÇAS-Código trocado(embalag X conteúdo)"/>
    <s v="LOGÍSTICA"/>
    <x v="2"/>
    <n v="14441"/>
    <x v="61"/>
    <s v="SP"/>
    <n v="931"/>
    <s v="Ats Off"/>
    <n v="1350"/>
    <s v="W10730982"/>
    <s v="Gaxetas"/>
    <x v="4"/>
    <n v="5000"/>
    <n v="5004042"/>
    <s v="BRASIL WEB TRANSPORTES E LOGISTICA"/>
    <n v="249.2"/>
    <d v="2025-06-05T00:00:00"/>
  </r>
  <r>
    <n v="254041820"/>
    <n v="64795675"/>
    <s v="REB"/>
    <n v="9718753"/>
    <n v="173"/>
    <s v="PEÇAS - Defeito de fabric./Alta Amperage"/>
    <s v="FUNCIONAL"/>
    <x v="0"/>
    <n v="78757"/>
    <x v="50"/>
    <s v="RS"/>
    <n v="643"/>
    <s v="Elite"/>
    <n v="1350"/>
    <s v="W10905134"/>
    <s v="Placas de Controle"/>
    <x v="1"/>
    <n v="1000"/>
    <n v="5003024"/>
    <s v="RODOBRAS TRANSPORTES RODOVIARIOS LT"/>
    <n v="249.2"/>
    <d v="2025-06-23T00:00:00"/>
  </r>
  <r>
    <n v="254041756"/>
    <n v="64792153"/>
    <s v="REB"/>
    <n v="10085955"/>
    <n v="176"/>
    <s v="PEÇAS - Defeito de fabric./Interrompido"/>
    <s v="FUNCIONAL"/>
    <x v="0"/>
    <n v="83572"/>
    <x v="105"/>
    <s v="SP"/>
    <n v="931"/>
    <s v="Ats Off"/>
    <n v="1350"/>
    <s v="W11603416"/>
    <s v="Placas de Controle"/>
    <x v="1"/>
    <n v="1000"/>
    <n v="5004042"/>
    <s v="BRASIL WEB TRANSPORTES E LOGISTICA"/>
    <n v="249.1"/>
    <d v="2025-06-24T00:00:00"/>
  </r>
  <r>
    <n v="253944068"/>
    <n v="64702652"/>
    <s v="REB"/>
    <n v="9600255"/>
    <n v="173"/>
    <s v="PEÇAS - Defeito de fabric./Alta Amperage"/>
    <s v="FUNCIONAL"/>
    <x v="1"/>
    <n v="61868"/>
    <x v="290"/>
    <s v="MA"/>
    <n v="643"/>
    <s v="Elite"/>
    <n v="1350"/>
    <s v="W11435392"/>
    <s v="Placas de Controle"/>
    <x v="1"/>
    <n v="1000"/>
    <n v="5004101"/>
    <s v="UNIDOCK'S ASSESSORIA E LOGISTICA DE"/>
    <n v="248.96"/>
    <d v="2025-02-11T00:00:00"/>
  </r>
  <r>
    <n v="254033447"/>
    <n v="64796622"/>
    <s v="REB"/>
    <n v="10096458"/>
    <n v="509"/>
    <s v="Qtd de peças a Menor dentro do Volume"/>
    <s v="LOGÍSTICA"/>
    <x v="2"/>
    <n v="72786"/>
    <x v="41"/>
    <s v="SC"/>
    <n v="643"/>
    <s v="Elite"/>
    <n v="1350"/>
    <s v="W10830949"/>
    <s v="Gavetas"/>
    <x v="9"/>
    <n v="3000"/>
    <n v="5003024"/>
    <s v="RODOBRAS TRANSPORTES RODOVIARIOS LT"/>
    <n v="248.78"/>
    <d v="2025-07-08T00:00:00"/>
  </r>
  <r>
    <n v="254037059"/>
    <n v="64814980"/>
    <s v="ZRDI"/>
    <n v="10106174"/>
    <n v="208"/>
    <s v="DEV-Atraso entrega- LOGISTICA(Transp)"/>
    <s v="TRANSPORTADORA"/>
    <x v="2"/>
    <n v="58116224"/>
    <x v="504"/>
    <s v="CE"/>
    <n v="466"/>
    <s v="Sup ML Marketplace"/>
    <n v="1352"/>
    <s v="W10301562"/>
    <s v="Filtros"/>
    <x v="5"/>
    <n v="2000"/>
    <n v="5002359"/>
    <s v="EMPRESA BRASILEIRA DE CORREIOS E"/>
    <n v="248.62"/>
    <d v="2025-07-22T00:00:00"/>
  </r>
  <r>
    <n v="254037059"/>
    <n v="64814980"/>
    <s v="ZRDI"/>
    <n v="10106174"/>
    <n v="208"/>
    <s v="DEV-Atraso entrega- LOGISTICA(Transp)"/>
    <s v="TRANSPORTADORA"/>
    <x v="2"/>
    <n v="58116224"/>
    <x v="504"/>
    <s v="CE"/>
    <n v="466"/>
    <s v="Sup ML Marketplace"/>
    <n v="1352"/>
    <s v="W10301562"/>
    <s v="Filtros"/>
    <x v="5"/>
    <n v="2000"/>
    <n v="5002359"/>
    <s v="EMPRESA BRASILEIRA DE CORREIOS E"/>
    <n v="248.62"/>
    <d v="2025-07-22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1082454"/>
    <s v="Termostatos"/>
    <x v="3"/>
    <n v="5000"/>
    <n v="5004101"/>
    <s v="UNIDOCK'S ASSESSORIA E LOGISTICA DE"/>
    <n v="248.42"/>
    <d v="2025-01-27T00:00:00"/>
  </r>
  <r>
    <n v="254003872"/>
    <n v="64777949"/>
    <s v="REB"/>
    <n v="10006869"/>
    <n v="90"/>
    <s v="CLIENTE-não solicitou"/>
    <s v="COMERCIAL"/>
    <x v="1"/>
    <n v="13757"/>
    <x v="14"/>
    <s v="SP"/>
    <n v="713"/>
    <s v="Key Account"/>
    <n v="1350"/>
    <s v="W10899324"/>
    <s v="Placas de Controle"/>
    <x v="1"/>
    <n v="1000"/>
    <n v="5004042"/>
    <s v="BRASIL WEB TRANSPORTES E LOGISTICA"/>
    <n v="248.24"/>
    <d v="2025-05-26T00:00:00"/>
  </r>
  <r>
    <n v="253953848"/>
    <n v="64732149"/>
    <s v="REB"/>
    <n v="9733818"/>
    <n v="173"/>
    <s v="PEÇAS - Defeito de fabric./Alta Amperage"/>
    <s v="FUNCIONAL"/>
    <x v="1"/>
    <n v="79428"/>
    <x v="505"/>
    <s v="CE"/>
    <n v="934"/>
    <s v="CDP Ouro"/>
    <n v="1350"/>
    <n v="326061171"/>
    <s v="Placas de Controle"/>
    <x v="1"/>
    <n v="1000"/>
    <n v="5004101"/>
    <s v="UNIDOCK'S ASSESSORIA E LOGISTICA DE"/>
    <n v="247.99"/>
    <d v="2025-03-14T00:00:00"/>
  </r>
  <r>
    <n v="253988796"/>
    <n v="64762193"/>
    <s v="REB"/>
    <n v="9996086"/>
    <n v="104"/>
    <s v="PEÇAS-Código trocado(embalag X conteúdo)"/>
    <s v="LOGÍSTICA"/>
    <x v="1"/>
    <n v="9272"/>
    <x v="395"/>
    <s v="RS"/>
    <n v="931"/>
    <s v="Ats Off"/>
    <n v="1350"/>
    <n v="326046427"/>
    <s v="Portas"/>
    <x v="6"/>
    <n v="1000"/>
    <n v="5003024"/>
    <s v="RODOBRAS TRANSPORTES RODOVIARIOS LT"/>
    <n v="247.8"/>
    <d v="2025-05-05T00:00:00"/>
  </r>
  <r>
    <s v="Sem TR"/>
    <n v="64808005"/>
    <s v="ZRDI"/>
    <n v="10095919"/>
    <s v="D10"/>
    <s v="DEV D2C - Comprou modelo errado"/>
    <s v="COMERCIAL"/>
    <x v="2"/>
    <n v="58099717"/>
    <x v="506"/>
    <s v="SP"/>
    <n v="466"/>
    <s v="Sup ML Marketplace"/>
    <n v="1352"/>
    <s v="W10915770"/>
    <s v="Vidros"/>
    <x v="6"/>
    <n v="1000"/>
    <n v="5002359"/>
    <s v="EMPRESA BRASILEIRA DE CORREIOS E"/>
    <n v="247.7"/>
    <d v="2025-07-10T00:00:00"/>
  </r>
  <r>
    <s v="Sem TR"/>
    <n v="64808005"/>
    <s v="ZRDI"/>
    <n v="10095919"/>
    <s v="D10"/>
    <s v="DEV D2C - Comprou modelo errado"/>
    <s v="COMERCIAL"/>
    <x v="2"/>
    <n v="58099717"/>
    <x v="506"/>
    <s v="SP"/>
    <n v="466"/>
    <s v="Sup ML Marketplace"/>
    <n v="1352"/>
    <s v="W10915770"/>
    <s v="Vidros"/>
    <x v="6"/>
    <n v="1000"/>
    <n v="5002359"/>
    <s v="EMPRESA BRASILEIRA DE CORREIOS E"/>
    <n v="247.7"/>
    <d v="2025-07-10T00:00:00"/>
  </r>
  <r>
    <s v="Sem TR"/>
    <n v="64812291"/>
    <s v="REB"/>
    <n v="10063014"/>
    <n v="168"/>
    <s v="PEÇAS-Def.Fabric.Empenamento/Abaulamento"/>
    <s v="FUNCIONAL"/>
    <x v="1"/>
    <n v="53319"/>
    <x v="172"/>
    <s v="PR"/>
    <n v="644"/>
    <s v="Plus"/>
    <n v="1350"/>
    <s v="W10882241"/>
    <s v="Agitadores"/>
    <x v="2"/>
    <n v="4000"/>
    <n v="5003024"/>
    <s v="RODOBRAS TRANSPORTES RODOVIARIOS LT"/>
    <n v="247.56"/>
    <d v="2025-07-17T00:00:00"/>
  </r>
  <r>
    <s v="Sem TR"/>
    <n v="64813703"/>
    <s v="ZRDI"/>
    <n v="10126493"/>
    <s v="D10"/>
    <s v="DEV D2C - Comprou modelo errado"/>
    <s v="COMERCIAL"/>
    <x v="2"/>
    <n v="58138616"/>
    <x v="507"/>
    <s v="GO"/>
    <n v="474"/>
    <s v="Site Brastemp"/>
    <n v="1352"/>
    <s v="W11393157"/>
    <s v="Tampas Móveis"/>
    <x v="6"/>
    <n v="1000"/>
    <n v="5002359"/>
    <s v="EMPRESA BRASILEIRA DE CORREIOS E"/>
    <n v="247.55"/>
    <d v="2025-07-23T00:00:00"/>
  </r>
  <r>
    <n v="254035942"/>
    <n v="64814047"/>
    <s v="ZRDI"/>
    <n v="10129811"/>
    <n v="208"/>
    <s v="DEV-Atraso entrega- LOGISTICA(Transp)"/>
    <s v="TRANSPORTADORA"/>
    <x v="2"/>
    <n v="50739040"/>
    <x v="508"/>
    <s v="GO"/>
    <n v="474"/>
    <s v="Site Brastemp"/>
    <n v="1352"/>
    <s v="W11393157"/>
    <s v="Tampas Móveis"/>
    <x v="6"/>
    <n v="1000"/>
    <n v="5002359"/>
    <s v="EMPRESA BRASILEIRA DE CORREIOS E"/>
    <n v="247.55"/>
    <d v="2025-07-21T00:00:00"/>
  </r>
  <r>
    <s v="Sem TR"/>
    <n v="64813703"/>
    <s v="ZRDI"/>
    <n v="10126493"/>
    <s v="D10"/>
    <s v="DEV D2C - Comprou modelo errado"/>
    <s v="COMERCIAL"/>
    <x v="2"/>
    <n v="58138616"/>
    <x v="507"/>
    <s v="GO"/>
    <n v="474"/>
    <s v="Site Brastemp"/>
    <n v="1352"/>
    <s v="W11393157"/>
    <s v="Tampas Móveis"/>
    <x v="6"/>
    <n v="1000"/>
    <n v="5002359"/>
    <s v="EMPRESA BRASILEIRA DE CORREIOS E"/>
    <n v="247.55"/>
    <d v="2025-07-23T00:00:00"/>
  </r>
  <r>
    <n v="254035942"/>
    <n v="64814047"/>
    <s v="ZRDI"/>
    <n v="10129811"/>
    <n v="208"/>
    <s v="DEV-Atraso entrega- LOGISTICA(Transp)"/>
    <s v="TRANSPORTADORA"/>
    <x v="2"/>
    <n v="50739040"/>
    <x v="508"/>
    <s v="GO"/>
    <n v="474"/>
    <s v="Site Brastemp"/>
    <n v="1352"/>
    <s v="W11393157"/>
    <s v="Tampas Móveis"/>
    <x v="6"/>
    <n v="1000"/>
    <n v="5002359"/>
    <s v="EMPRESA BRASILEIRA DE CORREIOS E"/>
    <n v="247.55"/>
    <d v="2025-07-21T00:00:00"/>
  </r>
  <r>
    <n v="254018211"/>
    <n v="64792459"/>
    <s v="REB"/>
    <n v="10079046"/>
    <n v="173"/>
    <s v="PEÇAS - Defeito de fabric./Alta Amperage"/>
    <s v="FUNCIONAL"/>
    <x v="1"/>
    <n v="9452"/>
    <x v="42"/>
    <s v="SP"/>
    <n v="931"/>
    <s v="Ats Off"/>
    <n v="1350"/>
    <s v="W11687045"/>
    <s v="Tanques"/>
    <x v="9"/>
    <n v="1000"/>
    <n v="5004042"/>
    <s v="BRASIL WEB TRANSPORTES E LOGISTICA"/>
    <n v="247.47"/>
    <d v="2025-06-16T00:00:00"/>
  </r>
  <r>
    <n v="254035399"/>
    <n v="64812564"/>
    <s v="REB"/>
    <n v="9509575"/>
    <n v="173"/>
    <s v="PEÇAS - Defeito de fabric./Alta Amperage"/>
    <s v="FUNCIONAL"/>
    <x v="0"/>
    <n v="61263"/>
    <x v="18"/>
    <s v="CE"/>
    <n v="648"/>
    <s v="Ultra"/>
    <n v="1350"/>
    <s v="W11435392"/>
    <s v="Placas de Controle"/>
    <x v="1"/>
    <n v="1000"/>
    <n v="5004101"/>
    <s v="UNIDOCK'S ASSESSORIA E LOGISTICA DE"/>
    <n v="247.47"/>
    <d v="2025-07-17T00:00:00"/>
  </r>
  <r>
    <s v="Sem TR"/>
    <n v="64799676"/>
    <s v="ZRDI"/>
    <n v="10084624"/>
    <s v="D19"/>
    <s v="DEV D2C - Entrega atrasada"/>
    <s v="COMERCIAL"/>
    <x v="2"/>
    <n v="57041760"/>
    <x v="509"/>
    <s v="AL"/>
    <n v="474"/>
    <s v="Site Brastemp"/>
    <n v="1352"/>
    <s v="W10866791"/>
    <s v="Kits Instalação"/>
    <x v="7"/>
    <n v="1000"/>
    <n v="5002359"/>
    <s v="EMPRESA BRASILEIRA DE CORREIOS E"/>
    <n v="247.39"/>
    <d v="2025-06-30T00:00:00"/>
  </r>
  <r>
    <n v="254028679"/>
    <n v="64808431"/>
    <s v="ZRDI"/>
    <n v="10088259"/>
    <s v="D25"/>
    <s v="DEV D2C - Prob na entrega (Não recebi)"/>
    <s v="TRANSPORTADORA"/>
    <x v="2"/>
    <n v="5961425"/>
    <x v="510"/>
    <s v="SP"/>
    <n v="474"/>
    <s v="Site Brastemp"/>
    <n v="1352"/>
    <s v="W10866791"/>
    <s v="Kits Instalação"/>
    <x v="7"/>
    <n v="1000"/>
    <n v="5002359"/>
    <s v="EMPRESA BRASILEIRA DE CORREIOS E"/>
    <n v="247.39"/>
    <d v="2025-07-10T00:00:00"/>
  </r>
  <r>
    <n v="254038155"/>
    <n v="64816120"/>
    <s v="ZRDI"/>
    <n v="10084270"/>
    <n v="208"/>
    <s v="DEV-Atraso entrega- LOGISTICA(Transp)"/>
    <s v="TRANSPORTADORA"/>
    <x v="2"/>
    <n v="58085980"/>
    <x v="511"/>
    <s v="AL"/>
    <n v="475"/>
    <s v="Site Consul"/>
    <n v="1352"/>
    <s v="W10866791"/>
    <s v="Kits Instalação"/>
    <x v="7"/>
    <n v="1000"/>
    <n v="5002359"/>
    <s v="EMPRESA BRASILEIRA DE CORREIOS E"/>
    <n v="247.39"/>
    <d v="2025-07-23T00:00:00"/>
  </r>
  <r>
    <n v="254038155"/>
    <n v="64816120"/>
    <s v="ZRDI"/>
    <n v="10084270"/>
    <n v="208"/>
    <s v="DEV-Atraso entrega- LOGISTICA(Transp)"/>
    <s v="TRANSPORTADORA"/>
    <x v="2"/>
    <n v="58085980"/>
    <x v="511"/>
    <s v="AL"/>
    <n v="475"/>
    <s v="Site Consul"/>
    <n v="1352"/>
    <s v="W10866791"/>
    <s v="Kits Instalação"/>
    <x v="7"/>
    <n v="1000"/>
    <n v="5002359"/>
    <s v="EMPRESA BRASILEIRA DE CORREIOS E"/>
    <n v="247.39"/>
    <d v="2025-07-23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696980"/>
    <s v="Painéis de Controle"/>
    <x v="6"/>
    <n v="10000"/>
    <n v="5004042"/>
    <s v="BRASIL WEB TRANSPORTES E LOGISTICA"/>
    <n v="247.38"/>
    <d v="2025-05-26T00:00:00"/>
  </r>
  <r>
    <n v="253998040"/>
    <n v="64729203"/>
    <s v="REB"/>
    <n v="9504042"/>
    <n v="173"/>
    <s v="PEÇAS - Defeito de fabric./Alta Amperage"/>
    <s v="FUNCIONAL"/>
    <x v="2"/>
    <n v="81093"/>
    <x v="53"/>
    <s v="ES"/>
    <n v="713"/>
    <s v="Key Account"/>
    <n v="1350"/>
    <s v="W11435390"/>
    <s v="Placas de Controle"/>
    <x v="1"/>
    <n v="1000"/>
    <n v="5004042"/>
    <s v="BRASIL WEB TRANSPORTES E LOGISTICA"/>
    <n v="247.06"/>
    <d v="2025-03-10T00:00:00"/>
  </r>
  <r>
    <n v="254042045"/>
    <n v="64795133"/>
    <s v="REB"/>
    <n v="9973193"/>
    <n v="90"/>
    <s v="CLIENTE-não solicitou"/>
    <s v="COMERCIAL"/>
    <x v="0"/>
    <n v="75812"/>
    <x v="102"/>
    <s v="SP"/>
    <n v="931"/>
    <s v="Ats Off"/>
    <n v="1350"/>
    <s v="W11345785"/>
    <s v="Molduras"/>
    <x v="6"/>
    <n v="1000"/>
    <n v="5004042"/>
    <s v="BRASIL WEB TRANSPORTES E LOGISTICA"/>
    <n v="246.65"/>
    <d v="2025-06-23T00:00:00"/>
  </r>
  <r>
    <n v="254012631"/>
    <n v="64786228"/>
    <s v="REB"/>
    <n v="10041932"/>
    <n v="167"/>
    <s v="PEÇAS - Avaria - Quebrada/Depósito"/>
    <s v="LOGÍSTICA"/>
    <x v="2"/>
    <n v="85599"/>
    <x v="124"/>
    <s v="SP"/>
    <n v="934"/>
    <s v="CDP Ouro"/>
    <n v="1350"/>
    <s v="W11298039"/>
    <s v="Gavetas"/>
    <x v="9"/>
    <n v="2000"/>
    <n v="5004042"/>
    <s v="BRASIL WEB TRANSPORTES E LOGISTICA"/>
    <n v="246.31"/>
    <d v="2025-06-09T00:00:00"/>
  </r>
  <r>
    <n v="254030525"/>
    <n v="64802419"/>
    <s v="REB"/>
    <n v="10076875"/>
    <n v="104"/>
    <s v="PEÇAS-Código trocado(embalag X conteúdo)"/>
    <s v="LOGÍSTICA"/>
    <x v="1"/>
    <n v="30820"/>
    <x v="49"/>
    <s v="PE"/>
    <n v="350"/>
    <s v="Ats On"/>
    <n v="1350"/>
    <s v="W11535903"/>
    <s v="Tampas Móveis"/>
    <x v="6"/>
    <n v="1000"/>
    <n v="5004101"/>
    <s v="UNIDOCK'S ASSESSORIA E LOGISTICA DE"/>
    <n v="246.2"/>
    <d v="2025-07-01T00:00:00"/>
  </r>
  <r>
    <n v="253998357"/>
    <n v="64734929"/>
    <s v="REB"/>
    <n v="9911433"/>
    <n v="115"/>
    <s v="PEÇAS-Recusa do cliente"/>
    <s v="COMERCIAL"/>
    <x v="2"/>
    <n v="32072"/>
    <x v="193"/>
    <s v="PB"/>
    <n v="350"/>
    <s v="Ats On"/>
    <n v="1350"/>
    <s v="W11664989"/>
    <s v="Outros"/>
    <x v="7"/>
    <n v="1000"/>
    <n v="5004101"/>
    <s v="UNIDOCK'S ASSESSORIA E LOGISTICA DE"/>
    <n v="246.13"/>
    <d v="2025-03-20T00:00:00"/>
  </r>
  <r>
    <n v="254012479"/>
    <n v="64789454"/>
    <s v="REB"/>
    <n v="10067616"/>
    <n v="173"/>
    <s v="PEÇAS - Defeito de fabric./Alta Amperage"/>
    <s v="FUNCIONAL"/>
    <x v="1"/>
    <n v="21594"/>
    <x v="97"/>
    <s v="SP"/>
    <n v="931"/>
    <s v="Ats Off"/>
    <n v="1350"/>
    <s v="W10398340"/>
    <s v="Sensores"/>
    <x v="3"/>
    <n v="1000"/>
    <n v="5004042"/>
    <s v="BRASIL WEB TRANSPORTES E LOGISTICA"/>
    <n v="246.07"/>
    <d v="2025-06-10T00:00:00"/>
  </r>
  <r>
    <n v="254012439"/>
    <n v="64788748"/>
    <s v="REB"/>
    <n v="10077247"/>
    <n v="176"/>
    <s v="PEÇAS - Defeito de fabric./Interrompido"/>
    <s v="FUNCIONAL"/>
    <x v="1"/>
    <n v="3506"/>
    <x v="46"/>
    <s v="SP"/>
    <n v="931"/>
    <s v="Ats Off"/>
    <n v="1350"/>
    <s v="W10398340"/>
    <s v="Sensores"/>
    <x v="3"/>
    <n v="1000"/>
    <n v="5004042"/>
    <s v="BRASIL WEB TRANSPORTES E LOGISTICA"/>
    <n v="246.07"/>
    <d v="2025-06-10T00:00:00"/>
  </r>
  <r>
    <n v="254033451"/>
    <n v="64804258"/>
    <s v="REB"/>
    <n v="10113202"/>
    <n v="173"/>
    <s v="PEÇAS - Defeito de fabric./Alta Amperage"/>
    <s v="FUNCIONAL"/>
    <x v="1"/>
    <n v="75812"/>
    <x v="102"/>
    <s v="SP"/>
    <n v="931"/>
    <s v="Ats Off"/>
    <n v="1350"/>
    <s v="W10398340"/>
    <s v="Sensores"/>
    <x v="3"/>
    <n v="1000"/>
    <n v="5004042"/>
    <s v="BRASIL WEB TRANSPORTES E LOGISTICA"/>
    <n v="246.07"/>
    <d v="2025-07-08T00:00:00"/>
  </r>
  <r>
    <n v="254012615"/>
    <n v="64789451"/>
    <s v="REB"/>
    <n v="10041676"/>
    <n v="173"/>
    <s v="PEÇAS - Defeito de fabric./Alta Amperage"/>
    <s v="FUNCIONAL"/>
    <x v="2"/>
    <n v="75812"/>
    <x v="102"/>
    <s v="SP"/>
    <n v="931"/>
    <s v="Ats Off"/>
    <n v="1350"/>
    <s v="W10398340"/>
    <s v="Sensores"/>
    <x v="3"/>
    <n v="1000"/>
    <n v="5004042"/>
    <s v="BRASIL WEB TRANSPORTES E LOGISTICA"/>
    <n v="246.07"/>
    <d v="2025-06-10T00:00:00"/>
  </r>
  <r>
    <n v="253903210"/>
    <n v="64671730"/>
    <s v="REB"/>
    <n v="9713951"/>
    <n v="671"/>
    <s v="DEV-ENVIADO PARA GESTÃO DE CONSEQUENCIA"/>
    <s v="TRANSPORTADORA"/>
    <x v="1"/>
    <n v="46511"/>
    <x v="281"/>
    <s v="SC"/>
    <n v="932"/>
    <s v="CDP Prata"/>
    <n v="1350"/>
    <s v="W11366400"/>
    <s v="Placas de Controle"/>
    <x v="1"/>
    <n v="1000"/>
    <n v="5003024"/>
    <s v="RODOBRAS TRANSPORTES RODOVIARIOS LT"/>
    <n v="246.06"/>
    <d v="2024-12-18T00:00:00"/>
  </r>
  <r>
    <n v="253903211"/>
    <n v="64671739"/>
    <s v="REB"/>
    <n v="9713951"/>
    <n v="671"/>
    <s v="DEV-ENVIADO PARA GESTÃO DE CONSEQUENCIA"/>
    <s v="TRANSPORTADORA"/>
    <x v="1"/>
    <n v="46511"/>
    <x v="281"/>
    <s v="SC"/>
    <n v="932"/>
    <s v="CDP Prata"/>
    <n v="1350"/>
    <s v="W11366400"/>
    <s v="Placas de Controle"/>
    <x v="1"/>
    <n v="1000"/>
    <n v="5003024"/>
    <s v="RODOBRAS TRANSPORTES RODOVIARIOS LT"/>
    <n v="246.06"/>
    <d v="2024-12-18T00:00:00"/>
  </r>
  <r>
    <n v="253993272"/>
    <n v="64771122"/>
    <s v="ROB"/>
    <n v="10004918"/>
    <n v="182"/>
    <s v="PEÇAS - Extravio - Volume a menor"/>
    <s v="TRANSPORTADORA"/>
    <x v="1"/>
    <n v="4523"/>
    <x v="261"/>
    <s v="SC"/>
    <n v="350"/>
    <s v="Ats On"/>
    <n v="1350"/>
    <s v="W10223010"/>
    <s v="Gaxetas"/>
    <x v="4"/>
    <n v="5000"/>
    <n v="5003024"/>
    <s v="RODOBRAS TRANSPORTES RODOVIARIOS LT"/>
    <n v="245.65"/>
    <d v="2025-05-15T00:00:00"/>
  </r>
  <r>
    <n v="254035377"/>
    <n v="64812445"/>
    <s v="REB"/>
    <n v="10045706"/>
    <n v="176"/>
    <s v="PEÇAS - Defeito de fabric./Interrompido"/>
    <s v="FUNCIONAL"/>
    <x v="1"/>
    <n v="32263"/>
    <x v="157"/>
    <s v="PA"/>
    <n v="641"/>
    <s v="CDP Diamante"/>
    <n v="1350"/>
    <s v="W11487407"/>
    <s v="Placas de Controle"/>
    <x v="1"/>
    <n v="1000"/>
    <n v="5002858"/>
    <s v="FAVORITA TRANSPORTES LTDA"/>
    <n v="245.3"/>
    <d v="2025-07-17T00:00:00"/>
  </r>
  <r>
    <n v="253992667"/>
    <n v="64767023"/>
    <s v="REB"/>
    <n v="10017736"/>
    <n v="176"/>
    <s v="PEÇAS - Defeito de fabric./Interrompido"/>
    <s v="FUNCIONAL"/>
    <x v="2"/>
    <n v="2374"/>
    <x v="242"/>
    <s v="MG"/>
    <n v="350"/>
    <s v="Ats On"/>
    <n v="1350"/>
    <s v="W10160035"/>
    <s v="Magnetrons"/>
    <x v="1"/>
    <n v="1000"/>
    <n v="5004215"/>
    <s v="BRASIL WEB TRANSPORTES E LOGISTICA"/>
    <n v="245.22"/>
    <d v="2025-05-12T00:00:00"/>
  </r>
  <r>
    <s v="Sem TR"/>
    <n v="64768425"/>
    <s v="ROB"/>
    <n v="50578"/>
    <n v="25"/>
    <s v="OC. 80 - EXTRAVIO TOTAL"/>
    <s v="TRANSPORTADORA"/>
    <x v="1"/>
    <n v="2832"/>
    <x v="195"/>
    <s v="BA"/>
    <n v="350"/>
    <s v="Ats On"/>
    <n v="1550"/>
    <s v="W10882241"/>
    <s v="Agitadores"/>
    <x v="2"/>
    <n v="5000"/>
    <n v="5004391"/>
    <s v="JEONCEL TRANSPORTES LTDA"/>
    <n v="244.98"/>
    <d v="2025-05-12T00:00:00"/>
  </r>
  <r>
    <n v="253998042"/>
    <n v="64729249"/>
    <s v="REB"/>
    <n v="9239069"/>
    <n v="173"/>
    <s v="PEÇAS - Defeito de fabric./Alta Amperage"/>
    <s v="FUNCIONAL"/>
    <x v="2"/>
    <n v="81093"/>
    <x v="53"/>
    <s v="ES"/>
    <n v="713"/>
    <s v="Key Account"/>
    <n v="1350"/>
    <s v="W11299803"/>
    <s v="Mecanismos"/>
    <x v="2"/>
    <n v="3000"/>
    <n v="5004042"/>
    <s v="BRASIL WEB TRANSPORTES E LOGISTICA"/>
    <n v="244.77"/>
    <d v="2025-03-10T00:00:00"/>
  </r>
  <r>
    <n v="254028049"/>
    <n v="64795397"/>
    <s v="REB"/>
    <n v="10120862"/>
    <n v="240"/>
    <s v="DEV-Avaria - 2 trecho transp - Produto"/>
    <s v="QUALIDADE"/>
    <x v="2"/>
    <n v="66"/>
    <x v="73"/>
    <s v="GO"/>
    <n v="931"/>
    <s v="Ats Off"/>
    <n v="1350"/>
    <s v="W11550441"/>
    <s v="Gabinetes"/>
    <x v="6"/>
    <n v="1000"/>
    <n v="5002858"/>
    <s v="FAVORITA TRANSPORTES LTDA"/>
    <n v="244.73"/>
    <d v="2025-07-09T00:00:00"/>
  </r>
  <r>
    <s v="Sem TR"/>
    <n v="64802152"/>
    <s v="ZRDI"/>
    <n v="10099774"/>
    <s v="D18"/>
    <s v="DEV D2C - Arrependimento não quero mais"/>
    <s v="COMERCIAL"/>
    <x v="2"/>
    <n v="58109141"/>
    <x v="512"/>
    <s v="SP"/>
    <n v="474"/>
    <s v="Site Brastemp"/>
    <n v="1352"/>
    <s v="W10866791"/>
    <s v="Kits Instalação"/>
    <x v="7"/>
    <n v="2000"/>
    <n v="5002359"/>
    <s v="EMPRESA BRASILEIRA DE CORREIOS E"/>
    <n v="244.72"/>
    <d v="2025-07-01T00:00:00"/>
  </r>
  <r>
    <s v="Sem TR"/>
    <n v="64802152"/>
    <s v="ZRDI"/>
    <n v="10099774"/>
    <s v="D18"/>
    <s v="DEV D2C - Arrependimento não quero mais"/>
    <s v="COMERCIAL"/>
    <x v="2"/>
    <n v="58109141"/>
    <x v="512"/>
    <s v="SP"/>
    <n v="474"/>
    <s v="Site Brastemp"/>
    <n v="1352"/>
    <s v="W10866791"/>
    <s v="Kits Instalação"/>
    <x v="7"/>
    <n v="2000"/>
    <n v="5002359"/>
    <s v="EMPRESA BRASILEIRA DE CORREIOS E"/>
    <n v="244.72"/>
    <d v="2025-07-01T00:00:00"/>
  </r>
  <r>
    <n v="254044802"/>
    <n v="64816242"/>
    <s v="REB"/>
    <n v="10122414"/>
    <n v="173"/>
    <s v="PEÇAS - Defeito de fabric./Alta Amperage"/>
    <s v="FUNCIONAL"/>
    <x v="1"/>
    <n v="53871"/>
    <x v="141"/>
    <s v="SC"/>
    <n v="350"/>
    <s v="Ats On"/>
    <n v="1350"/>
    <s v="W10806305"/>
    <s v="Placas de Controle"/>
    <x v="1"/>
    <n v="1000"/>
    <n v="5003024"/>
    <s v="RODOBRAS TRANSPORTES RODOVIARIOS LT"/>
    <n v="244.6"/>
    <d v="2025-07-24T00:00:00"/>
  </r>
  <r>
    <n v="253988874"/>
    <n v="64757233"/>
    <s v="REB"/>
    <n v="9996786"/>
    <n v="173"/>
    <s v="PEÇAS - Defeito de fabric./Alta Amperage"/>
    <s v="FUNCIONAL"/>
    <x v="1"/>
    <n v="34875"/>
    <x v="371"/>
    <s v="SC"/>
    <n v="350"/>
    <s v="Ats On"/>
    <n v="1350"/>
    <s v="W10806305"/>
    <s v="Placas de Controle"/>
    <x v="1"/>
    <n v="1000"/>
    <n v="5003024"/>
    <s v="RODOBRAS TRANSPORTES RODOVIARIOS LT"/>
    <n v="244.6"/>
    <d v="2025-05-05T00:00:00"/>
  </r>
  <r>
    <s v="Sem TR"/>
    <n v="64812375"/>
    <s v="REB"/>
    <n v="9961340"/>
    <n v="176"/>
    <s v="PEÇAS - Defeito de fabric./Interrompido"/>
    <s v="FUNCIONAL"/>
    <x v="1"/>
    <n v="63028"/>
    <x v="144"/>
    <s v="SP"/>
    <n v="641"/>
    <s v="CDP Diamante"/>
    <n v="1350"/>
    <s v="W11745350"/>
    <s v="Outros"/>
    <x v="7"/>
    <n v="1000"/>
    <n v="5004042"/>
    <s v="BRASIL WEB TRANSPORTES E LOGISTICA"/>
    <n v="244.49"/>
    <d v="2025-07-17T00:00:00"/>
  </r>
  <r>
    <n v="254035007"/>
    <n v="64813406"/>
    <s v="ZRDI"/>
    <n v="10103236"/>
    <n v="208"/>
    <s v="DEV-Atraso entrega- LOGISTICA(Transp)"/>
    <s v="TRANSPORTADORA"/>
    <x v="2"/>
    <n v="54577643"/>
    <x v="513"/>
    <s v="MG"/>
    <n v="474"/>
    <s v="Site Brastemp"/>
    <n v="1352"/>
    <s v="W11508668"/>
    <s v="Dispensers"/>
    <x v="9"/>
    <n v="1000"/>
    <n v="5002359"/>
    <s v="EMPRESA BRASILEIRA DE CORREIOS E"/>
    <n v="244.43"/>
    <d v="2025-07-18T00:00:00"/>
  </r>
  <r>
    <n v="253886229"/>
    <n v="64655366"/>
    <s v="REB"/>
    <n v="9719963"/>
    <n v="173"/>
    <s v="PEÇAS - Defeito de fabric./Alta Amperage"/>
    <s v="FUNCIONAL"/>
    <x v="1"/>
    <n v="9452"/>
    <x v="42"/>
    <s v="SP"/>
    <n v="931"/>
    <s v="Ats Off"/>
    <n v="1350"/>
    <s v="W11687045"/>
    <s v="Tanques"/>
    <x v="9"/>
    <n v="1000"/>
    <n v="5003254"/>
    <s v="TMA TRANSPORTE LOTACAO E LOGISTICA"/>
    <n v="244.41"/>
    <d v="2024-11-29T00:00:00"/>
  </r>
  <r>
    <n v="254012455"/>
    <n v="64783717"/>
    <s v="REB"/>
    <n v="10036432"/>
    <n v="177"/>
    <s v="PEÇAS - Defeito de fabric./Ruído"/>
    <s v="FUNCIONAL"/>
    <x v="2"/>
    <n v="5118"/>
    <x v="514"/>
    <s v="RS"/>
    <n v="350"/>
    <s v="Ats On"/>
    <n v="1350"/>
    <s v="W11300698"/>
    <s v="Mecanismos"/>
    <x v="2"/>
    <n v="1000"/>
    <n v="5003024"/>
    <s v="RODOBRAS TRANSPORTES RODOVIARIOS LT"/>
    <n v="244.21"/>
    <d v="2025-06-10T00:00:00"/>
  </r>
  <r>
    <n v="254033274"/>
    <n v="64807175"/>
    <s v="REB"/>
    <n v="10036432"/>
    <n v="177"/>
    <s v="PEÇAS - Defeito de fabric./Ruído"/>
    <s v="FUNCIONAL"/>
    <x v="0"/>
    <n v="5118"/>
    <x v="514"/>
    <s v="RS"/>
    <n v="350"/>
    <s v="Ats On"/>
    <n v="1350"/>
    <s v="W11300698"/>
    <s v="Mecanismos"/>
    <x v="2"/>
    <n v="1000"/>
    <n v="5003024"/>
    <s v="RODOBRAS TRANSPORTES RODOVIARIOS LT"/>
    <n v="244.21"/>
    <d v="2025-07-08T00:00:00"/>
  </r>
  <r>
    <n v="254018187"/>
    <n v="64791651"/>
    <s v="REB"/>
    <n v="9947392"/>
    <n v="176"/>
    <s v="PEÇAS - Defeito de fabric./Interrompido"/>
    <s v="FUNCIONAL"/>
    <x v="1"/>
    <n v="4318"/>
    <x v="89"/>
    <s v="SC"/>
    <n v="931"/>
    <s v="Ats Off"/>
    <n v="1350"/>
    <s v="W10666466"/>
    <s v="Acessórios"/>
    <x v="7"/>
    <n v="1000"/>
    <n v="5003024"/>
    <s v="RODOBRAS TRANSPORTES RODOVIARIOS LT"/>
    <n v="244.19"/>
    <d v="2025-06-17T00:00:00"/>
  </r>
  <r>
    <n v="254031842"/>
    <n v="64796852"/>
    <s v="REB"/>
    <n v="10085961"/>
    <n v="176"/>
    <s v="PEÇAS - Defeito de fabric./Interrompido"/>
    <s v="FUNCIONAL"/>
    <x v="1"/>
    <n v="3506"/>
    <x v="46"/>
    <s v="SP"/>
    <n v="931"/>
    <s v="Ats Off"/>
    <n v="1350"/>
    <s v="W11348869"/>
    <s v="Resistências"/>
    <x v="1"/>
    <n v="1000"/>
    <n v="5004042"/>
    <s v="BRASIL WEB TRANSPORTES E LOGISTICA"/>
    <n v="244.13"/>
    <d v="2025-06-24T00:00:00"/>
  </r>
  <r>
    <s v="Sem TR"/>
    <n v="64786004"/>
    <s v="ROB"/>
    <n v="10062520"/>
    <n v="671"/>
    <s v="DEV-ENVIADO PARA GESTÃO DE CONSEQUENCIA"/>
    <s v="TRANSPORTADORA"/>
    <x v="2"/>
    <n v="87306"/>
    <x v="515"/>
    <s v="AM"/>
    <n v="698"/>
    <s v="CDP Bronze"/>
    <n v="1350"/>
    <n v="326068224"/>
    <s v="Evaporadores"/>
    <x v="0"/>
    <n v="1000"/>
    <n v="5002858"/>
    <s v="FAVORITA TRANSPORTES LTDA"/>
    <n v="244.05"/>
    <d v="2025-06-04T00:00:00"/>
  </r>
  <r>
    <s v="Sem TR"/>
    <n v="64786004"/>
    <s v="ROB"/>
    <n v="10062520"/>
    <n v="671"/>
    <s v="DEV-ENVIADO PARA GESTÃO DE CONSEQUENCIA"/>
    <s v="TRANSPORTADORA"/>
    <x v="2"/>
    <n v="87306"/>
    <x v="515"/>
    <s v="AM"/>
    <n v="698"/>
    <s v="CDP Bronze"/>
    <n v="1350"/>
    <n v="326068224"/>
    <s v="Evaporadores"/>
    <x v="0"/>
    <n v="1000"/>
    <n v="5002858"/>
    <s v="FAVORITA TRANSPORTES LTDA"/>
    <n v="244.05"/>
    <d v="2025-06-04T00:00:00"/>
  </r>
  <r>
    <n v="253970698"/>
    <n v="64737898"/>
    <s v="REB"/>
    <n v="9505179"/>
    <n v="176"/>
    <s v="PEÇAS - Defeito de fabric./Interrompido"/>
    <s v="FUNCIONAL"/>
    <x v="2"/>
    <n v="3506"/>
    <x v="46"/>
    <s v="SP"/>
    <n v="931"/>
    <s v="Ats Off"/>
    <n v="1350"/>
    <s v="W11102848"/>
    <s v="Redes Elétricas"/>
    <x v="1"/>
    <n v="1000"/>
    <n v="5004042"/>
    <s v="BRASIL WEB TRANSPORTES E LOGISTICA"/>
    <n v="244"/>
    <d v="2025-04-09T00:00:00"/>
  </r>
  <r>
    <n v="254001502"/>
    <n v="64770578"/>
    <s v="ROB"/>
    <n v="10015606"/>
    <n v="311"/>
    <s v="DEV-PRODUTO TROCADO-LOGÍSTICA"/>
    <s v="LOGÍSTICA"/>
    <x v="2"/>
    <n v="87306"/>
    <x v="515"/>
    <s v="AM"/>
    <n v="698"/>
    <s v="CDP Bronze"/>
    <n v="1350"/>
    <n v="326068224"/>
    <s v="Evaporadores"/>
    <x v="0"/>
    <n v="1000"/>
    <n v="5002858"/>
    <s v="FAVORITA TRANSPORTES LTDA"/>
    <n v="243.9"/>
    <d v="2025-05-27T00:00:00"/>
  </r>
  <r>
    <n v="254009889"/>
    <n v="64788542"/>
    <s v="ROB"/>
    <n v="10060283"/>
    <n v="311"/>
    <s v="DEV-PRODUTO TROCADO-LOGÍSTICA"/>
    <s v="LOGÍSTICA"/>
    <x v="2"/>
    <n v="66743"/>
    <x v="170"/>
    <s v="SC"/>
    <n v="932"/>
    <s v="CDP Prata"/>
    <n v="1350"/>
    <s v="W10699240"/>
    <s v="Filtro Secadores"/>
    <x v="0"/>
    <n v="30000"/>
    <n v="5003024"/>
    <s v="RODOBRAS TRANSPORTES RODOVIARIOS LT"/>
    <n v="243.9"/>
    <d v="2025-06-09T00:00:00"/>
  </r>
  <r>
    <s v="Sem TR"/>
    <n v="64812522"/>
    <s v="REB"/>
    <n v="10092212"/>
    <n v="168"/>
    <s v="PEÇAS-Def.Fabric.Empenamento/Abaulamento"/>
    <s v="FUNCIONAL"/>
    <x v="1"/>
    <n v="24363"/>
    <x v="516"/>
    <s v="RS"/>
    <n v="350"/>
    <s v="Ats On"/>
    <n v="1350"/>
    <n v="326058157"/>
    <s v="Adesivos, Etiquetas, Selos"/>
    <x v="11"/>
    <n v="2000"/>
    <n v="5003024"/>
    <s v="RODOBRAS TRANSPORTES RODOVIARIOS LT"/>
    <n v="243.71"/>
    <d v="2025-07-17T00:00:00"/>
  </r>
  <r>
    <n v="254038406"/>
    <n v="64813897"/>
    <s v="ZDVP"/>
    <n v="10010270"/>
    <n v="173"/>
    <s v="PEÇAS - Defeito de fabric./Alta Amperage"/>
    <s v="FUNCIONAL"/>
    <x v="1"/>
    <n v="18805"/>
    <x v="307"/>
    <s v="PR"/>
    <n v="648"/>
    <s v="Ultra"/>
    <n v="1350"/>
    <s v="W11300816"/>
    <s v="Mecanismos"/>
    <x v="2"/>
    <n v="2000"/>
    <n v="5003024"/>
    <s v="RODOBRAS TRANSPORTES RODOVIARIOS LT"/>
    <n v="243.14"/>
    <d v="2025-07-22T00:00:00"/>
  </r>
  <r>
    <n v="254018204"/>
    <n v="64792444"/>
    <s v="REB"/>
    <n v="10063181"/>
    <n v="173"/>
    <s v="PEÇAS - Defeito de fabric./Alta Amperage"/>
    <s v="FUNCIONAL"/>
    <x v="2"/>
    <n v="5136"/>
    <x v="181"/>
    <s v="RS"/>
    <n v="350"/>
    <s v="Ats On"/>
    <n v="1350"/>
    <s v="W11366400"/>
    <s v="Placas de Controle"/>
    <x v="1"/>
    <n v="1000"/>
    <n v="5003024"/>
    <s v="RODOBRAS TRANSPORTES RODOVIARIOS LT"/>
    <n v="243.1"/>
    <d v="2025-06-16T00:00:00"/>
  </r>
  <r>
    <s v="Sem TR"/>
    <n v="64806899"/>
    <s v="ZRDI"/>
    <n v="10110777"/>
    <s v="D18"/>
    <s v="DEV D2C - Arrependimento não quero mais"/>
    <s v="COMERCIAL"/>
    <x v="2"/>
    <n v="52281923"/>
    <x v="517"/>
    <s v="RJ"/>
    <n v="474"/>
    <s v="Site Brastemp"/>
    <n v="1352"/>
    <n v="326073242"/>
    <s v="Placas de Controle"/>
    <x v="1"/>
    <n v="1000"/>
    <n v="5002359"/>
    <s v="EMPRESA BRASILEIRA DE CORREIOS E"/>
    <n v="242.93"/>
    <d v="2025-07-08T00:00:00"/>
  </r>
  <r>
    <n v="254030001"/>
    <n v="64809476"/>
    <s v="ZRDI"/>
    <n v="10068324"/>
    <n v="208"/>
    <s v="DEV-Atraso entrega- LOGISTICA(Transp)"/>
    <s v="TRANSPORTADORA"/>
    <x v="2"/>
    <n v="58064817"/>
    <x v="518"/>
    <s v="MA"/>
    <n v="474"/>
    <s v="Site Brastemp"/>
    <n v="1352"/>
    <s v="W10866790"/>
    <s v="Kits Instalação"/>
    <x v="7"/>
    <n v="1000"/>
    <n v="5002359"/>
    <s v="EMPRESA BRASILEIRA DE CORREIOS E"/>
    <n v="242.72"/>
    <d v="2025-07-11T00:00:00"/>
  </r>
  <r>
    <n v="254033317"/>
    <n v="64807235"/>
    <s v="REB"/>
    <n v="10077659"/>
    <n v="176"/>
    <s v="PEÇAS - Defeito de fabric./Interrompido"/>
    <s v="FUNCIONAL"/>
    <x v="1"/>
    <n v="24089"/>
    <x v="134"/>
    <s v="RJ"/>
    <n v="931"/>
    <s v="Ats Off"/>
    <n v="1350"/>
    <s v="W10730982"/>
    <s v="Gaxetas"/>
    <x v="4"/>
    <n v="5000"/>
    <n v="5003176"/>
    <s v="J C THEDIN TRANSPORTES LTDA"/>
    <n v="242.71"/>
    <d v="2025-07-08T00:00:00"/>
  </r>
  <r>
    <n v="254018238"/>
    <n v="64792168"/>
    <s v="REB"/>
    <n v="9943746"/>
    <n v="176"/>
    <s v="PEÇAS - Defeito de fabric./Interrompido"/>
    <s v="FUNCIONAL"/>
    <x v="2"/>
    <n v="24089"/>
    <x v="134"/>
    <s v="RJ"/>
    <n v="931"/>
    <s v="Ats Off"/>
    <n v="1350"/>
    <s v="W10730982"/>
    <s v="Gaxetas"/>
    <x v="4"/>
    <n v="5000"/>
    <n v="5003176"/>
    <s v="J C THEDIN TRANSPORTES LTDA"/>
    <n v="242.71"/>
    <d v="2025-06-17T00:00:00"/>
  </r>
  <r>
    <n v="254007533"/>
    <n v="64782474"/>
    <s v="REB"/>
    <n v="9953372"/>
    <n v="173"/>
    <s v="PEÇAS - Defeito de fabric./Alta Amperage"/>
    <s v="FUNCIONAL"/>
    <x v="2"/>
    <n v="13757"/>
    <x v="14"/>
    <s v="SP"/>
    <n v="713"/>
    <s v="Key Account"/>
    <n v="1350"/>
    <s v="W11300816"/>
    <s v="Mecanismos"/>
    <x v="2"/>
    <n v="2000"/>
    <n v="5004042"/>
    <s v="BRASIL WEB TRANSPORTES E LOGISTICA"/>
    <n v="242.6"/>
    <d v="2025-06-02T00:00:00"/>
  </r>
  <r>
    <n v="253989833"/>
    <n v="64764951"/>
    <s v="REB"/>
    <n v="9998602"/>
    <n v="167"/>
    <s v="PEÇAS - Avaria - Quebrada/Depósito"/>
    <s v="LOGÍSTICA"/>
    <x v="2"/>
    <n v="54465"/>
    <x v="207"/>
    <s v="SP"/>
    <n v="644"/>
    <s v="Plus"/>
    <n v="1350"/>
    <s v="W11298039"/>
    <s v="Gavetas"/>
    <x v="9"/>
    <n v="2000"/>
    <n v="5004042"/>
    <s v="BRASIL WEB TRANSPORTES E LOGISTICA"/>
    <n v="242.56"/>
    <d v="2025-05-07T00:00:00"/>
  </r>
  <r>
    <n v="254018323"/>
    <n v="64792373"/>
    <s v="REB"/>
    <n v="10066325"/>
    <n v="167"/>
    <s v="PEÇAS - Avaria - Quebrada/Depósito"/>
    <s v="LOGÍSTICA"/>
    <x v="2"/>
    <n v="54465"/>
    <x v="207"/>
    <s v="SP"/>
    <n v="644"/>
    <s v="Plus"/>
    <n v="1350"/>
    <s v="W11298039"/>
    <s v="Gavetas"/>
    <x v="9"/>
    <n v="2000"/>
    <n v="5004042"/>
    <s v="BRASIL WEB TRANSPORTES E LOGISTICA"/>
    <n v="242.56"/>
    <d v="2025-06-16T00:00:00"/>
  </r>
  <r>
    <n v="253988861"/>
    <n v="64764349"/>
    <s v="REB"/>
    <n v="9995322"/>
    <n v="173"/>
    <s v="PEÇAS - Defeito de fabric./Alta Amperage"/>
    <s v="FUNCIONAL"/>
    <x v="1"/>
    <n v="28707"/>
    <x v="209"/>
    <s v="SP"/>
    <n v="648"/>
    <s v="Ultra"/>
    <n v="1350"/>
    <s v="W10887717"/>
    <s v="Placas de Interface"/>
    <x v="1"/>
    <n v="1000"/>
    <n v="5004042"/>
    <s v="BRASIL WEB TRANSPORTES E LOGISTICA"/>
    <n v="242.47"/>
    <d v="2025-05-05T00:00:00"/>
  </r>
  <r>
    <n v="254003964"/>
    <n v="64775737"/>
    <s v="REB"/>
    <n v="9782907"/>
    <n v="173"/>
    <s v="PEÇAS - Defeito de fabric./Alta Amperage"/>
    <s v="FUNCIONAL"/>
    <x v="2"/>
    <n v="31862"/>
    <x v="342"/>
    <s v="SC"/>
    <n v="933"/>
    <s v="Top"/>
    <n v="1350"/>
    <s v="W11366400"/>
    <s v="Placas de Controle"/>
    <x v="1"/>
    <n v="1000"/>
    <n v="5003024"/>
    <s v="RODOBRAS TRANSPORTES RODOVIARIOS LT"/>
    <n v="242.39"/>
    <d v="2025-05-26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113071"/>
    <s v="Termostatos"/>
    <x v="3"/>
    <n v="2000"/>
    <n v="5004042"/>
    <s v="BRASIL WEB TRANSPORTES E LOGISTICA"/>
    <n v="242.28"/>
    <d v="2025-07-08T00:00:00"/>
  </r>
  <r>
    <n v="254018098"/>
    <n v="64792322"/>
    <s v="REB"/>
    <n v="9932999"/>
    <n v="176"/>
    <s v="PEÇAS - Defeito de fabric./Interrompido"/>
    <s v="FUNCIONAL"/>
    <x v="2"/>
    <n v="66"/>
    <x v="73"/>
    <s v="GO"/>
    <n v="931"/>
    <s v="Ats Off"/>
    <n v="1350"/>
    <s v="W10806305"/>
    <s v="Placas de Controle"/>
    <x v="1"/>
    <n v="1000"/>
    <n v="5002858"/>
    <s v="FAVORITA TRANSPORTES LTDA"/>
    <n v="242.22"/>
    <d v="2025-06-16T00:00:00"/>
  </r>
  <r>
    <n v="253992736"/>
    <n v="64766651"/>
    <s v="REB"/>
    <n v="9997541"/>
    <n v="167"/>
    <s v="PEÇAS - Avaria - Quebrada/Depósito"/>
    <s v="LOGÍSTICA"/>
    <x v="2"/>
    <n v="32265"/>
    <x v="519"/>
    <s v="PB"/>
    <n v="934"/>
    <s v="CDP Ouro"/>
    <n v="1350"/>
    <s v="W11228626"/>
    <s v="Placas de Interface"/>
    <x v="1"/>
    <n v="1000"/>
    <n v="5004101"/>
    <s v="UNIDOCK'S ASSESSORIA E LOGISTICA DE"/>
    <n v="242.06"/>
    <d v="2025-05-12T00:00:00"/>
  </r>
  <r>
    <s v="Sem TR"/>
    <n v="64815767"/>
    <s v="ZRDI"/>
    <n v="10142557"/>
    <s v="D10"/>
    <s v="DEV D2C - Comprou modelo errado"/>
    <s v="COMERCIAL"/>
    <x v="1"/>
    <n v="58162478"/>
    <x v="520"/>
    <s v="SC"/>
    <n v="474"/>
    <s v="Site Brastemp"/>
    <n v="1352"/>
    <s v="W11393157"/>
    <s v="Tampas Móveis"/>
    <x v="6"/>
    <n v="1000"/>
    <n v="5002359"/>
    <s v="EMPRESA BRASILEIRA DE CORREIOS E"/>
    <n v="241.97"/>
    <d v="2025-07-29T00:00:00"/>
  </r>
  <r>
    <n v="254007623"/>
    <n v="64781492"/>
    <s v="REB"/>
    <n v="9974674"/>
    <n v="173"/>
    <s v="PEÇAS - Defeito de fabric./Alta Amperage"/>
    <s v="FUNCIONAL"/>
    <x v="2"/>
    <n v="85461"/>
    <x v="180"/>
    <s v="MG"/>
    <n v="641"/>
    <s v="CDP Diamante"/>
    <n v="1350"/>
    <s v="W10711361"/>
    <s v="Placas de Interface"/>
    <x v="1"/>
    <n v="1000"/>
    <n v="5004215"/>
    <s v="BRASIL WEB TRANSPORTES E LOGISTICA"/>
    <n v="241.85"/>
    <d v="2025-06-02T00:00:00"/>
  </r>
  <r>
    <n v="253970698"/>
    <n v="64748231"/>
    <s v="REB"/>
    <n v="9444503"/>
    <n v="176"/>
    <s v="PEÇAS - Defeito de fabric./Interrompido"/>
    <s v="FUNCIONAL"/>
    <x v="2"/>
    <n v="3506"/>
    <x v="46"/>
    <s v="SP"/>
    <n v="931"/>
    <s v="Ats Off"/>
    <n v="1350"/>
    <s v="W11199201"/>
    <s v="Placas de Controle"/>
    <x v="1"/>
    <n v="1000"/>
    <n v="5004042"/>
    <s v="BRASIL WEB TRANSPORTES E LOGISTICA"/>
    <n v="241.66"/>
    <d v="2025-04-09T00:00:00"/>
  </r>
  <r>
    <n v="253995068"/>
    <n v="64772471"/>
    <s v="REB"/>
    <n v="10020522"/>
    <n v="173"/>
    <s v="PEÇAS - Defeito de fabric./Alta Amperage"/>
    <s v="FUNCIONAL"/>
    <x v="1"/>
    <n v="3649"/>
    <x v="148"/>
    <s v="SP"/>
    <n v="350"/>
    <s v="Ats On"/>
    <n v="1350"/>
    <s v="W11566265"/>
    <s v="Placas de Controle"/>
    <x v="1"/>
    <n v="1000"/>
    <n v="5004042"/>
    <s v="BRASIL WEB TRANSPORTES E LOGISTICA"/>
    <n v="241.53"/>
    <d v="2025-05-16T00:00:00"/>
  </r>
  <r>
    <n v="254043744"/>
    <n v="64820308"/>
    <s v="ZRDI"/>
    <n v="10094228"/>
    <s v="D25"/>
    <s v="DEV D2C - Prob na entrega (Não recebi)"/>
    <s v="TRANSPORTADORA"/>
    <x v="1"/>
    <n v="58101392"/>
    <x v="521"/>
    <s v="SE"/>
    <n v="475"/>
    <s v="Site Consul"/>
    <n v="1352"/>
    <s v="W11300506"/>
    <s v="Tampas Fixas"/>
    <x v="6"/>
    <n v="1000"/>
    <n v="5002359"/>
    <s v="EMPRESA BRASILEIRA DE CORREIOS E"/>
    <n v="241.47"/>
    <d v="2025-07-30T00:00:00"/>
  </r>
  <r>
    <n v="253931084"/>
    <n v="64698796"/>
    <s v="REB"/>
    <n v="9814836"/>
    <n v="176"/>
    <s v="PEÇAS - Defeito de fabric./Interrompido"/>
    <s v="FUNCIONAL"/>
    <x v="2"/>
    <n v="24089"/>
    <x v="134"/>
    <s v="RJ"/>
    <n v="931"/>
    <s v="Ats Off"/>
    <n v="1350"/>
    <s v="W11619403"/>
    <s v="Placas de Controle"/>
    <x v="1"/>
    <n v="1000"/>
    <n v="5003176"/>
    <s v="J C THEDIN TRANSPORTES LTDA"/>
    <n v="241.41"/>
    <d v="2025-01-31T00:00:00"/>
  </r>
  <r>
    <n v="253992716"/>
    <n v="64759688"/>
    <s v="REB"/>
    <n v="9860092"/>
    <n v="176"/>
    <s v="PEÇAS - Defeito de fabric./Interrompido"/>
    <s v="FUNCIONAL"/>
    <x v="1"/>
    <n v="25727"/>
    <x v="275"/>
    <s v="GO"/>
    <n v="644"/>
    <s v="Plus"/>
    <n v="1350"/>
    <s v="W11199202"/>
    <s v="Placas de Controle"/>
    <x v="1"/>
    <n v="1000"/>
    <n v="5002858"/>
    <s v="FAVORITA TRANSPORTES LTDA"/>
    <n v="241.3"/>
    <d v="2025-05-12T00:00:00"/>
  </r>
  <r>
    <n v="253995079"/>
    <n v="64772224"/>
    <s v="REB"/>
    <n v="9405905"/>
    <n v="173"/>
    <s v="PEÇAS - Defeito de fabric./Alta Amperage"/>
    <s v="FUNCIONAL"/>
    <x v="1"/>
    <n v="9599"/>
    <x v="121"/>
    <s v="SP"/>
    <n v="931"/>
    <s v="Ats Off"/>
    <n v="1350"/>
    <s v="W10640425"/>
    <s v="Placas de Interface"/>
    <x v="1"/>
    <n v="1000"/>
    <n v="5004042"/>
    <s v="BRASIL WEB TRANSPORTES E LOGISTICA"/>
    <n v="241.29"/>
    <d v="2025-05-16T00:00:00"/>
  </r>
  <r>
    <n v="254028677"/>
    <n v="64808429"/>
    <s v="ZRDI"/>
    <n v="10082057"/>
    <s v="D25"/>
    <s v="DEV D2C - Prob na entrega (Não recebi)"/>
    <s v="TRANSPORTADORA"/>
    <x v="2"/>
    <n v="56820603"/>
    <x v="522"/>
    <s v="DF"/>
    <n v="474"/>
    <s v="Site Brastemp"/>
    <n v="1352"/>
    <s v="W10866790"/>
    <s v="Kits Instalação"/>
    <x v="7"/>
    <n v="1000"/>
    <n v="5002359"/>
    <s v="EMPRESA BRASILEIRA DE CORREIOS E"/>
    <n v="241.23"/>
    <d v="2025-07-10T00:00:00"/>
  </r>
  <r>
    <n v="254003872"/>
    <n v="64777948"/>
    <s v="REB"/>
    <n v="10006868"/>
    <n v="90"/>
    <s v="CLIENTE-não solicitou"/>
    <s v="COMERCIAL"/>
    <x v="1"/>
    <n v="13757"/>
    <x v="14"/>
    <s v="SP"/>
    <n v="713"/>
    <s v="Key Account"/>
    <n v="1350"/>
    <s v="W10855665"/>
    <s v="Placas de Controle"/>
    <x v="1"/>
    <n v="1000"/>
    <n v="5004042"/>
    <s v="BRASIL WEB TRANSPORTES E LOGISTICA"/>
    <n v="241.12"/>
    <d v="2025-05-26T00:00:00"/>
  </r>
  <r>
    <n v="253998022"/>
    <n v="64770390"/>
    <s v="ZDVP"/>
    <n v="9929274"/>
    <n v="173"/>
    <s v="PEÇAS - Defeito de fabric./Alta Amperage"/>
    <s v="FUNCIONAL"/>
    <x v="1"/>
    <n v="60342"/>
    <x v="31"/>
    <s v="BA"/>
    <n v="648"/>
    <s v="Ultra"/>
    <n v="1350"/>
    <s v="W11300816"/>
    <s v="Mecanismos"/>
    <x v="2"/>
    <n v="2000"/>
    <n v="5004101"/>
    <s v="UNIDOCK'S ASSESSORIA E LOGISTICA DE"/>
    <n v="241.1"/>
    <d v="2025-05-16T00:00:00"/>
  </r>
  <r>
    <n v="254012501"/>
    <n v="64789489"/>
    <s v="REB"/>
    <n v="9852673"/>
    <n v="173"/>
    <s v="PEÇAS - Defeito de fabric./Alta Amperage"/>
    <s v="FUNCIONAL"/>
    <x v="2"/>
    <n v="28991"/>
    <x v="65"/>
    <s v="MG"/>
    <n v="643"/>
    <s v="Elite"/>
    <n v="1350"/>
    <s v="W10640425"/>
    <s v="Placas de Interface"/>
    <x v="1"/>
    <n v="1000"/>
    <n v="5004215"/>
    <s v="BRASIL WEB TRANSPORTES E LOGISTICA"/>
    <n v="241.05"/>
    <d v="2025-06-10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664757"/>
    <s v="Outros"/>
    <x v="7"/>
    <n v="2000"/>
    <n v="5002858"/>
    <s v="FAVORITA TRANSPORTES LTDA"/>
    <n v="241.05"/>
    <d v="2025-07-15T00:00:00"/>
  </r>
  <r>
    <n v="253992730"/>
    <n v="64766356"/>
    <s v="REB"/>
    <n v="9989229"/>
    <n v="168"/>
    <s v="PEÇAS-Def.Fabric.Empenamento/Abaulamento"/>
    <s v="FUNCIONAL"/>
    <x v="1"/>
    <n v="29697"/>
    <x v="211"/>
    <s v="SP"/>
    <n v="641"/>
    <s v="CDP Diamante"/>
    <n v="1350"/>
    <s v="W10882241"/>
    <s v="Agitadores"/>
    <x v="2"/>
    <n v="4000"/>
    <n v="5004042"/>
    <s v="BRASIL WEB TRANSPORTES E LOGISTICA"/>
    <n v="241"/>
    <d v="2025-05-12T00:00:00"/>
  </r>
  <r>
    <n v="253970783"/>
    <n v="64748277"/>
    <s v="REB"/>
    <n v="9603264"/>
    <n v="176"/>
    <s v="PEÇAS - Defeito de fabric./Interrompido"/>
    <s v="FUNCIONAL"/>
    <x v="1"/>
    <n v="31537"/>
    <x v="523"/>
    <s v="RS"/>
    <n v="641"/>
    <s v="CDP Diamante"/>
    <n v="1350"/>
    <s v="W11619317"/>
    <s v="Placas de Controle"/>
    <x v="1"/>
    <n v="1000"/>
    <n v="5003024"/>
    <s v="RODOBRAS TRANSPORTES RODOVIARIOS LT"/>
    <n v="240.64"/>
    <d v="2025-04-09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0446925"/>
    <s v="Placas de Controle"/>
    <x v="1"/>
    <n v="2000"/>
    <n v="5003024"/>
    <s v="RODOBRAS TRANSPORTES RODOVIARIOS LT"/>
    <n v="240.64"/>
    <d v="2025-01-28T00:00:00"/>
  </r>
  <r>
    <n v="253931089"/>
    <n v="64704040"/>
    <s v="REB"/>
    <n v="9785875"/>
    <n v="173"/>
    <s v="PEÇAS - Defeito de fabric./Alta Amperage"/>
    <s v="FUNCIONAL"/>
    <x v="1"/>
    <n v="25727"/>
    <x v="275"/>
    <s v="GO"/>
    <n v="644"/>
    <s v="Plus"/>
    <n v="1350"/>
    <s v="W11199202"/>
    <s v="Placas de Controle"/>
    <x v="1"/>
    <n v="1000"/>
    <n v="5002858"/>
    <s v="FAVORITA TRANSPORTES LTDA"/>
    <n v="240.6"/>
    <d v="2025-01-31T00:00:00"/>
  </r>
  <r>
    <n v="253952200"/>
    <n v="64722758"/>
    <s v="REB"/>
    <n v="9785875"/>
    <n v="173"/>
    <s v="PEÇAS - Defeito de fabric./Alta Amperage"/>
    <s v="FUNCIONAL"/>
    <x v="1"/>
    <n v="25727"/>
    <x v="275"/>
    <s v="GO"/>
    <n v="644"/>
    <s v="Plus"/>
    <n v="1350"/>
    <s v="W11199202"/>
    <s v="Placas de Controle"/>
    <x v="1"/>
    <n v="1000"/>
    <n v="5002858"/>
    <s v="FAVORITA TRANSPORTES LTDA"/>
    <n v="240.6"/>
    <d v="2025-03-10T00:00:00"/>
  </r>
  <r>
    <s v="Sem TR"/>
    <n v="64760192"/>
    <s v="ROB"/>
    <n v="9971222"/>
    <n v="25"/>
    <s v="OC. 80 - EXTRAVIO TOTAL"/>
    <s v="TRANSPORTADORA"/>
    <x v="0"/>
    <n v="85823"/>
    <x v="524"/>
    <s v="CE"/>
    <n v="932"/>
    <s v="CDP Prata"/>
    <n v="1350"/>
    <s v="W10169464"/>
    <s v="Defletores/Difusores"/>
    <x v="5"/>
    <n v="10000"/>
    <n v="5004101"/>
    <s v="UNIDOCK'S ASSESSORIA E LOGISTICA DE"/>
    <n v="239.91"/>
    <d v="2025-04-28T00:00:00"/>
  </r>
  <r>
    <s v="Sem TR"/>
    <n v="64798588"/>
    <s v="ZRDI"/>
    <n v="10100671"/>
    <s v="D10"/>
    <s v="DEV D2C - Comprou modelo errado"/>
    <s v="COMERCIAL"/>
    <x v="2"/>
    <n v="51938894"/>
    <x v="525"/>
    <s v="SP"/>
    <n v="474"/>
    <s v="Site Brastemp"/>
    <n v="1352"/>
    <s v="W10616737"/>
    <s v="Gavetas"/>
    <x v="9"/>
    <n v="1000"/>
    <n v="5002359"/>
    <s v="EMPRESA BRASILEIRA DE CORREIOS E"/>
    <n v="239.9"/>
    <d v="2025-06-30T00:00:00"/>
  </r>
  <r>
    <s v="Sem TR"/>
    <n v="64798995"/>
    <s v="ZRDI"/>
    <n v="10100887"/>
    <s v="D11"/>
    <s v="DEV D2C - Comprou prod dimensão errada"/>
    <s v="COMERCIAL"/>
    <x v="2"/>
    <n v="57978556"/>
    <x v="526"/>
    <s v="SP"/>
    <n v="474"/>
    <s v="Site Brastemp"/>
    <n v="1352"/>
    <s v="W10616737"/>
    <s v="Gavetas"/>
    <x v="9"/>
    <n v="1000"/>
    <n v="5002359"/>
    <s v="EMPRESA BRASILEIRA DE CORREIOS E"/>
    <n v="239.9"/>
    <d v="2025-06-27T00:00:00"/>
  </r>
  <r>
    <s v="Sem TR"/>
    <n v="64804097"/>
    <s v="ZRDI"/>
    <n v="10106765"/>
    <s v="D10"/>
    <s v="DEV D2C - Comprou modelo errado"/>
    <s v="COMERCIAL"/>
    <x v="2"/>
    <n v="58118043"/>
    <x v="527"/>
    <s v="SP"/>
    <n v="474"/>
    <s v="Site Brastemp"/>
    <n v="1352"/>
    <s v="W10616737"/>
    <s v="Gavetas"/>
    <x v="9"/>
    <n v="1000"/>
    <n v="5002359"/>
    <s v="EMPRESA BRASILEIRA DE CORREIOS E"/>
    <n v="239.9"/>
    <d v="2025-07-03T00:00:00"/>
  </r>
  <r>
    <s v="Sem TR"/>
    <n v="64804249"/>
    <s v="ZRDI"/>
    <n v="10105500"/>
    <s v="D10"/>
    <s v="DEV D2C - Comprou modelo errado"/>
    <s v="COMERCIAL"/>
    <x v="2"/>
    <n v="57949706"/>
    <x v="528"/>
    <s v="SP"/>
    <n v="474"/>
    <s v="Site Brastemp"/>
    <n v="1352"/>
    <s v="W10616737"/>
    <s v="Gavetas"/>
    <x v="9"/>
    <n v="1000"/>
    <n v="5002359"/>
    <s v="EMPRESA BRASILEIRA DE CORREIOS E"/>
    <n v="239.9"/>
    <d v="2025-07-02T00:00:00"/>
  </r>
  <r>
    <s v="Sem TR"/>
    <n v="64811681"/>
    <s v="ZRDI"/>
    <n v="10144320"/>
    <s v="D35"/>
    <s v="DEV D2C - Prod difere do comprado"/>
    <s v="COMERCIAL"/>
    <x v="2"/>
    <n v="58162579"/>
    <x v="529"/>
    <s v="SP"/>
    <n v="474"/>
    <s v="Site Brastemp"/>
    <n v="1352"/>
    <s v="W10616737"/>
    <s v="Gavetas"/>
    <x v="9"/>
    <n v="1000"/>
    <n v="5002359"/>
    <s v="EMPRESA BRASILEIRA DE CORREIOS E"/>
    <n v="239.9"/>
    <d v="2025-07-23T00:00:00"/>
  </r>
  <r>
    <s v="Sem TR"/>
    <n v="64812991"/>
    <s v="ZRDI"/>
    <n v="10135664"/>
    <s v="D10"/>
    <s v="DEV D2C - Comprou modelo errado"/>
    <s v="COMERCIAL"/>
    <x v="2"/>
    <n v="53406049"/>
    <x v="530"/>
    <s v="SP"/>
    <n v="474"/>
    <s v="Site Brastemp"/>
    <n v="1352"/>
    <s v="W10616737"/>
    <s v="Gavetas"/>
    <x v="9"/>
    <n v="1000"/>
    <n v="5002359"/>
    <s v="EMPRESA BRASILEIRA DE CORREIOS E"/>
    <n v="239.9"/>
    <d v="2025-07-19T00:00:00"/>
  </r>
  <r>
    <s v="Sem TR"/>
    <n v="64814246"/>
    <s v="ZRDI"/>
    <n v="10141743"/>
    <s v="D10"/>
    <s v="DEV D2C - Comprou modelo errado"/>
    <s v="COMERCIAL"/>
    <x v="2"/>
    <n v="5821619"/>
    <x v="531"/>
    <s v="SP"/>
    <n v="474"/>
    <s v="Site Brastemp"/>
    <n v="1352"/>
    <s v="W10616737"/>
    <s v="Gavetas"/>
    <x v="9"/>
    <n v="1000"/>
    <n v="5002359"/>
    <s v="EMPRESA BRASILEIRA DE CORREIOS E"/>
    <n v="239.9"/>
    <d v="2025-07-22T00:00:00"/>
  </r>
  <r>
    <s v="Sem TR"/>
    <n v="64811681"/>
    <s v="ZRDI"/>
    <n v="10144320"/>
    <s v="D35"/>
    <s v="DEV D2C - Prod difere do comprado"/>
    <s v="COMERCIAL"/>
    <x v="2"/>
    <n v="58162579"/>
    <x v="529"/>
    <s v="SP"/>
    <n v="474"/>
    <s v="Site Brastemp"/>
    <n v="1352"/>
    <s v="W10616737"/>
    <s v="Gavetas"/>
    <x v="9"/>
    <n v="1000"/>
    <n v="5002359"/>
    <s v="EMPRESA BRASILEIRA DE CORREIOS E"/>
    <n v="239.9"/>
    <d v="2025-07-23T00:00:00"/>
  </r>
  <r>
    <s v="Sem TR"/>
    <n v="64814246"/>
    <s v="ZRDI"/>
    <n v="10141743"/>
    <s v="D10"/>
    <s v="DEV D2C - Comprou modelo errado"/>
    <s v="COMERCIAL"/>
    <x v="2"/>
    <n v="5821619"/>
    <x v="531"/>
    <s v="SP"/>
    <n v="474"/>
    <s v="Site Brastemp"/>
    <n v="1352"/>
    <s v="W10616737"/>
    <s v="Gavetas"/>
    <x v="9"/>
    <n v="1000"/>
    <n v="5002359"/>
    <s v="EMPRESA BRASILEIRA DE CORREIOS E"/>
    <n v="239.9"/>
    <d v="2025-07-22T00:00:00"/>
  </r>
  <r>
    <n v="254012589"/>
    <n v="64782228"/>
    <s v="REB"/>
    <n v="10004958"/>
    <n v="173"/>
    <s v="PEÇAS - Defeito de fabric./Alta Amperage"/>
    <s v="FUNCIONAL"/>
    <x v="1"/>
    <n v="67948"/>
    <x v="15"/>
    <s v="SC"/>
    <n v="713"/>
    <s v="Key Account"/>
    <n v="1350"/>
    <s v="W10899325"/>
    <s v="Placas de Controle"/>
    <x v="1"/>
    <n v="1000"/>
    <n v="5003024"/>
    <s v="RODOBRAS TRANSPORTES RODOVIARIOS LT"/>
    <n v="239.81"/>
    <d v="2025-06-10T00:00:00"/>
  </r>
  <r>
    <n v="254003908"/>
    <n v="64762817"/>
    <s v="REB"/>
    <n v="8942542"/>
    <n v="173"/>
    <s v="PEÇAS - Defeito de fabric./Alta Amperage"/>
    <s v="FUNCIONAL"/>
    <x v="1"/>
    <n v="27770"/>
    <x v="37"/>
    <s v="AL"/>
    <n v="641"/>
    <s v="CDP Diamante"/>
    <n v="1350"/>
    <s v="W11523016"/>
    <s v="Placas de Controle"/>
    <x v="1"/>
    <n v="1000"/>
    <n v="5004101"/>
    <s v="UNIDOCK'S ASSESSORIA E LOGISTICA DE"/>
    <n v="239.03"/>
    <d v="2025-05-26T00:00:00"/>
  </r>
  <r>
    <n v="253970783"/>
    <n v="64747158"/>
    <s v="REB"/>
    <n v="9839612"/>
    <n v="176"/>
    <s v="PEÇAS - Defeito de fabric./Interrompido"/>
    <s v="FUNCIONAL"/>
    <x v="1"/>
    <n v="31537"/>
    <x v="523"/>
    <s v="RS"/>
    <n v="641"/>
    <s v="CDP Diamante"/>
    <n v="1350"/>
    <s v="W11619317"/>
    <s v="Placas de Controle"/>
    <x v="1"/>
    <n v="1000"/>
    <n v="5003024"/>
    <s v="RODOBRAS TRANSPORTES RODOVIARIOS LT"/>
    <n v="238.66"/>
    <d v="2025-04-09T00:00:00"/>
  </r>
  <r>
    <n v="253970945"/>
    <n v="64745242"/>
    <s v="REB"/>
    <n v="9860534"/>
    <n v="176"/>
    <s v="PEÇAS - Defeito de fabric./Interrompido"/>
    <s v="FUNCIONAL"/>
    <x v="1"/>
    <n v="75812"/>
    <x v="102"/>
    <s v="SP"/>
    <n v="931"/>
    <s v="Ats Off"/>
    <n v="1350"/>
    <s v="W11300698"/>
    <s v="Mecanismos"/>
    <x v="2"/>
    <n v="1000"/>
    <n v="5004042"/>
    <s v="BRASIL WEB TRANSPORTES E LOGISTICA"/>
    <n v="238.63"/>
    <d v="2025-04-09T00:00:00"/>
  </r>
  <r>
    <n v="253981388"/>
    <n v="64758094"/>
    <s v="REB"/>
    <n v="9909735"/>
    <n v="177"/>
    <s v="PEÇAS - Defeito de fabric./Ruído"/>
    <s v="FUNCIONAL"/>
    <x v="1"/>
    <n v="3688"/>
    <x v="532"/>
    <s v="SP"/>
    <n v="350"/>
    <s v="Ats On"/>
    <n v="1350"/>
    <s v="W11300698"/>
    <s v="Mecanismos"/>
    <x v="2"/>
    <n v="1000"/>
    <n v="5004042"/>
    <s v="BRASIL WEB TRANSPORTES E LOGISTICA"/>
    <n v="238.63"/>
    <d v="2025-04-25T00:00:00"/>
  </r>
  <r>
    <n v="253981388"/>
    <n v="64758095"/>
    <s v="REB"/>
    <n v="9909727"/>
    <n v="177"/>
    <s v="PEÇAS - Defeito de fabric./Ruído"/>
    <s v="FUNCIONAL"/>
    <x v="1"/>
    <n v="3688"/>
    <x v="532"/>
    <s v="SP"/>
    <n v="350"/>
    <s v="Ats On"/>
    <n v="1350"/>
    <s v="W11300698"/>
    <s v="Mecanismos"/>
    <x v="2"/>
    <n v="1000"/>
    <n v="5004042"/>
    <s v="BRASIL WEB TRANSPORTES E LOGISTICA"/>
    <n v="238.63"/>
    <d v="2025-04-25T00:00:00"/>
  </r>
  <r>
    <n v="254024109"/>
    <n v="64803641"/>
    <s v="ZRDI"/>
    <n v="10038400"/>
    <n v="208"/>
    <s v="DEV-Atraso entrega- LOGISTICA(Transp)"/>
    <s v="TRANSPORTADORA"/>
    <x v="2"/>
    <n v="56838402"/>
    <x v="533"/>
    <s v="SE"/>
    <n v="475"/>
    <s v="Site Consul"/>
    <n v="1352"/>
    <s v="W10866791"/>
    <s v="Kits Instalação"/>
    <x v="7"/>
    <n v="1000"/>
    <n v="5002359"/>
    <s v="EMPRESA BRASILEIRA DE CORREIOS E"/>
    <n v="238.6"/>
    <d v="2025-07-01T00:00:00"/>
  </r>
  <r>
    <n v="254037044"/>
    <n v="64814960"/>
    <s v="ZRDI"/>
    <n v="10081654"/>
    <n v="208"/>
    <s v="DEV-Atraso entrega- LOGISTICA(Transp)"/>
    <s v="TRANSPORTADORA"/>
    <x v="2"/>
    <n v="53331500"/>
    <x v="534"/>
    <s v="PE"/>
    <n v="475"/>
    <s v="Site Consul"/>
    <n v="1352"/>
    <s v="W10866791"/>
    <s v="Kits Instalação"/>
    <x v="7"/>
    <n v="1000"/>
    <n v="5002359"/>
    <s v="EMPRESA BRASILEIRA DE CORREIOS E"/>
    <n v="238.6"/>
    <d v="2025-07-22T00:00:00"/>
  </r>
  <r>
    <n v="254038149"/>
    <n v="64816114"/>
    <s v="ZRDI"/>
    <n v="10075533"/>
    <n v="208"/>
    <s v="DEV-Atraso entrega- LOGISTICA(Transp)"/>
    <s v="TRANSPORTADORA"/>
    <x v="2"/>
    <n v="57612160"/>
    <x v="535"/>
    <s v="SE"/>
    <n v="474"/>
    <s v="Site Brastemp"/>
    <n v="1352"/>
    <s v="W10866791"/>
    <s v="Kits Instalação"/>
    <x v="7"/>
    <n v="1000"/>
    <n v="5002359"/>
    <s v="EMPRESA BRASILEIRA DE CORREIOS E"/>
    <n v="238.6"/>
    <d v="2025-07-23T00:00:00"/>
  </r>
  <r>
    <n v="254039179"/>
    <n v="64817060"/>
    <s v="ZRDI"/>
    <n v="10086137"/>
    <n v="208"/>
    <s v="DEV-Atraso entrega- LOGISTICA(Transp)"/>
    <s v="TRANSPORTADORA"/>
    <x v="2"/>
    <n v="58072015"/>
    <x v="536"/>
    <s v="SE"/>
    <n v="474"/>
    <s v="Site Brastemp"/>
    <n v="1352"/>
    <s v="W10866791"/>
    <s v="Kits Instalação"/>
    <x v="7"/>
    <n v="1000"/>
    <n v="5002359"/>
    <s v="EMPRESA BRASILEIRA DE CORREIOS E"/>
    <n v="238.6"/>
    <d v="2025-07-24T00:00:00"/>
  </r>
  <r>
    <n v="254037044"/>
    <n v="64814960"/>
    <s v="ZRDI"/>
    <n v="10081654"/>
    <n v="208"/>
    <s v="DEV-Atraso entrega- LOGISTICA(Transp)"/>
    <s v="TRANSPORTADORA"/>
    <x v="2"/>
    <n v="53331500"/>
    <x v="534"/>
    <s v="PE"/>
    <n v="475"/>
    <s v="Site Consul"/>
    <n v="1352"/>
    <s v="W10866791"/>
    <s v="Kits Instalação"/>
    <x v="7"/>
    <n v="1000"/>
    <n v="5002359"/>
    <s v="EMPRESA BRASILEIRA DE CORREIOS E"/>
    <n v="238.6"/>
    <d v="2025-07-22T00:00:00"/>
  </r>
  <r>
    <n v="254038149"/>
    <n v="64816114"/>
    <s v="ZRDI"/>
    <n v="10075533"/>
    <n v="208"/>
    <s v="DEV-Atraso entrega- LOGISTICA(Transp)"/>
    <s v="TRANSPORTADORA"/>
    <x v="2"/>
    <n v="57612160"/>
    <x v="535"/>
    <s v="SE"/>
    <n v="474"/>
    <s v="Site Brastemp"/>
    <n v="1352"/>
    <s v="W10866791"/>
    <s v="Kits Instalação"/>
    <x v="7"/>
    <n v="1000"/>
    <n v="5002359"/>
    <s v="EMPRESA BRASILEIRA DE CORREIOS E"/>
    <n v="238.6"/>
    <d v="2025-07-23T00:00:00"/>
  </r>
  <r>
    <n v="254039179"/>
    <n v="64817060"/>
    <s v="ZRDI"/>
    <n v="10086137"/>
    <n v="208"/>
    <s v="DEV-Atraso entrega- LOGISTICA(Transp)"/>
    <s v="TRANSPORTADORA"/>
    <x v="2"/>
    <n v="58072015"/>
    <x v="536"/>
    <s v="SE"/>
    <n v="474"/>
    <s v="Site Brastemp"/>
    <n v="1352"/>
    <s v="W10866791"/>
    <s v="Kits Instalação"/>
    <x v="7"/>
    <n v="1000"/>
    <n v="5002359"/>
    <s v="EMPRESA BRASILEIRA DE CORREIOS E"/>
    <n v="238.6"/>
    <d v="2025-07-24T00:00:00"/>
  </r>
  <r>
    <n v="254004051"/>
    <n v="64776146"/>
    <s v="REB"/>
    <n v="9689981"/>
    <n v="173"/>
    <s v="PEÇAS - Defeito de fabric./Alta Amperage"/>
    <s v="FUNCIONAL"/>
    <x v="2"/>
    <n v="72253"/>
    <x v="349"/>
    <s v="SC"/>
    <n v="933"/>
    <s v="Top"/>
    <n v="1350"/>
    <s v="W11199202"/>
    <s v="Placas de Controle"/>
    <x v="1"/>
    <n v="1000"/>
    <n v="5003024"/>
    <s v="RODOBRAS TRANSPORTES RODOVIARIOS LT"/>
    <n v="238.45"/>
    <d v="2025-05-26T00:00:00"/>
  </r>
  <r>
    <n v="253970783"/>
    <n v="64747156"/>
    <s v="REB"/>
    <n v="9800169"/>
    <n v="176"/>
    <s v="PEÇAS - Defeito de fabric./Interrompido"/>
    <s v="FUNCIONAL"/>
    <x v="1"/>
    <n v="31537"/>
    <x v="523"/>
    <s v="RS"/>
    <n v="641"/>
    <s v="CDP Diamante"/>
    <n v="1350"/>
    <s v="W11619317"/>
    <s v="Placas de Controle"/>
    <x v="1"/>
    <n v="1000"/>
    <n v="5003024"/>
    <s v="RODOBRAS TRANSPORTES RODOVIARIOS LT"/>
    <n v="238.3"/>
    <d v="2025-04-09T00:00:00"/>
  </r>
  <r>
    <n v="254030007"/>
    <n v="64809483"/>
    <s v="ZRDI"/>
    <n v="10086618"/>
    <n v="208"/>
    <s v="DEV-Atraso entrega- LOGISTICA(Transp)"/>
    <s v="TRANSPORTADORA"/>
    <x v="2"/>
    <n v="51403852"/>
    <x v="537"/>
    <s v="MS"/>
    <n v="474"/>
    <s v="Site Brastemp"/>
    <n v="1352"/>
    <s v="W10866791"/>
    <s v="Kits Instalação"/>
    <x v="7"/>
    <n v="1000"/>
    <n v="5002359"/>
    <s v="EMPRESA BRASILEIRA DE CORREIOS E"/>
    <n v="238.3"/>
    <d v="2025-07-11T00:00:00"/>
  </r>
  <r>
    <n v="253998134"/>
    <n v="64729251"/>
    <s v="REB"/>
    <n v="9354634"/>
    <n v="173"/>
    <s v="PEÇAS - Defeito de fabric./Alta Amperage"/>
    <s v="FUNCIONAL"/>
    <x v="1"/>
    <n v="81093"/>
    <x v="53"/>
    <s v="ES"/>
    <n v="713"/>
    <s v="Key Account"/>
    <n v="1350"/>
    <s v="W10711360"/>
    <s v="Placas de Interface"/>
    <x v="1"/>
    <n v="1000"/>
    <n v="5004042"/>
    <s v="BRASIL WEB TRANSPORTES E LOGISTICA"/>
    <n v="238.29"/>
    <d v="2025-03-10T00:00:00"/>
  </r>
  <r>
    <s v="Sem TR"/>
    <n v="64789262"/>
    <s v="ZRDI"/>
    <n v="10038299"/>
    <s v="D18"/>
    <s v="DEV D2C - Arrependimento não quero mais"/>
    <s v="COMERCIAL"/>
    <x v="2"/>
    <n v="4421193"/>
    <x v="538"/>
    <s v="RS"/>
    <n v="474"/>
    <s v="Site Brastemp"/>
    <n v="1352"/>
    <s v="W10866790"/>
    <s v="Kits Instalação"/>
    <x v="7"/>
    <n v="1000"/>
    <n v="5002359"/>
    <s v="EMPRESA BRASILEIRA DE CORREIOS E"/>
    <n v="238.25"/>
    <d v="2025-06-24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268575"/>
    <s v="Gaxetas"/>
    <x v="4"/>
    <n v="5000"/>
    <n v="5004101"/>
    <s v="UNIDOCK'S ASSESSORIA E LOGISTICA DE"/>
    <n v="238.2"/>
    <d v="2025-03-11T00:00:00"/>
  </r>
  <r>
    <n v="254003857"/>
    <n v="64775518"/>
    <s v="REB"/>
    <n v="10041483"/>
    <n v="176"/>
    <s v="PEÇAS - Defeito de fabric./Interrompido"/>
    <s v="FUNCIONAL"/>
    <x v="2"/>
    <n v="3524"/>
    <x v="93"/>
    <s v="SP"/>
    <n v="931"/>
    <s v="Ats Off"/>
    <n v="1350"/>
    <s v="W11121356"/>
    <s v="Placas de Controle"/>
    <x v="1"/>
    <n v="1000"/>
    <n v="5004042"/>
    <s v="BRASIL WEB TRANSPORTES E LOGISTICA"/>
    <n v="238.17"/>
    <d v="2025-05-26T00:00:00"/>
  </r>
  <r>
    <n v="253970899"/>
    <n v="64748219"/>
    <s v="REB"/>
    <n v="9906082"/>
    <n v="173"/>
    <s v="PEÇAS - Defeito de fabric./Alta Amperage"/>
    <s v="FUNCIONAL"/>
    <x v="2"/>
    <n v="64522"/>
    <x v="158"/>
    <s v="SP"/>
    <n v="643"/>
    <s v="Elite"/>
    <n v="1350"/>
    <s v="W11300675"/>
    <s v="Mecanismos"/>
    <x v="2"/>
    <n v="2000"/>
    <n v="5004042"/>
    <s v="BRASIL WEB TRANSPORTES E LOGISTICA"/>
    <n v="238"/>
    <d v="2025-04-09T00:00:00"/>
  </r>
  <r>
    <n v="254032574"/>
    <n v="64811509"/>
    <s v="ZRDI"/>
    <n v="10105991"/>
    <n v="208"/>
    <s v="DEV-Atraso entrega- LOGISTICA(Transp)"/>
    <s v="TRANSPORTADORA"/>
    <x v="2"/>
    <n v="5639177"/>
    <x v="539"/>
    <s v="PE"/>
    <n v="475"/>
    <s v="Site Consul"/>
    <n v="1352"/>
    <s v="W10866790"/>
    <s v="Kits Instalação"/>
    <x v="7"/>
    <n v="1000"/>
    <n v="5002359"/>
    <s v="EMPRESA BRASILEIRA DE CORREIOS E"/>
    <n v="237.85"/>
    <d v="2025-07-16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0741592"/>
    <s v="Resistências"/>
    <x v="1"/>
    <n v="5000"/>
    <n v="5004101"/>
    <s v="UNIDOCK'S ASSESSORIA E LOGISTICA DE"/>
    <n v="237.71"/>
    <d v="2025-07-30T00:00:00"/>
  </r>
  <r>
    <n v="254033454"/>
    <n v="64806988"/>
    <s v="REB"/>
    <n v="9884152"/>
    <n v="173"/>
    <s v="PEÇAS - Defeito de fabric./Alta Amperage"/>
    <s v="FUNCIONAL"/>
    <x v="1"/>
    <n v="76462"/>
    <x v="243"/>
    <s v="DF"/>
    <n v="933"/>
    <s v="Top"/>
    <n v="1350"/>
    <s v="W10640425"/>
    <s v="Placas de Interface"/>
    <x v="1"/>
    <n v="1000"/>
    <n v="5002858"/>
    <s v="FAVORITA TRANSPORTES LTDA"/>
    <n v="237.63"/>
    <d v="2025-07-08T00:00:00"/>
  </r>
  <r>
    <s v="Sem TR"/>
    <n v="64808689"/>
    <s v="ZRDI"/>
    <n v="10112880"/>
    <s v="D31"/>
    <s v="DEV D2C - Defeito estético manufatura"/>
    <s v="MANUFATURA"/>
    <x v="2"/>
    <n v="58123395"/>
    <x v="540"/>
    <s v="RJ"/>
    <n v="475"/>
    <s v="Site Consul"/>
    <n v="1352"/>
    <n v="326076877"/>
    <s v="Painéis de Controle"/>
    <x v="6"/>
    <n v="1000"/>
    <n v="5002359"/>
    <s v="EMPRESA BRASILEIRA DE CORREIOS E"/>
    <n v="237.61"/>
    <d v="2025-07-10T00:00:00"/>
  </r>
  <r>
    <n v="254043157"/>
    <n v="64809674"/>
    <s v="REB"/>
    <n v="10113756"/>
    <n v="115"/>
    <s v="PEÇAS-Recusa do cliente"/>
    <s v="COMERCIAL"/>
    <x v="0"/>
    <n v="2343"/>
    <x v="438"/>
    <s v="MG"/>
    <n v="350"/>
    <s v="Ats On"/>
    <n v="1350"/>
    <s v="W10440444"/>
    <s v="Gaxetas"/>
    <x v="4"/>
    <n v="5000"/>
    <n v="5004215"/>
    <s v="BRASIL WEB TRANSPORTES E LOGISTICA"/>
    <n v="237.56"/>
    <d v="2025-07-12T00:00:00"/>
  </r>
  <r>
    <n v="253992699"/>
    <n v="64758691"/>
    <s v="REB"/>
    <n v="9951076"/>
    <n v="173"/>
    <s v="PEÇAS - Defeito de fabric./Alta Amperage"/>
    <s v="FUNCIONAL"/>
    <x v="1"/>
    <n v="18949"/>
    <x v="264"/>
    <s v="SP"/>
    <n v="933"/>
    <s v="Top"/>
    <n v="1350"/>
    <s v="W10709306"/>
    <s v="Placas de Controle"/>
    <x v="1"/>
    <n v="1000"/>
    <n v="5004042"/>
    <s v="BRASIL WEB TRANSPORTES E LOGISTICA"/>
    <n v="237.52"/>
    <d v="2025-05-12T00:00:00"/>
  </r>
  <r>
    <n v="254042106"/>
    <n v="64795787"/>
    <s v="REB"/>
    <n v="10096443"/>
    <n v="177"/>
    <s v="PEÇAS - Defeito de fabric./Ruído"/>
    <s v="FUNCIONAL"/>
    <x v="0"/>
    <n v="32272"/>
    <x v="312"/>
    <s v="PR"/>
    <n v="933"/>
    <s v="Top"/>
    <n v="1350"/>
    <s v="W10882241"/>
    <s v="Agitadores"/>
    <x v="2"/>
    <n v="4000"/>
    <n v="5003024"/>
    <s v="RODOBRAS TRANSPORTES RODOVIARIOS LT"/>
    <n v="237.49"/>
    <d v="2025-06-23T00:00:00"/>
  </r>
  <r>
    <n v="253970899"/>
    <n v="64748221"/>
    <s v="REB"/>
    <n v="9610053"/>
    <n v="173"/>
    <s v="PEÇAS - Defeito de fabric./Alta Amperage"/>
    <s v="FUNCIONAL"/>
    <x v="2"/>
    <n v="64522"/>
    <x v="158"/>
    <s v="SP"/>
    <n v="643"/>
    <s v="Elite"/>
    <n v="1350"/>
    <s v="W11300698"/>
    <s v="Mecanismos"/>
    <x v="2"/>
    <n v="1000"/>
    <n v="5004042"/>
    <s v="BRASIL WEB TRANSPORTES E LOGISTICA"/>
    <n v="237.36"/>
    <d v="2025-04-09T00:00:00"/>
  </r>
  <r>
    <n v="254012602"/>
    <n v="64789180"/>
    <s v="REB"/>
    <n v="10042086"/>
    <n v="173"/>
    <s v="PEÇAS - Defeito de fabric./Alta Amperage"/>
    <s v="FUNCIONAL"/>
    <x v="2"/>
    <n v="69166"/>
    <x v="129"/>
    <s v="RJ"/>
    <n v="931"/>
    <s v="Ats Off"/>
    <n v="1350"/>
    <s v="W11300698"/>
    <s v="Mecanismos"/>
    <x v="2"/>
    <n v="1000"/>
    <n v="5003176"/>
    <s v="J C THEDIN TRANSPORTES LTDA"/>
    <n v="237.28"/>
    <d v="2025-06-10T00:00:00"/>
  </r>
  <r>
    <s v="Sem TR"/>
    <n v="64798700"/>
    <s v="ZRDI"/>
    <n v="10089004"/>
    <s v="D31"/>
    <s v="DEV D2C - Defeito estético manufatura"/>
    <s v="MANUFATURA"/>
    <x v="2"/>
    <n v="51868392"/>
    <x v="541"/>
    <s v="CE"/>
    <n v="474"/>
    <s v="Site Brastemp"/>
    <n v="1352"/>
    <s v="W10624070"/>
    <s v="Gavetas"/>
    <x v="9"/>
    <n v="1000"/>
    <n v="5002359"/>
    <s v="EMPRESA BRASILEIRA DE CORREIOS E"/>
    <n v="236.98"/>
    <d v="2025-06-26T00:00:00"/>
  </r>
  <r>
    <n v="254039185"/>
    <n v="64817067"/>
    <s v="ZRDI"/>
    <n v="10110301"/>
    <n v="208"/>
    <s v="DEV-Atraso entrega- LOGISTICA(Transp)"/>
    <s v="TRANSPORTADORA"/>
    <x v="2"/>
    <n v="58120107"/>
    <x v="542"/>
    <s v="GO"/>
    <n v="348"/>
    <s v="Midia"/>
    <n v="1352"/>
    <s v="W10237664"/>
    <s v="Cestos aramados"/>
    <x v="9"/>
    <n v="1000"/>
    <n v="5002359"/>
    <s v="EMPRESA BRASILEIRA DE CORREIOS E"/>
    <n v="236.68"/>
    <d v="2025-07-24T00:00:00"/>
  </r>
  <r>
    <n v="254039185"/>
    <n v="64817067"/>
    <s v="ZRDI"/>
    <n v="10110301"/>
    <n v="208"/>
    <s v="DEV-Atraso entrega- LOGISTICA(Transp)"/>
    <s v="TRANSPORTADORA"/>
    <x v="2"/>
    <n v="58120107"/>
    <x v="542"/>
    <s v="GO"/>
    <n v="348"/>
    <s v="Midia"/>
    <n v="1352"/>
    <s v="W10237664"/>
    <s v="Cestos aramados"/>
    <x v="9"/>
    <n v="1000"/>
    <n v="5002359"/>
    <s v="EMPRESA BRASILEIRA DE CORREIOS E"/>
    <n v="236.68"/>
    <d v="2025-07-24T00:00:00"/>
  </r>
  <r>
    <s v="Sem TR"/>
    <n v="64816513"/>
    <s v="ZRDI"/>
    <n v="10098285"/>
    <s v="D10"/>
    <s v="DEV D2C - Comprou modelo errado"/>
    <s v="COMERCIAL"/>
    <x v="1"/>
    <n v="58106264"/>
    <x v="543"/>
    <s v="ES"/>
    <n v="466"/>
    <s v="Sup ML Marketplace"/>
    <n v="1352"/>
    <s v="W10810938"/>
    <s v="Tampas Móveis"/>
    <x v="6"/>
    <n v="1000"/>
    <n v="5002359"/>
    <s v="EMPRESA BRASILEIRA DE CORREIOS E"/>
    <n v="236.68"/>
    <d v="2025-07-28T00:00:00"/>
  </r>
  <r>
    <s v="Sem TR"/>
    <n v="64818580"/>
    <s v="ZRDI"/>
    <n v="10098060"/>
    <s v="D18"/>
    <s v="DEV D2C - Arrependimento não quero mais"/>
    <s v="COMERCIAL"/>
    <x v="1"/>
    <n v="58106264"/>
    <x v="543"/>
    <s v="ES"/>
    <n v="466"/>
    <s v="Sup ML Marketplace"/>
    <n v="1352"/>
    <s v="W10810938"/>
    <s v="Tampas Móveis"/>
    <x v="6"/>
    <n v="1000"/>
    <n v="5002359"/>
    <s v="EMPRESA BRASILEIRA DE CORREIOS E"/>
    <n v="236.68"/>
    <d v="2025-07-28T00:00:00"/>
  </r>
  <r>
    <n v="253952417"/>
    <n v="64729192"/>
    <s v="REB"/>
    <n v="9485821"/>
    <n v="176"/>
    <s v="PEÇAS - Defeito de fabric./Interrompido"/>
    <s v="FUNCIONAL"/>
    <x v="1"/>
    <n v="59011"/>
    <x v="273"/>
    <s v="SP"/>
    <n v="648"/>
    <s v="Ultra"/>
    <n v="1350"/>
    <s v="W10619170"/>
    <s v="Placas de Controle"/>
    <x v="1"/>
    <n v="1000"/>
    <n v="5004042"/>
    <s v="BRASIL WEB TRANSPORTES E LOGISTICA"/>
    <n v="236.67"/>
    <d v="2025-03-10T00:00:00"/>
  </r>
  <r>
    <n v="253995247"/>
    <n v="64772341"/>
    <s v="REB"/>
    <n v="9975247"/>
    <n v="173"/>
    <s v="PEÇAS - Defeito de fabric./Alta Amperage"/>
    <s v="FUNCIONAL"/>
    <x v="2"/>
    <n v="87707"/>
    <x v="143"/>
    <s v="BA"/>
    <n v="648"/>
    <s v="Ultra"/>
    <n v="1350"/>
    <s v="W11487407"/>
    <s v="Placas de Controle"/>
    <x v="1"/>
    <n v="1000"/>
    <n v="5004101"/>
    <s v="UNIDOCK'S ASSESSORIA E LOGISTICA DE"/>
    <n v="236.51"/>
    <d v="2025-05-16T00:00:00"/>
  </r>
  <r>
    <n v="253952354"/>
    <n v="64728608"/>
    <s v="REB"/>
    <n v="9722625"/>
    <n v="671"/>
    <s v="DEV-ENVIADO PARA GESTÃO DE CONSEQUENCIA"/>
    <s v="TRANSPORTADORA"/>
    <x v="2"/>
    <n v="54802"/>
    <x v="319"/>
    <s v="RS"/>
    <n v="648"/>
    <s v="Ultra"/>
    <n v="1350"/>
    <n v="326061171"/>
    <s v="Placas de Controle"/>
    <x v="1"/>
    <n v="1000"/>
    <n v="5003024"/>
    <s v="RODOBRAS TRANSPORTES RODOVIARIOS LT"/>
    <n v="236.41"/>
    <d v="2025-03-10T00:00:00"/>
  </r>
  <r>
    <s v="Sem TR"/>
    <n v="64800409"/>
    <s v="ZRDI"/>
    <n v="10036050"/>
    <n v="25"/>
    <s v="OC. 80 - EXTRAVIO TOTAL"/>
    <s v="TRANSPORTADORA"/>
    <x v="2"/>
    <n v="52463098"/>
    <x v="544"/>
    <s v="MT"/>
    <n v="474"/>
    <s v="Site Brastemp"/>
    <n v="1352"/>
    <s v="W10624070"/>
    <s v="Gavetas"/>
    <x v="9"/>
    <n v="1000"/>
    <n v="5002359"/>
    <s v="EMPRESA BRASILEIRA DE CORREIOS E"/>
    <n v="236.18"/>
    <d v="2025-06-30T00:00:00"/>
  </r>
  <r>
    <s v="Sem TR"/>
    <n v="64808593"/>
    <s v="ZRDI"/>
    <n v="10103172"/>
    <s v="D31"/>
    <s v="DEV D2C - Defeito estético manufatura"/>
    <s v="MANUFATURA"/>
    <x v="2"/>
    <n v="58113365"/>
    <x v="545"/>
    <s v="MT"/>
    <n v="474"/>
    <s v="Site Brastemp"/>
    <n v="1352"/>
    <s v="W10624070"/>
    <s v="Gavetas"/>
    <x v="9"/>
    <n v="1000"/>
    <n v="5002359"/>
    <s v="EMPRESA BRASILEIRA DE CORREIOS E"/>
    <n v="236.18"/>
    <d v="2025-07-12T00:00:00"/>
  </r>
  <r>
    <s v="Sem TR"/>
    <n v="64808593"/>
    <s v="ZRDI"/>
    <n v="10103172"/>
    <s v="D31"/>
    <s v="DEV D2C - Defeito estético manufatura"/>
    <s v="MANUFATURA"/>
    <x v="2"/>
    <n v="58113365"/>
    <x v="545"/>
    <s v="MT"/>
    <n v="474"/>
    <s v="Site Brastemp"/>
    <n v="1352"/>
    <s v="W10624070"/>
    <s v="Gavetas"/>
    <x v="9"/>
    <n v="1000"/>
    <n v="5002359"/>
    <s v="EMPRESA BRASILEIRA DE CORREIOS E"/>
    <n v="236.18"/>
    <d v="2025-07-12T00:00:00"/>
  </r>
  <r>
    <n v="254012534"/>
    <n v="64789459"/>
    <s v="REB"/>
    <n v="8982347"/>
    <n v="173"/>
    <s v="PEÇAS - Defeito de fabric./Alta Amperage"/>
    <s v="FUNCIONAL"/>
    <x v="2"/>
    <n v="47026"/>
    <x v="16"/>
    <s v="BA"/>
    <n v="643"/>
    <s v="Elite"/>
    <n v="1350"/>
    <s v="W11121356"/>
    <s v="Placas de Controle"/>
    <x v="1"/>
    <n v="1000"/>
    <n v="5004101"/>
    <s v="UNIDOCK'S ASSESSORIA E LOGISTICA DE"/>
    <n v="236.16"/>
    <d v="2025-06-10T00:00:00"/>
  </r>
  <r>
    <n v="254031462"/>
    <n v="64810697"/>
    <s v="ZRDI"/>
    <n v="10086951"/>
    <s v="D25"/>
    <s v="DEV D2C - Prob na entrega (Não recebi)"/>
    <s v="TRANSPORTADORA"/>
    <x v="2"/>
    <n v="58086966"/>
    <x v="546"/>
    <s v="RJ"/>
    <n v="475"/>
    <s v="Site Consul"/>
    <n v="1352"/>
    <s v="W10866790"/>
    <s v="Kits Instalação"/>
    <x v="7"/>
    <n v="1000"/>
    <n v="5003972"/>
    <s v="ICARO EXPRESS LOGISTICA LTDA"/>
    <n v="236.06"/>
    <d v="2025-07-15T00:00:00"/>
  </r>
  <r>
    <n v="253988886"/>
    <n v="64763800"/>
    <s v="REB"/>
    <n v="9966975"/>
    <n v="176"/>
    <s v="PEÇAS - Defeito de fabric./Interrompido"/>
    <s v="FUNCIONAL"/>
    <x v="1"/>
    <n v="53012"/>
    <x v="476"/>
    <s v="RJ"/>
    <n v="350"/>
    <s v="Ats On"/>
    <n v="1350"/>
    <s v="W10586927"/>
    <s v="Placas de Controle"/>
    <x v="1"/>
    <n v="1000"/>
    <n v="5003176"/>
    <s v="J C THEDIN TRANSPORTES LTDA"/>
    <n v="236.04"/>
    <d v="2025-05-05T00:00:00"/>
  </r>
  <r>
    <s v="Sem TR"/>
    <n v="64808601"/>
    <s v="ZRDI"/>
    <n v="10103275"/>
    <s v="D31"/>
    <s v="DEV D2C - Defeito estético manufatura"/>
    <s v="MANUFATURA"/>
    <x v="2"/>
    <n v="55614866"/>
    <x v="547"/>
    <s v="PE"/>
    <n v="474"/>
    <s v="Site Brastemp"/>
    <n v="1352"/>
    <s v="W10624070"/>
    <s v="Gavetas"/>
    <x v="9"/>
    <n v="1000"/>
    <n v="5002359"/>
    <s v="EMPRESA BRASILEIRA DE CORREIOS E"/>
    <n v="235.78"/>
    <d v="2025-07-15T00:00:00"/>
  </r>
  <r>
    <s v="Sem TR"/>
    <n v="64808601"/>
    <s v="ZRDI"/>
    <n v="10103275"/>
    <s v="D31"/>
    <s v="DEV D2C - Defeito estético manufatura"/>
    <s v="MANUFATURA"/>
    <x v="2"/>
    <n v="55614866"/>
    <x v="547"/>
    <s v="PE"/>
    <n v="474"/>
    <s v="Site Brastemp"/>
    <n v="1352"/>
    <s v="W10624070"/>
    <s v="Gavetas"/>
    <x v="9"/>
    <n v="1000"/>
    <n v="5002359"/>
    <s v="EMPRESA BRASILEIRA DE CORREIOS E"/>
    <n v="235.78"/>
    <d v="2025-07-15T00:00:00"/>
  </r>
  <r>
    <n v="254018212"/>
    <n v="64792597"/>
    <s v="REB"/>
    <n v="9657662"/>
    <n v="173"/>
    <s v="PEÇAS - Defeito de fabric./Alta Amperage"/>
    <s v="FUNCIONAL"/>
    <x v="2"/>
    <n v="9991"/>
    <x v="86"/>
    <s v="DF"/>
    <n v="648"/>
    <s v="Ultra"/>
    <n v="1350"/>
    <s v="W11199202"/>
    <s v="Placas de Controle"/>
    <x v="1"/>
    <n v="1000"/>
    <n v="5002858"/>
    <s v="FAVORITA TRANSPORTES LTDA"/>
    <n v="235.77"/>
    <d v="2025-06-17T00:00:00"/>
  </r>
  <r>
    <n v="254019959"/>
    <n v="64797861"/>
    <s v="ROB"/>
    <n v="10097567"/>
    <n v="184"/>
    <s v="PEÇAS - Emissão de Nota Fiscal Errada"/>
    <s v="LOGÍSTICA"/>
    <x v="0"/>
    <n v="15663"/>
    <x v="548"/>
    <s v="RJ"/>
    <n v="350"/>
    <s v="Ats On"/>
    <n v="1350"/>
    <s v="W11691009"/>
    <s v="Outros"/>
    <x v="7"/>
    <n v="1000"/>
    <n v="5003176"/>
    <s v="J C THEDIN TRANSPORTES LTDA"/>
    <n v="235.77"/>
    <d v="2025-06-25T00:00:00"/>
  </r>
  <r>
    <n v="254038389"/>
    <n v="64814655"/>
    <s v="REB"/>
    <n v="10115827"/>
    <n v="173"/>
    <s v="PEÇAS - Defeito de fabric./Alta Amperage"/>
    <s v="FUNCIONAL"/>
    <x v="1"/>
    <n v="69166"/>
    <x v="129"/>
    <s v="RJ"/>
    <n v="931"/>
    <s v="Ats Off"/>
    <n v="1350"/>
    <s v="W11559765"/>
    <s v="Placas de Controle"/>
    <x v="1"/>
    <n v="1000"/>
    <n v="5003176"/>
    <s v="J C THEDIN TRANSPORTES LTDA"/>
    <n v="235.73"/>
    <d v="2025-07-22T00:00:00"/>
  </r>
  <r>
    <n v="253924901"/>
    <n v="64700832"/>
    <s v="ROB"/>
    <n v="9776573"/>
    <n v="268"/>
    <s v="DEV-APREENSÃO FISCAL - VENDAS"/>
    <s v="COMERCIAL"/>
    <x v="1"/>
    <n v="67561"/>
    <x v="47"/>
    <s v="CE"/>
    <n v="934"/>
    <s v="CDP Ouro"/>
    <n v="1350"/>
    <n v="326029919"/>
    <s v="Gaxetas"/>
    <x v="4"/>
    <n v="5000"/>
    <n v="5004101"/>
    <s v="UNIDOCK'S ASSESSORIA E LOGISTICA DE"/>
    <n v="235.63"/>
    <d v="2025-01-27T00:00:00"/>
  </r>
  <r>
    <n v="253970783"/>
    <n v="64748294"/>
    <s v="REB"/>
    <n v="9472827"/>
    <n v="176"/>
    <s v="PEÇAS - Defeito de fabric./Interrompido"/>
    <s v="FUNCIONAL"/>
    <x v="1"/>
    <n v="31537"/>
    <x v="523"/>
    <s v="RS"/>
    <n v="641"/>
    <s v="CDP Diamante"/>
    <n v="1350"/>
    <s v="W11619317"/>
    <s v="Placas de Controle"/>
    <x v="1"/>
    <n v="1000"/>
    <n v="5003024"/>
    <s v="RODOBRAS TRANSPORTES RODOVIARIOS LT"/>
    <n v="235.49"/>
    <d v="2025-04-09T00:00:00"/>
  </r>
  <r>
    <n v="253970783"/>
    <n v="64748273"/>
    <s v="REB"/>
    <n v="9509345"/>
    <n v="176"/>
    <s v="PEÇAS - Defeito de fabric./Interrompido"/>
    <s v="FUNCIONAL"/>
    <x v="1"/>
    <n v="31537"/>
    <x v="523"/>
    <s v="RS"/>
    <n v="641"/>
    <s v="CDP Diamante"/>
    <n v="1350"/>
    <s v="W11619317"/>
    <s v="Placas de Controle"/>
    <x v="1"/>
    <n v="1000"/>
    <n v="5003024"/>
    <s v="RODOBRAS TRANSPORTES RODOVIARIOS LT"/>
    <n v="235.42"/>
    <d v="2025-04-09T00:00:00"/>
  </r>
  <r>
    <n v="253961415"/>
    <n v="64731253"/>
    <s v="REB"/>
    <n v="9802265"/>
    <n v="177"/>
    <s v="PEÇAS - Defeito de fabric./Ruído"/>
    <s v="FUNCIONAL"/>
    <x v="1"/>
    <n v="80432"/>
    <x v="3"/>
    <s v="ES"/>
    <n v="713"/>
    <s v="Key Account"/>
    <n v="1350"/>
    <s v="W11299803"/>
    <s v="Mecanismos"/>
    <x v="2"/>
    <n v="3000"/>
    <n v="5004042"/>
    <s v="BRASIL WEB TRANSPORTES E LOGISTICA"/>
    <n v="235.35"/>
    <d v="2025-03-26T00:00:00"/>
  </r>
  <r>
    <n v="254022268"/>
    <n v="64799878"/>
    <s v="ZRDI"/>
    <n v="10075518"/>
    <n v="208"/>
    <s v="DEV-Atraso entrega- LOGISTICA(Transp)"/>
    <s v="TRANSPORTADORA"/>
    <x v="2"/>
    <n v="53917735"/>
    <x v="549"/>
    <s v="BA"/>
    <n v="475"/>
    <s v="Site Consul"/>
    <n v="1352"/>
    <s v="W10866791"/>
    <s v="Kits Instalação"/>
    <x v="7"/>
    <n v="1000"/>
    <n v="5002359"/>
    <s v="EMPRESA BRASILEIRA DE CORREIOS E"/>
    <n v="235.02"/>
    <d v="2025-06-27T00:00:00"/>
  </r>
  <r>
    <n v="254038364"/>
    <n v="64814839"/>
    <s v="REB"/>
    <n v="10018135"/>
    <n v="178"/>
    <s v="PEÇAS -Defeito de fabric./Sem Compressão"/>
    <s v="FUNCIONAL"/>
    <x v="1"/>
    <n v="30416"/>
    <x v="136"/>
    <s v="AM"/>
    <n v="648"/>
    <s v="Ultra"/>
    <n v="1350"/>
    <s v="W11647660"/>
    <s v="Compressores Herméticos"/>
    <x v="0"/>
    <n v="1000"/>
    <n v="5002858"/>
    <s v="FAVORITA TRANSPORTES LTDA"/>
    <n v="234.93"/>
    <d v="2025-07-22T00:00:00"/>
  </r>
  <r>
    <n v="254033377"/>
    <n v="64795963"/>
    <s v="REB"/>
    <n v="10018135"/>
    <n v="178"/>
    <s v="PEÇAS -Defeito de fabric./Sem Compressão"/>
    <s v="FUNCIONAL"/>
    <x v="1"/>
    <n v="30416"/>
    <x v="136"/>
    <s v="AM"/>
    <n v="648"/>
    <s v="Ultra"/>
    <n v="1350"/>
    <s v="W11647660"/>
    <s v="Compressores Herméticos"/>
    <x v="0"/>
    <n v="1000"/>
    <n v="5002858"/>
    <s v="FAVORITA TRANSPORTES LTDA"/>
    <n v="234.93"/>
    <d v="2025-07-01T00:00:00"/>
  </r>
  <r>
    <n v="254012511"/>
    <n v="64789244"/>
    <s v="REB"/>
    <n v="10018135"/>
    <n v="178"/>
    <s v="PEÇAS -Defeito de fabric./Sem Compressão"/>
    <s v="FUNCIONAL"/>
    <x v="2"/>
    <n v="30416"/>
    <x v="136"/>
    <s v="AM"/>
    <n v="648"/>
    <s v="Ultra"/>
    <n v="1350"/>
    <s v="W11647660"/>
    <s v="Compressores Herméticos"/>
    <x v="0"/>
    <n v="1000"/>
    <n v="5002858"/>
    <s v="FAVORITA TRANSPORTES LTDA"/>
    <n v="234.93"/>
    <d v="2025-06-10T00:00:00"/>
  </r>
  <r>
    <n v="253952548"/>
    <n v="64728953"/>
    <s v="REB"/>
    <n v="9878954"/>
    <n v="173"/>
    <s v="PEÇAS - Defeito de fabric./Alta Amperage"/>
    <s v="FUNCIONAL"/>
    <x v="1"/>
    <n v="85461"/>
    <x v="180"/>
    <s v="MG"/>
    <n v="641"/>
    <s v="CDP Diamante"/>
    <n v="1350"/>
    <s v="W11487407"/>
    <s v="Placas de Controle"/>
    <x v="1"/>
    <n v="1000"/>
    <n v="5004215"/>
    <s v="BRASIL WEB TRANSPORTES E LOGISTICA"/>
    <n v="234.9"/>
    <d v="2025-03-10T00:00:00"/>
  </r>
  <r>
    <n v="253988942"/>
    <n v="64764372"/>
    <s v="REB"/>
    <n v="10007288"/>
    <n v="173"/>
    <s v="PEÇAS - Defeito de fabric./Alta Amperage"/>
    <s v="FUNCIONAL"/>
    <x v="2"/>
    <n v="85461"/>
    <x v="180"/>
    <s v="MG"/>
    <n v="641"/>
    <s v="CDP Diamante"/>
    <n v="1350"/>
    <s v="W11487407"/>
    <s v="Placas de Controle"/>
    <x v="1"/>
    <n v="1000"/>
    <n v="5004215"/>
    <s v="BRASIL WEB TRANSPORTES E LOGISTICA"/>
    <n v="234.9"/>
    <d v="2025-05-05T00:00:00"/>
  </r>
  <r>
    <n v="253988943"/>
    <n v="64764414"/>
    <s v="REB"/>
    <n v="10007288"/>
    <n v="173"/>
    <s v="PEÇAS - Defeito de fabric./Alta Amperage"/>
    <s v="FUNCIONAL"/>
    <x v="2"/>
    <n v="85461"/>
    <x v="180"/>
    <s v="MG"/>
    <n v="641"/>
    <s v="CDP Diamante"/>
    <n v="1350"/>
    <s v="W11487407"/>
    <s v="Placas de Controle"/>
    <x v="1"/>
    <n v="1000"/>
    <n v="5004215"/>
    <s v="BRASIL WEB TRANSPORTES E LOGISTICA"/>
    <n v="234.9"/>
    <d v="2025-05-05T00:00:00"/>
  </r>
  <r>
    <n v="254042086"/>
    <n v="64793527"/>
    <s v="REB"/>
    <n v="9993596"/>
    <n v="173"/>
    <s v="PEÇAS - Defeito de fabric./Alta Amperage"/>
    <s v="FUNCIONAL"/>
    <x v="0"/>
    <n v="21330"/>
    <x v="80"/>
    <s v="PR"/>
    <n v="643"/>
    <s v="Elite"/>
    <n v="1350"/>
    <s v="W11300698"/>
    <s v="Mecanismos"/>
    <x v="2"/>
    <n v="1000"/>
    <n v="5003024"/>
    <s v="RODOBRAS TRANSPORTES RODOVIARIOS LT"/>
    <n v="234.9"/>
    <d v="2025-06-23T00:00:00"/>
  </r>
  <r>
    <n v="254012513"/>
    <n v="64781972"/>
    <s v="REB"/>
    <n v="9968504"/>
    <n v="104"/>
    <s v="PEÇAS-Código trocado(embalag X conteúdo)"/>
    <s v="LOGÍSTICA"/>
    <x v="2"/>
    <n v="32263"/>
    <x v="157"/>
    <s v="PA"/>
    <n v="641"/>
    <s v="CDP Diamante"/>
    <n v="1350"/>
    <s v="W10848255"/>
    <s v="Motores Ventiladores"/>
    <x v="1"/>
    <n v="4000"/>
    <n v="5002858"/>
    <s v="FAVORITA TRANSPORTES LTDA"/>
    <n v="234.78"/>
    <d v="2025-06-10T00:00:00"/>
  </r>
  <r>
    <n v="254035348"/>
    <n v="64812341"/>
    <s v="REB"/>
    <n v="9783220"/>
    <n v="173"/>
    <s v="PEÇAS - Defeito de fabric./Alta Amperage"/>
    <s v="FUNCIONAL"/>
    <x v="1"/>
    <n v="18949"/>
    <x v="264"/>
    <s v="SP"/>
    <n v="933"/>
    <s v="Top"/>
    <n v="1350"/>
    <s v="W11196470"/>
    <s v="Placas de Interface"/>
    <x v="1"/>
    <n v="1000"/>
    <n v="5004042"/>
    <s v="BRASIL WEB TRANSPORTES E LOGISTICA"/>
    <n v="234.66"/>
    <d v="2025-07-17T00:00:00"/>
  </r>
  <r>
    <s v="Sem TR"/>
    <n v="64812422"/>
    <s v="REB"/>
    <n v="10121875"/>
    <n v="167"/>
    <s v="PEÇAS - Avaria - Quebrada/Depósito"/>
    <s v="LOGÍSTICA"/>
    <x v="1"/>
    <n v="85599"/>
    <x v="124"/>
    <s v="SP"/>
    <n v="934"/>
    <s v="CDP Ouro"/>
    <n v="1350"/>
    <s v="W10830936"/>
    <s v="Prateleiras"/>
    <x v="9"/>
    <n v="3000"/>
    <n v="5004042"/>
    <s v="BRASIL WEB TRANSPORTES E LOGISTICA"/>
    <n v="234.58"/>
    <d v="2025-07-17T00:00:00"/>
  </r>
  <r>
    <n v="253775653"/>
    <n v="64557873"/>
    <s v="REB"/>
    <n v="9286954"/>
    <n v="173"/>
    <s v="PEÇAS - Defeito de fabric./Alta Amperage"/>
    <s v="FUNCIONAL"/>
    <x v="2"/>
    <n v="34365"/>
    <x v="339"/>
    <s v="CE"/>
    <n v="350"/>
    <s v="Ats On"/>
    <n v="1350"/>
    <s v="W11199202"/>
    <s v="Placas de Controle"/>
    <x v="1"/>
    <n v="1000"/>
    <n v="5004101"/>
    <s v="UNIDOCK'S ASSESSORIA E LOGISTICA DE"/>
    <n v="234.52"/>
    <d v="2024-06-06T00:00:00"/>
  </r>
  <r>
    <s v="Sem TR"/>
    <n v="64817989"/>
    <s v="REB"/>
    <n v="9823109"/>
    <n v="90"/>
    <s v="CLIENTE-não solicitou"/>
    <s v="COMERCIAL"/>
    <x v="1"/>
    <n v="3506"/>
    <x v="46"/>
    <s v="SP"/>
    <n v="931"/>
    <s v="Ats Off"/>
    <n v="1350"/>
    <s v="W11619403"/>
    <s v="Placas de Controle"/>
    <x v="1"/>
    <n v="1000"/>
    <n v="5004042"/>
    <s v="BRASIL WEB TRANSPORTES E LOGISTICA"/>
    <n v="234.23"/>
    <d v="2025-07-25T00:00:00"/>
  </r>
  <r>
    <n v="254018181"/>
    <n v="64793257"/>
    <s v="REB"/>
    <n v="9884528"/>
    <n v="176"/>
    <s v="PEÇAS - Defeito de fabric./Interrompido"/>
    <s v="FUNCIONAL"/>
    <x v="1"/>
    <n v="3506"/>
    <x v="46"/>
    <s v="SP"/>
    <n v="931"/>
    <s v="Ats Off"/>
    <n v="1350"/>
    <s v="W11045218"/>
    <s v="Placas de Controle"/>
    <x v="1"/>
    <n v="2000"/>
    <n v="5004042"/>
    <s v="BRASIL WEB TRANSPORTES E LOGISTICA"/>
    <n v="234.21"/>
    <d v="2025-06-17T00:00:00"/>
  </r>
  <r>
    <s v="Sem TR"/>
    <n v="64814787"/>
    <s v="ZRDI"/>
    <n v="10145588"/>
    <s v="D30"/>
    <s v="DEV D2C - Defeito funcional manufatura"/>
    <s v="MANUFATURA"/>
    <x v="2"/>
    <n v="50492886"/>
    <x v="550"/>
    <s v="SP"/>
    <n v="475"/>
    <s v="Site Consul"/>
    <n v="1352"/>
    <n v="326076877"/>
    <s v="Painéis de Controle"/>
    <x v="6"/>
    <n v="1000"/>
    <n v="5002359"/>
    <s v="EMPRESA BRASILEIRA DE CORREIOS E"/>
    <n v="234.15"/>
    <d v="2025-07-25T00:00:00"/>
  </r>
  <r>
    <s v="Sem TR"/>
    <n v="64814787"/>
    <s v="ZRDI"/>
    <n v="10145588"/>
    <s v="D30"/>
    <s v="DEV D2C - Defeito funcional manufatura"/>
    <s v="MANUFATURA"/>
    <x v="2"/>
    <n v="50492886"/>
    <x v="550"/>
    <s v="SP"/>
    <n v="475"/>
    <s v="Site Consul"/>
    <n v="1352"/>
    <n v="326076877"/>
    <s v="Painéis de Controle"/>
    <x v="6"/>
    <n v="1000"/>
    <n v="5002359"/>
    <s v="EMPRESA BRASILEIRA DE CORREIOS E"/>
    <n v="234.15"/>
    <d v="2025-07-25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1036296"/>
    <s v="Calhas/Canaletas"/>
    <x v="9"/>
    <n v="10000"/>
    <n v="5004101"/>
    <s v="UNIDOCK'S ASSESSORIA E LOGISTICA DE"/>
    <n v="234.09"/>
    <d v="2025-03-13T00:00:00"/>
  </r>
  <r>
    <n v="254003871"/>
    <n v="64778356"/>
    <s v="REB"/>
    <n v="10018455"/>
    <n v="173"/>
    <s v="PEÇAS - Defeito de fabric./Alta Amperage"/>
    <s v="FUNCIONAL"/>
    <x v="1"/>
    <n v="10164"/>
    <x v="183"/>
    <s v="PB"/>
    <n v="931"/>
    <s v="Ats Off"/>
    <n v="1350"/>
    <s v="W10619170"/>
    <s v="Placas de Controle"/>
    <x v="1"/>
    <n v="1000"/>
    <n v="5004101"/>
    <s v="UNIDOCK'S ASSESSORIA E LOGISTICA DE"/>
    <n v="234.05"/>
    <d v="2025-05-26T00:00:00"/>
  </r>
  <r>
    <n v="254042162"/>
    <n v="64792813"/>
    <s v="REB"/>
    <n v="9542128"/>
    <n v="176"/>
    <s v="PEÇAS - Defeito de fabric./Interrompido"/>
    <s v="FUNCIONAL"/>
    <x v="0"/>
    <n v="78757"/>
    <x v="50"/>
    <s v="RS"/>
    <n v="643"/>
    <s v="Elite"/>
    <n v="1350"/>
    <s v="W11366400"/>
    <s v="Placas de Controle"/>
    <x v="1"/>
    <n v="1000"/>
    <n v="5003024"/>
    <s v="RODOBRAS TRANSPORTES RODOVIARIOS LT"/>
    <n v="233.9"/>
    <d v="2025-06-23T00:00:00"/>
  </r>
  <r>
    <n v="254004042"/>
    <n v="64758783"/>
    <s v="REB"/>
    <n v="9965499"/>
    <n v="173"/>
    <s v="PEÇAS - Defeito de fabric./Alta Amperage"/>
    <s v="FUNCIONAL"/>
    <x v="1"/>
    <n v="67948"/>
    <x v="15"/>
    <s v="SC"/>
    <n v="713"/>
    <s v="Key Account"/>
    <n v="1350"/>
    <s v="W11300698"/>
    <s v="Mecanismos"/>
    <x v="2"/>
    <n v="1000"/>
    <n v="5003024"/>
    <s v="RODOBRAS TRANSPORTES RODOVIARIOS LT"/>
    <n v="233.54"/>
    <d v="2025-05-26T00:00:00"/>
  </r>
  <r>
    <n v="254012592"/>
    <n v="64786052"/>
    <s v="REB"/>
    <n v="9965499"/>
    <n v="173"/>
    <s v="PEÇAS - Defeito de fabric./Alta Amperage"/>
    <s v="FUNCIONAL"/>
    <x v="1"/>
    <n v="67948"/>
    <x v="15"/>
    <s v="SC"/>
    <n v="713"/>
    <s v="Key Account"/>
    <n v="1350"/>
    <s v="W11300698"/>
    <s v="Mecanismos"/>
    <x v="2"/>
    <n v="1000"/>
    <n v="5003024"/>
    <s v="RODOBRAS TRANSPORTES RODOVIARIOS LT"/>
    <n v="233.54"/>
    <d v="2025-06-10T00:00:00"/>
  </r>
  <r>
    <n v="253970698"/>
    <n v="64748838"/>
    <s v="REB"/>
    <n v="9975013"/>
    <n v="176"/>
    <s v="PEÇAS - Defeito de fabric./Interrompido"/>
    <s v="FUNCIONAL"/>
    <x v="2"/>
    <n v="3506"/>
    <x v="46"/>
    <s v="SP"/>
    <n v="931"/>
    <s v="Ats Off"/>
    <n v="1350"/>
    <s v="W11745350"/>
    <s v="Outros"/>
    <x v="7"/>
    <n v="1000"/>
    <n v="5004042"/>
    <s v="BRASIL WEB TRANSPORTES E LOGISTICA"/>
    <n v="233.29"/>
    <d v="2025-04-09T00:00:00"/>
  </r>
  <r>
    <n v="253988783"/>
    <n v="64763824"/>
    <s v="REB"/>
    <n v="9973050"/>
    <n v="176"/>
    <s v="PEÇAS - Defeito de fabric./Interrompido"/>
    <s v="FUNCIONAL"/>
    <x v="2"/>
    <n v="3506"/>
    <x v="46"/>
    <s v="SP"/>
    <n v="931"/>
    <s v="Ats Off"/>
    <n v="1350"/>
    <s v="W11745350"/>
    <s v="Outros"/>
    <x v="7"/>
    <n v="1000"/>
    <n v="5004042"/>
    <s v="BRASIL WEB TRANSPORTES E LOGISTICA"/>
    <n v="233.29"/>
    <d v="2025-05-05T00:00:00"/>
  </r>
  <r>
    <n v="253997977"/>
    <n v="64773173"/>
    <s v="REB"/>
    <n v="9894539"/>
    <n v="173"/>
    <s v="PEÇAS - Defeito de fabric./Alta Amperage"/>
    <s v="FUNCIONAL"/>
    <x v="2"/>
    <n v="49243"/>
    <x v="67"/>
    <s v="MS"/>
    <n v="643"/>
    <s v="Elite"/>
    <n v="1350"/>
    <s v="W11482941"/>
    <s v="Placas de Controle"/>
    <x v="1"/>
    <n v="1000"/>
    <n v="5002573"/>
    <s v="CARVALIMA TRANSPORTES LTDA"/>
    <n v="232.99"/>
    <d v="2025-05-20T00:00:00"/>
  </r>
  <r>
    <n v="254038387"/>
    <n v="64803152"/>
    <s v="REB"/>
    <n v="10090172"/>
    <n v="173"/>
    <s v="PEÇAS - Defeito de fabric./Alta Amperage"/>
    <s v="FUNCIONAL"/>
    <x v="1"/>
    <n v="67948"/>
    <x v="15"/>
    <s v="SC"/>
    <n v="713"/>
    <s v="Key Account"/>
    <n v="1350"/>
    <s v="W11300816"/>
    <s v="Mecanismos"/>
    <x v="2"/>
    <n v="2000"/>
    <n v="5003024"/>
    <s v="RODOBRAS TRANSPORTES RODOVIARIOS LT"/>
    <n v="232.9"/>
    <d v="2025-07-22T00:00:00"/>
  </r>
  <r>
    <n v="253915623"/>
    <n v="64687602"/>
    <s v="REB"/>
    <n v="9689965"/>
    <n v="173"/>
    <s v="PEÇAS - Defeito de fabric./Alta Amperage"/>
    <s v="FUNCIONAL"/>
    <x v="1"/>
    <n v="67948"/>
    <x v="15"/>
    <s v="SC"/>
    <n v="713"/>
    <s v="Key Account"/>
    <n v="1350"/>
    <s v="W11121357"/>
    <s v="Placas de Controle"/>
    <x v="1"/>
    <n v="1000"/>
    <n v="5003024"/>
    <s v="RODOBRAS TRANSPORTES RODOVIARIOS LT"/>
    <n v="232.87"/>
    <d v="2025-01-09T00:00:00"/>
  </r>
  <r>
    <n v="253981510"/>
    <n v="64757177"/>
    <s v="REB"/>
    <n v="9729496"/>
    <n v="173"/>
    <s v="PEÇAS - Defeito de fabric./Alta Amperage"/>
    <s v="FUNCIONAL"/>
    <x v="1"/>
    <n v="42048"/>
    <x v="11"/>
    <s v="MT"/>
    <n v="644"/>
    <s v="Plus"/>
    <n v="1350"/>
    <s v="W11387505"/>
    <s v="Placas de Controle"/>
    <x v="1"/>
    <n v="1000"/>
    <n v="5002573"/>
    <s v="CARVALIMA TRANSPORTES LTDA"/>
    <n v="232.81"/>
    <d v="2025-04-25T00:00:00"/>
  </r>
  <r>
    <n v="254019190"/>
    <n v="64796800"/>
    <s v="ROB"/>
    <n v="10052875"/>
    <n v="268"/>
    <s v="DEV-APREENSÃO FISCAL - VENDAS"/>
    <s v="COMERCIAL"/>
    <x v="0"/>
    <n v="87213"/>
    <x v="201"/>
    <s v="CE"/>
    <n v="932"/>
    <s v="CDP Prata"/>
    <n v="1350"/>
    <s v="W10168510"/>
    <s v="Motores Ventiladores"/>
    <x v="1"/>
    <n v="5000"/>
    <n v="5004101"/>
    <s v="UNIDOCK'S ASSESSORIA E LOGISTICA DE"/>
    <n v="232.76"/>
    <d v="2025-06-24T00:00:00"/>
  </r>
  <r>
    <s v="Sem TR"/>
    <n v="64768134"/>
    <s v="ROB"/>
    <n v="9996641"/>
    <n v="25"/>
    <s v="OC. 80 - EXTRAVIO TOTAL"/>
    <s v="TRANSPORTADORA"/>
    <x v="0"/>
    <n v="27114"/>
    <x v="551"/>
    <s v="MG"/>
    <n v="350"/>
    <s v="Ats On"/>
    <n v="1350"/>
    <s v="W11687045"/>
    <s v="Tanques"/>
    <x v="9"/>
    <n v="1000"/>
    <n v="5004101"/>
    <s v="UNIDOCK'S ASSESSORIA E LOGISTICA DE"/>
    <n v="232.48"/>
    <d v="2025-05-12T00:00:00"/>
  </r>
  <r>
    <n v="253989820"/>
    <n v="64765965"/>
    <s v="REB"/>
    <n v="9991386"/>
    <n v="90"/>
    <s v="CLIENTE-não solicitou"/>
    <s v="COMERCIAL"/>
    <x v="1"/>
    <n v="32856"/>
    <x v="60"/>
    <s v="PR"/>
    <n v="713"/>
    <s v="Key Account"/>
    <n v="1350"/>
    <s v="W11300698"/>
    <s v="Mecanismos"/>
    <x v="2"/>
    <n v="1000"/>
    <n v="5003024"/>
    <s v="RODOBRAS TRANSPORTES RODOVIARIOS LT"/>
    <n v="232.37"/>
    <d v="2025-05-07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619463"/>
    <s v="Pressostatos"/>
    <x v="3"/>
    <n v="6000"/>
    <n v="5004101"/>
    <s v="UNIDOCK'S ASSESSORIA E LOGISTICA DE"/>
    <n v="232.25"/>
    <d v="2025-06-24T00:00:00"/>
  </r>
  <r>
    <n v="254024157"/>
    <n v="64803859"/>
    <s v="ZRDI"/>
    <n v="10099755"/>
    <n v="208"/>
    <s v="DEV-Atraso entrega- LOGISTICA(Transp)"/>
    <s v="TRANSPORTADORA"/>
    <x v="2"/>
    <n v="58108594"/>
    <x v="552"/>
    <s v="MG"/>
    <n v="475"/>
    <s v="Site Consul"/>
    <n v="1352"/>
    <s v="W11601003"/>
    <s v="Filtros"/>
    <x v="5"/>
    <n v="2000"/>
    <n v="5002359"/>
    <s v="EMPRESA BRASILEIRA DE CORREIOS E"/>
    <n v="232.16"/>
    <d v="2025-07-01T00:00:00"/>
  </r>
  <r>
    <n v="254024157"/>
    <n v="64803859"/>
    <s v="ZRDI"/>
    <n v="10099755"/>
    <n v="208"/>
    <s v="DEV-Atraso entrega- LOGISTICA(Transp)"/>
    <s v="TRANSPORTADORA"/>
    <x v="2"/>
    <n v="58108594"/>
    <x v="552"/>
    <s v="MG"/>
    <n v="475"/>
    <s v="Site Consul"/>
    <n v="1352"/>
    <s v="W11601003"/>
    <s v="Filtros"/>
    <x v="5"/>
    <n v="2000"/>
    <n v="5002359"/>
    <s v="EMPRESA BRASILEIRA DE CORREIOS E"/>
    <n v="232.16"/>
    <d v="2025-07-01T00:00:00"/>
  </r>
  <r>
    <s v="Sem TR"/>
    <n v="64819594"/>
    <s v="ZRDI"/>
    <n v="10143990"/>
    <s v="D18"/>
    <s v="DEV D2C - Arrependimento não quero mais"/>
    <s v="COMERCIAL"/>
    <x v="1"/>
    <n v="55051056"/>
    <x v="553"/>
    <s v="RJ"/>
    <n v="474"/>
    <s v="Site Brastemp"/>
    <n v="1352"/>
    <s v="W10866791"/>
    <s v="Kits Instalação"/>
    <x v="7"/>
    <n v="2000"/>
    <n v="5002359"/>
    <s v="EMPRESA BRASILEIRA DE CORREIOS E"/>
    <n v="231.66"/>
    <d v="2025-07-29T00:00:00"/>
  </r>
  <r>
    <n v="253913089"/>
    <n v="64684915"/>
    <s v="REB"/>
    <n v="9625804"/>
    <n v="176"/>
    <s v="PEÇAS - Defeito de fabric./Interrompido"/>
    <s v="FUNCIONAL"/>
    <x v="1"/>
    <n v="24289"/>
    <x v="17"/>
    <s v="MG"/>
    <n v="643"/>
    <s v="Elite"/>
    <n v="1350"/>
    <s v="W10591460"/>
    <s v="Placas de Controle"/>
    <x v="1"/>
    <n v="1000"/>
    <n v="5004215"/>
    <s v="BRASIL WEB TRANSPORTES E LOGISTICA"/>
    <n v="231.61"/>
    <d v="2025-01-06T00:00:00"/>
  </r>
  <r>
    <n v="253988926"/>
    <n v="64763917"/>
    <s v="REB"/>
    <n v="9545816"/>
    <n v="177"/>
    <s v="PEÇAS - Defeito de fabric./Ruído"/>
    <s v="FUNCIONAL"/>
    <x v="2"/>
    <n v="80432"/>
    <x v="3"/>
    <s v="ES"/>
    <n v="713"/>
    <s v="Key Account"/>
    <n v="1350"/>
    <s v="W10711360"/>
    <s v="Placas de Interface"/>
    <x v="1"/>
    <n v="1000"/>
    <n v="5004042"/>
    <s v="BRASIL WEB TRANSPORTES E LOGISTICA"/>
    <n v="231.6"/>
    <d v="2025-05-05T00:00:00"/>
  </r>
  <r>
    <n v="254024129"/>
    <n v="64803706"/>
    <s v="ZRDI"/>
    <n v="10054138"/>
    <n v="208"/>
    <s v="DEV-Atraso entrega- LOGISTICA(Transp)"/>
    <s v="TRANSPORTADORA"/>
    <x v="2"/>
    <n v="5590387"/>
    <x v="554"/>
    <s v="DF"/>
    <n v="474"/>
    <s v="Site Brastemp"/>
    <n v="1352"/>
    <s v="W10866790"/>
    <s v="Kits Instalação"/>
    <x v="7"/>
    <n v="1000"/>
    <n v="5002359"/>
    <s v="EMPRESA BRASILEIRA DE CORREIOS E"/>
    <n v="231.58"/>
    <d v="2025-07-01T00:00:00"/>
  </r>
  <r>
    <n v="253988783"/>
    <n v="64762146"/>
    <s v="REB"/>
    <n v="9984554"/>
    <n v="176"/>
    <s v="PEÇAS - Defeito de fabric./Interrompido"/>
    <s v="FUNCIONAL"/>
    <x v="2"/>
    <n v="3506"/>
    <x v="46"/>
    <s v="SP"/>
    <n v="931"/>
    <s v="Ats Off"/>
    <n v="1350"/>
    <s v="W10290347"/>
    <s v="Motores"/>
    <x v="1"/>
    <n v="1000"/>
    <n v="5004042"/>
    <s v="BRASIL WEB TRANSPORTES E LOGISTICA"/>
    <n v="231.57"/>
    <d v="2025-05-05T00:00:00"/>
  </r>
  <r>
    <n v="254035317"/>
    <n v="64811806"/>
    <s v="REB"/>
    <n v="10029459"/>
    <n v="176"/>
    <s v="PEÇAS - Defeito de fabric./Interrompido"/>
    <s v="FUNCIONAL"/>
    <x v="2"/>
    <n v="66"/>
    <x v="73"/>
    <s v="GO"/>
    <n v="931"/>
    <s v="Ats Off"/>
    <n v="1350"/>
    <s v="W10160035"/>
    <s v="Magnetrons"/>
    <x v="1"/>
    <n v="1000"/>
    <n v="5002858"/>
    <s v="FAVORITA TRANSPORTES LTDA"/>
    <n v="231.4"/>
    <d v="2025-07-17T00:00:00"/>
  </r>
  <r>
    <n v="253995065"/>
    <n v="64772551"/>
    <s v="REB"/>
    <n v="10027639"/>
    <n v="176"/>
    <s v="PEÇAS - Defeito de fabric./Interrompido"/>
    <s v="FUNCIONAL"/>
    <x v="2"/>
    <n v="3506"/>
    <x v="46"/>
    <s v="SP"/>
    <n v="931"/>
    <s v="Ats Off"/>
    <n v="1350"/>
    <s v="W11564151"/>
    <s v="Evaporadores"/>
    <x v="0"/>
    <n v="1000"/>
    <n v="5004042"/>
    <s v="BRASIL WEB TRANSPORTES E LOGISTICA"/>
    <n v="230.85"/>
    <d v="2025-05-16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326047714"/>
    <s v="Prateleiras"/>
    <x v="9"/>
    <n v="6000"/>
    <n v="5002858"/>
    <s v="FAVORITA TRANSPORTES LTDA"/>
    <n v="230.8"/>
    <d v="2025-07-15T00:00:00"/>
  </r>
  <r>
    <n v="253957961"/>
    <n v="64736068"/>
    <s v="REB"/>
    <n v="9861291"/>
    <n v="240"/>
    <s v="DEV-Avaria - 2 trecho transp - Produto"/>
    <s v="QUALIDADE"/>
    <x v="1"/>
    <n v="4585"/>
    <x v="555"/>
    <s v="SC"/>
    <n v="350"/>
    <s v="Ats On"/>
    <n v="1350"/>
    <s v="W11121357"/>
    <s v="Placas de Controle"/>
    <x v="1"/>
    <n v="1000"/>
    <n v="5003024"/>
    <s v="RODOBRAS TRANSPORTES RODOVIARIOS LT"/>
    <n v="230.6"/>
    <d v="2025-03-21T00:00:00"/>
  </r>
  <r>
    <n v="253944076"/>
    <n v="64709786"/>
    <s v="REB"/>
    <n v="9850346"/>
    <n v="104"/>
    <s v="PEÇAS-Código trocado(embalag X conteúdo)"/>
    <s v="LOGÍSTICA"/>
    <x v="2"/>
    <n v="81541"/>
    <x v="556"/>
    <s v="GO"/>
    <n v="932"/>
    <s v="CDP Prata"/>
    <n v="1350"/>
    <s v="W11228553"/>
    <s v="Placas de Interface"/>
    <x v="1"/>
    <n v="1000"/>
    <n v="5002858"/>
    <s v="FAVORITA TRANSPORTES LTDA"/>
    <n v="230.48"/>
    <d v="2025-02-11T00:00:00"/>
  </r>
  <r>
    <n v="253988935"/>
    <n v="64762307"/>
    <s v="REB"/>
    <n v="9420807"/>
    <n v="173"/>
    <s v="PEÇAS - Defeito de fabric./Alta Amperage"/>
    <s v="FUNCIONAL"/>
    <x v="1"/>
    <n v="81093"/>
    <x v="53"/>
    <s v="ES"/>
    <n v="713"/>
    <s v="Key Account"/>
    <n v="1350"/>
    <s v="W11199202"/>
    <s v="Placas de Controle"/>
    <x v="1"/>
    <n v="1000"/>
    <n v="5004042"/>
    <s v="BRASIL WEB TRANSPORTES E LOGISTICA"/>
    <n v="230.36"/>
    <d v="2025-05-05T00:00:00"/>
  </r>
  <r>
    <n v="254035364"/>
    <n v="64812267"/>
    <s v="REB"/>
    <n v="10041892"/>
    <n v="173"/>
    <s v="PEÇAS - Defeito de fabric./Alta Amperage"/>
    <s v="FUNCIONAL"/>
    <x v="1"/>
    <n v="27825"/>
    <x v="116"/>
    <s v="SP"/>
    <n v="641"/>
    <s v="CDP Diamante"/>
    <n v="1350"/>
    <s v="W11299803"/>
    <s v="Mecanismos"/>
    <x v="2"/>
    <n v="2000"/>
    <n v="5004042"/>
    <s v="BRASIL WEB TRANSPORTES E LOGISTICA"/>
    <n v="230.26"/>
    <d v="2025-07-17T00:00:00"/>
  </r>
  <r>
    <n v="254024641"/>
    <n v="64804742"/>
    <s v="ZRDI"/>
    <n v="10093675"/>
    <n v="208"/>
    <s v="DEV-Atraso entrega- LOGISTICA(Transp)"/>
    <s v="TRANSPORTADORA"/>
    <x v="2"/>
    <n v="5706128"/>
    <x v="557"/>
    <s v="RN"/>
    <n v="474"/>
    <s v="Site Brastemp"/>
    <n v="1352"/>
    <s v="W10866791"/>
    <s v="Kits Instalação"/>
    <x v="7"/>
    <n v="2000"/>
    <n v="5002359"/>
    <s v="EMPRESA BRASILEIRA DE CORREIOS E"/>
    <n v="230.02"/>
    <d v="2025-07-02T00:00:00"/>
  </r>
  <r>
    <n v="254018174"/>
    <n v="64783388"/>
    <s v="REB"/>
    <n v="10001077"/>
    <n v="177"/>
    <s v="PEÇAS - Defeito de fabric./Ruído"/>
    <s v="FUNCIONAL"/>
    <x v="1"/>
    <n v="3467"/>
    <x v="115"/>
    <s v="SP"/>
    <n v="931"/>
    <s v="Ats Off"/>
    <n v="1350"/>
    <s v="W10882241"/>
    <s v="Agitadores"/>
    <x v="2"/>
    <n v="4000"/>
    <n v="5004042"/>
    <s v="BRASIL WEB TRANSPORTES E LOGISTICA"/>
    <n v="229.97"/>
    <d v="2025-06-17T00:00:00"/>
  </r>
  <r>
    <n v="254024148"/>
    <n v="64803810"/>
    <s v="ZRDI"/>
    <n v="10086615"/>
    <n v="208"/>
    <s v="DEV-Atraso entrega- LOGISTICA(Transp)"/>
    <s v="TRANSPORTADORA"/>
    <x v="2"/>
    <n v="51024249"/>
    <x v="558"/>
    <s v="MG"/>
    <n v="488"/>
    <s v="Carteira A"/>
    <n v="1352"/>
    <s v="W10866791"/>
    <s v="Kits Instalação"/>
    <x v="7"/>
    <n v="1000"/>
    <n v="5002359"/>
    <s v="EMPRESA BRASILEIRA DE CORREIOS E"/>
    <n v="229.96"/>
    <d v="2025-07-01T00:00:00"/>
  </r>
  <r>
    <n v="254036639"/>
    <n v="64814535"/>
    <s v="ZRDI"/>
    <n v="10084271"/>
    <n v="208"/>
    <s v="DEV-Atraso entrega- LOGISTICA(Transp)"/>
    <s v="TRANSPORTADORA"/>
    <x v="2"/>
    <n v="58085990"/>
    <x v="559"/>
    <s v="SC"/>
    <n v="474"/>
    <s v="Site Brastemp"/>
    <n v="1352"/>
    <s v="W10866791"/>
    <s v="Kits Instalação"/>
    <x v="7"/>
    <n v="1000"/>
    <n v="5002359"/>
    <s v="EMPRESA BRASILEIRA DE CORREIOS E"/>
    <n v="229.96"/>
    <d v="2025-07-22T00:00:00"/>
  </r>
  <r>
    <n v="254031305"/>
    <n v="64800342"/>
    <s v="ZRDI"/>
    <n v="10093709"/>
    <s v="D25"/>
    <s v="DEV D2C - Prob na entrega (Não recebi)"/>
    <s v="TRANSPORTADORA"/>
    <x v="2"/>
    <n v="51242263"/>
    <x v="560"/>
    <s v="CE"/>
    <n v="474"/>
    <s v="Site Brastemp"/>
    <n v="1352"/>
    <s v="W10866791"/>
    <s v="Kits Instalação"/>
    <x v="7"/>
    <n v="2000"/>
    <n v="5002359"/>
    <s v="EMPRESA BRASILEIRA DE CORREIOS E"/>
    <n v="229.9"/>
    <d v="2025-07-15T00:00:00"/>
  </r>
  <r>
    <n v="254024631"/>
    <n v="64804726"/>
    <s v="ZRDI"/>
    <n v="10084288"/>
    <n v="208"/>
    <s v="DEV-Atraso entrega- LOGISTICA(Transp)"/>
    <s v="TRANSPORTADORA"/>
    <x v="2"/>
    <n v="56278000"/>
    <x v="561"/>
    <s v="SP"/>
    <n v="474"/>
    <s v="Site Brastemp"/>
    <n v="1352"/>
    <s v="W10866790"/>
    <s v="Kits Instalação"/>
    <x v="7"/>
    <n v="1000"/>
    <n v="5002359"/>
    <s v="EMPRESA BRASILEIRA DE CORREIOS E"/>
    <n v="229.89"/>
    <d v="2025-07-02T00:00:00"/>
  </r>
  <r>
    <s v="Sem TR"/>
    <n v="64808759"/>
    <s v="ZRDI"/>
    <n v="10081904"/>
    <n v="208"/>
    <s v="DEV-Atraso entrega- LOGISTICA(Transp)"/>
    <s v="TRANSPORTADORA"/>
    <x v="2"/>
    <n v="4588103"/>
    <x v="562"/>
    <s v="SP"/>
    <n v="474"/>
    <s v="Site Brastemp"/>
    <n v="1352"/>
    <s v="W10866790"/>
    <s v="Kits Instalação"/>
    <x v="7"/>
    <n v="1000"/>
    <n v="5002359"/>
    <s v="EMPRESA BRASILEIRA DE CORREIOS E"/>
    <n v="229.89"/>
    <d v="2025-07-10T00:00:00"/>
  </r>
  <r>
    <s v="Sem TR"/>
    <n v="64813793"/>
    <s v="ZRDI"/>
    <n v="10037845"/>
    <s v="D10"/>
    <s v="DEV D2C - Comprou modelo errado"/>
    <s v="COMERCIAL"/>
    <x v="2"/>
    <n v="54276877"/>
    <x v="563"/>
    <s v="SP"/>
    <n v="474"/>
    <s v="Site Brastemp"/>
    <n v="1352"/>
    <s v="W10866790"/>
    <s v="Kits Instalação"/>
    <x v="7"/>
    <n v="1000"/>
    <n v="5002359"/>
    <s v="EMPRESA BRASILEIRA DE CORREIOS E"/>
    <n v="229.89"/>
    <d v="2025-07-25T00:00:00"/>
  </r>
  <r>
    <s v="Sem TR"/>
    <n v="64813793"/>
    <s v="ZRDI"/>
    <n v="10037845"/>
    <s v="D10"/>
    <s v="DEV D2C - Comprou modelo errado"/>
    <s v="COMERCIAL"/>
    <x v="2"/>
    <n v="54276877"/>
    <x v="563"/>
    <s v="SP"/>
    <n v="474"/>
    <s v="Site Brastemp"/>
    <n v="1352"/>
    <s v="W10866790"/>
    <s v="Kits Instalação"/>
    <x v="7"/>
    <n v="1000"/>
    <n v="5002359"/>
    <s v="EMPRESA BRASILEIRA DE CORREIOS E"/>
    <n v="229.89"/>
    <d v="2025-07-25T00:00:00"/>
  </r>
  <r>
    <n v="254003943"/>
    <n v="64777899"/>
    <s v="REB"/>
    <n v="8742206"/>
    <n v="173"/>
    <s v="PEÇAS - Defeito de fabric./Alta Amperage"/>
    <s v="FUNCIONAL"/>
    <x v="2"/>
    <n v="30416"/>
    <x v="136"/>
    <s v="AM"/>
    <n v="648"/>
    <s v="Ultra"/>
    <n v="1350"/>
    <s v="W10827972"/>
    <s v="Placas de Controle"/>
    <x v="1"/>
    <n v="1000"/>
    <n v="5002858"/>
    <s v="FAVORITA TRANSPORTES LTDA"/>
    <n v="229.88"/>
    <d v="2025-05-26T00:00:00"/>
  </r>
  <r>
    <n v="254033995"/>
    <n v="64812589"/>
    <s v="ZRDI"/>
    <n v="10122069"/>
    <n v="208"/>
    <s v="DEV-Atraso entrega- LOGISTICA(Transp)"/>
    <s v="TRANSPORTADORA"/>
    <x v="2"/>
    <n v="53143581"/>
    <x v="564"/>
    <s v="BA"/>
    <n v="474"/>
    <s v="Site Brastemp"/>
    <n v="1352"/>
    <s v="W10866791"/>
    <s v="Kits Instalação"/>
    <x v="7"/>
    <n v="2000"/>
    <n v="5002359"/>
    <s v="EMPRESA BRASILEIRA DE CORREIOS E"/>
    <n v="229.88"/>
    <d v="2025-07-17T00:00:00"/>
  </r>
  <r>
    <s v="Sem TR"/>
    <n v="64813158"/>
    <s v="ZRDI"/>
    <n v="10144862"/>
    <s v="D15"/>
    <s v="DEV D2C - Arrependimento modelo comprado"/>
    <s v="COMERCIAL"/>
    <x v="2"/>
    <n v="51828269"/>
    <x v="565"/>
    <s v="PE"/>
    <n v="474"/>
    <s v="Site Brastemp"/>
    <n v="1352"/>
    <s v="W10866791"/>
    <s v="Kits Instalação"/>
    <x v="7"/>
    <n v="2000"/>
    <n v="5002359"/>
    <s v="EMPRESA BRASILEIRA DE CORREIOS E"/>
    <n v="229.88"/>
    <d v="2025-07-24T00:00:00"/>
  </r>
  <r>
    <n v="254033995"/>
    <n v="64812589"/>
    <s v="ZRDI"/>
    <n v="10122069"/>
    <n v="208"/>
    <s v="DEV-Atraso entrega- LOGISTICA(Transp)"/>
    <s v="TRANSPORTADORA"/>
    <x v="2"/>
    <n v="53143581"/>
    <x v="564"/>
    <s v="BA"/>
    <n v="474"/>
    <s v="Site Brastemp"/>
    <n v="1352"/>
    <s v="W10866791"/>
    <s v="Kits Instalação"/>
    <x v="7"/>
    <n v="2000"/>
    <n v="5002359"/>
    <s v="EMPRESA BRASILEIRA DE CORREIOS E"/>
    <n v="229.88"/>
    <d v="2025-07-17T00:00:00"/>
  </r>
  <r>
    <s v="Sem TR"/>
    <n v="64813158"/>
    <s v="ZRDI"/>
    <n v="10144862"/>
    <s v="D15"/>
    <s v="DEV D2C - Arrependimento modelo comprado"/>
    <s v="COMERCIAL"/>
    <x v="2"/>
    <n v="51828269"/>
    <x v="565"/>
    <s v="PE"/>
    <n v="474"/>
    <s v="Site Brastemp"/>
    <n v="1352"/>
    <s v="W10866791"/>
    <s v="Kits Instalação"/>
    <x v="7"/>
    <n v="2000"/>
    <n v="5002359"/>
    <s v="EMPRESA BRASILEIRA DE CORREIOS E"/>
    <n v="229.88"/>
    <d v="2025-07-24T00:00:00"/>
  </r>
  <r>
    <n v="253988941"/>
    <n v="64763847"/>
    <s v="REB"/>
    <n v="10011003"/>
    <n v="176"/>
    <s v="PEÇAS - Defeito de fabric./Interrompido"/>
    <s v="FUNCIONAL"/>
    <x v="1"/>
    <n v="83572"/>
    <x v="105"/>
    <s v="SP"/>
    <n v="931"/>
    <s v="Ats Off"/>
    <n v="1350"/>
    <s v="W10586927"/>
    <s v="Placas de Controle"/>
    <x v="1"/>
    <n v="1000"/>
    <n v="5004042"/>
    <s v="BRASIL WEB TRANSPORTES E LOGISTICA"/>
    <n v="229.82"/>
    <d v="2025-05-05T00:00:00"/>
  </r>
  <r>
    <s v="Sem TR"/>
    <n v="64690939"/>
    <s v="REB"/>
    <n v="9764439"/>
    <n v="671"/>
    <s v="DEV-ENVIADO PARA GESTÃO DE CONSEQUENCIA"/>
    <s v="TRANSPORTADORA"/>
    <x v="1"/>
    <n v="28181"/>
    <x v="566"/>
    <s v="GO"/>
    <n v="643"/>
    <s v="Elite"/>
    <n v="1350"/>
    <n v="326062041"/>
    <s v="Recipientes de Evaporação"/>
    <x v="9"/>
    <n v="20000"/>
    <n v="5002858"/>
    <s v="FAVORITA TRANSPORTES LTDA"/>
    <n v="229.82"/>
    <d v="2025-01-14T00:00:00"/>
  </r>
  <r>
    <n v="253988936"/>
    <n v="64763683"/>
    <s v="REB"/>
    <n v="9863747"/>
    <n v="173"/>
    <s v="PEÇAS - Defeito de fabric./Alta Amperage"/>
    <s v="FUNCIONAL"/>
    <x v="1"/>
    <n v="81093"/>
    <x v="53"/>
    <s v="ES"/>
    <n v="713"/>
    <s v="Key Account"/>
    <n v="1350"/>
    <s v="W11435392"/>
    <s v="Placas de Controle"/>
    <x v="1"/>
    <n v="1000"/>
    <n v="5004042"/>
    <s v="BRASIL WEB TRANSPORTES E LOGISTICA"/>
    <n v="229.79"/>
    <d v="2025-05-05T00:00:00"/>
  </r>
  <r>
    <s v="Sem TR"/>
    <n v="64806233"/>
    <s v="ZRDI"/>
    <n v="10105860"/>
    <s v="D30"/>
    <s v="DEV D2C - Defeito funcional manufatura"/>
    <s v="MANUFATURA"/>
    <x v="2"/>
    <n v="51622244"/>
    <x v="567"/>
    <s v="MG"/>
    <n v="474"/>
    <s v="Site Brastemp"/>
    <n v="1352"/>
    <s v="W10866791"/>
    <s v="Kits Instalação"/>
    <x v="7"/>
    <n v="2000"/>
    <n v="5002359"/>
    <s v="EMPRESA BRASILEIRA DE CORREIOS E"/>
    <n v="229.78"/>
    <d v="2025-07-12T00:00:00"/>
  </r>
  <r>
    <n v="254033988"/>
    <n v="64812558"/>
    <s v="ZRDI"/>
    <n v="10119302"/>
    <n v="208"/>
    <s v="DEV-Atraso entrega- LOGISTICA(Transp)"/>
    <s v="TRANSPORTADORA"/>
    <x v="2"/>
    <n v="51687257"/>
    <x v="568"/>
    <s v="MG"/>
    <n v="474"/>
    <s v="Site Brastemp"/>
    <n v="1352"/>
    <s v="W10866791"/>
    <s v="Kits Instalação"/>
    <x v="7"/>
    <n v="2000"/>
    <n v="5002359"/>
    <s v="EMPRESA BRASILEIRA DE CORREIOS E"/>
    <n v="229.78"/>
    <d v="2025-07-17T00:00:00"/>
  </r>
  <r>
    <n v="254033390"/>
    <n v="64807314"/>
    <s v="REB"/>
    <n v="10057505"/>
    <n v="90"/>
    <s v="CLIENTE-não solicitou"/>
    <s v="COMERCIAL"/>
    <x v="1"/>
    <n v="33574"/>
    <x v="288"/>
    <s v="PE"/>
    <n v="350"/>
    <s v="Ats On"/>
    <n v="1350"/>
    <n v="326059371"/>
    <s v="Placas de Controle"/>
    <x v="1"/>
    <n v="1000"/>
    <n v="5004101"/>
    <s v="UNIDOCK'S ASSESSORIA E LOGISTICA DE"/>
    <n v="229.75"/>
    <d v="2025-07-08T00:00:00"/>
  </r>
  <r>
    <s v="Sem TR"/>
    <n v="64811499"/>
    <s v="ZRDI"/>
    <n v="10103333"/>
    <n v="208"/>
    <s v="DEV-Atraso entrega- LOGISTICA(Transp)"/>
    <s v="TRANSPORTADORA"/>
    <x v="2"/>
    <n v="52221358"/>
    <x v="569"/>
    <s v="GO"/>
    <n v="474"/>
    <s v="Site Brastemp"/>
    <n v="1352"/>
    <s v="W10866791"/>
    <s v="Kits Instalação"/>
    <x v="7"/>
    <n v="2000"/>
    <n v="5002359"/>
    <s v="EMPRESA BRASILEIRA DE CORREIOS E"/>
    <n v="229.74"/>
    <d v="2025-07-16T00:00:00"/>
  </r>
  <r>
    <s v="Sem TR"/>
    <n v="64811499"/>
    <s v="ZRDI"/>
    <n v="10103333"/>
    <n v="208"/>
    <s v="DEV-Atraso entrega- LOGISTICA(Transp)"/>
    <s v="TRANSPORTADORA"/>
    <x v="2"/>
    <n v="52221358"/>
    <x v="569"/>
    <s v="GO"/>
    <n v="474"/>
    <s v="Site Brastemp"/>
    <n v="1352"/>
    <s v="W10866791"/>
    <s v="Kits Instalação"/>
    <x v="7"/>
    <n v="2000"/>
    <n v="5002359"/>
    <s v="EMPRESA BRASILEIRA DE CORREIOS E"/>
    <n v="229.74"/>
    <d v="2025-07-16T00:00:00"/>
  </r>
  <r>
    <s v="Sem TR"/>
    <n v="64799420"/>
    <s v="ZRDI"/>
    <n v="10102479"/>
    <s v="D10"/>
    <s v="DEV D2C - Comprou modelo errado"/>
    <s v="COMERCIAL"/>
    <x v="2"/>
    <n v="58111221"/>
    <x v="570"/>
    <s v="SP"/>
    <n v="474"/>
    <s v="Site Brastemp"/>
    <n v="1352"/>
    <s v="W10866791"/>
    <s v="Kits Instalação"/>
    <x v="7"/>
    <n v="2000"/>
    <n v="5002359"/>
    <s v="EMPRESA BRASILEIRA DE CORREIOS E"/>
    <n v="229.64"/>
    <d v="2025-06-27T00:00:00"/>
  </r>
  <r>
    <n v="254036561"/>
    <n v="64814530"/>
    <s v="ZRDI"/>
    <n v="10091484"/>
    <n v="208"/>
    <s v="DEV-Atraso entrega- LOGISTICA(Transp)"/>
    <s v="TRANSPORTADORA"/>
    <x v="2"/>
    <n v="58094840"/>
    <x v="571"/>
    <s v="SC"/>
    <n v="474"/>
    <s v="Site Brastemp"/>
    <n v="1352"/>
    <s v="W10866791"/>
    <s v="Kits Instalação"/>
    <x v="7"/>
    <n v="2000"/>
    <n v="5002359"/>
    <s v="EMPRESA BRASILEIRA DE CORREIOS E"/>
    <n v="229.62"/>
    <d v="2025-07-22T00:00:00"/>
  </r>
  <r>
    <n v="254035912"/>
    <n v="64814032"/>
    <s v="ZRDI"/>
    <n v="10123259"/>
    <n v="208"/>
    <s v="DEV-Atraso entrega- LOGISTICA(Transp)"/>
    <s v="TRANSPORTADORA"/>
    <x v="2"/>
    <n v="53169629"/>
    <x v="572"/>
    <s v="RJ"/>
    <n v="474"/>
    <s v="Site Brastemp"/>
    <n v="1352"/>
    <s v="W10866791"/>
    <s v="Kits Instalação"/>
    <x v="7"/>
    <n v="2000"/>
    <n v="5002359"/>
    <s v="EMPRESA BRASILEIRA DE CORREIOS E"/>
    <n v="229.6"/>
    <d v="2025-07-21T00:00:00"/>
  </r>
  <r>
    <n v="254027376"/>
    <n v="64806787"/>
    <s v="ZRDI"/>
    <n v="10073629"/>
    <s v="D25"/>
    <s v="DEV D2C - Prob na entrega (Não recebi)"/>
    <s v="TRANSPORTADORA"/>
    <x v="2"/>
    <n v="51681729"/>
    <x v="573"/>
    <s v="RJ"/>
    <n v="474"/>
    <s v="Site Brastemp"/>
    <n v="1352"/>
    <s v="W10866791"/>
    <s v="Kits Instalação"/>
    <x v="7"/>
    <n v="1000"/>
    <n v="5003972"/>
    <s v="ICARO EXPRESS LOGISTICA LTDA"/>
    <n v="229.51"/>
    <d v="2025-07-07T00:00:00"/>
  </r>
  <r>
    <n v="254034769"/>
    <n v="64807198"/>
    <s v="ZRDI"/>
    <n v="10103893"/>
    <s v="D18"/>
    <s v="DEV D2C - Arrependimento não quero mais"/>
    <s v="COMERCIAL"/>
    <x v="2"/>
    <n v="58115953"/>
    <x v="574"/>
    <s v="RJ"/>
    <n v="474"/>
    <s v="Site Brastemp"/>
    <n v="1352"/>
    <s v="W10866791"/>
    <s v="Kits Instalação"/>
    <x v="7"/>
    <n v="1000"/>
    <n v="5002359"/>
    <s v="EMPRESA BRASILEIRA DE CORREIOS E"/>
    <n v="229.51"/>
    <d v="2025-07-08T00:00:00"/>
  </r>
  <r>
    <n v="254038696"/>
    <n v="64816611"/>
    <s v="ZRDI"/>
    <n v="10086957"/>
    <s v="D25"/>
    <s v="DEV D2C - Prob na entrega (Não recebi)"/>
    <s v="TRANSPORTADORA"/>
    <x v="2"/>
    <n v="58087829"/>
    <x v="575"/>
    <s v="RJ"/>
    <n v="474"/>
    <s v="Site Brastemp"/>
    <n v="1352"/>
    <s v="W10866791"/>
    <s v="Kits Instalação"/>
    <x v="7"/>
    <n v="1000"/>
    <n v="5003972"/>
    <s v="ICARO EXPRESS LOGISTICA LTDA"/>
    <n v="229.51"/>
    <d v="2025-07-24T00:00:00"/>
  </r>
  <r>
    <n v="254038696"/>
    <n v="64816611"/>
    <s v="ZRDI"/>
    <n v="10086957"/>
    <s v="D25"/>
    <s v="DEV D2C - Prob na entrega (Não recebi)"/>
    <s v="TRANSPORTADORA"/>
    <x v="2"/>
    <n v="58087829"/>
    <x v="575"/>
    <s v="RJ"/>
    <n v="474"/>
    <s v="Site Brastemp"/>
    <n v="1352"/>
    <s v="W10866791"/>
    <s v="Kits Instalação"/>
    <x v="7"/>
    <n v="1000"/>
    <n v="5003972"/>
    <s v="ICARO EXPRESS LOGISTICA LTDA"/>
    <n v="229.51"/>
    <d v="2025-07-24T00:00:00"/>
  </r>
  <r>
    <s v="Sem TR"/>
    <n v="64789106"/>
    <s v="REB"/>
    <n v="10056057"/>
    <n v="509"/>
    <s v="Qtd de peças a Menor dentro do Volume"/>
    <s v="LOGÍSTICA"/>
    <x v="1"/>
    <n v="74725"/>
    <x v="168"/>
    <s v="SP"/>
    <n v="934"/>
    <s v="CDP Ouro"/>
    <n v="1350"/>
    <s v="W10531315"/>
    <s v="Sensores"/>
    <x v="3"/>
    <n v="25000"/>
    <n v="5002359"/>
    <s v="EMPRESA BRASILEIRA DE CORREIOS E"/>
    <n v="229.51"/>
    <d v="2025-06-10T00:00:00"/>
  </r>
  <r>
    <s v="Sem TR"/>
    <n v="64779147"/>
    <s v="ZRDI"/>
    <n v="10102302"/>
    <s v="D20"/>
    <s v="DEV D2C - Demora na entrega"/>
    <s v="COMERCIAL"/>
    <x v="2"/>
    <n v="58115421"/>
    <x v="576"/>
    <s v="SP"/>
    <n v="474"/>
    <s v="Site Brastemp"/>
    <n v="1352"/>
    <s v="W10866791"/>
    <s v="Kits Instalação"/>
    <x v="7"/>
    <n v="2000"/>
    <n v="5002359"/>
    <s v="EMPRESA BRASILEIRA DE CORREIOS E"/>
    <n v="229.44"/>
    <d v="2025-07-10T00:00:00"/>
  </r>
  <r>
    <n v="254021291"/>
    <n v="64798937"/>
    <s v="ZRDI"/>
    <n v="10102309"/>
    <n v="208"/>
    <s v="DEV-Atraso entrega- LOGISTICA(Transp)"/>
    <s v="TRANSPORTADORA"/>
    <x v="2"/>
    <n v="58115495"/>
    <x v="577"/>
    <s v="SP"/>
    <n v="474"/>
    <s v="Site Brastemp"/>
    <n v="1352"/>
    <s v="W10866791"/>
    <s v="Kits Instalação"/>
    <x v="7"/>
    <n v="2000"/>
    <n v="5002359"/>
    <s v="EMPRESA BRASILEIRA DE CORREIOS E"/>
    <n v="229.44"/>
    <d v="2025-06-26T00:00:00"/>
  </r>
  <r>
    <s v="Sem TR"/>
    <n v="64779147"/>
    <s v="ZRDI"/>
    <n v="10102302"/>
    <s v="D20"/>
    <s v="DEV D2C - Demora na entrega"/>
    <s v="COMERCIAL"/>
    <x v="2"/>
    <n v="58115421"/>
    <x v="576"/>
    <s v="SP"/>
    <n v="474"/>
    <s v="Site Brastemp"/>
    <n v="1352"/>
    <s v="W10866791"/>
    <s v="Kits Instalação"/>
    <x v="7"/>
    <n v="2000"/>
    <n v="5002359"/>
    <s v="EMPRESA BRASILEIRA DE CORREIOS E"/>
    <n v="229.44"/>
    <d v="2025-07-10T00:00:00"/>
  </r>
  <r>
    <n v="254021291"/>
    <n v="64798937"/>
    <s v="ZRDI"/>
    <n v="10102309"/>
    <n v="208"/>
    <s v="DEV-Atraso entrega- LOGISTICA(Transp)"/>
    <s v="TRANSPORTADORA"/>
    <x v="2"/>
    <n v="58115495"/>
    <x v="577"/>
    <s v="SP"/>
    <n v="474"/>
    <s v="Site Brastemp"/>
    <n v="1352"/>
    <s v="W10866791"/>
    <s v="Kits Instalação"/>
    <x v="7"/>
    <n v="2000"/>
    <n v="5002359"/>
    <s v="EMPRESA BRASILEIRA DE CORREIOS E"/>
    <n v="229.44"/>
    <d v="2025-06-26T00:00:00"/>
  </r>
  <r>
    <n v="253952417"/>
    <n v="64728978"/>
    <s v="REB"/>
    <n v="9705515"/>
    <n v="176"/>
    <s v="PEÇAS - Defeito de fabric./Interrompido"/>
    <s v="FUNCIONAL"/>
    <x v="1"/>
    <n v="59011"/>
    <x v="273"/>
    <s v="SP"/>
    <n v="648"/>
    <s v="Ultra"/>
    <n v="1350"/>
    <s v="W10586927"/>
    <s v="Placas de Controle"/>
    <x v="1"/>
    <n v="1000"/>
    <n v="5004042"/>
    <s v="BRASIL WEB TRANSPORTES E LOGISTICA"/>
    <n v="229.42"/>
    <d v="2025-03-10T00:00:00"/>
  </r>
  <r>
    <s v="Sem TR"/>
    <n v="64743032"/>
    <s v="ROB"/>
    <n v="48999"/>
    <n v="671"/>
    <s v="DEV-ENVIADO PARA GESTÃO DE CONSEQUENCIA"/>
    <s v="TRANSPORTADORA"/>
    <x v="2"/>
    <n v="31596"/>
    <x v="386"/>
    <s v="CE"/>
    <n v="648"/>
    <s v="Ultra"/>
    <n v="1550"/>
    <n v="326006453"/>
    <s v="Termostatos"/>
    <x v="3"/>
    <n v="10000"/>
    <n v="5004391"/>
    <s v="JEONCEL TRANSPORTES LTDA"/>
    <n v="229.27"/>
    <d v="2025-03-31T00:00:00"/>
  </r>
  <r>
    <n v="254007594"/>
    <n v="64781517"/>
    <s v="REB"/>
    <n v="9907269"/>
    <n v="173"/>
    <s v="PEÇAS - Defeito de fabric./Alta Amperage"/>
    <s v="FUNCIONAL"/>
    <x v="1"/>
    <n v="56043"/>
    <x v="48"/>
    <s v="PR"/>
    <n v="963"/>
    <s v="Ats Distribuidoras"/>
    <n v="1350"/>
    <s v="W11300816"/>
    <s v="Mecanismos"/>
    <x v="2"/>
    <n v="2000"/>
    <n v="5003024"/>
    <s v="RODOBRAS TRANSPORTES RODOVIARIOS LT"/>
    <n v="229.2"/>
    <d v="2025-06-02T00:00:00"/>
  </r>
  <r>
    <n v="254033302"/>
    <n v="64797913"/>
    <s v="REB"/>
    <n v="9976783"/>
    <n v="173"/>
    <s v="PEÇAS - Defeito de fabric./Alta Amperage"/>
    <s v="FUNCIONAL"/>
    <x v="1"/>
    <n v="21594"/>
    <x v="97"/>
    <s v="SP"/>
    <n v="931"/>
    <s v="Ats Off"/>
    <n v="1350"/>
    <s v="W10751205"/>
    <s v="Placas de Interface"/>
    <x v="1"/>
    <n v="1000"/>
    <n v="5004042"/>
    <s v="BRASIL WEB TRANSPORTES E LOGISTICA"/>
    <n v="229.14"/>
    <d v="2025-07-08T00:00:00"/>
  </r>
  <r>
    <n v="254018188"/>
    <n v="64791937"/>
    <s v="REB"/>
    <n v="9564306"/>
    <n v="176"/>
    <s v="PEÇAS - Defeito de fabric./Interrompido"/>
    <s v="FUNCIONAL"/>
    <x v="1"/>
    <n v="4318"/>
    <x v="89"/>
    <s v="SC"/>
    <n v="931"/>
    <s v="Ats Off"/>
    <n v="1350"/>
    <s v="W11435392"/>
    <s v="Placas de Controle"/>
    <x v="1"/>
    <n v="1000"/>
    <n v="5003024"/>
    <s v="RODOBRAS TRANSPORTES RODOVIARIOS LT"/>
    <n v="229.12"/>
    <d v="2025-06-17T00:00:00"/>
  </r>
  <r>
    <n v="254033281"/>
    <n v="64807560"/>
    <s v="REB"/>
    <n v="10006871"/>
    <n v="176"/>
    <s v="PEÇAS - Defeito de fabric./Interrompido"/>
    <s v="FUNCIONAL"/>
    <x v="0"/>
    <n v="13757"/>
    <x v="14"/>
    <s v="SP"/>
    <n v="713"/>
    <s v="Key Account"/>
    <n v="1350"/>
    <s v="W11387506"/>
    <s v="Placas de Controle"/>
    <x v="1"/>
    <n v="1000"/>
    <n v="5004042"/>
    <s v="BRASIL WEB TRANSPORTES E LOGISTICA"/>
    <n v="229.05"/>
    <d v="2025-07-08T00:00:00"/>
  </r>
  <r>
    <s v="Sem TR"/>
    <n v="64817470"/>
    <s v="REB"/>
    <n v="10018018"/>
    <n v="173"/>
    <s v="PEÇAS - Defeito de fabric./Alta Amperage"/>
    <s v="FUNCIONAL"/>
    <x v="1"/>
    <n v="67948"/>
    <x v="15"/>
    <s v="SC"/>
    <n v="713"/>
    <s v="Key Account"/>
    <n v="1350"/>
    <s v="W11619317"/>
    <s v="Placas de Controle"/>
    <x v="1"/>
    <n v="1000"/>
    <n v="5003024"/>
    <s v="RODOBRAS TRANSPORTES RODOVIARIOS LT"/>
    <n v="229.02"/>
    <d v="2025-07-25T00:00:00"/>
  </r>
  <r>
    <n v="254023995"/>
    <n v="64791468"/>
    <s v="REB"/>
    <n v="10058477"/>
    <n v="173"/>
    <s v="PEÇAS - Defeito de fabric./Alta Amperage"/>
    <s v="FUNCIONAL"/>
    <x v="0"/>
    <n v="64522"/>
    <x v="158"/>
    <s v="SP"/>
    <n v="643"/>
    <s v="Elite"/>
    <n v="1350"/>
    <s v="W11300675"/>
    <s v="Mecanismos"/>
    <x v="2"/>
    <n v="2000"/>
    <n v="5004042"/>
    <s v="BRASIL WEB TRANSPORTES E LOGISTICA"/>
    <n v="228.96"/>
    <d v="2025-06-23T00:00:00"/>
  </r>
  <r>
    <s v="Sem TR"/>
    <n v="64816455"/>
    <s v="ZRDI"/>
    <n v="10139997"/>
    <s v="D11"/>
    <s v="DEV D2C - Comprou prod dimensão errada"/>
    <s v="COMERCIAL"/>
    <x v="2"/>
    <n v="58161395"/>
    <x v="578"/>
    <s v="RJ"/>
    <n v="474"/>
    <s v="Site Brastemp"/>
    <n v="1352"/>
    <s v="W11115537"/>
    <s v="Prateleiras"/>
    <x v="9"/>
    <n v="2000"/>
    <n v="5002359"/>
    <s v="EMPRESA BRASILEIRA DE CORREIOS E"/>
    <n v="228.92"/>
    <d v="2025-07-24T00:00:00"/>
  </r>
  <r>
    <s v="Sem TR"/>
    <n v="64816455"/>
    <s v="ZRDI"/>
    <n v="10139997"/>
    <s v="D11"/>
    <s v="DEV D2C - Comprou prod dimensão errada"/>
    <s v="COMERCIAL"/>
    <x v="2"/>
    <n v="58161395"/>
    <x v="578"/>
    <s v="RJ"/>
    <n v="474"/>
    <s v="Site Brastemp"/>
    <n v="1352"/>
    <s v="W11115537"/>
    <s v="Prateleiras"/>
    <x v="9"/>
    <n v="2000"/>
    <n v="5002359"/>
    <s v="EMPRESA BRASILEIRA DE CORREIOS E"/>
    <n v="228.92"/>
    <d v="2025-07-24T00:00:00"/>
  </r>
  <r>
    <s v="Sem TR"/>
    <n v="64809749"/>
    <s v="ZRDI"/>
    <n v="10127110"/>
    <s v="D10"/>
    <s v="DEV D2C - Comprou modelo errado"/>
    <s v="COMERCIAL"/>
    <x v="2"/>
    <n v="53073020"/>
    <x v="579"/>
    <s v="SP"/>
    <n v="474"/>
    <s v="Site Brastemp"/>
    <n v="1352"/>
    <s v="W11047054"/>
    <s v="Interruptores horário"/>
    <x v="3"/>
    <n v="1000"/>
    <n v="5002359"/>
    <s v="EMPRESA BRASILEIRA DE CORREIOS E"/>
    <n v="228.9"/>
    <d v="2025-07-12T00:00:00"/>
  </r>
  <r>
    <n v="254030022"/>
    <n v="64809499"/>
    <s v="ZRDI"/>
    <n v="10107593"/>
    <n v="208"/>
    <s v="DEV-Atraso entrega- LOGISTICA(Transp)"/>
    <s v="TRANSPORTADORA"/>
    <x v="2"/>
    <n v="56527064"/>
    <x v="580"/>
    <s v="SP"/>
    <n v="474"/>
    <s v="Site Brastemp"/>
    <n v="1352"/>
    <s v="W10866791"/>
    <s v="Kits Instalação"/>
    <x v="7"/>
    <n v="2000"/>
    <n v="5002359"/>
    <s v="EMPRESA BRASILEIRA DE CORREIOS E"/>
    <n v="228.72"/>
    <d v="2025-07-11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326073243"/>
    <s v="Placas de Controle"/>
    <x v="1"/>
    <n v="2000"/>
    <n v="5002858"/>
    <s v="FAVORITA TRANSPORTES LTDA"/>
    <n v="228.72"/>
    <d v="2025-07-15T00:00:00"/>
  </r>
  <r>
    <n v="254033685"/>
    <n v="64795900"/>
    <s v="REB"/>
    <n v="10064033"/>
    <n v="176"/>
    <s v="PEÇAS - Defeito de fabric./Interrompido"/>
    <s v="FUNCIONAL"/>
    <x v="1"/>
    <n v="24089"/>
    <x v="134"/>
    <s v="RJ"/>
    <n v="931"/>
    <s v="Ats Off"/>
    <n v="1350"/>
    <s v="W10160035"/>
    <s v="Magnetrons"/>
    <x v="1"/>
    <n v="1000"/>
    <n v="5003176"/>
    <s v="J C THEDIN TRANSPORTES LTDA"/>
    <n v="228.68"/>
    <d v="2025-06-23T00:00:00"/>
  </r>
  <r>
    <n v="254035358"/>
    <n v="64812444"/>
    <s v="REB"/>
    <n v="9982801"/>
    <n v="176"/>
    <s v="PEÇAS - Defeito de fabric./Interrompido"/>
    <s v="FUNCIONAL"/>
    <x v="1"/>
    <n v="22211"/>
    <x v="146"/>
    <s v="SC"/>
    <n v="644"/>
    <s v="Plus"/>
    <n v="1350"/>
    <s v="W10640425"/>
    <s v="Placas de Interface"/>
    <x v="1"/>
    <n v="1000"/>
    <n v="5003024"/>
    <s v="RODOBRAS TRANSPORTES RODOVIARIOS LT"/>
    <n v="228.66"/>
    <d v="2025-07-17T00:00:00"/>
  </r>
  <r>
    <n v="254033358"/>
    <n v="64807331"/>
    <s v="REB"/>
    <n v="9852672"/>
    <n v="173"/>
    <s v="PEÇAS - Defeito de fabric./Alta Amperage"/>
    <s v="FUNCIONAL"/>
    <x v="0"/>
    <n v="28991"/>
    <x v="65"/>
    <s v="MG"/>
    <n v="643"/>
    <s v="Elite"/>
    <n v="1350"/>
    <n v="326061171"/>
    <s v="Placas de Controle"/>
    <x v="1"/>
    <n v="1000"/>
    <n v="5004215"/>
    <s v="BRASIL WEB TRANSPORTES E LOGISTICA"/>
    <n v="228.46"/>
    <d v="2025-07-08T00:00:00"/>
  </r>
  <r>
    <s v="Sem TR"/>
    <n v="64658415"/>
    <s v="ROB"/>
    <n v="9675575"/>
    <n v="25"/>
    <s v="OC. 80 - EXTRAVIO TOTAL"/>
    <s v="TRANSPORTADORA"/>
    <x v="0"/>
    <n v="31978"/>
    <x v="370"/>
    <s v="PE"/>
    <n v="350"/>
    <s v="Ats On"/>
    <n v="1350"/>
    <s v="W10515645"/>
    <s v="Filtros"/>
    <x v="5"/>
    <n v="10000"/>
    <n v="5004101"/>
    <s v="UNIDOCK'S ASSESSORIA E LOGISTICA DE"/>
    <n v="228.4"/>
    <d v="2024-12-03T00:00:00"/>
  </r>
  <r>
    <n v="254024636"/>
    <n v="64804734"/>
    <s v="ZRDI"/>
    <n v="10091496"/>
    <n v="208"/>
    <s v="DEV-Atraso entrega- LOGISTICA(Transp)"/>
    <s v="TRANSPORTADORA"/>
    <x v="2"/>
    <n v="50410307"/>
    <x v="581"/>
    <s v="SP"/>
    <n v="474"/>
    <s v="Site Brastemp"/>
    <n v="1352"/>
    <s v="W10510889"/>
    <s v="Filtros"/>
    <x v="5"/>
    <n v="1000"/>
    <n v="5002359"/>
    <s v="EMPRESA BRASILEIRA DE CORREIOS E"/>
    <n v="228.3"/>
    <d v="2025-07-02T00:00:00"/>
  </r>
  <r>
    <n v="254030456"/>
    <n v="64796053"/>
    <s v="REB"/>
    <n v="10082071"/>
    <n v="90"/>
    <s v="CLIENTE-não solicitou"/>
    <s v="COMERCIAL"/>
    <x v="1"/>
    <n v="3467"/>
    <x v="115"/>
    <s v="SP"/>
    <n v="931"/>
    <s v="Ats Off"/>
    <n v="1350"/>
    <s v="W10604696"/>
    <s v="Gavetas"/>
    <x v="9"/>
    <n v="4000"/>
    <n v="5004042"/>
    <s v="BRASIL WEB TRANSPORTES E LOGISTICA"/>
    <n v="228.21"/>
    <d v="2025-07-01T00:00:00"/>
  </r>
  <r>
    <s v="Sem TR"/>
    <n v="64814163"/>
    <s v="ZRDI"/>
    <n v="10098269"/>
    <s v="D31"/>
    <s v="DEV D2C - Defeito estético manufatura"/>
    <s v="MANUFATURA"/>
    <x v="2"/>
    <n v="53091402"/>
    <x v="582"/>
    <s v="BA"/>
    <n v="474"/>
    <s v="Site Brastemp"/>
    <n v="1352"/>
    <s v="W10624070"/>
    <s v="Gavetas"/>
    <x v="9"/>
    <n v="1000"/>
    <n v="5002359"/>
    <s v="EMPRESA BRASILEIRA DE CORREIOS E"/>
    <n v="228.2"/>
    <d v="2025-07-23T00:00:00"/>
  </r>
  <r>
    <s v="Sem TR"/>
    <n v="64814163"/>
    <s v="ZRDI"/>
    <n v="10098269"/>
    <s v="D31"/>
    <s v="DEV D2C - Defeito estético manufatura"/>
    <s v="MANUFATURA"/>
    <x v="2"/>
    <n v="53091402"/>
    <x v="582"/>
    <s v="BA"/>
    <n v="474"/>
    <s v="Site Brastemp"/>
    <n v="1352"/>
    <s v="W10624070"/>
    <s v="Gavetas"/>
    <x v="9"/>
    <n v="1000"/>
    <n v="5002359"/>
    <s v="EMPRESA BRASILEIRA DE CORREIOS E"/>
    <n v="228.2"/>
    <d v="2025-07-23T00:00:00"/>
  </r>
  <r>
    <s v="Sem TR"/>
    <n v="64672496"/>
    <s v="REB"/>
    <n v="9772287"/>
    <n v="160"/>
    <s v="OI Cancelada - Ver motivo no texto"/>
    <s v="OUTROS"/>
    <x v="1"/>
    <n v="20602"/>
    <x v="355"/>
    <s v="SP"/>
    <n v="350"/>
    <s v="Ats On"/>
    <n v="1350"/>
    <s v="W10295922"/>
    <s v="Válvulas de Água"/>
    <x v="5"/>
    <n v="1000"/>
    <n v="5004042"/>
    <s v="BRASIL WEB TRANSPORTES E LOGISTICA"/>
    <n v="228.02"/>
    <d v="2025-01-14T00:00:00"/>
  </r>
  <r>
    <n v="253970803"/>
    <n v="64748834"/>
    <s v="REB"/>
    <n v="9935260"/>
    <n v="173"/>
    <s v="PEÇAS - Defeito de fabric./Alta Amperage"/>
    <s v="FUNCIONAL"/>
    <x v="1"/>
    <n v="40923"/>
    <x v="406"/>
    <s v="RS"/>
    <n v="932"/>
    <s v="CDP Prata"/>
    <n v="1350"/>
    <s v="W11082457"/>
    <s v="Termostatos"/>
    <x v="3"/>
    <n v="4000"/>
    <n v="5003024"/>
    <s v="RODOBRAS TRANSPORTES RODOVIARIOS LT"/>
    <n v="227.53"/>
    <d v="2025-04-09T00:00:00"/>
  </r>
  <r>
    <n v="254012615"/>
    <n v="64789469"/>
    <s v="REB"/>
    <n v="10011101"/>
    <n v="178"/>
    <s v="PEÇAS -Defeito de fabric./Sem Compressão"/>
    <s v="FUNCIONAL"/>
    <x v="2"/>
    <n v="75812"/>
    <x v="102"/>
    <s v="SP"/>
    <n v="931"/>
    <s v="Ats Off"/>
    <n v="1350"/>
    <n v="326071221"/>
    <s v="Puxadores"/>
    <x v="6"/>
    <n v="1000"/>
    <n v="5004042"/>
    <s v="BRASIL WEB TRANSPORTES E LOGISTICA"/>
    <n v="227.49"/>
    <d v="2025-06-10T00:00:00"/>
  </r>
  <r>
    <s v="Sem TR"/>
    <n v="64815753"/>
    <s v="ZRDI"/>
    <n v="10119263"/>
    <s v="D25"/>
    <s v="DEV D2C - Prob na entrega (Não recebi)"/>
    <s v="TRANSPORTADORA"/>
    <x v="2"/>
    <n v="50940574"/>
    <x v="583"/>
    <s v="PR"/>
    <n v="488"/>
    <s v="Carteira A"/>
    <n v="1352"/>
    <s v="W10510889"/>
    <s v="Filtros"/>
    <x v="5"/>
    <n v="1000"/>
    <n v="5002359"/>
    <s v="EMPRESA BRASILEIRA DE CORREIOS E"/>
    <n v="227.46"/>
    <d v="2025-07-24T00:00:00"/>
  </r>
  <r>
    <s v="Sem TR"/>
    <n v="64815753"/>
    <s v="ZRDI"/>
    <n v="10119263"/>
    <s v="D25"/>
    <s v="DEV D2C - Prob na entrega (Não recebi)"/>
    <s v="TRANSPORTADORA"/>
    <x v="2"/>
    <n v="50940574"/>
    <x v="583"/>
    <s v="PR"/>
    <n v="488"/>
    <s v="Carteira A"/>
    <n v="1352"/>
    <s v="W10510889"/>
    <s v="Filtros"/>
    <x v="5"/>
    <n v="1000"/>
    <n v="5002359"/>
    <s v="EMPRESA BRASILEIRA DE CORREIOS E"/>
    <n v="227.46"/>
    <d v="2025-07-24T00:00:00"/>
  </r>
  <r>
    <s v="Sem TR"/>
    <n v="64804105"/>
    <s v="ZRDI"/>
    <n v="10084557"/>
    <s v="D10"/>
    <s v="DEV D2C - Comprou modelo errado"/>
    <s v="COMERCIAL"/>
    <x v="2"/>
    <n v="51645808"/>
    <x v="584"/>
    <s v="MG"/>
    <n v="474"/>
    <s v="Site Brastemp"/>
    <n v="1352"/>
    <s v="W10624070"/>
    <s v="Gavetas"/>
    <x v="9"/>
    <n v="1000"/>
    <n v="5002359"/>
    <s v="EMPRESA BRASILEIRA DE CORREIOS E"/>
    <n v="227.4"/>
    <d v="2025-07-03T00:00:00"/>
  </r>
  <r>
    <n v="254027354"/>
    <n v="64806758"/>
    <s v="ZRDI"/>
    <n v="10095936"/>
    <n v="208"/>
    <s v="DEV-Atraso entrega- LOGISTICA(Transp)"/>
    <s v="TRANSPORTADORA"/>
    <x v="2"/>
    <n v="58102057"/>
    <x v="585"/>
    <s v="MG"/>
    <n v="474"/>
    <s v="Site Brastemp"/>
    <n v="1352"/>
    <s v="W10624070"/>
    <s v="Gavetas"/>
    <x v="9"/>
    <n v="1000"/>
    <n v="5002359"/>
    <s v="EMPRESA BRASILEIRA DE CORREIOS E"/>
    <n v="227.4"/>
    <d v="2025-07-07T00:00:00"/>
  </r>
  <r>
    <n v="254033964"/>
    <n v="64812513"/>
    <s v="ZRDI"/>
    <n v="10100720"/>
    <n v="208"/>
    <s v="DEV-Atraso entrega- LOGISTICA(Transp)"/>
    <s v="TRANSPORTADORA"/>
    <x v="2"/>
    <n v="52926675"/>
    <x v="586"/>
    <s v="MG"/>
    <n v="474"/>
    <s v="Site Brastemp"/>
    <n v="1352"/>
    <s v="W10624070"/>
    <s v="Gavetas"/>
    <x v="9"/>
    <n v="1000"/>
    <n v="5002359"/>
    <s v="EMPRESA BRASILEIRA DE CORREIOS E"/>
    <n v="227.4"/>
    <d v="2025-07-17T00:00:00"/>
  </r>
  <r>
    <s v="Sem TR"/>
    <n v="64804105"/>
    <s v="ZRDI"/>
    <n v="10084557"/>
    <s v="D10"/>
    <s v="DEV D2C - Comprou modelo errado"/>
    <s v="COMERCIAL"/>
    <x v="2"/>
    <n v="51645808"/>
    <x v="584"/>
    <s v="MG"/>
    <n v="474"/>
    <s v="Site Brastemp"/>
    <n v="1352"/>
    <s v="W10624070"/>
    <s v="Gavetas"/>
    <x v="9"/>
    <n v="1000"/>
    <n v="5002359"/>
    <s v="EMPRESA BRASILEIRA DE CORREIOS E"/>
    <n v="227.4"/>
    <d v="2025-07-03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1352536"/>
    <s v="Placas de Controle"/>
    <x v="1"/>
    <n v="3000"/>
    <n v="5003024"/>
    <s v="RODOBRAS TRANSPORTES RODOVIARIOS LT"/>
    <n v="227.25"/>
    <d v="2025-01-16T00:00:00"/>
  </r>
  <r>
    <n v="253952113"/>
    <n v="64729539"/>
    <s v="REB"/>
    <n v="9813050"/>
    <n v="173"/>
    <s v="PEÇAS - Defeito de fabric./Alta Amperage"/>
    <s v="FUNCIONAL"/>
    <x v="1"/>
    <n v="113"/>
    <x v="396"/>
    <s v="AL"/>
    <n v="350"/>
    <s v="Ats On"/>
    <n v="1350"/>
    <s v="W10592481"/>
    <s v="Placas de Controle"/>
    <x v="1"/>
    <n v="1000"/>
    <n v="5004101"/>
    <s v="UNIDOCK'S ASSESSORIA E LOGISTICA DE"/>
    <n v="227.2"/>
    <d v="2025-03-11T00:00:00"/>
  </r>
  <r>
    <n v="253988916"/>
    <n v="64761984"/>
    <s v="REB"/>
    <n v="9987631"/>
    <n v="170"/>
    <s v="PEÇAS - Avaria - Riscada/Depósito"/>
    <s v="LOGÍSTICA"/>
    <x v="2"/>
    <n v="72911"/>
    <x v="61"/>
    <s v="SP"/>
    <n v="931"/>
    <s v="Ats Off"/>
    <n v="1350"/>
    <s v="W11395607"/>
    <s v="Mesas Cocção"/>
    <x v="6"/>
    <n v="1000"/>
    <n v="5004042"/>
    <s v="BRASIL WEB TRANSPORTES E LOGISTICA"/>
    <n v="227.18"/>
    <d v="2025-05-01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0399715"/>
    <s v="Motores Ventiladores"/>
    <x v="1"/>
    <n v="5000"/>
    <n v="5004101"/>
    <s v="UNIDOCK'S ASSESSORIA E LOGISTICA DE"/>
    <n v="227.15"/>
    <d v="2025-01-22T00:00:00"/>
  </r>
  <r>
    <n v="253992756"/>
    <n v="64767553"/>
    <s v="REB"/>
    <n v="9759405"/>
    <n v="168"/>
    <s v="PEÇAS-Def.Fabric.Empenamento/Abaulamento"/>
    <s v="FUNCIONAL"/>
    <x v="1"/>
    <n v="63028"/>
    <x v="144"/>
    <s v="SP"/>
    <n v="641"/>
    <s v="CDP Diamante"/>
    <n v="1350"/>
    <s v="W11396889"/>
    <s v="Vidros"/>
    <x v="6"/>
    <n v="4000"/>
    <n v="5004042"/>
    <s v="BRASIL WEB TRANSPORTES E LOGISTICA"/>
    <n v="227.01"/>
    <d v="2025-05-12T00:00:00"/>
  </r>
  <r>
    <n v="253886279"/>
    <n v="64655364"/>
    <s v="REB"/>
    <n v="9689332"/>
    <n v="90"/>
    <s v="CLIENTE-não solicitou"/>
    <s v="COMERCIAL"/>
    <x v="1"/>
    <n v="56043"/>
    <x v="48"/>
    <s v="PR"/>
    <n v="963"/>
    <s v="Ats Distribuidoras"/>
    <n v="1350"/>
    <s v="W11245249"/>
    <s v="Válvulas de Água"/>
    <x v="5"/>
    <n v="5000"/>
    <n v="5003024"/>
    <s v="RODOBRAS TRANSPORTES RODOVIARIOS LT"/>
    <n v="227"/>
    <d v="2024-11-29T00:00:00"/>
  </r>
  <r>
    <n v="253965813"/>
    <n v="64742931"/>
    <s v="REB"/>
    <n v="9941001"/>
    <n v="167"/>
    <s v="PEÇAS - Avaria - Quebrada/Depósito"/>
    <s v="LOGÍSTICA"/>
    <x v="1"/>
    <n v="8192"/>
    <x v="118"/>
    <s v="PR"/>
    <n v="933"/>
    <s v="Top"/>
    <n v="1350"/>
    <s v="W11745350"/>
    <s v="Outros"/>
    <x v="7"/>
    <n v="1000"/>
    <n v="5003024"/>
    <s v="RODOBRAS TRANSPORTES RODOVIARIOS LT"/>
    <n v="226.98"/>
    <d v="2025-03-31T00:00:00"/>
  </r>
  <r>
    <s v="Sem TR"/>
    <n v="64813984"/>
    <s v="ZRDI"/>
    <n v="10129791"/>
    <s v="D11"/>
    <s v="DEV D2C - Comprou prod dimensão errada"/>
    <s v="COMERCIAL"/>
    <x v="2"/>
    <n v="58147988"/>
    <x v="587"/>
    <s v="SC"/>
    <n v="474"/>
    <s v="Site Brastemp"/>
    <n v="1352"/>
    <s v="W10866789"/>
    <s v="Kits Instalação"/>
    <x v="7"/>
    <n v="3000"/>
    <n v="5002359"/>
    <s v="EMPRESA BRASILEIRA DE CORREIOS E"/>
    <n v="226.95"/>
    <d v="2025-07-21T00:00:00"/>
  </r>
  <r>
    <s v="Sem TR"/>
    <n v="64813984"/>
    <s v="ZRDI"/>
    <n v="10129791"/>
    <s v="D11"/>
    <s v="DEV D2C - Comprou prod dimensão errada"/>
    <s v="COMERCIAL"/>
    <x v="2"/>
    <n v="58147988"/>
    <x v="587"/>
    <s v="SC"/>
    <n v="474"/>
    <s v="Site Brastemp"/>
    <n v="1352"/>
    <s v="W10866789"/>
    <s v="Kits Instalação"/>
    <x v="7"/>
    <n v="3000"/>
    <n v="5002359"/>
    <s v="EMPRESA BRASILEIRA DE CORREIOS E"/>
    <n v="226.95"/>
    <d v="2025-07-21T00:00:00"/>
  </r>
  <r>
    <n v="253970939"/>
    <n v="64747691"/>
    <s v="REB"/>
    <n v="8416068"/>
    <n v="173"/>
    <s v="PEÇAS - Defeito de fabric./Alta Amperage"/>
    <s v="FUNCIONAL"/>
    <x v="1"/>
    <n v="74536"/>
    <x v="588"/>
    <s v="MT"/>
    <n v="934"/>
    <s v="CDP Ouro"/>
    <n v="1350"/>
    <s v="W10640425"/>
    <s v="Placas de Interface"/>
    <x v="1"/>
    <n v="1000"/>
    <n v="5002573"/>
    <s v="CARVALIMA TRANSPORTES LTDA"/>
    <n v="226.86"/>
    <d v="2025-04-09T00:00:00"/>
  </r>
  <r>
    <n v="254026124"/>
    <n v="64805676"/>
    <s v="ZRDI"/>
    <n v="10075570"/>
    <n v="208"/>
    <s v="DEV-Atraso entrega- LOGISTICA(Transp)"/>
    <s v="TRANSPORTADORA"/>
    <x v="2"/>
    <n v="56581754"/>
    <x v="589"/>
    <s v="ES"/>
    <n v="474"/>
    <s v="Site Brastemp"/>
    <n v="1352"/>
    <s v="W10866791"/>
    <s v="Kits Instalação"/>
    <x v="7"/>
    <n v="1000"/>
    <n v="5002359"/>
    <s v="EMPRESA BRASILEIRA DE CORREIOS E"/>
    <n v="226.83"/>
    <d v="2025-07-04T00:00:00"/>
  </r>
  <r>
    <n v="254039174"/>
    <n v="64817055"/>
    <s v="ZRDI"/>
    <n v="10047102"/>
    <n v="208"/>
    <s v="DEV-Atraso entrega- LOGISTICA(Transp)"/>
    <s v="TRANSPORTADORA"/>
    <x v="2"/>
    <n v="4502212"/>
    <x v="590"/>
    <s v="SP"/>
    <n v="474"/>
    <s v="Site Brastemp"/>
    <n v="1352"/>
    <s v="W10866790"/>
    <s v="Kits Instalação"/>
    <x v="7"/>
    <n v="1000"/>
    <n v="5002359"/>
    <s v="EMPRESA BRASILEIRA DE CORREIOS E"/>
    <n v="226.8"/>
    <d v="2025-07-24T00:00:00"/>
  </r>
  <r>
    <n v="254039174"/>
    <n v="64817055"/>
    <s v="ZRDI"/>
    <n v="10047102"/>
    <n v="208"/>
    <s v="DEV-Atraso entrega- LOGISTICA(Transp)"/>
    <s v="TRANSPORTADORA"/>
    <x v="2"/>
    <n v="4502212"/>
    <x v="590"/>
    <s v="SP"/>
    <n v="474"/>
    <s v="Site Brastemp"/>
    <n v="1352"/>
    <s v="W10866790"/>
    <s v="Kits Instalação"/>
    <x v="7"/>
    <n v="1000"/>
    <n v="5002359"/>
    <s v="EMPRESA BRASILEIRA DE CORREIOS E"/>
    <n v="226.8"/>
    <d v="2025-07-24T00:00:00"/>
  </r>
  <r>
    <n v="253970698"/>
    <n v="64744553"/>
    <s v="REB"/>
    <n v="9542791"/>
    <n v="176"/>
    <s v="PEÇAS - Defeito de fabric./Interrompido"/>
    <s v="FUNCIONAL"/>
    <x v="2"/>
    <n v="3506"/>
    <x v="46"/>
    <s v="SP"/>
    <n v="931"/>
    <s v="Ats Off"/>
    <n v="1350"/>
    <s v="W11603416"/>
    <s v="Placas de Controle"/>
    <x v="1"/>
    <n v="1000"/>
    <n v="5004042"/>
    <s v="BRASIL WEB TRANSPORTES E LOGISTICA"/>
    <n v="226.79"/>
    <d v="2025-04-09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1112671"/>
    <s v="Interruptores horário"/>
    <x v="3"/>
    <n v="3000"/>
    <n v="5004101"/>
    <s v="UNIDOCK'S ASSESSORIA E LOGISTICA DE"/>
    <n v="226.73"/>
    <d v="2025-01-22T00:00:00"/>
  </r>
  <r>
    <n v="254033295"/>
    <n v="64807321"/>
    <s v="REB"/>
    <n v="10029199"/>
    <n v="176"/>
    <s v="PEÇAS - Defeito de fabric./Interrompido"/>
    <s v="FUNCIONAL"/>
    <x v="1"/>
    <n v="18805"/>
    <x v="307"/>
    <s v="PR"/>
    <n v="648"/>
    <s v="Ultra"/>
    <n v="1350"/>
    <s v="W10586927"/>
    <s v="Placas de Controle"/>
    <x v="1"/>
    <n v="1000"/>
    <n v="5003024"/>
    <s v="RODOBRAS TRANSPORTES RODOVIARIOS LT"/>
    <n v="226.6"/>
    <d v="2025-07-08T00:00:00"/>
  </r>
  <r>
    <s v="Sem TR"/>
    <n v="64812666"/>
    <s v="REB"/>
    <n v="9627408"/>
    <n v="173"/>
    <s v="PEÇAS - Defeito de fabric./Alta Amperage"/>
    <s v="FUNCIONAL"/>
    <x v="1"/>
    <n v="67948"/>
    <x v="15"/>
    <s v="SC"/>
    <n v="713"/>
    <s v="Key Account"/>
    <n v="1350"/>
    <s v="W10463584"/>
    <s v="Placas de Interface"/>
    <x v="1"/>
    <n v="1000"/>
    <n v="5003024"/>
    <s v="RODOBRAS TRANSPORTES RODOVIARIOS LT"/>
    <n v="226.25"/>
    <d v="2025-07-25T00:00:00"/>
  </r>
  <r>
    <n v="254022266"/>
    <n v="64799876"/>
    <s v="ZRDI"/>
    <n v="10065189"/>
    <n v="208"/>
    <s v="DEV-Atraso entrega- LOGISTICA(Transp)"/>
    <s v="TRANSPORTADORA"/>
    <x v="2"/>
    <n v="53572445"/>
    <x v="591"/>
    <s v="SP"/>
    <n v="475"/>
    <s v="Site Consul"/>
    <n v="1352"/>
    <s v="W10866790"/>
    <s v="Kits Instalação"/>
    <x v="7"/>
    <n v="1000"/>
    <n v="5002359"/>
    <s v="EMPRESA BRASILEIRA DE CORREIOS E"/>
    <n v="226.2"/>
    <d v="2025-06-27T00:00:00"/>
  </r>
  <r>
    <n v="254007587"/>
    <n v="64781520"/>
    <s v="REB"/>
    <n v="9860264"/>
    <n v="176"/>
    <s v="PEÇAS - Defeito de fabric./Interrompido"/>
    <s v="FUNCIONAL"/>
    <x v="1"/>
    <n v="46272"/>
    <x v="194"/>
    <s v="CE"/>
    <n v="713"/>
    <s v="Key Account"/>
    <n v="1350"/>
    <s v="W11634491"/>
    <s v="Placas de Controle"/>
    <x v="1"/>
    <n v="4000"/>
    <n v="5004101"/>
    <s v="UNIDOCK'S ASSESSORIA E LOGISTICA DE"/>
    <n v="225.87"/>
    <d v="2025-06-02T00:00:00"/>
  </r>
  <r>
    <n v="253988870"/>
    <n v="64763705"/>
    <s v="REB"/>
    <n v="9975038"/>
    <n v="173"/>
    <s v="PEÇAS - Defeito de fabric./Alta Amperage"/>
    <s v="FUNCIONAL"/>
    <x v="1"/>
    <n v="31587"/>
    <x v="135"/>
    <s v="SP"/>
    <n v="643"/>
    <s v="Elite"/>
    <n v="1350"/>
    <s v="W10586927"/>
    <s v="Placas de Controle"/>
    <x v="1"/>
    <n v="1000"/>
    <n v="5004042"/>
    <s v="BRASIL WEB TRANSPORTES E LOGISTICA"/>
    <n v="225.85"/>
    <d v="2025-05-05T00:00:00"/>
  </r>
  <r>
    <n v="253988865"/>
    <n v="64759830"/>
    <s v="REB"/>
    <n v="9805221"/>
    <n v="173"/>
    <s v="PEÇAS - Defeito de fabric./Alta Amperage"/>
    <s v="FUNCIONAL"/>
    <x v="1"/>
    <n v="30416"/>
    <x v="136"/>
    <s v="AM"/>
    <n v="648"/>
    <s v="Ultra"/>
    <n v="1350"/>
    <s v="W10591605"/>
    <s v="Placas de Controle"/>
    <x v="1"/>
    <n v="1000"/>
    <n v="5002858"/>
    <s v="FAVORITA TRANSPORTES LTDA"/>
    <n v="225.82"/>
    <d v="2025-05-05T00:00:00"/>
  </r>
  <r>
    <s v="Sem TR"/>
    <n v="64814955"/>
    <s v="ZRDI"/>
    <n v="10060886"/>
    <n v="25"/>
    <s v="OC. 80 - EXTRAVIO TOTAL"/>
    <s v="TRANSPORTADORA"/>
    <x v="2"/>
    <n v="58056461"/>
    <x v="592"/>
    <s v="RN"/>
    <n v="474"/>
    <s v="Site Brastemp"/>
    <n v="1352"/>
    <s v="W10866791"/>
    <s v="Kits Instalação"/>
    <x v="7"/>
    <n v="1000"/>
    <n v="5002359"/>
    <s v="EMPRESA BRASILEIRA DE CORREIOS E"/>
    <n v="225.79"/>
    <d v="2025-07-22T00:00:00"/>
  </r>
  <r>
    <s v="Sem TR"/>
    <n v="64814955"/>
    <s v="ZRDI"/>
    <n v="10060886"/>
    <n v="25"/>
    <s v="OC. 80 - EXTRAVIO TOTAL"/>
    <s v="TRANSPORTADORA"/>
    <x v="2"/>
    <n v="58056461"/>
    <x v="592"/>
    <s v="RN"/>
    <n v="474"/>
    <s v="Site Brastemp"/>
    <n v="1352"/>
    <s v="W10866791"/>
    <s v="Kits Instalação"/>
    <x v="7"/>
    <n v="1000"/>
    <n v="5002359"/>
    <s v="EMPRESA BRASILEIRA DE CORREIOS E"/>
    <n v="225.79"/>
    <d v="2025-07-22T00:00:00"/>
  </r>
  <r>
    <n v="254043644"/>
    <n v="64690472"/>
    <s v="REB"/>
    <n v="9788621"/>
    <n v="115"/>
    <s v="PEÇAS-Recusa do cliente"/>
    <s v="COMERCIAL"/>
    <x v="0"/>
    <n v="47997"/>
    <x v="593"/>
    <s v="BA"/>
    <n v="350"/>
    <s v="Ats On"/>
    <n v="1350"/>
    <n v="326064737"/>
    <s v="Parafusos e afins"/>
    <x v="10"/>
    <n v="50000"/>
    <n v="5004101"/>
    <s v="UNIDOCK'S ASSESSORIA E LOGISTICA DE"/>
    <n v="225.6"/>
    <d v="2025-01-14T00:00:00"/>
  </r>
  <r>
    <n v="254018348"/>
    <n v="64781398"/>
    <s v="REB"/>
    <n v="9627408"/>
    <n v="173"/>
    <s v="PEÇAS - Defeito de fabric./Alta Amperage"/>
    <s v="FUNCIONAL"/>
    <x v="1"/>
    <n v="67948"/>
    <x v="15"/>
    <s v="SC"/>
    <n v="713"/>
    <s v="Key Account"/>
    <n v="1350"/>
    <s v="W11366400"/>
    <s v="Placas de Controle"/>
    <x v="1"/>
    <n v="1000"/>
    <n v="5003024"/>
    <s v="RODOBRAS TRANSPORTES RODOVIARIOS LT"/>
    <n v="225.49"/>
    <d v="2025-06-16T00:00:00"/>
  </r>
  <r>
    <n v="254024145"/>
    <n v="64803797"/>
    <s v="ZRDI"/>
    <n v="10085219"/>
    <n v="208"/>
    <s v="DEV-Atraso entrega- LOGISTICA(Transp)"/>
    <s v="TRANSPORTADORA"/>
    <x v="2"/>
    <n v="54462798"/>
    <x v="594"/>
    <s v="RJ"/>
    <n v="474"/>
    <s v="Site Brastemp"/>
    <n v="1352"/>
    <s v="W11195522"/>
    <s v="Motores"/>
    <x v="1"/>
    <n v="1000"/>
    <n v="5002359"/>
    <s v="EMPRESA BRASILEIRA DE CORREIOS E"/>
    <n v="225.36"/>
    <d v="2025-07-01T00:00:00"/>
  </r>
  <r>
    <s v="Sem TR"/>
    <n v="64800477"/>
    <s v="ZRDI"/>
    <n v="10086203"/>
    <s v="D18"/>
    <s v="DEV D2C - Arrependimento não quero mais"/>
    <s v="COMERCIAL"/>
    <x v="2"/>
    <n v="4066635"/>
    <x v="595"/>
    <s v="SP"/>
    <n v="475"/>
    <s v="Site Consul"/>
    <n v="1352"/>
    <s v="W10866791"/>
    <s v="Kits Instalação"/>
    <x v="7"/>
    <n v="1000"/>
    <n v="5002359"/>
    <s v="EMPRESA BRASILEIRA DE CORREIOS E"/>
    <n v="224.89"/>
    <d v="2025-07-01T00:00:00"/>
  </r>
  <r>
    <s v="Sem TR"/>
    <n v="64802708"/>
    <s v="ZRDI"/>
    <n v="10034928"/>
    <n v="25"/>
    <s v="OC. 80 - EXTRAVIO TOTAL"/>
    <s v="TRANSPORTADORA"/>
    <x v="2"/>
    <n v="57393191"/>
    <x v="596"/>
    <s v="SP"/>
    <n v="474"/>
    <s v="Site Brastemp"/>
    <n v="1352"/>
    <s v="W10866791"/>
    <s v="Kits Instalação"/>
    <x v="7"/>
    <n v="1000"/>
    <n v="5002359"/>
    <s v="EMPRESA BRASILEIRA DE CORREIOS E"/>
    <n v="224.89"/>
    <d v="2025-07-01T00:00:00"/>
  </r>
  <r>
    <n v="254026370"/>
    <n v="64805836"/>
    <s v="ZRDI"/>
    <n v="10084432"/>
    <n v="208"/>
    <s v="DEV-Atraso entrega- LOGISTICA(Transp)"/>
    <s v="TRANSPORTADORA"/>
    <x v="2"/>
    <n v="58086309"/>
    <x v="597"/>
    <s v="SP"/>
    <n v="474"/>
    <s v="Site Brastemp"/>
    <n v="1352"/>
    <s v="W10866791"/>
    <s v="Kits Instalação"/>
    <x v="7"/>
    <n v="1000"/>
    <n v="5002359"/>
    <s v="EMPRESA BRASILEIRA DE CORREIOS E"/>
    <n v="224.89"/>
    <d v="2025-07-04T00:00:00"/>
  </r>
  <r>
    <s v="Sem TR"/>
    <n v="64806965"/>
    <s v="ZRDI"/>
    <n v="10105890"/>
    <s v="D10"/>
    <s v="DEV D2C - Comprou modelo errado"/>
    <s v="COMERCIAL"/>
    <x v="2"/>
    <n v="53887288"/>
    <x v="598"/>
    <s v="SP"/>
    <n v="475"/>
    <s v="Site Consul"/>
    <n v="1352"/>
    <s v="W10866791"/>
    <s v="Kits Instalação"/>
    <x v="7"/>
    <n v="1000"/>
    <n v="5002359"/>
    <s v="EMPRESA BRASILEIRA DE CORREIOS E"/>
    <n v="224.89"/>
    <d v="2025-07-11T00:00:00"/>
  </r>
  <r>
    <s v="Sem TR"/>
    <n v="64802708"/>
    <s v="ZRDI"/>
    <n v="10034928"/>
    <n v="25"/>
    <s v="OC. 80 - EXTRAVIO TOTAL"/>
    <s v="TRANSPORTADORA"/>
    <x v="2"/>
    <n v="57393191"/>
    <x v="596"/>
    <s v="SP"/>
    <n v="474"/>
    <s v="Site Brastemp"/>
    <n v="1352"/>
    <s v="W10866791"/>
    <s v="Kits Instalação"/>
    <x v="7"/>
    <n v="1000"/>
    <n v="5002359"/>
    <s v="EMPRESA BRASILEIRA DE CORREIOS E"/>
    <n v="224.89"/>
    <d v="2025-07-01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190148"/>
    <s v="Mangueiras"/>
    <x v="5"/>
    <n v="6000"/>
    <n v="5002858"/>
    <s v="FAVORITA TRANSPORTES LTDA"/>
    <n v="224.88"/>
    <d v="2025-07-15T00:00:00"/>
  </r>
  <r>
    <n v="254004015"/>
    <n v="64776138"/>
    <s v="REB"/>
    <n v="9741931"/>
    <n v="178"/>
    <s v="PEÇAS -Defeito de fabric./Sem Compressão"/>
    <s v="FUNCIONAL"/>
    <x v="1"/>
    <n v="60805"/>
    <x v="599"/>
    <s v="SP"/>
    <n v="934"/>
    <s v="CDP Ouro"/>
    <n v="1350"/>
    <s v="W11300675"/>
    <s v="Mecanismos"/>
    <x v="2"/>
    <n v="2000"/>
    <n v="5004042"/>
    <s v="BRASIL WEB TRANSPORTES E LOGISTICA"/>
    <n v="224.52"/>
    <d v="2025-05-26T00:00:00"/>
  </r>
  <r>
    <n v="253918546"/>
    <n v="64691638"/>
    <s v="REB"/>
    <n v="9818428"/>
    <n v="671"/>
    <s v="DEV-ENVIADO PARA GESTÃO DE CONSEQUENCIA"/>
    <s v="TRANSPORTADORA"/>
    <x v="2"/>
    <n v="9015"/>
    <x v="72"/>
    <s v="SC"/>
    <n v="931"/>
    <s v="Ats Off"/>
    <n v="1350"/>
    <n v="326075385"/>
    <s v="Resistências"/>
    <x v="1"/>
    <n v="3000"/>
    <n v="5003024"/>
    <s v="RODOBRAS TRANSPORTES RODOVIARIOS LT"/>
    <n v="224.13"/>
    <d v="2025-01-15T00:00:00"/>
  </r>
  <r>
    <n v="254042328"/>
    <n v="64795907"/>
    <s v="REB"/>
    <n v="9901049"/>
    <n v="173"/>
    <s v="PEÇAS - Defeito de fabric./Alta Amperage"/>
    <s v="FUNCIONAL"/>
    <x v="0"/>
    <n v="30121"/>
    <x v="23"/>
    <s v="SP"/>
    <n v="648"/>
    <s v="Ultra"/>
    <n v="1350"/>
    <s v="W11196470"/>
    <s v="Placas de Interface"/>
    <x v="1"/>
    <n v="1000"/>
    <n v="5004042"/>
    <s v="BRASIL WEB TRANSPORTES E LOGISTICA"/>
    <n v="224"/>
    <d v="2025-06-23T00:00:00"/>
  </r>
  <r>
    <n v="254042301"/>
    <n v="64795932"/>
    <s v="REB"/>
    <n v="9989836"/>
    <n v="173"/>
    <s v="PEÇAS - Defeito de fabric./Alta Amperage"/>
    <s v="FUNCIONAL"/>
    <x v="0"/>
    <n v="30121"/>
    <x v="23"/>
    <s v="SP"/>
    <n v="648"/>
    <s v="Ultra"/>
    <n v="1350"/>
    <s v="W11196470"/>
    <s v="Placas de Interface"/>
    <x v="1"/>
    <n v="1000"/>
    <n v="5004042"/>
    <s v="BRASIL WEB TRANSPORTES E LOGISTICA"/>
    <n v="224"/>
    <d v="2025-06-23T00:00:00"/>
  </r>
  <r>
    <n v="254033256"/>
    <n v="64807319"/>
    <s v="REB"/>
    <n v="10102733"/>
    <n v="176"/>
    <s v="PEÇAS - Defeito de fabric./Interrompido"/>
    <s v="FUNCIONAL"/>
    <x v="1"/>
    <n v="2424"/>
    <x v="338"/>
    <s v="RJ"/>
    <n v="350"/>
    <s v="Ats On"/>
    <n v="1350"/>
    <s v="W11694094"/>
    <s v="Outros"/>
    <x v="7"/>
    <n v="1000"/>
    <n v="5003176"/>
    <s v="J C THEDIN TRANSPORTES LTDA"/>
    <n v="223.96"/>
    <d v="2025-07-08T00:00:00"/>
  </r>
  <r>
    <s v="Sem TR"/>
    <n v="64624284"/>
    <s v="ROB"/>
    <n v="9629248"/>
    <n v="25"/>
    <s v="OC. 80 - EXTRAVIO TOTAL"/>
    <s v="TRANSPORTADORA"/>
    <x v="0"/>
    <n v="58773"/>
    <x v="13"/>
    <s v="RN"/>
    <n v="931"/>
    <s v="Ats Off"/>
    <n v="1350"/>
    <s v="W10806305"/>
    <s v="Placas de Controle"/>
    <x v="1"/>
    <n v="1000"/>
    <n v="5004101"/>
    <s v="UNIDOCK'S ASSESSORIA E LOGISTICA DE"/>
    <n v="223.96"/>
    <d v="2024-10-08T00:00:00"/>
  </r>
  <r>
    <n v="254033461"/>
    <n v="64806681"/>
    <s v="REB"/>
    <n v="9963208"/>
    <n v="104"/>
    <s v="PEÇAS-Código trocado(embalag X conteúdo)"/>
    <s v="LOGÍSTICA"/>
    <x v="1"/>
    <n v="80432"/>
    <x v="3"/>
    <s v="ES"/>
    <n v="713"/>
    <s v="Key Account"/>
    <n v="1350"/>
    <s v="W10738949"/>
    <s v="Atuadores"/>
    <x v="2"/>
    <n v="5000"/>
    <n v="5004042"/>
    <s v="BRASIL WEB TRANSPORTES E LOGISTICA"/>
    <n v="223.92"/>
    <d v="2025-07-08T00:00:00"/>
  </r>
  <r>
    <n v="254042262"/>
    <n v="64796056"/>
    <s v="REB"/>
    <n v="8528043"/>
    <n v="176"/>
    <s v="PEÇAS - Defeito de fabric./Interrompido"/>
    <s v="FUNCIONAL"/>
    <x v="0"/>
    <n v="34532"/>
    <x v="220"/>
    <s v="SC"/>
    <n v="350"/>
    <s v="Ats On"/>
    <n v="1350"/>
    <s v="W11251568"/>
    <s v="Placas de Controle"/>
    <x v="1"/>
    <n v="1000"/>
    <n v="5003024"/>
    <s v="RODOBRAS TRANSPORTES RODOVIARIOS LT"/>
    <n v="223.91"/>
    <d v="2025-06-23T00:00:00"/>
  </r>
  <r>
    <n v="253952172"/>
    <n v="64725336"/>
    <s v="REB"/>
    <n v="9657662"/>
    <n v="173"/>
    <s v="PEÇAS - Defeito de fabric./Alta Amperage"/>
    <s v="FUNCIONAL"/>
    <x v="1"/>
    <n v="9991"/>
    <x v="86"/>
    <s v="DF"/>
    <n v="648"/>
    <s v="Ultra"/>
    <n v="1350"/>
    <s v="W10619167"/>
    <s v="Placas de Controle"/>
    <x v="1"/>
    <n v="1000"/>
    <n v="5002858"/>
    <s v="FAVORITA TRANSPORTES LTDA"/>
    <n v="223.87"/>
    <d v="2025-03-10T00:00:00"/>
  </r>
  <r>
    <n v="254039183"/>
    <n v="64817065"/>
    <s v="ZRDI"/>
    <n v="10103331"/>
    <n v="208"/>
    <s v="DEV-Atraso entrega- LOGISTICA(Transp)"/>
    <s v="TRANSPORTADORA"/>
    <x v="2"/>
    <n v="58040363"/>
    <x v="600"/>
    <s v="GO"/>
    <n v="474"/>
    <s v="Site Brastemp"/>
    <n v="1352"/>
    <s v="W10624070"/>
    <s v="Gavetas"/>
    <x v="9"/>
    <n v="1000"/>
    <n v="5002359"/>
    <s v="EMPRESA BRASILEIRA DE CORREIOS E"/>
    <n v="223.81"/>
    <d v="2025-07-24T00:00:00"/>
  </r>
  <r>
    <n v="254039183"/>
    <n v="64817065"/>
    <s v="ZRDI"/>
    <n v="10103331"/>
    <n v="208"/>
    <s v="DEV-Atraso entrega- LOGISTICA(Transp)"/>
    <s v="TRANSPORTADORA"/>
    <x v="2"/>
    <n v="58040363"/>
    <x v="600"/>
    <s v="GO"/>
    <n v="474"/>
    <s v="Site Brastemp"/>
    <n v="1352"/>
    <s v="W10624070"/>
    <s v="Gavetas"/>
    <x v="9"/>
    <n v="1000"/>
    <n v="5002359"/>
    <s v="EMPRESA BRASILEIRA DE CORREIOS E"/>
    <n v="223.81"/>
    <d v="2025-07-24T00:00:00"/>
  </r>
  <r>
    <s v="Sem TR"/>
    <n v="64814512"/>
    <s v="ZRDI"/>
    <n v="10142186"/>
    <s v="D10"/>
    <s v="DEV D2C - Comprou modelo errado"/>
    <s v="COMERCIAL"/>
    <x v="2"/>
    <n v="5734339"/>
    <x v="601"/>
    <s v="SP"/>
    <n v="474"/>
    <s v="Site Brastemp"/>
    <n v="1352"/>
    <n v="326050267"/>
    <s v="Queimadores"/>
    <x v="12"/>
    <n v="1000"/>
    <n v="5002359"/>
    <s v="EMPRESA BRASILEIRA DE CORREIOS E"/>
    <n v="223.79"/>
    <d v="2025-07-23T00:00:00"/>
  </r>
  <r>
    <s v="Sem TR"/>
    <n v="64814512"/>
    <s v="ZRDI"/>
    <n v="10142186"/>
    <s v="D10"/>
    <s v="DEV D2C - Comprou modelo errado"/>
    <s v="COMERCIAL"/>
    <x v="2"/>
    <n v="5734339"/>
    <x v="601"/>
    <s v="SP"/>
    <n v="474"/>
    <s v="Site Brastemp"/>
    <n v="1352"/>
    <n v="326050267"/>
    <s v="Queimadores"/>
    <x v="12"/>
    <n v="1000"/>
    <n v="5002359"/>
    <s v="EMPRESA BRASILEIRA DE CORREIOS E"/>
    <n v="223.79"/>
    <d v="2025-07-23T00:00:00"/>
  </r>
  <r>
    <n v="253981467"/>
    <n v="64758039"/>
    <s v="REB"/>
    <n v="9716169"/>
    <n v="173"/>
    <s v="PEÇAS - Defeito de fabric./Alta Amperage"/>
    <s v="FUNCIONAL"/>
    <x v="2"/>
    <n v="29164"/>
    <x v="32"/>
    <s v="BA"/>
    <n v="648"/>
    <s v="Ultra"/>
    <n v="1350"/>
    <s v="W10737721"/>
    <s v="Placas de Controle"/>
    <x v="1"/>
    <n v="1000"/>
    <n v="5004101"/>
    <s v="UNIDOCK'S ASSESSORIA E LOGISTICA DE"/>
    <n v="223.76"/>
    <d v="2025-04-25T00:00:00"/>
  </r>
  <r>
    <s v="Sem TR"/>
    <n v="64800433"/>
    <s v="ZRDI"/>
    <n v="10097786"/>
    <s v="D10"/>
    <s v="DEV D2C - Comprou modelo errado"/>
    <s v="COMERCIAL"/>
    <x v="2"/>
    <n v="53643413"/>
    <x v="602"/>
    <s v="CE"/>
    <n v="474"/>
    <s v="Site Brastemp"/>
    <n v="1352"/>
    <s v="W11161214"/>
    <s v="Placas de Interface"/>
    <x v="1"/>
    <n v="1000"/>
    <n v="5002359"/>
    <s v="EMPRESA BRASILEIRA DE CORREIOS E"/>
    <n v="223.75"/>
    <d v="2025-07-11T00:00:00"/>
  </r>
  <r>
    <s v="Sem TR"/>
    <n v="64800433"/>
    <s v="ZRDI"/>
    <n v="10097786"/>
    <s v="D10"/>
    <s v="DEV D2C - Comprou modelo errado"/>
    <s v="COMERCIAL"/>
    <x v="2"/>
    <n v="53643413"/>
    <x v="602"/>
    <s v="CE"/>
    <n v="474"/>
    <s v="Site Brastemp"/>
    <n v="1352"/>
    <s v="W11161214"/>
    <s v="Placas de Interface"/>
    <x v="1"/>
    <n v="1000"/>
    <n v="5002359"/>
    <s v="EMPRESA BRASILEIRA DE CORREIOS E"/>
    <n v="223.75"/>
    <d v="2025-07-11T00:00:00"/>
  </r>
  <r>
    <s v="Sem TR"/>
    <n v="64804528"/>
    <s v="ZRDI"/>
    <n v="10110350"/>
    <s v="D10"/>
    <s v="DEV D2C - Comprou modelo errado"/>
    <s v="COMERCIAL"/>
    <x v="2"/>
    <n v="52184779"/>
    <x v="603"/>
    <s v="SP"/>
    <n v="475"/>
    <s v="Site Consul"/>
    <n v="1352"/>
    <s v="W11509387"/>
    <s v="Filtros"/>
    <x v="5"/>
    <n v="2000"/>
    <n v="5002359"/>
    <s v="EMPRESA BRASILEIRA DE CORREIOS E"/>
    <n v="223.64"/>
    <d v="2025-07-03T00:00:00"/>
  </r>
  <r>
    <s v="Sem TR"/>
    <n v="64804528"/>
    <s v="ZRDI"/>
    <n v="10110350"/>
    <s v="D10"/>
    <s v="DEV D2C - Comprou modelo errado"/>
    <s v="COMERCIAL"/>
    <x v="2"/>
    <n v="52184779"/>
    <x v="603"/>
    <s v="SP"/>
    <n v="475"/>
    <s v="Site Consul"/>
    <n v="1352"/>
    <s v="W11509387"/>
    <s v="Filtros"/>
    <x v="5"/>
    <n v="2000"/>
    <n v="5002359"/>
    <s v="EMPRESA BRASILEIRA DE CORREIOS E"/>
    <n v="223.64"/>
    <d v="2025-07-03T00:00:00"/>
  </r>
  <r>
    <s v="Sem TR"/>
    <n v="64802397"/>
    <s v="ZRDI"/>
    <n v="10107973"/>
    <s v="D10"/>
    <s v="DEV D2C - Comprou modelo errado"/>
    <s v="COMERCIAL"/>
    <x v="2"/>
    <n v="55324148"/>
    <x v="604"/>
    <s v="RJ"/>
    <n v="475"/>
    <s v="Site Consul"/>
    <n v="1352"/>
    <s v="W11290900"/>
    <s v="Tampas Móveis"/>
    <x v="6"/>
    <n v="1000"/>
    <n v="5002359"/>
    <s v="EMPRESA BRASILEIRA DE CORREIOS E"/>
    <n v="223.32"/>
    <d v="2025-07-04T00:00:00"/>
  </r>
  <r>
    <n v="254012545"/>
    <n v="64764598"/>
    <s v="REB"/>
    <n v="10048031"/>
    <n v="167"/>
    <s v="PEÇAS - Avaria - Quebrada/Depósito"/>
    <s v="LOGÍSTICA"/>
    <x v="1"/>
    <n v="56043"/>
    <x v="48"/>
    <s v="PR"/>
    <n v="963"/>
    <s v="Ats Distribuidoras"/>
    <n v="1350"/>
    <n v="326040666"/>
    <s v="Gavetas"/>
    <x v="9"/>
    <n v="2000"/>
    <n v="5003024"/>
    <s v="RODOBRAS TRANSPORTES RODOVIARIOS LT"/>
    <n v="223.23"/>
    <d v="2025-06-10T00:00:00"/>
  </r>
  <r>
    <s v="Sem TR"/>
    <n v="64799490"/>
    <s v="ZRDI"/>
    <n v="10111050"/>
    <s v="D15"/>
    <s v="DEV D2C - Arrependimento modelo comprado"/>
    <s v="COMERCIAL"/>
    <x v="2"/>
    <n v="55079960"/>
    <x v="605"/>
    <s v="RJ"/>
    <n v="474"/>
    <s v="Site Brastemp"/>
    <n v="1352"/>
    <s v="W10866791"/>
    <s v="Kits Instalação"/>
    <x v="7"/>
    <n v="1000"/>
    <n v="5002359"/>
    <s v="EMPRESA BRASILEIRA DE CORREIOS E"/>
    <n v="222.96"/>
    <d v="2025-06-30T00:00:00"/>
  </r>
  <r>
    <s v="Sem TR"/>
    <n v="64799490"/>
    <s v="ZRDI"/>
    <n v="10111050"/>
    <s v="D15"/>
    <s v="DEV D2C - Arrependimento modelo comprado"/>
    <s v="COMERCIAL"/>
    <x v="2"/>
    <n v="55079960"/>
    <x v="605"/>
    <s v="RJ"/>
    <n v="474"/>
    <s v="Site Brastemp"/>
    <n v="1352"/>
    <s v="W10866791"/>
    <s v="Kits Instalação"/>
    <x v="7"/>
    <n v="1000"/>
    <n v="5002359"/>
    <s v="EMPRESA BRASILEIRA DE CORREIOS E"/>
    <n v="222.96"/>
    <d v="2025-06-30T00:00:00"/>
  </r>
  <r>
    <s v="Sem TR"/>
    <n v="64817992"/>
    <s v="ZRDI"/>
    <n v="10116360"/>
    <s v="D18"/>
    <s v="DEV D2C - Arrependimento não quero mais"/>
    <s v="COMERCIAL"/>
    <x v="1"/>
    <n v="54566828"/>
    <x v="606"/>
    <s v="RJ"/>
    <n v="474"/>
    <s v="Site Brastemp"/>
    <n v="1352"/>
    <s v="W10866791"/>
    <s v="Kits Instalação"/>
    <x v="7"/>
    <n v="1000"/>
    <n v="5002359"/>
    <s v="EMPRESA BRASILEIRA DE CORREIOS E"/>
    <n v="222.96"/>
    <d v="2025-07-30T00:00:00"/>
  </r>
  <r>
    <n v="254035415"/>
    <n v="64812418"/>
    <s v="REB"/>
    <n v="10126496"/>
    <n v="176"/>
    <s v="PEÇAS - Defeito de fabric./Interrompido"/>
    <s v="FUNCIONAL"/>
    <x v="1"/>
    <n v="70149"/>
    <x v="147"/>
    <s v="SP"/>
    <n v="963"/>
    <s v="Ats Distribuidoras"/>
    <n v="1350"/>
    <s v="W10711361"/>
    <s v="Placas de Interface"/>
    <x v="1"/>
    <n v="1000"/>
    <n v="5004042"/>
    <s v="BRASIL WEB TRANSPORTES E LOGISTICA"/>
    <n v="222.84"/>
    <d v="2025-07-17T00:00:00"/>
  </r>
  <r>
    <n v="254035341"/>
    <n v="64811802"/>
    <s v="REB"/>
    <n v="10101290"/>
    <n v="104"/>
    <s v="PEÇAS-Código trocado(embalag X conteúdo)"/>
    <s v="LOGÍSTICA"/>
    <x v="1"/>
    <n v="9991"/>
    <x v="86"/>
    <s v="DF"/>
    <n v="648"/>
    <s v="Ultra"/>
    <n v="1350"/>
    <s v="W10268575"/>
    <s v="Gaxetas"/>
    <x v="4"/>
    <n v="5000"/>
    <n v="5002858"/>
    <s v="FAVORITA TRANSPORTES LTDA"/>
    <n v="222.7"/>
    <d v="2025-07-17T00:00:00"/>
  </r>
  <r>
    <s v="Sem TR"/>
    <n v="64789089"/>
    <s v="REB"/>
    <n v="10058163"/>
    <n v="509"/>
    <s v="Qtd de peças a Menor dentro do Volume"/>
    <s v="LOGÍSTICA"/>
    <x v="1"/>
    <n v="28162"/>
    <x v="203"/>
    <s v="SP"/>
    <n v="641"/>
    <s v="CDP Diamante"/>
    <n v="1350"/>
    <s v="W10539793"/>
    <s v="Capas"/>
    <x v="6"/>
    <n v="7000"/>
    <n v="5002359"/>
    <s v="EMPRESA BRASILEIRA DE CORREIOS E"/>
    <n v="222.08"/>
    <d v="2025-06-10T00:00:00"/>
  </r>
  <r>
    <s v="Sem TR"/>
    <n v="64796081"/>
    <s v="ZRDI"/>
    <n v="10102621"/>
    <s v="D18"/>
    <s v="DEV D2C - Arrependimento não quero mais"/>
    <s v="COMERCIAL"/>
    <x v="2"/>
    <n v="58058670"/>
    <x v="607"/>
    <s v="MG"/>
    <n v="474"/>
    <s v="Site Brastemp"/>
    <n v="1352"/>
    <s v="W10866790"/>
    <s v="Kits Instalação"/>
    <x v="7"/>
    <n v="1000"/>
    <n v="5002359"/>
    <s v="EMPRESA BRASILEIRA DE CORREIOS E"/>
    <n v="222.02"/>
    <d v="2025-06-27T00:00:00"/>
  </r>
  <r>
    <n v="254018242"/>
    <n v="64793495"/>
    <s v="REB"/>
    <n v="9480704"/>
    <n v="173"/>
    <s v="PEÇAS - Defeito de fabric./Alta Amperage"/>
    <s v="FUNCIONAL"/>
    <x v="1"/>
    <n v="27770"/>
    <x v="37"/>
    <s v="AL"/>
    <n v="641"/>
    <s v="CDP Diamante"/>
    <n v="1350"/>
    <s v="W10709306"/>
    <s v="Placas de Controle"/>
    <x v="1"/>
    <n v="1000"/>
    <n v="5004101"/>
    <s v="UNIDOCK'S ASSESSORIA E LOGISTICA DE"/>
    <n v="221.8"/>
    <d v="2025-06-17T00:00:00"/>
  </r>
  <r>
    <n v="253970832"/>
    <n v="64748559"/>
    <s v="REB"/>
    <n v="9542836"/>
    <n v="173"/>
    <s v="PEÇAS - Defeito de fabric./Alta Amperage"/>
    <s v="FUNCIONAL"/>
    <x v="1"/>
    <n v="55451"/>
    <x v="245"/>
    <s v="SP"/>
    <n v="934"/>
    <s v="CDP Ouro"/>
    <n v="1350"/>
    <s v="W11482942"/>
    <s v="Placas de Controle"/>
    <x v="1"/>
    <n v="1000"/>
    <n v="5004042"/>
    <s v="BRASIL WEB TRANSPORTES E LOGISTICA"/>
    <n v="221.79"/>
    <d v="2025-04-09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169475"/>
    <s v="Dutos"/>
    <x v="0"/>
    <n v="15000"/>
    <n v="5004101"/>
    <s v="UNIDOCK'S ASSESSORIA E LOGISTICA DE"/>
    <n v="221.59"/>
    <d v="2025-06-24T00:00:00"/>
  </r>
  <r>
    <s v="Sem TR"/>
    <n v="64817406"/>
    <s v="ROB"/>
    <n v="10055109"/>
    <n v="220"/>
    <s v="DEV-Avaria 1 trecho transp - Produto"/>
    <s v="QUALIDADE"/>
    <x v="1"/>
    <n v="4952"/>
    <x v="608"/>
    <s v="RS"/>
    <n v="350"/>
    <s v="Ats On"/>
    <n v="1350"/>
    <s v="W11228626"/>
    <s v="Placas de Interface"/>
    <x v="1"/>
    <n v="1000"/>
    <n v="5003024"/>
    <s v="RODOBRAS TRANSPORTES RODOVIARIOS LT"/>
    <n v="221.5"/>
    <d v="2025-07-25T00:00:00"/>
  </r>
  <r>
    <n v="254038398"/>
    <n v="64808087"/>
    <s v="REB"/>
    <n v="10101123"/>
    <n v="177"/>
    <s v="PEÇAS - Defeito de fabric./Ruído"/>
    <s v="FUNCIONAL"/>
    <x v="0"/>
    <n v="80432"/>
    <x v="3"/>
    <s v="ES"/>
    <n v="713"/>
    <s v="Key Account"/>
    <n v="1350"/>
    <s v="W11300698"/>
    <s v="Mecanismos"/>
    <x v="2"/>
    <n v="1000"/>
    <n v="5004042"/>
    <s v="BRASIL WEB TRANSPORTES E LOGISTICA"/>
    <n v="221.46"/>
    <d v="2025-07-22T00:00:00"/>
  </r>
  <r>
    <n v="254038294"/>
    <n v="64814860"/>
    <s v="REB"/>
    <n v="9767810"/>
    <n v="176"/>
    <s v="PEÇAS - Defeito de fabric./Interrompido"/>
    <s v="FUNCIONAL"/>
    <x v="1"/>
    <n v="4318"/>
    <x v="89"/>
    <s v="SC"/>
    <n v="931"/>
    <s v="Ats Off"/>
    <n v="1350"/>
    <n v="326073243"/>
    <s v="Placas de Controle"/>
    <x v="1"/>
    <n v="2000"/>
    <n v="5003024"/>
    <s v="RODOBRAS TRANSPORTES RODOVIARIOS LT"/>
    <n v="221.45"/>
    <d v="2025-07-22T00:00:00"/>
  </r>
  <r>
    <s v="Sem TR"/>
    <n v="64805485"/>
    <s v="ZRDI"/>
    <n v="10095803"/>
    <s v="D10"/>
    <s v="DEV D2C - Comprou modelo errado"/>
    <s v="COMERCIAL"/>
    <x v="2"/>
    <n v="58104064"/>
    <x v="609"/>
    <s v="SC"/>
    <n v="475"/>
    <s v="Site Consul"/>
    <n v="1352"/>
    <s v="W11300506"/>
    <s v="Tampas Fixas"/>
    <x v="6"/>
    <n v="1000"/>
    <n v="5002359"/>
    <s v="EMPRESA BRASILEIRA DE CORREIOS E"/>
    <n v="221.23"/>
    <d v="2025-07-08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1573273"/>
    <s v="Resistências"/>
    <x v="1"/>
    <n v="3000"/>
    <n v="5004101"/>
    <s v="UNIDOCK'S ASSESSORIA E LOGISTICA DE"/>
    <n v="221.22"/>
    <d v="2025-06-24T00:00:00"/>
  </r>
  <r>
    <s v="Sem TR"/>
    <n v="64817383"/>
    <s v="REB"/>
    <n v="10126216"/>
    <n v="173"/>
    <s v="PEÇAS - Defeito de fabric./Alta Amperage"/>
    <s v="FUNCIONAL"/>
    <x v="1"/>
    <n v="69166"/>
    <x v="129"/>
    <s v="RJ"/>
    <n v="931"/>
    <s v="Ats Off"/>
    <n v="1350"/>
    <s v="W11580984"/>
    <s v="Placas de Controle"/>
    <x v="1"/>
    <n v="1000"/>
    <n v="5003176"/>
    <s v="J C THEDIN TRANSPORTES LTDA"/>
    <n v="221.19"/>
    <d v="2025-07-25T00:00:00"/>
  </r>
  <r>
    <n v="254035313"/>
    <n v="64812342"/>
    <s v="REB"/>
    <n v="10072348"/>
    <n v="173"/>
    <s v="PEÇAS - Defeito de fabric./Alta Amperage"/>
    <s v="FUNCIONAL"/>
    <x v="2"/>
    <n v="66"/>
    <x v="73"/>
    <s v="GO"/>
    <n v="931"/>
    <s v="Ats Off"/>
    <n v="1350"/>
    <s v="W11199202"/>
    <s v="Placas de Controle"/>
    <x v="1"/>
    <n v="1000"/>
    <n v="5002858"/>
    <s v="FAVORITA TRANSPORTES LTDA"/>
    <n v="221.11"/>
    <d v="2025-07-17T00:00:00"/>
  </r>
  <r>
    <n v="253970732"/>
    <n v="64749099"/>
    <s v="REB"/>
    <n v="9917582"/>
    <n v="173"/>
    <s v="PEÇAS - Defeito de fabric./Alta Amperage"/>
    <s v="FUNCIONAL"/>
    <x v="1"/>
    <n v="13757"/>
    <x v="14"/>
    <s v="SP"/>
    <n v="713"/>
    <s v="Key Account"/>
    <n v="1350"/>
    <s v="W11299803"/>
    <s v="Mecanismos"/>
    <x v="2"/>
    <n v="2000"/>
    <n v="5004042"/>
    <s v="BRASIL WEB TRANSPORTES E LOGISTICA"/>
    <n v="221"/>
    <d v="2025-04-09T00:00:00"/>
  </r>
  <r>
    <n v="253807914"/>
    <n v="64585179"/>
    <s v="REB"/>
    <n v="9371800"/>
    <n v="90"/>
    <s v="CLIENTE-não solicitou"/>
    <s v="COMERCIAL"/>
    <x v="2"/>
    <n v="29706"/>
    <x v="149"/>
    <s v="RN"/>
    <n v="644"/>
    <s v="Plus"/>
    <n v="1350"/>
    <s v="W11435400"/>
    <s v="Placas de Controle"/>
    <x v="1"/>
    <n v="1000"/>
    <n v="5004101"/>
    <s v="UNIDOCK'S ASSESSORIA E LOGISTICA DE"/>
    <n v="220.99"/>
    <d v="2024-07-30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678919"/>
    <s v="Placas de Controle"/>
    <x v="1"/>
    <n v="3000"/>
    <n v="5004101"/>
    <s v="UNIDOCK'S ASSESSORIA E LOGISTICA DE"/>
    <n v="220.83"/>
    <d v="2025-06-24T00:00:00"/>
  </r>
  <r>
    <n v="254033427"/>
    <n v="64807310"/>
    <s v="REB"/>
    <n v="9887508"/>
    <n v="176"/>
    <s v="PEÇAS - Defeito de fabric./Interrompido"/>
    <s v="FUNCIONAL"/>
    <x v="0"/>
    <n v="62872"/>
    <x v="610"/>
    <s v="SP"/>
    <n v="644"/>
    <s v="Plus"/>
    <n v="1350"/>
    <s v="W11435390"/>
    <s v="Placas de Controle"/>
    <x v="1"/>
    <n v="1000"/>
    <n v="5004042"/>
    <s v="BRASIL WEB TRANSPORTES E LOGISTICA"/>
    <n v="220.74"/>
    <d v="2025-07-08T00:00:00"/>
  </r>
  <r>
    <n v="253948496"/>
    <n v="64725598"/>
    <s v="REB"/>
    <n v="9761938"/>
    <n v="173"/>
    <s v="PEÇAS - Defeito de fabric./Alta Amperage"/>
    <s v="FUNCIONAL"/>
    <x v="1"/>
    <n v="31587"/>
    <x v="135"/>
    <s v="SP"/>
    <n v="643"/>
    <s v="Elite"/>
    <n v="1350"/>
    <s v="W11603416"/>
    <s v="Placas de Controle"/>
    <x v="1"/>
    <n v="1000"/>
    <n v="5004042"/>
    <s v="BRASIL WEB TRANSPORTES E LOGISTICA"/>
    <n v="220.68"/>
    <d v="2025-03-07T00:00:00"/>
  </r>
  <r>
    <n v="254033951"/>
    <n v="64812510"/>
    <s v="ZRDI"/>
    <n v="10099994"/>
    <n v="208"/>
    <s v="DEV-Atraso entrega- LOGISTICA(Transp)"/>
    <s v="TRANSPORTADORA"/>
    <x v="2"/>
    <n v="58103823"/>
    <x v="611"/>
    <s v="RN"/>
    <n v="474"/>
    <s v="Site Brastemp"/>
    <n v="1352"/>
    <s v="W10866791"/>
    <s v="Kits Instalação"/>
    <x v="7"/>
    <n v="2000"/>
    <n v="5002359"/>
    <s v="EMPRESA BRASILEIRA DE CORREIOS E"/>
    <n v="220.52"/>
    <d v="2025-07-17T00:00:00"/>
  </r>
  <r>
    <n v="254033951"/>
    <n v="64812510"/>
    <s v="ZRDI"/>
    <n v="10099994"/>
    <n v="208"/>
    <s v="DEV-Atraso entrega- LOGISTICA(Transp)"/>
    <s v="TRANSPORTADORA"/>
    <x v="2"/>
    <n v="58103823"/>
    <x v="611"/>
    <s v="RN"/>
    <n v="474"/>
    <s v="Site Brastemp"/>
    <n v="1352"/>
    <s v="W10866791"/>
    <s v="Kits Instalação"/>
    <x v="7"/>
    <n v="2000"/>
    <n v="5002359"/>
    <s v="EMPRESA BRASILEIRA DE CORREIOS E"/>
    <n v="220.52"/>
    <d v="2025-07-17T00:00:00"/>
  </r>
  <r>
    <n v="254017685"/>
    <n v="64756927"/>
    <s v="ZDVP"/>
    <n v="9897571"/>
    <n v="173"/>
    <s v="PEÇAS - Defeito de fabric./Alta Amperage"/>
    <s v="FUNCIONAL"/>
    <x v="2"/>
    <n v="81338"/>
    <x v="354"/>
    <s v="SP"/>
    <n v="644"/>
    <s v="Plus"/>
    <n v="1350"/>
    <s v="W11299803"/>
    <s v="Mecanismos"/>
    <x v="2"/>
    <n v="2000"/>
    <n v="5004042"/>
    <s v="BRASIL WEB TRANSPORTES E LOGISTICA"/>
    <n v="220.42"/>
    <d v="2025-04-25T00:00:00"/>
  </r>
  <r>
    <s v="Sem TR"/>
    <n v="64802848"/>
    <s v="ZRDI"/>
    <n v="10151007"/>
    <s v="D10"/>
    <s v="DEV D2C - Comprou modelo errado"/>
    <s v="COMERCIAL"/>
    <x v="1"/>
    <n v="51237326"/>
    <x v="612"/>
    <s v="PR"/>
    <n v="474"/>
    <s v="Site Brastemp"/>
    <n v="1352"/>
    <s v="W11161214"/>
    <s v="Placas de Interface"/>
    <x v="1"/>
    <n v="1000"/>
    <n v="5002359"/>
    <s v="EMPRESA BRASILEIRA DE CORREIOS E"/>
    <n v="220.11"/>
    <d v="2025-07-30T00:00:00"/>
  </r>
  <r>
    <n v="254041867"/>
    <n v="64785946"/>
    <s v="REB"/>
    <n v="10015588"/>
    <n v="177"/>
    <s v="PEÇAS - Defeito de fabric./Ruído"/>
    <s v="FUNCIONAL"/>
    <x v="0"/>
    <n v="80834"/>
    <x v="346"/>
    <s v="RO"/>
    <n v="934"/>
    <s v="CDP Ouro"/>
    <n v="1350"/>
    <s v="W11299803"/>
    <s v="Mecanismos"/>
    <x v="2"/>
    <n v="2000"/>
    <n v="5002858"/>
    <s v="FAVORITA TRANSPORTES LTDA"/>
    <n v="220.1"/>
    <d v="2025-06-23T00:00:00"/>
  </r>
  <r>
    <s v="Sem TR"/>
    <n v="64802348"/>
    <s v="ZRDI"/>
    <n v="10109455"/>
    <s v="D18"/>
    <s v="DEV D2C - Arrependimento não quero mais"/>
    <s v="COMERCIAL"/>
    <x v="2"/>
    <n v="58121078"/>
    <x v="613"/>
    <s v="SP"/>
    <n v="474"/>
    <s v="Site Brastemp"/>
    <n v="1352"/>
    <s v="W10866791"/>
    <s v="Kits Instalação"/>
    <x v="7"/>
    <n v="1000"/>
    <n v="5002359"/>
    <s v="EMPRESA BRASILEIRA DE CORREIOS E"/>
    <n v="219.89"/>
    <d v="2025-07-16T00:00:00"/>
  </r>
  <r>
    <s v="Sem TR"/>
    <n v="64802820"/>
    <s v="ZRDI"/>
    <n v="10114220"/>
    <s v="D18"/>
    <s v="DEV D2C - Arrependimento não quero mais"/>
    <s v="COMERCIAL"/>
    <x v="2"/>
    <n v="58082281"/>
    <x v="153"/>
    <s v="SP"/>
    <n v="474"/>
    <s v="Site Brastemp"/>
    <n v="1352"/>
    <s v="W10866791"/>
    <s v="Kits Instalação"/>
    <x v="7"/>
    <n v="1000"/>
    <n v="5002359"/>
    <s v="EMPRESA BRASILEIRA DE CORREIOS E"/>
    <n v="219.89"/>
    <d v="2025-07-05T00:00:00"/>
  </r>
  <r>
    <s v="Sem TR"/>
    <n v="64804931"/>
    <s v="ZRDI"/>
    <n v="10112817"/>
    <s v="D18"/>
    <s v="DEV D2C - Arrependimento não quero mais"/>
    <s v="COMERCIAL"/>
    <x v="2"/>
    <n v="58123175"/>
    <x v="614"/>
    <s v="SP"/>
    <n v="474"/>
    <s v="Site Brastemp"/>
    <n v="1352"/>
    <s v="W10866791"/>
    <s v="Kits Instalação"/>
    <x v="7"/>
    <n v="1000"/>
    <n v="5002359"/>
    <s v="EMPRESA BRASILEIRA DE CORREIOS E"/>
    <n v="219.89"/>
    <d v="2025-07-04T00:00:00"/>
  </r>
  <r>
    <s v="Sem TR"/>
    <n v="64809242"/>
    <s v="ZRDI"/>
    <n v="10132294"/>
    <s v="D10"/>
    <s v="DEV D2C - Comprou modelo errado"/>
    <s v="COMERCIAL"/>
    <x v="2"/>
    <n v="50804755"/>
    <x v="615"/>
    <s v="SP"/>
    <n v="346"/>
    <s v="Carteira B"/>
    <n v="1352"/>
    <s v="W10866790"/>
    <s v="Kits Instalação"/>
    <x v="7"/>
    <n v="1000"/>
    <n v="5002359"/>
    <s v="EMPRESA BRASILEIRA DE CORREIOS E"/>
    <n v="219.89"/>
    <d v="2025-07-18T00:00:00"/>
  </r>
  <r>
    <s v="Sem TR"/>
    <n v="64812537"/>
    <s v="ZRDI"/>
    <n v="10126922"/>
    <s v="D18"/>
    <s v="DEV D2C - Arrependimento não quero mais"/>
    <s v="COMERCIAL"/>
    <x v="2"/>
    <n v="51127402"/>
    <x v="616"/>
    <s v="SP"/>
    <n v="474"/>
    <s v="Site Brastemp"/>
    <n v="1352"/>
    <s v="W10866791"/>
    <s v="Kits Instalação"/>
    <x v="7"/>
    <n v="1000"/>
    <n v="5002359"/>
    <s v="EMPRESA BRASILEIRA DE CORREIOS E"/>
    <n v="219.89"/>
    <d v="2025-07-23T00:00:00"/>
  </r>
  <r>
    <s v="Sem TR"/>
    <n v="64814374"/>
    <s v="ZRDI"/>
    <n v="10114395"/>
    <n v="208"/>
    <s v="DEV-Atraso entrega- LOGISTICA(Transp)"/>
    <s v="TRANSPORTADORA"/>
    <x v="2"/>
    <n v="58126622"/>
    <x v="617"/>
    <s v="SP"/>
    <n v="474"/>
    <s v="Site Brastemp"/>
    <n v="1352"/>
    <s v="W10866791"/>
    <s v="Kits Instalação"/>
    <x v="7"/>
    <n v="1000"/>
    <n v="5002359"/>
    <s v="EMPRESA BRASILEIRA DE CORREIOS E"/>
    <n v="219.89"/>
    <d v="2025-07-22T00:00:00"/>
  </r>
  <r>
    <n v="254037106"/>
    <n v="64815019"/>
    <s v="ZRDI"/>
    <n v="10144283"/>
    <n v="208"/>
    <s v="DEV-Atraso entrega- LOGISTICA(Transp)"/>
    <s v="TRANSPORTADORA"/>
    <x v="2"/>
    <n v="58153909"/>
    <x v="618"/>
    <s v="SP"/>
    <n v="474"/>
    <s v="Site Brastemp"/>
    <n v="1352"/>
    <s v="W10866791"/>
    <s v="Kits Instalação"/>
    <x v="7"/>
    <n v="1000"/>
    <n v="5002359"/>
    <s v="EMPRESA BRASILEIRA DE CORREIOS E"/>
    <n v="219.89"/>
    <d v="2025-07-22T00:00:00"/>
  </r>
  <r>
    <s v="Sem TR"/>
    <n v="64815390"/>
    <s v="ZRDI"/>
    <n v="10144296"/>
    <s v="D18"/>
    <s v="DEV D2C - Arrependimento não quero mais"/>
    <s v="COMERCIAL"/>
    <x v="2"/>
    <n v="58155870"/>
    <x v="619"/>
    <s v="SP"/>
    <n v="474"/>
    <s v="Site Brastemp"/>
    <n v="1352"/>
    <s v="W10866791"/>
    <s v="Kits Instalação"/>
    <x v="7"/>
    <n v="1000"/>
    <n v="5002359"/>
    <s v="EMPRESA BRASILEIRA DE CORREIOS E"/>
    <n v="219.89"/>
    <d v="2025-07-23T00:00:00"/>
  </r>
  <r>
    <s v="Sem TR"/>
    <n v="64802348"/>
    <s v="ZRDI"/>
    <n v="10109455"/>
    <s v="D18"/>
    <s v="DEV D2C - Arrependimento não quero mais"/>
    <s v="COMERCIAL"/>
    <x v="2"/>
    <n v="58121078"/>
    <x v="613"/>
    <s v="SP"/>
    <n v="474"/>
    <s v="Site Brastemp"/>
    <n v="1352"/>
    <s v="W10866791"/>
    <s v="Kits Instalação"/>
    <x v="7"/>
    <n v="1000"/>
    <n v="5002359"/>
    <s v="EMPRESA BRASILEIRA DE CORREIOS E"/>
    <n v="219.89"/>
    <d v="2025-07-16T00:00:00"/>
  </r>
  <r>
    <s v="Sem TR"/>
    <n v="64809242"/>
    <s v="ZRDI"/>
    <n v="10132294"/>
    <s v="D10"/>
    <s v="DEV D2C - Comprou modelo errado"/>
    <s v="COMERCIAL"/>
    <x v="2"/>
    <n v="50804755"/>
    <x v="615"/>
    <s v="SP"/>
    <n v="346"/>
    <s v="Carteira B"/>
    <n v="1352"/>
    <s v="W10866790"/>
    <s v="Kits Instalação"/>
    <x v="7"/>
    <n v="1000"/>
    <n v="5002359"/>
    <s v="EMPRESA BRASILEIRA DE CORREIOS E"/>
    <n v="219.89"/>
    <d v="2025-07-18T00:00:00"/>
  </r>
  <r>
    <s v="Sem TR"/>
    <n v="64812537"/>
    <s v="ZRDI"/>
    <n v="10126922"/>
    <s v="D18"/>
    <s v="DEV D2C - Arrependimento não quero mais"/>
    <s v="COMERCIAL"/>
    <x v="2"/>
    <n v="51127402"/>
    <x v="616"/>
    <s v="SP"/>
    <n v="474"/>
    <s v="Site Brastemp"/>
    <n v="1352"/>
    <s v="W10866791"/>
    <s v="Kits Instalação"/>
    <x v="7"/>
    <n v="1000"/>
    <n v="5002359"/>
    <s v="EMPRESA BRASILEIRA DE CORREIOS E"/>
    <n v="219.89"/>
    <d v="2025-07-23T00:00:00"/>
  </r>
  <r>
    <n v="254037106"/>
    <n v="64815019"/>
    <s v="ZRDI"/>
    <n v="10144283"/>
    <n v="208"/>
    <s v="DEV-Atraso entrega- LOGISTICA(Transp)"/>
    <s v="TRANSPORTADORA"/>
    <x v="2"/>
    <n v="58153909"/>
    <x v="618"/>
    <s v="SP"/>
    <n v="474"/>
    <s v="Site Brastemp"/>
    <n v="1352"/>
    <s v="W10866791"/>
    <s v="Kits Instalação"/>
    <x v="7"/>
    <n v="1000"/>
    <n v="5002359"/>
    <s v="EMPRESA BRASILEIRA DE CORREIOS E"/>
    <n v="219.89"/>
    <d v="2025-07-22T00:00:00"/>
  </r>
  <r>
    <s v="Sem TR"/>
    <n v="64815390"/>
    <s v="ZRDI"/>
    <n v="10144296"/>
    <s v="D18"/>
    <s v="DEV D2C - Arrependimento não quero mais"/>
    <s v="COMERCIAL"/>
    <x v="2"/>
    <n v="58155870"/>
    <x v="619"/>
    <s v="SP"/>
    <n v="474"/>
    <s v="Site Brastemp"/>
    <n v="1352"/>
    <s v="W10866791"/>
    <s v="Kits Instalação"/>
    <x v="7"/>
    <n v="1000"/>
    <n v="5002359"/>
    <s v="EMPRESA BRASILEIRA DE CORREIOS E"/>
    <n v="219.89"/>
    <d v="2025-07-23T00:00:00"/>
  </r>
  <r>
    <s v="Sem TR"/>
    <n v="64815513"/>
    <s v="ZRDI"/>
    <n v="10119646"/>
    <s v="D35"/>
    <s v="DEV D2C - Prod difere do comprado"/>
    <s v="COMERCIAL"/>
    <x v="1"/>
    <n v="58131689"/>
    <x v="620"/>
    <s v="SP"/>
    <n v="475"/>
    <s v="Site Consul"/>
    <n v="1352"/>
    <s v="W10866791"/>
    <s v="Kits Instalação"/>
    <x v="7"/>
    <n v="1000"/>
    <n v="5002359"/>
    <s v="EMPRESA BRASILEIRA DE CORREIOS E"/>
    <n v="219.89"/>
    <d v="2025-07-28T00:00:00"/>
  </r>
  <r>
    <s v="Sem TR"/>
    <n v="64797820"/>
    <s v="ZRDI"/>
    <n v="10099595"/>
    <s v="D35"/>
    <s v="DEV D2C - Prod difere do comprado"/>
    <s v="COMERCIAL"/>
    <x v="2"/>
    <n v="52011451"/>
    <x v="621"/>
    <s v="SP"/>
    <n v="474"/>
    <s v="Site Brastemp"/>
    <n v="1352"/>
    <s v="W10866791"/>
    <s v="Kits Instalação"/>
    <x v="7"/>
    <n v="2000"/>
    <n v="5002359"/>
    <s v="EMPRESA BRASILEIRA DE CORREIOS E"/>
    <n v="219.78"/>
    <d v="2025-06-26T00:00:00"/>
  </r>
  <r>
    <s v="Sem TR"/>
    <n v="64804553"/>
    <s v="ZRDI"/>
    <n v="10080790"/>
    <s v="D18"/>
    <s v="DEV D2C - Arrependimento não quero mais"/>
    <s v="COMERCIAL"/>
    <x v="2"/>
    <n v="58076106"/>
    <x v="622"/>
    <s v="SP"/>
    <n v="466"/>
    <s v="Sup ML Marketplace"/>
    <n v="1352"/>
    <s v="W11509386"/>
    <s v="Filtros"/>
    <x v="5"/>
    <n v="2000"/>
    <n v="5002359"/>
    <s v="EMPRESA BRASILEIRA DE CORREIOS E"/>
    <n v="219.18"/>
    <d v="2025-07-03T00:00:00"/>
  </r>
  <r>
    <s v="Sem TR"/>
    <n v="64804553"/>
    <s v="ZRDI"/>
    <n v="10080790"/>
    <s v="D18"/>
    <s v="DEV D2C - Arrependimento não quero mais"/>
    <s v="COMERCIAL"/>
    <x v="2"/>
    <n v="58076106"/>
    <x v="622"/>
    <s v="SP"/>
    <n v="466"/>
    <s v="Sup ML Marketplace"/>
    <n v="1352"/>
    <s v="W11509386"/>
    <s v="Filtros"/>
    <x v="5"/>
    <n v="2000"/>
    <n v="5002359"/>
    <s v="EMPRESA BRASILEIRA DE CORREIOS E"/>
    <n v="219.18"/>
    <d v="2025-07-03T00:00:00"/>
  </r>
  <r>
    <n v="253952142"/>
    <n v="64728389"/>
    <s v="REB"/>
    <n v="9841319"/>
    <n v="176"/>
    <s v="PEÇAS - Defeito de fabric./Interrompido"/>
    <s v="FUNCIONAL"/>
    <x v="1"/>
    <n v="3524"/>
    <x v="93"/>
    <s v="SP"/>
    <n v="931"/>
    <s v="Ats Off"/>
    <n v="1350"/>
    <s v="W11573342"/>
    <s v="Placas de Controle"/>
    <x v="1"/>
    <n v="1000"/>
    <n v="5004042"/>
    <s v="BRASIL WEB TRANSPORTES E LOGISTICA"/>
    <n v="219.1"/>
    <d v="2025-03-10T00:00:00"/>
  </r>
  <r>
    <n v="253926251"/>
    <n v="64687778"/>
    <s v="REB"/>
    <n v="9457160"/>
    <n v="671"/>
    <s v="DEV-ENVIADO PARA GESTÃO DE CONSEQUENCIA"/>
    <s v="TRANSPORTADORA"/>
    <x v="1"/>
    <n v="26939"/>
    <x v="126"/>
    <s v="PR"/>
    <n v="643"/>
    <s v="Elite"/>
    <n v="1350"/>
    <n v="326059370"/>
    <s v="Placas de Controle"/>
    <x v="1"/>
    <n v="1000"/>
    <n v="5003024"/>
    <s v="RODOBRAS TRANSPORTES RODOVIARIOS LT"/>
    <n v="219.08"/>
    <d v="2025-01-09T00:00:00"/>
  </r>
  <r>
    <n v="253952167"/>
    <n v="64725313"/>
    <s v="REB"/>
    <n v="9869610"/>
    <n v="173"/>
    <s v="PEÇAS - Defeito de fabric./Alta Amperage"/>
    <s v="FUNCIONAL"/>
    <x v="1"/>
    <n v="9452"/>
    <x v="42"/>
    <s v="SP"/>
    <n v="931"/>
    <s v="Ats Off"/>
    <n v="1350"/>
    <s v="W10276002"/>
    <s v="Motores"/>
    <x v="1"/>
    <n v="1000"/>
    <n v="5004042"/>
    <s v="BRASIL WEB TRANSPORTES E LOGISTICA"/>
    <n v="219.01"/>
    <d v="2025-03-10T00:00:00"/>
  </r>
  <r>
    <n v="254007520"/>
    <n v="64777698"/>
    <s v="REB"/>
    <n v="10041658"/>
    <n v="173"/>
    <s v="PEÇAS - Defeito de fabric./Alta Amperage"/>
    <s v="FUNCIONAL"/>
    <x v="1"/>
    <n v="9452"/>
    <x v="42"/>
    <s v="SP"/>
    <n v="931"/>
    <s v="Ats Off"/>
    <n v="1350"/>
    <s v="W10276002"/>
    <s v="Motores"/>
    <x v="1"/>
    <n v="1000"/>
    <n v="5004042"/>
    <s v="BRASIL WEB TRANSPORTES E LOGISTICA"/>
    <n v="219.01"/>
    <d v="2025-06-02T00:00:00"/>
  </r>
  <r>
    <n v="254041842"/>
    <n v="64795890"/>
    <s v="REB"/>
    <n v="10063014"/>
    <n v="167"/>
    <s v="PEÇAS - Avaria - Quebrada/Depósito"/>
    <s v="LOGÍSTICA"/>
    <x v="0"/>
    <n v="53319"/>
    <x v="172"/>
    <s v="PR"/>
    <n v="644"/>
    <s v="Plus"/>
    <n v="1350"/>
    <s v="W10169464"/>
    <s v="Defletores/Difusores"/>
    <x v="5"/>
    <n v="7000"/>
    <n v="5003024"/>
    <s v="RODOBRAS TRANSPORTES RODOVIARIOS LT"/>
    <n v="218.94"/>
    <d v="2025-06-23T00:00:00"/>
  </r>
  <r>
    <n v="254035325"/>
    <n v="64812315"/>
    <s v="REB"/>
    <n v="10113100"/>
    <n v="176"/>
    <s v="PEÇAS - Defeito de fabric./Interrompido"/>
    <s v="FUNCIONAL"/>
    <x v="0"/>
    <n v="3506"/>
    <x v="46"/>
    <s v="SP"/>
    <n v="931"/>
    <s v="Ats Off"/>
    <n v="1350"/>
    <s v="W10160032"/>
    <s v="Transformadores"/>
    <x v="1"/>
    <n v="1000"/>
    <n v="5004042"/>
    <s v="BRASIL WEB TRANSPORTES E LOGISTICA"/>
    <n v="218.92"/>
    <d v="2025-07-17T00:00:00"/>
  </r>
  <r>
    <n v="254035358"/>
    <n v="64812346"/>
    <s v="REB"/>
    <n v="10041129"/>
    <n v="176"/>
    <s v="PEÇAS - Defeito de fabric./Interrompido"/>
    <s v="FUNCIONAL"/>
    <x v="1"/>
    <n v="22211"/>
    <x v="146"/>
    <s v="SC"/>
    <n v="644"/>
    <s v="Plus"/>
    <n v="1350"/>
    <s v="W10855670"/>
    <s v="Placas de Controle"/>
    <x v="1"/>
    <n v="1000"/>
    <n v="5003024"/>
    <s v="RODOBRAS TRANSPORTES RODOVIARIOS LT"/>
    <n v="218.55"/>
    <d v="2025-07-17T00:00:00"/>
  </r>
  <r>
    <s v="Sem TR"/>
    <n v="64804161"/>
    <s v="REB"/>
    <n v="10066884"/>
    <n v="411"/>
    <s v="DEV-Extravio de PEÇAS (Transportadora)"/>
    <s v="TRANSPORTADORA"/>
    <x v="0"/>
    <n v="30416"/>
    <x v="136"/>
    <s v="AM"/>
    <n v="648"/>
    <s v="Ultra"/>
    <n v="1350"/>
    <s v="W11647660"/>
    <s v="Compressores Herméticos"/>
    <x v="0"/>
    <n v="1000"/>
    <n v="5002858"/>
    <s v="FAVORITA TRANSPORTES LTDA"/>
    <n v="218.54"/>
    <d v="2025-07-02T00:00:00"/>
  </r>
  <r>
    <s v="Sem TR"/>
    <n v="64768430"/>
    <s v="ROB"/>
    <n v="50604"/>
    <n v="671"/>
    <s v="DEV-ENVIADO PARA GESTÃO DE CONSEQUENCIA"/>
    <s v="TRANSPORTADORA"/>
    <x v="2"/>
    <n v="79755"/>
    <x v="329"/>
    <s v="BA"/>
    <n v="934"/>
    <s v="CDP Ouro"/>
    <n v="1550"/>
    <s v="W11551361"/>
    <s v="Peças Mecanismos"/>
    <x v="2"/>
    <n v="20000"/>
    <n v="5004391"/>
    <s v="JEONCEL TRANSPORTES LTDA"/>
    <n v="218.54"/>
    <d v="2025-05-12T00:00:00"/>
  </r>
  <r>
    <n v="254007560"/>
    <n v="64782421"/>
    <s v="REB"/>
    <n v="9990489"/>
    <n v="176"/>
    <s v="PEÇAS - Defeito de fabric./Interrompido"/>
    <s v="FUNCIONAL"/>
    <x v="2"/>
    <n v="28681"/>
    <x v="277"/>
    <s v="SP"/>
    <n v="643"/>
    <s v="Elite"/>
    <n v="1350"/>
    <s v="W11299803"/>
    <s v="Mecanismos"/>
    <x v="2"/>
    <n v="2000"/>
    <n v="5004042"/>
    <s v="BRASIL WEB TRANSPORTES E LOGISTICA"/>
    <n v="218.52"/>
    <d v="2025-06-02T00:00:00"/>
  </r>
  <r>
    <n v="253992777"/>
    <n v="64768100"/>
    <s v="REB"/>
    <n v="9041236"/>
    <n v="177"/>
    <s v="PEÇAS - Defeito de fabric./Ruído"/>
    <s v="FUNCIONAL"/>
    <x v="1"/>
    <n v="80432"/>
    <x v="3"/>
    <s v="ES"/>
    <n v="713"/>
    <s v="Key Account"/>
    <n v="1350"/>
    <s v="W10829873"/>
    <s v="Outros"/>
    <x v="7"/>
    <n v="3000"/>
    <n v="5004042"/>
    <s v="BRASIL WEB TRANSPORTES E LOGISTICA"/>
    <n v="218.49"/>
    <d v="2025-05-12T00:00:00"/>
  </r>
  <r>
    <n v="253988784"/>
    <n v="64763946"/>
    <s v="REB"/>
    <n v="9938301"/>
    <n v="176"/>
    <s v="PEÇAS - Defeito de fabric./Interrompido"/>
    <s v="FUNCIONAL"/>
    <x v="1"/>
    <n v="3506"/>
    <x v="46"/>
    <s v="SP"/>
    <n v="931"/>
    <s v="Ats Off"/>
    <n v="1350"/>
    <s v="W10160032"/>
    <s v="Transformadores"/>
    <x v="1"/>
    <n v="1000"/>
    <n v="5004042"/>
    <s v="BRASIL WEB TRANSPORTES E LOGISTICA"/>
    <n v="218.44"/>
    <d v="2025-05-05T00:00:00"/>
  </r>
  <r>
    <n v="254018181"/>
    <n v="64793281"/>
    <s v="REB"/>
    <n v="9905314"/>
    <n v="176"/>
    <s v="PEÇAS - Defeito de fabric./Interrompido"/>
    <s v="FUNCIONAL"/>
    <x v="1"/>
    <n v="3506"/>
    <x v="46"/>
    <s v="SP"/>
    <n v="931"/>
    <s v="Ats Off"/>
    <n v="1350"/>
    <s v="W10160032"/>
    <s v="Transformadores"/>
    <x v="1"/>
    <n v="1000"/>
    <n v="5004042"/>
    <s v="BRASIL WEB TRANSPORTES E LOGISTICA"/>
    <n v="218.44"/>
    <d v="2025-06-17T00:00:00"/>
  </r>
  <r>
    <n v="254033441"/>
    <n v="64807168"/>
    <s v="REB"/>
    <n v="10115793"/>
    <n v="173"/>
    <s v="PEÇAS - Defeito de fabric./Alta Amperage"/>
    <s v="FUNCIONAL"/>
    <x v="0"/>
    <n v="70149"/>
    <x v="147"/>
    <s v="SP"/>
    <n v="963"/>
    <s v="Ats Distribuidoras"/>
    <n v="1350"/>
    <s v="W11196470"/>
    <s v="Placas de Interface"/>
    <x v="1"/>
    <n v="1000"/>
    <n v="5004042"/>
    <s v="BRASIL WEB TRANSPORTES E LOGISTICA"/>
    <n v="218.14"/>
    <d v="2025-07-08T00:00:00"/>
  </r>
  <r>
    <s v="Sem TR"/>
    <n v="64805243"/>
    <s v="ZRDI"/>
    <n v="10095983"/>
    <s v="D10"/>
    <s v="DEV D2C - Comprou modelo errado"/>
    <s v="COMERCIAL"/>
    <x v="2"/>
    <n v="54104302"/>
    <x v="479"/>
    <s v="PR"/>
    <n v="474"/>
    <s v="Site Brastemp"/>
    <n v="1352"/>
    <s v="W10624070"/>
    <s v="Gavetas"/>
    <x v="9"/>
    <n v="1000"/>
    <n v="5002359"/>
    <s v="EMPRESA BRASILEIRA DE CORREIOS E"/>
    <n v="217.83"/>
    <d v="2025-07-08T00:00:00"/>
  </r>
  <r>
    <n v="254026123"/>
    <n v="64805675"/>
    <s v="ZRDI"/>
    <n v="10070976"/>
    <n v="208"/>
    <s v="DEV-Atraso entrega- LOGISTICA(Transp)"/>
    <s v="TRANSPORTADORA"/>
    <x v="2"/>
    <n v="56485735"/>
    <x v="623"/>
    <s v="PR"/>
    <n v="474"/>
    <s v="Site Brastemp"/>
    <n v="1352"/>
    <s v="W10624070"/>
    <s v="Gavetas"/>
    <x v="9"/>
    <n v="1000"/>
    <n v="5002359"/>
    <s v="EMPRESA BRASILEIRA DE CORREIOS E"/>
    <n v="217.83"/>
    <d v="2025-07-04T00:00:00"/>
  </r>
  <r>
    <n v="253883034"/>
    <n v="64649835"/>
    <s v="REB"/>
    <n v="9649711"/>
    <n v="173"/>
    <s v="PEÇAS - Defeito de fabric./Alta Amperage"/>
    <s v="FUNCIONAL"/>
    <x v="1"/>
    <n v="29374"/>
    <x v="20"/>
    <s v="SP"/>
    <n v="643"/>
    <s v="Elite"/>
    <n v="1350"/>
    <s v="W11298039"/>
    <s v="Gavetas"/>
    <x v="9"/>
    <n v="2000"/>
    <n v="5003254"/>
    <s v="TMA TRANSPORTE LOTACAO E LOGISTICA"/>
    <n v="217.72"/>
    <d v="2024-11-21T00:00:00"/>
  </r>
  <r>
    <n v="254038294"/>
    <n v="64814855"/>
    <s v="REB"/>
    <n v="10066119"/>
    <n v="176"/>
    <s v="PEÇAS - Defeito de fabric./Interrompido"/>
    <s v="FUNCIONAL"/>
    <x v="1"/>
    <n v="4318"/>
    <x v="89"/>
    <s v="SC"/>
    <n v="931"/>
    <s v="Ats Off"/>
    <n v="1350"/>
    <s v="W10398340"/>
    <s v="Sensores"/>
    <x v="3"/>
    <n v="1000"/>
    <n v="5003024"/>
    <s v="RODOBRAS TRANSPORTES RODOVIARIOS LT"/>
    <n v="217.69"/>
    <d v="2025-07-22T00:00:00"/>
  </r>
  <r>
    <n v="254037046"/>
    <n v="64814962"/>
    <s v="ZRDI"/>
    <n v="10060804"/>
    <n v="208"/>
    <s v="DEV-Atraso entrega- LOGISTICA(Transp)"/>
    <s v="TRANSPORTADORA"/>
    <x v="2"/>
    <n v="51692927"/>
    <x v="624"/>
    <s v="SE"/>
    <n v="474"/>
    <s v="Site Brastemp"/>
    <n v="1352"/>
    <s v="W10866791"/>
    <s v="Kits Instalação"/>
    <x v="7"/>
    <n v="1000"/>
    <n v="5002359"/>
    <s v="EMPRESA BRASILEIRA DE CORREIOS E"/>
    <n v="217.6"/>
    <d v="2025-07-22T00:00:00"/>
  </r>
  <r>
    <n v="254038144"/>
    <n v="64816105"/>
    <s v="ZRDI"/>
    <n v="10065163"/>
    <n v="208"/>
    <s v="DEV-Atraso entrega- LOGISTICA(Transp)"/>
    <s v="TRANSPORTADORA"/>
    <x v="2"/>
    <n v="4550755"/>
    <x v="625"/>
    <s v="SE"/>
    <n v="474"/>
    <s v="Site Brastemp"/>
    <n v="1352"/>
    <s v="W10866791"/>
    <s v="Kits Instalação"/>
    <x v="7"/>
    <n v="1000"/>
    <n v="5002359"/>
    <s v="EMPRESA BRASILEIRA DE CORREIOS E"/>
    <n v="217.6"/>
    <d v="2025-07-23T00:00:00"/>
  </r>
  <r>
    <n v="254037046"/>
    <n v="64814962"/>
    <s v="ZRDI"/>
    <n v="10060804"/>
    <n v="208"/>
    <s v="DEV-Atraso entrega- LOGISTICA(Transp)"/>
    <s v="TRANSPORTADORA"/>
    <x v="2"/>
    <n v="51692927"/>
    <x v="624"/>
    <s v="SE"/>
    <n v="474"/>
    <s v="Site Brastemp"/>
    <n v="1352"/>
    <s v="W10866791"/>
    <s v="Kits Instalação"/>
    <x v="7"/>
    <n v="1000"/>
    <n v="5002359"/>
    <s v="EMPRESA BRASILEIRA DE CORREIOS E"/>
    <n v="217.6"/>
    <d v="2025-07-22T00:00:00"/>
  </r>
  <r>
    <n v="254038144"/>
    <n v="64816105"/>
    <s v="ZRDI"/>
    <n v="10065163"/>
    <n v="208"/>
    <s v="DEV-Atraso entrega- LOGISTICA(Transp)"/>
    <s v="TRANSPORTADORA"/>
    <x v="2"/>
    <n v="4550755"/>
    <x v="625"/>
    <s v="SE"/>
    <n v="474"/>
    <s v="Site Brastemp"/>
    <n v="1352"/>
    <s v="W10866791"/>
    <s v="Kits Instalação"/>
    <x v="7"/>
    <n v="1000"/>
    <n v="5002359"/>
    <s v="EMPRESA BRASILEIRA DE CORREIOS E"/>
    <n v="217.6"/>
    <d v="2025-07-23T00:00:00"/>
  </r>
  <r>
    <n v="254018225"/>
    <n v="64793151"/>
    <s v="REB"/>
    <n v="9953372"/>
    <n v="176"/>
    <s v="PEÇAS - Defeito de fabric./Interrompido"/>
    <s v="FUNCIONAL"/>
    <x v="1"/>
    <n v="13757"/>
    <x v="14"/>
    <s v="SP"/>
    <n v="713"/>
    <s v="Key Account"/>
    <n v="1350"/>
    <s v="W11300675"/>
    <s v="Mecanismos"/>
    <x v="2"/>
    <n v="2000"/>
    <n v="5004042"/>
    <s v="BRASIL WEB TRANSPORTES E LOGISTICA"/>
    <n v="217.58"/>
    <d v="2025-06-17T00:00:00"/>
  </r>
  <r>
    <n v="254041636"/>
    <n v="64819270"/>
    <s v="ROB"/>
    <n v="10133762"/>
    <n v="182"/>
    <s v="PEÇAS - Extravio - Volume a menor"/>
    <s v="TRANSPORTADORA"/>
    <x v="1"/>
    <n v="87684"/>
    <x v="416"/>
    <s v="PA"/>
    <n v="932"/>
    <s v="CDP Prata"/>
    <n v="1350"/>
    <s v="W10221052"/>
    <s v="Condensadores"/>
    <x v="0"/>
    <n v="3000"/>
    <n v="5002858"/>
    <s v="FAVORITA TRANSPORTES LTDA"/>
    <n v="217.51"/>
    <d v="2025-07-28T00:00:00"/>
  </r>
  <r>
    <n v="253988785"/>
    <n v="64764179"/>
    <s v="REB"/>
    <n v="9938301"/>
    <n v="176"/>
    <s v="PEÇAS - Defeito de fabric./Interrompido"/>
    <s v="FUNCIONAL"/>
    <x v="2"/>
    <n v="3506"/>
    <x v="46"/>
    <s v="SP"/>
    <n v="931"/>
    <s v="Ats Off"/>
    <n v="1350"/>
    <s v="W10729705"/>
    <s v="Válvulas de Água"/>
    <x v="5"/>
    <n v="1000"/>
    <n v="5004042"/>
    <s v="BRASIL WEB TRANSPORTES E LOGISTICA"/>
    <n v="217.36"/>
    <d v="2025-05-05T00:00:00"/>
  </r>
  <r>
    <n v="253963628"/>
    <n v="64742039"/>
    <s v="ROB"/>
    <n v="9957993"/>
    <n v="671"/>
    <s v="DEV-ENVIADO PARA GESTÃO DE CONSEQUENCIA"/>
    <s v="TRANSPORTADORA"/>
    <x v="1"/>
    <n v="4430"/>
    <x v="250"/>
    <s v="PR"/>
    <n v="350"/>
    <s v="Ats On"/>
    <n v="1350"/>
    <n v="326009198"/>
    <s v="Gaxetas"/>
    <x v="4"/>
    <n v="5000"/>
    <n v="5003024"/>
    <s v="RODOBRAS TRANSPORTES RODOVIARIOS LT"/>
    <n v="217.34"/>
    <d v="2025-03-31T00:00:00"/>
  </r>
  <r>
    <n v="254024662"/>
    <n v="64804765"/>
    <s v="ZRDI"/>
    <n v="10103271"/>
    <n v="208"/>
    <s v="DEV-Atraso entrega- LOGISTICA(Transp)"/>
    <s v="TRANSPORTADORA"/>
    <x v="2"/>
    <n v="58114998"/>
    <x v="626"/>
    <s v="DF"/>
    <n v="466"/>
    <s v="Sup ML Marketplace"/>
    <n v="1352"/>
    <s v="W10624070"/>
    <s v="Gavetas"/>
    <x v="9"/>
    <n v="1000"/>
    <n v="5002359"/>
    <s v="EMPRESA BRASILEIRA DE CORREIOS E"/>
    <n v="217.11"/>
    <d v="2025-07-02T00:00:00"/>
  </r>
  <r>
    <n v="254024662"/>
    <n v="64804765"/>
    <s v="ZRDI"/>
    <n v="10103271"/>
    <n v="208"/>
    <s v="DEV-Atraso entrega- LOGISTICA(Transp)"/>
    <s v="TRANSPORTADORA"/>
    <x v="2"/>
    <n v="58114998"/>
    <x v="626"/>
    <s v="DF"/>
    <n v="466"/>
    <s v="Sup ML Marketplace"/>
    <n v="1352"/>
    <s v="W10624070"/>
    <s v="Gavetas"/>
    <x v="9"/>
    <n v="1000"/>
    <n v="5002359"/>
    <s v="EMPRESA BRASILEIRA DE CORREIOS E"/>
    <n v="217.11"/>
    <d v="2025-07-0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49983"/>
    <s v="Resistências"/>
    <x v="1"/>
    <n v="3000"/>
    <n v="5004101"/>
    <s v="UNIDOCK'S ASSESSORIA E LOGISTICA DE"/>
    <n v="217.04"/>
    <d v="2025-06-24T00:00:00"/>
  </r>
  <r>
    <s v="Sem TR"/>
    <n v="64816649"/>
    <s v="ZRDI"/>
    <n v="10147481"/>
    <s v="D30"/>
    <s v="DEV D2C - Defeito funcional manufatura"/>
    <s v="MANUFATURA"/>
    <x v="2"/>
    <n v="58169955"/>
    <x v="627"/>
    <s v="SP"/>
    <n v="474"/>
    <s v="Site Brastemp"/>
    <n v="1352"/>
    <s v="W11161214"/>
    <s v="Placas de Interface"/>
    <x v="1"/>
    <n v="1000"/>
    <n v="5002359"/>
    <s v="EMPRESA BRASILEIRA DE CORREIOS E"/>
    <n v="216.93"/>
    <d v="2025-07-24T00:00:00"/>
  </r>
  <r>
    <s v="Sem TR"/>
    <n v="64816649"/>
    <s v="ZRDI"/>
    <n v="10147481"/>
    <s v="D30"/>
    <s v="DEV D2C - Defeito funcional manufatura"/>
    <s v="MANUFATURA"/>
    <x v="2"/>
    <n v="58169955"/>
    <x v="627"/>
    <s v="SP"/>
    <n v="474"/>
    <s v="Site Brastemp"/>
    <n v="1352"/>
    <s v="W11161214"/>
    <s v="Placas de Interface"/>
    <x v="1"/>
    <n v="1000"/>
    <n v="5002359"/>
    <s v="EMPRESA BRASILEIRA DE CORREIOS E"/>
    <n v="216.93"/>
    <d v="2025-07-24T00:00:00"/>
  </r>
  <r>
    <s v="Sem TR"/>
    <n v="64818695"/>
    <s v="ZRDI"/>
    <n v="10128915"/>
    <s v="D10"/>
    <s v="DEV D2C - Comprou modelo errado"/>
    <s v="COMERCIAL"/>
    <x v="1"/>
    <n v="57682626"/>
    <x v="628"/>
    <s v="SP"/>
    <n v="474"/>
    <s v="Site Brastemp"/>
    <n v="1352"/>
    <s v="W11161214"/>
    <s v="Placas de Interface"/>
    <x v="1"/>
    <n v="1000"/>
    <n v="5002359"/>
    <s v="EMPRESA BRASILEIRA DE CORREIOS E"/>
    <n v="216.93"/>
    <d v="2025-07-28T00:00:00"/>
  </r>
  <r>
    <n v="253913051"/>
    <n v="64681568"/>
    <s v="REB"/>
    <n v="9796184"/>
    <n v="671"/>
    <s v="DEV-ENVIADO PARA GESTÃO DE CONSEQUENCIA"/>
    <s v="TRANSPORTADORA"/>
    <x v="2"/>
    <n v="9015"/>
    <x v="72"/>
    <s v="SC"/>
    <n v="931"/>
    <s v="Ats Off"/>
    <n v="1350"/>
    <s v="W11619317"/>
    <s v="Placas de Controle"/>
    <x v="1"/>
    <n v="1000"/>
    <n v="5003024"/>
    <s v="RODOBRAS TRANSPORTES RODOVIARIOS LT"/>
    <n v="216.83"/>
    <d v="2025-01-06T00:00:00"/>
  </r>
  <r>
    <s v="Sem TR"/>
    <n v="64757201"/>
    <s v="REB"/>
    <n v="9991523"/>
    <n v="509"/>
    <s v="Qtd de peças a Menor dentro do Volume"/>
    <s v="LOGÍSTICA"/>
    <x v="1"/>
    <n v="56605"/>
    <x v="268"/>
    <s v="AL"/>
    <n v="934"/>
    <s v="CDP Ouro"/>
    <n v="1350"/>
    <n v="326062041"/>
    <s v="Recipientes de Evaporação"/>
    <x v="9"/>
    <n v="11000"/>
    <n v="5002359"/>
    <s v="EMPRESA BRASILEIRA DE CORREIOS E"/>
    <n v="216.8"/>
    <d v="2025-05-07T00:00:00"/>
  </r>
  <r>
    <n v="254041068"/>
    <n v="64818854"/>
    <s v="ZRDI"/>
    <n v="10119952"/>
    <n v="208"/>
    <s v="DEV-Atraso entrega- LOGISTICA(Transp)"/>
    <s v="TRANSPORTADORA"/>
    <x v="1"/>
    <n v="58131047"/>
    <x v="629"/>
    <s v="RS"/>
    <n v="466"/>
    <s v="Sup ML Marketplace"/>
    <n v="1352"/>
    <s v="W10706883"/>
    <s v="Tampas Móveis"/>
    <x v="6"/>
    <n v="1000"/>
    <n v="5002359"/>
    <s v="EMPRESA BRASILEIRA DE CORREIOS E"/>
    <n v="216.76"/>
    <d v="2025-07-28T00:00:00"/>
  </r>
  <r>
    <n v="253995136"/>
    <n v="64769701"/>
    <s v="REB"/>
    <n v="9998638"/>
    <n v="173"/>
    <s v="PEÇAS - Defeito de fabric./Alta Amperage"/>
    <s v="FUNCIONAL"/>
    <x v="2"/>
    <n v="28991"/>
    <x v="65"/>
    <s v="MG"/>
    <n v="643"/>
    <s v="Elite"/>
    <n v="1350"/>
    <s v="W11300676"/>
    <s v="Mecanismos"/>
    <x v="2"/>
    <n v="2000"/>
    <n v="5004215"/>
    <s v="BRASIL WEB TRANSPORTES E LOGISTICA"/>
    <n v="216.64"/>
    <d v="2025-05-15T00:00:00"/>
  </r>
  <r>
    <s v="Sem TR"/>
    <n v="64798994"/>
    <s v="ZRDI"/>
    <n v="10081864"/>
    <s v="D31"/>
    <s v="DEV D2C - Defeito estético manufatura"/>
    <s v="MANUFATURA"/>
    <x v="2"/>
    <n v="58081117"/>
    <x v="630"/>
    <s v="RS"/>
    <n v="474"/>
    <s v="Site Brastemp"/>
    <n v="1352"/>
    <s v="W10624070"/>
    <s v="Gavetas"/>
    <x v="9"/>
    <n v="1000"/>
    <n v="5002359"/>
    <s v="EMPRESA BRASILEIRA DE CORREIOS E"/>
    <n v="216.63"/>
    <d v="2025-06-26T00:00:00"/>
  </r>
  <r>
    <s v="Sem TR"/>
    <n v="64798994"/>
    <s v="ZRDI"/>
    <n v="10081864"/>
    <s v="D31"/>
    <s v="DEV D2C - Defeito estético manufatura"/>
    <s v="MANUFATURA"/>
    <x v="2"/>
    <n v="58081117"/>
    <x v="630"/>
    <s v="RS"/>
    <n v="474"/>
    <s v="Site Brastemp"/>
    <n v="1352"/>
    <s v="W10624070"/>
    <s v="Gavetas"/>
    <x v="9"/>
    <n v="1000"/>
    <n v="5002359"/>
    <s v="EMPRESA BRASILEIRA DE CORREIOS E"/>
    <n v="216.63"/>
    <d v="2025-06-26T00:00:00"/>
  </r>
  <r>
    <s v="Sem TR"/>
    <n v="64784068"/>
    <s v="ZRDI"/>
    <n v="10094286"/>
    <s v="D31"/>
    <s v="DEV D2C - Defeito estético manufatura"/>
    <s v="MANUFATURA"/>
    <x v="2"/>
    <n v="51864435"/>
    <x v="631"/>
    <s v="RJ"/>
    <n v="474"/>
    <s v="Site Brastemp"/>
    <n v="1352"/>
    <s v="W10837074"/>
    <s v="Bombas"/>
    <x v="1"/>
    <n v="1000"/>
    <n v="5002359"/>
    <s v="EMPRESA BRASILEIRA DE CORREIOS E"/>
    <n v="216.47"/>
    <d v="2025-06-26T00:00:00"/>
  </r>
  <r>
    <n v="253995202"/>
    <n v="64768332"/>
    <s v="REB"/>
    <n v="10007427"/>
    <n v="90"/>
    <s v="CLIENTE-não solicitou"/>
    <s v="COMERCIAL"/>
    <x v="1"/>
    <n v="60871"/>
    <x v="9"/>
    <s v="ES"/>
    <n v="713"/>
    <s v="Key Account"/>
    <n v="1350"/>
    <s v="W10855665"/>
    <s v="Placas de Controle"/>
    <x v="1"/>
    <n v="1000"/>
    <n v="5004042"/>
    <s v="BRASIL WEB TRANSPORTES E LOGISTICA"/>
    <n v="216.46"/>
    <d v="2025-05-16T00:00:00"/>
  </r>
  <r>
    <n v="253995202"/>
    <n v="64768333"/>
    <s v="REB"/>
    <n v="10007428"/>
    <n v="90"/>
    <s v="CLIENTE-não solicitou"/>
    <s v="COMERCIAL"/>
    <x v="1"/>
    <n v="60871"/>
    <x v="9"/>
    <s v="ES"/>
    <n v="713"/>
    <s v="Key Account"/>
    <n v="1350"/>
    <s v="W10855665"/>
    <s v="Placas de Controle"/>
    <x v="1"/>
    <n v="1000"/>
    <n v="5004042"/>
    <s v="BRASIL WEB TRANSPORTES E LOGISTICA"/>
    <n v="216.46"/>
    <d v="2025-05-16T00:00:00"/>
  </r>
  <r>
    <s v="Sem TR"/>
    <n v="64731821"/>
    <s v="REB"/>
    <n v="9836415"/>
    <n v="160"/>
    <s v="OI Cancelada - Ver motivo no texto"/>
    <s v="OUTROS"/>
    <x v="1"/>
    <n v="83387"/>
    <x v="454"/>
    <s v="RJ"/>
    <n v="350"/>
    <s v="Ats On"/>
    <n v="1350"/>
    <s v="W10728850"/>
    <s v="Resistências"/>
    <x v="1"/>
    <n v="1000"/>
    <n v="5003176"/>
    <s v="J C THEDIN TRANSPORTES LTDA"/>
    <n v="216.29"/>
    <d v="2025-03-17T00:00:00"/>
  </r>
  <r>
    <n v="254030535"/>
    <n v="64795958"/>
    <s v="REB"/>
    <n v="10080514"/>
    <n v="165"/>
    <s v="PEÇAS - Defeito de fabric./Incompleta"/>
    <s v="FUNCIONAL"/>
    <x v="1"/>
    <n v="72786"/>
    <x v="41"/>
    <s v="SC"/>
    <n v="643"/>
    <s v="Elite"/>
    <n v="1350"/>
    <s v="W10398340"/>
    <s v="Sensores"/>
    <x v="3"/>
    <n v="1000"/>
    <n v="5003024"/>
    <s v="RODOBRAS TRANSPORTES RODOVIARIOS LT"/>
    <n v="216.1"/>
    <d v="2025-07-01T00:00:00"/>
  </r>
  <r>
    <n v="254033447"/>
    <n v="64802429"/>
    <s v="REB"/>
    <n v="10080514"/>
    <n v="509"/>
    <s v="Qtd de peças a Menor dentro do Volume"/>
    <s v="LOGÍSTICA"/>
    <x v="2"/>
    <n v="72786"/>
    <x v="41"/>
    <s v="SC"/>
    <n v="643"/>
    <s v="Elite"/>
    <n v="1350"/>
    <s v="W10398340"/>
    <s v="Sensores"/>
    <x v="3"/>
    <n v="1000"/>
    <n v="5003024"/>
    <s v="RODOBRAS TRANSPORTES RODOVIARIOS LT"/>
    <n v="216.1"/>
    <d v="2025-07-01T00:00:00"/>
  </r>
  <r>
    <n v="253931089"/>
    <n v="64704059"/>
    <s v="REB"/>
    <n v="9737429"/>
    <n v="173"/>
    <s v="PEÇAS - Defeito de fabric./Alta Amperage"/>
    <s v="FUNCIONAL"/>
    <x v="1"/>
    <n v="25727"/>
    <x v="275"/>
    <s v="GO"/>
    <n v="644"/>
    <s v="Plus"/>
    <n v="1350"/>
    <s v="W11435392"/>
    <s v="Placas de Controle"/>
    <x v="1"/>
    <n v="1000"/>
    <n v="5002858"/>
    <s v="FAVORITA TRANSPORTES LTDA"/>
    <n v="216.1"/>
    <d v="2025-01-31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1366400"/>
    <s v="Placas de Controle"/>
    <x v="1"/>
    <n v="1000"/>
    <n v="5003024"/>
    <s v="RODOBRAS TRANSPORTES RODOVIARIOS LT"/>
    <n v="216.09"/>
    <d v="2025-01-16T00:00:00"/>
  </r>
  <r>
    <n v="254033258"/>
    <n v="64760481"/>
    <s v="REB"/>
    <n v="10092558"/>
    <n v="90"/>
    <s v="CLIENTE-não solicitou"/>
    <s v="COMERCIAL"/>
    <x v="1"/>
    <n v="3649"/>
    <x v="148"/>
    <s v="SP"/>
    <n v="350"/>
    <s v="Ats On"/>
    <n v="1350"/>
    <s v="W11229864"/>
    <s v="Isolantes"/>
    <x v="4"/>
    <n v="1000"/>
    <n v="5004042"/>
    <s v="BRASIL WEB TRANSPORTES E LOGISTICA"/>
    <n v="216.06"/>
    <d v="2025-07-08T00:00:00"/>
  </r>
  <r>
    <n v="254012437"/>
    <n v="64789366"/>
    <s v="REB"/>
    <n v="10051321"/>
    <n v="104"/>
    <s v="PEÇAS-Código trocado(embalag X conteúdo)"/>
    <s v="LOGÍSTICA"/>
    <x v="1"/>
    <n v="3236"/>
    <x v="45"/>
    <s v="SP"/>
    <n v="931"/>
    <s v="Ats Off"/>
    <n v="1350"/>
    <n v="326075350"/>
    <s v="Vidros"/>
    <x v="6"/>
    <n v="1000"/>
    <n v="5004042"/>
    <s v="BRASIL WEB TRANSPORTES E LOGISTICA"/>
    <n v="215.78"/>
    <d v="2025-06-10T00:00:00"/>
  </r>
  <r>
    <n v="254021213"/>
    <n v="64797518"/>
    <s v="ZRDI"/>
    <n v="10064613"/>
    <s v="D25"/>
    <s v="DEV D2C - Prob na entrega (Não recebi)"/>
    <s v="TRANSPORTADORA"/>
    <x v="2"/>
    <n v="57925352"/>
    <x v="632"/>
    <s v="SC"/>
    <n v="474"/>
    <s v="Site Brastemp"/>
    <n v="1352"/>
    <s v="W10866790"/>
    <s v="Kits Instalação"/>
    <x v="7"/>
    <n v="1000"/>
    <n v="5002359"/>
    <s v="EMPRESA BRASILEIRA DE CORREIOS E"/>
    <n v="215.66"/>
    <d v="2025-06-26T00:00:00"/>
  </r>
  <r>
    <s v="Sem TR"/>
    <n v="64806674"/>
    <s v="ZRDI"/>
    <n v="10103299"/>
    <s v="D10"/>
    <s v="DEV D2C - Comprou modelo errado"/>
    <s v="COMERCIAL"/>
    <x v="2"/>
    <n v="56208472"/>
    <x v="633"/>
    <s v="SC"/>
    <n v="474"/>
    <s v="Site Brastemp"/>
    <n v="1352"/>
    <s v="W10624070"/>
    <s v="Gavetas"/>
    <x v="9"/>
    <n v="1000"/>
    <n v="5002359"/>
    <s v="EMPRESA BRASILEIRA DE CORREIOS E"/>
    <n v="214.64"/>
    <d v="2025-07-07T00:00:00"/>
  </r>
  <r>
    <s v="Sem TR"/>
    <n v="64778643"/>
    <s v="ZRDI"/>
    <n v="10097762"/>
    <s v="D31"/>
    <s v="DEV D2C - Defeito estético manufatura"/>
    <s v="MANUFATURA"/>
    <x v="2"/>
    <n v="5807193"/>
    <x v="634"/>
    <s v="SC"/>
    <n v="474"/>
    <s v="Site Brastemp"/>
    <n v="1352"/>
    <s v="W10624070"/>
    <s v="Gavetas"/>
    <x v="9"/>
    <n v="1000"/>
    <n v="5002359"/>
    <s v="EMPRESA BRASILEIRA DE CORREIOS E"/>
    <n v="214.63"/>
    <d v="2025-06-30T00:00:00"/>
  </r>
  <r>
    <n v="254033936"/>
    <n v="64812464"/>
    <s v="ZRDI"/>
    <n v="10089035"/>
    <n v="208"/>
    <s v="DEV-Atraso entrega- LOGISTICA(Transp)"/>
    <s v="TRANSPORTADORA"/>
    <x v="2"/>
    <n v="58092121"/>
    <x v="635"/>
    <s v="SC"/>
    <n v="474"/>
    <s v="Site Brastemp"/>
    <n v="1352"/>
    <s v="W10624070"/>
    <s v="Gavetas"/>
    <x v="9"/>
    <n v="1000"/>
    <n v="5002359"/>
    <s v="EMPRESA BRASILEIRA DE CORREIOS E"/>
    <n v="214.63"/>
    <d v="2025-07-17T00:00:00"/>
  </r>
  <r>
    <s v="Sem TR"/>
    <n v="64814570"/>
    <s v="ZRDI"/>
    <n v="10103290"/>
    <s v="D10"/>
    <s v="DEV D2C - Comprou modelo errado"/>
    <s v="COMERCIAL"/>
    <x v="2"/>
    <n v="55873709"/>
    <x v="636"/>
    <s v="MS"/>
    <n v="474"/>
    <s v="Site Brastemp"/>
    <n v="1352"/>
    <s v="W10624070"/>
    <s v="Gavetas"/>
    <x v="9"/>
    <n v="1000"/>
    <n v="5002359"/>
    <s v="EMPRESA BRASILEIRA DE CORREIOS E"/>
    <n v="214.63"/>
    <d v="2025-07-24T00:00:00"/>
  </r>
  <r>
    <s v="Sem TR"/>
    <n v="64814570"/>
    <s v="ZRDI"/>
    <n v="10103290"/>
    <s v="D10"/>
    <s v="DEV D2C - Comprou modelo errado"/>
    <s v="COMERCIAL"/>
    <x v="2"/>
    <n v="55873709"/>
    <x v="636"/>
    <s v="MS"/>
    <n v="474"/>
    <s v="Site Brastemp"/>
    <n v="1352"/>
    <s v="W10624070"/>
    <s v="Gavetas"/>
    <x v="9"/>
    <n v="1000"/>
    <n v="5002359"/>
    <s v="EMPRESA BRASILEIRA DE CORREIOS E"/>
    <n v="214.63"/>
    <d v="2025-07-24T00:00:00"/>
  </r>
  <r>
    <n v="254035376"/>
    <n v="64812269"/>
    <s v="REB"/>
    <n v="10106777"/>
    <n v="167"/>
    <s v="PEÇAS - Avaria - Quebrada/Depósito"/>
    <s v="LOGÍSTICA"/>
    <x v="0"/>
    <n v="31537"/>
    <x v="523"/>
    <s v="RS"/>
    <n v="641"/>
    <s v="CDP Diamante"/>
    <n v="1350"/>
    <s v="W10287547"/>
    <s v="Gavetas"/>
    <x v="9"/>
    <n v="2000"/>
    <n v="5003024"/>
    <s v="RODOBRAS TRANSPORTES RODOVIARIOS LT"/>
    <n v="214.61"/>
    <d v="2025-07-17T00:00:00"/>
  </r>
  <r>
    <n v="254042324"/>
    <n v="64796214"/>
    <s v="REB"/>
    <n v="9570753"/>
    <n v="173"/>
    <s v="PEÇAS - Defeito de fabric./Alta Amperage"/>
    <s v="FUNCIONAL"/>
    <x v="0"/>
    <n v="70555"/>
    <x v="150"/>
    <s v="SC"/>
    <n v="648"/>
    <s v="Ultra"/>
    <n v="1350"/>
    <s v="W11458016"/>
    <s v="Placas de Controle"/>
    <x v="1"/>
    <n v="1000"/>
    <n v="5003024"/>
    <s v="RODOBRAS TRANSPORTES RODOVIARIOS LT"/>
    <n v="214.55"/>
    <d v="2025-06-23T00:00:00"/>
  </r>
  <r>
    <s v="Sem TR"/>
    <n v="64812207"/>
    <s v="ZRDI"/>
    <n v="10136300"/>
    <s v="D10"/>
    <s v="DEV D2C - Comprou modelo errado"/>
    <s v="COMERCIAL"/>
    <x v="2"/>
    <n v="58158243"/>
    <x v="637"/>
    <s v="SP"/>
    <n v="474"/>
    <s v="Site Brastemp"/>
    <n v="1352"/>
    <s v="W11559186"/>
    <s v="Kits Instalação"/>
    <x v="7"/>
    <n v="1000"/>
    <n v="5002359"/>
    <s v="EMPRESA BRASILEIRA DE CORREIOS E"/>
    <n v="214.39"/>
    <d v="2025-07-18T00:00:00"/>
  </r>
  <r>
    <n v="254033636"/>
    <n v="64812224"/>
    <s v="ZRDI"/>
    <n v="10135320"/>
    <s v="D25"/>
    <s v="DEV D2C - Prob na entrega (Não recebi)"/>
    <s v="TRANSPORTADORA"/>
    <x v="2"/>
    <n v="52904318"/>
    <x v="638"/>
    <s v="SP"/>
    <n v="474"/>
    <s v="Site Brastemp"/>
    <n v="1352"/>
    <s v="W11559186"/>
    <s v="Kits Instalação"/>
    <x v="7"/>
    <n v="1000"/>
    <n v="5002359"/>
    <s v="EMPRESA BRASILEIRA DE CORREIOS E"/>
    <n v="214.39"/>
    <d v="2025-07-17T00:00:00"/>
  </r>
  <r>
    <s v="Sem TR"/>
    <n v="64812207"/>
    <s v="ZRDI"/>
    <n v="10136300"/>
    <s v="D10"/>
    <s v="DEV D2C - Comprou modelo errado"/>
    <s v="COMERCIAL"/>
    <x v="2"/>
    <n v="58158243"/>
    <x v="637"/>
    <s v="SP"/>
    <n v="474"/>
    <s v="Site Brastemp"/>
    <n v="1352"/>
    <s v="W11559186"/>
    <s v="Kits Instalação"/>
    <x v="7"/>
    <n v="1000"/>
    <n v="5002359"/>
    <s v="EMPRESA BRASILEIRA DE CORREIOS E"/>
    <n v="214.39"/>
    <d v="2025-07-18T00:00:00"/>
  </r>
  <r>
    <n v="254033636"/>
    <n v="64812224"/>
    <s v="ZRDI"/>
    <n v="10135320"/>
    <s v="D25"/>
    <s v="DEV D2C - Prob na entrega (Não recebi)"/>
    <s v="TRANSPORTADORA"/>
    <x v="2"/>
    <n v="52904318"/>
    <x v="638"/>
    <s v="SP"/>
    <n v="474"/>
    <s v="Site Brastemp"/>
    <n v="1352"/>
    <s v="W11559186"/>
    <s v="Kits Instalação"/>
    <x v="7"/>
    <n v="1000"/>
    <n v="5002359"/>
    <s v="EMPRESA BRASILEIRA DE CORREIOS E"/>
    <n v="214.39"/>
    <d v="2025-07-17T00:00:00"/>
  </r>
  <r>
    <s v="Sem TR"/>
    <n v="64815131"/>
    <s v="ZRDI"/>
    <n v="10142145"/>
    <s v="D35"/>
    <s v="DEV D2C - Prod difere do comprado"/>
    <s v="COMERCIAL"/>
    <x v="1"/>
    <n v="58165130"/>
    <x v="639"/>
    <s v="SP"/>
    <n v="475"/>
    <s v="Site Consul"/>
    <n v="1352"/>
    <s v="W11559186"/>
    <s v="Kits Instalação"/>
    <x v="7"/>
    <n v="1000"/>
    <n v="5002359"/>
    <s v="EMPRESA BRASILEIRA DE CORREIOS E"/>
    <n v="214.39"/>
    <d v="2025-07-29T00:00:00"/>
  </r>
  <r>
    <s v="Sem TR"/>
    <n v="64818764"/>
    <s v="ZRDI"/>
    <n v="10136127"/>
    <s v="D35"/>
    <s v="DEV D2C - Prod difere do comprado"/>
    <s v="COMERCIAL"/>
    <x v="1"/>
    <n v="50278636"/>
    <x v="640"/>
    <s v="SP"/>
    <n v="474"/>
    <s v="Site Brastemp"/>
    <n v="1352"/>
    <s v="W11559186"/>
    <s v="Kits Instalação"/>
    <x v="7"/>
    <n v="1000"/>
    <n v="5002359"/>
    <s v="EMPRESA BRASILEIRA DE CORREIOS E"/>
    <n v="214.39"/>
    <d v="2025-07-28T00:00:00"/>
  </r>
  <r>
    <n v="254007576"/>
    <n v="64782278"/>
    <s v="REB"/>
    <n v="10038740"/>
    <n v="90"/>
    <s v="CLIENTE-não solicitou"/>
    <s v="COMERCIAL"/>
    <x v="1"/>
    <n v="29731"/>
    <x v="14"/>
    <s v="RS"/>
    <n v="713"/>
    <s v="Key Account"/>
    <n v="1350"/>
    <s v="W10855670"/>
    <s v="Placas de Controle"/>
    <x v="1"/>
    <n v="1000"/>
    <n v="5003024"/>
    <s v="RODOBRAS TRANSPORTES RODOVIARIOS LT"/>
    <n v="214.37"/>
    <d v="2025-06-02T00:00:00"/>
  </r>
  <r>
    <n v="254004013"/>
    <n v="64777990"/>
    <s v="REB"/>
    <n v="9975196"/>
    <n v="173"/>
    <s v="PEÇAS - Defeito de fabric./Alta Amperage"/>
    <s v="FUNCIONAL"/>
    <x v="1"/>
    <n v="56605"/>
    <x v="268"/>
    <s v="AL"/>
    <n v="934"/>
    <s v="CDP Ouro"/>
    <n v="1350"/>
    <s v="W11581054"/>
    <s v="Placas de Controle"/>
    <x v="1"/>
    <n v="1000"/>
    <n v="5004101"/>
    <s v="UNIDOCK'S ASSESSORIA E LOGISTICA DE"/>
    <n v="214.35"/>
    <d v="2025-05-26T00:00:00"/>
  </r>
  <r>
    <s v="Sem TR"/>
    <n v="64788771"/>
    <s v="REB"/>
    <n v="9954719"/>
    <n v="176"/>
    <s v="PEÇAS - Defeito de fabric./Interrompido"/>
    <s v="FUNCIONAL"/>
    <x v="1"/>
    <n v="3594"/>
    <x v="641"/>
    <s v="SP"/>
    <n v="350"/>
    <s v="Ats On"/>
    <n v="1350"/>
    <s v="W10269365"/>
    <s v="Placas de Controle"/>
    <x v="1"/>
    <n v="1000"/>
    <n v="5004042"/>
    <s v="BRASIL WEB TRANSPORTES E LOGISTICA"/>
    <n v="214.31"/>
    <d v="2025-07-08T00:00:00"/>
  </r>
  <r>
    <s v="Sem TR"/>
    <n v="64806981"/>
    <s v="ZRDI"/>
    <n v="10127819"/>
    <s v="D10"/>
    <s v="DEV D2C - Comprou modelo errado"/>
    <s v="COMERCIAL"/>
    <x v="2"/>
    <n v="58143194"/>
    <x v="642"/>
    <s v="MG"/>
    <n v="475"/>
    <s v="Site Consul"/>
    <n v="1352"/>
    <s v="W11375889"/>
    <s v="Vidros"/>
    <x v="6"/>
    <n v="1000"/>
    <n v="5002359"/>
    <s v="EMPRESA BRASILEIRA DE CORREIOS E"/>
    <n v="214.15"/>
    <d v="2025-07-22T00:00:00"/>
  </r>
  <r>
    <s v="Sem TR"/>
    <n v="64806981"/>
    <s v="ZRDI"/>
    <n v="10127819"/>
    <s v="D10"/>
    <s v="DEV D2C - Comprou modelo errado"/>
    <s v="COMERCIAL"/>
    <x v="2"/>
    <n v="58143194"/>
    <x v="642"/>
    <s v="MG"/>
    <n v="475"/>
    <s v="Site Consul"/>
    <n v="1352"/>
    <s v="W11375889"/>
    <s v="Vidros"/>
    <x v="6"/>
    <n v="1000"/>
    <n v="5002359"/>
    <s v="EMPRESA BRASILEIRA DE CORREIOS E"/>
    <n v="214.15"/>
    <d v="2025-07-22T00:00:00"/>
  </r>
  <r>
    <n v="254024711"/>
    <n v="64784603"/>
    <s v="ROB"/>
    <n v="10098678"/>
    <n v="311"/>
    <s v="DEV-PRODUTO TROCADO-LOGÍSTICA"/>
    <s v="LOGÍSTICA"/>
    <x v="2"/>
    <n v="76131"/>
    <x v="248"/>
    <s v="SP"/>
    <n v="932"/>
    <s v="CDP Prata"/>
    <n v="1350"/>
    <s v="W10897149"/>
    <s v="Rolamentos"/>
    <x v="2"/>
    <n v="20000"/>
    <n v="5004101"/>
    <s v="UNIDOCK'S ASSESSORIA E LOGISTICA DE"/>
    <n v="214.09"/>
    <d v="2025-07-03T00:00:00"/>
  </r>
  <r>
    <n v="254024692"/>
    <n v="64804785"/>
    <s v="ZRDI"/>
    <n v="10065225"/>
    <n v="208"/>
    <s v="DEV-Atraso entrega- LOGISTICA(Transp)"/>
    <s v="TRANSPORTADORA"/>
    <x v="2"/>
    <n v="57349225"/>
    <x v="643"/>
    <s v="BA"/>
    <n v="474"/>
    <s v="Site Brastemp"/>
    <n v="1352"/>
    <s v="W10866791"/>
    <s v="Kits Instalação"/>
    <x v="7"/>
    <n v="1000"/>
    <n v="5002359"/>
    <s v="EMPRESA BRASILEIRA DE CORREIOS E"/>
    <n v="214.02"/>
    <d v="2025-07-02T00:00:00"/>
  </r>
  <r>
    <s v="Sem TR"/>
    <n v="64802362"/>
    <s v="ZRDI"/>
    <n v="10117350"/>
    <s v="D18"/>
    <s v="DEV D2C - Arrependimento não quero mais"/>
    <s v="COMERCIAL"/>
    <x v="2"/>
    <n v="58129070"/>
    <x v="644"/>
    <s v="SP"/>
    <n v="346"/>
    <s v="Carteira B"/>
    <n v="1352"/>
    <s v="W10866791"/>
    <s v="Kits Instalação"/>
    <x v="7"/>
    <n v="1000"/>
    <n v="5002359"/>
    <s v="EMPRESA BRASILEIRA DE CORREIOS E"/>
    <n v="213.59"/>
    <d v="2025-07-15T00:00:00"/>
  </r>
  <r>
    <s v="Sem TR"/>
    <n v="64802362"/>
    <s v="ZRDI"/>
    <n v="10117350"/>
    <s v="D18"/>
    <s v="DEV D2C - Arrependimento não quero mais"/>
    <s v="COMERCIAL"/>
    <x v="2"/>
    <n v="58129070"/>
    <x v="644"/>
    <s v="SP"/>
    <n v="346"/>
    <s v="Carteira B"/>
    <n v="1352"/>
    <s v="W10866791"/>
    <s v="Kits Instalação"/>
    <x v="7"/>
    <n v="1000"/>
    <n v="5002359"/>
    <s v="EMPRESA BRASILEIRA DE CORREIOS E"/>
    <n v="213.59"/>
    <d v="2025-07-15T00:00:00"/>
  </r>
  <r>
    <s v="Sem TR"/>
    <n v="64804322"/>
    <s v="REB"/>
    <n v="10053475"/>
    <n v="173"/>
    <s v="PEÇAS - Defeito de fabric./Alta Amperage"/>
    <s v="FUNCIONAL"/>
    <x v="1"/>
    <n v="47026"/>
    <x v="16"/>
    <s v="BA"/>
    <n v="643"/>
    <s v="Elite"/>
    <n v="1350"/>
    <s v="W10882241"/>
    <s v="Agitadores"/>
    <x v="2"/>
    <n v="5000"/>
    <n v="5004101"/>
    <s v="UNIDOCK'S ASSESSORIA E LOGISTICA DE"/>
    <n v="213.29"/>
    <d v="2025-07-21T00:00:00"/>
  </r>
  <r>
    <n v="254018321"/>
    <n v="64781773"/>
    <s v="REB"/>
    <n v="9608854"/>
    <n v="173"/>
    <s v="PEÇAS - Defeito de fabric./Alta Amperage"/>
    <s v="FUNCIONAL"/>
    <x v="1"/>
    <n v="53252"/>
    <x v="501"/>
    <s v="TO"/>
    <n v="641"/>
    <s v="CDP Diamante"/>
    <n v="1350"/>
    <s v="W11643968"/>
    <s v="Placas de Controle"/>
    <x v="1"/>
    <n v="1000"/>
    <n v="5002858"/>
    <s v="FAVORITA TRANSPORTES LTDA"/>
    <n v="213.19"/>
    <d v="2025-06-16T00:00:00"/>
  </r>
  <r>
    <n v="254035323"/>
    <n v="64810372"/>
    <s v="REB"/>
    <n v="10072596"/>
    <n v="109"/>
    <s v="PEÇAS-Erro de catálogo/BT"/>
    <s v="ENGENHARIA"/>
    <x v="1"/>
    <n v="3236"/>
    <x v="45"/>
    <s v="SP"/>
    <n v="931"/>
    <s v="Ats Off"/>
    <n v="1350"/>
    <n v="326075350"/>
    <s v="Vidros"/>
    <x v="6"/>
    <n v="1000"/>
    <n v="5004042"/>
    <s v="BRASIL WEB TRANSPORTES E LOGISTICA"/>
    <n v="213.15"/>
    <d v="2025-07-17T00:00:00"/>
  </r>
  <r>
    <n v="254007300"/>
    <n v="64782255"/>
    <s v="REB"/>
    <n v="10051323"/>
    <n v="104"/>
    <s v="PEÇAS-Código trocado(embalag X conteúdo)"/>
    <s v="LOGÍSTICA"/>
    <x v="2"/>
    <n v="3236"/>
    <x v="45"/>
    <s v="SP"/>
    <n v="931"/>
    <s v="Ats Off"/>
    <n v="1350"/>
    <n v="326075350"/>
    <s v="Vidros"/>
    <x v="6"/>
    <n v="1000"/>
    <n v="5004042"/>
    <s v="BRASIL WEB TRANSPORTES E LOGISTICA"/>
    <n v="213.15"/>
    <d v="2025-06-02T00:00:00"/>
  </r>
  <r>
    <n v="253900873"/>
    <n v="64669088"/>
    <s v="REB"/>
    <n v="9538611"/>
    <n v="176"/>
    <s v="PEÇAS - Defeito de fabric./Interrompido"/>
    <s v="FUNCIONAL"/>
    <x v="1"/>
    <n v="85591"/>
    <x v="161"/>
    <s v="SC"/>
    <n v="648"/>
    <s v="Ultra"/>
    <n v="1350"/>
    <s v="W11228553"/>
    <s v="Placas de Interface"/>
    <x v="1"/>
    <n v="1000"/>
    <n v="5003024"/>
    <s v="RODOBRAS TRANSPORTES RODOVIARIOS LT"/>
    <n v="212.84"/>
    <d v="2024-12-16T00:00:00"/>
  </r>
  <r>
    <n v="253988800"/>
    <n v="64764257"/>
    <s v="REB"/>
    <n v="9906011"/>
    <n v="173"/>
    <s v="PEÇAS - Defeito de fabric./Alta Amperage"/>
    <s v="FUNCIONAL"/>
    <x v="1"/>
    <n v="13757"/>
    <x v="14"/>
    <s v="SP"/>
    <n v="713"/>
    <s v="Key Account"/>
    <n v="1350"/>
    <s v="W10772235"/>
    <s v="Placas de Interface"/>
    <x v="1"/>
    <n v="1000"/>
    <n v="5004042"/>
    <s v="BRASIL WEB TRANSPORTES E LOGISTICA"/>
    <n v="212.54"/>
    <d v="2025-05-05T00:00:00"/>
  </r>
  <r>
    <n v="254028926"/>
    <n v="64802964"/>
    <s v="REB"/>
    <n v="9965623"/>
    <n v="173"/>
    <s v="PEÇAS - Defeito de fabric./Alta Amperage"/>
    <s v="FUNCIONAL"/>
    <x v="1"/>
    <n v="67948"/>
    <x v="15"/>
    <s v="SC"/>
    <n v="713"/>
    <s v="Key Account"/>
    <n v="1350"/>
    <n v="326061422"/>
    <s v="Placas de Controle"/>
    <x v="1"/>
    <n v="1000"/>
    <n v="5003024"/>
    <s v="RODOBRAS TRANSPORTES RODOVIARIOS LT"/>
    <n v="212.44"/>
    <d v="2025-07-01T00:00:00"/>
  </r>
  <r>
    <n v="254024127"/>
    <n v="64803704"/>
    <s v="ZRDI"/>
    <n v="10051723"/>
    <n v="208"/>
    <s v="DEV-Atraso entrega- LOGISTICA(Transp)"/>
    <s v="TRANSPORTADORA"/>
    <x v="2"/>
    <n v="5603732"/>
    <x v="645"/>
    <s v="DF"/>
    <n v="474"/>
    <s v="Site Brastemp"/>
    <n v="1352"/>
    <s v="W10866791"/>
    <s v="Kits Instalação"/>
    <x v="7"/>
    <n v="1000"/>
    <n v="5002359"/>
    <s v="EMPRESA BRASILEIRA DE CORREIOS E"/>
    <n v="212.38"/>
    <d v="2025-07-01T00:00:00"/>
  </r>
  <r>
    <n v="254024690"/>
    <n v="64804783"/>
    <s v="ZRDI"/>
    <n v="10060855"/>
    <n v="208"/>
    <s v="DEV-Atraso entrega- LOGISTICA(Transp)"/>
    <s v="TRANSPORTADORA"/>
    <x v="2"/>
    <n v="57250206"/>
    <x v="646"/>
    <s v="GO"/>
    <n v="474"/>
    <s v="Site Brastemp"/>
    <n v="1352"/>
    <s v="W10866791"/>
    <s v="Kits Instalação"/>
    <x v="7"/>
    <n v="1000"/>
    <n v="5002359"/>
    <s v="EMPRESA BRASILEIRA DE CORREIOS E"/>
    <n v="212.38"/>
    <d v="2025-07-02T00:00:00"/>
  </r>
  <r>
    <n v="254033257"/>
    <n v="64807367"/>
    <s v="REB"/>
    <n v="10049029"/>
    <n v="173"/>
    <s v="PEÇAS - Defeito de fabric./Alta Amperage"/>
    <s v="FUNCIONAL"/>
    <x v="1"/>
    <n v="3236"/>
    <x v="45"/>
    <s v="SP"/>
    <n v="931"/>
    <s v="Ats Off"/>
    <n v="1350"/>
    <s v="W10729705"/>
    <s v="Válvulas de Água"/>
    <x v="5"/>
    <n v="1000"/>
    <n v="5004042"/>
    <s v="BRASIL WEB TRANSPORTES E LOGISTICA"/>
    <n v="212.16"/>
    <d v="2025-07-08T00:00:00"/>
  </r>
  <r>
    <n v="254003846"/>
    <n v="64778409"/>
    <s v="REB"/>
    <n v="10000212"/>
    <n v="173"/>
    <s v="PEÇAS - Defeito de fabric./Alta Amperage"/>
    <s v="FUNCIONAL"/>
    <x v="1"/>
    <n v="3236"/>
    <x v="45"/>
    <s v="SP"/>
    <n v="931"/>
    <s v="Ats Off"/>
    <n v="1350"/>
    <s v="W10729705"/>
    <s v="Válvulas de Água"/>
    <x v="5"/>
    <n v="1000"/>
    <n v="5004042"/>
    <s v="BRASIL WEB TRANSPORTES E LOGISTICA"/>
    <n v="212.12"/>
    <d v="2025-05-26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1383843"/>
    <s v="Válvulas de Água"/>
    <x v="5"/>
    <n v="2000"/>
    <n v="5004101"/>
    <s v="UNIDOCK'S ASSESSORIA E LOGISTICA DE"/>
    <n v="212.02"/>
    <d v="2025-07-30T00:00:00"/>
  </r>
  <r>
    <n v="253970683"/>
    <n v="64748189"/>
    <s v="REB"/>
    <n v="9878093"/>
    <n v="173"/>
    <s v="PEÇAS - Defeito de fabric./Alta Amperage"/>
    <s v="FUNCIONAL"/>
    <x v="2"/>
    <n v="3236"/>
    <x v="45"/>
    <s v="SP"/>
    <n v="931"/>
    <s v="Ats Off"/>
    <n v="1350"/>
    <s v="W10729705"/>
    <s v="Válvulas de Água"/>
    <x v="5"/>
    <n v="1000"/>
    <n v="5004042"/>
    <s v="BRASIL WEB TRANSPORTES E LOGISTICA"/>
    <n v="211.97"/>
    <d v="2025-04-09T00:00:00"/>
  </r>
  <r>
    <s v="Sem TR"/>
    <n v="64819170"/>
    <s v="ZRDI"/>
    <n v="10115529"/>
    <s v="D35"/>
    <s v="DEV D2C - Prod difere do comprado"/>
    <s v="COMERCIAL"/>
    <x v="1"/>
    <n v="52323692"/>
    <x v="647"/>
    <s v="CE"/>
    <n v="475"/>
    <s v="Site Consul"/>
    <n v="1352"/>
    <s v="W11509386"/>
    <s v="Filtros"/>
    <x v="5"/>
    <n v="2000"/>
    <n v="5002359"/>
    <s v="EMPRESA BRASILEIRA DE CORREIOS E"/>
    <n v="211.84"/>
    <d v="2025-07-29T00:00:00"/>
  </r>
  <r>
    <n v="254035396"/>
    <n v="64810248"/>
    <s v="REB"/>
    <n v="10078654"/>
    <n v="173"/>
    <s v="PEÇAS - Defeito de fabric./Alta Amperage"/>
    <s v="FUNCIONAL"/>
    <x v="0"/>
    <n v="59025"/>
    <x v="648"/>
    <s v="AL"/>
    <n v="644"/>
    <s v="Plus"/>
    <n v="1350"/>
    <s v="W11581054"/>
    <s v="Placas de Controle"/>
    <x v="1"/>
    <n v="1000"/>
    <n v="5004101"/>
    <s v="UNIDOCK'S ASSESSORIA E LOGISTICA DE"/>
    <n v="211.8"/>
    <d v="2025-07-17T00:00:00"/>
  </r>
  <r>
    <n v="254018385"/>
    <n v="64781772"/>
    <s v="REB"/>
    <n v="9993151"/>
    <n v="173"/>
    <s v="PEÇAS - Defeito de fabric./Alta Amperage"/>
    <s v="FUNCIONAL"/>
    <x v="1"/>
    <n v="81548"/>
    <x v="348"/>
    <s v="SC"/>
    <n v="350"/>
    <s v="Ats On"/>
    <n v="1350"/>
    <s v="W10351342"/>
    <s v="Ice Maker"/>
    <x v="7"/>
    <n v="1000"/>
    <n v="5003024"/>
    <s v="RODOBRAS TRANSPORTES RODOVIARIOS LT"/>
    <n v="211.76"/>
    <d v="2025-06-16T00:00:00"/>
  </r>
  <r>
    <n v="254018390"/>
    <n v="64756322"/>
    <s v="REB"/>
    <n v="9960737"/>
    <n v="109"/>
    <s v="PEÇAS-Erro de catálogo/BT"/>
    <s v="ENGENHARIA"/>
    <x v="2"/>
    <n v="87661"/>
    <x v="649"/>
    <s v="GO"/>
    <n v="350"/>
    <s v="Ats On"/>
    <n v="1350"/>
    <s v="W10773186"/>
    <s v="Molduras"/>
    <x v="6"/>
    <n v="1000"/>
    <n v="5002858"/>
    <s v="FAVORITA TRANSPORTES LTDA"/>
    <n v="211.7"/>
    <d v="2025-04-24T00:00:00"/>
  </r>
  <r>
    <n v="254021289"/>
    <n v="64798935"/>
    <s v="ZRDI"/>
    <n v="10093884"/>
    <n v="208"/>
    <s v="DEV-Atraso entrega- LOGISTICA(Transp)"/>
    <s v="TRANSPORTADORA"/>
    <x v="2"/>
    <n v="58099471"/>
    <x v="650"/>
    <s v="AL"/>
    <n v="475"/>
    <s v="Site Consul"/>
    <n v="1352"/>
    <s v="W10866790"/>
    <s v="Kits Instalação"/>
    <x v="7"/>
    <n v="1000"/>
    <n v="5002359"/>
    <s v="EMPRESA BRASILEIRA DE CORREIOS E"/>
    <n v="211.65"/>
    <d v="2025-06-26T00:00:00"/>
  </r>
  <r>
    <n v="254003948"/>
    <n v="64778208"/>
    <s v="REB"/>
    <n v="9942707"/>
    <n v="173"/>
    <s v="PEÇAS - Defeito de fabric./Alta Amperage"/>
    <s v="FUNCIONAL"/>
    <x v="1"/>
    <n v="30990"/>
    <x v="26"/>
    <s v="ES"/>
    <n v="713"/>
    <s v="Key Account"/>
    <n v="1350"/>
    <s v="W11300816"/>
    <s v="Mecanismos"/>
    <x v="2"/>
    <n v="2000"/>
    <n v="5004042"/>
    <s v="BRASIL WEB TRANSPORTES E LOGISTICA"/>
    <n v="211.48"/>
    <d v="2025-05-26T00:00:00"/>
  </r>
  <r>
    <n v="253854391"/>
    <n v="64629359"/>
    <s v="REB"/>
    <n v="9499727"/>
    <n v="170"/>
    <s v="PEÇAS - Avaria - Riscada/Depósito"/>
    <s v="LOGÍSTICA"/>
    <x v="1"/>
    <n v="33230"/>
    <x v="651"/>
    <s v="MG"/>
    <n v="350"/>
    <s v="Ats On"/>
    <n v="1350"/>
    <s v="W10911713"/>
    <s v="Vidros"/>
    <x v="6"/>
    <n v="1000"/>
    <n v="5004101"/>
    <s v="UNIDOCK'S ASSESSORIA E LOGISTICA DE"/>
    <n v="211.47"/>
    <d v="2024-10-17T00:00:00"/>
  </r>
  <r>
    <s v="Sem TR"/>
    <n v="64811325"/>
    <s v="ZRDI"/>
    <n v="10103967"/>
    <s v="D35"/>
    <s v="DEV D2C - Prod difere do comprado"/>
    <s v="COMERCIAL"/>
    <x v="2"/>
    <n v="52980567"/>
    <x v="652"/>
    <s v="PA"/>
    <n v="475"/>
    <s v="Site Consul"/>
    <n v="1352"/>
    <s v="W10866791"/>
    <s v="Kits Instalação"/>
    <x v="7"/>
    <n v="1000"/>
    <n v="5002359"/>
    <s v="EMPRESA BRASILEIRA DE CORREIOS E"/>
    <n v="211.4"/>
    <d v="2025-07-23T00:00:00"/>
  </r>
  <r>
    <s v="Sem TR"/>
    <n v="64811325"/>
    <s v="ZRDI"/>
    <n v="10103967"/>
    <s v="D35"/>
    <s v="DEV D2C - Prod difere do comprado"/>
    <s v="COMERCIAL"/>
    <x v="2"/>
    <n v="52980567"/>
    <x v="652"/>
    <s v="PA"/>
    <n v="475"/>
    <s v="Site Consul"/>
    <n v="1352"/>
    <s v="W10866791"/>
    <s v="Kits Instalação"/>
    <x v="7"/>
    <n v="1000"/>
    <n v="5002359"/>
    <s v="EMPRESA BRASILEIRA DE CORREIOS E"/>
    <n v="211.4"/>
    <d v="2025-07-23T00:00:00"/>
  </r>
  <r>
    <s v="Sem TR"/>
    <n v="64810599"/>
    <s v="ZRDI"/>
    <n v="10104020"/>
    <s v="D10"/>
    <s v="DEV D2C - Comprou modelo errado"/>
    <s v="COMERCIAL"/>
    <x v="2"/>
    <n v="55432484"/>
    <x v="653"/>
    <s v="BA"/>
    <n v="475"/>
    <s v="Site Consul"/>
    <n v="1352"/>
    <s v="W10866790"/>
    <s v="Kits Instalação"/>
    <x v="7"/>
    <n v="1000"/>
    <n v="5002359"/>
    <s v="EMPRESA BRASILEIRA DE CORREIOS E"/>
    <n v="211.1"/>
    <d v="2025-07-15T00:00:00"/>
  </r>
  <r>
    <s v="Sem TR"/>
    <n v="64810599"/>
    <s v="ZRDI"/>
    <n v="10104020"/>
    <s v="D10"/>
    <s v="DEV D2C - Comprou modelo errado"/>
    <s v="COMERCIAL"/>
    <x v="2"/>
    <n v="55432484"/>
    <x v="653"/>
    <s v="BA"/>
    <n v="475"/>
    <s v="Site Consul"/>
    <n v="1352"/>
    <s v="W10866790"/>
    <s v="Kits Instalação"/>
    <x v="7"/>
    <n v="1000"/>
    <n v="5002359"/>
    <s v="EMPRESA BRASILEIRA DE CORREIOS E"/>
    <n v="211.1"/>
    <d v="2025-07-15T00:00:00"/>
  </r>
  <r>
    <n v="254032521"/>
    <n v="64811485"/>
    <s v="ZRDI"/>
    <n v="10095735"/>
    <n v="208"/>
    <s v="DEV-Atraso entrega- LOGISTICA(Transp)"/>
    <s v="TRANSPORTADORA"/>
    <x v="2"/>
    <n v="58102341"/>
    <x v="654"/>
    <s v="MG"/>
    <n v="474"/>
    <s v="Site Brastemp"/>
    <n v="1352"/>
    <s v="W10866790"/>
    <s v="Kits Instalação"/>
    <x v="7"/>
    <n v="1000"/>
    <n v="5002359"/>
    <s v="EMPRESA BRASILEIRA DE CORREIOS E"/>
    <n v="211.09"/>
    <d v="2025-07-16T00:00:00"/>
  </r>
  <r>
    <n v="254035400"/>
    <n v="64812670"/>
    <s v="REB"/>
    <n v="10092487"/>
    <n v="173"/>
    <s v="PEÇAS - Defeito de fabric./Alta Amperage"/>
    <s v="FUNCIONAL"/>
    <x v="1"/>
    <n v="61371"/>
    <x v="96"/>
    <s v="DF"/>
    <n v="933"/>
    <s v="Top"/>
    <n v="1350"/>
    <s v="W11300675"/>
    <s v="Mecanismos"/>
    <x v="2"/>
    <n v="2000"/>
    <n v="5002858"/>
    <s v="FAVORITA TRANSPORTES LTDA"/>
    <n v="211.04"/>
    <d v="2025-07-17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s v="W10284848"/>
    <s v="Correias"/>
    <x v="2"/>
    <n v="6000"/>
    <n v="5003024"/>
    <s v="RODOBRAS TRANSPORTES RODOVIARIOS LT"/>
    <n v="211"/>
    <d v="2025-01-28T00:00:00"/>
  </r>
  <r>
    <n v="254031461"/>
    <n v="64810695"/>
    <s v="ZRDI"/>
    <n v="10103132"/>
    <s v="D25"/>
    <s v="DEV D2C - Prob na entrega (Não recebi)"/>
    <s v="TRANSPORTADORA"/>
    <x v="2"/>
    <n v="5239295"/>
    <x v="655"/>
    <s v="GO"/>
    <n v="474"/>
    <s v="Site Brastemp"/>
    <n v="1352"/>
    <s v="W10866791"/>
    <s v="Kits Instalação"/>
    <x v="7"/>
    <n v="1000"/>
    <n v="5002359"/>
    <s v="EMPRESA BRASILEIRA DE CORREIOS E"/>
    <n v="210.99"/>
    <d v="2025-07-15T00:00:00"/>
  </r>
  <r>
    <n v="254031461"/>
    <n v="64810695"/>
    <s v="ZRDI"/>
    <n v="10103132"/>
    <s v="D25"/>
    <s v="DEV D2C - Prob na entrega (Não recebi)"/>
    <s v="TRANSPORTADORA"/>
    <x v="2"/>
    <n v="5239295"/>
    <x v="655"/>
    <s v="GO"/>
    <n v="474"/>
    <s v="Site Brastemp"/>
    <n v="1352"/>
    <s v="W10866791"/>
    <s v="Kits Instalação"/>
    <x v="7"/>
    <n v="1000"/>
    <n v="5002359"/>
    <s v="EMPRESA BRASILEIRA DE CORREIOS E"/>
    <n v="210.99"/>
    <d v="2025-07-15T00:00:00"/>
  </r>
  <r>
    <n v="254026374"/>
    <n v="64805845"/>
    <s v="ZRDI"/>
    <n v="10096928"/>
    <n v="208"/>
    <s v="DEV-Atraso entrega- LOGISTICA(Transp)"/>
    <s v="TRANSPORTADORA"/>
    <x v="2"/>
    <n v="58105938"/>
    <x v="656"/>
    <s v="SP"/>
    <n v="475"/>
    <s v="Site Consul"/>
    <n v="1352"/>
    <s v="W11559186"/>
    <s v="Kits Instalação"/>
    <x v="7"/>
    <n v="1000"/>
    <n v="5002359"/>
    <s v="EMPRESA BRASILEIRA DE CORREIOS E"/>
    <n v="210.87"/>
    <d v="2025-07-04T00:00:00"/>
  </r>
  <r>
    <n v="254032556"/>
    <n v="64811501"/>
    <s v="ZRDI"/>
    <n v="10104018"/>
    <n v="208"/>
    <s v="DEV-Atraso entrega- LOGISTICA(Transp)"/>
    <s v="TRANSPORTADORA"/>
    <x v="2"/>
    <n v="55360117"/>
    <x v="657"/>
    <s v="RJ"/>
    <n v="475"/>
    <s v="Site Consul"/>
    <n v="1352"/>
    <s v="W10866790"/>
    <s v="Kits Instalação"/>
    <x v="7"/>
    <n v="1000"/>
    <n v="5002359"/>
    <s v="EMPRESA BRASILEIRA DE CORREIOS E"/>
    <n v="210.86"/>
    <d v="2025-07-16T00:00:00"/>
  </r>
  <r>
    <n v="254036642"/>
    <n v="64814538"/>
    <s v="ZRDI"/>
    <n v="10095288"/>
    <n v="208"/>
    <s v="DEV-Atraso entrega- LOGISTICA(Transp)"/>
    <s v="TRANSPORTADORA"/>
    <x v="2"/>
    <n v="4692369"/>
    <x v="658"/>
    <s v="RJ"/>
    <n v="474"/>
    <s v="Site Brastemp"/>
    <n v="1352"/>
    <s v="W10866790"/>
    <s v="Kits Instalação"/>
    <x v="7"/>
    <n v="1000"/>
    <n v="5002359"/>
    <s v="EMPRESA BRASILEIRA DE CORREIOS E"/>
    <n v="210.86"/>
    <d v="2025-07-22T00:00:00"/>
  </r>
  <r>
    <s v="Sem TR"/>
    <n v="64798581"/>
    <s v="ZRDI"/>
    <n v="10098644"/>
    <s v="D18"/>
    <s v="DEV D2C - Arrependimento não quero mais"/>
    <s v="COMERCIAL"/>
    <x v="2"/>
    <n v="58107869"/>
    <x v="659"/>
    <s v="RJ"/>
    <n v="475"/>
    <s v="Site Consul"/>
    <n v="1352"/>
    <s v="W10866791"/>
    <s v="Kits Instalação"/>
    <x v="7"/>
    <n v="1000"/>
    <n v="5002359"/>
    <s v="EMPRESA BRASILEIRA DE CORREIOS E"/>
    <n v="210.82"/>
    <d v="2025-06-27T00:00:00"/>
  </r>
  <r>
    <n v="254024643"/>
    <n v="64804744"/>
    <s v="ZRDI"/>
    <n v="10093248"/>
    <n v="208"/>
    <s v="DEV-Atraso entrega- LOGISTICA(Transp)"/>
    <s v="TRANSPORTADORA"/>
    <x v="2"/>
    <n v="53454239"/>
    <x v="660"/>
    <s v="RJ"/>
    <n v="475"/>
    <s v="Site Consul"/>
    <n v="1352"/>
    <s v="W10866791"/>
    <s v="Kits Instalação"/>
    <x v="7"/>
    <n v="1000"/>
    <n v="5002359"/>
    <s v="EMPRESA BRASILEIRA DE CORREIOS E"/>
    <n v="210.82"/>
    <d v="2025-07-02T00:00:00"/>
  </r>
  <r>
    <n v="254038265"/>
    <n v="64810562"/>
    <s v="REB"/>
    <n v="10117563"/>
    <n v="176"/>
    <s v="PEÇAS - Defeito de fabric./Interrompido"/>
    <s v="FUNCIONAL"/>
    <x v="0"/>
    <n v="3506"/>
    <x v="46"/>
    <s v="SP"/>
    <n v="931"/>
    <s v="Ats Off"/>
    <n v="1350"/>
    <s v="W11023705"/>
    <s v="Dispensers"/>
    <x v="9"/>
    <n v="1000"/>
    <n v="5004042"/>
    <s v="BRASIL WEB TRANSPORTES E LOGISTICA"/>
    <n v="210.81"/>
    <d v="2025-07-22T00:00:00"/>
  </r>
  <r>
    <n v="254024653"/>
    <n v="64804755"/>
    <s v="ZRDI"/>
    <n v="10095332"/>
    <n v="208"/>
    <s v="DEV-Atraso entrega- LOGISTICA(Transp)"/>
    <s v="TRANSPORTADORA"/>
    <x v="2"/>
    <n v="53746706"/>
    <x v="661"/>
    <s v="ES"/>
    <n v="474"/>
    <s v="Site Brastemp"/>
    <n v="1352"/>
    <s v="W10866791"/>
    <s v="Kits Instalação"/>
    <x v="7"/>
    <n v="1000"/>
    <n v="5002359"/>
    <s v="EMPRESA BRASILEIRA DE CORREIOS E"/>
    <n v="210.71"/>
    <d v="2025-07-02T00:00:00"/>
  </r>
  <r>
    <s v="Sem TR"/>
    <n v="64804751"/>
    <s v="ZRDI"/>
    <n v="10094148"/>
    <n v="208"/>
    <s v="DEV-Atraso entrega- LOGISTICA(Transp)"/>
    <s v="TRANSPORTADORA"/>
    <x v="2"/>
    <n v="53500987"/>
    <x v="662"/>
    <s v="SP"/>
    <n v="474"/>
    <s v="Site Brastemp"/>
    <n v="1352"/>
    <s v="W10866790"/>
    <s v="Kits Instalação"/>
    <x v="7"/>
    <n v="1000"/>
    <n v="5002359"/>
    <s v="EMPRESA BRASILEIRA DE CORREIOS E"/>
    <n v="210.65"/>
    <d v="2025-07-02T00:00:00"/>
  </r>
  <r>
    <s v="Sem TR"/>
    <n v="64806757"/>
    <s v="ZRDI"/>
    <n v="10094149"/>
    <n v="208"/>
    <s v="DEV-Atraso entrega- LOGISTICA(Transp)"/>
    <s v="TRANSPORTADORA"/>
    <x v="2"/>
    <n v="54038387"/>
    <x v="663"/>
    <s v="SP"/>
    <n v="474"/>
    <s v="Site Brastemp"/>
    <n v="1352"/>
    <s v="W10866790"/>
    <s v="Kits Instalação"/>
    <x v="7"/>
    <n v="1000"/>
    <n v="5002359"/>
    <s v="EMPRESA BRASILEIRA DE CORREIOS E"/>
    <n v="210.65"/>
    <d v="2025-07-07T00:00:00"/>
  </r>
  <r>
    <s v="Sem TR"/>
    <n v="64795987"/>
    <s v="ZRDI"/>
    <n v="10102310"/>
    <s v="D18"/>
    <s v="DEV D2C - Arrependimento não quero mais"/>
    <s v="COMERCIAL"/>
    <x v="2"/>
    <n v="58115518"/>
    <x v="664"/>
    <s v="SP"/>
    <n v="474"/>
    <s v="Site Brastemp"/>
    <n v="1352"/>
    <s v="W10866791"/>
    <s v="Kits Instalação"/>
    <x v="7"/>
    <n v="1000"/>
    <n v="5002359"/>
    <s v="EMPRESA BRASILEIRA DE CORREIOS E"/>
    <n v="210.63"/>
    <d v="2025-06-28T00:00:00"/>
  </r>
  <r>
    <s v="Sem TR"/>
    <n v="64804733"/>
    <s v="ZRDI"/>
    <n v="10088654"/>
    <n v="208"/>
    <s v="DEV-Atraso entrega- LOGISTICA(Transp)"/>
    <s v="TRANSPORTADORA"/>
    <x v="2"/>
    <n v="58091516"/>
    <x v="665"/>
    <s v="SP"/>
    <n v="475"/>
    <s v="Site Consul"/>
    <n v="1352"/>
    <s v="W10866791"/>
    <s v="Kits Instalação"/>
    <x v="7"/>
    <n v="1000"/>
    <n v="5002359"/>
    <s v="EMPRESA BRASILEIRA DE CORREIOS E"/>
    <n v="210.63"/>
    <d v="2025-07-02T00:00:00"/>
  </r>
  <r>
    <s v="Sem TR"/>
    <n v="64620548"/>
    <s v="ROB"/>
    <n v="9561927"/>
    <n v="25"/>
    <s v="OC. 80 - EXTRAVIO TOTAL"/>
    <s v="TRANSPORTADORA"/>
    <x v="0"/>
    <n v="84895"/>
    <x v="666"/>
    <s v="PE"/>
    <n v="932"/>
    <s v="CDP Prata"/>
    <n v="1350"/>
    <s v="W10310999"/>
    <s v="Motores Ventiladores"/>
    <x v="1"/>
    <n v="4000"/>
    <n v="5004101"/>
    <s v="UNIDOCK'S ASSESSORIA E LOGISTICA DE"/>
    <n v="210.58"/>
    <d v="2024-10-02T00:00:00"/>
  </r>
  <r>
    <s v="Sem TR"/>
    <n v="64812295"/>
    <s v="REB"/>
    <n v="10037799"/>
    <n v="173"/>
    <s v="PEÇAS - Defeito de fabric./Alta Amperage"/>
    <s v="FUNCIONAL"/>
    <x v="1"/>
    <n v="72497"/>
    <x v="356"/>
    <s v="SC"/>
    <n v="933"/>
    <s v="Top"/>
    <n v="1350"/>
    <s v="W10855670"/>
    <s v="Placas de Controle"/>
    <x v="1"/>
    <n v="1000"/>
    <n v="5003024"/>
    <s v="RODOBRAS TRANSPORTES RODOVIARIOS LT"/>
    <n v="210.44"/>
    <d v="2025-07-17T00:00:00"/>
  </r>
  <r>
    <n v="253970917"/>
    <n v="64748419"/>
    <s v="REB"/>
    <n v="9659572"/>
    <n v="173"/>
    <s v="PEÇAS - Defeito de fabric./Alta Amperage"/>
    <s v="FUNCIONAL"/>
    <x v="2"/>
    <n v="67948"/>
    <x v="15"/>
    <s v="SC"/>
    <n v="713"/>
    <s v="Key Account"/>
    <n v="1350"/>
    <n v="326061171"/>
    <s v="Placas de Controle"/>
    <x v="1"/>
    <n v="1000"/>
    <n v="5003024"/>
    <s v="RODOBRAS TRANSPORTES RODOVIARIOS LT"/>
    <n v="210.28"/>
    <d v="2025-04-09T00:00:00"/>
  </r>
  <r>
    <n v="254004042"/>
    <n v="64778215"/>
    <s v="REB"/>
    <n v="9965623"/>
    <n v="173"/>
    <s v="PEÇAS - Defeito de fabric./Alta Amperage"/>
    <s v="FUNCIONAL"/>
    <x v="1"/>
    <n v="67948"/>
    <x v="15"/>
    <s v="SC"/>
    <n v="713"/>
    <s v="Key Account"/>
    <n v="1350"/>
    <n v="326059371"/>
    <s v="Placas de Controle"/>
    <x v="1"/>
    <n v="1000"/>
    <n v="5003024"/>
    <s v="RODOBRAS TRANSPORTES RODOVIARIOS LT"/>
    <n v="210.03"/>
    <d v="2025-05-26T00:00:00"/>
  </r>
  <r>
    <s v="Sem TR"/>
    <n v="64817589"/>
    <s v="REB"/>
    <n v="9804140"/>
    <n v="173"/>
    <s v="PEÇAS - Defeito de fabric./Alta Amperage"/>
    <s v="FUNCIONAL"/>
    <x v="1"/>
    <n v="27770"/>
    <x v="37"/>
    <s v="AL"/>
    <n v="641"/>
    <s v="CDP Diamante"/>
    <n v="1350"/>
    <s v="W11603414"/>
    <s v="Placas de Controle"/>
    <x v="1"/>
    <n v="1000"/>
    <n v="5004101"/>
    <s v="UNIDOCK'S ASSESSORIA E LOGISTICA DE"/>
    <n v="209.97"/>
    <d v="2025-07-25T00:00:00"/>
  </r>
  <r>
    <n v="254003906"/>
    <n v="64778273"/>
    <s v="REB"/>
    <n v="9804140"/>
    <n v="173"/>
    <s v="PEÇAS - Defeito de fabric./Alta Amperage"/>
    <s v="FUNCIONAL"/>
    <x v="1"/>
    <n v="27770"/>
    <x v="37"/>
    <s v="AL"/>
    <n v="641"/>
    <s v="CDP Diamante"/>
    <n v="1350"/>
    <s v="W11603414"/>
    <s v="Placas de Controle"/>
    <x v="1"/>
    <n v="1000"/>
    <n v="5004101"/>
    <s v="UNIDOCK'S ASSESSORIA E LOGISTICA DE"/>
    <n v="209.97"/>
    <d v="2025-05-26T00:00:00"/>
  </r>
  <r>
    <n v="254035362"/>
    <n v="64812286"/>
    <s v="REB"/>
    <n v="9804140"/>
    <n v="173"/>
    <s v="PEÇAS - Defeito de fabric./Alta Amperage"/>
    <s v="FUNCIONAL"/>
    <x v="0"/>
    <n v="27770"/>
    <x v="37"/>
    <s v="AL"/>
    <n v="641"/>
    <s v="CDP Diamante"/>
    <n v="1350"/>
    <s v="W11603414"/>
    <s v="Placas de Controle"/>
    <x v="1"/>
    <n v="1000"/>
    <n v="5004101"/>
    <s v="UNIDOCK'S ASSESSORIA E LOGISTICA DE"/>
    <n v="209.97"/>
    <d v="2025-07-17T00:00:00"/>
  </r>
  <r>
    <n v="254035363"/>
    <n v="64812456"/>
    <s v="REB"/>
    <n v="9804140"/>
    <n v="173"/>
    <s v="PEÇAS - Defeito de fabric./Alta Amperage"/>
    <s v="FUNCIONAL"/>
    <x v="0"/>
    <n v="27770"/>
    <x v="37"/>
    <s v="AL"/>
    <n v="641"/>
    <s v="CDP Diamante"/>
    <n v="1350"/>
    <s v="W11603414"/>
    <s v="Placas de Controle"/>
    <x v="1"/>
    <n v="1000"/>
    <n v="5004101"/>
    <s v="UNIDOCK'S ASSESSORIA E LOGISTICA DE"/>
    <n v="209.97"/>
    <d v="2025-07-17T00:00:00"/>
  </r>
  <r>
    <n v="254033281"/>
    <n v="64807560"/>
    <s v="REB"/>
    <n v="10006871"/>
    <n v="176"/>
    <s v="PEÇAS - Defeito de fabric./Interrompido"/>
    <s v="FUNCIONAL"/>
    <x v="0"/>
    <n v="13757"/>
    <x v="14"/>
    <s v="SP"/>
    <n v="713"/>
    <s v="Key Account"/>
    <n v="1350"/>
    <s v="W11299803"/>
    <s v="Mecanismos"/>
    <x v="2"/>
    <n v="2000"/>
    <n v="5004042"/>
    <s v="BRASIL WEB TRANSPORTES E LOGISTICA"/>
    <n v="209.76"/>
    <d v="2025-07-08T00:00:00"/>
  </r>
  <r>
    <n v="254024686"/>
    <n v="64804779"/>
    <s v="ZRDI"/>
    <n v="10051405"/>
    <n v="208"/>
    <s v="DEV-Atraso entrega- LOGISTICA(Transp)"/>
    <s v="TRANSPORTADORA"/>
    <x v="2"/>
    <n v="58046302"/>
    <x v="667"/>
    <s v="RS"/>
    <n v="475"/>
    <s v="Site Consul"/>
    <n v="1352"/>
    <s v="W10866791"/>
    <s v="Kits Instalação"/>
    <x v="7"/>
    <n v="1000"/>
    <n v="5002359"/>
    <s v="EMPRESA BRASILEIRA DE CORREIOS E"/>
    <n v="209.7"/>
    <d v="2025-07-02T00:00:00"/>
  </r>
  <r>
    <n v="253992749"/>
    <n v="64767311"/>
    <s v="REB"/>
    <n v="9973028"/>
    <n v="173"/>
    <s v="PEÇAS - Defeito de fabric./Alta Amperage"/>
    <s v="FUNCIONAL"/>
    <x v="1"/>
    <n v="55093"/>
    <x v="231"/>
    <s v="SP"/>
    <n v="648"/>
    <s v="Ultra"/>
    <n v="1350"/>
    <s v="W10800267"/>
    <s v="Placas de Interface"/>
    <x v="1"/>
    <n v="1000"/>
    <n v="5004042"/>
    <s v="BRASIL WEB TRANSPORTES E LOGISTICA"/>
    <n v="209.59"/>
    <d v="2025-05-12T00:00:00"/>
  </r>
  <r>
    <n v="253970683"/>
    <n v="64748190"/>
    <s v="REB"/>
    <n v="9914401"/>
    <n v="173"/>
    <s v="PEÇAS - Defeito de fabric./Alta Amperage"/>
    <s v="FUNCIONAL"/>
    <x v="1"/>
    <n v="3236"/>
    <x v="45"/>
    <s v="SP"/>
    <n v="931"/>
    <s v="Ats Off"/>
    <n v="1350"/>
    <s v="W10729705"/>
    <s v="Válvulas de Água"/>
    <x v="5"/>
    <n v="1000"/>
    <n v="5004042"/>
    <s v="BRASIL WEB TRANSPORTES E LOGISTICA"/>
    <n v="209.58"/>
    <d v="2025-04-09T00:00:00"/>
  </r>
  <r>
    <n v="254042117"/>
    <n v="64795466"/>
    <s v="REB"/>
    <n v="10091308"/>
    <n v="173"/>
    <s v="PEÇAS - Defeito de fabric./Alta Amperage"/>
    <s v="FUNCIONAL"/>
    <x v="0"/>
    <n v="14441"/>
    <x v="61"/>
    <s v="SP"/>
    <n v="931"/>
    <s v="Ats Off"/>
    <n v="1350"/>
    <s v="W10729705"/>
    <s v="Válvulas de Água"/>
    <x v="5"/>
    <n v="1000"/>
    <n v="5004042"/>
    <s v="BRASIL WEB TRANSPORTES E LOGISTICA"/>
    <n v="209.58"/>
    <d v="2025-06-21T00:00:00"/>
  </r>
  <r>
    <n v="254034408"/>
    <n v="64813035"/>
    <s v="ROB"/>
    <n v="10113493"/>
    <n v="208"/>
    <s v="DEV-Atraso entrega- LOGISTICA(Transp)"/>
    <s v="TRANSPORTADORA"/>
    <x v="0"/>
    <n v="3625"/>
    <x v="324"/>
    <s v="SP"/>
    <n v="350"/>
    <s v="Ats On"/>
    <n v="1350"/>
    <s v="W11300695"/>
    <s v="Mecanismos"/>
    <x v="2"/>
    <n v="1000"/>
    <n v="5004101"/>
    <s v="UNIDOCK'S ASSESSORIA E LOGISTICA DE"/>
    <n v="209.58"/>
    <d v="2025-07-18T00:00:00"/>
  </r>
  <r>
    <n v="254038269"/>
    <n v="64814799"/>
    <s v="REB"/>
    <n v="10000145"/>
    <n v="173"/>
    <s v="PEÇAS - Defeito de fabric./Alta Amperage"/>
    <s v="FUNCIONAL"/>
    <x v="0"/>
    <n v="4167"/>
    <x v="63"/>
    <s v="SP"/>
    <n v="931"/>
    <s v="Ats Off"/>
    <n v="1350"/>
    <s v="W10729705"/>
    <s v="Válvulas de Água"/>
    <x v="5"/>
    <n v="1000"/>
    <n v="5004042"/>
    <s v="BRASIL WEB TRANSPORTES E LOGISTICA"/>
    <n v="209.58"/>
    <d v="2025-07-22T00:00:00"/>
  </r>
  <r>
    <s v="Sem TR"/>
    <n v="64810150"/>
    <s v="ZRDI"/>
    <n v="10071999"/>
    <s v="D10"/>
    <s v="DEV D2C - Comprou modelo errado"/>
    <s v="COMERCIAL"/>
    <x v="2"/>
    <n v="58067569"/>
    <x v="668"/>
    <s v="SP"/>
    <n v="466"/>
    <s v="Sup ML Marketplace"/>
    <n v="1352"/>
    <s v="W10624070"/>
    <s v="Gavetas"/>
    <x v="9"/>
    <n v="1000"/>
    <n v="5002359"/>
    <s v="EMPRESA BRASILEIRA DE CORREIOS E"/>
    <n v="209.13"/>
    <d v="2025-07-18T00:00:00"/>
  </r>
  <r>
    <s v="Sem TR"/>
    <n v="64810150"/>
    <s v="ZRDI"/>
    <n v="10071999"/>
    <s v="D10"/>
    <s v="DEV D2C - Comprou modelo errado"/>
    <s v="COMERCIAL"/>
    <x v="2"/>
    <n v="58067569"/>
    <x v="668"/>
    <s v="SP"/>
    <n v="466"/>
    <s v="Sup ML Marketplace"/>
    <n v="1352"/>
    <s v="W10624070"/>
    <s v="Gavetas"/>
    <x v="9"/>
    <n v="1000"/>
    <n v="5002359"/>
    <s v="EMPRESA BRASILEIRA DE CORREIOS E"/>
    <n v="209.13"/>
    <d v="2025-07-18T00:00:00"/>
  </r>
  <r>
    <n v="254028842"/>
    <n v="64800613"/>
    <s v="REB"/>
    <n v="10090173"/>
    <n v="173"/>
    <s v="PEÇAS - Defeito de fabric./Alta Amperage"/>
    <s v="FUNCIONAL"/>
    <x v="1"/>
    <n v="67948"/>
    <x v="15"/>
    <s v="SC"/>
    <n v="713"/>
    <s v="Key Account"/>
    <n v="1350"/>
    <s v="W11300675"/>
    <s v="Mecanismos"/>
    <x v="2"/>
    <n v="2000"/>
    <n v="5003024"/>
    <s v="RODOBRAS TRANSPORTES RODOVIARIOS LT"/>
    <n v="209.1"/>
    <d v="2025-07-01T00:00:00"/>
  </r>
  <r>
    <n v="254016609"/>
    <n v="64794675"/>
    <s v="ZRDI"/>
    <n v="10041874"/>
    <n v="208"/>
    <s v="DEV-Atraso entrega- LOGISTICA(Transp)"/>
    <s v="TRANSPORTADORA"/>
    <x v="2"/>
    <n v="58035091"/>
    <x v="669"/>
    <s v="SC"/>
    <n v="474"/>
    <s v="Site Brastemp"/>
    <n v="1352"/>
    <s v="W10866791"/>
    <s v="Kits Instalação"/>
    <x v="7"/>
    <n v="1000"/>
    <n v="5002359"/>
    <s v="EMPRESA BRASILEIRA DE CORREIOS E"/>
    <n v="208.96"/>
    <d v="2025-06-18T00:00:00"/>
  </r>
  <r>
    <n v="254035345"/>
    <n v="64812674"/>
    <s v="REB"/>
    <n v="9997511"/>
    <n v="173"/>
    <s v="PEÇAS - Defeito de fabric./Alta Amperage"/>
    <s v="FUNCIONAL"/>
    <x v="0"/>
    <n v="18708"/>
    <x v="391"/>
    <s v="MA"/>
    <n v="933"/>
    <s v="Top"/>
    <n v="1350"/>
    <s v="W11482942"/>
    <s v="Placas de Controle"/>
    <x v="1"/>
    <n v="1000"/>
    <n v="5004101"/>
    <s v="UNIDOCK'S ASSESSORIA E LOGISTICA DE"/>
    <n v="208.69"/>
    <d v="2025-07-17T00:00:00"/>
  </r>
  <r>
    <n v="254012530"/>
    <n v="64788993"/>
    <s v="REB"/>
    <n v="10017732"/>
    <n v="167"/>
    <s v="PEÇAS - Avaria - Quebrada/Depósito"/>
    <s v="LOGÍSTICA"/>
    <x v="1"/>
    <n v="47026"/>
    <x v="16"/>
    <s v="BA"/>
    <n v="643"/>
    <s v="Elite"/>
    <n v="1350"/>
    <s v="W10169464"/>
    <s v="Defletores/Difusores"/>
    <x v="5"/>
    <n v="10000"/>
    <n v="5004101"/>
    <s v="UNIDOCK'S ASSESSORIA E LOGISTICA DE"/>
    <n v="208.63"/>
    <d v="2025-06-10T00:00:00"/>
  </r>
  <r>
    <n v="253931308"/>
    <n v="64702016"/>
    <s v="REB"/>
    <n v="9769715"/>
    <n v="104"/>
    <s v="PEÇAS-Código trocado(embalag X conteúdo)"/>
    <s v="LOGÍSTICA"/>
    <x v="1"/>
    <n v="28564"/>
    <x v="670"/>
    <s v="PA"/>
    <n v="350"/>
    <s v="Ats On"/>
    <n v="1350"/>
    <s v="W11745349"/>
    <s v="Outros"/>
    <x v="7"/>
    <n v="1000"/>
    <n v="5002858"/>
    <s v="FAVORITA TRANSPORTES LTDA"/>
    <n v="208.63"/>
    <d v="2025-01-29T00:00:00"/>
  </r>
  <r>
    <n v="254022053"/>
    <n v="64799701"/>
    <s v="ZRDI"/>
    <n v="10059918"/>
    <s v="D25"/>
    <s v="DEV D2C - Prob na entrega (Não recebi)"/>
    <s v="TRANSPORTADORA"/>
    <x v="2"/>
    <n v="5814500"/>
    <x v="671"/>
    <s v="RJ"/>
    <n v="474"/>
    <s v="Site Brastemp"/>
    <n v="1352"/>
    <s v="W10866791"/>
    <s v="Kits Instalação"/>
    <x v="7"/>
    <n v="1000"/>
    <n v="5003972"/>
    <s v="ICARO EXPRESS LOGISTICA LTDA"/>
    <n v="208.51"/>
    <d v="2025-06-27T00:00:00"/>
  </r>
  <r>
    <n v="254023980"/>
    <n v="64802742"/>
    <s v="ZRDI"/>
    <n v="10052188"/>
    <s v="D25"/>
    <s v="DEV D2C - Prob na entrega (Não recebi)"/>
    <s v="TRANSPORTADORA"/>
    <x v="2"/>
    <n v="58045653"/>
    <x v="672"/>
    <s v="RJ"/>
    <n v="474"/>
    <s v="Site Brastemp"/>
    <n v="1352"/>
    <s v="W10866791"/>
    <s v="Kits Instalação"/>
    <x v="7"/>
    <n v="1000"/>
    <n v="5003972"/>
    <s v="ICARO EXPRESS LOGISTICA LTDA"/>
    <n v="208.51"/>
    <d v="2025-07-01T00:00:00"/>
  </r>
  <r>
    <n v="254029246"/>
    <n v="64808753"/>
    <s v="ZRDI"/>
    <n v="10081761"/>
    <n v="208"/>
    <s v="DEV-Atraso entrega- LOGISTICA(Transp)"/>
    <s v="TRANSPORTADORA"/>
    <x v="2"/>
    <n v="58059760"/>
    <x v="673"/>
    <s v="RJ"/>
    <n v="474"/>
    <s v="Site Brastemp"/>
    <n v="1352"/>
    <s v="W10866791"/>
    <s v="Kits Instalação"/>
    <x v="7"/>
    <n v="1000"/>
    <n v="5002359"/>
    <s v="EMPRESA BRASILEIRA DE CORREIOS E"/>
    <n v="208.51"/>
    <d v="2025-07-10T00:00:00"/>
  </r>
  <r>
    <n v="254012502"/>
    <n v="64789380"/>
    <s v="REB"/>
    <n v="10042333"/>
    <n v="173"/>
    <s v="PEÇAS - Defeito de fabric./Alta Amperage"/>
    <s v="FUNCIONAL"/>
    <x v="1"/>
    <n v="29095"/>
    <x v="368"/>
    <s v="SP"/>
    <n v="933"/>
    <s v="Top"/>
    <n v="1350"/>
    <s v="W11300681"/>
    <s v="Mecanismos"/>
    <x v="2"/>
    <n v="1000"/>
    <n v="5004042"/>
    <s v="BRASIL WEB TRANSPORTES E LOGISTICA"/>
    <n v="208.36"/>
    <d v="2025-06-10T00:00:00"/>
  </r>
  <r>
    <n v="254025850"/>
    <n v="64805649"/>
    <s v="ZRDI"/>
    <n v="10073095"/>
    <s v="D25"/>
    <s v="DEV D2C - Prob na entrega (Não recebi)"/>
    <s v="TRANSPORTADORA"/>
    <x v="2"/>
    <n v="50038496"/>
    <x v="674"/>
    <s v="SC"/>
    <n v="475"/>
    <s v="Site Consul"/>
    <n v="1352"/>
    <s v="W11509386"/>
    <s v="Filtros"/>
    <x v="5"/>
    <n v="2000"/>
    <n v="5002359"/>
    <s v="EMPRESA BRASILEIRA DE CORREIOS E"/>
    <n v="208.16"/>
    <d v="2025-07-04T00:00:00"/>
  </r>
  <r>
    <n v="254039195"/>
    <n v="64817077"/>
    <s v="ZRDI"/>
    <n v="10127497"/>
    <n v="208"/>
    <s v="DEV-Atraso entrega- LOGISTICA(Transp)"/>
    <s v="TRANSPORTADORA"/>
    <x v="2"/>
    <n v="56972689"/>
    <x v="675"/>
    <s v="RJ"/>
    <n v="475"/>
    <s v="Site Consul"/>
    <n v="1352"/>
    <s v="W11509386"/>
    <s v="Filtros"/>
    <x v="5"/>
    <n v="2000"/>
    <n v="5002359"/>
    <s v="EMPRESA BRASILEIRA DE CORREIOS E"/>
    <n v="207.96"/>
    <d v="2025-07-24T00:00:00"/>
  </r>
  <r>
    <n v="254039195"/>
    <n v="64817077"/>
    <s v="ZRDI"/>
    <n v="10127497"/>
    <n v="208"/>
    <s v="DEV-Atraso entrega- LOGISTICA(Transp)"/>
    <s v="TRANSPORTADORA"/>
    <x v="2"/>
    <n v="56972689"/>
    <x v="675"/>
    <s v="RJ"/>
    <n v="475"/>
    <s v="Site Consul"/>
    <n v="1352"/>
    <s v="W11509386"/>
    <s v="Filtros"/>
    <x v="5"/>
    <n v="2000"/>
    <n v="5002359"/>
    <s v="EMPRESA BRASILEIRA DE CORREIOS E"/>
    <n v="207.96"/>
    <d v="2025-07-24T00:00:00"/>
  </r>
  <r>
    <s v="Sem TR"/>
    <n v="64817534"/>
    <s v="REB"/>
    <n v="10085655"/>
    <n v="173"/>
    <s v="PEÇAS - Defeito de fabric./Alta Amperage"/>
    <s v="FUNCIONAL"/>
    <x v="1"/>
    <n v="66"/>
    <x v="73"/>
    <s v="GO"/>
    <n v="931"/>
    <s v="Ats Off"/>
    <n v="1350"/>
    <s v="W11200625"/>
    <s v="Placas de Controle"/>
    <x v="1"/>
    <n v="1000"/>
    <n v="5002858"/>
    <s v="FAVORITA TRANSPORTES LTDA"/>
    <n v="207.85"/>
    <d v="2025-07-25T00:00:00"/>
  </r>
  <r>
    <n v="253924901"/>
    <n v="64700832"/>
    <s v="ROB"/>
    <n v="9776573"/>
    <n v="268"/>
    <s v="DEV-APREENSÃO FISCAL - VENDAS"/>
    <s v="COMERCIAL"/>
    <x v="1"/>
    <n v="67561"/>
    <x v="47"/>
    <s v="CE"/>
    <n v="934"/>
    <s v="CDP Ouro"/>
    <n v="1350"/>
    <s v="W10223009"/>
    <s v="Gaxetas"/>
    <x v="4"/>
    <n v="5000"/>
    <n v="5004101"/>
    <s v="UNIDOCK'S ASSESSORIA E LOGISTICA DE"/>
    <n v="207.85"/>
    <d v="2025-01-27T00:00:00"/>
  </r>
  <r>
    <n v="254035313"/>
    <n v="64807828"/>
    <s v="REB"/>
    <n v="10083502"/>
    <n v="173"/>
    <s v="PEÇAS - Defeito de fabric./Alta Amperage"/>
    <s v="FUNCIONAL"/>
    <x v="2"/>
    <n v="66"/>
    <x v="73"/>
    <s v="GO"/>
    <n v="931"/>
    <s v="Ats Off"/>
    <n v="1350"/>
    <s v="W11200625"/>
    <s v="Placas de Controle"/>
    <x v="1"/>
    <n v="1000"/>
    <n v="5002858"/>
    <s v="FAVORITA TRANSPORTES LTDA"/>
    <n v="207.85"/>
    <d v="2025-07-17T00:00:00"/>
  </r>
  <r>
    <n v="254042330"/>
    <n v="64796286"/>
    <s v="REB"/>
    <n v="9911075"/>
    <n v="176"/>
    <s v="PEÇAS - Defeito de fabric./Interrompido"/>
    <s v="FUNCIONAL"/>
    <x v="0"/>
    <n v="66"/>
    <x v="73"/>
    <s v="GO"/>
    <n v="931"/>
    <s v="Ats Off"/>
    <n v="1350"/>
    <s v="W11200625"/>
    <s v="Placas de Controle"/>
    <x v="1"/>
    <n v="1000"/>
    <n v="5002858"/>
    <s v="FAVORITA TRANSPORTES LTDA"/>
    <n v="207.85"/>
    <d v="2025-06-23T00:00:00"/>
  </r>
  <r>
    <s v="Sem TR"/>
    <n v="64819378"/>
    <s v="ZRDI"/>
    <n v="10126489"/>
    <s v="D15"/>
    <s v="DEV D2C - Arrependimento modelo comprado"/>
    <s v="COMERCIAL"/>
    <x v="1"/>
    <n v="58138351"/>
    <x v="676"/>
    <s v="PR"/>
    <n v="474"/>
    <s v="Site Brastemp"/>
    <n v="1352"/>
    <s v="W11022993"/>
    <s v="Defletores/Difusores"/>
    <x v="5"/>
    <n v="1000"/>
    <n v="5002359"/>
    <s v="EMPRESA BRASILEIRA DE CORREIOS E"/>
    <n v="207.79"/>
    <d v="2025-07-29T00:00:00"/>
  </r>
  <r>
    <s v="Sem TR"/>
    <n v="64817858"/>
    <s v="ZRDI"/>
    <n v="10139552"/>
    <s v="D18"/>
    <s v="DEV D2C - Arrependimento não quero mais"/>
    <s v="COMERCIAL"/>
    <x v="1"/>
    <n v="4454809"/>
    <x v="677"/>
    <s v="PE"/>
    <n v="474"/>
    <s v="Site Brastemp"/>
    <n v="1352"/>
    <s v="W10866790"/>
    <s v="Kits Instalação"/>
    <x v="7"/>
    <n v="1000"/>
    <n v="5002359"/>
    <s v="EMPRESA BRASILEIRA DE CORREIOS E"/>
    <n v="207.5"/>
    <d v="2025-07-28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s v="W10367622"/>
    <s v="Gaxetas"/>
    <x v="4"/>
    <n v="5000"/>
    <n v="5003024"/>
    <s v="RODOBRAS TRANSPORTES RODOVIARIOS LT"/>
    <n v="207.45"/>
    <d v="2025-01-28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s v="W10367623"/>
    <s v="Gaxetas"/>
    <x v="4"/>
    <n v="5000"/>
    <n v="5003024"/>
    <s v="RODOBRAS TRANSPORTES RODOVIARIOS LT"/>
    <n v="207.45"/>
    <d v="2025-01-28T00:00:00"/>
  </r>
  <r>
    <n v="253963624"/>
    <n v="64742030"/>
    <s v="ROB"/>
    <n v="9955835"/>
    <n v="671"/>
    <s v="DEV-ENVIADO PARA GESTÃO DE CONSEQUENCIA"/>
    <s v="TRANSPORTADORA"/>
    <x v="1"/>
    <n v="72526"/>
    <x v="678"/>
    <s v="SC"/>
    <n v="932"/>
    <s v="CDP Prata"/>
    <n v="1350"/>
    <s v="W10367622"/>
    <s v="Gaxetas"/>
    <x v="4"/>
    <n v="5000"/>
    <n v="5003024"/>
    <s v="RODOBRAS TRANSPORTES RODOVIARIOS LT"/>
    <n v="207.1"/>
    <d v="2025-03-31T00:00:00"/>
  </r>
  <r>
    <n v="254004040"/>
    <n v="64776202"/>
    <s v="REB"/>
    <n v="9864173"/>
    <n v="173"/>
    <s v="PEÇAS - Defeito de fabric./Alta Amperage"/>
    <s v="FUNCIONAL"/>
    <x v="2"/>
    <n v="67948"/>
    <x v="15"/>
    <s v="SC"/>
    <n v="713"/>
    <s v="Key Account"/>
    <n v="1350"/>
    <s v="W11199201"/>
    <s v="Placas de Controle"/>
    <x v="1"/>
    <n v="1000"/>
    <n v="5003024"/>
    <s v="RODOBRAS TRANSPORTES RODOVIARIOS LT"/>
    <n v="207.04"/>
    <d v="2025-05-26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827996"/>
    <s v="Bandejas"/>
    <x v="9"/>
    <n v="5000"/>
    <n v="5004101"/>
    <s v="UNIDOCK'S ASSESSORIA E LOGISTICA DE"/>
    <n v="206.68"/>
    <d v="2025-06-24T00:00:00"/>
  </r>
  <r>
    <s v="Sem TR"/>
    <n v="64808528"/>
    <s v="ZRDI"/>
    <n v="10116306"/>
    <s v="D13"/>
    <s v="DEV D2C - Comprou prod qtde errada"/>
    <s v="COMERCIAL"/>
    <x v="2"/>
    <n v="58127462"/>
    <x v="679"/>
    <s v="PR"/>
    <n v="474"/>
    <s v="Site Brastemp"/>
    <n v="1352"/>
    <s v="W10287547"/>
    <s v="Gavetas"/>
    <x v="9"/>
    <n v="1000"/>
    <n v="5002359"/>
    <s v="EMPRESA BRASILEIRA DE CORREIOS E"/>
    <n v="206.43"/>
    <d v="2025-07-15T00:00:00"/>
  </r>
  <r>
    <s v="Sem TR"/>
    <n v="64808528"/>
    <s v="ZRDI"/>
    <n v="10116306"/>
    <s v="D13"/>
    <s v="DEV D2C - Comprou prod qtde errada"/>
    <s v="COMERCIAL"/>
    <x v="2"/>
    <n v="58127462"/>
    <x v="679"/>
    <s v="PR"/>
    <n v="474"/>
    <s v="Site Brastemp"/>
    <n v="1352"/>
    <s v="W10287547"/>
    <s v="Gavetas"/>
    <x v="9"/>
    <n v="1000"/>
    <n v="5002359"/>
    <s v="EMPRESA BRASILEIRA DE CORREIOS E"/>
    <n v="206.43"/>
    <d v="2025-07-15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4258665"/>
    <s v="Válvulas de Água"/>
    <x v="5"/>
    <n v="2000"/>
    <n v="5004101"/>
    <s v="UNIDOCK'S ASSESSORIA E LOGISTICA DE"/>
    <n v="206.4"/>
    <d v="2025-06-24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326004752"/>
    <s v="Válvulas de Água"/>
    <x v="5"/>
    <n v="5000"/>
    <n v="5004101"/>
    <s v="UNIDOCK'S ASSESSORIA E LOGISTICA DE"/>
    <n v="205.93"/>
    <d v="2025-03-13T00:00:00"/>
  </r>
  <r>
    <s v="Sem TR"/>
    <n v="64799757"/>
    <s v="ZRDI"/>
    <n v="10107577"/>
    <s v="D35"/>
    <s v="DEV D2C - Prod difere do comprado"/>
    <s v="COMERCIAL"/>
    <x v="2"/>
    <n v="55835212"/>
    <x v="680"/>
    <s v="SP"/>
    <n v="475"/>
    <s v="Site Consul"/>
    <n v="1352"/>
    <s v="W11509386"/>
    <s v="Filtros"/>
    <x v="5"/>
    <n v="2000"/>
    <n v="5002359"/>
    <s v="EMPRESA BRASILEIRA DE CORREIOS E"/>
    <n v="205.9"/>
    <d v="2025-07-02T00:00:00"/>
  </r>
  <r>
    <s v="Sem TR"/>
    <n v="64799757"/>
    <s v="ZRDI"/>
    <n v="10107577"/>
    <s v="D35"/>
    <s v="DEV D2C - Prod difere do comprado"/>
    <s v="COMERCIAL"/>
    <x v="2"/>
    <n v="55835212"/>
    <x v="680"/>
    <s v="SP"/>
    <n v="475"/>
    <s v="Site Consul"/>
    <n v="1352"/>
    <s v="W11509386"/>
    <s v="Filtros"/>
    <x v="5"/>
    <n v="2000"/>
    <n v="5002359"/>
    <s v="EMPRESA BRASILEIRA DE CORREIOS E"/>
    <n v="205.9"/>
    <d v="2025-07-02T00:00:00"/>
  </r>
  <r>
    <n v="254022263"/>
    <n v="64799873"/>
    <s v="ZRDI"/>
    <n v="10056401"/>
    <n v="208"/>
    <s v="DEV-Atraso entrega- LOGISTICA(Transp)"/>
    <s v="TRANSPORTADORA"/>
    <x v="2"/>
    <n v="52231361"/>
    <x v="681"/>
    <s v="ES"/>
    <n v="474"/>
    <s v="Site Brastemp"/>
    <n v="1352"/>
    <s v="W10866791"/>
    <s v="Kits Instalação"/>
    <x v="7"/>
    <n v="1000"/>
    <n v="5002359"/>
    <s v="EMPRESA BRASILEIRA DE CORREIOS E"/>
    <n v="205.83"/>
    <d v="2025-06-27T00:00:00"/>
  </r>
  <r>
    <n v="254036534"/>
    <n v="64814367"/>
    <s v="ZRDI"/>
    <n v="10063705"/>
    <n v="208"/>
    <s v="DEV-Atraso entrega- LOGISTICA(Transp)"/>
    <s v="TRANSPORTADORA"/>
    <x v="2"/>
    <n v="53214523"/>
    <x v="682"/>
    <s v="ES"/>
    <n v="474"/>
    <s v="Site Brastemp"/>
    <n v="1352"/>
    <s v="W10866791"/>
    <s v="Kits Instalação"/>
    <x v="7"/>
    <n v="1000"/>
    <n v="5002359"/>
    <s v="EMPRESA BRASILEIRA DE CORREIOS E"/>
    <n v="205.83"/>
    <d v="2025-07-22T00:00:00"/>
  </r>
  <r>
    <n v="254023820"/>
    <n v="64802516"/>
    <s v="ZRDI"/>
    <n v="10084248"/>
    <s v="D25"/>
    <s v="DEV D2C - Prob na entrega (Não recebi)"/>
    <s v="TRANSPORTADORA"/>
    <x v="2"/>
    <n v="58084966"/>
    <x v="683"/>
    <s v="RJ"/>
    <n v="475"/>
    <s v="Site Consul"/>
    <n v="1352"/>
    <s v="W11199342"/>
    <s v="Filtros"/>
    <x v="5"/>
    <n v="2000"/>
    <n v="5002359"/>
    <s v="EMPRESA BRASILEIRA DE CORREIOS E"/>
    <n v="205.74"/>
    <d v="2025-07-01T00:00:00"/>
  </r>
  <r>
    <n v="254038268"/>
    <n v="64814131"/>
    <s v="REB"/>
    <n v="10140341"/>
    <n v="104"/>
    <s v="PEÇAS-Código trocado(embalag X conteúdo)"/>
    <s v="LOGÍSTICA"/>
    <x v="1"/>
    <n v="3649"/>
    <x v="148"/>
    <s v="SP"/>
    <n v="350"/>
    <s v="Ats On"/>
    <n v="1350"/>
    <n v="326006796"/>
    <s v="Outros"/>
    <x v="7"/>
    <n v="3000"/>
    <n v="5004042"/>
    <s v="BRASIL WEB TRANSPORTES E LOGISTICA"/>
    <n v="205.65"/>
    <d v="2025-07-22T00:00:00"/>
  </r>
  <r>
    <n v="254032627"/>
    <n v="64811535"/>
    <s v="ZRDI"/>
    <n v="10121652"/>
    <n v="208"/>
    <s v="DEV-Atraso entrega- LOGISTICA(Transp)"/>
    <s v="TRANSPORTADORA"/>
    <x v="2"/>
    <n v="50300083"/>
    <x v="684"/>
    <s v="BA"/>
    <n v="474"/>
    <s v="Site Brastemp"/>
    <n v="1352"/>
    <s v="W10866790"/>
    <s v="Kits Instalação"/>
    <x v="7"/>
    <n v="1000"/>
    <n v="5002359"/>
    <s v="EMPRESA BRASILEIRA DE CORREIOS E"/>
    <n v="205.62"/>
    <d v="2025-07-16T00:00:00"/>
  </r>
  <r>
    <n v="254032627"/>
    <n v="64811535"/>
    <s v="ZRDI"/>
    <n v="10121652"/>
    <n v="208"/>
    <s v="DEV-Atraso entrega- LOGISTICA(Transp)"/>
    <s v="TRANSPORTADORA"/>
    <x v="2"/>
    <n v="50300083"/>
    <x v="684"/>
    <s v="BA"/>
    <n v="474"/>
    <s v="Site Brastemp"/>
    <n v="1352"/>
    <s v="W10866790"/>
    <s v="Kits Instalação"/>
    <x v="7"/>
    <n v="1000"/>
    <n v="5002359"/>
    <s v="EMPRESA BRASILEIRA DE CORREIOS E"/>
    <n v="205.62"/>
    <d v="2025-07-16T00:00:00"/>
  </r>
  <r>
    <n v="254031882"/>
    <n v="64807604"/>
    <s v="REB"/>
    <n v="10078961"/>
    <n v="176"/>
    <s v="PEÇAS - Defeito de fabric./Interrompido"/>
    <s v="FUNCIONAL"/>
    <x v="0"/>
    <n v="3506"/>
    <x v="46"/>
    <s v="SP"/>
    <n v="931"/>
    <s v="Ats Off"/>
    <n v="1350"/>
    <s v="W11300681"/>
    <s v="Mecanismos"/>
    <x v="2"/>
    <n v="1000"/>
    <n v="5004042"/>
    <s v="BRASIL WEB TRANSPORTES E LOGISTICA"/>
    <n v="205.57"/>
    <d v="2025-07-08T00:00:00"/>
  </r>
  <r>
    <s v="Sem TR"/>
    <n v="64725741"/>
    <s v="ROB"/>
    <n v="9817143"/>
    <n v="221"/>
    <s v="DEV-Sinistro - SEGURO"/>
    <s v="TRANSPORTADORA"/>
    <x v="0"/>
    <n v="4687"/>
    <x v="685"/>
    <s v="SC"/>
    <n v="350"/>
    <s v="Ats On"/>
    <n v="1350"/>
    <s v="W10515645"/>
    <s v="Filtros"/>
    <x v="5"/>
    <n v="10000"/>
    <n v="5003024"/>
    <s v="RODOBRAS TRANSPORTES RODOVIARIOS LT"/>
    <n v="205.5"/>
    <d v="2025-03-06T00:00:00"/>
  </r>
  <r>
    <n v="253707177"/>
    <n v="64495404"/>
    <s v="REB"/>
    <n v="9104128"/>
    <n v="671"/>
    <s v="DEV-ENVIADO PARA GESTÃO DE CONSEQUENCIA"/>
    <s v="TRANSPORTADORA"/>
    <x v="1"/>
    <n v="3701"/>
    <x v="686"/>
    <s v="SP"/>
    <n v="932"/>
    <s v="CDP Prata"/>
    <n v="1350"/>
    <s v="W11229864"/>
    <s v="Isolantes"/>
    <x v="4"/>
    <n v="1000"/>
    <n v="5003482"/>
    <s v="TMA TRANSPORTE LOTACAO E LOGISTICA"/>
    <n v="205.41"/>
    <d v="2024-02-19T00:00:00"/>
  </r>
  <r>
    <s v="Sem TR"/>
    <n v="64711513"/>
    <s v="REB"/>
    <n v="9822382"/>
    <n v="671"/>
    <s v="DEV-ENVIADO PARA GESTÃO DE CONSEQUENCIA"/>
    <s v="TRANSPORTADORA"/>
    <x v="1"/>
    <n v="12692"/>
    <x v="82"/>
    <s v="BA"/>
    <n v="641"/>
    <s v="CDP Diamante"/>
    <n v="1350"/>
    <s v="W11300676"/>
    <s v="Mecanismos"/>
    <x v="2"/>
    <n v="2000"/>
    <n v="5004101"/>
    <s v="UNIDOCK'S ASSESSORIA E LOGISTICA DE"/>
    <n v="205.34"/>
    <d v="2025-02-12T00:00:00"/>
  </r>
  <r>
    <n v="254012433"/>
    <n v="64789335"/>
    <s v="REB"/>
    <n v="9852102"/>
    <n v="176"/>
    <s v="PEÇAS - Defeito de fabric./Interrompido"/>
    <s v="FUNCIONAL"/>
    <x v="1"/>
    <n v="66"/>
    <x v="73"/>
    <s v="GO"/>
    <n v="931"/>
    <s v="Ats Off"/>
    <n v="1350"/>
    <s v="W10160035"/>
    <s v="Magnetrons"/>
    <x v="1"/>
    <n v="1000"/>
    <n v="5002858"/>
    <s v="FAVORITA TRANSPORTES LTDA"/>
    <n v="205.33"/>
    <d v="2025-06-10T00:00:00"/>
  </r>
  <r>
    <n v="254012433"/>
    <n v="64789334"/>
    <s v="REB"/>
    <n v="9850191"/>
    <n v="176"/>
    <s v="PEÇAS - Defeito de fabric./Interrompido"/>
    <s v="FUNCIONAL"/>
    <x v="2"/>
    <n v="66"/>
    <x v="73"/>
    <s v="GO"/>
    <n v="931"/>
    <s v="Ats Off"/>
    <n v="1350"/>
    <s v="W10160035"/>
    <s v="Magnetrons"/>
    <x v="1"/>
    <n v="1000"/>
    <n v="5002858"/>
    <s v="FAVORITA TRANSPORTES LTDA"/>
    <n v="205.33"/>
    <d v="2025-06-10T00:00:00"/>
  </r>
  <r>
    <n v="254004039"/>
    <n v="64778209"/>
    <s v="REB"/>
    <n v="9421505"/>
    <n v="173"/>
    <s v="PEÇAS - Defeito de fabric./Alta Amperage"/>
    <s v="FUNCIONAL"/>
    <x v="2"/>
    <n v="67948"/>
    <x v="15"/>
    <s v="SC"/>
    <n v="713"/>
    <s v="Key Account"/>
    <n v="1350"/>
    <s v="W11091875"/>
    <s v="Termostatos"/>
    <x v="3"/>
    <n v="4000"/>
    <n v="5003024"/>
    <s v="RODOBRAS TRANSPORTES RODOVIARIOS LT"/>
    <n v="205.32"/>
    <d v="2025-05-26T00:00:00"/>
  </r>
  <r>
    <n v="254004076"/>
    <n v="64778075"/>
    <s v="REB"/>
    <n v="9237397"/>
    <n v="173"/>
    <s v="PEÇAS - Defeito de fabric./Alta Amperage"/>
    <s v="FUNCIONAL"/>
    <x v="2"/>
    <n v="85461"/>
    <x v="180"/>
    <s v="MG"/>
    <n v="641"/>
    <s v="CDP Diamante"/>
    <n v="1350"/>
    <s v="W10899324"/>
    <s v="Placas de Controle"/>
    <x v="1"/>
    <n v="1000"/>
    <n v="5004215"/>
    <s v="BRASIL WEB TRANSPORTES E LOGISTICA"/>
    <n v="205.31"/>
    <d v="2025-05-26T00:00:00"/>
  </r>
  <r>
    <s v="Sem TR"/>
    <n v="64797432"/>
    <s v="ZRDI"/>
    <n v="10102532"/>
    <s v="D18"/>
    <s v="DEV D2C - Arrependimento não quero mais"/>
    <s v="COMERCIAL"/>
    <x v="2"/>
    <n v="53353542"/>
    <x v="687"/>
    <s v="SP"/>
    <n v="474"/>
    <s v="Site Brastemp"/>
    <n v="1352"/>
    <s v="W10866790"/>
    <s v="Kits Instalação"/>
    <x v="7"/>
    <n v="1000"/>
    <n v="5002359"/>
    <s v="EMPRESA BRASILEIRA DE CORREIOS E"/>
    <n v="205.25"/>
    <d v="2025-06-27T00:00:00"/>
  </r>
  <r>
    <n v="254041059"/>
    <n v="64818835"/>
    <s v="ZRDI"/>
    <n v="10095739"/>
    <n v="208"/>
    <s v="DEV-Atraso entrega- LOGISTICA(Transp)"/>
    <s v="TRANSPORTADORA"/>
    <x v="1"/>
    <n v="58102380"/>
    <x v="688"/>
    <s v="CE"/>
    <n v="474"/>
    <s v="Site Brastemp"/>
    <n v="1352"/>
    <s v="W10803356"/>
    <s v="Filtros"/>
    <x v="5"/>
    <n v="1000"/>
    <n v="5002359"/>
    <s v="EMPRESA BRASILEIRA DE CORREIOS E"/>
    <n v="205.21"/>
    <d v="2025-07-28T00:00:00"/>
  </r>
  <r>
    <n v="253961195"/>
    <n v="64736810"/>
    <s v="REB"/>
    <n v="9920942"/>
    <n v="168"/>
    <s v="PEÇAS-Def.Fabric.Empenamento/Abaulamento"/>
    <s v="FUNCIONAL"/>
    <x v="1"/>
    <n v="2159"/>
    <x v="156"/>
    <s v="MG"/>
    <n v="350"/>
    <s v="Ats On"/>
    <n v="1350"/>
    <s v="W10882241"/>
    <s v="Agitadores"/>
    <x v="2"/>
    <n v="4000"/>
    <n v="5004215"/>
    <s v="BRASIL WEB TRANSPORTES E LOGISTICA"/>
    <n v="205.08"/>
    <d v="2025-03-24T00:00:00"/>
  </r>
  <r>
    <n v="253970704"/>
    <n v="64748242"/>
    <s v="REB"/>
    <n v="9905313"/>
    <n v="176"/>
    <s v="PEÇAS - Defeito de fabric./Interrompido"/>
    <s v="FUNCIONAL"/>
    <x v="2"/>
    <n v="3506"/>
    <x v="46"/>
    <s v="SP"/>
    <n v="931"/>
    <s v="Ats Off"/>
    <n v="1350"/>
    <s v="W11564153"/>
    <s v="Evaporadores"/>
    <x v="0"/>
    <n v="1000"/>
    <n v="5004042"/>
    <s v="BRASIL WEB TRANSPORTES E LOGISTICA"/>
    <n v="205.07"/>
    <d v="2025-04-09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4197305"/>
    <s v="Dobradiças"/>
    <x v="10"/>
    <n v="6000"/>
    <n v="5004101"/>
    <s v="UNIDOCK'S ASSESSORIA E LOGISTICA DE"/>
    <n v="205.02"/>
    <d v="2025-06-24T00:00:00"/>
  </r>
  <r>
    <n v="254024684"/>
    <n v="64804777"/>
    <s v="ZRDI"/>
    <n v="10041868"/>
    <n v="208"/>
    <s v="DEV-Atraso entrega- LOGISTICA(Transp)"/>
    <s v="TRANSPORTADORA"/>
    <x v="2"/>
    <n v="58034862"/>
    <x v="689"/>
    <s v="MT"/>
    <n v="474"/>
    <s v="Site Brastemp"/>
    <n v="1352"/>
    <s v="W10803356"/>
    <s v="Filtros"/>
    <x v="5"/>
    <n v="1000"/>
    <n v="5002359"/>
    <s v="EMPRESA BRASILEIRA DE CORREIOS E"/>
    <n v="204.91"/>
    <d v="2025-07-02T00:00:00"/>
  </r>
  <r>
    <n v="254003872"/>
    <n v="64775852"/>
    <s v="REB"/>
    <n v="9988170"/>
    <n v="173"/>
    <s v="PEÇAS - Defeito de fabric./Alta Amperage"/>
    <s v="FUNCIONAL"/>
    <x v="1"/>
    <n v="13757"/>
    <x v="14"/>
    <s v="SP"/>
    <n v="713"/>
    <s v="Key Account"/>
    <n v="1350"/>
    <s v="W11371164"/>
    <s v="Mecanismos"/>
    <x v="2"/>
    <n v="1000"/>
    <n v="5004042"/>
    <s v="BRASIL WEB TRANSPORTES E LOGISTICA"/>
    <n v="204.81"/>
    <d v="2025-05-26T00:00:00"/>
  </r>
  <r>
    <n v="253988866"/>
    <n v="64758248"/>
    <s v="REB"/>
    <n v="10008028"/>
    <n v="167"/>
    <s v="PEÇAS - Avaria - Quebrada/Depósito"/>
    <s v="LOGÍSTICA"/>
    <x v="1"/>
    <n v="30847"/>
    <x v="87"/>
    <s v="SP"/>
    <n v="644"/>
    <s v="Plus"/>
    <n v="1350"/>
    <n v="326061558"/>
    <s v="Gavetas"/>
    <x v="9"/>
    <n v="2000"/>
    <n v="5004042"/>
    <s v="BRASIL WEB TRANSPORTES E LOGISTICA"/>
    <n v="204.42"/>
    <d v="2025-05-05T00:00:00"/>
  </r>
  <r>
    <n v="254030456"/>
    <n v="64796077"/>
    <s v="REB"/>
    <n v="10082070"/>
    <n v="90"/>
    <s v="CLIENTE-não solicitou"/>
    <s v="COMERCIAL"/>
    <x v="1"/>
    <n v="3467"/>
    <x v="115"/>
    <s v="SP"/>
    <n v="931"/>
    <s v="Ats Off"/>
    <n v="1350"/>
    <s v="W11511990"/>
    <s v="Tampas Fixas"/>
    <x v="6"/>
    <n v="6000"/>
    <n v="5004042"/>
    <s v="BRASIL WEB TRANSPORTES E LOGISTICA"/>
    <n v="204.36"/>
    <d v="2025-07-01T00:00:00"/>
  </r>
  <r>
    <n v="254020434"/>
    <n v="64798138"/>
    <s v="ZRDI"/>
    <n v="10040635"/>
    <n v="208"/>
    <s v="DEV-Atraso entrega- LOGISTICA(Transp)"/>
    <s v="TRANSPORTADORA"/>
    <x v="2"/>
    <n v="51553458"/>
    <x v="690"/>
    <s v="ES"/>
    <n v="746"/>
    <s v="Marketplace B2W"/>
    <n v="1352"/>
    <s v="W11300506"/>
    <s v="Tampas Fixas"/>
    <x v="6"/>
    <n v="1000"/>
    <n v="5002359"/>
    <s v="EMPRESA BRASILEIRA DE CORREIOS E"/>
    <n v="204.3"/>
    <d v="2025-06-25T00:00:00"/>
  </r>
  <r>
    <n v="254020434"/>
    <n v="64798138"/>
    <s v="ZRDI"/>
    <n v="10040635"/>
    <n v="208"/>
    <s v="DEV-Atraso entrega- LOGISTICA(Transp)"/>
    <s v="TRANSPORTADORA"/>
    <x v="2"/>
    <n v="51553458"/>
    <x v="690"/>
    <s v="ES"/>
    <n v="746"/>
    <s v="Marketplace B2W"/>
    <n v="1352"/>
    <s v="W11300506"/>
    <s v="Tampas Fixas"/>
    <x v="6"/>
    <n v="1000"/>
    <n v="5002359"/>
    <s v="EMPRESA BRASILEIRA DE CORREIOS E"/>
    <n v="204.3"/>
    <d v="2025-06-25T00:00:00"/>
  </r>
  <r>
    <n v="254012502"/>
    <n v="64789380"/>
    <s v="REB"/>
    <n v="10042333"/>
    <n v="173"/>
    <s v="PEÇAS - Defeito de fabric./Alta Amperage"/>
    <s v="FUNCIONAL"/>
    <x v="1"/>
    <n v="29095"/>
    <x v="368"/>
    <s v="SP"/>
    <n v="933"/>
    <s v="Top"/>
    <n v="1350"/>
    <s v="W11300695"/>
    <s v="Mecanismos"/>
    <x v="2"/>
    <n v="1000"/>
    <n v="5004042"/>
    <s v="BRASIL WEB TRANSPORTES E LOGISTICA"/>
    <n v="204.23"/>
    <d v="2025-06-10T00:00:00"/>
  </r>
  <r>
    <n v="254035415"/>
    <n v="64796952"/>
    <s v="REB"/>
    <n v="10022599"/>
    <n v="176"/>
    <s v="PEÇAS - Defeito de fabric./Interrompido"/>
    <s v="FUNCIONAL"/>
    <x v="1"/>
    <n v="70149"/>
    <x v="147"/>
    <s v="SP"/>
    <n v="963"/>
    <s v="Ats Distribuidoras"/>
    <n v="1350"/>
    <s v="W10772235"/>
    <s v="Placas de Interface"/>
    <x v="1"/>
    <n v="1000"/>
    <n v="5004042"/>
    <s v="BRASIL WEB TRANSPORTES E LOGISTICA"/>
    <n v="204.14"/>
    <d v="2025-07-17T00:00:00"/>
  </r>
  <r>
    <n v="254007692"/>
    <n v="64780454"/>
    <s v="REB"/>
    <n v="10053704"/>
    <n v="173"/>
    <s v="PEÇAS - Defeito de fabric./Alta Amperage"/>
    <s v="FUNCIONAL"/>
    <x v="2"/>
    <n v="4167"/>
    <x v="63"/>
    <s v="SP"/>
    <n v="931"/>
    <s v="Ats Off"/>
    <n v="1350"/>
    <s v="W10772235"/>
    <s v="Placas de Interface"/>
    <x v="1"/>
    <n v="1000"/>
    <n v="5004042"/>
    <s v="BRASIL WEB TRANSPORTES E LOGISTICA"/>
    <n v="204.14"/>
    <d v="2025-05-29T00:00:00"/>
  </r>
  <r>
    <s v="Sem TR"/>
    <n v="64799823"/>
    <s v="ZRDI"/>
    <n v="10082772"/>
    <s v="D31"/>
    <s v="DEV D2C - Defeito estético manufatura"/>
    <s v="MANUFATURA"/>
    <x v="2"/>
    <n v="58076950"/>
    <x v="691"/>
    <s v="ES"/>
    <n v="474"/>
    <s v="Site Brastemp"/>
    <n v="1352"/>
    <s v="W11113394"/>
    <s v="Gavetas"/>
    <x v="9"/>
    <n v="1000"/>
    <n v="5002359"/>
    <s v="EMPRESA BRASILEIRA DE CORREIOS E"/>
    <n v="204.12"/>
    <d v="2025-07-04T00:00:00"/>
  </r>
  <r>
    <s v="Sem TR"/>
    <n v="64799823"/>
    <s v="ZRDI"/>
    <n v="10082772"/>
    <s v="D31"/>
    <s v="DEV D2C - Defeito estético manufatura"/>
    <s v="MANUFATURA"/>
    <x v="2"/>
    <n v="58076950"/>
    <x v="691"/>
    <s v="ES"/>
    <n v="474"/>
    <s v="Site Brastemp"/>
    <n v="1352"/>
    <s v="W11113394"/>
    <s v="Gavetas"/>
    <x v="9"/>
    <n v="1000"/>
    <n v="5002359"/>
    <s v="EMPRESA BRASILEIRA DE CORREIOS E"/>
    <n v="204.12"/>
    <d v="2025-07-04T00:00:00"/>
  </r>
  <r>
    <n v="254024639"/>
    <n v="64804739"/>
    <s v="ZRDI"/>
    <n v="10093067"/>
    <n v="208"/>
    <s v="DEV-Atraso entrega- LOGISTICA(Transp)"/>
    <s v="TRANSPORTADORA"/>
    <x v="2"/>
    <n v="58059707"/>
    <x v="692"/>
    <s v="SP"/>
    <n v="474"/>
    <s v="Site Brastemp"/>
    <n v="1352"/>
    <s v="W10866791"/>
    <s v="Kits Instalação"/>
    <x v="7"/>
    <n v="1000"/>
    <n v="5002359"/>
    <s v="EMPRESA BRASILEIRA DE CORREIOS E"/>
    <n v="203.89"/>
    <d v="2025-07-02T00:00:00"/>
  </r>
  <r>
    <s v="Sem TR"/>
    <n v="64768421"/>
    <s v="ROB"/>
    <n v="50555"/>
    <n v="671"/>
    <s v="DEV-ENVIADO PARA GESTÃO DE CONSEQUENCIA"/>
    <s v="TRANSPORTADORA"/>
    <x v="2"/>
    <n v="12692"/>
    <x v="82"/>
    <s v="BA"/>
    <n v="641"/>
    <s v="CDP Diamante"/>
    <n v="1550"/>
    <s v="W11135728"/>
    <s v="Mangueiras"/>
    <x v="5"/>
    <n v="15000"/>
    <n v="5004391"/>
    <s v="JEONCEL TRANSPORTES LTDA"/>
    <n v="203.66"/>
    <d v="2025-05-12T00:00:00"/>
  </r>
  <r>
    <n v="254033971"/>
    <n v="64812530"/>
    <s v="ZRDI"/>
    <n v="10106180"/>
    <n v="208"/>
    <s v="DEV-Atraso entrega- LOGISTICA(Transp)"/>
    <s v="TRANSPORTADORA"/>
    <x v="2"/>
    <n v="58116356"/>
    <x v="693"/>
    <s v="PI"/>
    <n v="474"/>
    <s v="Site Brastemp"/>
    <n v="1352"/>
    <s v="W10866790"/>
    <s v="Kits Instalação"/>
    <x v="7"/>
    <n v="1000"/>
    <n v="5002359"/>
    <s v="EMPRESA BRASILEIRA DE CORREIOS E"/>
    <n v="203.6"/>
    <d v="2025-07-17T00:00:00"/>
  </r>
  <r>
    <n v="254033971"/>
    <n v="64812530"/>
    <s v="ZRDI"/>
    <n v="10106180"/>
    <n v="208"/>
    <s v="DEV-Atraso entrega- LOGISTICA(Transp)"/>
    <s v="TRANSPORTADORA"/>
    <x v="2"/>
    <n v="58116356"/>
    <x v="693"/>
    <s v="PI"/>
    <n v="474"/>
    <s v="Site Brastemp"/>
    <n v="1352"/>
    <s v="W10866790"/>
    <s v="Kits Instalação"/>
    <x v="7"/>
    <n v="1000"/>
    <n v="5002359"/>
    <s v="EMPRESA BRASILEIRA DE CORREIOS E"/>
    <n v="203.6"/>
    <d v="2025-07-17T00:00:00"/>
  </r>
  <r>
    <n v="254037095"/>
    <n v="64815004"/>
    <s v="ZRDI"/>
    <n v="10126742"/>
    <n v="208"/>
    <s v="DEV-Atraso entrega- LOGISTICA(Transp)"/>
    <s v="TRANSPORTADORA"/>
    <x v="2"/>
    <n v="58121867"/>
    <x v="694"/>
    <s v="RJ"/>
    <n v="474"/>
    <s v="Site Brastemp"/>
    <n v="1352"/>
    <s v="W11300816"/>
    <s v="Mecanismos"/>
    <x v="2"/>
    <n v="1000"/>
    <n v="5002359"/>
    <s v="EMPRESA BRASILEIRA DE CORREIOS E"/>
    <n v="203.51"/>
    <d v="2025-07-22T00:00:00"/>
  </r>
  <r>
    <n v="254037095"/>
    <n v="64815004"/>
    <s v="ZRDI"/>
    <n v="10126742"/>
    <n v="208"/>
    <s v="DEV-Atraso entrega- LOGISTICA(Transp)"/>
    <s v="TRANSPORTADORA"/>
    <x v="2"/>
    <n v="58121867"/>
    <x v="694"/>
    <s v="RJ"/>
    <n v="474"/>
    <s v="Site Brastemp"/>
    <n v="1352"/>
    <s v="W11300816"/>
    <s v="Mecanismos"/>
    <x v="2"/>
    <n v="1000"/>
    <n v="5002359"/>
    <s v="EMPRESA BRASILEIRA DE CORREIOS E"/>
    <n v="203.51"/>
    <d v="2025-07-22T00:00:00"/>
  </r>
  <r>
    <s v="Sem TR"/>
    <n v="64773523"/>
    <s v="ROB"/>
    <n v="10009485"/>
    <n v="671"/>
    <s v="DEV-ENVIADO PARA GESTÃO DE CONSEQUENCIA"/>
    <s v="TRANSPORTADORA"/>
    <x v="1"/>
    <n v="65593"/>
    <x v="695"/>
    <s v="RO"/>
    <n v="932"/>
    <s v="CDP Prata"/>
    <n v="1350"/>
    <s v="W10855665"/>
    <s v="Placas de Controle"/>
    <x v="1"/>
    <n v="1000"/>
    <n v="5002858"/>
    <s v="FAVORITA TRANSPORTES LTDA"/>
    <n v="203.42"/>
    <d v="2025-05-19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1226018"/>
    <s v="Motores Ventiladores"/>
    <x v="1"/>
    <n v="3000"/>
    <n v="5004101"/>
    <s v="UNIDOCK'S ASSESSORIA E LOGISTICA DE"/>
    <n v="203.35"/>
    <d v="2025-03-13T00:00:00"/>
  </r>
  <r>
    <n v="254033360"/>
    <n v="64807339"/>
    <s v="REB"/>
    <n v="10063050"/>
    <n v="173"/>
    <s v="PEÇAS - Defeito de fabric./Alta Amperage"/>
    <s v="FUNCIONAL"/>
    <x v="0"/>
    <n v="28991"/>
    <x v="65"/>
    <s v="MG"/>
    <n v="643"/>
    <s v="Elite"/>
    <n v="1350"/>
    <s v="W11082463"/>
    <s v="Termostatos"/>
    <x v="3"/>
    <n v="5000"/>
    <n v="5004215"/>
    <s v="BRASIL WEB TRANSPORTES E LOGISTICA"/>
    <n v="203.26"/>
    <d v="2025-07-08T00:00:00"/>
  </r>
  <r>
    <s v="Sem TR"/>
    <n v="64773522"/>
    <s v="ROB"/>
    <n v="10009484"/>
    <n v="671"/>
    <s v="DEV-ENVIADO PARA GESTÃO DE CONSEQUENCIA"/>
    <s v="TRANSPORTADORA"/>
    <x v="1"/>
    <n v="65593"/>
    <x v="695"/>
    <s v="RO"/>
    <n v="932"/>
    <s v="CDP Prata"/>
    <n v="1350"/>
    <s v="W10855665"/>
    <s v="Placas de Controle"/>
    <x v="1"/>
    <n v="1000"/>
    <n v="5002858"/>
    <s v="FAVORITA TRANSPORTES LTDA"/>
    <n v="203.14"/>
    <d v="2025-05-19T00:00:00"/>
  </r>
  <r>
    <s v="Sem TR"/>
    <n v="64809928"/>
    <s v="REB"/>
    <n v="9907406"/>
    <n v="167"/>
    <s v="PEÇAS - Avaria - Quebrada/Depósito"/>
    <s v="LOGÍSTICA"/>
    <x v="1"/>
    <n v="27113"/>
    <x v="423"/>
    <s v="MG"/>
    <n v="350"/>
    <s v="Ats On"/>
    <n v="1350"/>
    <s v="W11300678"/>
    <s v="Mecanismos"/>
    <x v="2"/>
    <n v="1000"/>
    <n v="5004215"/>
    <s v="BRASIL WEB TRANSPORTES E LOGISTICA"/>
    <n v="203.01"/>
    <d v="2025-07-17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1245250"/>
    <s v="Válvulas de Água"/>
    <x v="5"/>
    <n v="4000"/>
    <n v="5003024"/>
    <s v="RODOBRAS TRANSPORTES RODOVIARIOS LT"/>
    <n v="202.76"/>
    <d v="2024-10-08T00:00:00"/>
  </r>
  <r>
    <n v="254040412"/>
    <n v="64818316"/>
    <s v="ZRDI"/>
    <n v="10128803"/>
    <n v="208"/>
    <s v="DEV-Atraso entrega- LOGISTICA(Transp)"/>
    <s v="TRANSPORTADORA"/>
    <x v="2"/>
    <n v="50927110"/>
    <x v="697"/>
    <s v="RS"/>
    <n v="474"/>
    <s v="Site Brastemp"/>
    <n v="1352"/>
    <s v="W10866790"/>
    <s v="Kits Instalação"/>
    <x v="7"/>
    <n v="1000"/>
    <n v="5002359"/>
    <s v="EMPRESA BRASILEIRA DE CORREIOS E"/>
    <n v="202.75"/>
    <d v="2025-07-26T00:00:00"/>
  </r>
  <r>
    <n v="254040412"/>
    <n v="64818316"/>
    <s v="ZRDI"/>
    <n v="10128803"/>
    <n v="208"/>
    <s v="DEV-Atraso entrega- LOGISTICA(Transp)"/>
    <s v="TRANSPORTADORA"/>
    <x v="2"/>
    <n v="50927110"/>
    <x v="697"/>
    <s v="RS"/>
    <n v="474"/>
    <s v="Site Brastemp"/>
    <n v="1352"/>
    <s v="W10866790"/>
    <s v="Kits Instalação"/>
    <x v="7"/>
    <n v="1000"/>
    <n v="5002359"/>
    <s v="EMPRESA BRASILEIRA DE CORREIOS E"/>
    <n v="202.75"/>
    <d v="2025-07-26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0721910"/>
    <s v="Pressostatos"/>
    <x v="3"/>
    <n v="10000"/>
    <n v="5004101"/>
    <s v="UNIDOCK'S ASSESSORIA E LOGISTICA DE"/>
    <n v="202.71"/>
    <d v="2025-01-27T00:00:00"/>
  </r>
  <r>
    <n v="254018368"/>
    <n v="64790648"/>
    <s v="REB"/>
    <n v="10044889"/>
    <n v="90"/>
    <s v="CLIENTE-não solicitou"/>
    <s v="COMERCIAL"/>
    <x v="2"/>
    <n v="72786"/>
    <x v="41"/>
    <s v="SC"/>
    <n v="643"/>
    <s v="Elite"/>
    <n v="1350"/>
    <s v="W10287534"/>
    <s v="Prateleiras"/>
    <x v="9"/>
    <n v="8000"/>
    <n v="5003024"/>
    <s v="RODOBRAS TRANSPORTES RODOVIARIOS LT"/>
    <n v="202.55"/>
    <d v="2025-06-17T00:00:00"/>
  </r>
  <r>
    <n v="254033099"/>
    <n v="64807330"/>
    <s v="REB"/>
    <n v="10015485"/>
    <n v="173"/>
    <s v="PEÇAS - Defeito de fabric./Alta Amperage"/>
    <s v="FUNCIONAL"/>
    <x v="2"/>
    <n v="66"/>
    <x v="73"/>
    <s v="GO"/>
    <n v="931"/>
    <s v="Ats Off"/>
    <n v="1350"/>
    <s v="W10351342"/>
    <s v="Ice Maker"/>
    <x v="7"/>
    <n v="1000"/>
    <n v="5002858"/>
    <s v="FAVORITA TRANSPORTES LTDA"/>
    <n v="202.27"/>
    <d v="2025-07-08T00:00:00"/>
  </r>
  <r>
    <n v="253988788"/>
    <n v="64764111"/>
    <s v="REB"/>
    <n v="9841272"/>
    <n v="176"/>
    <s v="PEÇAS - Defeito de fabric./Interrompido"/>
    <s v="FUNCIONAL"/>
    <x v="1"/>
    <n v="3506"/>
    <x v="46"/>
    <s v="SP"/>
    <n v="931"/>
    <s v="Ats Off"/>
    <n v="1350"/>
    <s v="W10398340"/>
    <s v="Sensores"/>
    <x v="3"/>
    <n v="1000"/>
    <n v="5004042"/>
    <s v="BRASIL WEB TRANSPORTES E LOGISTICA"/>
    <n v="202.06"/>
    <d v="2025-05-05T00:00:00"/>
  </r>
  <r>
    <n v="254018181"/>
    <n v="64793180"/>
    <s v="REB"/>
    <n v="9826636"/>
    <n v="176"/>
    <s v="PEÇAS - Defeito de fabric./Interrompido"/>
    <s v="FUNCIONAL"/>
    <x v="1"/>
    <n v="3506"/>
    <x v="46"/>
    <s v="SP"/>
    <n v="931"/>
    <s v="Ats Off"/>
    <n v="1350"/>
    <s v="W10398340"/>
    <s v="Sensores"/>
    <x v="3"/>
    <n v="1000"/>
    <n v="5004042"/>
    <s v="BRASIL WEB TRANSPORTES E LOGISTICA"/>
    <n v="202.06"/>
    <d v="2025-06-17T00:00:00"/>
  </r>
  <r>
    <s v="Sem TR"/>
    <n v="64809989"/>
    <s v="ZRDI"/>
    <n v="10121599"/>
    <s v="D10"/>
    <s v="DEV D2C - Comprou modelo errado"/>
    <s v="COMERCIAL"/>
    <x v="2"/>
    <n v="58133984"/>
    <x v="698"/>
    <s v="RJ"/>
    <n v="475"/>
    <s v="Site Consul"/>
    <n v="1352"/>
    <s v="W10866790"/>
    <s v="Kits Instalação"/>
    <x v="7"/>
    <n v="1000"/>
    <n v="5002359"/>
    <s v="EMPRESA BRASILEIRA DE CORREIOS E"/>
    <n v="201.96"/>
    <d v="2025-07-14T00:00:00"/>
  </r>
  <r>
    <s v="Sem TR"/>
    <n v="64814493"/>
    <s v="ZRDI"/>
    <n v="10127572"/>
    <s v="D18"/>
    <s v="DEV D2C - Arrependimento não quero mais"/>
    <s v="COMERCIAL"/>
    <x v="2"/>
    <n v="57796376"/>
    <x v="699"/>
    <s v="RJ"/>
    <n v="474"/>
    <s v="Site Brastemp"/>
    <n v="1352"/>
    <s v="W10866790"/>
    <s v="Kits Instalação"/>
    <x v="7"/>
    <n v="1000"/>
    <n v="5002359"/>
    <s v="EMPRESA BRASILEIRA DE CORREIOS E"/>
    <n v="201.96"/>
    <d v="2025-07-22T00:00:00"/>
  </r>
  <r>
    <s v="Sem TR"/>
    <n v="64809989"/>
    <s v="ZRDI"/>
    <n v="10121599"/>
    <s v="D10"/>
    <s v="DEV D2C - Comprou modelo errado"/>
    <s v="COMERCIAL"/>
    <x v="2"/>
    <n v="58133984"/>
    <x v="698"/>
    <s v="RJ"/>
    <n v="475"/>
    <s v="Site Consul"/>
    <n v="1352"/>
    <s v="W10866790"/>
    <s v="Kits Instalação"/>
    <x v="7"/>
    <n v="1000"/>
    <n v="5002359"/>
    <s v="EMPRESA BRASILEIRA DE CORREIOS E"/>
    <n v="201.96"/>
    <d v="2025-07-14T00:00:00"/>
  </r>
  <r>
    <s v="Sem TR"/>
    <n v="64814493"/>
    <s v="ZRDI"/>
    <n v="10127572"/>
    <s v="D18"/>
    <s v="DEV D2C - Arrependimento não quero mais"/>
    <s v="COMERCIAL"/>
    <x v="2"/>
    <n v="57796376"/>
    <x v="699"/>
    <s v="RJ"/>
    <n v="474"/>
    <s v="Site Brastemp"/>
    <n v="1352"/>
    <s v="W10866790"/>
    <s v="Kits Instalação"/>
    <x v="7"/>
    <n v="1000"/>
    <n v="5002359"/>
    <s v="EMPRESA BRASILEIRA DE CORREIOS E"/>
    <n v="201.96"/>
    <d v="2025-07-22T00:00:00"/>
  </r>
  <r>
    <n v="253970749"/>
    <n v="64748804"/>
    <s v="REB"/>
    <n v="9833608"/>
    <n v="176"/>
    <s v="PEÇAS - Defeito de fabric./Interrompido"/>
    <s v="FUNCIONAL"/>
    <x v="2"/>
    <n v="24089"/>
    <x v="134"/>
    <s v="RJ"/>
    <n v="931"/>
    <s v="Ats Off"/>
    <n v="1350"/>
    <s v="W10160035"/>
    <s v="Magnetrons"/>
    <x v="1"/>
    <n v="1000"/>
    <n v="5003176"/>
    <s v="J C THEDIN TRANSPORTES LTDA"/>
    <n v="201.91"/>
    <d v="2025-04-09T00:00:00"/>
  </r>
  <r>
    <n v="254012501"/>
    <n v="64787223"/>
    <s v="REB"/>
    <n v="9998637"/>
    <n v="173"/>
    <s v="PEÇAS - Defeito de fabric./Alta Amperage"/>
    <s v="FUNCIONAL"/>
    <x v="2"/>
    <n v="28991"/>
    <x v="65"/>
    <s v="MG"/>
    <n v="643"/>
    <s v="Elite"/>
    <n v="1350"/>
    <s v="W11300675"/>
    <s v="Mecanismos"/>
    <x v="2"/>
    <n v="2000"/>
    <n v="5004215"/>
    <s v="BRASIL WEB TRANSPORTES E LOGISTICA"/>
    <n v="201.8"/>
    <d v="2025-06-10T00:00:00"/>
  </r>
  <r>
    <n v="253879481"/>
    <n v="64646521"/>
    <s v="REB"/>
    <n v="9660739"/>
    <n v="173"/>
    <s v="PEÇAS - Defeito de fabric./Alta Amperage"/>
    <s v="FUNCIONAL"/>
    <x v="1"/>
    <n v="21293"/>
    <x v="99"/>
    <s v="SP"/>
    <n v="643"/>
    <s v="Elite"/>
    <n v="1350"/>
    <s v="W10754807"/>
    <s v="Agitadores"/>
    <x v="2"/>
    <n v="4000"/>
    <n v="5003254"/>
    <s v="TMA TRANSPORTE LOTACAO E LOGISTICA"/>
    <n v="201.75"/>
    <d v="2024-11-19T00:00:00"/>
  </r>
  <r>
    <n v="253981412"/>
    <n v="64757870"/>
    <s v="REB"/>
    <n v="9961499"/>
    <n v="165"/>
    <s v="PEÇAS - Defeito de fabric./Incompleta"/>
    <s v="FUNCIONAL"/>
    <x v="1"/>
    <n v="26337"/>
    <x v="378"/>
    <s v="SP"/>
    <n v="350"/>
    <s v="Ats On"/>
    <n v="1350"/>
    <s v="W10665444"/>
    <s v="Bombas"/>
    <x v="1"/>
    <n v="1000"/>
    <n v="5004042"/>
    <s v="BRASIL WEB TRANSPORTES E LOGISTICA"/>
    <n v="201.73"/>
    <d v="2025-04-25T00:00:00"/>
  </r>
  <r>
    <n v="253989841"/>
    <n v="64764890"/>
    <s v="REB"/>
    <n v="10007106"/>
    <n v="167"/>
    <s v="PEÇAS - Avaria - Quebrada/Depósito"/>
    <s v="LOGÍSTICA"/>
    <x v="2"/>
    <n v="81338"/>
    <x v="354"/>
    <s v="SP"/>
    <n v="644"/>
    <s v="Plus"/>
    <n v="1350"/>
    <s v="W10615885"/>
    <s v="Trempes"/>
    <x v="6"/>
    <n v="2000"/>
    <n v="5004042"/>
    <s v="BRASIL WEB TRANSPORTES E LOGISTICA"/>
    <n v="201.73"/>
    <d v="2025-05-07T00:00:00"/>
  </r>
  <r>
    <s v="Sem TR"/>
    <n v="64812211"/>
    <s v="ROB"/>
    <n v="10122764"/>
    <n v="25"/>
    <s v="OC. 80 - EXTRAVIO TOTAL"/>
    <s v="TRANSPORTADORA"/>
    <x v="0"/>
    <n v="71778"/>
    <x v="700"/>
    <s v="SC"/>
    <n v="932"/>
    <s v="CDP Prata"/>
    <n v="1350"/>
    <s v="W11135728"/>
    <s v="Mangueiras"/>
    <x v="5"/>
    <n v="16000"/>
    <n v="5003024"/>
    <s v="RODOBRAS TRANSPORTES RODOVIARIOS LT"/>
    <n v="201.71"/>
    <d v="2025-07-17T00:00:00"/>
  </r>
  <r>
    <n v="254033098"/>
    <n v="64807214"/>
    <s v="REB"/>
    <n v="10019827"/>
    <n v="176"/>
    <s v="PEÇAS - Defeito de fabric./Interrompido"/>
    <s v="FUNCIONAL"/>
    <x v="2"/>
    <n v="66"/>
    <x v="73"/>
    <s v="GO"/>
    <n v="931"/>
    <s v="Ats Off"/>
    <n v="1350"/>
    <s v="W10398340"/>
    <s v="Sensores"/>
    <x v="3"/>
    <n v="1000"/>
    <n v="5002858"/>
    <s v="FAVORITA TRANSPORTES LTDA"/>
    <n v="201.5"/>
    <d v="2025-07-08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352536"/>
    <s v="Placas de Controle"/>
    <x v="1"/>
    <n v="2000"/>
    <n v="5004042"/>
    <s v="BRASIL WEB TRANSPORTES E LOGISTICA"/>
    <n v="201.44"/>
    <d v="2025-07-08T00:00:00"/>
  </r>
  <r>
    <n v="253767409"/>
    <n v="64550842"/>
    <s v="REB"/>
    <n v="8411189"/>
    <n v="176"/>
    <s v="PEÇAS - Defeito de fabric./Interrompido"/>
    <s v="FUNCIONAL"/>
    <x v="2"/>
    <n v="12692"/>
    <x v="82"/>
    <s v="BA"/>
    <n v="644"/>
    <s v="Plus"/>
    <n v="1350"/>
    <s v="W10640425"/>
    <s v="Placas de Interface"/>
    <x v="1"/>
    <n v="1000"/>
    <n v="5004101"/>
    <s v="UNIDOCK'S ASSESSORIA E LOGISTICA DE"/>
    <n v="201.39"/>
    <d v="2024-05-23T00:00:00"/>
  </r>
  <r>
    <s v="Sem TR"/>
    <n v="64809470"/>
    <s v="ZRDI"/>
    <n v="10091902"/>
    <s v="D25"/>
    <s v="DEV D2C - Prob na entrega (Não recebi)"/>
    <s v="TRANSPORTADORA"/>
    <x v="2"/>
    <n v="56747351"/>
    <x v="701"/>
    <s v="SP"/>
    <n v="474"/>
    <s v="Site Brastemp"/>
    <n v="1352"/>
    <s v="W10624070"/>
    <s v="Gavetas"/>
    <x v="9"/>
    <n v="1000"/>
    <n v="5003972"/>
    <s v="ICARO EXPRESS LOGISTICA LTDA"/>
    <n v="201.07"/>
    <d v="2025-07-11T00:00:00"/>
  </r>
  <r>
    <s v="Sem TR"/>
    <n v="64809470"/>
    <s v="ZRDI"/>
    <n v="10091902"/>
    <s v="D25"/>
    <s v="DEV D2C - Prob na entrega (Não recebi)"/>
    <s v="TRANSPORTADORA"/>
    <x v="2"/>
    <n v="56747351"/>
    <x v="701"/>
    <s v="SP"/>
    <n v="474"/>
    <s v="Site Brastemp"/>
    <n v="1352"/>
    <s v="W10624070"/>
    <s v="Gavetas"/>
    <x v="9"/>
    <n v="1000"/>
    <n v="5003972"/>
    <s v="ICARO EXPRESS LOGISTICA LTDA"/>
    <n v="201.07"/>
    <d v="2025-07-11T00:00:00"/>
  </r>
  <r>
    <n v="253879300"/>
    <n v="64643265"/>
    <s v="REB"/>
    <n v="9683193"/>
    <n v="671"/>
    <s v="DEV-ENVIADO PARA GESTÃO DE CONSEQUENCIA"/>
    <s v="TRANSPORTADORA"/>
    <x v="2"/>
    <n v="73003"/>
    <x v="294"/>
    <s v="SC"/>
    <n v="963"/>
    <s v="Ats Distribuidoras"/>
    <n v="1350"/>
    <s v="W11300675"/>
    <s v="Mecanismos"/>
    <x v="2"/>
    <n v="2000"/>
    <n v="5003024"/>
    <s v="RODOBRAS TRANSPORTES RODOVIARIOS LT"/>
    <n v="200.64"/>
    <d v="2024-11-12T00:00:00"/>
  </r>
  <r>
    <n v="253883125"/>
    <n v="64651263"/>
    <s v="REB"/>
    <n v="9683193"/>
    <n v="671"/>
    <s v="DEV-ENVIADO PARA GESTÃO DE CONSEQUENCIA"/>
    <s v="TRANSPORTADORA"/>
    <x v="1"/>
    <n v="73003"/>
    <x v="294"/>
    <s v="SC"/>
    <n v="963"/>
    <s v="Ats Distribuidoras"/>
    <n v="1350"/>
    <s v="W11300675"/>
    <s v="Mecanismos"/>
    <x v="2"/>
    <n v="2000"/>
    <n v="5003024"/>
    <s v="RODOBRAS TRANSPORTES RODOVIARIOS LT"/>
    <n v="200.64"/>
    <d v="2024-11-27T00:00:00"/>
  </r>
  <r>
    <n v="254038384"/>
    <n v="64802638"/>
    <s v="REB"/>
    <n v="10045122"/>
    <n v="167"/>
    <s v="PEÇAS - Avaria - Quebrada/Depósito"/>
    <s v="LOGÍSTICA"/>
    <x v="0"/>
    <n v="67567"/>
    <x v="300"/>
    <s v="MG"/>
    <n v="350"/>
    <s v="Ats On"/>
    <n v="1350"/>
    <s v="W11393157"/>
    <s v="Tampas Móveis"/>
    <x v="6"/>
    <n v="1000"/>
    <n v="5004215"/>
    <s v="BRASIL WEB TRANSPORTES E LOGISTICA"/>
    <n v="200.47"/>
    <d v="2025-07-22T00:00:00"/>
  </r>
  <r>
    <n v="254038384"/>
    <n v="64807495"/>
    <s v="REB"/>
    <n v="10108522"/>
    <n v="167"/>
    <s v="PEÇAS - Avaria - Quebrada/Depósito"/>
    <s v="LOGÍSTICA"/>
    <x v="0"/>
    <n v="67567"/>
    <x v="300"/>
    <s v="MG"/>
    <n v="350"/>
    <s v="Ats On"/>
    <n v="1350"/>
    <s v="W11393157"/>
    <s v="Tampas Móveis"/>
    <x v="6"/>
    <n v="1000"/>
    <n v="5004215"/>
    <s v="BRASIL WEB TRANSPORTES E LOGISTICA"/>
    <n v="200.47"/>
    <d v="2025-07-2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50003"/>
    <s v="Resistências"/>
    <x v="1"/>
    <n v="3000"/>
    <n v="5004101"/>
    <s v="UNIDOCK'S ASSESSORIA E LOGISTICA DE"/>
    <n v="200.33"/>
    <d v="2025-06-24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1352536"/>
    <s v="Placas de Controle"/>
    <x v="1"/>
    <n v="3000"/>
    <n v="5004101"/>
    <s v="UNIDOCK'S ASSESSORIA E LOGISTICA DE"/>
    <n v="200.22"/>
    <d v="2025-07-30T00:00:00"/>
  </r>
  <r>
    <s v="Sem TR"/>
    <n v="64814397"/>
    <s v="REB"/>
    <n v="10113100"/>
    <n v="90"/>
    <s v="CLIENTE-não solicitou"/>
    <s v="COMERCIAL"/>
    <x v="1"/>
    <n v="3506"/>
    <x v="46"/>
    <s v="SP"/>
    <n v="931"/>
    <s v="Ats Off"/>
    <n v="1350"/>
    <n v="326006796"/>
    <s v="Outros"/>
    <x v="7"/>
    <n v="3000"/>
    <n v="5004042"/>
    <s v="BRASIL WEB TRANSPORTES E LOGISTICA"/>
    <n v="200.13"/>
    <d v="2025-07-25T00:00:00"/>
  </r>
  <r>
    <s v="Sem TR"/>
    <n v="64817930"/>
    <s v="REB"/>
    <n v="10107342"/>
    <n v="90"/>
    <s v="CLIENTE-não solicitou"/>
    <s v="COMERCIAL"/>
    <x v="1"/>
    <n v="3506"/>
    <x v="46"/>
    <s v="SP"/>
    <n v="931"/>
    <s v="Ats Off"/>
    <n v="1350"/>
    <n v="326006796"/>
    <s v="Outros"/>
    <x v="7"/>
    <n v="3000"/>
    <n v="5004042"/>
    <s v="BRASIL WEB TRANSPORTES E LOGISTICA"/>
    <n v="200.13"/>
    <d v="2025-07-25T00:00:00"/>
  </r>
  <r>
    <s v="Sem TR"/>
    <n v="64819097"/>
    <s v="ZRDI"/>
    <n v="10100810"/>
    <s v="D31"/>
    <s v="DEV D2C - Defeito estético manufatura"/>
    <s v="MANUFATURA"/>
    <x v="1"/>
    <n v="58110536"/>
    <x v="503"/>
    <s v="PA"/>
    <n v="474"/>
    <s v="Site Brastemp"/>
    <n v="1352"/>
    <s v="W11298039"/>
    <s v="Gavetas"/>
    <x v="9"/>
    <n v="1000"/>
    <n v="5002359"/>
    <s v="EMPRESA BRASILEIRA DE CORREIOS E"/>
    <n v="200.03"/>
    <d v="2025-07-29T00:00:00"/>
  </r>
  <r>
    <n v="254035400"/>
    <n v="64812670"/>
    <s v="REB"/>
    <n v="10092487"/>
    <n v="173"/>
    <s v="PEÇAS - Defeito de fabric./Alta Amperage"/>
    <s v="FUNCIONAL"/>
    <x v="1"/>
    <n v="61371"/>
    <x v="96"/>
    <s v="DF"/>
    <n v="933"/>
    <s v="Top"/>
    <n v="1350"/>
    <s v="W11299803"/>
    <s v="Mecanismos"/>
    <x v="2"/>
    <n v="2000"/>
    <n v="5002858"/>
    <s v="FAVORITA TRANSPORTES LTDA"/>
    <n v="199.98"/>
    <d v="2025-07-17T00:00:00"/>
  </r>
  <r>
    <n v="253981491"/>
    <n v="64757869"/>
    <s v="REB"/>
    <n v="9959027"/>
    <n v="177"/>
    <s v="PEÇAS - Defeito de fabric./Ruído"/>
    <s v="FUNCIONAL"/>
    <x v="1"/>
    <n v="31587"/>
    <x v="135"/>
    <s v="SP"/>
    <n v="643"/>
    <s v="Elite"/>
    <n v="1350"/>
    <s v="W11300695"/>
    <s v="Mecanismos"/>
    <x v="2"/>
    <n v="1000"/>
    <n v="5004042"/>
    <s v="BRASIL WEB TRANSPORTES E LOGISTICA"/>
    <n v="199.97"/>
    <d v="2025-04-25T00:00:00"/>
  </r>
  <r>
    <s v="Sem TR"/>
    <n v="64796663"/>
    <s v="ZRDI"/>
    <n v="10100763"/>
    <s v="D10"/>
    <s v="DEV D2C - Comprou modelo errado"/>
    <s v="COMERCIAL"/>
    <x v="2"/>
    <n v="58108287"/>
    <x v="702"/>
    <s v="RJ"/>
    <n v="474"/>
    <s v="Site Brastemp"/>
    <n v="1352"/>
    <s v="W10738967"/>
    <s v="Vidros"/>
    <x v="6"/>
    <n v="1000"/>
    <n v="5002359"/>
    <s v="EMPRESA BRASILEIRA DE CORREIOS E"/>
    <n v="199.94"/>
    <d v="2025-07-01T00:00:00"/>
  </r>
  <r>
    <n v="254024133"/>
    <n v="64803740"/>
    <s v="ZRDI"/>
    <n v="10059393"/>
    <n v="208"/>
    <s v="DEV-Atraso entrega- LOGISTICA(Transp)"/>
    <s v="TRANSPORTADORA"/>
    <x v="2"/>
    <n v="54414496"/>
    <x v="703"/>
    <s v="RS"/>
    <n v="466"/>
    <s v="Sup ML Marketplace"/>
    <n v="1352"/>
    <s v="W10287527"/>
    <s v="Prateleiras"/>
    <x v="9"/>
    <n v="1000"/>
    <n v="5002359"/>
    <s v="EMPRESA BRASILEIRA DE CORREIOS E"/>
    <n v="199.93"/>
    <d v="2025-07-01T00:00:00"/>
  </r>
  <r>
    <n v="253988800"/>
    <n v="64757273"/>
    <s v="REB"/>
    <n v="9860594"/>
    <n v="173"/>
    <s v="PEÇAS - Defeito de fabric./Alta Amperage"/>
    <s v="FUNCIONAL"/>
    <x v="1"/>
    <n v="13757"/>
    <x v="14"/>
    <s v="SP"/>
    <n v="713"/>
    <s v="Key Account"/>
    <n v="1350"/>
    <s v="W10700346"/>
    <s v="Placas de Controle"/>
    <x v="1"/>
    <n v="2000"/>
    <n v="5004042"/>
    <s v="BRASIL WEB TRANSPORTES E LOGISTICA"/>
    <n v="199.9"/>
    <d v="2025-05-05T00:00:00"/>
  </r>
  <r>
    <n v="253924901"/>
    <n v="64700832"/>
    <s v="ROB"/>
    <n v="9776573"/>
    <n v="268"/>
    <s v="DEV-APREENSÃO FISCAL - VENDAS"/>
    <s v="COMERCIAL"/>
    <x v="1"/>
    <n v="67561"/>
    <x v="47"/>
    <s v="CE"/>
    <n v="934"/>
    <s v="CDP Ouro"/>
    <n v="1350"/>
    <s v="W10581537"/>
    <s v="Pressostatos"/>
    <x v="3"/>
    <n v="10000"/>
    <n v="5004101"/>
    <s v="UNIDOCK'S ASSESSORIA E LOGISTICA DE"/>
    <n v="199.85"/>
    <d v="2025-01-27T00:00:00"/>
  </r>
  <r>
    <n v="253988911"/>
    <n v="64763710"/>
    <s v="REB"/>
    <n v="9863811"/>
    <n v="173"/>
    <s v="PEÇAS - Defeito de fabric./Alta Amperage"/>
    <s v="FUNCIONAL"/>
    <x v="2"/>
    <n v="70555"/>
    <x v="150"/>
    <s v="SC"/>
    <n v="648"/>
    <s v="Ultra"/>
    <n v="1350"/>
    <s v="W10630758"/>
    <s v="Resistências"/>
    <x v="1"/>
    <n v="4000"/>
    <n v="5003024"/>
    <s v="RODOBRAS TRANSPORTES RODOVIARIOS LT"/>
    <n v="199.67"/>
    <d v="2025-05-05T00:00:00"/>
  </r>
  <r>
    <s v="Sem TR"/>
    <n v="64798603"/>
    <s v="ZRDI"/>
    <n v="10090844"/>
    <s v="D35"/>
    <s v="DEV D2C - Prod difere do comprado"/>
    <s v="COMERCIAL"/>
    <x v="2"/>
    <n v="54565391"/>
    <x v="704"/>
    <s v="SP"/>
    <n v="475"/>
    <s v="Site Consul"/>
    <n v="1352"/>
    <s v="W11199342"/>
    <s v="Filtros"/>
    <x v="5"/>
    <n v="2000"/>
    <n v="5002359"/>
    <s v="EMPRESA BRASILEIRA DE CORREIOS E"/>
    <n v="199.6"/>
    <d v="2025-06-27T00:00:00"/>
  </r>
  <r>
    <s v="Sem TR"/>
    <n v="64799284"/>
    <s v="ZRDI"/>
    <n v="10090844"/>
    <s v="D35"/>
    <s v="DEV D2C - Prod difere do comprado"/>
    <s v="COMERCIAL"/>
    <x v="2"/>
    <n v="54565391"/>
    <x v="704"/>
    <s v="SP"/>
    <n v="475"/>
    <s v="Site Consul"/>
    <n v="1352"/>
    <s v="W11199342"/>
    <s v="Filtros"/>
    <x v="5"/>
    <n v="2000"/>
    <n v="5002359"/>
    <s v="EMPRESA BRASILEIRA DE CORREIOS E"/>
    <n v="199.6"/>
    <d v="2025-06-27T00:00:00"/>
  </r>
  <r>
    <s v="Sem TR"/>
    <n v="64799284"/>
    <s v="ZRDI"/>
    <n v="10090844"/>
    <s v="D35"/>
    <s v="DEV D2C - Prod difere do comprado"/>
    <s v="COMERCIAL"/>
    <x v="2"/>
    <n v="54565391"/>
    <x v="704"/>
    <s v="SP"/>
    <n v="475"/>
    <s v="Site Consul"/>
    <n v="1352"/>
    <s v="W11199342"/>
    <s v="Filtros"/>
    <x v="5"/>
    <n v="2000"/>
    <n v="5002359"/>
    <s v="EMPRESA BRASILEIRA DE CORREIOS E"/>
    <n v="199.6"/>
    <d v="2025-06-27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0349302"/>
    <s v="Filtros"/>
    <x v="5"/>
    <n v="10000"/>
    <n v="5003024"/>
    <s v="RODOBRAS TRANSPORTES RODOVIARIOS LT"/>
    <n v="199.6"/>
    <d v="2024-10-08T00:00:00"/>
  </r>
  <r>
    <n v="254024144"/>
    <n v="64803796"/>
    <s v="ZRDI"/>
    <n v="10082787"/>
    <n v="208"/>
    <s v="DEV-Atraso entrega- LOGISTICA(Transp)"/>
    <s v="TRANSPORTADORA"/>
    <x v="2"/>
    <n v="58077749"/>
    <x v="705"/>
    <s v="RJ"/>
    <n v="474"/>
    <s v="Site Brastemp"/>
    <n v="1352"/>
    <s v="W11387305"/>
    <s v="Gases Refrigerantes"/>
    <x v="0"/>
    <n v="1000"/>
    <n v="5002359"/>
    <s v="EMPRESA BRASILEIRA DE CORREIOS E"/>
    <n v="199.55"/>
    <d v="2025-07-01T00:00:00"/>
  </r>
  <r>
    <n v="253999723"/>
    <n v="64777335"/>
    <s v="ROB"/>
    <n v="10009526"/>
    <n v="311"/>
    <s v="DEV-PRODUTO TROCADO-LOGÍSTICA"/>
    <s v="LOGÍSTICA"/>
    <x v="2"/>
    <n v="78820"/>
    <x v="114"/>
    <s v="AM"/>
    <n v="934"/>
    <s v="CDP Ouro"/>
    <n v="1350"/>
    <s v="W10855665"/>
    <s v="Placas de Controle"/>
    <x v="1"/>
    <n v="1000"/>
    <n v="5002858"/>
    <s v="FAVORITA TRANSPORTES LTDA"/>
    <n v="199.29"/>
    <d v="2025-05-23T00:00:00"/>
  </r>
  <r>
    <n v="254004039"/>
    <n v="64778214"/>
    <s v="REB"/>
    <n v="9421507"/>
    <n v="173"/>
    <s v="PEÇAS - Defeito de fabric./Alta Amperage"/>
    <s v="FUNCIONAL"/>
    <x v="2"/>
    <n v="67948"/>
    <x v="15"/>
    <s v="SC"/>
    <n v="713"/>
    <s v="Key Account"/>
    <n v="1350"/>
    <s v="W10711361"/>
    <s v="Placas de Interface"/>
    <x v="1"/>
    <n v="1000"/>
    <n v="5003024"/>
    <s v="RODOBRAS TRANSPORTES RODOVIARIOS LT"/>
    <n v="199.29"/>
    <d v="2025-05-26T00:00:00"/>
  </r>
  <r>
    <n v="254027813"/>
    <n v="64807438"/>
    <s v="ZRDI"/>
    <n v="10071742"/>
    <s v="D25"/>
    <s v="DEV D2C - Prob na entrega (Não recebi)"/>
    <s v="TRANSPORTADORA"/>
    <x v="2"/>
    <n v="54065718"/>
    <x v="706"/>
    <s v="RJ"/>
    <n v="466"/>
    <s v="Sup ML Marketplace"/>
    <n v="1352"/>
    <s v="W10287527"/>
    <s v="Prateleiras"/>
    <x v="9"/>
    <n v="1000"/>
    <n v="5003972"/>
    <s v="ICARO EXPRESS LOGISTICA LTDA"/>
    <n v="198.95"/>
    <d v="2025-07-08T00:00:00"/>
  </r>
  <r>
    <s v="Sem TR"/>
    <n v="64807586"/>
    <s v="ZRDI"/>
    <n v="10135497"/>
    <s v="D11"/>
    <s v="DEV D2C - Comprou prod dimensão errada"/>
    <s v="COMERCIAL"/>
    <x v="2"/>
    <n v="58154751"/>
    <x v="707"/>
    <s v="SP"/>
    <n v="474"/>
    <s v="Site Brastemp"/>
    <n v="1352"/>
    <s v="W10866790"/>
    <s v="Kits Instalação"/>
    <x v="7"/>
    <n v="1000"/>
    <n v="5002359"/>
    <s v="EMPRESA BRASILEIRA DE CORREIOS E"/>
    <n v="198.89"/>
    <d v="2025-07-18T00:00:00"/>
  </r>
  <r>
    <n v="254031455"/>
    <n v="64810689"/>
    <s v="ZRDI"/>
    <n v="10125374"/>
    <s v="D25"/>
    <s v="DEV D2C - Prob na entrega (Não recebi)"/>
    <s v="TRANSPORTADORA"/>
    <x v="2"/>
    <n v="58137649"/>
    <x v="708"/>
    <s v="SP"/>
    <n v="475"/>
    <s v="Site Consul"/>
    <n v="1352"/>
    <s v="W10866790"/>
    <s v="Kits Instalação"/>
    <x v="7"/>
    <n v="1000"/>
    <n v="5002359"/>
    <s v="EMPRESA BRASILEIRA DE CORREIOS E"/>
    <n v="198.89"/>
    <d v="2025-07-15T00:00:00"/>
  </r>
  <r>
    <s v="Sem TR"/>
    <n v="64810798"/>
    <s v="ZRDI"/>
    <n v="10127931"/>
    <s v="D10"/>
    <s v="DEV D2C - Comprou modelo errado"/>
    <s v="COMERCIAL"/>
    <x v="2"/>
    <n v="58141368"/>
    <x v="709"/>
    <s v="SP"/>
    <n v="474"/>
    <s v="Site Brastemp"/>
    <n v="1352"/>
    <s v="W10866790"/>
    <s v="Kits Instalação"/>
    <x v="7"/>
    <n v="1000"/>
    <n v="5002359"/>
    <s v="EMPRESA BRASILEIRA DE CORREIOS E"/>
    <n v="198.89"/>
    <d v="2025-07-23T00:00:00"/>
  </r>
  <r>
    <s v="Sem TR"/>
    <n v="64811456"/>
    <s v="ZRDI"/>
    <n v="10125343"/>
    <n v="208"/>
    <s v="DEV-Atraso entrega- LOGISTICA(Transp)"/>
    <s v="TRANSPORTADORA"/>
    <x v="2"/>
    <n v="57004863"/>
    <x v="710"/>
    <s v="SP"/>
    <n v="474"/>
    <s v="Site Brastemp"/>
    <n v="1352"/>
    <s v="W10866790"/>
    <s v="Kits Instalação"/>
    <x v="7"/>
    <n v="1000"/>
    <n v="5002359"/>
    <s v="EMPRESA BRASILEIRA DE CORREIOS E"/>
    <n v="198.89"/>
    <d v="2025-07-16T00:00:00"/>
  </r>
  <r>
    <s v="Sem TR"/>
    <n v="64814116"/>
    <s v="ZRDI"/>
    <n v="10148717"/>
    <s v="D10"/>
    <s v="DEV D2C - Comprou modelo errado"/>
    <s v="COMERCIAL"/>
    <x v="2"/>
    <n v="54807662"/>
    <x v="711"/>
    <s v="SP"/>
    <n v="474"/>
    <s v="Site Brastemp"/>
    <n v="1352"/>
    <s v="W10866790"/>
    <s v="Kits Instalação"/>
    <x v="7"/>
    <n v="1000"/>
    <n v="5002359"/>
    <s v="EMPRESA BRASILEIRA DE CORREIOS E"/>
    <n v="198.89"/>
    <d v="2025-07-22T00:00:00"/>
  </r>
  <r>
    <s v="Sem TR"/>
    <n v="64814618"/>
    <s v="ZRDI"/>
    <n v="10148558"/>
    <s v="D31"/>
    <s v="DEV D2C - Defeito estético manufatura"/>
    <s v="MANUFATURA"/>
    <x v="2"/>
    <n v="4641253"/>
    <x v="712"/>
    <s v="SP"/>
    <n v="474"/>
    <s v="Site Brastemp"/>
    <n v="1352"/>
    <s v="W10866790"/>
    <s v="Kits Instalação"/>
    <x v="7"/>
    <n v="1000"/>
    <n v="5002359"/>
    <s v="EMPRESA BRASILEIRA DE CORREIOS E"/>
    <n v="198.89"/>
    <d v="2025-07-25T00:00:00"/>
  </r>
  <r>
    <s v="Sem TR"/>
    <n v="64817082"/>
    <s v="ZRDI"/>
    <n v="10132823"/>
    <n v="208"/>
    <s v="DEV-Atraso entrega- LOGISTICA(Transp)"/>
    <s v="TRANSPORTADORA"/>
    <x v="2"/>
    <n v="58153800"/>
    <x v="713"/>
    <s v="SP"/>
    <n v="475"/>
    <s v="Site Consul"/>
    <n v="1352"/>
    <s v="W10866790"/>
    <s v="Kits Instalação"/>
    <x v="7"/>
    <n v="1000"/>
    <n v="5002359"/>
    <s v="EMPRESA BRASILEIRA DE CORREIOS E"/>
    <n v="198.89"/>
    <d v="2025-07-24T00:00:00"/>
  </r>
  <r>
    <s v="Sem TR"/>
    <n v="64807586"/>
    <s v="ZRDI"/>
    <n v="10135497"/>
    <s v="D11"/>
    <s v="DEV D2C - Comprou prod dimensão errada"/>
    <s v="COMERCIAL"/>
    <x v="2"/>
    <n v="58154751"/>
    <x v="707"/>
    <s v="SP"/>
    <n v="474"/>
    <s v="Site Brastemp"/>
    <n v="1352"/>
    <s v="W10866790"/>
    <s v="Kits Instalação"/>
    <x v="7"/>
    <n v="1000"/>
    <n v="5002359"/>
    <s v="EMPRESA BRASILEIRA DE CORREIOS E"/>
    <n v="198.89"/>
    <d v="2025-07-18T00:00:00"/>
  </r>
  <r>
    <s v="Sem TR"/>
    <n v="64814116"/>
    <s v="ZRDI"/>
    <n v="10148717"/>
    <s v="D10"/>
    <s v="DEV D2C - Comprou modelo errado"/>
    <s v="COMERCIAL"/>
    <x v="2"/>
    <n v="54807662"/>
    <x v="711"/>
    <s v="SP"/>
    <n v="474"/>
    <s v="Site Brastemp"/>
    <n v="1352"/>
    <s v="W10866790"/>
    <s v="Kits Instalação"/>
    <x v="7"/>
    <n v="1000"/>
    <n v="5002359"/>
    <s v="EMPRESA BRASILEIRA DE CORREIOS E"/>
    <n v="198.89"/>
    <d v="2025-07-22T00:00:00"/>
  </r>
  <r>
    <s v="Sem TR"/>
    <n v="64814618"/>
    <s v="ZRDI"/>
    <n v="10148558"/>
    <s v="D31"/>
    <s v="DEV D2C - Defeito estético manufatura"/>
    <s v="MANUFATURA"/>
    <x v="2"/>
    <n v="4641253"/>
    <x v="712"/>
    <s v="SP"/>
    <n v="474"/>
    <s v="Site Brastemp"/>
    <n v="1352"/>
    <s v="W10866790"/>
    <s v="Kits Instalação"/>
    <x v="7"/>
    <n v="1000"/>
    <n v="5002359"/>
    <s v="EMPRESA BRASILEIRA DE CORREIOS E"/>
    <n v="198.89"/>
    <d v="2025-07-25T00:00:00"/>
  </r>
  <r>
    <s v="Sem TR"/>
    <n v="64817082"/>
    <s v="ZRDI"/>
    <n v="10132823"/>
    <n v="208"/>
    <s v="DEV-Atraso entrega- LOGISTICA(Transp)"/>
    <s v="TRANSPORTADORA"/>
    <x v="2"/>
    <n v="58153800"/>
    <x v="713"/>
    <s v="SP"/>
    <n v="475"/>
    <s v="Site Consul"/>
    <n v="1352"/>
    <s v="W10866790"/>
    <s v="Kits Instalação"/>
    <x v="7"/>
    <n v="1000"/>
    <n v="5002359"/>
    <s v="EMPRESA BRASILEIRA DE CORREIOS E"/>
    <n v="198.89"/>
    <d v="2025-07-24T00:00:00"/>
  </r>
  <r>
    <s v="Sem TR"/>
    <n v="64725375"/>
    <s v="REB"/>
    <n v="9823077"/>
    <n v="509"/>
    <s v="Qtd de peças a Menor dentro do Volume"/>
    <s v="LOGÍSTICA"/>
    <x v="1"/>
    <n v="77676"/>
    <x v="278"/>
    <s v="DF"/>
    <n v="350"/>
    <s v="Ats On"/>
    <n v="1350"/>
    <n v="326076881"/>
    <s v="Resistências"/>
    <x v="1"/>
    <n v="3000"/>
    <n v="5002359"/>
    <s v="EMPRESA BRASILEIRA DE CORREIOS E"/>
    <n v="198.89"/>
    <d v="2025-03-07T00:00:00"/>
  </r>
  <r>
    <s v="Sem TR"/>
    <n v="64813881"/>
    <s v="ZRDI"/>
    <n v="10157843"/>
    <s v="D10"/>
    <s v="DEV D2C - Comprou modelo errado"/>
    <s v="COMERCIAL"/>
    <x v="1"/>
    <n v="58187027"/>
    <x v="714"/>
    <s v="SP"/>
    <n v="475"/>
    <s v="Site Consul"/>
    <n v="1352"/>
    <s v="W10866790"/>
    <s v="Kits Instalação"/>
    <x v="7"/>
    <n v="1000"/>
    <n v="5002359"/>
    <s v="EMPRESA BRASILEIRA DE CORREIOS E"/>
    <n v="198.89"/>
    <d v="2025-07-30T00:00:00"/>
  </r>
  <r>
    <n v="253952241"/>
    <n v="64728302"/>
    <s v="REB"/>
    <n v="9530416"/>
    <n v="173"/>
    <s v="PEÇAS - Defeito de fabric./Alta Amperage"/>
    <s v="FUNCIONAL"/>
    <x v="1"/>
    <n v="29706"/>
    <x v="149"/>
    <s v="RN"/>
    <n v="644"/>
    <s v="Plus"/>
    <n v="1350"/>
    <s v="W11458016"/>
    <s v="Placas de Controle"/>
    <x v="1"/>
    <n v="1000"/>
    <n v="5004101"/>
    <s v="UNIDOCK'S ASSESSORIA E LOGISTICA DE"/>
    <n v="198.79"/>
    <d v="2025-03-10T00:00:00"/>
  </r>
  <r>
    <n v="254004013"/>
    <n v="64776256"/>
    <s v="REB"/>
    <n v="9843643"/>
    <n v="176"/>
    <s v="PEÇAS - Defeito de fabric./Interrompido"/>
    <s v="FUNCIONAL"/>
    <x v="1"/>
    <n v="56605"/>
    <x v="268"/>
    <s v="AL"/>
    <n v="934"/>
    <s v="CDP Ouro"/>
    <n v="1350"/>
    <s v="W11435392"/>
    <s v="Placas de Controle"/>
    <x v="1"/>
    <n v="1000"/>
    <n v="5004101"/>
    <s v="UNIDOCK'S ASSESSORIA E LOGISTICA DE"/>
    <n v="198.78"/>
    <d v="2025-05-26T00:00:00"/>
  </r>
  <r>
    <n v="254004012"/>
    <n v="64777724"/>
    <s v="REB"/>
    <n v="9843643"/>
    <n v="173"/>
    <s v="PEÇAS - Defeito de fabric./Alta Amperage"/>
    <s v="FUNCIONAL"/>
    <x v="1"/>
    <n v="56605"/>
    <x v="268"/>
    <s v="AL"/>
    <n v="934"/>
    <s v="CDP Ouro"/>
    <n v="1350"/>
    <s v="W11435392"/>
    <s v="Placas de Controle"/>
    <x v="1"/>
    <n v="1000"/>
    <n v="5004101"/>
    <s v="UNIDOCK'S ASSESSORIA E LOGISTICA DE"/>
    <n v="198.78"/>
    <d v="2025-05-26T00:00:00"/>
  </r>
  <r>
    <n v="254003906"/>
    <n v="64777571"/>
    <s v="REB"/>
    <n v="9459644"/>
    <n v="173"/>
    <s v="PEÇAS - Defeito de fabric./Alta Amperage"/>
    <s v="FUNCIONAL"/>
    <x v="1"/>
    <n v="27770"/>
    <x v="37"/>
    <s v="AL"/>
    <n v="641"/>
    <s v="CDP Diamante"/>
    <n v="1350"/>
    <n v="326061171"/>
    <s v="Placas de Controle"/>
    <x v="1"/>
    <n v="1000"/>
    <n v="5004101"/>
    <s v="UNIDOCK'S ASSESSORIA E LOGISTICA DE"/>
    <n v="198.53"/>
    <d v="2025-05-26T00:00:00"/>
  </r>
  <r>
    <n v="254003856"/>
    <n v="64778276"/>
    <s v="REB"/>
    <n v="9905314"/>
    <n v="176"/>
    <s v="PEÇAS - Defeito de fabric./Interrompido"/>
    <s v="FUNCIONAL"/>
    <x v="2"/>
    <n v="3506"/>
    <x v="46"/>
    <s v="SP"/>
    <n v="931"/>
    <s v="Ats Off"/>
    <n v="1350"/>
    <s v="W11524887"/>
    <s v="Transformadores"/>
    <x v="1"/>
    <n v="1000"/>
    <n v="5004042"/>
    <s v="BRASIL WEB TRANSPORTES E LOGISTICA"/>
    <n v="198.36"/>
    <d v="2025-05-26T00:00:00"/>
  </r>
  <r>
    <n v="253970939"/>
    <n v="64747692"/>
    <s v="REB"/>
    <n v="9571207"/>
    <n v="173"/>
    <s v="PEÇAS - Defeito de fabric./Alta Amperage"/>
    <s v="FUNCIONAL"/>
    <x v="1"/>
    <n v="74536"/>
    <x v="588"/>
    <s v="MT"/>
    <n v="934"/>
    <s v="CDP Ouro"/>
    <n v="1350"/>
    <s v="W10586927"/>
    <s v="Placas de Controle"/>
    <x v="1"/>
    <n v="1000"/>
    <n v="5002573"/>
    <s v="CARVALIMA TRANSPORTES LTDA"/>
    <n v="198.24"/>
    <d v="2025-04-09T00:00:00"/>
  </r>
  <r>
    <n v="254033939"/>
    <n v="64812467"/>
    <s v="ZRDI"/>
    <n v="10091738"/>
    <n v="208"/>
    <s v="DEV-Atraso entrega- LOGISTICA(Transp)"/>
    <s v="TRANSPORTADORA"/>
    <x v="2"/>
    <n v="58094336"/>
    <x v="715"/>
    <s v="AL"/>
    <n v="466"/>
    <s v="Sup ML Marketplace"/>
    <n v="1352"/>
    <s v="W11108178"/>
    <s v="Prateleiras"/>
    <x v="9"/>
    <n v="1000"/>
    <n v="5002359"/>
    <s v="EMPRESA BRASILEIRA DE CORREIOS E"/>
    <n v="198.2"/>
    <d v="2025-07-17T00:00:00"/>
  </r>
  <r>
    <n v="254018174"/>
    <n v="64788403"/>
    <s v="REB"/>
    <n v="9949462"/>
    <n v="177"/>
    <s v="PEÇAS - Defeito de fabric./Ruído"/>
    <s v="FUNCIONAL"/>
    <x v="1"/>
    <n v="3467"/>
    <x v="115"/>
    <s v="SP"/>
    <n v="931"/>
    <s v="Ats Off"/>
    <n v="1350"/>
    <s v="W11300681"/>
    <s v="Mecanismos"/>
    <x v="2"/>
    <n v="1000"/>
    <n v="5004042"/>
    <s v="BRASIL WEB TRANSPORTES E LOGISTICA"/>
    <n v="197.78"/>
    <d v="2025-06-16T00:00:00"/>
  </r>
  <r>
    <n v="254035356"/>
    <n v="64812426"/>
    <s v="REB"/>
    <n v="10041129"/>
    <n v="177"/>
    <s v="PEÇAS - Defeito de fabric./Ruído"/>
    <s v="FUNCIONAL"/>
    <x v="1"/>
    <n v="22211"/>
    <x v="146"/>
    <s v="SC"/>
    <n v="644"/>
    <s v="Plus"/>
    <n v="1350"/>
    <s v="W11300695"/>
    <s v="Mecanismos"/>
    <x v="2"/>
    <n v="1000"/>
    <n v="5003024"/>
    <s v="RODOBRAS TRANSPORTES RODOVIARIOS LT"/>
    <n v="197.64"/>
    <d v="2025-07-17T00:00:00"/>
  </r>
  <r>
    <s v="Sem TR"/>
    <n v="64812175"/>
    <s v="ZRDI"/>
    <n v="10098022"/>
    <s v="D31"/>
    <s v="DEV D2C - Defeito estético manufatura"/>
    <s v="MANUFATURA"/>
    <x v="2"/>
    <n v="55341732"/>
    <x v="716"/>
    <s v="CE"/>
    <n v="474"/>
    <s v="Site Brastemp"/>
    <n v="1352"/>
    <s v="W10287527"/>
    <s v="Prateleiras"/>
    <x v="9"/>
    <n v="1000"/>
    <n v="5002359"/>
    <s v="EMPRESA BRASILEIRA DE CORREIOS E"/>
    <n v="197.46"/>
    <d v="2025-07-17T00:00:00"/>
  </r>
  <r>
    <s v="Sem TR"/>
    <n v="64812175"/>
    <s v="ZRDI"/>
    <n v="10098022"/>
    <s v="D31"/>
    <s v="DEV D2C - Defeito estético manufatura"/>
    <s v="MANUFATURA"/>
    <x v="2"/>
    <n v="55341732"/>
    <x v="716"/>
    <s v="CE"/>
    <n v="474"/>
    <s v="Site Brastemp"/>
    <n v="1352"/>
    <s v="W10287527"/>
    <s v="Prateleiras"/>
    <x v="9"/>
    <n v="1000"/>
    <n v="5002359"/>
    <s v="EMPRESA BRASILEIRA DE CORREIOS E"/>
    <n v="197.46"/>
    <d v="2025-07-17T00:00:00"/>
  </r>
  <r>
    <n v="253924898"/>
    <n v="64700829"/>
    <s v="ZRVP"/>
    <n v="9744121"/>
    <n v="268"/>
    <s v="DEV-APREENSÃO FISCAL - VENDAS"/>
    <s v="COMERCIAL"/>
    <x v="1"/>
    <n v="64793"/>
    <x v="717"/>
    <s v="CE"/>
    <n v="934"/>
    <s v="CDP Ouro"/>
    <n v="1350"/>
    <s v="W10897149"/>
    <s v="Rolamentos"/>
    <x v="2"/>
    <n v="22000"/>
    <n v="5004101"/>
    <s v="UNIDOCK'S ASSESSORIA E LOGISTICA DE"/>
    <n v="197.32"/>
    <d v="2025-01-27T00:00:00"/>
  </r>
  <r>
    <s v="Sem TR"/>
    <n v="64773524"/>
    <s v="ROB"/>
    <n v="10009486"/>
    <n v="671"/>
    <s v="DEV-ENVIADO PARA GESTÃO DE CONSEQUENCIA"/>
    <s v="TRANSPORTADORA"/>
    <x v="1"/>
    <n v="65593"/>
    <x v="695"/>
    <s v="RO"/>
    <n v="932"/>
    <s v="CDP Prata"/>
    <n v="1350"/>
    <s v="W10855665"/>
    <s v="Placas de Controle"/>
    <x v="1"/>
    <n v="1000"/>
    <n v="5002858"/>
    <s v="FAVORITA TRANSPORTES LTDA"/>
    <n v="197.31"/>
    <d v="2025-05-19T00:00:00"/>
  </r>
  <r>
    <n v="254033379"/>
    <n v="64806356"/>
    <s v="REB"/>
    <n v="10072203"/>
    <n v="90"/>
    <s v="CLIENTE-não solicitou"/>
    <s v="COMERCIAL"/>
    <x v="0"/>
    <n v="31030"/>
    <x v="357"/>
    <s v="RS"/>
    <n v="934"/>
    <s v="CDP Ouro"/>
    <n v="1350"/>
    <s v="W10684267"/>
    <s v="Placas de Controle"/>
    <x v="1"/>
    <n v="1000"/>
    <n v="5003024"/>
    <s v="RODOBRAS TRANSPORTES RODOVIARIOS LT"/>
    <n v="197.25"/>
    <d v="2025-07-08T00:00:00"/>
  </r>
  <r>
    <n v="253981470"/>
    <n v="64758030"/>
    <s v="REB"/>
    <n v="8085966"/>
    <n v="173"/>
    <s v="PEÇAS - Defeito de fabric./Alta Amperage"/>
    <s v="FUNCIONAL"/>
    <x v="2"/>
    <n v="29164"/>
    <x v="32"/>
    <s v="BA"/>
    <n v="648"/>
    <s v="Ultra"/>
    <n v="1350"/>
    <n v="326061171"/>
    <s v="Placas de Controle"/>
    <x v="1"/>
    <n v="1000"/>
    <n v="5004101"/>
    <s v="UNIDOCK'S ASSESSORIA E LOGISTICA DE"/>
    <n v="197.19"/>
    <d v="2025-04-25T00:00:00"/>
  </r>
  <r>
    <n v="254042007"/>
    <n v="64794761"/>
    <s v="REB"/>
    <n v="10086582"/>
    <n v="176"/>
    <s v="PEÇAS - Defeito de fabric./Interrompido"/>
    <s v="FUNCIONAL"/>
    <x v="0"/>
    <n v="44739"/>
    <x v="106"/>
    <s v="PR"/>
    <n v="350"/>
    <s v="Ats On"/>
    <n v="1350"/>
    <s v="W10276002"/>
    <s v="Motores"/>
    <x v="1"/>
    <n v="1000"/>
    <n v="5003024"/>
    <s v="RODOBRAS TRANSPORTES RODOVIARIOS LT"/>
    <n v="197.1"/>
    <d v="2025-06-19T00:00:00"/>
  </r>
  <r>
    <n v="253989793"/>
    <n v="64763328"/>
    <s v="REB"/>
    <n v="10000107"/>
    <n v="176"/>
    <s v="PEÇAS - Defeito de fabric./Interrompido"/>
    <s v="FUNCIONAL"/>
    <x v="2"/>
    <n v="3506"/>
    <x v="46"/>
    <s v="SP"/>
    <n v="931"/>
    <s v="Ats Off"/>
    <n v="1350"/>
    <s v="W11045219"/>
    <s v="Motores Ventiladores"/>
    <x v="1"/>
    <n v="5000"/>
    <n v="5004042"/>
    <s v="BRASIL WEB TRANSPORTES E LOGISTICA"/>
    <n v="196.97"/>
    <d v="2025-05-07T00:00:00"/>
  </r>
  <r>
    <n v="254033394"/>
    <n v="64802476"/>
    <s v="REB"/>
    <n v="10055628"/>
    <n v="173"/>
    <s v="PEÇAS - Defeito de fabric./Alta Amperage"/>
    <s v="FUNCIONAL"/>
    <x v="1"/>
    <n v="37434"/>
    <x v="95"/>
    <s v="GO"/>
    <n v="931"/>
    <s v="Ats Off"/>
    <n v="1350"/>
    <s v="W11299803"/>
    <s v="Mecanismos"/>
    <x v="2"/>
    <n v="2000"/>
    <n v="5002858"/>
    <s v="FAVORITA TRANSPORTES LTDA"/>
    <n v="196.96"/>
    <d v="2025-07-01T00:00:00"/>
  </r>
  <r>
    <s v="Sem TR"/>
    <n v="64798700"/>
    <s v="ZRDI"/>
    <n v="10089004"/>
    <s v="D31"/>
    <s v="DEV D2C - Defeito estético manufatura"/>
    <s v="MANUFATURA"/>
    <x v="2"/>
    <n v="51868392"/>
    <x v="541"/>
    <s v="CE"/>
    <n v="474"/>
    <s v="Site Brastemp"/>
    <n v="1352"/>
    <s v="W11298039"/>
    <s v="Gavetas"/>
    <x v="9"/>
    <n v="1000"/>
    <n v="5002359"/>
    <s v="EMPRESA BRASILEIRA DE CORREIOS E"/>
    <n v="196.96"/>
    <d v="2025-06-26T00:00:00"/>
  </r>
  <r>
    <n v="253970776"/>
    <n v="64748362"/>
    <s v="REB"/>
    <n v="9941417"/>
    <n v="168"/>
    <s v="PEÇAS-Def.Fabric.Empenamento/Abaulamento"/>
    <s v="FUNCIONAL"/>
    <x v="2"/>
    <n v="29984"/>
    <x v="718"/>
    <s v="MG"/>
    <n v="350"/>
    <s v="Ats On"/>
    <n v="1350"/>
    <s v="W11393157"/>
    <s v="Tampas Móveis"/>
    <x v="6"/>
    <n v="1000"/>
    <n v="5004215"/>
    <s v="BRASIL WEB TRANSPORTES E LOGISTICA"/>
    <n v="196.95"/>
    <d v="2025-04-09T00:00:00"/>
  </r>
  <r>
    <s v="Sem TR"/>
    <n v="64808629"/>
    <s v="ZRDI"/>
    <n v="10109567"/>
    <s v="D10"/>
    <s v="DEV D2C - Comprou modelo errado"/>
    <s v="COMERCIAL"/>
    <x v="2"/>
    <n v="51794998"/>
    <x v="719"/>
    <s v="GO"/>
    <n v="474"/>
    <s v="Site Brastemp"/>
    <n v="1352"/>
    <s v="W10510889"/>
    <s v="Filtros"/>
    <x v="5"/>
    <n v="1000"/>
    <n v="5002359"/>
    <s v="EMPRESA BRASILEIRA DE CORREIOS E"/>
    <n v="196.93"/>
    <d v="2025-07-10T00:00:00"/>
  </r>
  <r>
    <s v="Sem TR"/>
    <n v="64807978"/>
    <s v="ZRDI"/>
    <n v="10123600"/>
    <s v="D18"/>
    <s v="DEV D2C - Arrependimento não quero mais"/>
    <s v="COMERCIAL"/>
    <x v="2"/>
    <n v="58136947"/>
    <x v="720"/>
    <s v="MG"/>
    <n v="466"/>
    <s v="Sup ML Marketplace"/>
    <n v="1352"/>
    <s v="W10637633"/>
    <s v="Termostatos"/>
    <x v="3"/>
    <n v="1000"/>
    <n v="5002359"/>
    <s v="EMPRESA BRASILEIRA DE CORREIOS E"/>
    <n v="196.85"/>
    <d v="2025-07-25T00:00:00"/>
  </r>
  <r>
    <s v="Sem TR"/>
    <n v="64807978"/>
    <s v="ZRDI"/>
    <n v="10123600"/>
    <s v="D18"/>
    <s v="DEV D2C - Arrependimento não quero mais"/>
    <s v="COMERCIAL"/>
    <x v="2"/>
    <n v="58136947"/>
    <x v="720"/>
    <s v="MG"/>
    <n v="466"/>
    <s v="Sup ML Marketplace"/>
    <n v="1352"/>
    <s v="W10637633"/>
    <s v="Termostatos"/>
    <x v="3"/>
    <n v="1000"/>
    <n v="5002359"/>
    <s v="EMPRESA BRASILEIRA DE CORREIOS E"/>
    <n v="196.85"/>
    <d v="2025-07-25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326004753"/>
    <s v="Válvulas de Água"/>
    <x v="5"/>
    <n v="6000"/>
    <n v="5004101"/>
    <s v="UNIDOCK'S ASSESSORIA E LOGISTICA DE"/>
    <n v="196.8"/>
    <d v="2025-03-13T00:00:00"/>
  </r>
  <r>
    <s v="Sem TR"/>
    <n v="64808593"/>
    <s v="ZRDI"/>
    <n v="10103172"/>
    <s v="D31"/>
    <s v="DEV D2C - Defeito estético manufatura"/>
    <s v="MANUFATURA"/>
    <x v="2"/>
    <n v="58113365"/>
    <x v="545"/>
    <s v="MT"/>
    <n v="474"/>
    <s v="Site Brastemp"/>
    <n v="1352"/>
    <s v="W11298039"/>
    <s v="Gavetas"/>
    <x v="9"/>
    <n v="1000"/>
    <n v="5002359"/>
    <s v="EMPRESA BRASILEIRA DE CORREIOS E"/>
    <n v="196.76"/>
    <d v="2025-07-12T00:00:00"/>
  </r>
  <r>
    <s v="Sem TR"/>
    <n v="64808593"/>
    <s v="ZRDI"/>
    <n v="10103172"/>
    <s v="D31"/>
    <s v="DEV D2C - Defeito estético manufatura"/>
    <s v="MANUFATURA"/>
    <x v="2"/>
    <n v="58113365"/>
    <x v="545"/>
    <s v="MT"/>
    <n v="474"/>
    <s v="Site Brastemp"/>
    <n v="1352"/>
    <s v="W11298039"/>
    <s v="Gavetas"/>
    <x v="9"/>
    <n v="1000"/>
    <n v="5002359"/>
    <s v="EMPRESA BRASILEIRA DE CORREIOS E"/>
    <n v="196.76"/>
    <d v="2025-07-12T00:00:00"/>
  </r>
  <r>
    <n v="253993272"/>
    <n v="64771122"/>
    <s v="ROB"/>
    <n v="10004918"/>
    <n v="182"/>
    <s v="PEÇAS - Extravio - Volume a menor"/>
    <s v="TRANSPORTADORA"/>
    <x v="1"/>
    <n v="4523"/>
    <x v="261"/>
    <s v="SC"/>
    <n v="350"/>
    <s v="Ats On"/>
    <n v="1350"/>
    <s v="W10223009"/>
    <s v="Gaxetas"/>
    <x v="4"/>
    <n v="5000"/>
    <n v="5003024"/>
    <s v="RODOBRAS TRANSPORTES RODOVIARIOS LT"/>
    <n v="196.75"/>
    <d v="2025-05-15T00:00:00"/>
  </r>
  <r>
    <s v="Sem TR"/>
    <n v="64810336"/>
    <s v="ZRDI"/>
    <n v="10094314"/>
    <s v="D31"/>
    <s v="DEV D2C - Defeito estético manufatura"/>
    <s v="MANUFATURA"/>
    <x v="2"/>
    <n v="54703822"/>
    <x v="721"/>
    <s v="PE"/>
    <n v="474"/>
    <s v="Site Brastemp"/>
    <n v="1352"/>
    <s v="W11298039"/>
    <s v="Gavetas"/>
    <x v="9"/>
    <n v="1000"/>
    <n v="5002359"/>
    <s v="EMPRESA BRASILEIRA DE CORREIOS E"/>
    <n v="196.66"/>
    <d v="2025-07-17T00:00:00"/>
  </r>
  <r>
    <s v="Sem TR"/>
    <n v="64810336"/>
    <s v="ZRDI"/>
    <n v="10094314"/>
    <s v="D31"/>
    <s v="DEV D2C - Defeito estético manufatura"/>
    <s v="MANUFATURA"/>
    <x v="2"/>
    <n v="54703822"/>
    <x v="721"/>
    <s v="PE"/>
    <n v="474"/>
    <s v="Site Brastemp"/>
    <n v="1352"/>
    <s v="W11298039"/>
    <s v="Gavetas"/>
    <x v="9"/>
    <n v="1000"/>
    <n v="5002359"/>
    <s v="EMPRESA BRASILEIRA DE CORREIOS E"/>
    <n v="196.66"/>
    <d v="2025-07-17T00:00:00"/>
  </r>
  <r>
    <n v="253988790"/>
    <n v="64764329"/>
    <s v="REB"/>
    <n v="10006237"/>
    <n v="176"/>
    <s v="PEÇAS - Defeito de fabric./Interrompido"/>
    <s v="FUNCIONAL"/>
    <x v="1"/>
    <n v="3652"/>
    <x v="51"/>
    <s v="SP"/>
    <n v="350"/>
    <s v="Ats On"/>
    <n v="1350"/>
    <s v="W11452233"/>
    <s v="Placas de Controle"/>
    <x v="1"/>
    <n v="1000"/>
    <n v="5004042"/>
    <s v="BRASIL WEB TRANSPORTES E LOGISTICA"/>
    <n v="196.55"/>
    <d v="2025-05-05T00:00:00"/>
  </r>
  <r>
    <n v="253961252"/>
    <n v="64737075"/>
    <s v="REB"/>
    <n v="9863741"/>
    <n v="176"/>
    <s v="PEÇAS - Defeito de fabric./Interrompido"/>
    <s v="FUNCIONAL"/>
    <x v="2"/>
    <n v="13757"/>
    <x v="14"/>
    <s v="SP"/>
    <n v="713"/>
    <s v="Key Account"/>
    <n v="1350"/>
    <s v="W10882241"/>
    <s v="Agitadores"/>
    <x v="2"/>
    <n v="6000"/>
    <n v="5004042"/>
    <s v="BRASIL WEB TRANSPORTES E LOGISTICA"/>
    <n v="196.55"/>
    <d v="2025-03-24T00:00:00"/>
  </r>
  <r>
    <n v="254035323"/>
    <n v="64812706"/>
    <s v="REB"/>
    <n v="10037489"/>
    <n v="176"/>
    <s v="PEÇAS - Defeito de fabric./Interrompido"/>
    <s v="FUNCIONAL"/>
    <x v="1"/>
    <n v="3236"/>
    <x v="45"/>
    <s v="SP"/>
    <n v="931"/>
    <s v="Ats Off"/>
    <n v="1350"/>
    <s v="W10665444"/>
    <s v="Bombas"/>
    <x v="1"/>
    <n v="1000"/>
    <n v="5004042"/>
    <s v="BRASIL WEB TRANSPORTES E LOGISTICA"/>
    <n v="196.48"/>
    <d v="2025-07-17T00:00:00"/>
  </r>
  <r>
    <n v="253995097"/>
    <n v="64769336"/>
    <s v="REB"/>
    <n v="10015867"/>
    <n v="173"/>
    <s v="PEÇAS - Defeito de fabric./Alta Amperage"/>
    <s v="FUNCIONAL"/>
    <x v="1"/>
    <n v="21594"/>
    <x v="97"/>
    <s v="SP"/>
    <n v="931"/>
    <s v="Ats Off"/>
    <n v="1350"/>
    <s v="W10665444"/>
    <s v="Bombas"/>
    <x v="1"/>
    <n v="1000"/>
    <n v="5004042"/>
    <s v="BRASIL WEB TRANSPORTES E LOGISTICA"/>
    <n v="196.48"/>
    <d v="2025-05-15T00:00:00"/>
  </r>
  <r>
    <n v="254033257"/>
    <n v="64807366"/>
    <s v="REB"/>
    <n v="10058365"/>
    <n v="173"/>
    <s v="PEÇAS - Defeito de fabric./Alta Amperage"/>
    <s v="FUNCIONAL"/>
    <x v="1"/>
    <n v="3236"/>
    <x v="45"/>
    <s v="SP"/>
    <n v="931"/>
    <s v="Ats Off"/>
    <n v="1350"/>
    <s v="W10665444"/>
    <s v="Bombas"/>
    <x v="1"/>
    <n v="1000"/>
    <n v="5004042"/>
    <s v="BRASIL WEB TRANSPORTES E LOGISTICA"/>
    <n v="196.48"/>
    <d v="2025-07-08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606115"/>
    <s v="Polias/Roldanas"/>
    <x v="2"/>
    <n v="15000"/>
    <n v="5004101"/>
    <s v="UNIDOCK'S ASSESSORIA E LOGISTICA DE"/>
    <n v="196.47"/>
    <d v="2025-06-24T00:00:00"/>
  </r>
  <r>
    <n v="254041841"/>
    <n v="64795889"/>
    <s v="REB"/>
    <n v="10072343"/>
    <n v="104"/>
    <s v="PEÇAS-Código trocado(embalag X conteúdo)"/>
    <s v="LOGÍSTICA"/>
    <x v="1"/>
    <n v="66"/>
    <x v="73"/>
    <s v="GO"/>
    <n v="931"/>
    <s v="Ats Off"/>
    <n v="1350"/>
    <s v="W10911713"/>
    <s v="Vidros"/>
    <x v="6"/>
    <n v="1000"/>
    <n v="5002858"/>
    <s v="FAVORITA TRANSPORTES LTDA"/>
    <n v="196.35"/>
    <d v="2025-06-23T00:00:00"/>
  </r>
  <r>
    <n v="254026367"/>
    <n v="64805833"/>
    <s v="ZRDI"/>
    <n v="10065810"/>
    <n v="208"/>
    <s v="DEV-Atraso entrega- LOGISTICA(Transp)"/>
    <s v="TRANSPORTADORA"/>
    <x v="2"/>
    <n v="56619526"/>
    <x v="722"/>
    <s v="BA"/>
    <n v="474"/>
    <s v="Site Brastemp"/>
    <n v="1352"/>
    <s v="W11393065"/>
    <s v="Filtros"/>
    <x v="5"/>
    <n v="1000"/>
    <n v="5002359"/>
    <s v="EMPRESA BRASILEIRA DE CORREIOS E"/>
    <n v="196.26"/>
    <d v="2025-07-04T00:00:00"/>
  </r>
  <r>
    <n v="253970807"/>
    <n v="64748900"/>
    <s v="REB"/>
    <n v="9349199"/>
    <n v="173"/>
    <s v="PEÇAS - Defeito de fabric./Alta Amperage"/>
    <s v="FUNCIONAL"/>
    <x v="1"/>
    <n v="42048"/>
    <x v="11"/>
    <s v="MT"/>
    <n v="644"/>
    <s v="Plus"/>
    <n v="1350"/>
    <s v="W11121356"/>
    <s v="Placas de Controle"/>
    <x v="1"/>
    <n v="1000"/>
    <n v="5002573"/>
    <s v="CARVALIMA TRANSPORTES LTDA"/>
    <n v="196.16"/>
    <d v="2025-04-09T00:00:00"/>
  </r>
  <r>
    <n v="254033342"/>
    <n v="64806875"/>
    <s v="REB"/>
    <n v="10088896"/>
    <n v="167"/>
    <s v="PEÇAS - Avaria - Quebrada/Depósito"/>
    <s v="LOGÍSTICA"/>
    <x v="1"/>
    <n v="28403"/>
    <x v="723"/>
    <s v="RJ"/>
    <n v="934"/>
    <s v="CDP Ouro"/>
    <n v="1350"/>
    <s v="W10431991"/>
    <s v="Gavetas"/>
    <x v="9"/>
    <n v="1000"/>
    <n v="5003176"/>
    <s v="J C THEDIN TRANSPORTES LTDA"/>
    <n v="196.04"/>
    <d v="2025-07-08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0720216"/>
    <s v="Micro Chaves/Reed Switches"/>
    <x v="3"/>
    <n v="1000"/>
    <n v="5004042"/>
    <s v="BRASIL WEB TRANSPORTES E LOGISTICA"/>
    <n v="195.95"/>
    <d v="2025-06-24T00:00:00"/>
  </r>
  <r>
    <n v="254033421"/>
    <n v="64807136"/>
    <s v="REB"/>
    <n v="9686352"/>
    <n v="173"/>
    <s v="PEÇAS - Defeito de fabric./Alta Amperage"/>
    <s v="FUNCIONAL"/>
    <x v="1"/>
    <n v="59717"/>
    <x v="724"/>
    <s v="SC"/>
    <n v="644"/>
    <s v="Plus"/>
    <n v="1350"/>
    <s v="W10640425"/>
    <s v="Placas de Interface"/>
    <x v="1"/>
    <n v="1000"/>
    <n v="5003024"/>
    <s v="RODOBRAS TRANSPORTES RODOVIARIOS LT"/>
    <n v="195.91"/>
    <d v="2025-07-08T00:00:00"/>
  </r>
  <r>
    <n v="254007541"/>
    <n v="64783377"/>
    <s v="REB"/>
    <n v="9996750"/>
    <n v="173"/>
    <s v="PEÇAS - Defeito de fabric./Alta Amperage"/>
    <s v="FUNCIONAL"/>
    <x v="1"/>
    <n v="21330"/>
    <x v="80"/>
    <s v="PR"/>
    <n v="643"/>
    <s v="Elite"/>
    <n v="1350"/>
    <s v="W11299803"/>
    <s v="Mecanismos"/>
    <x v="2"/>
    <n v="2000"/>
    <n v="5003024"/>
    <s v="RODOBRAS TRANSPORTES RODOVIARIOS LT"/>
    <n v="195.9"/>
    <d v="2025-06-02T00:00:00"/>
  </r>
  <r>
    <n v="254041646"/>
    <n v="64796014"/>
    <s v="REB"/>
    <n v="9996750"/>
    <n v="173"/>
    <s v="PEÇAS - Defeito de fabric./Alta Amperage"/>
    <s v="FUNCIONAL"/>
    <x v="0"/>
    <n v="21330"/>
    <x v="80"/>
    <s v="PR"/>
    <n v="643"/>
    <s v="Elite"/>
    <n v="1350"/>
    <s v="W11299803"/>
    <s v="Mecanismos"/>
    <x v="2"/>
    <n v="2000"/>
    <n v="5003024"/>
    <s v="RODOBRAS TRANSPORTES RODOVIARIOS LT"/>
    <n v="195.9"/>
    <d v="2025-06-23T00:00:00"/>
  </r>
  <r>
    <n v="254028681"/>
    <n v="64808433"/>
    <s v="ZRDI"/>
    <n v="10110897"/>
    <s v="D25"/>
    <s v="DEV D2C - Prob na entrega (Não recebi)"/>
    <s v="TRANSPORTADORA"/>
    <x v="2"/>
    <n v="57252256"/>
    <x v="725"/>
    <s v="RS"/>
    <n v="475"/>
    <s v="Site Consul"/>
    <n v="1352"/>
    <s v="W11199342"/>
    <s v="Filtros"/>
    <x v="5"/>
    <n v="2000"/>
    <n v="5002359"/>
    <s v="EMPRESA BRASILEIRA DE CORREIOS E"/>
    <n v="195.54"/>
    <d v="2025-07-10T00:00:00"/>
  </r>
  <r>
    <n v="254012626"/>
    <n v="64789249"/>
    <s v="REB"/>
    <n v="10056062"/>
    <n v="104"/>
    <s v="PEÇAS-Código trocado(embalag X conteúdo)"/>
    <s v="LOGÍSTICA"/>
    <x v="1"/>
    <n v="83304"/>
    <x v="726"/>
    <s v="SP"/>
    <n v="932"/>
    <s v="CDP Prata"/>
    <n v="1350"/>
    <s v="W10212150"/>
    <s v="Gavetas"/>
    <x v="9"/>
    <n v="3000"/>
    <n v="5004042"/>
    <s v="BRASIL WEB TRANSPORTES E LOGISTICA"/>
    <n v="195.47"/>
    <d v="2025-06-10T00:00:00"/>
  </r>
  <r>
    <n v="254031836"/>
    <n v="64796525"/>
    <s v="REB"/>
    <n v="9878051"/>
    <n v="176"/>
    <s v="PEÇAS - Defeito de fabric./Interrompido"/>
    <s v="FUNCIONAL"/>
    <x v="1"/>
    <n v="3506"/>
    <x v="46"/>
    <s v="SP"/>
    <n v="931"/>
    <s v="Ats Off"/>
    <n v="1350"/>
    <s v="W11535548"/>
    <s v="Placas de Controle"/>
    <x v="1"/>
    <n v="1000"/>
    <n v="5004042"/>
    <s v="BRASIL WEB TRANSPORTES E LOGISTICA"/>
    <n v="195.04"/>
    <d v="2025-06-24T00:00:00"/>
  </r>
  <r>
    <n v="254031871"/>
    <n v="64802564"/>
    <s v="REB"/>
    <n v="9878051"/>
    <n v="176"/>
    <s v="PEÇAS - Defeito de fabric./Interrompido"/>
    <s v="FUNCIONAL"/>
    <x v="0"/>
    <n v="3506"/>
    <x v="46"/>
    <s v="SP"/>
    <n v="931"/>
    <s v="Ats Off"/>
    <n v="1350"/>
    <s v="W11535548"/>
    <s v="Placas de Controle"/>
    <x v="1"/>
    <n v="1000"/>
    <n v="5004042"/>
    <s v="BRASIL WEB TRANSPORTES E LOGISTICA"/>
    <n v="195.04"/>
    <d v="2025-07-01T00:00:00"/>
  </r>
  <r>
    <s v="Sem TR"/>
    <n v="64789160"/>
    <s v="REB"/>
    <n v="10058290"/>
    <n v="509"/>
    <s v="Qtd de peças a Menor dentro do Volume"/>
    <s v="LOGÍSTICA"/>
    <x v="1"/>
    <n v="84461"/>
    <x v="415"/>
    <s v="SP"/>
    <n v="350"/>
    <s v="Ats On"/>
    <n v="1350"/>
    <s v="W10635052"/>
    <s v="Manuais do Consumidor"/>
    <x v="11"/>
    <n v="100000"/>
    <n v="5002359"/>
    <s v="EMPRESA BRASILEIRA DE CORREIOS E"/>
    <n v="195"/>
    <d v="2025-06-10T00:00:00"/>
  </r>
  <r>
    <s v="Sem TR"/>
    <n v="64811514"/>
    <s v="ZRDI"/>
    <n v="10103495"/>
    <s v="D31"/>
    <s v="DEV D2C - Defeito estético manufatura"/>
    <s v="MANUFATURA"/>
    <x v="2"/>
    <n v="58011451"/>
    <x v="727"/>
    <s v="BA"/>
    <n v="474"/>
    <s v="Site Brastemp"/>
    <n v="1352"/>
    <s v="W11298039"/>
    <s v="Gavetas"/>
    <x v="9"/>
    <n v="1000"/>
    <n v="5002359"/>
    <s v="EMPRESA BRASILEIRA DE CORREIOS E"/>
    <n v="194.78"/>
    <d v="2025-07-16T00:00:00"/>
  </r>
  <r>
    <s v="Sem TR"/>
    <n v="64811514"/>
    <s v="ZRDI"/>
    <n v="10103495"/>
    <s v="D31"/>
    <s v="DEV D2C - Defeito estético manufatura"/>
    <s v="MANUFATURA"/>
    <x v="2"/>
    <n v="58011451"/>
    <x v="727"/>
    <s v="BA"/>
    <n v="474"/>
    <s v="Site Brastemp"/>
    <n v="1352"/>
    <s v="W11298039"/>
    <s v="Gavetas"/>
    <x v="9"/>
    <n v="1000"/>
    <n v="5002359"/>
    <s v="EMPRESA BRASILEIRA DE CORREIOS E"/>
    <n v="194.78"/>
    <d v="2025-07-16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1132068"/>
    <s v="Painéis de Controle"/>
    <x v="6"/>
    <n v="2000"/>
    <n v="5004101"/>
    <s v="UNIDOCK'S ASSESSORIA E LOGISTICA DE"/>
    <n v="194.67"/>
    <d v="2025-07-16T00:00:00"/>
  </r>
  <r>
    <s v="Sem TR"/>
    <n v="64810374"/>
    <s v="ZRDI"/>
    <n v="10086676"/>
    <s v="D11"/>
    <s v="DEV D2C - Comprou prod dimensão errada"/>
    <s v="COMERCIAL"/>
    <x v="2"/>
    <n v="58089208"/>
    <x v="728"/>
    <s v="SC"/>
    <n v="474"/>
    <s v="Site Brastemp"/>
    <n v="1352"/>
    <s v="W10866790"/>
    <s v="Kits Instalação"/>
    <x v="7"/>
    <n v="1000"/>
    <n v="5002359"/>
    <s v="EMPRESA BRASILEIRA DE CORREIOS E"/>
    <n v="194.66"/>
    <d v="2025-07-14T00:00:00"/>
  </r>
  <r>
    <s v="Sem TR"/>
    <n v="64810374"/>
    <s v="ZRDI"/>
    <n v="10086676"/>
    <s v="D11"/>
    <s v="DEV D2C - Comprou prod dimensão errada"/>
    <s v="COMERCIAL"/>
    <x v="2"/>
    <n v="58089208"/>
    <x v="728"/>
    <s v="SC"/>
    <n v="474"/>
    <s v="Site Brastemp"/>
    <n v="1352"/>
    <s v="W10866790"/>
    <s v="Kits Instalação"/>
    <x v="7"/>
    <n v="1000"/>
    <n v="5002359"/>
    <s v="EMPRESA BRASILEIRA DE CORREIOS E"/>
    <n v="194.66"/>
    <d v="2025-07-14T00:00:00"/>
  </r>
  <r>
    <n v="254041067"/>
    <n v="64818848"/>
    <s v="ZRDI"/>
    <n v="10112509"/>
    <n v="208"/>
    <s v="DEV-Atraso entrega- LOGISTICA(Transp)"/>
    <s v="TRANSPORTADORA"/>
    <x v="1"/>
    <n v="52167643"/>
    <x v="729"/>
    <s v="SC"/>
    <n v="474"/>
    <s v="Site Brastemp"/>
    <n v="1352"/>
    <s v="W10510889"/>
    <s v="Filtros"/>
    <x v="5"/>
    <n v="1000"/>
    <n v="5002359"/>
    <s v="EMPRESA BRASILEIRA DE CORREIOS E"/>
    <n v="194.66"/>
    <d v="2025-07-28T00:00:00"/>
  </r>
  <r>
    <s v="Sem TR"/>
    <n v="64791512"/>
    <s v="ZRDI"/>
    <n v="10073349"/>
    <s v="D20"/>
    <s v="DEV D2C - Demora na entrega"/>
    <s v="COMERCIAL"/>
    <x v="2"/>
    <n v="52735256"/>
    <x v="730"/>
    <s v="MG"/>
    <n v="474"/>
    <s v="Site Brastemp"/>
    <n v="1352"/>
    <s v="W11298039"/>
    <s v="Gavetas"/>
    <x v="9"/>
    <n v="1000"/>
    <n v="5002359"/>
    <s v="EMPRESA BRASILEIRA DE CORREIOS E"/>
    <n v="194.58"/>
    <d v="2025-06-16T00:00:00"/>
  </r>
  <r>
    <s v="Sem TR"/>
    <n v="64791512"/>
    <s v="ZRDI"/>
    <n v="10073349"/>
    <s v="D20"/>
    <s v="DEV D2C - Demora na entrega"/>
    <s v="COMERCIAL"/>
    <x v="2"/>
    <n v="52735256"/>
    <x v="730"/>
    <s v="MG"/>
    <n v="474"/>
    <s v="Site Brastemp"/>
    <n v="1352"/>
    <s v="W11298039"/>
    <s v="Gavetas"/>
    <x v="9"/>
    <n v="1000"/>
    <n v="5002359"/>
    <s v="EMPRESA BRASILEIRA DE CORREIOS E"/>
    <n v="194.58"/>
    <d v="2025-06-16T00:00:00"/>
  </r>
  <r>
    <n v="254035313"/>
    <n v="64812374"/>
    <s v="REB"/>
    <n v="10089541"/>
    <n v="176"/>
    <s v="PEÇAS - Defeito de fabric./Interrompido"/>
    <s v="FUNCIONAL"/>
    <x v="2"/>
    <n v="66"/>
    <x v="73"/>
    <s v="GO"/>
    <n v="931"/>
    <s v="Ats Off"/>
    <n v="1350"/>
    <s v="W10160035"/>
    <s v="Magnetrons"/>
    <x v="1"/>
    <n v="1000"/>
    <n v="5002858"/>
    <s v="FAVORITA TRANSPORTES LTDA"/>
    <n v="194.29"/>
    <d v="2025-07-17T00:00:00"/>
  </r>
  <r>
    <n v="254012590"/>
    <n v="64786598"/>
    <s v="REB"/>
    <n v="9742824"/>
    <n v="173"/>
    <s v="PEÇAS - Defeito de fabric./Alta Amperage"/>
    <s v="FUNCIONAL"/>
    <x v="1"/>
    <n v="67948"/>
    <x v="15"/>
    <s v="SC"/>
    <n v="713"/>
    <s v="Key Account"/>
    <n v="1350"/>
    <s v="W10800267"/>
    <s v="Placas de Interface"/>
    <x v="1"/>
    <n v="1000"/>
    <n v="5003024"/>
    <s v="RODOBRAS TRANSPORTES RODOVIARIOS LT"/>
    <n v="194.18"/>
    <d v="2025-06-10T00:00:00"/>
  </r>
  <r>
    <n v="254012500"/>
    <n v="64788754"/>
    <s v="REB"/>
    <n v="10046206"/>
    <n v="167"/>
    <s v="PEÇAS - Avaria - Quebrada/Depósito"/>
    <s v="LOGÍSTICA"/>
    <x v="2"/>
    <n v="28707"/>
    <x v="209"/>
    <s v="SP"/>
    <n v="648"/>
    <s v="Ultra"/>
    <n v="1350"/>
    <s v="W10616737"/>
    <s v="Gavetas"/>
    <x v="9"/>
    <n v="1000"/>
    <n v="5004042"/>
    <s v="BRASIL WEB TRANSPORTES E LOGISTICA"/>
    <n v="194.16"/>
    <d v="2025-06-09T00:00:00"/>
  </r>
  <r>
    <s v="Sem TR"/>
    <n v="64794461"/>
    <s v="REB"/>
    <n v="10044906"/>
    <n v="411"/>
    <s v="DEV-Extravio de PEÇAS (Transportadora)"/>
    <s v="TRANSPORTADORA"/>
    <x v="0"/>
    <n v="8192"/>
    <x v="118"/>
    <s v="PR"/>
    <n v="933"/>
    <s v="Top"/>
    <n v="1350"/>
    <s v="W11300681"/>
    <s v="Mecanismos"/>
    <x v="2"/>
    <n v="1000"/>
    <n v="5003024"/>
    <s v="RODOBRAS TRANSPORTES RODOVIARIOS LT"/>
    <n v="194.15"/>
    <d v="2025-06-18T00:00:00"/>
  </r>
  <r>
    <n v="254018206"/>
    <n v="64792299"/>
    <s v="REB"/>
    <n v="10044906"/>
    <n v="90"/>
    <s v="CLIENTE-não solicitou"/>
    <s v="COMERCIAL"/>
    <x v="2"/>
    <n v="8192"/>
    <x v="118"/>
    <s v="PR"/>
    <n v="933"/>
    <s v="Top"/>
    <n v="1350"/>
    <s v="W11300681"/>
    <s v="Mecanismos"/>
    <x v="2"/>
    <n v="1000"/>
    <n v="5003024"/>
    <s v="RODOBRAS TRANSPORTES RODOVIARIOS LT"/>
    <n v="194.15"/>
    <d v="2025-06-16T00:00:00"/>
  </r>
  <r>
    <n v="254021285"/>
    <n v="64798931"/>
    <s v="ZRDI"/>
    <n v="10086653"/>
    <n v="208"/>
    <s v="DEV-Atraso entrega- LOGISTICA(Transp)"/>
    <s v="TRANSPORTADORA"/>
    <x v="2"/>
    <n v="58088644"/>
    <x v="731"/>
    <s v="RJ"/>
    <n v="474"/>
    <s v="Site Brastemp"/>
    <n v="1352"/>
    <s v="W10866790"/>
    <s v="Kits Instalação"/>
    <x v="7"/>
    <n v="1000"/>
    <n v="5002359"/>
    <s v="EMPRESA BRASILEIRA DE CORREIOS E"/>
    <n v="194.06"/>
    <d v="2025-06-26T00:00:00"/>
  </r>
  <r>
    <n v="253988782"/>
    <n v="64764315"/>
    <s v="REB"/>
    <n v="9971536"/>
    <n v="176"/>
    <s v="PEÇAS - Defeito de fabric./Interrompido"/>
    <s v="FUNCIONAL"/>
    <x v="2"/>
    <n v="3506"/>
    <x v="46"/>
    <s v="SP"/>
    <n v="931"/>
    <s v="Ats Off"/>
    <n v="1350"/>
    <n v="326072657"/>
    <s v="Peças Transmissão/Embreagens"/>
    <x v="2"/>
    <n v="2000"/>
    <n v="5004042"/>
    <s v="BRASIL WEB TRANSPORTES E LOGISTICA"/>
    <n v="193.86"/>
    <d v="2025-05-05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737624"/>
    <s v="Pressostatos"/>
    <x v="3"/>
    <n v="5000"/>
    <n v="5004101"/>
    <s v="UNIDOCK'S ASSESSORIA E LOGISTICA DE"/>
    <n v="193.85"/>
    <d v="2025-06-24T00:00:00"/>
  </r>
  <r>
    <s v="Sem TR"/>
    <n v="64817564"/>
    <s v="REB"/>
    <n v="9951134"/>
    <n v="173"/>
    <s v="PEÇAS - Defeito de fabric./Alta Amperage"/>
    <s v="FUNCIONAL"/>
    <x v="1"/>
    <n v="4167"/>
    <x v="63"/>
    <s v="SP"/>
    <n v="931"/>
    <s v="Ats Off"/>
    <n v="1350"/>
    <s v="W10733149"/>
    <s v="Manípulos"/>
    <x v="6"/>
    <n v="6000"/>
    <n v="5004042"/>
    <s v="BRASIL WEB TRANSPORTES E LOGISTICA"/>
    <n v="193.72"/>
    <d v="2025-07-25T00:00:00"/>
  </r>
  <r>
    <s v="Sem TR"/>
    <n v="64809339"/>
    <s v="ZRDI"/>
    <n v="10103150"/>
    <s v="D11"/>
    <s v="DEV D2C - Comprou prod dimensão errada"/>
    <s v="COMERCIAL"/>
    <x v="2"/>
    <n v="58112905"/>
    <x v="732"/>
    <s v="GO"/>
    <n v="474"/>
    <s v="Site Brastemp"/>
    <n v="1352"/>
    <s v="W11298039"/>
    <s v="Gavetas"/>
    <x v="9"/>
    <n v="1000"/>
    <n v="5002359"/>
    <s v="EMPRESA BRASILEIRA DE CORREIOS E"/>
    <n v="193.69"/>
    <d v="2025-07-11T00:00:00"/>
  </r>
  <r>
    <n v="254032509"/>
    <n v="64811473"/>
    <s v="ZRDI"/>
    <n v="10084498"/>
    <n v="208"/>
    <s v="DEV-Atraso entrega- LOGISTICA(Transp)"/>
    <s v="TRANSPORTADORA"/>
    <x v="2"/>
    <n v="52885607"/>
    <x v="733"/>
    <s v="GO"/>
    <n v="474"/>
    <s v="Site Brastemp"/>
    <n v="1352"/>
    <s v="W11298039"/>
    <s v="Gavetas"/>
    <x v="9"/>
    <n v="1000"/>
    <n v="5002359"/>
    <s v="EMPRESA BRASILEIRA DE CORREIOS E"/>
    <n v="193.69"/>
    <d v="2025-07-16T00:00:00"/>
  </r>
  <r>
    <s v="Sem TR"/>
    <n v="64809339"/>
    <s v="ZRDI"/>
    <n v="10103150"/>
    <s v="D11"/>
    <s v="DEV D2C - Comprou prod dimensão errada"/>
    <s v="COMERCIAL"/>
    <x v="2"/>
    <n v="58112905"/>
    <x v="732"/>
    <s v="GO"/>
    <n v="474"/>
    <s v="Site Brastemp"/>
    <n v="1352"/>
    <s v="W11298039"/>
    <s v="Gavetas"/>
    <x v="9"/>
    <n v="1000"/>
    <n v="5002359"/>
    <s v="EMPRESA BRASILEIRA DE CORREIOS E"/>
    <n v="193.69"/>
    <d v="2025-07-11T00:00:00"/>
  </r>
  <r>
    <n v="254033443"/>
    <n v="64807134"/>
    <s v="REB"/>
    <n v="10097142"/>
    <n v="167"/>
    <s v="PEÇAS - Avaria - Quebrada/Depósito"/>
    <s v="LOGÍSTICA"/>
    <x v="1"/>
    <n v="71476"/>
    <x v="265"/>
    <s v="RJ"/>
    <n v="934"/>
    <s v="CDP Ouro"/>
    <n v="1350"/>
    <s v="W10347201"/>
    <s v="Prateleiras"/>
    <x v="9"/>
    <n v="2000"/>
    <n v="5003176"/>
    <s v="J C THEDIN TRANSPORTES LTDA"/>
    <n v="193.62"/>
    <d v="2025-07-08T00:00:00"/>
  </r>
  <r>
    <n v="254003870"/>
    <n v="64777896"/>
    <s v="REB"/>
    <n v="9916729"/>
    <n v="177"/>
    <s v="PEÇAS - Defeito de fabric./Ruído"/>
    <s v="FUNCIONAL"/>
    <x v="1"/>
    <n v="10164"/>
    <x v="183"/>
    <s v="PB"/>
    <n v="931"/>
    <s v="Ats Off"/>
    <n v="1350"/>
    <s v="W11300681"/>
    <s v="Mecanismos"/>
    <x v="2"/>
    <n v="1000"/>
    <n v="5004101"/>
    <s v="UNIDOCK'S ASSESSORIA E LOGISTICA DE"/>
    <n v="193.6"/>
    <d v="2025-05-26T00:00:00"/>
  </r>
  <r>
    <n v="254021826"/>
    <n v="64799466"/>
    <s v="ROB"/>
    <n v="10095696"/>
    <n v="170"/>
    <s v="PEÇAS - Avaria - Riscada/Depósito"/>
    <s v="LOGÍSTICA"/>
    <x v="1"/>
    <n v="56709"/>
    <x v="734"/>
    <s v="SP"/>
    <n v="934"/>
    <s v="CDP Ouro"/>
    <n v="1350"/>
    <s v="W10733396"/>
    <s v="Tampas Móveis"/>
    <x v="6"/>
    <n v="1000"/>
    <n v="5000253"/>
    <s v="TRANSPORTADOR GENERICO"/>
    <n v="193.31"/>
    <d v="2025-06-27T00:00:00"/>
  </r>
  <r>
    <n v="253995096"/>
    <n v="64772596"/>
    <s v="REB"/>
    <n v="9836207"/>
    <n v="173"/>
    <s v="PEÇAS - Defeito de fabric./Alta Amperage"/>
    <s v="FUNCIONAL"/>
    <x v="2"/>
    <n v="21295"/>
    <x v="2"/>
    <s v="SP"/>
    <n v="648"/>
    <s v="Ultra"/>
    <n v="1350"/>
    <s v="W11299803"/>
    <s v="Mecanismos"/>
    <x v="2"/>
    <n v="2000"/>
    <n v="5004042"/>
    <s v="BRASIL WEB TRANSPORTES E LOGISTICA"/>
    <n v="192.92"/>
    <d v="2025-05-16T00:00:00"/>
  </r>
  <r>
    <n v="254028841"/>
    <n v="64789088"/>
    <s v="REB"/>
    <n v="10090177"/>
    <n v="173"/>
    <s v="PEÇAS - Defeito de fabric./Alta Amperage"/>
    <s v="FUNCIONAL"/>
    <x v="1"/>
    <n v="67948"/>
    <x v="15"/>
    <s v="SC"/>
    <n v="713"/>
    <s v="Key Account"/>
    <n v="1350"/>
    <s v="W11415305"/>
    <s v="Placas de Controle"/>
    <x v="1"/>
    <n v="1000"/>
    <n v="5003024"/>
    <s v="RODOBRAS TRANSPORTES RODOVIARIOS LT"/>
    <n v="192.82"/>
    <d v="2025-07-01T00:00:00"/>
  </r>
  <r>
    <n v="253886232"/>
    <n v="64655235"/>
    <s v="REB"/>
    <n v="9689890"/>
    <n v="671"/>
    <s v="DEV-ENVIADO PARA GESTÃO DE CONSEQUENCIA"/>
    <s v="TRANSPORTADORA"/>
    <x v="1"/>
    <n v="13747"/>
    <x v="14"/>
    <s v="RS"/>
    <n v="713"/>
    <s v="Key Account"/>
    <n v="1350"/>
    <s v="W10678919"/>
    <s v="Placas de Controle"/>
    <x v="1"/>
    <n v="3000"/>
    <n v="5003024"/>
    <s v="RODOBRAS TRANSPORTES RODOVIARIOS LT"/>
    <n v="192.78"/>
    <d v="2024-11-29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123830"/>
    <s v="Placas de Controle"/>
    <x v="1"/>
    <n v="2000"/>
    <n v="5002858"/>
    <s v="FAVORITA TRANSPORTES LTDA"/>
    <n v="192.74"/>
    <d v="2025-07-15T00:00:00"/>
  </r>
  <r>
    <n v="254018181"/>
    <n v="64767628"/>
    <s v="REB"/>
    <n v="9860467"/>
    <n v="176"/>
    <s v="PEÇAS - Defeito de fabric./Interrompido"/>
    <s v="FUNCIONAL"/>
    <x v="1"/>
    <n v="3506"/>
    <x v="46"/>
    <s v="SP"/>
    <n v="931"/>
    <s v="Ats Off"/>
    <n v="1350"/>
    <s v="W11535548"/>
    <s v="Placas de Controle"/>
    <x v="1"/>
    <n v="1000"/>
    <n v="5004042"/>
    <s v="BRASIL WEB TRANSPORTES E LOGISTICA"/>
    <n v="192.72"/>
    <d v="2025-06-17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1508048"/>
    <s v="Placas de Interface"/>
    <x v="1"/>
    <n v="2000"/>
    <n v="5004042"/>
    <s v="BRASIL WEB TRANSPORTES E LOGISTICA"/>
    <n v="192.62"/>
    <d v="2025-05-26T00:00:00"/>
  </r>
  <r>
    <n v="254012539"/>
    <n v="64780421"/>
    <s v="REB"/>
    <n v="10048026"/>
    <n v="170"/>
    <s v="PEÇAS - Avaria - Riscada/Depósito"/>
    <s v="LOGÍSTICA"/>
    <x v="1"/>
    <n v="54465"/>
    <x v="207"/>
    <s v="SP"/>
    <n v="644"/>
    <s v="Plus"/>
    <n v="1350"/>
    <s v="W10287534"/>
    <s v="Prateleiras"/>
    <x v="9"/>
    <n v="5000"/>
    <n v="5004042"/>
    <s v="BRASIL WEB TRANSPORTES E LOGISTICA"/>
    <n v="192.53"/>
    <d v="2025-06-10T00:00:00"/>
  </r>
  <r>
    <n v="254016289"/>
    <n v="64794462"/>
    <s v="ROB"/>
    <n v="10038955"/>
    <n v="182"/>
    <s v="PEÇAS - Extravio - Volume a menor"/>
    <s v="TRANSPORTADORA"/>
    <x v="1"/>
    <n v="4523"/>
    <x v="261"/>
    <s v="SC"/>
    <n v="350"/>
    <s v="Ats On"/>
    <n v="1350"/>
    <s v="W11036296"/>
    <s v="Calhas/Canaletas"/>
    <x v="9"/>
    <n v="10000"/>
    <n v="5003024"/>
    <s v="RODOBRAS TRANSPORTES RODOVIARIOS LT"/>
    <n v="192.5"/>
    <d v="2025-06-18T00:00:00"/>
  </r>
  <r>
    <n v="253886279"/>
    <n v="64653203"/>
    <s v="REB"/>
    <n v="9689327"/>
    <n v="90"/>
    <s v="CLIENTE-não solicitou"/>
    <s v="COMERCIAL"/>
    <x v="2"/>
    <n v="56043"/>
    <x v="48"/>
    <s v="PR"/>
    <n v="963"/>
    <s v="Ats Distribuidoras"/>
    <n v="1350"/>
    <s v="W11045219"/>
    <s v="Motores Ventiladores"/>
    <x v="1"/>
    <n v="5000"/>
    <n v="5003024"/>
    <s v="RODOBRAS TRANSPORTES RODOVIARIOS LT"/>
    <n v="192.3"/>
    <d v="2024-11-29T00:00:00"/>
  </r>
  <r>
    <n v="254031854"/>
    <n v="64796909"/>
    <s v="REB"/>
    <n v="10077247"/>
    <n v="176"/>
    <s v="PEÇAS - Defeito de fabric./Interrompido"/>
    <s v="FUNCIONAL"/>
    <x v="1"/>
    <n v="3506"/>
    <x v="46"/>
    <s v="SP"/>
    <n v="931"/>
    <s v="Ats Off"/>
    <n v="1350"/>
    <s v="W10833456"/>
    <s v="Resistências"/>
    <x v="1"/>
    <n v="1000"/>
    <n v="5004042"/>
    <s v="BRASIL WEB TRANSPORTES E LOGISTICA"/>
    <n v="192.27"/>
    <d v="2025-06-24T00:00:00"/>
  </r>
  <r>
    <n v="254038151"/>
    <n v="64816116"/>
    <s v="ZRDI"/>
    <n v="10079371"/>
    <n v="208"/>
    <s v="DEV-Atraso entrega- LOGISTICA(Transp)"/>
    <s v="TRANSPORTADORA"/>
    <x v="2"/>
    <n v="4955452"/>
    <x v="735"/>
    <s v="PR"/>
    <n v="474"/>
    <s v="Site Brastemp"/>
    <n v="1352"/>
    <s v="W11298039"/>
    <s v="Gavetas"/>
    <x v="9"/>
    <n v="1000"/>
    <n v="5002359"/>
    <s v="EMPRESA BRASILEIRA DE CORREIOS E"/>
    <n v="192.21"/>
    <d v="2025-07-23T00:00:00"/>
  </r>
  <r>
    <n v="254038151"/>
    <n v="64816116"/>
    <s v="ZRDI"/>
    <n v="10079371"/>
    <n v="208"/>
    <s v="DEV-Atraso entrega- LOGISTICA(Transp)"/>
    <s v="TRANSPORTADORA"/>
    <x v="2"/>
    <n v="4955452"/>
    <x v="735"/>
    <s v="PR"/>
    <n v="474"/>
    <s v="Site Brastemp"/>
    <n v="1352"/>
    <s v="W11298039"/>
    <s v="Gavetas"/>
    <x v="9"/>
    <n v="1000"/>
    <n v="5002359"/>
    <s v="EMPRESA BRASILEIRA DE CORREIOS E"/>
    <n v="192.21"/>
    <d v="2025-07-23T00:00:00"/>
  </r>
  <r>
    <n v="253952489"/>
    <n v="64725511"/>
    <s v="REB"/>
    <n v="9720058"/>
    <n v="173"/>
    <s v="PEÇAS - Defeito de fabric./Alta Amperage"/>
    <s v="FUNCIONAL"/>
    <x v="2"/>
    <n v="75812"/>
    <x v="102"/>
    <s v="SP"/>
    <n v="931"/>
    <s v="Ats Off"/>
    <n v="1350"/>
    <s v="W11300695"/>
    <s v="Mecanismos"/>
    <x v="2"/>
    <n v="1000"/>
    <n v="5004042"/>
    <s v="BRASIL WEB TRANSPORTES E LOGISTICA"/>
    <n v="191.91"/>
    <d v="2025-03-08T00:00:00"/>
  </r>
  <r>
    <n v="254021284"/>
    <n v="64798930"/>
    <s v="ZRDI"/>
    <n v="10086200"/>
    <n v="208"/>
    <s v="DEV-Atraso entrega- LOGISTICA(Transp)"/>
    <s v="TRANSPORTADORA"/>
    <x v="2"/>
    <n v="58088617"/>
    <x v="736"/>
    <s v="SP"/>
    <n v="474"/>
    <s v="Site Brastemp"/>
    <n v="1352"/>
    <s v="W10803356"/>
    <s v="Filtros"/>
    <x v="5"/>
    <n v="1000"/>
    <n v="5002359"/>
    <s v="EMPRESA BRASILEIRA DE CORREIOS E"/>
    <n v="191.8"/>
    <d v="2025-06-26T00:00:00"/>
  </r>
  <r>
    <n v="254040396"/>
    <n v="64818300"/>
    <s v="ZRDI"/>
    <n v="10093070"/>
    <n v="208"/>
    <s v="DEV-Atraso entrega- LOGISTICA(Transp)"/>
    <s v="TRANSPORTADORA"/>
    <x v="2"/>
    <n v="58095183"/>
    <x v="737"/>
    <s v="SP"/>
    <n v="474"/>
    <s v="Site Brastemp"/>
    <n v="1352"/>
    <s v="W10803356"/>
    <s v="Filtros"/>
    <x v="5"/>
    <n v="1000"/>
    <n v="5002359"/>
    <s v="EMPRESA BRASILEIRA DE CORREIOS E"/>
    <n v="191.8"/>
    <d v="2025-07-26T00:00:00"/>
  </r>
  <r>
    <n v="254040396"/>
    <n v="64818300"/>
    <s v="ZRDI"/>
    <n v="10093070"/>
    <n v="208"/>
    <s v="DEV-Atraso entrega- LOGISTICA(Transp)"/>
    <s v="TRANSPORTADORA"/>
    <x v="2"/>
    <n v="58095183"/>
    <x v="737"/>
    <s v="SP"/>
    <n v="474"/>
    <s v="Site Brastemp"/>
    <n v="1352"/>
    <s v="W10803356"/>
    <s v="Filtros"/>
    <x v="5"/>
    <n v="1000"/>
    <n v="5002359"/>
    <s v="EMPRESA BRASILEIRA DE CORREIOS E"/>
    <n v="191.8"/>
    <d v="2025-07-26T00:00:00"/>
  </r>
  <r>
    <n v="254004043"/>
    <n v="64776641"/>
    <s v="REB"/>
    <n v="10018016"/>
    <n v="168"/>
    <s v="PEÇAS-Def.Fabric.Empenamento/Abaulamento"/>
    <s v="FUNCIONAL"/>
    <x v="2"/>
    <n v="67948"/>
    <x v="15"/>
    <s v="SC"/>
    <n v="713"/>
    <s v="Key Account"/>
    <n v="1350"/>
    <s v="W10882241"/>
    <s v="Agitadores"/>
    <x v="2"/>
    <n v="6000"/>
    <n v="5003024"/>
    <s v="RODOBRAS TRANSPORTES RODOVIARIOS LT"/>
    <n v="191.54"/>
    <d v="2025-05-26T00:00:00"/>
  </r>
  <r>
    <s v="Sem TR"/>
    <n v="64778643"/>
    <s v="ZRDI"/>
    <n v="10097762"/>
    <s v="D31"/>
    <s v="DEV D2C - Defeito estético manufatura"/>
    <s v="MANUFATURA"/>
    <x v="2"/>
    <n v="5807193"/>
    <x v="634"/>
    <s v="SC"/>
    <n v="474"/>
    <s v="Site Brastemp"/>
    <n v="1352"/>
    <s v="W11298039"/>
    <s v="Gavetas"/>
    <x v="9"/>
    <n v="1000"/>
    <n v="5002359"/>
    <s v="EMPRESA BRASILEIRA DE CORREIOS E"/>
    <n v="191.42"/>
    <d v="2025-06-30T00:00:00"/>
  </r>
  <r>
    <n v="254033936"/>
    <n v="64812464"/>
    <s v="ZRDI"/>
    <n v="10089035"/>
    <n v="208"/>
    <s v="DEV-Atraso entrega- LOGISTICA(Transp)"/>
    <s v="TRANSPORTADORA"/>
    <x v="2"/>
    <n v="58092121"/>
    <x v="635"/>
    <s v="SC"/>
    <n v="474"/>
    <s v="Site Brastemp"/>
    <n v="1352"/>
    <s v="W11298039"/>
    <s v="Gavetas"/>
    <x v="9"/>
    <n v="1000"/>
    <n v="5002359"/>
    <s v="EMPRESA BRASILEIRA DE CORREIOS E"/>
    <n v="191.42"/>
    <d v="2025-07-17T00:00:00"/>
  </r>
  <r>
    <n v="254027270"/>
    <n v="64795701"/>
    <s v="ZRDI"/>
    <n v="10078040"/>
    <s v="D25"/>
    <s v="DEV D2C - Prob na entrega (Não recebi)"/>
    <s v="TRANSPORTADORA"/>
    <x v="2"/>
    <n v="58073152"/>
    <x v="738"/>
    <s v="RJ"/>
    <n v="474"/>
    <s v="Site Brastemp"/>
    <n v="1352"/>
    <s v="W11298039"/>
    <s v="Gavetas"/>
    <x v="9"/>
    <n v="1000"/>
    <n v="5003972"/>
    <s v="ICARO EXPRESS LOGISTICA LTDA"/>
    <n v="191.12"/>
    <d v="2025-07-07T00:00:00"/>
  </r>
  <r>
    <s v="Sem TR"/>
    <n v="64806933"/>
    <s v="ZRDI"/>
    <n v="10120259"/>
    <s v="D35"/>
    <s v="DEV D2C - Prod difere do comprado"/>
    <s v="COMERCIAL"/>
    <x v="2"/>
    <n v="56832371"/>
    <x v="739"/>
    <s v="RJ"/>
    <n v="474"/>
    <s v="Site Brastemp"/>
    <n v="1352"/>
    <s v="W11298039"/>
    <s v="Gavetas"/>
    <x v="9"/>
    <n v="1000"/>
    <n v="5002359"/>
    <s v="EMPRESA BRASILEIRA DE CORREIOS E"/>
    <n v="191.12"/>
    <d v="2025-07-16T00:00:00"/>
  </r>
  <r>
    <n v="254033281"/>
    <n v="64807560"/>
    <s v="REB"/>
    <n v="10006871"/>
    <n v="176"/>
    <s v="PEÇAS - Defeito de fabric./Interrompido"/>
    <s v="FUNCIONAL"/>
    <x v="0"/>
    <n v="13757"/>
    <x v="14"/>
    <s v="SP"/>
    <n v="713"/>
    <s v="Key Account"/>
    <n v="1350"/>
    <s v="W10709306"/>
    <s v="Placas de Controle"/>
    <x v="1"/>
    <n v="1000"/>
    <n v="5004042"/>
    <s v="BRASIL WEB TRANSPORTES E LOGISTICA"/>
    <n v="191.05"/>
    <d v="2025-07-08T00:00:00"/>
  </r>
  <r>
    <n v="254040385"/>
    <n v="64818289"/>
    <s v="ZRDI"/>
    <n v="10065784"/>
    <n v="208"/>
    <s v="DEV-Atraso entrega- LOGISTICA(Transp)"/>
    <s v="TRANSPORTADORA"/>
    <x v="2"/>
    <n v="53063879"/>
    <x v="740"/>
    <s v="PE"/>
    <n v="466"/>
    <s v="Sup ML Marketplace"/>
    <n v="1352"/>
    <s v="W10301562"/>
    <s v="Filtros"/>
    <x v="5"/>
    <n v="2000"/>
    <n v="5002359"/>
    <s v="EMPRESA BRASILEIRA DE CORREIOS E"/>
    <n v="190.44"/>
    <d v="2025-07-26T00:00:00"/>
  </r>
  <r>
    <n v="254040385"/>
    <n v="64818289"/>
    <s v="ZRDI"/>
    <n v="10065784"/>
    <n v="208"/>
    <s v="DEV-Atraso entrega- LOGISTICA(Transp)"/>
    <s v="TRANSPORTADORA"/>
    <x v="2"/>
    <n v="53063879"/>
    <x v="740"/>
    <s v="PE"/>
    <n v="466"/>
    <s v="Sup ML Marketplace"/>
    <n v="1352"/>
    <s v="W10301562"/>
    <s v="Filtros"/>
    <x v="5"/>
    <n v="2000"/>
    <n v="5002359"/>
    <s v="EMPRESA BRASILEIRA DE CORREIOS E"/>
    <n v="190.44"/>
    <d v="2025-07-26T00:00:00"/>
  </r>
  <r>
    <n v="254039445"/>
    <n v="64817405"/>
    <s v="ROB"/>
    <n v="10147239"/>
    <n v="220"/>
    <s v="DEV-Avaria 1 trecho transp - Produto"/>
    <s v="QUALIDADE"/>
    <x v="0"/>
    <n v="5036"/>
    <x v="421"/>
    <s v="RS"/>
    <n v="350"/>
    <s v="Ats On"/>
    <n v="1350"/>
    <s v="W10810913"/>
    <s v="Mesas Cocção"/>
    <x v="6"/>
    <n v="1000"/>
    <n v="5003024"/>
    <s v="RODOBRAS TRANSPORTES RODOVIARIOS LT"/>
    <n v="190.37"/>
    <d v="2025-07-25T00:00:00"/>
  </r>
  <r>
    <s v="Sem TR"/>
    <n v="64800417"/>
    <s v="ZRDI"/>
    <n v="10047397"/>
    <n v="25"/>
    <s v="OC. 80 - EXTRAVIO TOTAL"/>
    <s v="TRANSPORTADORA"/>
    <x v="2"/>
    <n v="56016956"/>
    <x v="741"/>
    <s v="MG"/>
    <n v="466"/>
    <s v="Sup ML Marketplace"/>
    <n v="1352"/>
    <s v="W10301562"/>
    <s v="Filtros"/>
    <x v="5"/>
    <n v="2000"/>
    <n v="5002359"/>
    <s v="EMPRESA BRASILEIRA DE CORREIOS E"/>
    <n v="190.3"/>
    <d v="2025-06-30T00:00:00"/>
  </r>
  <r>
    <s v="Sem TR"/>
    <n v="64800417"/>
    <s v="ZRDI"/>
    <n v="10047397"/>
    <n v="25"/>
    <s v="OC. 80 - EXTRAVIO TOTAL"/>
    <s v="TRANSPORTADORA"/>
    <x v="2"/>
    <n v="56016956"/>
    <x v="741"/>
    <s v="MG"/>
    <n v="466"/>
    <s v="Sup ML Marketplace"/>
    <n v="1352"/>
    <s v="W10301562"/>
    <s v="Filtros"/>
    <x v="5"/>
    <n v="2000"/>
    <n v="5002359"/>
    <s v="EMPRESA BRASILEIRA DE CORREIOS E"/>
    <n v="190.3"/>
    <d v="2025-06-30T00:00:00"/>
  </r>
  <r>
    <n v="254033253"/>
    <n v="64803097"/>
    <s v="REB"/>
    <n v="10076403"/>
    <n v="173"/>
    <s v="PEÇAS - Defeito de fabric./Alta Amperage"/>
    <s v="FUNCIONAL"/>
    <x v="0"/>
    <n v="1255"/>
    <x v="254"/>
    <s v="CE"/>
    <n v="931"/>
    <s v="Ats Off"/>
    <n v="1350"/>
    <s v="W11366400"/>
    <s v="Placas de Controle"/>
    <x v="1"/>
    <n v="1000"/>
    <n v="5004101"/>
    <s v="UNIDOCK'S ASSESSORIA E LOGISTICA DE"/>
    <n v="190.24"/>
    <d v="2025-07-08T00:00:00"/>
  </r>
  <r>
    <n v="254032520"/>
    <n v="64811484"/>
    <s v="ZRDI"/>
    <n v="10095293"/>
    <n v="208"/>
    <s v="DEV-Atraso entrega- LOGISTICA(Transp)"/>
    <s v="TRANSPORTADORA"/>
    <x v="2"/>
    <n v="50161026"/>
    <x v="742"/>
    <s v="RJ"/>
    <n v="474"/>
    <s v="Site Brastemp"/>
    <n v="1352"/>
    <s v="W10287527"/>
    <s v="Prateleiras"/>
    <x v="9"/>
    <n v="1000"/>
    <n v="5002359"/>
    <s v="EMPRESA BRASILEIRA DE CORREIOS E"/>
    <n v="190.23"/>
    <d v="2025-07-16T00:00:00"/>
  </r>
  <r>
    <n v="254012442"/>
    <n v="64776458"/>
    <s v="REB"/>
    <n v="10069894"/>
    <n v="173"/>
    <s v="PEÇAS - Defeito de fabric./Alta Amperage"/>
    <s v="FUNCIONAL"/>
    <x v="2"/>
    <n v="3652"/>
    <x v="51"/>
    <s v="SP"/>
    <n v="350"/>
    <s v="Ats On"/>
    <n v="1350"/>
    <s v="W11045281"/>
    <s v="Placas de Controle"/>
    <x v="1"/>
    <n v="1000"/>
    <n v="5004042"/>
    <s v="BRASIL WEB TRANSPORTES E LOGISTICA"/>
    <n v="190.17"/>
    <d v="2025-06-10T00:00:00"/>
  </r>
  <r>
    <s v="Sem TR"/>
    <n v="64816630"/>
    <s v="ZRDI"/>
    <n v="10089111"/>
    <s v="D25"/>
    <s v="DEV D2C - Prob na entrega (Não recebi)"/>
    <s v="TRANSPORTADORA"/>
    <x v="2"/>
    <n v="51417737"/>
    <x v="743"/>
    <s v="SP"/>
    <n v="474"/>
    <s v="Site Brastemp"/>
    <n v="1352"/>
    <s v="W10341872"/>
    <s v="Molduras"/>
    <x v="6"/>
    <n v="1000"/>
    <n v="5003972"/>
    <s v="ICARO EXPRESS LOGISTICA LTDA"/>
    <n v="190.14"/>
    <d v="2025-07-24T00:00:00"/>
  </r>
  <r>
    <s v="Sem TR"/>
    <n v="64816630"/>
    <s v="ZRDI"/>
    <n v="10089111"/>
    <s v="D25"/>
    <s v="DEV D2C - Prob na entrega (Não recebi)"/>
    <s v="TRANSPORTADORA"/>
    <x v="2"/>
    <n v="51417737"/>
    <x v="743"/>
    <s v="SP"/>
    <n v="474"/>
    <s v="Site Brastemp"/>
    <n v="1352"/>
    <s v="W10341872"/>
    <s v="Molduras"/>
    <x v="6"/>
    <n v="1000"/>
    <n v="5003972"/>
    <s v="ICARO EXPRESS LOGISTICA LTDA"/>
    <n v="190.14"/>
    <d v="2025-07-24T00:00:00"/>
  </r>
  <r>
    <n v="254039282"/>
    <n v="64817221"/>
    <s v="ZRDI"/>
    <n v="10133734"/>
    <n v="208"/>
    <s v="DEV-Atraso entrega- LOGISTICA(Transp)"/>
    <s v="TRANSPORTADORA"/>
    <x v="2"/>
    <n v="58153809"/>
    <x v="744"/>
    <s v="MA"/>
    <n v="466"/>
    <s v="Sup ML Marketplace"/>
    <n v="1352"/>
    <s v="W10287547"/>
    <s v="Gavetas"/>
    <x v="9"/>
    <n v="1000"/>
    <n v="5002359"/>
    <s v="EMPRESA BRASILEIRA DE CORREIOS E"/>
    <n v="190.11"/>
    <d v="2025-07-24T00:00:00"/>
  </r>
  <r>
    <n v="254039282"/>
    <n v="64817221"/>
    <s v="ZRDI"/>
    <n v="10133734"/>
    <n v="208"/>
    <s v="DEV-Atraso entrega- LOGISTICA(Transp)"/>
    <s v="TRANSPORTADORA"/>
    <x v="2"/>
    <n v="58153809"/>
    <x v="744"/>
    <s v="MA"/>
    <n v="466"/>
    <s v="Sup ML Marketplace"/>
    <n v="1352"/>
    <s v="W10287547"/>
    <s v="Gavetas"/>
    <x v="9"/>
    <n v="1000"/>
    <n v="5002359"/>
    <s v="EMPRESA BRASILEIRA DE CORREIOS E"/>
    <n v="190.11"/>
    <d v="2025-07-24T00:00:00"/>
  </r>
  <r>
    <s v="Sem TR"/>
    <n v="64806124"/>
    <s v="ZRDI"/>
    <n v="10100724"/>
    <s v="D31"/>
    <s v="DEV D2C - Defeito estético manufatura"/>
    <s v="MANUFATURA"/>
    <x v="2"/>
    <n v="53446836"/>
    <x v="745"/>
    <s v="DF"/>
    <n v="474"/>
    <s v="Site Brastemp"/>
    <n v="1352"/>
    <s v="W11298039"/>
    <s v="Gavetas"/>
    <x v="9"/>
    <n v="1000"/>
    <n v="5002359"/>
    <s v="EMPRESA BRASILEIRA DE CORREIOS E"/>
    <n v="190.03"/>
    <d v="2025-07-05T00:00:00"/>
  </r>
  <r>
    <n v="254003904"/>
    <n v="64776212"/>
    <s v="REB"/>
    <n v="10039091"/>
    <n v="176"/>
    <s v="PEÇAS - Defeito de fabric./Interrompido"/>
    <s v="FUNCIONAL"/>
    <x v="2"/>
    <n v="27425"/>
    <x v="746"/>
    <s v="PA"/>
    <n v="641"/>
    <s v="CDP Diamante"/>
    <n v="1350"/>
    <s v="W10221056"/>
    <s v="Condensadores"/>
    <x v="0"/>
    <n v="2000"/>
    <n v="5002858"/>
    <s v="FAVORITA TRANSPORTES LTDA"/>
    <n v="189.94"/>
    <d v="2025-05-26T00:00:00"/>
  </r>
  <r>
    <s v="Sem TR"/>
    <n v="64816612"/>
    <s v="ZRDI"/>
    <n v="10089044"/>
    <s v="D25"/>
    <s v="DEV D2C - Prob na entrega (Não recebi)"/>
    <s v="TRANSPORTADORA"/>
    <x v="2"/>
    <n v="51417737"/>
    <x v="743"/>
    <s v="SP"/>
    <n v="474"/>
    <s v="Site Brastemp"/>
    <n v="1352"/>
    <s v="W10341873"/>
    <s v="Molduras"/>
    <x v="6"/>
    <n v="1000"/>
    <n v="5003972"/>
    <s v="ICARO EXPRESS LOGISTICA LTDA"/>
    <n v="189.72"/>
    <d v="2025-07-24T00:00:00"/>
  </r>
  <r>
    <s v="Sem TR"/>
    <n v="64816612"/>
    <s v="ZRDI"/>
    <n v="10089044"/>
    <s v="D25"/>
    <s v="DEV D2C - Prob na entrega (Não recebi)"/>
    <s v="TRANSPORTADORA"/>
    <x v="2"/>
    <n v="51417737"/>
    <x v="743"/>
    <s v="SP"/>
    <n v="474"/>
    <s v="Site Brastemp"/>
    <n v="1352"/>
    <s v="W10341873"/>
    <s v="Molduras"/>
    <x v="6"/>
    <n v="1000"/>
    <n v="5003972"/>
    <s v="ICARO EXPRESS LOGISTICA LTDA"/>
    <n v="189.72"/>
    <d v="2025-07-24T00:00:00"/>
  </r>
  <r>
    <n v="253965815"/>
    <n v="64736120"/>
    <s v="REB"/>
    <n v="9935329"/>
    <n v="104"/>
    <s v="PEÇAS-Código trocado(embalag X conteúdo)"/>
    <s v="LOGÍSTICA"/>
    <x v="1"/>
    <n v="15420"/>
    <x v="747"/>
    <s v="BA"/>
    <n v="350"/>
    <s v="Ats On"/>
    <n v="1350"/>
    <s v="W11371164"/>
    <s v="Mecanismos"/>
    <x v="2"/>
    <n v="1000"/>
    <n v="5004101"/>
    <s v="UNIDOCK'S ASSESSORIA E LOGISTICA DE"/>
    <n v="189.71"/>
    <d v="2025-03-21T00:00:00"/>
  </r>
  <r>
    <s v="Sem TR"/>
    <n v="64814034"/>
    <s v="ZRDI"/>
    <n v="10112693"/>
    <s v="D10"/>
    <s v="DEV D2C - Comprou modelo errado"/>
    <s v="COMERCIAL"/>
    <x v="2"/>
    <n v="58124738"/>
    <x v="748"/>
    <s v="GO"/>
    <n v="475"/>
    <s v="Site Consul"/>
    <n v="1352"/>
    <s v="W11219866"/>
    <s v="Placas de Controle"/>
    <x v="1"/>
    <n v="1000"/>
    <n v="5002359"/>
    <s v="EMPRESA BRASILEIRA DE CORREIOS E"/>
    <n v="189.4"/>
    <d v="2025-07-21T00:00:00"/>
  </r>
  <r>
    <s v="Sem TR"/>
    <n v="64814034"/>
    <s v="ZRDI"/>
    <n v="10112693"/>
    <s v="D10"/>
    <s v="DEV D2C - Comprou modelo errado"/>
    <s v="COMERCIAL"/>
    <x v="2"/>
    <n v="58124738"/>
    <x v="748"/>
    <s v="GO"/>
    <n v="475"/>
    <s v="Site Consul"/>
    <n v="1352"/>
    <s v="W11219866"/>
    <s v="Placas de Controle"/>
    <x v="1"/>
    <n v="1000"/>
    <n v="5002359"/>
    <s v="EMPRESA BRASILEIRA DE CORREIOS E"/>
    <n v="189.4"/>
    <d v="2025-07-21T00:00:00"/>
  </r>
  <r>
    <s v="Sem TR"/>
    <n v="64761635"/>
    <s v="ROB"/>
    <n v="50566"/>
    <n v="671"/>
    <s v="DEV-ENVIADO PARA GESTÃO DE CONSEQUENCIA"/>
    <s v="TRANSPORTADORA"/>
    <x v="2"/>
    <n v="64523"/>
    <x v="21"/>
    <s v="PB"/>
    <n v="713"/>
    <s v="Key Account"/>
    <n v="1550"/>
    <n v="326000208"/>
    <s v="Peças e Sistema Freio"/>
    <x v="2"/>
    <n v="20000"/>
    <n v="5004391"/>
    <s v="JEONCEL TRANSPORTES LTDA"/>
    <n v="189.39"/>
    <d v="2025-04-30T00:00:00"/>
  </r>
  <r>
    <s v="Sem TR"/>
    <n v="64819765"/>
    <s v="ZRDI"/>
    <n v="10119906"/>
    <s v="D10"/>
    <s v="DEV D2C - Comprou modelo errado"/>
    <s v="COMERCIAL"/>
    <x v="1"/>
    <n v="5899607"/>
    <x v="749"/>
    <s v="ES"/>
    <n v="474"/>
    <s v="Site Brastemp"/>
    <n v="1352"/>
    <s v="W11298039"/>
    <s v="Gavetas"/>
    <x v="9"/>
    <n v="1000"/>
    <n v="5002359"/>
    <s v="EMPRESA BRASILEIRA DE CORREIOS E"/>
    <n v="189.34"/>
    <d v="2025-07-29T00:00:00"/>
  </r>
  <r>
    <n v="254033495"/>
    <n v="64725698"/>
    <s v="ZDVP"/>
    <n v="9824217"/>
    <n v="173"/>
    <s v="PEÇAS - Defeito de fabric./Alta Amperage"/>
    <s v="FUNCIONAL"/>
    <x v="1"/>
    <n v="28178"/>
    <x v="127"/>
    <s v="SP"/>
    <n v="644"/>
    <s v="Plus"/>
    <n v="1350"/>
    <s v="W11299803"/>
    <s v="Mecanismos"/>
    <x v="2"/>
    <n v="2000"/>
    <n v="5004042"/>
    <s v="BRASIL WEB TRANSPORTES E LOGISTICA"/>
    <n v="189.28"/>
    <d v="2025-03-10T00:00:00"/>
  </r>
  <r>
    <n v="253970943"/>
    <n v="64736077"/>
    <s v="REB"/>
    <n v="9952990"/>
    <n v="167"/>
    <s v="PEÇAS - Avaria - Quebrada/Depósito"/>
    <s v="LOGÍSTICA"/>
    <x v="1"/>
    <n v="75752"/>
    <x v="74"/>
    <s v="PR"/>
    <n v="648"/>
    <s v="Ultra"/>
    <n v="1350"/>
    <s v="W11300681"/>
    <s v="Mecanismos"/>
    <x v="2"/>
    <n v="1000"/>
    <n v="5003024"/>
    <s v="RODOBRAS TRANSPORTES RODOVIARIOS LT"/>
    <n v="189.23"/>
    <d v="2025-04-09T00:00:00"/>
  </r>
  <r>
    <n v="254012614"/>
    <n v="64788481"/>
    <s v="REB"/>
    <n v="9973193"/>
    <n v="173"/>
    <s v="PEÇAS - Defeito de fabric./Alta Amperage"/>
    <s v="FUNCIONAL"/>
    <x v="2"/>
    <n v="75812"/>
    <x v="102"/>
    <s v="SP"/>
    <n v="931"/>
    <s v="Ats Off"/>
    <n v="1350"/>
    <s v="W11345784"/>
    <s v="Resistências"/>
    <x v="1"/>
    <n v="1000"/>
    <n v="5004042"/>
    <s v="BRASIL WEB TRANSPORTES E LOGISTICA"/>
    <n v="189.21"/>
    <d v="2025-06-10T00:00:00"/>
  </r>
  <r>
    <n v="254030024"/>
    <n v="64809501"/>
    <s v="ZRDI"/>
    <n v="10117883"/>
    <n v="208"/>
    <s v="DEV-Atraso entrega- LOGISTICA(Transp)"/>
    <s v="TRANSPORTADORA"/>
    <x v="2"/>
    <n v="54217505"/>
    <x v="750"/>
    <s v="MG"/>
    <n v="474"/>
    <s v="Site Brastemp"/>
    <n v="1352"/>
    <s v="W11559186"/>
    <s v="Kits Instalação"/>
    <x v="7"/>
    <n v="1000"/>
    <n v="5002359"/>
    <s v="EMPRESA BRASILEIRA DE CORREIOS E"/>
    <n v="189.15"/>
    <d v="2025-07-11T00:00:00"/>
  </r>
  <r>
    <n v="254024134"/>
    <n v="64803741"/>
    <s v="ZRDI"/>
    <n v="10060739"/>
    <n v="208"/>
    <s v="DEV-Atraso entrega- LOGISTICA(Transp)"/>
    <s v="TRANSPORTADORA"/>
    <x v="2"/>
    <n v="51068880"/>
    <x v="751"/>
    <s v="GO"/>
    <n v="474"/>
    <s v="Site Brastemp"/>
    <n v="1352"/>
    <s v="W10866790"/>
    <s v="Kits Instalação"/>
    <x v="7"/>
    <n v="1000"/>
    <n v="5002359"/>
    <s v="EMPRESA BRASILEIRA DE CORREIOS E"/>
    <n v="188.99"/>
    <d v="2025-07-01T00:00:00"/>
  </r>
  <r>
    <n v="254018388"/>
    <n v="64774188"/>
    <s v="REB"/>
    <n v="10055920"/>
    <n v="104"/>
    <s v="PEÇAS-Código trocado(embalag X conteúdo)"/>
    <s v="LOGÍSTICA"/>
    <x v="2"/>
    <n v="83572"/>
    <x v="105"/>
    <s v="SP"/>
    <n v="931"/>
    <s v="Ats Off"/>
    <n v="1350"/>
    <s v="W10238102"/>
    <s v="Válvulas de Água"/>
    <x v="5"/>
    <n v="1000"/>
    <n v="5004042"/>
    <s v="BRASIL WEB TRANSPORTES E LOGISTICA"/>
    <n v="188.93"/>
    <d v="2025-06-05T00:00:00"/>
  </r>
  <r>
    <s v="Sem TR"/>
    <n v="64808586"/>
    <s v="ZRDI"/>
    <n v="10135570"/>
    <s v="D10"/>
    <s v="DEV D2C - Comprou modelo errado"/>
    <s v="COMERCIAL"/>
    <x v="2"/>
    <n v="58156047"/>
    <x v="752"/>
    <s v="SP"/>
    <n v="475"/>
    <s v="Site Consul"/>
    <n v="1352"/>
    <s v="W11199342"/>
    <s v="Filtros"/>
    <x v="5"/>
    <n v="2000"/>
    <n v="5002359"/>
    <s v="EMPRESA BRASILEIRA DE CORREIOS E"/>
    <n v="188.6"/>
    <d v="2025-07-17T00:00:00"/>
  </r>
  <r>
    <n v="254033992"/>
    <n v="64812577"/>
    <s v="ZRDI"/>
    <n v="10121610"/>
    <n v="208"/>
    <s v="DEV-Atraso entrega- LOGISTICA(Transp)"/>
    <s v="TRANSPORTADORA"/>
    <x v="2"/>
    <n v="58134358"/>
    <x v="753"/>
    <s v="SP"/>
    <n v="475"/>
    <s v="Site Consul"/>
    <n v="1352"/>
    <s v="W11199342"/>
    <s v="Filtros"/>
    <x v="5"/>
    <n v="2000"/>
    <n v="5002359"/>
    <s v="EMPRESA BRASILEIRA DE CORREIOS E"/>
    <n v="188.6"/>
    <d v="2025-07-17T00:00:00"/>
  </r>
  <r>
    <s v="Sem TR"/>
    <n v="64818874"/>
    <s v="ZRDI"/>
    <n v="10139084"/>
    <n v="208"/>
    <s v="DEV-Atraso entrega- LOGISTICA(Transp)"/>
    <s v="TRANSPORTADORA"/>
    <x v="1"/>
    <n v="57617578"/>
    <x v="754"/>
    <s v="SP"/>
    <n v="475"/>
    <s v="Site Consul"/>
    <n v="1352"/>
    <s v="W11199342"/>
    <s v="Filtros"/>
    <x v="5"/>
    <n v="2000"/>
    <n v="5002359"/>
    <s v="EMPRESA BRASILEIRA DE CORREIOS E"/>
    <n v="188.6"/>
    <d v="2025-07-28T00:00:00"/>
  </r>
  <r>
    <n v="254021264"/>
    <n v="64798919"/>
    <s v="ZRDI"/>
    <n v="10061647"/>
    <n v="208"/>
    <s v="DEV-Atraso entrega- LOGISTICA(Transp)"/>
    <s v="TRANSPORTADORA"/>
    <x v="2"/>
    <n v="58057705"/>
    <x v="755"/>
    <s v="MG"/>
    <n v="466"/>
    <s v="Sup ML Marketplace"/>
    <n v="1352"/>
    <s v="W10644162"/>
    <s v="Tampas Móveis"/>
    <x v="6"/>
    <n v="1000"/>
    <n v="5002359"/>
    <s v="EMPRESA BRASILEIRA DE CORREIOS E"/>
    <n v="188.54"/>
    <d v="2025-06-26T00:00:00"/>
  </r>
  <r>
    <s v="Sem TR"/>
    <n v="64816411"/>
    <s v="ZRDI"/>
    <n v="10142784"/>
    <s v="D18"/>
    <s v="DEV D2C - Arrependimento não quero mais"/>
    <s v="COMERCIAL"/>
    <x v="2"/>
    <n v="58166154"/>
    <x v="756"/>
    <s v="RS"/>
    <n v="466"/>
    <s v="Sup ML Marketplace"/>
    <n v="1352"/>
    <s v="W10301562"/>
    <s v="Filtros"/>
    <x v="5"/>
    <n v="2000"/>
    <n v="5002359"/>
    <s v="EMPRESA BRASILEIRA DE CORREIOS E"/>
    <n v="188.52"/>
    <d v="2025-07-24T00:00:00"/>
  </r>
  <r>
    <s v="Sem TR"/>
    <n v="64816411"/>
    <s v="ZRDI"/>
    <n v="10142784"/>
    <s v="D18"/>
    <s v="DEV D2C - Arrependimento não quero mais"/>
    <s v="COMERCIAL"/>
    <x v="2"/>
    <n v="58166154"/>
    <x v="756"/>
    <s v="RS"/>
    <n v="466"/>
    <s v="Sup ML Marketplace"/>
    <n v="1352"/>
    <s v="W10301562"/>
    <s v="Filtros"/>
    <x v="5"/>
    <n v="2000"/>
    <n v="5002359"/>
    <s v="EMPRESA BRASILEIRA DE CORREIOS E"/>
    <n v="188.52"/>
    <d v="2025-07-24T00:00:00"/>
  </r>
  <r>
    <n v="253983964"/>
    <n v="64759453"/>
    <s v="REB"/>
    <n v="9484874"/>
    <n v="173"/>
    <s v="PEÇAS - Defeito de fabric./Alta Amperage"/>
    <s v="FUNCIONAL"/>
    <x v="1"/>
    <n v="81075"/>
    <x v="223"/>
    <s v="BA"/>
    <n v="934"/>
    <s v="CDP Ouro"/>
    <n v="1350"/>
    <s v="W10619170"/>
    <s v="Placas de Controle"/>
    <x v="1"/>
    <n v="1000"/>
    <n v="5004101"/>
    <s v="UNIDOCK'S ASSESSORIA E LOGISTICA DE"/>
    <n v="188.4"/>
    <d v="2025-04-28T00:00:00"/>
  </r>
  <r>
    <n v="254042336"/>
    <n v="64796848"/>
    <s v="REB"/>
    <n v="10055443"/>
    <n v="176"/>
    <s v="PEÇAS - Defeito de fabric./Interrompido"/>
    <s v="FUNCIONAL"/>
    <x v="0"/>
    <n v="12692"/>
    <x v="82"/>
    <s v="BA"/>
    <n v="641"/>
    <s v="CDP Diamante"/>
    <n v="1350"/>
    <s v="W10780260"/>
    <s v="Placas de Controle"/>
    <x v="1"/>
    <n v="1000"/>
    <n v="5004101"/>
    <s v="UNIDOCK'S ASSESSORIA E LOGISTICA DE"/>
    <n v="188.4"/>
    <d v="2025-06-24T00:00:00"/>
  </r>
  <r>
    <n v="253993027"/>
    <n v="64726185"/>
    <s v="REB"/>
    <n v="9639779"/>
    <n v="176"/>
    <s v="PEÇAS - Defeito de fabric./Interrompido"/>
    <s v="FUNCIONAL"/>
    <x v="1"/>
    <n v="28993"/>
    <x v="175"/>
    <s v="MG"/>
    <n v="644"/>
    <s v="Plus"/>
    <n v="1350"/>
    <s v="W11299803"/>
    <s v="Mecanismos"/>
    <x v="2"/>
    <n v="2000"/>
    <n v="5004215"/>
    <s v="BRASIL WEB TRANSPORTES E LOGISTICA"/>
    <n v="188.04"/>
    <d v="2025-03-07T00:00:00"/>
  </r>
  <r>
    <n v="254041066"/>
    <n v="64818847"/>
    <s v="ZRDI"/>
    <n v="10112540"/>
    <n v="208"/>
    <s v="DEV-Atraso entrega- LOGISTICA(Transp)"/>
    <s v="TRANSPORTADORA"/>
    <x v="1"/>
    <n v="53201129"/>
    <x v="757"/>
    <s v="GO"/>
    <n v="474"/>
    <s v="Site Brastemp"/>
    <n v="1352"/>
    <s v="W11393065"/>
    <s v="Filtros"/>
    <x v="5"/>
    <n v="1000"/>
    <n v="5002359"/>
    <s v="EMPRESA BRASILEIRA DE CORREIOS E"/>
    <n v="188.02"/>
    <d v="2025-07-28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0616687"/>
    <s v="Capas"/>
    <x v="6"/>
    <n v="8000"/>
    <n v="5003024"/>
    <s v="RODOBRAS TRANSPORTES RODOVIARIOS LT"/>
    <n v="187.98"/>
    <d v="2025-01-16T00:00:00"/>
  </r>
  <r>
    <s v="Sem TR"/>
    <n v="64731044"/>
    <s v="ROB"/>
    <n v="9901170"/>
    <n v="25"/>
    <s v="OC. 80 - EXTRAVIO TOTAL"/>
    <s v="TRANSPORTADORA"/>
    <x v="0"/>
    <n v="32823"/>
    <x v="758"/>
    <s v="MG"/>
    <n v="350"/>
    <s v="Ats On"/>
    <n v="1350"/>
    <s v="W11393157"/>
    <s v="Tampas Móveis"/>
    <x v="6"/>
    <n v="1000"/>
    <n v="5004101"/>
    <s v="UNIDOCK'S ASSESSORIA E LOGISTICA DE"/>
    <n v="187.97"/>
    <d v="2025-03-13T00:00:00"/>
  </r>
  <r>
    <s v="Sem TR"/>
    <n v="64810907"/>
    <s v="ZRDI"/>
    <n v="10127924"/>
    <s v="D30"/>
    <s v="DEV D2C - Defeito funcional manufatura"/>
    <s v="MANUFATURA"/>
    <x v="2"/>
    <n v="58144901"/>
    <x v="759"/>
    <s v="BA"/>
    <n v="475"/>
    <s v="Site Consul"/>
    <n v="1352"/>
    <s v="W11045105"/>
    <s v="Membranas Eletrônicas"/>
    <x v="1"/>
    <n v="1000"/>
    <n v="5002359"/>
    <s v="EMPRESA BRASILEIRA DE CORREIOS E"/>
    <n v="187.95"/>
    <d v="2025-07-24T00:00:00"/>
  </r>
  <r>
    <s v="Sem TR"/>
    <n v="64810907"/>
    <s v="ZRDI"/>
    <n v="10127924"/>
    <s v="D30"/>
    <s v="DEV D2C - Defeito funcional manufatura"/>
    <s v="MANUFATURA"/>
    <x v="2"/>
    <n v="58144901"/>
    <x v="759"/>
    <s v="BA"/>
    <n v="475"/>
    <s v="Site Consul"/>
    <n v="1352"/>
    <s v="W11045105"/>
    <s v="Membranas Eletrônicas"/>
    <x v="1"/>
    <n v="1000"/>
    <n v="5002359"/>
    <s v="EMPRESA BRASILEIRA DE CORREIOS E"/>
    <n v="187.95"/>
    <d v="2025-07-24T00:00:00"/>
  </r>
  <r>
    <s v="Sem TR"/>
    <n v="64811649"/>
    <s v="ZRDI"/>
    <n v="10110759"/>
    <s v="D11"/>
    <s v="DEV D2C - Comprou prod dimensão errada"/>
    <s v="COMERCIAL"/>
    <x v="2"/>
    <n v="51838249"/>
    <x v="760"/>
    <s v="SP"/>
    <n v="474"/>
    <s v="Site Brastemp"/>
    <n v="1352"/>
    <s v="W10821932"/>
    <s v="Prateleiras"/>
    <x v="9"/>
    <n v="2000"/>
    <n v="5002359"/>
    <s v="EMPRESA BRASILEIRA DE CORREIOS E"/>
    <n v="187.94"/>
    <d v="2025-07-16T00:00:00"/>
  </r>
  <r>
    <s v="Sem TR"/>
    <n v="64811649"/>
    <s v="ZRDI"/>
    <n v="10110759"/>
    <s v="D11"/>
    <s v="DEV D2C - Comprou prod dimensão errada"/>
    <s v="COMERCIAL"/>
    <x v="2"/>
    <n v="51838249"/>
    <x v="760"/>
    <s v="SP"/>
    <n v="474"/>
    <s v="Site Brastemp"/>
    <n v="1352"/>
    <s v="W10821932"/>
    <s v="Prateleiras"/>
    <x v="9"/>
    <n v="2000"/>
    <n v="5002359"/>
    <s v="EMPRESA BRASILEIRA DE CORREIOS E"/>
    <n v="187.94"/>
    <d v="2025-07-16T00:00:00"/>
  </r>
  <r>
    <s v="Sem TR"/>
    <n v="64782258"/>
    <s v="ZRDI"/>
    <n v="10086243"/>
    <s v="D10"/>
    <s v="DEV D2C - Comprou modelo errado"/>
    <s v="COMERCIAL"/>
    <x v="2"/>
    <n v="51270152"/>
    <x v="761"/>
    <s v="SP"/>
    <n v="474"/>
    <s v="Site Brastemp"/>
    <n v="1352"/>
    <s v="W10866790"/>
    <s v="Kits Instalação"/>
    <x v="7"/>
    <n v="1000"/>
    <n v="5002359"/>
    <s v="EMPRESA BRASILEIRA DE CORREIOS E"/>
    <n v="187.89"/>
    <d v="2025-07-03T00:00:00"/>
  </r>
  <r>
    <s v="Sem TR"/>
    <n v="64802741"/>
    <s v="ZRDI"/>
    <n v="10083847"/>
    <n v="25"/>
    <s v="OC. 80 - EXTRAVIO TOTAL"/>
    <s v="TRANSPORTADORA"/>
    <x v="2"/>
    <n v="54284133"/>
    <x v="762"/>
    <s v="SP"/>
    <n v="474"/>
    <s v="Site Brastemp"/>
    <n v="1352"/>
    <s v="W10866790"/>
    <s v="Kits Instalação"/>
    <x v="7"/>
    <n v="1000"/>
    <n v="5002359"/>
    <s v="EMPRESA BRASILEIRA DE CORREIOS E"/>
    <n v="187.89"/>
    <d v="2025-07-01T00:00:00"/>
  </r>
  <r>
    <s v="Sem TR"/>
    <n v="64802741"/>
    <s v="ZRDI"/>
    <n v="10083847"/>
    <n v="25"/>
    <s v="OC. 80 - EXTRAVIO TOTAL"/>
    <s v="TRANSPORTADORA"/>
    <x v="2"/>
    <n v="54284133"/>
    <x v="762"/>
    <s v="SP"/>
    <n v="474"/>
    <s v="Site Brastemp"/>
    <n v="1352"/>
    <s v="W10866790"/>
    <s v="Kits Instalação"/>
    <x v="7"/>
    <n v="1000"/>
    <n v="5002359"/>
    <s v="EMPRESA BRASILEIRA DE CORREIOS E"/>
    <n v="187.89"/>
    <d v="2025-07-01T00:00:00"/>
  </r>
  <r>
    <n v="253983830"/>
    <n v="64759146"/>
    <s v="REB"/>
    <n v="9928177"/>
    <n v="90"/>
    <s v="CLIENTE-não solicitou"/>
    <s v="COMERCIAL"/>
    <x v="1"/>
    <n v="4446"/>
    <x v="392"/>
    <s v="PR"/>
    <n v="350"/>
    <s v="Ats On"/>
    <n v="1350"/>
    <s v="W11573342"/>
    <s v="Placas de Controle"/>
    <x v="1"/>
    <n v="1000"/>
    <n v="5003024"/>
    <s v="RODOBRAS TRANSPORTES RODOVIARIOS LT"/>
    <n v="187.86"/>
    <d v="2025-04-28T00:00:00"/>
  </r>
  <r>
    <n v="254031835"/>
    <n v="64796078"/>
    <s v="REB"/>
    <n v="10078960"/>
    <n v="176"/>
    <s v="PEÇAS - Defeito de fabric./Interrompido"/>
    <s v="FUNCIONAL"/>
    <x v="1"/>
    <n v="3506"/>
    <x v="46"/>
    <s v="SP"/>
    <n v="931"/>
    <s v="Ats Off"/>
    <n v="1350"/>
    <s v="W11045281"/>
    <s v="Placas de Controle"/>
    <x v="1"/>
    <n v="1000"/>
    <n v="5004042"/>
    <s v="BRASIL WEB TRANSPORTES E LOGISTICA"/>
    <n v="187.59"/>
    <d v="2025-07-01T00:00:00"/>
  </r>
  <r>
    <n v="254038263"/>
    <n v="64811993"/>
    <s v="REB"/>
    <n v="10078960"/>
    <n v="176"/>
    <s v="PEÇAS - Defeito de fabric./Interrompido"/>
    <s v="FUNCIONAL"/>
    <x v="0"/>
    <n v="3506"/>
    <x v="46"/>
    <s v="SP"/>
    <n v="931"/>
    <s v="Ats Off"/>
    <n v="1350"/>
    <s v="W11045281"/>
    <s v="Placas de Controle"/>
    <x v="1"/>
    <n v="1000"/>
    <n v="5004042"/>
    <s v="BRASIL WEB TRANSPORTES E LOGISTICA"/>
    <n v="187.59"/>
    <d v="2025-07-22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367622"/>
    <s v="Gaxetas"/>
    <x v="4"/>
    <n v="5000"/>
    <n v="5002858"/>
    <s v="FAVORITA TRANSPORTES LTDA"/>
    <n v="187.35"/>
    <d v="2025-07-15T00:00:00"/>
  </r>
  <r>
    <n v="254041065"/>
    <n v="64818846"/>
    <s v="ZRDI"/>
    <n v="10112424"/>
    <n v="208"/>
    <s v="DEV-Atraso entrega- LOGISTICA(Transp)"/>
    <s v="TRANSPORTADORA"/>
    <x v="1"/>
    <n v="53162661"/>
    <x v="763"/>
    <s v="DF"/>
    <n v="466"/>
    <s v="Sup ML Marketplace"/>
    <n v="1352"/>
    <s v="W10624070"/>
    <s v="Gavetas"/>
    <x v="9"/>
    <n v="1000"/>
    <n v="5002359"/>
    <s v="EMPRESA BRASILEIRA DE CORREIOS E"/>
    <n v="187.11"/>
    <d v="2025-07-28T00:00:00"/>
  </r>
  <r>
    <n v="254035941"/>
    <n v="64814046"/>
    <s v="ZRDI"/>
    <n v="10129807"/>
    <n v="208"/>
    <s v="DEV-Atraso entrega- LOGISTICA(Transp)"/>
    <s v="TRANSPORTADORA"/>
    <x v="2"/>
    <n v="50534310"/>
    <x v="764"/>
    <s v="BA"/>
    <n v="474"/>
    <s v="Site Brastemp"/>
    <n v="1352"/>
    <n v="326059609"/>
    <s v="Gaxetas"/>
    <x v="4"/>
    <n v="1000"/>
    <n v="5002359"/>
    <s v="EMPRESA BRASILEIRA DE CORREIOS E"/>
    <n v="187"/>
    <d v="2025-07-21T00:00:00"/>
  </r>
  <r>
    <n v="254035941"/>
    <n v="64814046"/>
    <s v="ZRDI"/>
    <n v="10129807"/>
    <n v="208"/>
    <s v="DEV-Atraso entrega- LOGISTICA(Transp)"/>
    <s v="TRANSPORTADORA"/>
    <x v="2"/>
    <n v="50534310"/>
    <x v="764"/>
    <s v="BA"/>
    <n v="474"/>
    <s v="Site Brastemp"/>
    <n v="1352"/>
    <n v="326059609"/>
    <s v="Gaxetas"/>
    <x v="4"/>
    <n v="1000"/>
    <n v="5002359"/>
    <s v="EMPRESA BRASILEIRA DE CORREIOS E"/>
    <n v="187"/>
    <d v="2025-07-21T00:00:00"/>
  </r>
  <r>
    <n v="254042297"/>
    <n v="64796121"/>
    <s v="REB"/>
    <n v="9477833"/>
    <n v="173"/>
    <s v="PEÇAS - Defeito de fabric./Alta Amperage"/>
    <s v="FUNCIONAL"/>
    <x v="0"/>
    <n v="55093"/>
    <x v="231"/>
    <s v="SP"/>
    <n v="648"/>
    <s v="Ultra"/>
    <n v="1350"/>
    <s v="W11366400"/>
    <s v="Placas de Controle"/>
    <x v="1"/>
    <n v="1000"/>
    <n v="5004042"/>
    <s v="BRASIL WEB TRANSPORTES E LOGISTICA"/>
    <n v="186.99"/>
    <d v="2025-06-23T00:00:00"/>
  </r>
  <r>
    <n v="254031859"/>
    <n v="64798638"/>
    <s v="REB"/>
    <n v="10039715"/>
    <n v="176"/>
    <s v="PEÇAS - Defeito de fabric./Interrompido"/>
    <s v="FUNCIONAL"/>
    <x v="1"/>
    <n v="3506"/>
    <x v="46"/>
    <s v="SP"/>
    <n v="931"/>
    <s v="Ats Off"/>
    <n v="1350"/>
    <s v="W11452233"/>
    <s v="Placas de Controle"/>
    <x v="1"/>
    <n v="1000"/>
    <n v="5004042"/>
    <s v="BRASIL WEB TRANSPORTES E LOGISTICA"/>
    <n v="186.56"/>
    <d v="2025-07-01T00:00:00"/>
  </r>
  <r>
    <n v="254031860"/>
    <n v="64799656"/>
    <s v="REB"/>
    <n v="10043634"/>
    <n v="176"/>
    <s v="PEÇAS - Defeito de fabric./Interrompido"/>
    <s v="FUNCIONAL"/>
    <x v="1"/>
    <n v="3506"/>
    <x v="46"/>
    <s v="SP"/>
    <n v="931"/>
    <s v="Ats Off"/>
    <n v="1350"/>
    <s v="W11452233"/>
    <s v="Placas de Controle"/>
    <x v="1"/>
    <n v="1000"/>
    <n v="5004042"/>
    <s v="BRASIL WEB TRANSPORTES E LOGISTICA"/>
    <n v="186.56"/>
    <d v="2025-07-01T00:00:00"/>
  </r>
  <r>
    <n v="254018229"/>
    <n v="64790386"/>
    <s v="REB"/>
    <n v="10049427"/>
    <n v="176"/>
    <s v="PEÇAS - Defeito de fabric./Interrompido"/>
    <s v="FUNCIONAL"/>
    <x v="2"/>
    <n v="14441"/>
    <x v="61"/>
    <s v="SP"/>
    <n v="931"/>
    <s v="Ats Off"/>
    <n v="1350"/>
    <s v="W11452237"/>
    <s v="Placas de Controle"/>
    <x v="1"/>
    <n v="1000"/>
    <n v="5004042"/>
    <s v="BRASIL WEB TRANSPORTES E LOGISTICA"/>
    <n v="186.56"/>
    <d v="2025-06-17T00:00:00"/>
  </r>
  <r>
    <s v="Sem TR"/>
    <n v="64800731"/>
    <s v="ZRDI"/>
    <n v="10085263"/>
    <s v="D31"/>
    <s v="DEV D2C - Defeito estético manufatura"/>
    <s v="MANUFATURA"/>
    <x v="2"/>
    <n v="58084070"/>
    <x v="765"/>
    <s v="CE"/>
    <n v="475"/>
    <s v="Site Consul"/>
    <n v="1352"/>
    <s v="W11375775"/>
    <s v="Portas"/>
    <x v="6"/>
    <n v="1000"/>
    <n v="5002359"/>
    <s v="EMPRESA BRASILEIRA DE CORREIOS E"/>
    <n v="186.56"/>
    <d v="2025-06-30T00:00:00"/>
  </r>
  <r>
    <n v="254018208"/>
    <n v="64792230"/>
    <s v="REB"/>
    <n v="10033157"/>
    <n v="90"/>
    <s v="CLIENTE-não solicitou"/>
    <s v="COMERCIAL"/>
    <x v="2"/>
    <n v="9015"/>
    <x v="72"/>
    <s v="SC"/>
    <n v="350"/>
    <s v="Ats On"/>
    <n v="1350"/>
    <s v="W10563579"/>
    <s v="Trilhos"/>
    <x v="6"/>
    <n v="6000"/>
    <n v="5003024"/>
    <s v="RODOBRAS TRANSPORTES RODOVIARIOS LT"/>
    <n v="186.52"/>
    <d v="2025-06-16T00:00:00"/>
  </r>
  <r>
    <n v="253931084"/>
    <n v="64703924"/>
    <s v="REB"/>
    <n v="9803766"/>
    <n v="176"/>
    <s v="PEÇAS - Defeito de fabric./Interrompido"/>
    <s v="FUNCIONAL"/>
    <x v="2"/>
    <n v="24089"/>
    <x v="134"/>
    <s v="RJ"/>
    <n v="931"/>
    <s v="Ats Off"/>
    <n v="1350"/>
    <s v="W11370000"/>
    <s v="Motores Ventiladores"/>
    <x v="1"/>
    <n v="2000"/>
    <n v="5003176"/>
    <s v="J C THEDIN TRANSPORTES LTDA"/>
    <n v="186.35"/>
    <d v="2025-01-31T00:00:00"/>
  </r>
  <r>
    <n v="253988935"/>
    <n v="64762308"/>
    <s v="REB"/>
    <n v="9709477"/>
    <n v="173"/>
    <s v="PEÇAS - Defeito de fabric./Alta Amperage"/>
    <s v="FUNCIONAL"/>
    <x v="1"/>
    <n v="81093"/>
    <x v="53"/>
    <s v="ES"/>
    <n v="713"/>
    <s v="Key Account"/>
    <n v="1350"/>
    <s v="W11300675"/>
    <s v="Mecanismos"/>
    <x v="2"/>
    <n v="2000"/>
    <n v="5004042"/>
    <s v="BRASIL WEB TRANSPORTES E LOGISTICA"/>
    <n v="186.34"/>
    <d v="2025-05-05T00:00:00"/>
  </r>
  <r>
    <n v="254027325"/>
    <n v="64806738"/>
    <s v="ZRDI"/>
    <n v="10052206"/>
    <n v="208"/>
    <s v="DEV-Atraso entrega- LOGISTICA(Transp)"/>
    <s v="TRANSPORTADORA"/>
    <x v="2"/>
    <n v="51223739"/>
    <x v="766"/>
    <s v="BA"/>
    <n v="474"/>
    <s v="Site Brastemp"/>
    <n v="1352"/>
    <s v="W10287527"/>
    <s v="Prateleiras"/>
    <x v="9"/>
    <n v="1000"/>
    <n v="5002359"/>
    <s v="EMPRESA BRASILEIRA DE CORREIOS E"/>
    <n v="186.06"/>
    <d v="2025-07-07T00:00:00"/>
  </r>
  <r>
    <n v="254003964"/>
    <n v="64777856"/>
    <s v="REB"/>
    <n v="9845614"/>
    <n v="173"/>
    <s v="PEÇAS - Defeito de fabric./Alta Amperage"/>
    <s v="FUNCIONAL"/>
    <x v="2"/>
    <n v="31862"/>
    <x v="342"/>
    <s v="SC"/>
    <n v="933"/>
    <s v="Top"/>
    <n v="1350"/>
    <s v="W11435396"/>
    <s v="Placas de Controle"/>
    <x v="1"/>
    <n v="1000"/>
    <n v="5003024"/>
    <s v="RODOBRAS TRANSPORTES RODOVIARIOS LT"/>
    <n v="185.95"/>
    <d v="2025-05-26T00:00:00"/>
  </r>
  <r>
    <n v="253970735"/>
    <n v="64748914"/>
    <s v="REB"/>
    <n v="9949482"/>
    <n v="173"/>
    <s v="PEÇAS - Defeito de fabric./Alta Amperage"/>
    <s v="FUNCIONAL"/>
    <x v="1"/>
    <n v="17539"/>
    <x v="320"/>
    <s v="SP"/>
    <n v="350"/>
    <s v="Ats On"/>
    <n v="1350"/>
    <s v="W10882241"/>
    <s v="Agitadores"/>
    <x v="2"/>
    <n v="3000"/>
    <n v="5004042"/>
    <s v="BRASIL WEB TRANSPORTES E LOGISTICA"/>
    <n v="185.91"/>
    <d v="2025-04-09T00:00:00"/>
  </r>
  <r>
    <s v="Sem TR"/>
    <n v="64804480"/>
    <s v="ZRDI"/>
    <n v="10106290"/>
    <s v="D31"/>
    <s v="DEV D2C - Defeito estético manufatura"/>
    <s v="MANUFATURA"/>
    <x v="2"/>
    <n v="58117266"/>
    <x v="767"/>
    <s v="MG"/>
    <n v="474"/>
    <s v="Site Brastemp"/>
    <n v="1352"/>
    <s v="W10624070"/>
    <s v="Gavetas"/>
    <x v="9"/>
    <n v="1000"/>
    <n v="5002359"/>
    <s v="EMPRESA BRASILEIRA DE CORREIOS E"/>
    <n v="185.9"/>
    <d v="2025-07-03T00:00:00"/>
  </r>
  <r>
    <n v="254024678"/>
    <n v="64804771"/>
    <s v="ZRDI"/>
    <n v="10106015"/>
    <n v="208"/>
    <s v="DEV-Atraso entrega- LOGISTICA(Transp)"/>
    <s v="TRANSPORTADORA"/>
    <x v="2"/>
    <n v="50954514"/>
    <x v="768"/>
    <s v="PE"/>
    <n v="474"/>
    <s v="Site Brastemp"/>
    <n v="1352"/>
    <s v="W10624070"/>
    <s v="Gavetas"/>
    <x v="9"/>
    <n v="1000"/>
    <n v="5002359"/>
    <s v="EMPRESA BRASILEIRA DE CORREIOS E"/>
    <n v="185.9"/>
    <d v="2025-07-02T00:00:00"/>
  </r>
  <r>
    <s v="Sem TR"/>
    <n v="64807834"/>
    <s v="ZRDI"/>
    <n v="10117855"/>
    <s v="D31"/>
    <s v="DEV D2C - Defeito estético manufatura"/>
    <s v="MANUFATURA"/>
    <x v="2"/>
    <n v="58129336"/>
    <x v="769"/>
    <s v="MG"/>
    <n v="474"/>
    <s v="Site Brastemp"/>
    <n v="1352"/>
    <s v="W10624070"/>
    <s v="Gavetas"/>
    <x v="9"/>
    <n v="1000"/>
    <n v="5002359"/>
    <s v="EMPRESA BRASILEIRA DE CORREIOS E"/>
    <n v="185.9"/>
    <d v="2025-07-09T00:00:00"/>
  </r>
  <r>
    <s v="Sem TR"/>
    <n v="64809419"/>
    <s v="ZRDI"/>
    <n v="10126706"/>
    <s v="D31"/>
    <s v="DEV D2C - Defeito estético manufatura"/>
    <s v="MANUFATURA"/>
    <x v="2"/>
    <n v="52132130"/>
    <x v="770"/>
    <s v="MG"/>
    <n v="474"/>
    <s v="Site Brastemp"/>
    <n v="1352"/>
    <s v="W10624070"/>
    <s v="Gavetas"/>
    <x v="9"/>
    <n v="1000"/>
    <n v="5002359"/>
    <s v="EMPRESA BRASILEIRA DE CORREIOS E"/>
    <n v="185.9"/>
    <d v="2025-07-11T00:00:00"/>
  </r>
  <r>
    <s v="Sem TR"/>
    <n v="64809419"/>
    <s v="ZRDI"/>
    <n v="10126706"/>
    <s v="D31"/>
    <s v="DEV D2C - Defeito estético manufatura"/>
    <s v="MANUFATURA"/>
    <x v="2"/>
    <n v="52132130"/>
    <x v="770"/>
    <s v="MG"/>
    <n v="474"/>
    <s v="Site Brastemp"/>
    <n v="1352"/>
    <s v="W10624070"/>
    <s v="Gavetas"/>
    <x v="9"/>
    <n v="1000"/>
    <n v="5002359"/>
    <s v="EMPRESA BRASILEIRA DE CORREIOS E"/>
    <n v="185.9"/>
    <d v="2025-07-11T00:00:00"/>
  </r>
  <r>
    <n v="254033991"/>
    <n v="64812576"/>
    <s v="ZRDI"/>
    <n v="10121189"/>
    <n v="208"/>
    <s v="DEV-Atraso entrega- LOGISTICA(Transp)"/>
    <s v="TRANSPORTADORA"/>
    <x v="2"/>
    <n v="52079507"/>
    <x v="771"/>
    <s v="MG"/>
    <n v="474"/>
    <s v="Site Brastemp"/>
    <n v="1352"/>
    <s v="W11298039"/>
    <s v="Gavetas"/>
    <x v="9"/>
    <n v="1000"/>
    <n v="5002359"/>
    <s v="EMPRESA BRASILEIRA DE CORREIOS E"/>
    <n v="185.67"/>
    <d v="2025-07-17T00:00:00"/>
  </r>
  <r>
    <n v="254034000"/>
    <n v="64812599"/>
    <s v="ZRDI"/>
    <n v="10127590"/>
    <n v="208"/>
    <s v="DEV-Atraso entrega- LOGISTICA(Transp)"/>
    <s v="TRANSPORTADORA"/>
    <x v="2"/>
    <n v="58140233"/>
    <x v="772"/>
    <s v="MG"/>
    <n v="474"/>
    <s v="Site Brastemp"/>
    <n v="1352"/>
    <s v="W11298039"/>
    <s v="Gavetas"/>
    <x v="9"/>
    <n v="1000"/>
    <n v="5002359"/>
    <s v="EMPRESA BRASILEIRA DE CORREIOS E"/>
    <n v="185.67"/>
    <d v="2025-07-17T00:00:00"/>
  </r>
  <r>
    <n v="254034000"/>
    <n v="64812599"/>
    <s v="ZRDI"/>
    <n v="10127590"/>
    <n v="208"/>
    <s v="DEV-Atraso entrega- LOGISTICA(Transp)"/>
    <s v="TRANSPORTADORA"/>
    <x v="2"/>
    <n v="58140233"/>
    <x v="772"/>
    <s v="MG"/>
    <n v="474"/>
    <s v="Site Brastemp"/>
    <n v="1352"/>
    <s v="W11298039"/>
    <s v="Gavetas"/>
    <x v="9"/>
    <n v="1000"/>
    <n v="5002359"/>
    <s v="EMPRESA BRASILEIRA DE CORREIOS E"/>
    <n v="185.67"/>
    <d v="2025-07-17T00:00:00"/>
  </r>
  <r>
    <n v="253948583"/>
    <n v="64727041"/>
    <s v="REB"/>
    <n v="9846448"/>
    <n v="165"/>
    <s v="PEÇAS - Defeito de fabric./Incompleta"/>
    <s v="FUNCIONAL"/>
    <x v="1"/>
    <n v="81548"/>
    <x v="348"/>
    <s v="SC"/>
    <n v="350"/>
    <s v="Ats On"/>
    <n v="1350"/>
    <s v="W10398340"/>
    <s v="Sensores"/>
    <x v="3"/>
    <n v="1000"/>
    <n v="5003024"/>
    <s v="RODOBRAS TRANSPORTES RODOVIARIOS LT"/>
    <n v="185.66"/>
    <d v="2025-03-07T00:00:00"/>
  </r>
  <r>
    <n v="253948586"/>
    <n v="64726484"/>
    <s v="REB"/>
    <n v="9738622"/>
    <n v="176"/>
    <s v="PEÇAS - Defeito de fabric./Interrompido"/>
    <s v="FUNCIONAL"/>
    <x v="1"/>
    <n v="83572"/>
    <x v="105"/>
    <s v="SP"/>
    <n v="931"/>
    <s v="Ats Off"/>
    <n v="1350"/>
    <s v="W11435392"/>
    <s v="Placas de Controle"/>
    <x v="1"/>
    <n v="1000"/>
    <n v="5004042"/>
    <s v="BRASIL WEB TRANSPORTES E LOGISTICA"/>
    <n v="185.49"/>
    <d v="2025-03-07T00:00:00"/>
  </r>
  <r>
    <n v="254018231"/>
    <n v="64792469"/>
    <s v="REB"/>
    <n v="10081174"/>
    <n v="167"/>
    <s v="PEÇAS - Avaria - Quebrada/Depósito"/>
    <s v="LOGÍSTICA"/>
    <x v="1"/>
    <n v="18949"/>
    <x v="264"/>
    <s v="SP"/>
    <n v="933"/>
    <s v="Top"/>
    <n v="1350"/>
    <s v="W10733396"/>
    <s v="Tampas Móveis"/>
    <x v="6"/>
    <n v="1000"/>
    <n v="5004042"/>
    <s v="BRASIL WEB TRANSPORTES E LOGISTICA"/>
    <n v="185.39"/>
    <d v="2025-06-16T00:00:00"/>
  </r>
  <r>
    <n v="254012604"/>
    <n v="64789426"/>
    <s v="REB"/>
    <n v="10042086"/>
    <n v="173"/>
    <s v="PEÇAS - Defeito de fabric./Alta Amperage"/>
    <s v="FUNCIONAL"/>
    <x v="2"/>
    <n v="69166"/>
    <x v="129"/>
    <s v="RJ"/>
    <n v="931"/>
    <s v="Ats Off"/>
    <n v="1350"/>
    <s v="W11300681"/>
    <s v="Mecanismos"/>
    <x v="2"/>
    <n v="1000"/>
    <n v="5003176"/>
    <s v="J C THEDIN TRANSPORTES LTDA"/>
    <n v="185.19"/>
    <d v="2025-06-10T00:00:00"/>
  </r>
  <r>
    <s v="Sem TR"/>
    <n v="64792294"/>
    <s v="REB"/>
    <n v="10040573"/>
    <n v="509"/>
    <s v="Qtd de peças a Menor dentro do Volume"/>
    <s v="LOGÍSTICA"/>
    <x v="1"/>
    <n v="30990"/>
    <x v="26"/>
    <s v="ES"/>
    <n v="713"/>
    <s v="Key Account"/>
    <n v="1350"/>
    <s v="W10647948"/>
    <s v="Suportes"/>
    <x v="6"/>
    <n v="20000"/>
    <n v="5002359"/>
    <s v="EMPRESA BRASILEIRA DE CORREIOS E"/>
    <n v="185.09"/>
    <d v="2025-06-16T00:00:00"/>
  </r>
  <r>
    <n v="254031742"/>
    <n v="64810936"/>
    <s v="ZRDI"/>
    <n v="10106336"/>
    <s v="D25"/>
    <s v="DEV D2C - Prob na entrega (Não recebi)"/>
    <s v="TRANSPORTADORA"/>
    <x v="2"/>
    <n v="58116417"/>
    <x v="773"/>
    <s v="RS"/>
    <n v="466"/>
    <s v="Sup ML Marketplace"/>
    <n v="1352"/>
    <s v="W10615885"/>
    <s v="Trempes"/>
    <x v="6"/>
    <n v="1000"/>
    <n v="5002359"/>
    <s v="EMPRESA BRASILEIRA DE CORREIOS E"/>
    <n v="185.06"/>
    <d v="2025-07-15T00:00:00"/>
  </r>
  <r>
    <n v="253948450"/>
    <n v="64727012"/>
    <s v="REB"/>
    <n v="9861291"/>
    <n v="671"/>
    <s v="DEV-ENVIADO PARA GESTÃO DE CONSEQUENCIA"/>
    <s v="TRANSPORTADORA"/>
    <x v="1"/>
    <n v="4585"/>
    <x v="555"/>
    <s v="SC"/>
    <n v="350"/>
    <s v="Ats On"/>
    <n v="1350"/>
    <s v="W11300695"/>
    <s v="Mecanismos"/>
    <x v="2"/>
    <n v="1000"/>
    <n v="5003024"/>
    <s v="RODOBRAS TRANSPORTES RODOVIARIOS LT"/>
    <n v="184.95"/>
    <d v="2025-03-07T00:00:00"/>
  </r>
  <r>
    <n v="253992664"/>
    <n v="64768251"/>
    <s v="REB"/>
    <n v="9988966"/>
    <n v="173"/>
    <s v="PEÇAS - Defeito de fabric./Alta Amperage"/>
    <s v="FUNCIONAL"/>
    <x v="1"/>
    <n v="113"/>
    <x v="396"/>
    <s v="AL"/>
    <n v="350"/>
    <s v="Ats On"/>
    <n v="1350"/>
    <s v="W10780260"/>
    <s v="Placas de Controle"/>
    <x v="1"/>
    <n v="1000"/>
    <n v="5004101"/>
    <s v="UNIDOCK'S ASSESSORIA E LOGISTICA DE"/>
    <n v="184.9"/>
    <d v="2025-05-12T00:00:00"/>
  </r>
  <r>
    <s v="Sem TR"/>
    <n v="64812515"/>
    <s v="REB"/>
    <n v="9844409"/>
    <n v="173"/>
    <s v="PEÇAS - Defeito de fabric./Alta Amperage"/>
    <s v="FUNCIONAL"/>
    <x v="1"/>
    <n v="47026"/>
    <x v="16"/>
    <s v="BA"/>
    <n v="643"/>
    <s v="Elite"/>
    <n v="1350"/>
    <s v="W11415294"/>
    <s v="Placas de Controle"/>
    <x v="1"/>
    <n v="1000"/>
    <n v="5004101"/>
    <s v="UNIDOCK'S ASSESSORIA E LOGISTICA DE"/>
    <n v="184.86"/>
    <d v="2025-07-17T00:00:00"/>
  </r>
  <r>
    <n v="253931021"/>
    <n v="64703807"/>
    <s v="REB"/>
    <n v="9740266"/>
    <n v="671"/>
    <s v="DEV-ENVIADO PARA GESTÃO DE CONSEQUENCIA"/>
    <s v="TRANSPORTADORA"/>
    <x v="2"/>
    <n v="9015"/>
    <x v="72"/>
    <s v="SC"/>
    <n v="931"/>
    <s v="Ats Off"/>
    <n v="1350"/>
    <s v="W11200625"/>
    <s v="Placas de Controle"/>
    <x v="1"/>
    <n v="1000"/>
    <n v="5003024"/>
    <s v="RODOBRAS TRANSPORTES RODOVIARIOS LT"/>
    <n v="184.86"/>
    <d v="2025-01-31T00:00:00"/>
  </r>
  <r>
    <s v="Sem TR"/>
    <n v="64816560"/>
    <s v="REB"/>
    <n v="9759270"/>
    <n v="173"/>
    <s v="PEÇAS - Defeito de fabric./Alta Amperage"/>
    <s v="FUNCIONAL"/>
    <x v="1"/>
    <n v="4167"/>
    <x v="63"/>
    <s v="SP"/>
    <n v="931"/>
    <s v="Ats Off"/>
    <n v="1350"/>
    <s v="W10510307"/>
    <s v="Isolantes"/>
    <x v="4"/>
    <n v="5000"/>
    <n v="5004042"/>
    <s v="BRASIL WEB TRANSPORTES E LOGISTICA"/>
    <n v="184.65"/>
    <d v="2025-07-25T00:00:00"/>
  </r>
  <r>
    <n v="254037065"/>
    <n v="64814986"/>
    <s v="ZRDI"/>
    <n v="10120188"/>
    <n v="208"/>
    <s v="DEV-Atraso entrega- LOGISTICA(Transp)"/>
    <s v="TRANSPORTADORA"/>
    <x v="2"/>
    <n v="54649017"/>
    <x v="774"/>
    <s v="RS"/>
    <n v="474"/>
    <s v="Site Brastemp"/>
    <n v="1352"/>
    <s v="W10866790"/>
    <s v="Kits Instalação"/>
    <x v="7"/>
    <n v="1000"/>
    <n v="5002359"/>
    <s v="EMPRESA BRASILEIRA DE CORREIOS E"/>
    <n v="184.62"/>
    <d v="2025-07-22T00:00:00"/>
  </r>
  <r>
    <n v="254037065"/>
    <n v="64814986"/>
    <s v="ZRDI"/>
    <n v="10120188"/>
    <n v="208"/>
    <s v="DEV-Atraso entrega- LOGISTICA(Transp)"/>
    <s v="TRANSPORTADORA"/>
    <x v="2"/>
    <n v="54649017"/>
    <x v="774"/>
    <s v="RS"/>
    <n v="474"/>
    <s v="Site Brastemp"/>
    <n v="1352"/>
    <s v="W10866790"/>
    <s v="Kits Instalação"/>
    <x v="7"/>
    <n v="1000"/>
    <n v="5002359"/>
    <s v="EMPRESA BRASILEIRA DE CORREIOS E"/>
    <n v="184.62"/>
    <d v="2025-07-22T00:00:00"/>
  </r>
  <r>
    <n v="254012549"/>
    <n v="64789105"/>
    <s v="REB"/>
    <n v="10048243"/>
    <n v="167"/>
    <s v="PEÇAS - Avaria - Quebrada/Depósito"/>
    <s v="LOGÍSTICA"/>
    <x v="1"/>
    <n v="56043"/>
    <x v="48"/>
    <s v="PR"/>
    <n v="963"/>
    <s v="Ats Distribuidoras"/>
    <n v="1350"/>
    <s v="W10331995"/>
    <s v="Gavetas"/>
    <x v="9"/>
    <n v="3000"/>
    <n v="5003024"/>
    <s v="RODOBRAS TRANSPORTES RODOVIARIOS LT"/>
    <n v="184.59"/>
    <d v="2025-06-10T00:00:00"/>
  </r>
  <r>
    <s v="Sem TR"/>
    <n v="64810831"/>
    <s v="ZRDI"/>
    <n v="10138926"/>
    <s v="D18"/>
    <s v="DEV D2C - Arrependimento não quero mais"/>
    <s v="COMERCIAL"/>
    <x v="2"/>
    <n v="58157709"/>
    <x v="775"/>
    <s v="SP"/>
    <n v="474"/>
    <s v="Site Brastemp"/>
    <n v="1352"/>
    <s v="W10881641"/>
    <s v="Tampas Móveis"/>
    <x v="6"/>
    <n v="1000"/>
    <n v="5002359"/>
    <s v="EMPRESA BRASILEIRA DE CORREIOS E"/>
    <n v="184.5"/>
    <d v="2025-07-16T00:00:00"/>
  </r>
  <r>
    <s v="Sem TR"/>
    <n v="64810831"/>
    <s v="ZRDI"/>
    <n v="10138926"/>
    <s v="D18"/>
    <s v="DEV D2C - Arrependimento não quero mais"/>
    <s v="COMERCIAL"/>
    <x v="2"/>
    <n v="58157709"/>
    <x v="775"/>
    <s v="SP"/>
    <n v="474"/>
    <s v="Site Brastemp"/>
    <n v="1352"/>
    <s v="W10881641"/>
    <s v="Tampas Móveis"/>
    <x v="6"/>
    <n v="1000"/>
    <n v="5002359"/>
    <s v="EMPRESA BRASILEIRA DE CORREIOS E"/>
    <n v="184.5"/>
    <d v="2025-07-16T00:00:00"/>
  </r>
  <r>
    <n v="254038294"/>
    <n v="64814856"/>
    <s v="REB"/>
    <n v="10068536"/>
    <n v="176"/>
    <s v="PEÇAS - Defeito de fabric./Interrompido"/>
    <s v="FUNCIONAL"/>
    <x v="1"/>
    <n v="4318"/>
    <x v="89"/>
    <s v="SC"/>
    <n v="931"/>
    <s v="Ats Off"/>
    <n v="1350"/>
    <s v="W10637050"/>
    <s v="Capacitores"/>
    <x v="1"/>
    <n v="7000"/>
    <n v="5003024"/>
    <s v="RODOBRAS TRANSPORTES RODOVIARIOS LT"/>
    <n v="184.44"/>
    <d v="2025-07-22T00:00:00"/>
  </r>
  <r>
    <s v="Sem TR"/>
    <n v="64761635"/>
    <s v="ROB"/>
    <n v="50566"/>
    <n v="671"/>
    <s v="DEV-ENVIADO PARA GESTÃO DE CONSEQUENCIA"/>
    <s v="TRANSPORTADORA"/>
    <x v="2"/>
    <n v="64523"/>
    <x v="21"/>
    <s v="PB"/>
    <n v="713"/>
    <s v="Key Account"/>
    <n v="1550"/>
    <s v="W11364875"/>
    <s v="Válvulas de Água"/>
    <x v="5"/>
    <n v="6000"/>
    <n v="5004391"/>
    <s v="JEONCEL TRANSPORTES LTDA"/>
    <n v="184.44"/>
    <d v="2025-04-30T00:00:00"/>
  </r>
  <r>
    <n v="253970893"/>
    <n v="64748188"/>
    <s v="REB"/>
    <n v="7963727"/>
    <n v="178"/>
    <s v="PEÇAS -Defeito de fabric./Sem Compressão"/>
    <s v="FUNCIONAL"/>
    <x v="1"/>
    <n v="61858"/>
    <x v="420"/>
    <s v="PI"/>
    <n v="934"/>
    <s v="CDP Ouro"/>
    <n v="1350"/>
    <n v="326053569"/>
    <s v="Compressores Rotativos"/>
    <x v="0"/>
    <n v="1000"/>
    <n v="5004101"/>
    <s v="UNIDOCK'S ASSESSORIA E LOGISTICA DE"/>
    <n v="184.33"/>
    <d v="2025-04-09T00:00:00"/>
  </r>
  <r>
    <s v="Sem TR"/>
    <n v="64819957"/>
    <s v="ZRDI"/>
    <n v="10119927"/>
    <s v="D15"/>
    <s v="DEV D2C - Arrependimento modelo comprado"/>
    <s v="COMERCIAL"/>
    <x v="1"/>
    <n v="57827722"/>
    <x v="776"/>
    <s v="MT"/>
    <n v="475"/>
    <s v="Site Consul"/>
    <n v="1352"/>
    <n v="326023536"/>
    <s v="Filtros"/>
    <x v="5"/>
    <n v="1000"/>
    <n v="5002359"/>
    <s v="EMPRESA BRASILEIRA DE CORREIOS E"/>
    <n v="184.08"/>
    <d v="2025-07-29T00:00:00"/>
  </r>
  <r>
    <n v="254018386"/>
    <n v="64792384"/>
    <s v="REB"/>
    <n v="9639815"/>
    <n v="176"/>
    <s v="PEÇAS - Defeito de fabric./Interrompido"/>
    <s v="FUNCIONAL"/>
    <x v="2"/>
    <n v="81988"/>
    <x v="38"/>
    <s v="MG"/>
    <n v="648"/>
    <s v="Ultra"/>
    <n v="1350"/>
    <n v="326014231"/>
    <s v="Evaporadores"/>
    <x v="0"/>
    <n v="1000"/>
    <n v="5004215"/>
    <s v="BRASIL WEB TRANSPORTES E LOGISTICA"/>
    <n v="183.93"/>
    <d v="2025-06-16T00:00:00"/>
  </r>
  <r>
    <n v="254033416"/>
    <n v="64802534"/>
    <s v="REB"/>
    <n v="9998756"/>
    <n v="173"/>
    <s v="PEÇAS - Defeito de fabric./Alta Amperage"/>
    <s v="FUNCIONAL"/>
    <x v="0"/>
    <n v="51613"/>
    <x v="34"/>
    <s v="MG"/>
    <n v="643"/>
    <s v="Elite"/>
    <n v="1350"/>
    <s v="W10849469"/>
    <s v="Bombas"/>
    <x v="1"/>
    <n v="6000"/>
    <n v="5004215"/>
    <s v="BRASIL WEB TRANSPORTES E LOGISTICA"/>
    <n v="183.74"/>
    <d v="2025-07-01T00:00:00"/>
  </r>
  <r>
    <n v="254035909"/>
    <n v="64814029"/>
    <s v="ZRDI"/>
    <n v="10117859"/>
    <n v="208"/>
    <s v="DEV-Atraso entrega- LOGISTICA(Transp)"/>
    <s v="TRANSPORTADORA"/>
    <x v="2"/>
    <n v="58129426"/>
    <x v="777"/>
    <s v="RJ"/>
    <n v="475"/>
    <s v="Site Consul"/>
    <n v="1352"/>
    <n v="326054912"/>
    <s v="Bandejas"/>
    <x v="9"/>
    <n v="1000"/>
    <n v="5002359"/>
    <s v="EMPRESA BRASILEIRA DE CORREIOS E"/>
    <n v="183.61"/>
    <d v="2025-07-21T00:00:00"/>
  </r>
  <r>
    <n v="253961276"/>
    <n v="64735488"/>
    <s v="REB"/>
    <n v="9906455"/>
    <n v="176"/>
    <s v="PEÇAS - Defeito de fabric./Interrompido"/>
    <s v="FUNCIONAL"/>
    <x v="1"/>
    <n v="24089"/>
    <x v="134"/>
    <s v="RJ"/>
    <n v="931"/>
    <s v="Ats Off"/>
    <n v="1350"/>
    <s v="W10510889"/>
    <s v="Filtros"/>
    <x v="5"/>
    <n v="1000"/>
    <n v="5003176"/>
    <s v="J C THEDIN TRANSPORTES LTDA"/>
    <n v="183.37"/>
    <d v="2025-03-26T00:00:00"/>
  </r>
  <r>
    <s v="Sem TR"/>
    <n v="64812848"/>
    <s v="ZRDI"/>
    <n v="10127906"/>
    <s v="D31"/>
    <s v="DEV D2C - Defeito estético manufatura"/>
    <s v="MANUFATURA"/>
    <x v="2"/>
    <n v="54710176"/>
    <x v="778"/>
    <s v="RS"/>
    <n v="474"/>
    <s v="Site Brastemp"/>
    <n v="1352"/>
    <s v="W11298039"/>
    <s v="Gavetas"/>
    <x v="9"/>
    <n v="1000"/>
    <n v="5002359"/>
    <s v="EMPRESA BRASILEIRA DE CORREIOS E"/>
    <n v="183"/>
    <d v="2025-07-18T00:00:00"/>
  </r>
  <r>
    <s v="Sem TR"/>
    <n v="64812848"/>
    <s v="ZRDI"/>
    <n v="10127906"/>
    <s v="D31"/>
    <s v="DEV D2C - Defeito estético manufatura"/>
    <s v="MANUFATURA"/>
    <x v="2"/>
    <n v="54710176"/>
    <x v="778"/>
    <s v="RS"/>
    <n v="474"/>
    <s v="Site Brastemp"/>
    <n v="1352"/>
    <s v="W11298039"/>
    <s v="Gavetas"/>
    <x v="9"/>
    <n v="1000"/>
    <n v="5002359"/>
    <s v="EMPRESA BRASILEIRA DE CORREIOS E"/>
    <n v="183"/>
    <d v="2025-07-18T00:00:00"/>
  </r>
  <r>
    <s v="Sem TR"/>
    <n v="64819669"/>
    <s v="ZRDI"/>
    <n v="10129895"/>
    <s v="D10"/>
    <s v="DEV D2C - Comprou modelo errado"/>
    <s v="COMERCIAL"/>
    <x v="1"/>
    <n v="58147174"/>
    <x v="779"/>
    <s v="RS"/>
    <n v="474"/>
    <s v="Site Brastemp"/>
    <n v="1352"/>
    <s v="W11298039"/>
    <s v="Gavetas"/>
    <x v="9"/>
    <n v="1000"/>
    <n v="5002359"/>
    <s v="EMPRESA BRASILEIRA DE CORREIOS E"/>
    <n v="183"/>
    <d v="2025-07-29T00:00:00"/>
  </r>
  <r>
    <s v="Sem TR"/>
    <n v="64820414"/>
    <s v="ZRDI"/>
    <n v="10133683"/>
    <s v="D31"/>
    <s v="DEV D2C - Defeito estético manufatura"/>
    <s v="MANUFATURA"/>
    <x v="1"/>
    <n v="58150949"/>
    <x v="780"/>
    <s v="RS"/>
    <n v="474"/>
    <s v="Site Brastemp"/>
    <n v="1352"/>
    <s v="W11298039"/>
    <s v="Gavetas"/>
    <x v="9"/>
    <n v="1000"/>
    <n v="5002359"/>
    <s v="EMPRESA BRASILEIRA DE CORREIOS E"/>
    <n v="183"/>
    <d v="2025-07-30T00:00:00"/>
  </r>
  <r>
    <n v="254030021"/>
    <n v="64809498"/>
    <s v="ZRDI"/>
    <n v="10107540"/>
    <n v="208"/>
    <s v="DEV-Atraso entrega- LOGISTICA(Transp)"/>
    <s v="TRANSPORTADORA"/>
    <x v="2"/>
    <n v="53992361"/>
    <x v="781"/>
    <s v="SP"/>
    <n v="474"/>
    <s v="Site Brastemp"/>
    <n v="1352"/>
    <s v="W10866790"/>
    <s v="Kits Instalação"/>
    <x v="7"/>
    <n v="1000"/>
    <n v="5002359"/>
    <s v="EMPRESA BRASILEIRA DE CORREIOS E"/>
    <n v="182.89"/>
    <d v="2025-07-11T00:00:00"/>
  </r>
  <r>
    <n v="253981589"/>
    <n v="64757820"/>
    <s v="REB"/>
    <n v="9982364"/>
    <n v="104"/>
    <s v="PEÇAS-Código trocado(embalag X conteúdo)"/>
    <s v="LOGÍSTICA"/>
    <x v="1"/>
    <n v="83572"/>
    <x v="105"/>
    <s v="SP"/>
    <n v="931"/>
    <s v="Ats Off"/>
    <n v="1350"/>
    <n v="326062041"/>
    <s v="Recipientes de Evaporação"/>
    <x v="9"/>
    <n v="10000"/>
    <n v="5004042"/>
    <s v="BRASIL WEB TRANSPORTES E LOGISTICA"/>
    <n v="182.8"/>
    <d v="2025-04-25T00:00:00"/>
  </r>
  <r>
    <n v="254033317"/>
    <n v="64791687"/>
    <s v="REB"/>
    <n v="10109910"/>
    <n v="176"/>
    <s v="PEÇAS - Defeito de fabric./Interrompido"/>
    <s v="FUNCIONAL"/>
    <x v="1"/>
    <n v="24089"/>
    <x v="134"/>
    <s v="RJ"/>
    <n v="931"/>
    <s v="Ats Off"/>
    <n v="1350"/>
    <s v="W11371164"/>
    <s v="Mecanismos"/>
    <x v="2"/>
    <n v="1000"/>
    <n v="5003176"/>
    <s v="J C THEDIN TRANSPORTES LTDA"/>
    <n v="182.73"/>
    <d v="2025-07-08T00:00:00"/>
  </r>
  <r>
    <s v="Sem TR"/>
    <n v="64807138"/>
    <s v="ZRDI"/>
    <n v="10071180"/>
    <s v="D18"/>
    <s v="DEV D2C - Arrependimento não quero mais"/>
    <s v="COMERCIAL"/>
    <x v="2"/>
    <n v="56118717"/>
    <x v="782"/>
    <s v="MT"/>
    <n v="474"/>
    <s v="Site Brastemp"/>
    <n v="1352"/>
    <s v="W11245249"/>
    <s v="Válvulas de Água"/>
    <x v="5"/>
    <n v="2000"/>
    <n v="5002359"/>
    <s v="EMPRESA BRASILEIRA DE CORREIOS E"/>
    <n v="182.68"/>
    <d v="2025-07-09T00:00:00"/>
  </r>
  <r>
    <s v="Sem TR"/>
    <n v="64807138"/>
    <s v="ZRDI"/>
    <n v="10071180"/>
    <s v="D18"/>
    <s v="DEV D2C - Arrependimento não quero mais"/>
    <s v="COMERCIAL"/>
    <x v="2"/>
    <n v="56118717"/>
    <x v="782"/>
    <s v="MT"/>
    <n v="474"/>
    <s v="Site Brastemp"/>
    <n v="1352"/>
    <s v="W11245249"/>
    <s v="Válvulas de Água"/>
    <x v="5"/>
    <n v="2000"/>
    <n v="5002359"/>
    <s v="EMPRESA BRASILEIRA DE CORREIOS E"/>
    <n v="182.68"/>
    <d v="2025-07-09T00:00:00"/>
  </r>
  <r>
    <s v="Sem TR"/>
    <n v="64817470"/>
    <s v="REB"/>
    <n v="10018018"/>
    <n v="173"/>
    <s v="PEÇAS - Defeito de fabric./Alta Amperage"/>
    <s v="FUNCIONAL"/>
    <x v="1"/>
    <n v="67948"/>
    <x v="15"/>
    <s v="SC"/>
    <n v="713"/>
    <s v="Key Account"/>
    <n v="1350"/>
    <s v="W11352538"/>
    <s v="Placas de Controle"/>
    <x v="1"/>
    <n v="2000"/>
    <n v="5003024"/>
    <s v="RODOBRAS TRANSPORTES RODOVIARIOS LT"/>
    <n v="182.62"/>
    <d v="2025-07-25T00:00:00"/>
  </r>
  <r>
    <s v="Sem TR"/>
    <n v="64819969"/>
    <s v="ZRDI"/>
    <n v="10141567"/>
    <s v="D10"/>
    <s v="DEV D2C - Comprou modelo errado"/>
    <s v="COMERCIAL"/>
    <x v="1"/>
    <n v="52832673"/>
    <x v="783"/>
    <s v="SC"/>
    <n v="474"/>
    <s v="Site Brastemp"/>
    <n v="1352"/>
    <s v="W11298039"/>
    <s v="Gavetas"/>
    <x v="9"/>
    <n v="1000"/>
    <n v="5002359"/>
    <s v="EMPRESA BRASILEIRA DE CORREIOS E"/>
    <n v="182.51"/>
    <d v="2025-07-29T00:00:00"/>
  </r>
  <r>
    <n v="254027639"/>
    <n v="64807241"/>
    <s v="ROB"/>
    <n v="10115324"/>
    <n v="240"/>
    <s v="DEV-Avaria - 2 trecho transp - Produto"/>
    <s v="QUALIDADE"/>
    <x v="0"/>
    <n v="67852"/>
    <x v="784"/>
    <s v="MT"/>
    <n v="350"/>
    <s v="Ats On"/>
    <n v="1350"/>
    <s v="W10555140"/>
    <s v="Resistências"/>
    <x v="1"/>
    <n v="3000"/>
    <n v="5002573"/>
    <s v="CARVALIMA TRANSPORTES LTDA"/>
    <n v="182.5"/>
    <d v="2025-07-08T00:00:00"/>
  </r>
  <r>
    <s v="Sem TR"/>
    <n v="64805158"/>
    <s v="ZRDI"/>
    <n v="10120223"/>
    <s v="D18"/>
    <s v="DEV D2C - Arrependimento não quero mais"/>
    <s v="COMERCIAL"/>
    <x v="2"/>
    <n v="58131567"/>
    <x v="785"/>
    <s v="MG"/>
    <n v="466"/>
    <s v="Sup ML Marketplace"/>
    <n v="1352"/>
    <s v="W10912647"/>
    <s v="Trempes"/>
    <x v="6"/>
    <n v="2000"/>
    <n v="5002359"/>
    <s v="EMPRESA BRASILEIRA DE CORREIOS E"/>
    <n v="182.42"/>
    <d v="2025-07-14T00:00:00"/>
  </r>
  <r>
    <s v="Sem TR"/>
    <n v="64819904"/>
    <s v="ZRDI"/>
    <n v="10129827"/>
    <s v="D35"/>
    <s v="DEV D2C - Prod difere do comprado"/>
    <s v="COMERCIAL"/>
    <x v="1"/>
    <n v="53139410"/>
    <x v="786"/>
    <s v="PR"/>
    <n v="474"/>
    <s v="Site Brastemp"/>
    <n v="1352"/>
    <s v="W10624070"/>
    <s v="Gavetas"/>
    <x v="9"/>
    <n v="1000"/>
    <n v="5002359"/>
    <s v="EMPRESA BRASILEIRA DE CORREIOS E"/>
    <n v="182.33"/>
    <d v="2025-07-29T00:00:00"/>
  </r>
  <r>
    <n v="254030207"/>
    <n v="64807390"/>
    <s v="REB"/>
    <n v="9992130"/>
    <n v="176"/>
    <s v="PEÇAS - Defeito de fabric./Interrompido"/>
    <s v="FUNCIONAL"/>
    <x v="1"/>
    <n v="32263"/>
    <x v="157"/>
    <s v="PA"/>
    <n v="641"/>
    <s v="CDP Diamante"/>
    <n v="1350"/>
    <s v="W10780260"/>
    <s v="Placas de Controle"/>
    <x v="1"/>
    <n v="1000"/>
    <n v="5002858"/>
    <s v="FAVORITA TRANSPORTES LTDA"/>
    <n v="182.26"/>
    <d v="2025-07-08T00:00:00"/>
  </r>
  <r>
    <n v="253988917"/>
    <n v="64764254"/>
    <s v="REB"/>
    <n v="9551504"/>
    <n v="173"/>
    <s v="PEÇAS - Defeito de fabric./Alta Amperage"/>
    <s v="FUNCIONAL"/>
    <x v="1"/>
    <n v="73003"/>
    <x v="294"/>
    <s v="SC"/>
    <n v="931"/>
    <s v="Ats Off"/>
    <n v="1350"/>
    <s v="W11543434"/>
    <s v="Outros"/>
    <x v="7"/>
    <n v="1000"/>
    <n v="5003024"/>
    <s v="RODOBRAS TRANSPORTES RODOVIARIOS LT"/>
    <n v="182.26"/>
    <d v="2025-05-05T00:00:00"/>
  </r>
  <r>
    <n v="254035377"/>
    <n v="64812458"/>
    <s v="REB"/>
    <n v="10060429"/>
    <n v="176"/>
    <s v="PEÇAS - Defeito de fabric./Interrompido"/>
    <s v="FUNCIONAL"/>
    <x v="1"/>
    <n v="32263"/>
    <x v="157"/>
    <s v="PA"/>
    <n v="641"/>
    <s v="CDP Diamante"/>
    <n v="1350"/>
    <s v="W10780260"/>
    <s v="Placas de Controle"/>
    <x v="1"/>
    <n v="1000"/>
    <n v="5002858"/>
    <s v="FAVORITA TRANSPORTES LTDA"/>
    <n v="182.26"/>
    <d v="2025-07-17T00:00:00"/>
  </r>
  <r>
    <s v="Sem TR"/>
    <n v="64816018"/>
    <s v="ZRDI"/>
    <n v="10140163"/>
    <s v="D31"/>
    <s v="DEV D2C - Defeito estético manufatura"/>
    <s v="MANUFATURA"/>
    <x v="2"/>
    <n v="58163631"/>
    <x v="787"/>
    <s v="RJ"/>
    <n v="474"/>
    <s v="Site Brastemp"/>
    <n v="1352"/>
    <s v="W11298039"/>
    <s v="Gavetas"/>
    <x v="9"/>
    <n v="1000"/>
    <n v="5002359"/>
    <s v="EMPRESA BRASILEIRA DE CORREIOS E"/>
    <n v="182.21"/>
    <d v="2025-07-25T00:00:00"/>
  </r>
  <r>
    <s v="Sem TR"/>
    <n v="64816018"/>
    <s v="ZRDI"/>
    <n v="10140163"/>
    <s v="D31"/>
    <s v="DEV D2C - Defeito estético manufatura"/>
    <s v="MANUFATURA"/>
    <x v="2"/>
    <n v="58163631"/>
    <x v="787"/>
    <s v="RJ"/>
    <n v="474"/>
    <s v="Site Brastemp"/>
    <n v="1352"/>
    <s v="W11298039"/>
    <s v="Gavetas"/>
    <x v="9"/>
    <n v="1000"/>
    <n v="5002359"/>
    <s v="EMPRESA BRASILEIRA DE CORREIOS E"/>
    <n v="182.21"/>
    <d v="2025-07-25T00:00:00"/>
  </r>
  <r>
    <n v="254023337"/>
    <n v="64585101"/>
    <s v="REB"/>
    <n v="9257132"/>
    <n v="165"/>
    <s v="PEÇAS - Defeito de fabric./Incompleta"/>
    <s v="FUNCIONAL"/>
    <x v="1"/>
    <n v="22040"/>
    <x v="230"/>
    <s v="SP"/>
    <n v="932"/>
    <s v="CDP Prata"/>
    <n v="1350"/>
    <s v="W11300681"/>
    <s v="Mecanismos"/>
    <x v="2"/>
    <n v="1000"/>
    <n v="5004042"/>
    <s v="BRASIL WEB TRANSPORTES E LOGISTICA"/>
    <n v="182.21"/>
    <d v="2024-07-30T00:00:00"/>
  </r>
  <r>
    <n v="254027821"/>
    <n v="64807491"/>
    <s v="ZRDI"/>
    <n v="10108125"/>
    <s v="D25"/>
    <s v="DEV D2C - Prob na entrega (Não recebi)"/>
    <s v="TRANSPORTADORA"/>
    <x v="2"/>
    <n v="57688344"/>
    <x v="788"/>
    <s v="BA"/>
    <n v="475"/>
    <s v="Site Consul"/>
    <n v="1352"/>
    <s v="W11199342"/>
    <s v="Filtros"/>
    <x v="5"/>
    <n v="2000"/>
    <n v="5002359"/>
    <s v="EMPRESA BRASILEIRA DE CORREIOS E"/>
    <n v="181.9"/>
    <d v="2025-07-08T00:00:00"/>
  </r>
  <r>
    <n v="254039193"/>
    <n v="64817075"/>
    <s v="ZRDI"/>
    <n v="10122066"/>
    <n v="208"/>
    <s v="DEV-Atraso entrega- LOGISTICA(Transp)"/>
    <s v="TRANSPORTADORA"/>
    <x v="2"/>
    <n v="52879267"/>
    <x v="789"/>
    <s v="BA"/>
    <n v="466"/>
    <s v="Sup ML Marketplace"/>
    <n v="1352"/>
    <s v="W11298039"/>
    <s v="Gavetas"/>
    <x v="9"/>
    <n v="1000"/>
    <n v="5002359"/>
    <s v="EMPRESA BRASILEIRA DE CORREIOS E"/>
    <n v="181.9"/>
    <d v="2025-07-24T00:00:00"/>
  </r>
  <r>
    <n v="254039193"/>
    <n v="64817075"/>
    <s v="ZRDI"/>
    <n v="10122066"/>
    <n v="208"/>
    <s v="DEV-Atraso entrega- LOGISTICA(Transp)"/>
    <s v="TRANSPORTADORA"/>
    <x v="2"/>
    <n v="52879267"/>
    <x v="789"/>
    <s v="BA"/>
    <n v="466"/>
    <s v="Sup ML Marketplace"/>
    <n v="1352"/>
    <s v="W11298039"/>
    <s v="Gavetas"/>
    <x v="9"/>
    <n v="1000"/>
    <n v="5002359"/>
    <s v="EMPRESA BRASILEIRA DE CORREIOS E"/>
    <n v="181.9"/>
    <d v="2025-07-24T00:00:00"/>
  </r>
  <r>
    <n v="253918575"/>
    <n v="64691680"/>
    <s v="REB"/>
    <n v="9726928"/>
    <n v="173"/>
    <s v="PEÇAS - Defeito de fabric./Alta Amperage"/>
    <s v="FUNCIONAL"/>
    <x v="2"/>
    <n v="34365"/>
    <x v="339"/>
    <s v="CE"/>
    <n v="931"/>
    <s v="Ats Off"/>
    <n v="1350"/>
    <s v="W11045218"/>
    <s v="Placas de Controle"/>
    <x v="1"/>
    <n v="2000"/>
    <n v="5004101"/>
    <s v="UNIDOCK'S ASSESSORIA E LOGISTICA DE"/>
    <n v="181.88"/>
    <d v="2025-01-15T00:00:00"/>
  </r>
  <r>
    <s v="Sem TR"/>
    <n v="64806391"/>
    <s v="ZRDI"/>
    <n v="10110250"/>
    <s v="D31"/>
    <s v="DEV D2C - Defeito estético manufatura"/>
    <s v="MANUFATURA"/>
    <x v="2"/>
    <n v="51471837"/>
    <x v="790"/>
    <s v="RS"/>
    <n v="474"/>
    <s v="Site Brastemp"/>
    <n v="1352"/>
    <s v="W10624070"/>
    <s v="Gavetas"/>
    <x v="9"/>
    <n v="1000"/>
    <n v="5002359"/>
    <s v="EMPRESA BRASILEIRA DE CORREIOS E"/>
    <n v="181.88"/>
    <d v="2025-07-08T00:00:00"/>
  </r>
  <r>
    <s v="Sem TR"/>
    <n v="64806391"/>
    <s v="ZRDI"/>
    <n v="10110250"/>
    <s v="D31"/>
    <s v="DEV D2C - Defeito estético manufatura"/>
    <s v="MANUFATURA"/>
    <x v="2"/>
    <n v="51471837"/>
    <x v="790"/>
    <s v="RS"/>
    <n v="474"/>
    <s v="Site Brastemp"/>
    <n v="1352"/>
    <s v="W10624070"/>
    <s v="Gavetas"/>
    <x v="9"/>
    <n v="1000"/>
    <n v="5002359"/>
    <s v="EMPRESA BRASILEIRA DE CORREIOS E"/>
    <n v="181.88"/>
    <d v="2025-07-08T00:00:00"/>
  </r>
  <r>
    <s v="Sem TR"/>
    <n v="64820414"/>
    <s v="ZRDI"/>
    <n v="10133683"/>
    <s v="D31"/>
    <s v="DEV D2C - Defeito estético manufatura"/>
    <s v="MANUFATURA"/>
    <x v="1"/>
    <n v="58150949"/>
    <x v="780"/>
    <s v="RS"/>
    <n v="474"/>
    <s v="Site Brastemp"/>
    <n v="1352"/>
    <s v="W10624070"/>
    <s v="Gavetas"/>
    <x v="9"/>
    <n v="1000"/>
    <n v="5002359"/>
    <s v="EMPRESA BRASILEIRA DE CORREIOS E"/>
    <n v="181.88"/>
    <d v="2025-07-30T00:00:00"/>
  </r>
  <r>
    <n v="254012520"/>
    <n v="64789337"/>
    <s v="REB"/>
    <n v="9908161"/>
    <n v="173"/>
    <s v="PEÇAS - Defeito de fabric./Alta Amperage"/>
    <s v="FUNCIONAL"/>
    <x v="2"/>
    <n v="38014"/>
    <x v="791"/>
    <s v="PA"/>
    <n v="641"/>
    <s v="CDP Diamante"/>
    <n v="1350"/>
    <s v="W10700346"/>
    <s v="Placas de Controle"/>
    <x v="1"/>
    <n v="1000"/>
    <n v="5002858"/>
    <s v="FAVORITA TRANSPORTES LTDA"/>
    <n v="181.58"/>
    <d v="2025-06-10T00:00:00"/>
  </r>
  <r>
    <n v="254012603"/>
    <n v="64789412"/>
    <s v="REB"/>
    <n v="10042086"/>
    <n v="173"/>
    <s v="PEÇAS - Defeito de fabric./Alta Amperage"/>
    <s v="FUNCIONAL"/>
    <x v="2"/>
    <n v="69166"/>
    <x v="129"/>
    <s v="RJ"/>
    <n v="931"/>
    <s v="Ats Off"/>
    <n v="1350"/>
    <s v="W11300695"/>
    <s v="Mecanismos"/>
    <x v="2"/>
    <n v="1000"/>
    <n v="5003176"/>
    <s v="J C THEDIN TRANSPORTES LTDA"/>
    <n v="181.51"/>
    <d v="2025-06-10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0866790"/>
    <s v="Kits Instalação"/>
    <x v="7"/>
    <n v="1000"/>
    <n v="5002359"/>
    <s v="EMPRESA BRASILEIRA DE CORREIOS E"/>
    <n v="181.26"/>
    <d v="2025-07-23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0866790"/>
    <s v="Kits Instalação"/>
    <x v="7"/>
    <n v="1000"/>
    <n v="5002359"/>
    <s v="EMPRESA BRASILEIRA DE CORREIOS E"/>
    <n v="181.26"/>
    <d v="2025-07-23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212441"/>
    <s v="Prateleiras"/>
    <x v="9"/>
    <n v="10000"/>
    <n v="5002858"/>
    <s v="FAVORITA TRANSPORTES LTDA"/>
    <n v="181.2"/>
    <d v="2025-07-15T00:00:00"/>
  </r>
  <r>
    <s v="Sem TR"/>
    <n v="64813903"/>
    <s v="ZRDI"/>
    <n v="10123327"/>
    <s v="D10"/>
    <s v="DEV D2C - Comprou modelo errado"/>
    <s v="COMERCIAL"/>
    <x v="2"/>
    <n v="55117554"/>
    <x v="793"/>
    <s v="DF"/>
    <n v="474"/>
    <s v="Site Brastemp"/>
    <n v="1352"/>
    <s v="W11298039"/>
    <s v="Gavetas"/>
    <x v="9"/>
    <n v="1000"/>
    <n v="5002359"/>
    <s v="EMPRESA BRASILEIRA DE CORREIOS E"/>
    <n v="181.12"/>
    <d v="2025-07-22T00:00:00"/>
  </r>
  <r>
    <s v="Sem TR"/>
    <n v="64813903"/>
    <s v="ZRDI"/>
    <n v="10123327"/>
    <s v="D10"/>
    <s v="DEV D2C - Comprou modelo errado"/>
    <s v="COMERCIAL"/>
    <x v="2"/>
    <n v="55117554"/>
    <x v="793"/>
    <s v="DF"/>
    <n v="474"/>
    <s v="Site Brastemp"/>
    <n v="1352"/>
    <s v="W11298039"/>
    <s v="Gavetas"/>
    <x v="9"/>
    <n v="1000"/>
    <n v="5002359"/>
    <s v="EMPRESA BRASILEIRA DE CORREIOS E"/>
    <n v="181.12"/>
    <d v="2025-07-22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408280"/>
    <s v="Válvulas de Água"/>
    <x v="5"/>
    <n v="3000"/>
    <n v="5002858"/>
    <s v="FAVORITA TRANSPORTES LTDA"/>
    <n v="181.11"/>
    <d v="2025-07-15T00:00:00"/>
  </r>
  <r>
    <n v="254024305"/>
    <n v="64789028"/>
    <s v="ROB"/>
    <n v="10108733"/>
    <n v="115"/>
    <s v="PEÇAS-Recusa do cliente"/>
    <s v="COMERCIAL"/>
    <x v="0"/>
    <n v="32856"/>
    <x v="60"/>
    <s v="PR"/>
    <n v="713"/>
    <s v="Key Account"/>
    <n v="1350"/>
    <s v="W10515645"/>
    <s v="Filtros"/>
    <x v="5"/>
    <n v="9000"/>
    <n v="5003024"/>
    <s v="RODOBRAS TRANSPORTES RODOVIARIOS LT"/>
    <n v="181.08"/>
    <d v="2025-07-02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471975"/>
    <s v="Interruptores"/>
    <x v="3"/>
    <n v="5000"/>
    <n v="5004042"/>
    <s v="BRASIL WEB TRANSPORTES E LOGISTICA"/>
    <n v="181.03"/>
    <d v="2025-05-26T00:00:00"/>
  </r>
  <r>
    <s v="Sem TR"/>
    <n v="64802623"/>
    <s v="ZRDI"/>
    <n v="10109532"/>
    <s v="D18"/>
    <s v="DEV D2C - Arrependimento não quero mais"/>
    <s v="COMERCIAL"/>
    <x v="2"/>
    <n v="58120347"/>
    <x v="794"/>
    <s v="RJ"/>
    <n v="474"/>
    <s v="Site Brastemp"/>
    <n v="1352"/>
    <s v="W10866790"/>
    <s v="Kits Instalação"/>
    <x v="7"/>
    <n v="1000"/>
    <n v="5002359"/>
    <s v="EMPRESA BRASILEIRA DE CORREIOS E"/>
    <n v="180.96"/>
    <d v="2025-07-04T00:00:00"/>
  </r>
  <r>
    <s v="Sem TR"/>
    <n v="64804993"/>
    <s v="ZRDI"/>
    <n v="10112164"/>
    <s v="D10"/>
    <s v="DEV D2C - Comprou modelo errado"/>
    <s v="COMERCIAL"/>
    <x v="2"/>
    <n v="53609291"/>
    <x v="795"/>
    <s v="RJ"/>
    <n v="474"/>
    <s v="Site Brastemp"/>
    <n v="1352"/>
    <s v="W10866790"/>
    <s v="Kits Instalação"/>
    <x v="7"/>
    <n v="1000"/>
    <n v="5002359"/>
    <s v="EMPRESA BRASILEIRA DE CORREIOS E"/>
    <n v="180.96"/>
    <d v="2025-07-03T00:00:00"/>
  </r>
  <r>
    <n v="254027363"/>
    <n v="64806768"/>
    <s v="ZRDI"/>
    <n v="10112451"/>
    <n v="208"/>
    <s v="DEV-Atraso entrega- LOGISTICA(Transp)"/>
    <s v="TRANSPORTADORA"/>
    <x v="2"/>
    <n v="50921881"/>
    <x v="796"/>
    <s v="RJ"/>
    <n v="474"/>
    <s v="Site Brastemp"/>
    <n v="1352"/>
    <s v="W10866790"/>
    <s v="Kits Instalação"/>
    <x v="7"/>
    <n v="1000"/>
    <n v="5002359"/>
    <s v="EMPRESA BRASILEIRA DE CORREIOS E"/>
    <n v="180.96"/>
    <d v="2025-07-07T00:00:00"/>
  </r>
  <r>
    <n v="254033334"/>
    <n v="64807129"/>
    <s v="REB"/>
    <n v="10093771"/>
    <n v="167"/>
    <s v="PEÇAS - Avaria - Quebrada/Depósito"/>
    <s v="LOGÍSTICA"/>
    <x v="1"/>
    <n v="27337"/>
    <x v="145"/>
    <s v="RJ"/>
    <n v="641"/>
    <s v="CDP Diamante"/>
    <n v="1350"/>
    <s v="W10875028"/>
    <s v="Hélices"/>
    <x v="5"/>
    <n v="1000"/>
    <n v="5003176"/>
    <s v="J C THEDIN TRANSPORTES LTDA"/>
    <n v="180.78"/>
    <d v="2025-07-08T00:00:00"/>
  </r>
  <r>
    <s v="Sem TR"/>
    <n v="64798926"/>
    <s v="ZRDI"/>
    <n v="10081524"/>
    <n v="208"/>
    <s v="DEV-Atraso entrega- LOGISTICA(Transp)"/>
    <s v="TRANSPORTADORA"/>
    <x v="2"/>
    <n v="50164260"/>
    <x v="797"/>
    <s v="SP"/>
    <n v="475"/>
    <s v="Site Consul"/>
    <n v="1352"/>
    <s v="W11199342"/>
    <s v="Filtros"/>
    <x v="5"/>
    <n v="2000"/>
    <n v="5002359"/>
    <s v="EMPRESA BRASILEIRA DE CORREIOS E"/>
    <n v="180.72"/>
    <d v="2025-06-26T00:00:00"/>
  </r>
  <r>
    <s v="Sem TR"/>
    <n v="64798926"/>
    <s v="ZRDI"/>
    <n v="10081524"/>
    <n v="208"/>
    <s v="DEV-Atraso entrega- LOGISTICA(Transp)"/>
    <s v="TRANSPORTADORA"/>
    <x v="2"/>
    <n v="50164260"/>
    <x v="797"/>
    <s v="SP"/>
    <n v="475"/>
    <s v="Site Consul"/>
    <n v="1352"/>
    <s v="W11199342"/>
    <s v="Filtros"/>
    <x v="5"/>
    <n v="2000"/>
    <n v="5002359"/>
    <s v="EMPRESA BRASILEIRA DE CORREIOS E"/>
    <n v="180.7"/>
    <d v="2025-06-26T00:00:00"/>
  </r>
  <r>
    <n v="254027361"/>
    <n v="64806765"/>
    <s v="ZRDI"/>
    <n v="10110226"/>
    <n v="208"/>
    <s v="DEV-Atraso entrega- LOGISTICA(Transp)"/>
    <s v="TRANSPORTADORA"/>
    <x v="2"/>
    <n v="51576565"/>
    <x v="798"/>
    <s v="RJ"/>
    <n v="474"/>
    <s v="Site Brastemp"/>
    <n v="1352"/>
    <s v="W10624070"/>
    <s v="Gavetas"/>
    <x v="9"/>
    <n v="1000"/>
    <n v="5002359"/>
    <s v="EMPRESA BRASILEIRA DE CORREIOS E"/>
    <n v="180.69"/>
    <d v="2025-07-07T00:00:00"/>
  </r>
  <r>
    <s v="Sem TR"/>
    <n v="64810605"/>
    <s v="ZRDI"/>
    <n v="10126708"/>
    <s v="D31"/>
    <s v="DEV D2C - Defeito estético manufatura"/>
    <s v="MANUFATURA"/>
    <x v="2"/>
    <n v="52652083"/>
    <x v="799"/>
    <s v="SP"/>
    <n v="474"/>
    <s v="Site Brastemp"/>
    <n v="1352"/>
    <s v="W10624070"/>
    <s v="Gavetas"/>
    <x v="9"/>
    <n v="1000"/>
    <n v="5002359"/>
    <s v="EMPRESA BRASILEIRA DE CORREIOS E"/>
    <n v="180.69"/>
    <d v="2025-07-15T00:00:00"/>
  </r>
  <r>
    <s v="Sem TR"/>
    <n v="64816018"/>
    <s v="ZRDI"/>
    <n v="10140163"/>
    <s v="D31"/>
    <s v="DEV D2C - Defeito estético manufatura"/>
    <s v="MANUFATURA"/>
    <x v="2"/>
    <n v="58163631"/>
    <x v="787"/>
    <s v="RJ"/>
    <n v="474"/>
    <s v="Site Brastemp"/>
    <n v="1352"/>
    <s v="W10624070"/>
    <s v="Gavetas"/>
    <x v="9"/>
    <n v="1000"/>
    <n v="5002359"/>
    <s v="EMPRESA BRASILEIRA DE CORREIOS E"/>
    <n v="180.69"/>
    <d v="2025-07-25T00:00:00"/>
  </r>
  <r>
    <s v="Sem TR"/>
    <n v="64810605"/>
    <s v="ZRDI"/>
    <n v="10126708"/>
    <s v="D31"/>
    <s v="DEV D2C - Defeito estético manufatura"/>
    <s v="MANUFATURA"/>
    <x v="2"/>
    <n v="52652083"/>
    <x v="799"/>
    <s v="SP"/>
    <n v="474"/>
    <s v="Site Brastemp"/>
    <n v="1352"/>
    <s v="W10624070"/>
    <s v="Gavetas"/>
    <x v="9"/>
    <n v="1000"/>
    <n v="5002359"/>
    <s v="EMPRESA BRASILEIRA DE CORREIOS E"/>
    <n v="180.69"/>
    <d v="2025-07-15T00:00:00"/>
  </r>
  <r>
    <s v="Sem TR"/>
    <n v="64816018"/>
    <s v="ZRDI"/>
    <n v="10140163"/>
    <s v="D31"/>
    <s v="DEV D2C - Defeito estético manufatura"/>
    <s v="MANUFATURA"/>
    <x v="2"/>
    <n v="58163631"/>
    <x v="787"/>
    <s v="RJ"/>
    <n v="474"/>
    <s v="Site Brastemp"/>
    <n v="1352"/>
    <s v="W10624070"/>
    <s v="Gavetas"/>
    <x v="9"/>
    <n v="1000"/>
    <n v="5002359"/>
    <s v="EMPRESA BRASILEIRA DE CORREIOS E"/>
    <n v="180.69"/>
    <d v="2025-07-25T00:00:00"/>
  </r>
  <r>
    <s v="Sem TR"/>
    <n v="64815280"/>
    <s v="ZRDI"/>
    <n v="10139958"/>
    <s v="D31"/>
    <s v="DEV D2C - Defeito estético manufatura"/>
    <s v="MANUFATURA"/>
    <x v="1"/>
    <n v="50285552"/>
    <x v="800"/>
    <s v="RJ"/>
    <n v="474"/>
    <s v="Site Brastemp"/>
    <n v="1352"/>
    <s v="W10624070"/>
    <s v="Gavetas"/>
    <x v="9"/>
    <n v="1000"/>
    <n v="5002359"/>
    <s v="EMPRESA BRASILEIRA DE CORREIOS E"/>
    <n v="180.69"/>
    <d v="2025-07-28T00:00:00"/>
  </r>
  <r>
    <n v="254035934"/>
    <n v="64814039"/>
    <s v="ZRDI"/>
    <n v="10125481"/>
    <n v="208"/>
    <s v="DEV-Atraso entrega- LOGISTICA(Transp)"/>
    <s v="TRANSPORTADORA"/>
    <x v="2"/>
    <n v="58139411"/>
    <x v="801"/>
    <s v="RJ"/>
    <n v="466"/>
    <s v="Sup ML Marketplace"/>
    <n v="1352"/>
    <s v="W10287527"/>
    <s v="Prateleiras"/>
    <x v="9"/>
    <n v="1000"/>
    <n v="5002359"/>
    <s v="EMPRESA BRASILEIRA DE CORREIOS E"/>
    <n v="180.66"/>
    <d v="2025-07-21T00:00:00"/>
  </r>
  <r>
    <n v="254003906"/>
    <n v="64777941"/>
    <s v="REB"/>
    <n v="9549233"/>
    <n v="173"/>
    <s v="PEÇAS - Defeito de fabric./Alta Amperage"/>
    <s v="FUNCIONAL"/>
    <x v="1"/>
    <n v="27770"/>
    <x v="37"/>
    <s v="AL"/>
    <n v="641"/>
    <s v="CDP Diamante"/>
    <n v="1350"/>
    <s v="W11268184"/>
    <s v="Placas de Controle"/>
    <x v="1"/>
    <n v="1000"/>
    <n v="5004101"/>
    <s v="UNIDOCK'S ASSESSORIA E LOGISTICA DE"/>
    <n v="180.56"/>
    <d v="2025-05-26T00:00:00"/>
  </r>
  <r>
    <n v="254018234"/>
    <n v="64793895"/>
    <s v="REB"/>
    <n v="10063487"/>
    <n v="173"/>
    <s v="PEÇAS - Defeito de fabric./Alta Amperage"/>
    <s v="FUNCIONAL"/>
    <x v="2"/>
    <n v="21594"/>
    <x v="97"/>
    <s v="SP"/>
    <n v="931"/>
    <s v="Ats Off"/>
    <n v="1350"/>
    <s v="W11045281"/>
    <s v="Placas de Controle"/>
    <x v="1"/>
    <n v="1000"/>
    <n v="5004042"/>
    <s v="BRASIL WEB TRANSPORTES E LOGISTICA"/>
    <n v="180.49"/>
    <d v="2025-06-18T00:00:00"/>
  </r>
  <r>
    <s v="Sem TR"/>
    <n v="64766730"/>
    <s v="ROB"/>
    <n v="50577"/>
    <n v="671"/>
    <s v="DEV-ENVIADO PARA GESTÃO DE CONSEQUENCIA"/>
    <s v="TRANSPORTADORA"/>
    <x v="2"/>
    <n v="1334"/>
    <x v="188"/>
    <s v="PI"/>
    <n v="350"/>
    <s v="Ats On"/>
    <n v="1550"/>
    <s v="W10512776"/>
    <s v="Tanques"/>
    <x v="9"/>
    <n v="1000"/>
    <n v="5004391"/>
    <s v="JEONCEL TRANSPORTES LTDA"/>
    <n v="180.24"/>
    <d v="2025-05-08T00:00:00"/>
  </r>
  <r>
    <n v="254043581"/>
    <n v="64820290"/>
    <s v="ZRDI"/>
    <n v="10129894"/>
    <s v="D25"/>
    <s v="DEV D2C - Prob na entrega (Não recebi)"/>
    <s v="TRANSPORTADORA"/>
    <x v="1"/>
    <n v="58147155"/>
    <x v="802"/>
    <s v="BA"/>
    <n v="474"/>
    <s v="Site Brastemp"/>
    <n v="1352"/>
    <s v="W11225561"/>
    <s v="Tampas Móveis"/>
    <x v="6"/>
    <n v="1000"/>
    <n v="5002359"/>
    <s v="EMPRESA BRASILEIRA DE CORREIOS E"/>
    <n v="180.09"/>
    <d v="2025-07-30T00:00:00"/>
  </r>
  <r>
    <n v="254024158"/>
    <n v="64803860"/>
    <s v="ZRDI"/>
    <n v="10102485"/>
    <n v="208"/>
    <s v="DEV-Atraso entrega- LOGISTICA(Transp)"/>
    <s v="TRANSPORTADORA"/>
    <x v="2"/>
    <n v="58114281"/>
    <x v="803"/>
    <s v="SP"/>
    <n v="475"/>
    <s v="Site Consul"/>
    <n v="1352"/>
    <s v="W11199342"/>
    <s v="Filtros"/>
    <x v="5"/>
    <n v="2000"/>
    <n v="5002359"/>
    <s v="EMPRESA BRASILEIRA DE CORREIOS E"/>
    <n v="180.04"/>
    <d v="2025-07-01T00:00:00"/>
  </r>
  <r>
    <n v="254024158"/>
    <n v="64803860"/>
    <s v="ZRDI"/>
    <n v="10102485"/>
    <n v="208"/>
    <s v="DEV-Atraso entrega- LOGISTICA(Transp)"/>
    <s v="TRANSPORTADORA"/>
    <x v="2"/>
    <n v="58114281"/>
    <x v="803"/>
    <s v="SP"/>
    <n v="475"/>
    <s v="Site Consul"/>
    <n v="1352"/>
    <s v="W11199342"/>
    <s v="Filtros"/>
    <x v="5"/>
    <n v="2000"/>
    <n v="5002359"/>
    <s v="EMPRESA BRASILEIRA DE CORREIOS E"/>
    <n v="180.04"/>
    <d v="2025-07-01T00:00:00"/>
  </r>
  <r>
    <s v="Sem TR"/>
    <n v="64797763"/>
    <s v="ZRDI"/>
    <n v="10093626"/>
    <s v="D36"/>
    <s v="DEV D2C - Não comprei esse produto"/>
    <s v="COMERCIAL"/>
    <x v="2"/>
    <n v="57763627"/>
    <x v="804"/>
    <s v="DF"/>
    <n v="475"/>
    <s v="Site Consul"/>
    <n v="1352"/>
    <s v="W10301562"/>
    <s v="Filtros"/>
    <x v="5"/>
    <n v="2000"/>
    <n v="5002359"/>
    <s v="EMPRESA BRASILEIRA DE CORREIOS E"/>
    <n v="180"/>
    <d v="2025-07-02T00:00:00"/>
  </r>
  <r>
    <s v="Sem TR"/>
    <n v="64797763"/>
    <s v="ZRDI"/>
    <n v="10093626"/>
    <s v="D36"/>
    <s v="DEV D2C - Não comprei esse produto"/>
    <s v="COMERCIAL"/>
    <x v="2"/>
    <n v="57763627"/>
    <x v="804"/>
    <s v="DF"/>
    <n v="475"/>
    <s v="Site Consul"/>
    <n v="1352"/>
    <s v="W10301562"/>
    <s v="Filtros"/>
    <x v="5"/>
    <n v="2000"/>
    <n v="5002359"/>
    <s v="EMPRESA BRASILEIRA DE CORREIOS E"/>
    <n v="180"/>
    <d v="2025-07-02T00:00:00"/>
  </r>
  <r>
    <s v="Sem TR"/>
    <n v="64817001"/>
    <s v="ZRDI"/>
    <n v="10123380"/>
    <s v="D31"/>
    <s v="DEV D2C - Defeito estético manufatura"/>
    <s v="MANUFATURA"/>
    <x v="1"/>
    <n v="56521528"/>
    <x v="805"/>
    <s v="RS"/>
    <n v="475"/>
    <s v="Site Consul"/>
    <n v="1352"/>
    <s v="W11199342"/>
    <s v="Filtros"/>
    <x v="5"/>
    <n v="2000"/>
    <n v="5002359"/>
    <s v="EMPRESA BRASILEIRA DE CORREIOS E"/>
    <n v="179.98"/>
    <d v="2025-07-28T00:00:00"/>
  </r>
  <r>
    <n v="254033993"/>
    <n v="64812578"/>
    <s v="ZRDI"/>
    <n v="10122178"/>
    <n v="208"/>
    <s v="DEV-Atraso entrega- LOGISTICA(Transp)"/>
    <s v="TRANSPORTADORA"/>
    <x v="2"/>
    <n v="58134650"/>
    <x v="806"/>
    <s v="MG"/>
    <n v="474"/>
    <s v="Site Brastemp"/>
    <n v="1352"/>
    <s v="W11225561"/>
    <s v="Tampas Móveis"/>
    <x v="6"/>
    <n v="1000"/>
    <n v="5002359"/>
    <s v="EMPRESA BRASILEIRA DE CORREIOS E"/>
    <n v="179.9"/>
    <d v="2025-07-17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0268573"/>
    <s v="Gaxetas"/>
    <x v="4"/>
    <n v="5000"/>
    <n v="5004101"/>
    <s v="UNIDOCK'S ASSESSORIA E LOGISTICA DE"/>
    <n v="179.77"/>
    <d v="2025-01-27T00:00:00"/>
  </r>
  <r>
    <n v="254032628"/>
    <n v="64811536"/>
    <s v="ZRDI"/>
    <n v="10126043"/>
    <n v="208"/>
    <s v="DEV-Atraso entrega- LOGISTICA(Transp)"/>
    <s v="TRANSPORTADORA"/>
    <x v="2"/>
    <n v="54776501"/>
    <x v="807"/>
    <s v="RJ"/>
    <n v="475"/>
    <s v="Site Consul"/>
    <n v="1352"/>
    <s v="W11199342"/>
    <s v="Filtros"/>
    <x v="5"/>
    <n v="2000"/>
    <n v="5002359"/>
    <s v="EMPRESA BRASILEIRA DE CORREIOS E"/>
    <n v="179.46"/>
    <d v="2025-07-16T00:00:00"/>
  </r>
  <r>
    <n v="254034003"/>
    <n v="64812602"/>
    <s v="ZRDI"/>
    <n v="10130154"/>
    <n v="208"/>
    <s v="DEV-Atraso entrega- LOGISTICA(Transp)"/>
    <s v="TRANSPORTADORA"/>
    <x v="2"/>
    <n v="56072799"/>
    <x v="808"/>
    <s v="RJ"/>
    <n v="475"/>
    <s v="Site Consul"/>
    <n v="1352"/>
    <s v="W11199342"/>
    <s v="Filtros"/>
    <x v="5"/>
    <n v="2000"/>
    <n v="5002359"/>
    <s v="EMPRESA BRASILEIRA DE CORREIOS E"/>
    <n v="179.46"/>
    <d v="2025-07-17T00:00:00"/>
  </r>
  <r>
    <n v="254034003"/>
    <n v="64812602"/>
    <s v="ZRDI"/>
    <n v="10130154"/>
    <n v="208"/>
    <s v="DEV-Atraso entrega- LOGISTICA(Transp)"/>
    <s v="TRANSPORTADORA"/>
    <x v="2"/>
    <n v="56072799"/>
    <x v="808"/>
    <s v="RJ"/>
    <n v="475"/>
    <s v="Site Consul"/>
    <n v="1352"/>
    <s v="W11199342"/>
    <s v="Filtros"/>
    <x v="5"/>
    <n v="2000"/>
    <n v="5002359"/>
    <s v="EMPRESA BRASILEIRA DE CORREIOS E"/>
    <n v="179.46"/>
    <d v="2025-07-17T00:00:00"/>
  </r>
  <r>
    <n v="254037048"/>
    <n v="64814964"/>
    <s v="ZRDI"/>
    <n v="10075676"/>
    <n v="208"/>
    <s v="DEV-Atraso entrega- LOGISTICA(Transp)"/>
    <s v="TRANSPORTADORA"/>
    <x v="2"/>
    <n v="58072605"/>
    <x v="809"/>
    <s v="MG"/>
    <n v="474"/>
    <s v="Site Brastemp"/>
    <n v="1352"/>
    <s v="W10320833"/>
    <s v="Filtros"/>
    <x v="5"/>
    <n v="1000"/>
    <n v="5002359"/>
    <s v="EMPRESA BRASILEIRA DE CORREIOS E"/>
    <n v="179.26"/>
    <d v="2025-07-22T00:00:00"/>
  </r>
  <r>
    <n v="254037048"/>
    <n v="64814964"/>
    <s v="ZRDI"/>
    <n v="10075676"/>
    <n v="208"/>
    <s v="DEV-Atraso entrega- LOGISTICA(Transp)"/>
    <s v="TRANSPORTADORA"/>
    <x v="2"/>
    <n v="58072605"/>
    <x v="809"/>
    <s v="MG"/>
    <n v="474"/>
    <s v="Site Brastemp"/>
    <n v="1352"/>
    <s v="W10320833"/>
    <s v="Filtros"/>
    <x v="5"/>
    <n v="1000"/>
    <n v="5002359"/>
    <s v="EMPRESA BRASILEIRA DE CORREIOS E"/>
    <n v="179.26"/>
    <d v="2025-07-22T00:00:00"/>
  </r>
  <r>
    <s v="Sem TR"/>
    <n v="64812716"/>
    <s v="ZRDI"/>
    <n v="10120248"/>
    <s v="D10"/>
    <s v="DEV D2C - Comprou modelo errado"/>
    <s v="COMERCIAL"/>
    <x v="2"/>
    <n v="4588315"/>
    <x v="810"/>
    <s v="RJ"/>
    <n v="475"/>
    <s v="Site Consul"/>
    <n v="1352"/>
    <n v="326023536"/>
    <s v="Filtros"/>
    <x v="5"/>
    <n v="1000"/>
    <n v="5002359"/>
    <s v="EMPRESA BRASILEIRA DE CORREIOS E"/>
    <n v="179.25"/>
    <d v="2025-07-18T00:00:00"/>
  </r>
  <r>
    <s v="Sem TR"/>
    <n v="64812716"/>
    <s v="ZRDI"/>
    <n v="10120248"/>
    <s v="D10"/>
    <s v="DEV D2C - Comprou modelo errado"/>
    <s v="COMERCIAL"/>
    <x v="2"/>
    <n v="4588315"/>
    <x v="810"/>
    <s v="RJ"/>
    <n v="475"/>
    <s v="Site Consul"/>
    <n v="1352"/>
    <n v="326023536"/>
    <s v="Filtros"/>
    <x v="5"/>
    <n v="1000"/>
    <n v="5002359"/>
    <s v="EMPRESA BRASILEIRA DE CORREIOS E"/>
    <n v="179.25"/>
    <d v="2025-07-18T00:00:00"/>
  </r>
  <r>
    <n v="254004006"/>
    <n v="64777824"/>
    <s v="REB"/>
    <n v="9482787"/>
    <n v="168"/>
    <s v="PEÇAS-Def.Fabric.Empenamento/Abaulamento"/>
    <s v="FUNCIONAL"/>
    <x v="1"/>
    <n v="53319"/>
    <x v="172"/>
    <s v="PR"/>
    <n v="644"/>
    <s v="Plus"/>
    <n v="1350"/>
    <s v="W10882241"/>
    <s v="Agitadores"/>
    <x v="2"/>
    <n v="3000"/>
    <n v="5003024"/>
    <s v="RODOBRAS TRANSPORTES RODOVIARIOS LT"/>
    <n v="179.21"/>
    <d v="2025-05-26T00:00:00"/>
  </r>
  <r>
    <s v="Sem TR"/>
    <n v="64800168"/>
    <s v="ZRDI"/>
    <n v="10126747"/>
    <s v="D31"/>
    <s v="DEV D2C - Defeito estético manufatura"/>
    <s v="MANUFATURA"/>
    <x v="2"/>
    <n v="58141431"/>
    <x v="811"/>
    <s v="SP"/>
    <n v="474"/>
    <s v="Site Brastemp"/>
    <n v="1352"/>
    <s v="W11298039"/>
    <s v="Gavetas"/>
    <x v="9"/>
    <n v="1000"/>
    <n v="5002359"/>
    <s v="EMPRESA BRASILEIRA DE CORREIOS E"/>
    <n v="179.14"/>
    <d v="2025-07-15T00:00:00"/>
  </r>
  <r>
    <s v="Sem TR"/>
    <n v="64812992"/>
    <s v="ZRDI"/>
    <n v="10128443"/>
    <s v="D31"/>
    <s v="DEV D2C - Defeito estético manufatura"/>
    <s v="MANUFATURA"/>
    <x v="2"/>
    <n v="51390781"/>
    <x v="812"/>
    <s v="SP"/>
    <n v="474"/>
    <s v="Site Brastemp"/>
    <n v="1352"/>
    <s v="W11298039"/>
    <s v="Gavetas"/>
    <x v="9"/>
    <n v="1000"/>
    <n v="5002359"/>
    <s v="EMPRESA BRASILEIRA DE CORREIOS E"/>
    <n v="179.14"/>
    <d v="2025-07-22T00:00:00"/>
  </r>
  <r>
    <s v="Sem TR"/>
    <n v="64800168"/>
    <s v="ZRDI"/>
    <n v="10126747"/>
    <s v="D31"/>
    <s v="DEV D2C - Defeito estético manufatura"/>
    <s v="MANUFATURA"/>
    <x v="2"/>
    <n v="58141431"/>
    <x v="811"/>
    <s v="SP"/>
    <n v="474"/>
    <s v="Site Brastemp"/>
    <n v="1352"/>
    <s v="W11298039"/>
    <s v="Gavetas"/>
    <x v="9"/>
    <n v="1000"/>
    <n v="5002359"/>
    <s v="EMPRESA BRASILEIRA DE CORREIOS E"/>
    <n v="179.14"/>
    <d v="2025-07-15T00:00:00"/>
  </r>
  <r>
    <s v="Sem TR"/>
    <n v="64812992"/>
    <s v="ZRDI"/>
    <n v="10128443"/>
    <s v="D31"/>
    <s v="DEV D2C - Defeito estético manufatura"/>
    <s v="MANUFATURA"/>
    <x v="2"/>
    <n v="51390781"/>
    <x v="812"/>
    <s v="SP"/>
    <n v="474"/>
    <s v="Site Brastemp"/>
    <n v="1352"/>
    <s v="W11298039"/>
    <s v="Gavetas"/>
    <x v="9"/>
    <n v="1000"/>
    <n v="5002359"/>
    <s v="EMPRESA BRASILEIRA DE CORREIOS E"/>
    <n v="179.14"/>
    <d v="2025-07-22T00:00:00"/>
  </r>
  <r>
    <s v="Sem TR"/>
    <n v="64815925"/>
    <s v="ZRDI"/>
    <n v="10151095"/>
    <s v="D10"/>
    <s v="DEV D2C - Comprou modelo errado"/>
    <s v="COMERCIAL"/>
    <x v="1"/>
    <n v="54010394"/>
    <x v="813"/>
    <s v="SP"/>
    <n v="474"/>
    <s v="Site Brastemp"/>
    <n v="1352"/>
    <s v="W11298039"/>
    <s v="Gavetas"/>
    <x v="9"/>
    <n v="1000"/>
    <n v="5002359"/>
    <s v="EMPRESA BRASILEIRA DE CORREIOS E"/>
    <n v="179.14"/>
    <d v="2025-07-29T00:00:00"/>
  </r>
  <r>
    <n v="254018405"/>
    <n v="64792282"/>
    <s v="REB"/>
    <n v="10064998"/>
    <n v="167"/>
    <s v="PEÇAS - Avaria - Quebrada/Depósito"/>
    <s v="LOGÍSTICA"/>
    <x v="2"/>
    <n v="88969"/>
    <x v="101"/>
    <s v="SC"/>
    <n v="641"/>
    <s v="CDP Diamante"/>
    <n v="1350"/>
    <s v="W11113394"/>
    <s v="Gavetas"/>
    <x v="9"/>
    <n v="2000"/>
    <n v="5003024"/>
    <s v="RODOBRAS TRANSPORTES RODOVIARIOS LT"/>
    <n v="179.09"/>
    <d v="2025-06-16T00:00:00"/>
  </r>
  <r>
    <n v="254033997"/>
    <n v="64812591"/>
    <s v="ZRDI"/>
    <n v="10123861"/>
    <n v="208"/>
    <s v="DEV-Atraso entrega- LOGISTICA(Transp)"/>
    <s v="TRANSPORTADORA"/>
    <x v="2"/>
    <n v="58136314"/>
    <x v="814"/>
    <s v="CE"/>
    <n v="474"/>
    <s v="Site Brastemp"/>
    <n v="1352"/>
    <s v="W10894262"/>
    <s v="Manípulos"/>
    <x v="6"/>
    <n v="2000"/>
    <n v="5002359"/>
    <s v="EMPRESA BRASILEIRA DE CORREIOS E"/>
    <n v="179.06"/>
    <d v="2025-07-17T00:00:00"/>
  </r>
  <r>
    <n v="254033997"/>
    <n v="64812591"/>
    <s v="ZRDI"/>
    <n v="10123861"/>
    <n v="208"/>
    <s v="DEV-Atraso entrega- LOGISTICA(Transp)"/>
    <s v="TRANSPORTADORA"/>
    <x v="2"/>
    <n v="58136314"/>
    <x v="814"/>
    <s v="CE"/>
    <n v="474"/>
    <s v="Site Brastemp"/>
    <n v="1352"/>
    <s v="W10894262"/>
    <s v="Manípulos"/>
    <x v="6"/>
    <n v="2000"/>
    <n v="5002359"/>
    <s v="EMPRESA BRASILEIRA DE CORREIOS E"/>
    <n v="179.06"/>
    <d v="2025-07-17T00:00:00"/>
  </r>
  <r>
    <n v="254038387"/>
    <n v="64814783"/>
    <s v="REB"/>
    <n v="10090173"/>
    <n v="173"/>
    <s v="PEÇAS - Defeito de fabric./Alta Amperage"/>
    <s v="FUNCIONAL"/>
    <x v="1"/>
    <n v="67948"/>
    <x v="15"/>
    <s v="SC"/>
    <n v="713"/>
    <s v="Key Account"/>
    <n v="1350"/>
    <s v="W11371164"/>
    <s v="Mecanismos"/>
    <x v="2"/>
    <n v="1000"/>
    <n v="5003024"/>
    <s v="RODOBRAS TRANSPORTES RODOVIARIOS LT"/>
    <n v="179.05"/>
    <d v="2025-07-22T00:00:00"/>
  </r>
  <r>
    <n v="254033452"/>
    <n v="64802754"/>
    <s v="REB"/>
    <n v="9953295"/>
    <n v="173"/>
    <s v="PEÇAS - Defeito de fabric./Alta Amperage"/>
    <s v="FUNCIONAL"/>
    <x v="1"/>
    <n v="76165"/>
    <x v="433"/>
    <s v="TO"/>
    <n v="641"/>
    <s v="CDP Diamante"/>
    <n v="1350"/>
    <s v="W10709306"/>
    <s v="Placas de Controle"/>
    <x v="1"/>
    <n v="1000"/>
    <n v="5002858"/>
    <s v="FAVORITA TRANSPORTES LTDA"/>
    <n v="178.99"/>
    <d v="2025-07-01T00:00:00"/>
  </r>
  <r>
    <n v="253988788"/>
    <n v="64763918"/>
    <s v="REB"/>
    <n v="9881718"/>
    <n v="176"/>
    <s v="PEÇAS - Defeito de fabric./Interrompido"/>
    <s v="FUNCIONAL"/>
    <x v="1"/>
    <n v="3506"/>
    <x v="46"/>
    <s v="SP"/>
    <n v="931"/>
    <s v="Ats Off"/>
    <n v="1350"/>
    <s v="W10231316"/>
    <s v="Válvulas de Água"/>
    <x v="5"/>
    <n v="6000"/>
    <n v="5004042"/>
    <s v="BRASIL WEB TRANSPORTES E LOGISTICA"/>
    <n v="178.76"/>
    <d v="2025-05-05T00:00:00"/>
  </r>
  <r>
    <n v="254018242"/>
    <n v="64793499"/>
    <s v="REB"/>
    <n v="9776752"/>
    <n v="173"/>
    <s v="PEÇAS - Defeito de fabric./Alta Amperage"/>
    <s v="FUNCIONAL"/>
    <x v="1"/>
    <n v="27770"/>
    <x v="37"/>
    <s v="AL"/>
    <n v="641"/>
    <s v="CDP Diamante"/>
    <n v="1350"/>
    <s v="W11581054"/>
    <s v="Placas de Controle"/>
    <x v="1"/>
    <n v="1000"/>
    <n v="5004101"/>
    <s v="UNIDOCK'S ASSESSORIA E LOGISTICA DE"/>
    <n v="178.64"/>
    <d v="2025-06-17T00:00:00"/>
  </r>
  <r>
    <n v="254032504"/>
    <n v="64811467"/>
    <s v="ZRDI"/>
    <n v="10067769"/>
    <n v="208"/>
    <s v="DEV-Atraso entrega- LOGISTICA(Transp)"/>
    <s v="TRANSPORTADORA"/>
    <x v="2"/>
    <n v="58063223"/>
    <x v="815"/>
    <s v="ES"/>
    <n v="475"/>
    <s v="Site Consul"/>
    <n v="1352"/>
    <n v="326054912"/>
    <s v="Bandejas"/>
    <x v="9"/>
    <n v="1000"/>
    <n v="5002359"/>
    <s v="EMPRESA BRASILEIRA DE CORREIOS E"/>
    <n v="178.23"/>
    <d v="2025-07-16T00:00:00"/>
  </r>
  <r>
    <n v="254007537"/>
    <n v="64782011"/>
    <s v="REB"/>
    <n v="10004699"/>
    <n v="173"/>
    <s v="PEÇAS - Defeito de fabric./Alta Amperage"/>
    <s v="FUNCIONAL"/>
    <x v="1"/>
    <n v="14474"/>
    <x v="25"/>
    <s v="RN"/>
    <n v="648"/>
    <s v="Ultra"/>
    <n v="1350"/>
    <s v="W10709306"/>
    <s v="Placas de Controle"/>
    <x v="1"/>
    <n v="1000"/>
    <n v="5004101"/>
    <s v="UNIDOCK'S ASSESSORIA E LOGISTICA DE"/>
    <n v="178.19"/>
    <d v="2025-06-02T00:00:00"/>
  </r>
  <r>
    <n v="254042863"/>
    <n v="64774187"/>
    <s v="REB"/>
    <n v="10029532"/>
    <n v="167"/>
    <s v="PEÇAS - Avaria - Quebrada/Depósito"/>
    <s v="LOGÍSTICA"/>
    <x v="0"/>
    <n v="38384"/>
    <x v="816"/>
    <s v="RN"/>
    <n v="350"/>
    <s v="Ats On"/>
    <n v="1350"/>
    <s v="W10915770"/>
    <s v="Vidros"/>
    <x v="6"/>
    <n v="1000"/>
    <n v="5004101"/>
    <s v="UNIDOCK'S ASSESSORIA E LOGISTICA DE"/>
    <n v="178.09"/>
    <d v="2025-06-05T00:00:00"/>
  </r>
  <r>
    <s v="Sem TR"/>
    <n v="64809815"/>
    <s v="ZRDI"/>
    <n v="10110227"/>
    <s v="D31"/>
    <s v="DEV D2C - Defeito estético manufatura"/>
    <s v="MANUFATURA"/>
    <x v="2"/>
    <n v="51651215"/>
    <x v="817"/>
    <s v="ES"/>
    <n v="474"/>
    <s v="Site Brastemp"/>
    <n v="1352"/>
    <s v="W10624070"/>
    <s v="Gavetas"/>
    <x v="9"/>
    <n v="1000"/>
    <n v="5002359"/>
    <s v="EMPRESA BRASILEIRA DE CORREIOS E"/>
    <n v="178.01"/>
    <d v="2025-07-14T00:00:00"/>
  </r>
  <r>
    <s v="Sem TR"/>
    <n v="64809815"/>
    <s v="ZRDI"/>
    <n v="10110227"/>
    <s v="D31"/>
    <s v="DEV D2C - Defeito estético manufatura"/>
    <s v="MANUFATURA"/>
    <x v="2"/>
    <n v="51651215"/>
    <x v="817"/>
    <s v="ES"/>
    <n v="474"/>
    <s v="Site Brastemp"/>
    <n v="1352"/>
    <s v="W10624070"/>
    <s v="Gavetas"/>
    <x v="9"/>
    <n v="1000"/>
    <n v="5002359"/>
    <s v="EMPRESA BRASILEIRA DE CORREIOS E"/>
    <n v="178.01"/>
    <d v="2025-07-14T00:00:00"/>
  </r>
  <r>
    <n v="253981484"/>
    <n v="64757980"/>
    <s v="REB"/>
    <n v="7156448"/>
    <n v="173"/>
    <s v="PEÇAS - Defeito de fabric./Alta Amperage"/>
    <s v="FUNCIONAL"/>
    <x v="2"/>
    <n v="29164"/>
    <x v="32"/>
    <s v="BA"/>
    <n v="648"/>
    <s v="Ultra"/>
    <n v="1350"/>
    <s v="W10540663"/>
    <s v="Placas de Interface"/>
    <x v="1"/>
    <n v="1000"/>
    <n v="5004101"/>
    <s v="UNIDOCK'S ASSESSORIA E LOGISTICA DE"/>
    <n v="178"/>
    <d v="2025-04-25T00:00:00"/>
  </r>
  <r>
    <n v="253981594"/>
    <n v="64756870"/>
    <s v="REB"/>
    <n v="9982835"/>
    <n v="167"/>
    <s v="PEÇAS - Avaria - Quebrada/Depósito"/>
    <s v="LOGÍSTICA"/>
    <x v="1"/>
    <n v="89329"/>
    <x v="818"/>
    <s v="SP"/>
    <n v="934"/>
    <s v="CDP Ouro"/>
    <n v="1350"/>
    <s v="W10390580"/>
    <s v="Trempes"/>
    <x v="6"/>
    <n v="1000"/>
    <n v="5004042"/>
    <s v="BRASIL WEB TRANSPORTES E LOGISTICA"/>
    <n v="177.99"/>
    <d v="2025-04-25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630751"/>
    <s v="Resistências"/>
    <x v="1"/>
    <n v="3000"/>
    <n v="5004101"/>
    <s v="UNIDOCK'S ASSESSORIA E LOGISTICA DE"/>
    <n v="177.95"/>
    <d v="2025-02-25T00:00:00"/>
  </r>
  <r>
    <s v="Sem TR"/>
    <n v="64805828"/>
    <s v="ZRDI"/>
    <n v="10112144"/>
    <s v="D10"/>
    <s v="DEV D2C - Comprou modelo errado"/>
    <s v="COMERCIAL"/>
    <x v="2"/>
    <n v="51441343"/>
    <x v="820"/>
    <s v="SP"/>
    <n v="474"/>
    <s v="Site Brastemp"/>
    <n v="1352"/>
    <s v="W10866790"/>
    <s v="Kits Instalação"/>
    <x v="7"/>
    <n v="1000"/>
    <n v="5002359"/>
    <s v="EMPRESA BRASILEIRA DE CORREIOS E"/>
    <n v="177.89"/>
    <d v="2025-07-14T00:00:00"/>
  </r>
  <r>
    <s v="Sem TR"/>
    <n v="64811522"/>
    <s v="ZRDI"/>
    <n v="10112132"/>
    <n v="208"/>
    <s v="DEV-Atraso entrega- LOGISTICA(Transp)"/>
    <s v="TRANSPORTADORA"/>
    <x v="2"/>
    <n v="52221412"/>
    <x v="821"/>
    <s v="SP"/>
    <n v="474"/>
    <s v="Site Brastemp"/>
    <n v="1352"/>
    <s v="W10866790"/>
    <s v="Kits Instalação"/>
    <x v="7"/>
    <n v="1000"/>
    <n v="5002359"/>
    <s v="EMPRESA BRASILEIRA DE CORREIOS E"/>
    <n v="177.89"/>
    <d v="2025-07-16T00:00:00"/>
  </r>
  <r>
    <s v="Sem TR"/>
    <n v="64811527"/>
    <s v="ZRDI"/>
    <n v="10113895"/>
    <n v="208"/>
    <s v="DEV-Atraso entrega- LOGISTICA(Transp)"/>
    <s v="TRANSPORTADORA"/>
    <x v="2"/>
    <n v="4976425"/>
    <x v="822"/>
    <s v="SP"/>
    <n v="474"/>
    <s v="Site Brastemp"/>
    <n v="1352"/>
    <s v="W10866790"/>
    <s v="Kits Instalação"/>
    <x v="7"/>
    <n v="1000"/>
    <n v="5002359"/>
    <s v="EMPRESA BRASILEIRA DE CORREIOS E"/>
    <n v="177.89"/>
    <d v="2025-07-16T00:00:00"/>
  </r>
  <r>
    <s v="Sem TR"/>
    <n v="64805828"/>
    <s v="ZRDI"/>
    <n v="10112144"/>
    <s v="D10"/>
    <s v="DEV D2C - Comprou modelo errado"/>
    <s v="COMERCIAL"/>
    <x v="2"/>
    <n v="51441343"/>
    <x v="820"/>
    <s v="SP"/>
    <n v="474"/>
    <s v="Site Brastemp"/>
    <n v="1352"/>
    <s v="W10866790"/>
    <s v="Kits Instalação"/>
    <x v="7"/>
    <n v="1000"/>
    <n v="5002359"/>
    <s v="EMPRESA BRASILEIRA DE CORREIOS E"/>
    <n v="177.89"/>
    <d v="2025-07-14T00:00:00"/>
  </r>
  <r>
    <s v="Sem TR"/>
    <n v="64811522"/>
    <s v="ZRDI"/>
    <n v="10112132"/>
    <n v="208"/>
    <s v="DEV-Atraso entrega- LOGISTICA(Transp)"/>
    <s v="TRANSPORTADORA"/>
    <x v="2"/>
    <n v="52221412"/>
    <x v="821"/>
    <s v="SP"/>
    <n v="474"/>
    <s v="Site Brastemp"/>
    <n v="1352"/>
    <s v="W10866790"/>
    <s v="Kits Instalação"/>
    <x v="7"/>
    <n v="1000"/>
    <n v="5002359"/>
    <s v="EMPRESA BRASILEIRA DE CORREIOS E"/>
    <n v="177.89"/>
    <d v="2025-07-16T00:00:00"/>
  </r>
  <r>
    <n v="254033381"/>
    <n v="64807329"/>
    <s v="REB"/>
    <n v="10046924"/>
    <n v="176"/>
    <s v="PEÇAS - Defeito de fabric./Interrompido"/>
    <s v="FUNCIONAL"/>
    <x v="1"/>
    <n v="31063"/>
    <x v="308"/>
    <s v="RJ"/>
    <n v="644"/>
    <s v="Plus"/>
    <n v="1350"/>
    <s v="W10780260"/>
    <s v="Placas de Controle"/>
    <x v="1"/>
    <n v="1000"/>
    <n v="5003176"/>
    <s v="J C THEDIN TRANSPORTES LTDA"/>
    <n v="177.85"/>
    <d v="2025-07-08T00:00:00"/>
  </r>
  <r>
    <n v="253995069"/>
    <n v="64733502"/>
    <s v="REB"/>
    <n v="9933333"/>
    <n v="165"/>
    <s v="PEÇAS - Defeito de fabric./Incompleta"/>
    <s v="FUNCIONAL"/>
    <x v="2"/>
    <n v="3652"/>
    <x v="51"/>
    <s v="SP"/>
    <n v="350"/>
    <s v="Ats On"/>
    <n v="1350"/>
    <s v="W11046681"/>
    <s v="Outros"/>
    <x v="7"/>
    <n v="1000"/>
    <n v="5004042"/>
    <s v="BRASIL WEB TRANSPORTES E LOGISTICA"/>
    <n v="177.76"/>
    <d v="2025-03-21T00:00:00"/>
  </r>
  <r>
    <n v="254018181"/>
    <n v="64793230"/>
    <s v="REB"/>
    <n v="9829768"/>
    <n v="177"/>
    <s v="PEÇAS - Defeito de fabric./Ruído"/>
    <s v="FUNCIONAL"/>
    <x v="1"/>
    <n v="3506"/>
    <x v="46"/>
    <s v="SP"/>
    <n v="931"/>
    <s v="Ats Off"/>
    <n v="1350"/>
    <s v="W11300681"/>
    <s v="Mecanismos"/>
    <x v="2"/>
    <n v="1000"/>
    <n v="5004042"/>
    <s v="BRASIL WEB TRANSPORTES E LOGISTICA"/>
    <n v="177.7"/>
    <d v="2025-06-17T00:00:00"/>
  </r>
  <r>
    <n v="254033618"/>
    <n v="64812214"/>
    <s v="ZRDI"/>
    <n v="10127490"/>
    <s v="D25"/>
    <s v="DEV D2C - Prob na entrega (Não recebi)"/>
    <s v="TRANSPORTADORA"/>
    <x v="2"/>
    <n v="56914649"/>
    <x v="823"/>
    <s v="PR"/>
    <n v="474"/>
    <s v="Site Brastemp"/>
    <n v="1352"/>
    <s v="W11225561"/>
    <s v="Tampas Móveis"/>
    <x v="6"/>
    <n v="1000"/>
    <n v="5002359"/>
    <s v="EMPRESA BRASILEIRA DE CORREIOS E"/>
    <n v="177.68"/>
    <d v="2025-07-17T00:00:00"/>
  </r>
  <r>
    <n v="253988816"/>
    <n v="64763880"/>
    <s v="REB"/>
    <n v="9889764"/>
    <n v="176"/>
    <s v="PEÇAS - Defeito de fabric./Interrompido"/>
    <s v="FUNCIONAL"/>
    <x v="1"/>
    <n v="14474"/>
    <x v="25"/>
    <s v="RN"/>
    <n v="648"/>
    <s v="Ultra"/>
    <n v="1350"/>
    <s v="W10709306"/>
    <s v="Placas de Controle"/>
    <x v="1"/>
    <n v="1000"/>
    <n v="5004101"/>
    <s v="UNIDOCK'S ASSESSORIA E LOGISTICA DE"/>
    <n v="177.67"/>
    <d v="2025-05-05T00:00:00"/>
  </r>
  <r>
    <n v="253988776"/>
    <n v="64763819"/>
    <s v="REB"/>
    <n v="10001743"/>
    <n v="167"/>
    <s v="PEÇAS - Avaria - Quebrada/Depósito"/>
    <s v="LOGÍSTICA"/>
    <x v="1"/>
    <n v="578"/>
    <x v="232"/>
    <s v="MG"/>
    <n v="350"/>
    <s v="Ats On"/>
    <n v="1350"/>
    <s v="W10859617"/>
    <s v="Tampas Móveis"/>
    <x v="6"/>
    <n v="1000"/>
    <n v="5004215"/>
    <s v="BRASIL WEB TRANSPORTES E LOGISTICA"/>
    <n v="177.63"/>
    <d v="2025-05-05T00:00:00"/>
  </r>
  <r>
    <s v="Sem TR"/>
    <n v="64809281"/>
    <s v="ZRDI"/>
    <n v="10112730"/>
    <s v="D10"/>
    <s v="DEV D2C - Comprou modelo errado"/>
    <s v="COMERCIAL"/>
    <x v="2"/>
    <n v="58125104"/>
    <x v="824"/>
    <s v="AL"/>
    <n v="474"/>
    <s v="Site Brastemp"/>
    <n v="1352"/>
    <s v="W11662058"/>
    <s v="Outros"/>
    <x v="7"/>
    <n v="1000"/>
    <n v="5002359"/>
    <s v="EMPRESA BRASILEIRA DE CORREIOS E"/>
    <n v="177.55"/>
    <d v="2025-07-14T00:00:00"/>
  </r>
  <r>
    <s v="Sem TR"/>
    <n v="64809281"/>
    <s v="ZRDI"/>
    <n v="10112730"/>
    <s v="D10"/>
    <s v="DEV D2C - Comprou modelo errado"/>
    <s v="COMERCIAL"/>
    <x v="2"/>
    <n v="58125104"/>
    <x v="824"/>
    <s v="AL"/>
    <n v="474"/>
    <s v="Site Brastemp"/>
    <n v="1352"/>
    <s v="W11662058"/>
    <s v="Outros"/>
    <x v="7"/>
    <n v="1000"/>
    <n v="5002359"/>
    <s v="EMPRESA BRASILEIRA DE CORREIOS E"/>
    <n v="177.55"/>
    <d v="2025-07-14T00:00:00"/>
  </r>
  <r>
    <s v="Sem TR"/>
    <n v="64809924"/>
    <s v="ZRDI"/>
    <n v="10042658"/>
    <s v="D18"/>
    <s v="DEV D2C - Arrependimento não quero mais"/>
    <s v="COMERCIAL"/>
    <x v="2"/>
    <n v="58035103"/>
    <x v="825"/>
    <s v="BA"/>
    <n v="466"/>
    <s v="Sup ML Marketplace"/>
    <n v="1352"/>
    <s v="W11108178"/>
    <s v="Prateleiras"/>
    <x v="9"/>
    <n v="1000"/>
    <n v="5002359"/>
    <s v="EMPRESA BRASILEIRA DE CORREIOS E"/>
    <n v="177.53"/>
    <d v="2025-07-14T00:00:00"/>
  </r>
  <r>
    <s v="Sem TR"/>
    <n v="64809924"/>
    <s v="ZRDI"/>
    <n v="10042658"/>
    <s v="D18"/>
    <s v="DEV D2C - Arrependimento não quero mais"/>
    <s v="COMERCIAL"/>
    <x v="2"/>
    <n v="58035103"/>
    <x v="825"/>
    <s v="BA"/>
    <n v="466"/>
    <s v="Sup ML Marketplace"/>
    <n v="1352"/>
    <s v="W11108178"/>
    <s v="Prateleiras"/>
    <x v="9"/>
    <n v="1000"/>
    <n v="5002359"/>
    <s v="EMPRESA BRASILEIRA DE CORREIOS E"/>
    <n v="177.53"/>
    <d v="2025-07-14T00:00:00"/>
  </r>
  <r>
    <n v="254029252"/>
    <n v="64808766"/>
    <s v="ZRDI"/>
    <n v="10102106"/>
    <n v="208"/>
    <s v="DEV-Atraso entrega- LOGISTICA(Transp)"/>
    <s v="TRANSPORTADORA"/>
    <x v="2"/>
    <n v="51523789"/>
    <x v="826"/>
    <s v="SP"/>
    <n v="475"/>
    <s v="Site Consul"/>
    <n v="1352"/>
    <s v="W11199342"/>
    <s v="Filtros"/>
    <x v="5"/>
    <n v="2000"/>
    <n v="5002359"/>
    <s v="EMPRESA BRASILEIRA DE CORREIOS E"/>
    <n v="177.4"/>
    <d v="2025-07-10T00:00:00"/>
  </r>
  <r>
    <s v="Sem TR"/>
    <n v="64811508"/>
    <s v="ZRDI"/>
    <n v="10105892"/>
    <n v="208"/>
    <s v="DEV-Atraso entrega- LOGISTICA(Transp)"/>
    <s v="TRANSPORTADORA"/>
    <x v="2"/>
    <n v="54164152"/>
    <x v="827"/>
    <s v="SP"/>
    <n v="475"/>
    <s v="Site Consul"/>
    <n v="1352"/>
    <s v="W11199342"/>
    <s v="Filtros"/>
    <x v="5"/>
    <n v="2000"/>
    <n v="5002359"/>
    <s v="EMPRESA BRASILEIRA DE CORREIOS E"/>
    <n v="177.4"/>
    <d v="2025-07-16T00:00:00"/>
  </r>
  <r>
    <n v="254036538"/>
    <n v="64814371"/>
    <s v="ZRDI"/>
    <n v="10112733"/>
    <n v="208"/>
    <s v="DEV-Atraso entrega- LOGISTICA(Transp)"/>
    <s v="TRANSPORTADORA"/>
    <x v="2"/>
    <n v="56401232"/>
    <x v="828"/>
    <s v="SP"/>
    <n v="475"/>
    <s v="Site Consul"/>
    <n v="1352"/>
    <s v="W11199342"/>
    <s v="Filtros"/>
    <x v="5"/>
    <n v="2000"/>
    <n v="5002359"/>
    <s v="EMPRESA BRASILEIRA DE CORREIOS E"/>
    <n v="177.4"/>
    <d v="2025-07-22T00:00:00"/>
  </r>
  <r>
    <n v="254040427"/>
    <n v="64818332"/>
    <s v="ZRDI"/>
    <n v="10148593"/>
    <n v="208"/>
    <s v="DEV-Atraso entrega- LOGISTICA(Transp)"/>
    <s v="TRANSPORTADORA"/>
    <x v="2"/>
    <n v="58172476"/>
    <x v="829"/>
    <s v="SP"/>
    <n v="475"/>
    <s v="Site Consul"/>
    <n v="1352"/>
    <s v="W11199342"/>
    <s v="Filtros"/>
    <x v="5"/>
    <n v="2000"/>
    <n v="5002359"/>
    <s v="EMPRESA BRASILEIRA DE CORREIOS E"/>
    <n v="177.4"/>
    <d v="2025-07-26T00:00:00"/>
  </r>
  <r>
    <n v="254040427"/>
    <n v="64818332"/>
    <s v="ZRDI"/>
    <n v="10148593"/>
    <n v="208"/>
    <s v="DEV-Atraso entrega- LOGISTICA(Transp)"/>
    <s v="TRANSPORTADORA"/>
    <x v="2"/>
    <n v="58172476"/>
    <x v="829"/>
    <s v="SP"/>
    <n v="475"/>
    <s v="Site Consul"/>
    <n v="1352"/>
    <s v="W11199342"/>
    <s v="Filtros"/>
    <x v="5"/>
    <n v="2000"/>
    <n v="5002359"/>
    <s v="EMPRESA BRASILEIRA DE CORREIOS E"/>
    <n v="177.4"/>
    <d v="2025-07-26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0284848"/>
    <s v="Correias"/>
    <x v="2"/>
    <n v="5000"/>
    <n v="5004101"/>
    <s v="UNIDOCK'S ASSESSORIA E LOGISTICA DE"/>
    <n v="177.27"/>
    <d v="2025-01-22T00:00:00"/>
  </r>
  <r>
    <s v="Sem TR"/>
    <n v="64809991"/>
    <s v="ZRDI"/>
    <n v="10123609"/>
    <s v="D10"/>
    <s v="DEV D2C - Comprou modelo errado"/>
    <s v="COMERCIAL"/>
    <x v="2"/>
    <n v="58137125"/>
    <x v="830"/>
    <s v="MG"/>
    <n v="474"/>
    <s v="Site Brastemp"/>
    <n v="1352"/>
    <s v="W10287527"/>
    <s v="Prateleiras"/>
    <x v="9"/>
    <n v="1000"/>
    <n v="5002359"/>
    <s v="EMPRESA BRASILEIRA DE CORREIOS E"/>
    <n v="177.11"/>
    <d v="2025-07-22T00:00:00"/>
  </r>
  <r>
    <s v="Sem TR"/>
    <n v="64809991"/>
    <s v="ZRDI"/>
    <n v="10123609"/>
    <s v="D10"/>
    <s v="DEV D2C - Comprou modelo errado"/>
    <s v="COMERCIAL"/>
    <x v="2"/>
    <n v="58137125"/>
    <x v="830"/>
    <s v="MG"/>
    <n v="474"/>
    <s v="Site Brastemp"/>
    <n v="1352"/>
    <s v="W10287527"/>
    <s v="Prateleiras"/>
    <x v="9"/>
    <n v="1000"/>
    <n v="5002359"/>
    <s v="EMPRESA BRASILEIRA DE CORREIOS E"/>
    <n v="177.11"/>
    <d v="2025-07-22T00:00:00"/>
  </r>
  <r>
    <s v="Sem TR"/>
    <n v="64814141"/>
    <s v="ZRDI"/>
    <n v="10129220"/>
    <s v="D14"/>
    <s v="DEV D2C - Comprou prod cor errada"/>
    <s v="COMERCIAL"/>
    <x v="2"/>
    <n v="58147587"/>
    <x v="831"/>
    <s v="SC"/>
    <n v="474"/>
    <s v="Site Brastemp"/>
    <n v="1352"/>
    <s v="W11225561"/>
    <s v="Tampas Móveis"/>
    <x v="6"/>
    <n v="1000"/>
    <n v="5002359"/>
    <s v="EMPRESA BRASILEIRA DE CORREIOS E"/>
    <n v="176.94"/>
    <d v="2025-07-22T00:00:00"/>
  </r>
  <r>
    <n v="254037093"/>
    <n v="64814996"/>
    <s v="ZRDI"/>
    <n v="10126515"/>
    <n v="208"/>
    <s v="DEV-Atraso entrega- LOGISTICA(Transp)"/>
    <s v="TRANSPORTADORA"/>
    <x v="2"/>
    <n v="58139704"/>
    <x v="832"/>
    <s v="SC"/>
    <n v="474"/>
    <s v="Site Brastemp"/>
    <n v="1352"/>
    <s v="W11225561"/>
    <s v="Tampas Móveis"/>
    <x v="6"/>
    <n v="1000"/>
    <n v="5002359"/>
    <s v="EMPRESA BRASILEIRA DE CORREIOS E"/>
    <n v="176.94"/>
    <d v="2025-07-22T00:00:00"/>
  </r>
  <r>
    <s v="Sem TR"/>
    <n v="64814141"/>
    <s v="ZRDI"/>
    <n v="10129220"/>
    <s v="D14"/>
    <s v="DEV D2C - Comprou prod cor errada"/>
    <s v="COMERCIAL"/>
    <x v="2"/>
    <n v="58147587"/>
    <x v="831"/>
    <s v="SC"/>
    <n v="474"/>
    <s v="Site Brastemp"/>
    <n v="1352"/>
    <s v="W11225561"/>
    <s v="Tampas Móveis"/>
    <x v="6"/>
    <n v="1000"/>
    <n v="5002359"/>
    <s v="EMPRESA BRASILEIRA DE CORREIOS E"/>
    <n v="176.94"/>
    <d v="2025-07-22T00:00:00"/>
  </r>
  <r>
    <n v="254037093"/>
    <n v="64814996"/>
    <s v="ZRDI"/>
    <n v="10126515"/>
    <n v="208"/>
    <s v="DEV-Atraso entrega- LOGISTICA(Transp)"/>
    <s v="TRANSPORTADORA"/>
    <x v="2"/>
    <n v="58139704"/>
    <x v="832"/>
    <s v="SC"/>
    <n v="474"/>
    <s v="Site Brastemp"/>
    <n v="1352"/>
    <s v="W11225561"/>
    <s v="Tampas Móveis"/>
    <x v="6"/>
    <n v="1000"/>
    <n v="5002359"/>
    <s v="EMPRESA BRASILEIRA DE CORREIOS E"/>
    <n v="176.94"/>
    <d v="2025-07-22T00:00:00"/>
  </r>
  <r>
    <n v="254033440"/>
    <n v="64807088"/>
    <s v="REB"/>
    <n v="10073672"/>
    <n v="173"/>
    <s v="PEÇAS - Defeito de fabric./Alta Amperage"/>
    <s v="FUNCIONAL"/>
    <x v="1"/>
    <n v="69166"/>
    <x v="129"/>
    <s v="RJ"/>
    <n v="931"/>
    <s v="Ats Off"/>
    <n v="1350"/>
    <n v="326075625"/>
    <s v="Placas de Controle"/>
    <x v="1"/>
    <n v="1000"/>
    <n v="5003176"/>
    <s v="J C THEDIN TRANSPORTES LTDA"/>
    <n v="176.88"/>
    <d v="2025-07-08T00:00:00"/>
  </r>
  <r>
    <n v="254033440"/>
    <n v="64807499"/>
    <s v="REB"/>
    <n v="10097279"/>
    <n v="173"/>
    <s v="PEÇAS - Defeito de fabric./Alta Amperage"/>
    <s v="FUNCIONAL"/>
    <x v="1"/>
    <n v="69166"/>
    <x v="129"/>
    <s v="RJ"/>
    <n v="931"/>
    <s v="Ats Off"/>
    <n v="1350"/>
    <n v="326075625"/>
    <s v="Placas de Controle"/>
    <x v="1"/>
    <n v="1000"/>
    <n v="5003176"/>
    <s v="J C THEDIN TRANSPORTES LTDA"/>
    <n v="176.88"/>
    <d v="2025-07-08T00:00:00"/>
  </r>
  <r>
    <n v="254018296"/>
    <n v="64790517"/>
    <s v="REB"/>
    <n v="10073729"/>
    <n v="176"/>
    <s v="PEÇAS - Defeito de fabric./Interrompido"/>
    <s v="FUNCIONAL"/>
    <x v="2"/>
    <n v="44739"/>
    <x v="106"/>
    <s v="PR"/>
    <n v="350"/>
    <s v="Ats On"/>
    <n v="1350"/>
    <s v="W10665444"/>
    <s v="Bombas"/>
    <x v="1"/>
    <n v="1000"/>
    <n v="5003024"/>
    <s v="RODOBRAS TRANSPORTES RODOVIARIOS LT"/>
    <n v="176.81"/>
    <d v="2025-06-12T00:00:00"/>
  </r>
  <r>
    <n v="253989815"/>
    <n v="64761323"/>
    <s v="REB"/>
    <n v="9853799"/>
    <n v="173"/>
    <s v="PEÇAS - Defeito de fabric./Alta Amperage"/>
    <s v="FUNCIONAL"/>
    <x v="2"/>
    <n v="30990"/>
    <x v="26"/>
    <s v="ES"/>
    <n v="713"/>
    <s v="Key Account"/>
    <n v="1350"/>
    <s v="W11387505"/>
    <s v="Placas de Controle"/>
    <x v="1"/>
    <n v="1000"/>
    <n v="5004042"/>
    <s v="BRASIL WEB TRANSPORTES E LOGISTICA"/>
    <n v="176.72"/>
    <d v="2025-05-07T00:00:00"/>
  </r>
  <r>
    <n v="253992774"/>
    <n v="64767930"/>
    <s v="REB"/>
    <n v="9321529"/>
    <n v="173"/>
    <s v="PEÇAS - Defeito de fabric./Alta Amperage"/>
    <s v="FUNCIONAL"/>
    <x v="1"/>
    <n v="77746"/>
    <x v="119"/>
    <s v="GO"/>
    <n v="933"/>
    <s v="Top"/>
    <n v="1350"/>
    <s v="W11415305"/>
    <s v="Placas de Controle"/>
    <x v="1"/>
    <n v="1000"/>
    <n v="5002858"/>
    <s v="FAVORITA TRANSPORTES LTDA"/>
    <n v="176.7"/>
    <d v="2025-05-12T00:00:00"/>
  </r>
  <r>
    <n v="253988921"/>
    <n v="64762366"/>
    <s v="REB"/>
    <n v="9321529"/>
    <n v="173"/>
    <s v="PEÇAS - Defeito de fabric./Alta Amperage"/>
    <s v="FUNCIONAL"/>
    <x v="1"/>
    <n v="77746"/>
    <x v="119"/>
    <s v="GO"/>
    <n v="933"/>
    <s v="Top"/>
    <n v="1350"/>
    <s v="W11415305"/>
    <s v="Placas de Controle"/>
    <x v="1"/>
    <n v="1000"/>
    <n v="5002858"/>
    <s v="FAVORITA TRANSPORTES LTDA"/>
    <n v="176.7"/>
    <d v="2025-05-05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08340"/>
    <s v="Anéis de Vedação"/>
    <x v="4"/>
    <n v="10000"/>
    <n v="5004101"/>
    <s v="UNIDOCK'S ASSESSORIA E LOGISTICA DE"/>
    <n v="176.66"/>
    <d v="2025-06-24T00:00:00"/>
  </r>
  <r>
    <n v="253953845"/>
    <n v="64731160"/>
    <s v="REB"/>
    <n v="9860276"/>
    <n v="90"/>
    <s v="CLIENTE-não solicitou"/>
    <s v="COMERCIAL"/>
    <x v="1"/>
    <n v="77212"/>
    <x v="833"/>
    <s v="CE"/>
    <n v="644"/>
    <s v="Plus"/>
    <n v="1350"/>
    <s v="W10710771"/>
    <s v="Termostatos"/>
    <x v="3"/>
    <n v="3000"/>
    <n v="5004101"/>
    <s v="UNIDOCK'S ASSESSORIA E LOGISTICA DE"/>
    <n v="176.54"/>
    <d v="2025-03-14T00:00:00"/>
  </r>
  <r>
    <s v="Sem TR"/>
    <n v="64814651"/>
    <s v="REB"/>
    <n v="10049413"/>
    <n v="173"/>
    <s v="PEÇAS - Defeito de fabric./Alta Amperage"/>
    <s v="FUNCIONAL"/>
    <x v="1"/>
    <n v="4585"/>
    <x v="555"/>
    <s v="SC"/>
    <n v="350"/>
    <s v="Ats On"/>
    <n v="1350"/>
    <s v="W10269365"/>
    <s v="Placas de Controle"/>
    <x v="1"/>
    <n v="1000"/>
    <n v="5003024"/>
    <s v="RODOBRAS TRANSPORTES RODOVIARIOS LT"/>
    <n v="176.5"/>
    <d v="2025-07-22T00:00:00"/>
  </r>
  <r>
    <s v="Sem TR"/>
    <n v="64761733"/>
    <s v="ZRDI"/>
    <n v="10074401"/>
    <s v="D18"/>
    <s v="DEV D2C - Arrependimento não quero mais"/>
    <s v="COMERCIAL"/>
    <x v="2"/>
    <n v="58020647"/>
    <x v="834"/>
    <s v="SP"/>
    <n v="475"/>
    <s v="Site Consul"/>
    <n v="1352"/>
    <s v="W11375775"/>
    <s v="Portas"/>
    <x v="6"/>
    <n v="1000"/>
    <n v="5002359"/>
    <s v="EMPRESA BRASILEIRA DE CORREIOS E"/>
    <n v="176.41"/>
    <d v="2025-06-27T00:00:00"/>
  </r>
  <r>
    <s v="Sem TR"/>
    <n v="64761733"/>
    <s v="ZRDI"/>
    <n v="10074401"/>
    <s v="D18"/>
    <s v="DEV D2C - Arrependimento não quero mais"/>
    <s v="COMERCIAL"/>
    <x v="2"/>
    <n v="58020647"/>
    <x v="834"/>
    <s v="SP"/>
    <n v="475"/>
    <s v="Site Consul"/>
    <n v="1352"/>
    <s v="W11375775"/>
    <s v="Portas"/>
    <x v="6"/>
    <n v="1000"/>
    <n v="5002359"/>
    <s v="EMPRESA BRASILEIRA DE CORREIOS E"/>
    <n v="176.41"/>
    <d v="2025-06-27T00:00:00"/>
  </r>
  <r>
    <s v="Sem TR"/>
    <n v="64818857"/>
    <s v="ZRDI"/>
    <n v="10133063"/>
    <n v="208"/>
    <s v="DEV-Atraso entrega- LOGISTICA(Transp)"/>
    <s v="TRANSPORTADORA"/>
    <x v="1"/>
    <n v="58153092"/>
    <x v="835"/>
    <s v="SP"/>
    <n v="475"/>
    <s v="Site Consul"/>
    <n v="1352"/>
    <s v="W11375775"/>
    <s v="Portas"/>
    <x v="6"/>
    <n v="1000"/>
    <n v="5002359"/>
    <s v="EMPRESA BRASILEIRA DE CORREIOS E"/>
    <n v="176.41"/>
    <d v="2025-07-28T00:00:00"/>
  </r>
  <r>
    <n v="254043557"/>
    <n v="64806013"/>
    <s v="REB"/>
    <n v="10108548"/>
    <n v="110"/>
    <s v="PEÇAS-Troca de produtos"/>
    <s v="GESTÃO DE TROCAS"/>
    <x v="0"/>
    <n v="70205"/>
    <x v="836"/>
    <s v="MG"/>
    <n v="350"/>
    <s v="Ats On"/>
    <n v="1350"/>
    <s v="W10761201"/>
    <s v="Parafusos e afins"/>
    <x v="10"/>
    <n v="29000"/>
    <n v="5004215"/>
    <s v="BRASIL WEB TRANSPORTES E LOGISTICA"/>
    <n v="176.35"/>
    <d v="2025-07-05T00:00:00"/>
  </r>
  <r>
    <n v="253953845"/>
    <n v="64732020"/>
    <s v="REB"/>
    <n v="9822654"/>
    <n v="176"/>
    <s v="PEÇAS - Defeito de fabric./Interrompido"/>
    <s v="FUNCIONAL"/>
    <x v="1"/>
    <n v="77212"/>
    <x v="833"/>
    <s v="CE"/>
    <n v="644"/>
    <s v="Plus"/>
    <n v="1350"/>
    <s v="W11415305"/>
    <s v="Placas de Controle"/>
    <x v="1"/>
    <n v="1000"/>
    <n v="5004101"/>
    <s v="UNIDOCK'S ASSESSORIA E LOGISTICA DE"/>
    <n v="176.31"/>
    <d v="2025-03-14T00:00:00"/>
  </r>
  <r>
    <n v="254040402"/>
    <n v="64818306"/>
    <s v="ZRDI"/>
    <n v="10100774"/>
    <n v="208"/>
    <s v="DEV-Atraso entrega- LOGISTICA(Transp)"/>
    <s v="TRANSPORTADORA"/>
    <x v="2"/>
    <n v="58109067"/>
    <x v="837"/>
    <s v="MA"/>
    <n v="466"/>
    <s v="Sup ML Marketplace"/>
    <n v="1352"/>
    <s v="W10758992"/>
    <s v="Gavetas"/>
    <x v="9"/>
    <n v="1000"/>
    <n v="5002359"/>
    <s v="EMPRESA BRASILEIRA DE CORREIOS E"/>
    <n v="176.25"/>
    <d v="2025-07-26T00:00:00"/>
  </r>
  <r>
    <n v="254040402"/>
    <n v="64818306"/>
    <s v="ZRDI"/>
    <n v="10100774"/>
    <n v="208"/>
    <s v="DEV-Atraso entrega- LOGISTICA(Transp)"/>
    <s v="TRANSPORTADORA"/>
    <x v="2"/>
    <n v="58109067"/>
    <x v="837"/>
    <s v="MA"/>
    <n v="466"/>
    <s v="Sup ML Marketplace"/>
    <n v="1352"/>
    <s v="W10758992"/>
    <s v="Gavetas"/>
    <x v="9"/>
    <n v="1000"/>
    <n v="5002359"/>
    <s v="EMPRESA BRASILEIRA DE CORREIOS E"/>
    <n v="176.25"/>
    <d v="2025-07-26T00:00:00"/>
  </r>
  <r>
    <s v="Sem TR"/>
    <n v="64634444"/>
    <s v="REB"/>
    <n v="9600059"/>
    <n v="125"/>
    <s v="DEV-Extravio de produto (Transportadora)"/>
    <s v="TRANSPORTADORA"/>
    <x v="0"/>
    <n v="47026"/>
    <x v="16"/>
    <s v="BA"/>
    <n v="643"/>
    <s v="Elite"/>
    <n v="1350"/>
    <s v="W11431350"/>
    <s v="Capas"/>
    <x v="6"/>
    <n v="12000"/>
    <n v="5004101"/>
    <s v="UNIDOCK'S ASSESSORIA E LOGISTICA DE"/>
    <n v="176.21"/>
    <d v="2024-10-29T00:00:00"/>
  </r>
  <r>
    <n v="253886229"/>
    <n v="64653876"/>
    <s v="REB"/>
    <n v="9738479"/>
    <n v="173"/>
    <s v="PEÇAS - Defeito de fabric./Alta Amperage"/>
    <s v="FUNCIONAL"/>
    <x v="1"/>
    <n v="9452"/>
    <x v="42"/>
    <s v="SP"/>
    <n v="931"/>
    <s v="Ats Off"/>
    <n v="1350"/>
    <s v="W11039081"/>
    <s v="Capas"/>
    <x v="6"/>
    <n v="1000"/>
    <n v="5003254"/>
    <s v="TMA TRANSPORTE LOTACAO E LOGISTICA"/>
    <n v="176.2"/>
    <d v="2024-11-29T00:00:00"/>
  </r>
  <r>
    <s v="Sem TR"/>
    <n v="64814845"/>
    <s v="ZRDI"/>
    <n v="10147467"/>
    <s v="D10"/>
    <s v="DEV D2C - Comprou modelo errado"/>
    <s v="COMERCIAL"/>
    <x v="2"/>
    <n v="56986298"/>
    <x v="838"/>
    <s v="SP"/>
    <n v="474"/>
    <s v="Site Brastemp"/>
    <n v="1352"/>
    <s v="W10624070"/>
    <s v="Gavetas"/>
    <x v="9"/>
    <n v="1000"/>
    <n v="5002359"/>
    <s v="EMPRESA BRASILEIRA DE CORREIOS E"/>
    <n v="176.07"/>
    <d v="2025-07-24T00:00:00"/>
  </r>
  <r>
    <s v="Sem TR"/>
    <n v="64814845"/>
    <s v="ZRDI"/>
    <n v="10147467"/>
    <s v="D10"/>
    <s v="DEV D2C - Comprou modelo errado"/>
    <s v="COMERCIAL"/>
    <x v="2"/>
    <n v="56986298"/>
    <x v="838"/>
    <s v="SP"/>
    <n v="474"/>
    <s v="Site Brastemp"/>
    <n v="1352"/>
    <s v="W10624070"/>
    <s v="Gavetas"/>
    <x v="9"/>
    <n v="1000"/>
    <n v="5002359"/>
    <s v="EMPRESA BRASILEIRA DE CORREIOS E"/>
    <n v="176.07"/>
    <d v="2025-07-24T00:00:00"/>
  </r>
  <r>
    <n v="254038164"/>
    <n v="64816134"/>
    <s v="ZRDI"/>
    <n v="10128127"/>
    <n v="208"/>
    <s v="DEV-Atraso entrega- LOGISTICA(Transp)"/>
    <s v="TRANSPORTADORA"/>
    <x v="2"/>
    <n v="53419018"/>
    <x v="488"/>
    <s v="RJ"/>
    <n v="475"/>
    <s v="Site Consul"/>
    <n v="1352"/>
    <s v="W10615885"/>
    <s v="Trempes"/>
    <x v="6"/>
    <n v="1000"/>
    <n v="5002359"/>
    <s v="EMPRESA BRASILEIRA DE CORREIOS E"/>
    <n v="175.97"/>
    <d v="2025-07-23T00:00:00"/>
  </r>
  <r>
    <n v="254038164"/>
    <n v="64816134"/>
    <s v="ZRDI"/>
    <n v="10128127"/>
    <n v="208"/>
    <s v="DEV-Atraso entrega- LOGISTICA(Transp)"/>
    <s v="TRANSPORTADORA"/>
    <x v="2"/>
    <n v="53419018"/>
    <x v="488"/>
    <s v="RJ"/>
    <n v="475"/>
    <s v="Site Consul"/>
    <n v="1352"/>
    <s v="W10615885"/>
    <s v="Trempes"/>
    <x v="6"/>
    <n v="1000"/>
    <n v="5002359"/>
    <s v="EMPRESA BRASILEIRA DE CORREIOS E"/>
    <n v="175.97"/>
    <d v="2025-07-23T00:00:00"/>
  </r>
  <r>
    <n v="253988870"/>
    <n v="64763704"/>
    <s v="REB"/>
    <n v="9963442"/>
    <n v="173"/>
    <s v="PEÇAS - Defeito de fabric./Alta Amperage"/>
    <s v="FUNCIONAL"/>
    <x v="1"/>
    <n v="31587"/>
    <x v="135"/>
    <s v="SP"/>
    <n v="643"/>
    <s v="Elite"/>
    <n v="1350"/>
    <s v="W10686100"/>
    <s v="Placas de Controle"/>
    <x v="1"/>
    <n v="1000"/>
    <n v="5004042"/>
    <s v="BRASIL WEB TRANSPORTES E LOGISTICA"/>
    <n v="175.87"/>
    <d v="2025-05-05T00:00:00"/>
  </r>
  <r>
    <n v="254038368"/>
    <n v="64814589"/>
    <s v="REB"/>
    <n v="10075429"/>
    <n v="176"/>
    <s v="PEÇAS - Defeito de fabric./Interrompido"/>
    <s v="FUNCIONAL"/>
    <x v="0"/>
    <n v="31587"/>
    <x v="135"/>
    <s v="SP"/>
    <n v="643"/>
    <s v="Elite"/>
    <n v="1350"/>
    <s v="W10686100"/>
    <s v="Placas de Controle"/>
    <x v="1"/>
    <n v="1000"/>
    <n v="5004042"/>
    <s v="BRASIL WEB TRANSPORTES E LOGISTICA"/>
    <n v="175.87"/>
    <d v="2025-07-22T00:00:00"/>
  </r>
  <r>
    <n v="254018234"/>
    <n v="64792283"/>
    <s v="REB"/>
    <n v="10069800"/>
    <n v="90"/>
    <s v="CLIENTE-não solicitou"/>
    <s v="COMERCIAL"/>
    <x v="2"/>
    <n v="21594"/>
    <x v="97"/>
    <s v="SP"/>
    <n v="931"/>
    <s v="Ats Off"/>
    <n v="1350"/>
    <s v="W11547512"/>
    <s v="Gavetas"/>
    <x v="9"/>
    <n v="1000"/>
    <n v="5004042"/>
    <s v="BRASIL WEB TRANSPORTES E LOGISTICA"/>
    <n v="175.36"/>
    <d v="2025-06-16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443921"/>
    <s v="Resistências"/>
    <x v="1"/>
    <n v="3000"/>
    <n v="5004101"/>
    <s v="UNIDOCK'S ASSESSORIA E LOGISTICA DE"/>
    <n v="175.31"/>
    <d v="2025-06-24T00:00:00"/>
  </r>
  <r>
    <n v="254042291"/>
    <n v="64796199"/>
    <s v="REB"/>
    <n v="9876936"/>
    <n v="173"/>
    <s v="PEÇAS - Defeito de fabric./Alta Amperage"/>
    <s v="FUNCIONAL"/>
    <x v="0"/>
    <n v="78757"/>
    <x v="50"/>
    <s v="RS"/>
    <n v="643"/>
    <s v="Elite"/>
    <n v="1350"/>
    <s v="W11435396"/>
    <s v="Placas de Controle"/>
    <x v="1"/>
    <n v="1000"/>
    <n v="5003024"/>
    <s v="RODOBRAS TRANSPORTES RODOVIARIOS LT"/>
    <n v="175.03"/>
    <d v="2025-06-23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334958"/>
    <s v="Placas de Interface"/>
    <x v="1"/>
    <n v="2000"/>
    <n v="5004101"/>
    <s v="UNIDOCK'S ASSESSORIA E LOGISTICA DE"/>
    <n v="175.01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334958"/>
    <s v="Placas de Interface"/>
    <x v="1"/>
    <n v="2000"/>
    <n v="5004101"/>
    <s v="UNIDOCK'S ASSESSORIA E LOGISTICA DE"/>
    <n v="175.01"/>
    <d v="2025-06-24T00:00:00"/>
  </r>
  <r>
    <s v="Sem TR"/>
    <n v="64808537"/>
    <s v="ZRDI"/>
    <n v="10129862"/>
    <s v="D18"/>
    <s v="DEV D2C - Arrependimento não quero mais"/>
    <s v="COMERCIAL"/>
    <x v="2"/>
    <n v="58124299"/>
    <x v="839"/>
    <s v="ES"/>
    <n v="474"/>
    <s v="Site Brastemp"/>
    <n v="1352"/>
    <s v="W11225561"/>
    <s v="Tampas Móveis"/>
    <x v="6"/>
    <n v="1000"/>
    <n v="5002359"/>
    <s v="EMPRESA BRASILEIRA DE CORREIOS E"/>
    <n v="174.99"/>
    <d v="2025-07-15T00:00:00"/>
  </r>
  <r>
    <n v="254035288"/>
    <n v="64807431"/>
    <s v="REB"/>
    <n v="10106829"/>
    <n v="173"/>
    <s v="PEÇAS - Defeito de fabric./Alta Amperage"/>
    <s v="FUNCIONAL"/>
    <x v="2"/>
    <n v="66"/>
    <x v="73"/>
    <s v="GO"/>
    <n v="931"/>
    <s v="Ats Off"/>
    <n v="1350"/>
    <s v="W11371164"/>
    <s v="Mecanismos"/>
    <x v="2"/>
    <n v="1000"/>
    <n v="5002858"/>
    <s v="FAVORITA TRANSPORTES LTDA"/>
    <n v="174.97"/>
    <d v="2025-07-17T00:00:00"/>
  </r>
  <r>
    <n v="253961259"/>
    <n v="64737956"/>
    <s v="REB"/>
    <n v="9869854"/>
    <n v="176"/>
    <s v="PEÇAS - Defeito de fabric./Interrompido"/>
    <s v="FUNCIONAL"/>
    <x v="1"/>
    <n v="17539"/>
    <x v="320"/>
    <s v="SP"/>
    <n v="350"/>
    <s v="Ats On"/>
    <n v="1350"/>
    <s v="W10661056"/>
    <s v="Interruptores horário"/>
    <x v="3"/>
    <n v="1000"/>
    <n v="5004042"/>
    <s v="BRASIL WEB TRANSPORTES E LOGISTICA"/>
    <n v="174.77"/>
    <d v="2025-03-25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n v="326047714"/>
    <s v="Prateleiras"/>
    <x v="9"/>
    <n v="4000"/>
    <n v="5004101"/>
    <s v="UNIDOCK'S ASSESSORIA E LOGISTICA DE"/>
    <n v="174.63"/>
    <d v="2025-02-25T00:00:00"/>
  </r>
  <r>
    <n v="254035432"/>
    <n v="64812377"/>
    <s v="REB"/>
    <n v="9999392"/>
    <n v="177"/>
    <s v="PEÇAS - Defeito de fabric./Ruído"/>
    <s v="FUNCIONAL"/>
    <x v="0"/>
    <n v="80432"/>
    <x v="3"/>
    <s v="ES"/>
    <n v="713"/>
    <s v="Key Account"/>
    <n v="1350"/>
    <s v="W11299803"/>
    <s v="Mecanismos"/>
    <x v="2"/>
    <n v="2000"/>
    <n v="5004042"/>
    <s v="BRASIL WEB TRANSPORTES E LOGISTICA"/>
    <n v="174.52"/>
    <d v="2025-07-17T00:00:00"/>
  </r>
  <r>
    <n v="253913084"/>
    <n v="64682727"/>
    <s v="REB"/>
    <n v="9774813"/>
    <n v="176"/>
    <s v="PEÇAS - Defeito de fabric./Interrompido"/>
    <s v="FUNCIONAL"/>
    <x v="2"/>
    <n v="24089"/>
    <x v="134"/>
    <s v="RJ"/>
    <n v="931"/>
    <s v="Ats Off"/>
    <n v="1350"/>
    <s v="W10659002"/>
    <s v="Magnetrons"/>
    <x v="1"/>
    <n v="1000"/>
    <n v="5003176"/>
    <s v="J C THEDIN TRANSPORTES LTDA"/>
    <n v="174.23"/>
    <d v="2025-01-06T00:00:00"/>
  </r>
  <r>
    <n v="254012590"/>
    <n v="64789325"/>
    <s v="REB"/>
    <n v="6534124"/>
    <n v="173"/>
    <s v="PEÇAS - Defeito de fabric./Alta Amperage"/>
    <s v="FUNCIONAL"/>
    <x v="1"/>
    <n v="67948"/>
    <x v="15"/>
    <s v="SC"/>
    <n v="713"/>
    <s v="Key Account"/>
    <n v="1350"/>
    <s v="W11102420"/>
    <s v="Placas de Controle"/>
    <x v="1"/>
    <n v="1000"/>
    <n v="5003024"/>
    <s v="RODOBRAS TRANSPORTES RODOVIARIOS LT"/>
    <n v="174.19"/>
    <d v="2025-06-10T00:00:00"/>
  </r>
  <r>
    <n v="253952505"/>
    <n v="64728379"/>
    <s v="REB"/>
    <n v="9688069"/>
    <n v="176"/>
    <s v="PEÇAS - Defeito de fabric./Interrompido"/>
    <s v="FUNCIONAL"/>
    <x v="1"/>
    <n v="77212"/>
    <x v="833"/>
    <s v="CE"/>
    <n v="644"/>
    <s v="Plus"/>
    <n v="1350"/>
    <s v="W11415305"/>
    <s v="Placas de Controle"/>
    <x v="1"/>
    <n v="1000"/>
    <n v="5004101"/>
    <s v="UNIDOCK'S ASSESSORIA E LOGISTICA DE"/>
    <n v="174.13"/>
    <d v="2025-03-10T00:00:00"/>
  </r>
  <r>
    <s v="Sem TR"/>
    <n v="64797563"/>
    <s v="ZRDI"/>
    <n v="10066258"/>
    <s v="D25"/>
    <s v="DEV D2C - Prob na entrega (Não recebi)"/>
    <s v="TRANSPORTADORA"/>
    <x v="2"/>
    <n v="4619635"/>
    <x v="359"/>
    <s v="RJ"/>
    <n v="474"/>
    <s v="Site Brastemp"/>
    <n v="1352"/>
    <s v="W10320833"/>
    <s v="Filtros"/>
    <x v="5"/>
    <n v="1000"/>
    <n v="5002359"/>
    <s v="EMPRESA BRASILEIRA DE CORREIOS E"/>
    <n v="174.06"/>
    <d v="2025-06-26T00:00:00"/>
  </r>
  <r>
    <s v="Sem TR"/>
    <n v="64797563"/>
    <s v="ZRDI"/>
    <n v="10066258"/>
    <s v="D25"/>
    <s v="DEV D2C - Prob na entrega (Não recebi)"/>
    <s v="TRANSPORTADORA"/>
    <x v="2"/>
    <n v="4619635"/>
    <x v="359"/>
    <s v="RJ"/>
    <n v="474"/>
    <s v="Site Brastemp"/>
    <n v="1352"/>
    <s v="W10320833"/>
    <s v="Filtros"/>
    <x v="5"/>
    <n v="1000"/>
    <n v="5002359"/>
    <s v="EMPRESA BRASILEIRA DE CORREIOS E"/>
    <n v="174.06"/>
    <d v="2025-06-26T00:00:00"/>
  </r>
  <r>
    <n v="253952552"/>
    <n v="64728974"/>
    <s v="REB"/>
    <n v="9891250"/>
    <n v="671"/>
    <s v="DEV-ENVIADO PARA GESTÃO DE CONSEQUENCIA"/>
    <s v="TRANSPORTADORA"/>
    <x v="1"/>
    <n v="85591"/>
    <x v="161"/>
    <s v="SC"/>
    <n v="643"/>
    <s v="Elite"/>
    <n v="1350"/>
    <s v="W10287534"/>
    <s v="Prateleiras"/>
    <x v="9"/>
    <n v="7000"/>
    <n v="5003024"/>
    <s v="RODOBRAS TRANSPORTES RODOVIARIOS LT"/>
    <n v="173.93"/>
    <d v="2025-03-10T00:00:00"/>
  </r>
  <r>
    <s v="Sem TR"/>
    <n v="64815015"/>
    <s v="ZRDI"/>
    <n v="10141812"/>
    <n v="208"/>
    <s v="DEV-Atraso entrega- LOGISTICA(Transp)"/>
    <s v="TRANSPORTADORA"/>
    <x v="2"/>
    <n v="51472583"/>
    <x v="840"/>
    <s v="SP"/>
    <n v="474"/>
    <s v="Site Brastemp"/>
    <n v="1352"/>
    <s v="W11393065"/>
    <s v="Filtros"/>
    <x v="5"/>
    <n v="1000"/>
    <n v="5002359"/>
    <s v="EMPRESA BRASILEIRA DE CORREIOS E"/>
    <n v="173.86"/>
    <d v="2025-07-22T00:00:00"/>
  </r>
  <r>
    <s v="Sem TR"/>
    <n v="64815015"/>
    <s v="ZRDI"/>
    <n v="10141812"/>
    <n v="208"/>
    <s v="DEV-Atraso entrega- LOGISTICA(Transp)"/>
    <s v="TRANSPORTADORA"/>
    <x v="2"/>
    <n v="51472583"/>
    <x v="840"/>
    <s v="SP"/>
    <n v="474"/>
    <s v="Site Brastemp"/>
    <n v="1352"/>
    <s v="W11393065"/>
    <s v="Filtros"/>
    <x v="5"/>
    <n v="1000"/>
    <n v="5002359"/>
    <s v="EMPRESA BRASILEIRA DE CORREIOS E"/>
    <n v="173.86"/>
    <d v="2025-07-22T00:00:00"/>
  </r>
  <r>
    <s v="Sem TR"/>
    <n v="64817381"/>
    <s v="REB"/>
    <n v="10057443"/>
    <n v="173"/>
    <s v="PEÇAS - Defeito de fabric./Alta Amperage"/>
    <s v="FUNCIONAL"/>
    <x v="1"/>
    <n v="66"/>
    <x v="73"/>
    <s v="GO"/>
    <n v="931"/>
    <s v="Ats Off"/>
    <n v="1350"/>
    <s v="W11300695"/>
    <s v="Mecanismos"/>
    <x v="2"/>
    <n v="1000"/>
    <n v="5002858"/>
    <s v="FAVORITA TRANSPORTES LTDA"/>
    <n v="173.8"/>
    <d v="2025-07-25T00:00:00"/>
  </r>
  <r>
    <n v="254035313"/>
    <n v="64812684"/>
    <s v="REB"/>
    <n v="10015460"/>
    <n v="173"/>
    <s v="PEÇAS - Defeito de fabric./Alta Amperage"/>
    <s v="FUNCIONAL"/>
    <x v="2"/>
    <n v="66"/>
    <x v="73"/>
    <s v="GO"/>
    <n v="931"/>
    <s v="Ats Off"/>
    <n v="1350"/>
    <s v="W11300695"/>
    <s v="Mecanismos"/>
    <x v="2"/>
    <n v="1000"/>
    <n v="5002858"/>
    <s v="FAVORITA TRANSPORTES LTDA"/>
    <n v="173.8"/>
    <d v="2025-07-17T00:00:00"/>
  </r>
  <r>
    <n v="253953766"/>
    <n v="64732109"/>
    <s v="REB"/>
    <n v="9841758"/>
    <n v="176"/>
    <s v="PEÇAS - Defeito de fabric./Interrompido"/>
    <s v="FUNCIONAL"/>
    <x v="1"/>
    <n v="24089"/>
    <x v="134"/>
    <s v="RJ"/>
    <n v="931"/>
    <s v="Ats Off"/>
    <n v="1350"/>
    <s v="W10347201"/>
    <s v="Prateleiras"/>
    <x v="9"/>
    <n v="2000"/>
    <n v="5003176"/>
    <s v="J C THEDIN TRANSPORTES LTDA"/>
    <n v="173.73"/>
    <d v="2025-03-14T00:00:00"/>
  </r>
  <r>
    <n v="254031880"/>
    <n v="64807559"/>
    <s v="REB"/>
    <n v="10113103"/>
    <n v="176"/>
    <s v="PEÇAS - Defeito de fabric./Interrompido"/>
    <s v="FUNCIONAL"/>
    <x v="0"/>
    <n v="3506"/>
    <x v="46"/>
    <s v="SP"/>
    <n v="931"/>
    <s v="Ats Off"/>
    <n v="1350"/>
    <s v="W10703190"/>
    <s v="Placas de Controle"/>
    <x v="1"/>
    <n v="1000"/>
    <n v="5004042"/>
    <s v="BRASIL WEB TRANSPORTES E LOGISTICA"/>
    <n v="173.72"/>
    <d v="2025-07-08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0553787"/>
    <s v="Motores Ventiladores"/>
    <x v="1"/>
    <n v="2000"/>
    <n v="5003024"/>
    <s v="RODOBRAS TRANSPORTES RODOVIARIOS LT"/>
    <n v="173.49"/>
    <d v="2025-01-16T00:00:00"/>
  </r>
  <r>
    <n v="254038298"/>
    <n v="64807542"/>
    <s v="REB"/>
    <n v="10096719"/>
    <n v="173"/>
    <s v="PEÇAS - Defeito de fabric./Alta Amperage"/>
    <s v="FUNCIONAL"/>
    <x v="0"/>
    <n v="14474"/>
    <x v="25"/>
    <s v="RN"/>
    <n v="648"/>
    <s v="Ultra"/>
    <n v="1350"/>
    <s v="W11195523"/>
    <s v="Motores"/>
    <x v="1"/>
    <n v="1000"/>
    <n v="5004101"/>
    <s v="UNIDOCK'S ASSESSORIA E LOGISTICA DE"/>
    <n v="173.4"/>
    <d v="2025-07-22T00:00:00"/>
  </r>
  <r>
    <n v="253952532"/>
    <n v="64728881"/>
    <s v="REB"/>
    <n v="9776788"/>
    <n v="176"/>
    <s v="PEÇAS - Defeito de fabric./Interrompido"/>
    <s v="FUNCIONAL"/>
    <x v="1"/>
    <n v="81043"/>
    <x v="841"/>
    <s v="PI"/>
    <n v="932"/>
    <s v="CDP Prata"/>
    <n v="1350"/>
    <s v="W11482942"/>
    <s v="Placas de Controle"/>
    <x v="1"/>
    <n v="1000"/>
    <n v="5004101"/>
    <s v="UNIDOCK'S ASSESSORIA E LOGISTICA DE"/>
    <n v="173.32"/>
    <d v="2025-03-10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807957"/>
    <s v="Conjunto Varetas"/>
    <x v="8"/>
    <n v="2000"/>
    <n v="5004101"/>
    <s v="UNIDOCK'S ASSESSORIA E LOGISTICA DE"/>
    <n v="173.08"/>
    <d v="2025-07-29T00:00:00"/>
  </r>
  <r>
    <n v="253903210"/>
    <n v="64671657"/>
    <s v="REB"/>
    <n v="9596661"/>
    <n v="671"/>
    <s v="DEV-ENVIADO PARA GESTÃO DE CONSEQUENCIA"/>
    <s v="TRANSPORTADORA"/>
    <x v="1"/>
    <n v="46511"/>
    <x v="281"/>
    <s v="SC"/>
    <n v="932"/>
    <s v="CDP Prata"/>
    <n v="1350"/>
    <s v="W11482942"/>
    <s v="Placas de Controle"/>
    <x v="1"/>
    <n v="1000"/>
    <n v="5003024"/>
    <s v="RODOBRAS TRANSPORTES RODOVIARIOS LT"/>
    <n v="173.06"/>
    <d v="2024-12-18T00:00:00"/>
  </r>
  <r>
    <n v="253952512"/>
    <n v="64717952"/>
    <s v="REB"/>
    <n v="9863953"/>
    <n v="176"/>
    <s v="PEÇAS - Defeito de fabric./Interrompido"/>
    <s v="FUNCIONAL"/>
    <x v="2"/>
    <n v="77909"/>
    <x v="472"/>
    <s v="PR"/>
    <n v="934"/>
    <s v="CDP Ouro"/>
    <n v="1350"/>
    <s v="W10700346"/>
    <s v="Placas de Controle"/>
    <x v="1"/>
    <n v="1000"/>
    <n v="5003024"/>
    <s v="RODOBRAS TRANSPORTES RODOVIARIOS LT"/>
    <n v="172.97"/>
    <d v="2025-03-10T00:00:00"/>
  </r>
  <r>
    <n v="254042111"/>
    <n v="64791291"/>
    <s v="REB"/>
    <n v="9823998"/>
    <n v="173"/>
    <s v="PEÇAS - Defeito de fabric./Alta Amperage"/>
    <s v="FUNCIONAL"/>
    <x v="0"/>
    <n v="30121"/>
    <x v="23"/>
    <s v="SP"/>
    <n v="648"/>
    <s v="Ultra"/>
    <n v="1350"/>
    <s v="W10849470"/>
    <s v="Bombas"/>
    <x v="1"/>
    <n v="6000"/>
    <n v="5004042"/>
    <s v="BRASIL WEB TRANSPORTES E LOGISTICA"/>
    <n v="172.9"/>
    <d v="2025-06-24T00:00:00"/>
  </r>
  <r>
    <s v="Sem TR"/>
    <n v="64701481"/>
    <s v="REB"/>
    <n v="9753566"/>
    <n v="125"/>
    <s v="DEV-Extravio de produto (Transportadora)"/>
    <s v="TRANSPORTADORA"/>
    <x v="0"/>
    <n v="81373"/>
    <x v="842"/>
    <s v="BA"/>
    <n v="350"/>
    <s v="Ats On"/>
    <n v="1350"/>
    <s v="W10730984"/>
    <s v="Gaxetas"/>
    <x v="4"/>
    <n v="5000"/>
    <n v="5004101"/>
    <s v="UNIDOCK'S ASSESSORIA E LOGISTICA DE"/>
    <n v="172.85"/>
    <d v="2025-01-28T00:00:00"/>
  </r>
  <r>
    <n v="254040415"/>
    <n v="64818319"/>
    <s v="ZRDI"/>
    <n v="10133026"/>
    <n v="208"/>
    <s v="DEV-Atraso entrega- LOGISTICA(Transp)"/>
    <s v="TRANSPORTADORA"/>
    <x v="2"/>
    <n v="54638477"/>
    <x v="843"/>
    <s v="RJ"/>
    <n v="474"/>
    <s v="Site Brastemp"/>
    <n v="1352"/>
    <s v="W10287527"/>
    <s v="Prateleiras"/>
    <x v="9"/>
    <n v="1000"/>
    <n v="5002359"/>
    <s v="EMPRESA BRASILEIRA DE CORREIOS E"/>
    <n v="172.82"/>
    <d v="2025-07-26T00:00:00"/>
  </r>
  <r>
    <n v="254040415"/>
    <n v="64818319"/>
    <s v="ZRDI"/>
    <n v="10133026"/>
    <n v="208"/>
    <s v="DEV-Atraso entrega- LOGISTICA(Transp)"/>
    <s v="TRANSPORTADORA"/>
    <x v="2"/>
    <n v="54638477"/>
    <x v="843"/>
    <s v="RJ"/>
    <n v="474"/>
    <s v="Site Brastemp"/>
    <n v="1352"/>
    <s v="W10287527"/>
    <s v="Prateleiras"/>
    <x v="9"/>
    <n v="1000"/>
    <n v="5002359"/>
    <s v="EMPRESA BRASILEIRA DE CORREIOS E"/>
    <n v="172.82"/>
    <d v="2025-07-26T00:00:00"/>
  </r>
  <r>
    <n v="254009889"/>
    <n v="64788542"/>
    <s v="ROB"/>
    <n v="10060283"/>
    <n v="311"/>
    <s v="DEV-PRODUTO TROCADO-LOGÍSTICA"/>
    <s v="LOGÍSTICA"/>
    <x v="2"/>
    <n v="66743"/>
    <x v="170"/>
    <s v="SC"/>
    <n v="932"/>
    <s v="CDP Prata"/>
    <n v="1350"/>
    <s v="W10709306"/>
    <s v="Placas de Controle"/>
    <x v="1"/>
    <n v="1000"/>
    <n v="5003024"/>
    <s v="RODOBRAS TRANSPORTES RODOVIARIOS LT"/>
    <n v="172.54"/>
    <d v="2025-06-09T00:00:00"/>
  </r>
  <r>
    <n v="253927007"/>
    <n v="64700464"/>
    <s v="REB"/>
    <n v="9742824"/>
    <n v="173"/>
    <s v="PEÇAS - Defeito de fabric./Alta Amperage"/>
    <s v="FUNCIONAL"/>
    <x v="2"/>
    <n v="67948"/>
    <x v="15"/>
    <s v="SC"/>
    <n v="713"/>
    <s v="Key Account"/>
    <n v="1350"/>
    <s v="W11415305"/>
    <s v="Placas de Controle"/>
    <x v="1"/>
    <n v="1000"/>
    <n v="5003024"/>
    <s v="RODOBRAS TRANSPORTES RODOVIARIOS LT"/>
    <n v="172.53"/>
    <d v="2025-01-27T00:00:00"/>
  </r>
  <r>
    <n v="254012550"/>
    <n v="64788482"/>
    <s v="REB"/>
    <n v="9966084"/>
    <n v="176"/>
    <s v="PEÇAS - Defeito de fabric./Interrompido"/>
    <s v="FUNCIONAL"/>
    <x v="1"/>
    <n v="58276"/>
    <x v="78"/>
    <s v="CE"/>
    <n v="644"/>
    <s v="Plus"/>
    <n v="1350"/>
    <s v="W10586927"/>
    <s v="Placas de Controle"/>
    <x v="1"/>
    <n v="1000"/>
    <n v="5004101"/>
    <s v="UNIDOCK'S ASSESSORIA E LOGISTICA DE"/>
    <n v="172.48"/>
    <d v="2025-06-10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915770"/>
    <s v="Vidros"/>
    <x v="6"/>
    <n v="1000"/>
    <n v="5004101"/>
    <s v="UNIDOCK'S ASSESSORIA E LOGISTICA DE"/>
    <n v="172.48"/>
    <d v="2025-03-13T00:00:00"/>
  </r>
  <r>
    <n v="253988797"/>
    <n v="64763827"/>
    <s v="REB"/>
    <n v="9984739"/>
    <n v="173"/>
    <s v="PEÇAS - Defeito de fabric./Alta Amperage"/>
    <s v="FUNCIONAL"/>
    <x v="1"/>
    <n v="9452"/>
    <x v="42"/>
    <s v="SP"/>
    <n v="931"/>
    <s v="Ats Off"/>
    <n v="1350"/>
    <s v="W10882241"/>
    <s v="Agitadores"/>
    <x v="2"/>
    <n v="3000"/>
    <n v="5004042"/>
    <s v="BRASIL WEB TRANSPORTES E LOGISTICA"/>
    <n v="172.47"/>
    <d v="2025-05-05T00:00:00"/>
  </r>
  <r>
    <n v="253886279"/>
    <n v="64651273"/>
    <s v="REB"/>
    <n v="9677554"/>
    <n v="90"/>
    <s v="CLIENTE-não solicitou"/>
    <s v="COMERCIAL"/>
    <x v="1"/>
    <n v="56043"/>
    <x v="48"/>
    <s v="PR"/>
    <n v="963"/>
    <s v="Ats Distribuidoras"/>
    <n v="1350"/>
    <s v="W11283283"/>
    <s v="Termostatos"/>
    <x v="3"/>
    <n v="5000"/>
    <n v="5003024"/>
    <s v="RODOBRAS TRANSPORTES RODOVIARIOS LT"/>
    <n v="172.31"/>
    <d v="2024-11-29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1510292"/>
    <s v="Interruptores"/>
    <x v="3"/>
    <n v="5000"/>
    <n v="5004101"/>
    <s v="UNIDOCK'S ASSESSORIA E LOGISTICA DE"/>
    <n v="172.25"/>
    <d v="2025-03-13T00:00:00"/>
  </r>
  <r>
    <n v="254041636"/>
    <n v="64819270"/>
    <s v="ROB"/>
    <n v="10133762"/>
    <n v="182"/>
    <s v="PEÇAS - Extravio - Volume a menor"/>
    <s v="TRANSPORTADORA"/>
    <x v="1"/>
    <n v="87684"/>
    <x v="416"/>
    <s v="PA"/>
    <n v="932"/>
    <s v="CDP Prata"/>
    <n v="1350"/>
    <s v="W10754676"/>
    <s v="Suportes"/>
    <x v="6"/>
    <n v="5000"/>
    <n v="5002858"/>
    <s v="FAVORITA TRANSPORTES LTDA"/>
    <n v="171.99"/>
    <d v="2025-07-28T00:00:00"/>
  </r>
  <r>
    <n v="253872284"/>
    <n v="64640963"/>
    <s v="REB"/>
    <n v="9645558"/>
    <n v="176"/>
    <s v="PEÇAS - Defeito de fabric./Interrompido"/>
    <s v="FUNCIONAL"/>
    <x v="1"/>
    <n v="3236"/>
    <x v="45"/>
    <s v="SP"/>
    <n v="931"/>
    <s v="Ats Off"/>
    <n v="1350"/>
    <s v="W10601059"/>
    <s v="Motores Ventiladores"/>
    <x v="1"/>
    <n v="1000"/>
    <n v="5003254"/>
    <s v="TMA TRANSPORTE LOTACAO E LOGISTICA"/>
    <n v="171.68"/>
    <d v="2024-11-11T00:00:00"/>
  </r>
  <r>
    <n v="254042107"/>
    <n v="64796319"/>
    <s v="REB"/>
    <n v="10009352"/>
    <n v="173"/>
    <s v="PEÇAS - Defeito de fabric./Alta Amperage"/>
    <s v="FUNCIONAL"/>
    <x v="0"/>
    <n v="78757"/>
    <x v="50"/>
    <s v="RS"/>
    <n v="643"/>
    <s v="Elite"/>
    <n v="1350"/>
    <s v="W10780260"/>
    <s v="Placas de Controle"/>
    <x v="1"/>
    <n v="1000"/>
    <n v="5003024"/>
    <s v="RODOBRAS TRANSPORTES RODOVIARIOS LT"/>
    <n v="171.68"/>
    <d v="2025-06-23T00:00:00"/>
  </r>
  <r>
    <n v="254024637"/>
    <n v="64804735"/>
    <s v="ZRDI"/>
    <n v="10091734"/>
    <n v="208"/>
    <s v="DEV-Atraso entrega- LOGISTICA(Transp)"/>
    <s v="TRANSPORTADORA"/>
    <x v="2"/>
    <n v="58094217"/>
    <x v="844"/>
    <s v="PB"/>
    <n v="475"/>
    <s v="Site Consul"/>
    <n v="1352"/>
    <s v="W11307340"/>
    <s v="Gavetas"/>
    <x v="9"/>
    <n v="1000"/>
    <n v="5002359"/>
    <s v="EMPRESA BRASILEIRA DE CORREIOS E"/>
    <n v="171.5"/>
    <d v="2025-07-02T00:00:00"/>
  </r>
  <r>
    <n v="254024637"/>
    <n v="64804735"/>
    <s v="ZRDI"/>
    <n v="10091734"/>
    <n v="208"/>
    <s v="DEV-Atraso entrega- LOGISTICA(Transp)"/>
    <s v="TRANSPORTADORA"/>
    <x v="2"/>
    <n v="58094217"/>
    <x v="844"/>
    <s v="PB"/>
    <n v="475"/>
    <s v="Site Consul"/>
    <n v="1352"/>
    <s v="W11307340"/>
    <s v="Gavetas"/>
    <x v="9"/>
    <n v="1000"/>
    <n v="5002359"/>
    <s v="EMPRESA BRASILEIRA DE CORREIOS E"/>
    <n v="171.5"/>
    <d v="2025-07-02T00:00:00"/>
  </r>
  <r>
    <s v="Sem TR"/>
    <n v="64807007"/>
    <s v="ZRDI"/>
    <n v="10100761"/>
    <s v="D10"/>
    <s v="DEV D2C - Comprou modelo errado"/>
    <s v="COMERCIAL"/>
    <x v="2"/>
    <n v="58108271"/>
    <x v="845"/>
    <s v="CE"/>
    <n v="474"/>
    <s v="Site Brastemp"/>
    <n v="1352"/>
    <s v="W10287527"/>
    <s v="Prateleiras"/>
    <x v="9"/>
    <n v="1000"/>
    <n v="5002359"/>
    <s v="EMPRESA BRASILEIRA DE CORREIOS E"/>
    <n v="171.34"/>
    <d v="2025-07-12T00:00:00"/>
  </r>
  <r>
    <s v="Sem TR"/>
    <n v="64800592"/>
    <s v="ZRDI"/>
    <n v="10089135"/>
    <s v="D10"/>
    <s v="DEV D2C - Comprou modelo errado"/>
    <s v="COMERCIAL"/>
    <x v="2"/>
    <n v="58089759"/>
    <x v="846"/>
    <s v="SP"/>
    <n v="746"/>
    <s v="Marketplace B2W"/>
    <n v="1352"/>
    <s v="W10644162"/>
    <s v="Tampas Móveis"/>
    <x v="6"/>
    <n v="1000"/>
    <n v="5003482"/>
    <s v="TMA TRANSPORTE LOTACAO E LOGISTICA"/>
    <n v="171.24"/>
    <d v="2025-07-09T00:00:00"/>
  </r>
  <r>
    <s v="Sem TR"/>
    <n v="64800592"/>
    <s v="ZRDI"/>
    <n v="10089135"/>
    <s v="D10"/>
    <s v="DEV D2C - Comprou modelo errado"/>
    <s v="COMERCIAL"/>
    <x v="2"/>
    <n v="58089759"/>
    <x v="846"/>
    <s v="SP"/>
    <n v="746"/>
    <s v="Marketplace B2W"/>
    <n v="1352"/>
    <s v="W10644162"/>
    <s v="Tampas Móveis"/>
    <x v="6"/>
    <n v="1000"/>
    <n v="5003482"/>
    <s v="TMA TRANSPORTE LOTACAO E LOGISTICA"/>
    <n v="171.24"/>
    <d v="2025-07-09T00:00:00"/>
  </r>
  <r>
    <s v="Sem TR"/>
    <n v="64768135"/>
    <s v="ROB"/>
    <n v="9996642"/>
    <n v="671"/>
    <s v="DEV-ENVIADO PARA GESTÃO DE CONSEQUENCIA"/>
    <s v="TRANSPORTADORA"/>
    <x v="1"/>
    <n v="27114"/>
    <x v="551"/>
    <s v="MG"/>
    <n v="350"/>
    <s v="Ats On"/>
    <n v="1350"/>
    <n v="326008340"/>
    <s v="Anéis de Vedação"/>
    <x v="4"/>
    <n v="10000"/>
    <n v="5004101"/>
    <s v="UNIDOCK'S ASSESSORIA E LOGISTICA DE"/>
    <n v="171.09"/>
    <d v="2025-05-12T00:00:00"/>
  </r>
  <r>
    <n v="254033970"/>
    <n v="64812529"/>
    <s v="ZRDI"/>
    <n v="10103881"/>
    <n v="208"/>
    <s v="DEV-Atraso entrega- LOGISTICA(Transp)"/>
    <s v="TRANSPORTADORA"/>
    <x v="2"/>
    <n v="58115671"/>
    <x v="847"/>
    <s v="RS"/>
    <n v="474"/>
    <s v="Site Brastemp"/>
    <n v="1352"/>
    <s v="W10803356"/>
    <s v="Filtros"/>
    <x v="5"/>
    <n v="1000"/>
    <n v="5002359"/>
    <s v="EMPRESA BRASILEIRA DE CORREIOS E"/>
    <n v="171.07"/>
    <d v="2025-07-17T00:00:00"/>
  </r>
  <r>
    <n v="254033974"/>
    <n v="64812533"/>
    <s v="ZRDI"/>
    <n v="10108332"/>
    <n v="208"/>
    <s v="DEV-Atraso entrega- LOGISTICA(Transp)"/>
    <s v="TRANSPORTADORA"/>
    <x v="2"/>
    <n v="58119875"/>
    <x v="848"/>
    <s v="PA"/>
    <n v="466"/>
    <s v="Sup ML Marketplace"/>
    <n v="1352"/>
    <s v="W11664627"/>
    <s v="Outros"/>
    <x v="7"/>
    <n v="1000"/>
    <n v="5002359"/>
    <s v="EMPRESA BRASILEIRA DE CORREIOS E"/>
    <n v="170.97"/>
    <d v="2025-07-17T00:00:00"/>
  </r>
  <r>
    <n v="254033974"/>
    <n v="64812533"/>
    <s v="ZRDI"/>
    <n v="10108332"/>
    <n v="208"/>
    <s v="DEV-Atraso entrega- LOGISTICA(Transp)"/>
    <s v="TRANSPORTADORA"/>
    <x v="2"/>
    <n v="58119875"/>
    <x v="848"/>
    <s v="PA"/>
    <n v="466"/>
    <s v="Sup ML Marketplace"/>
    <n v="1352"/>
    <s v="W11664627"/>
    <s v="Outros"/>
    <x v="7"/>
    <n v="1000"/>
    <n v="5002359"/>
    <s v="EMPRESA BRASILEIRA DE CORREIOS E"/>
    <n v="170.97"/>
    <d v="2025-07-17T00:00:00"/>
  </r>
  <r>
    <n v="254033098"/>
    <n v="64807211"/>
    <s v="REB"/>
    <n v="10015485"/>
    <n v="173"/>
    <s v="PEÇAS - Defeito de fabric./Alta Amperage"/>
    <s v="FUNCIONAL"/>
    <x v="2"/>
    <n v="66"/>
    <x v="73"/>
    <s v="GO"/>
    <n v="931"/>
    <s v="Ats Off"/>
    <n v="1350"/>
    <s v="W10665444"/>
    <s v="Bombas"/>
    <x v="1"/>
    <n v="1000"/>
    <n v="5002858"/>
    <s v="FAVORITA TRANSPORTES LTDA"/>
    <n v="170.65"/>
    <d v="2025-07-08T00:00:00"/>
  </r>
  <r>
    <n v="254035313"/>
    <n v="64812419"/>
    <s v="REB"/>
    <n v="10015485"/>
    <n v="173"/>
    <s v="PEÇAS - Defeito de fabric./Alta Amperage"/>
    <s v="FUNCIONAL"/>
    <x v="2"/>
    <n v="66"/>
    <x v="73"/>
    <s v="GO"/>
    <n v="931"/>
    <s v="Ats Off"/>
    <n v="1350"/>
    <s v="W10665444"/>
    <s v="Bombas"/>
    <x v="1"/>
    <n v="1000"/>
    <n v="5002858"/>
    <s v="FAVORITA TRANSPORTES LTDA"/>
    <n v="170.65"/>
    <d v="2025-07-17T00:00:00"/>
  </r>
  <r>
    <s v="Sem TR"/>
    <n v="64815516"/>
    <s v="ZRDI"/>
    <n v="10150077"/>
    <n v="25"/>
    <s v="OC. 80 - EXTRAVIO TOTAL"/>
    <s v="TRANSPORTADORA"/>
    <x v="1"/>
    <n v="51089904"/>
    <x v="849"/>
    <s v="SP"/>
    <n v="475"/>
    <s v="Site Consul"/>
    <n v="1352"/>
    <s v="W10301562"/>
    <s v="Filtros"/>
    <x v="5"/>
    <n v="2000"/>
    <n v="5002359"/>
    <s v="EMPRESA BRASILEIRA DE CORREIOS E"/>
    <n v="170.64"/>
    <d v="2025-07-28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1396077"/>
    <s v="Motores Ventiladores"/>
    <x v="1"/>
    <n v="2000"/>
    <n v="5004101"/>
    <s v="UNIDOCK'S ASSESSORIA E LOGISTICA DE"/>
    <n v="170.27"/>
    <d v="2025-03-13T00:00:00"/>
  </r>
  <r>
    <s v="Sem TR"/>
    <n v="64794487"/>
    <s v="ZRDI"/>
    <n v="10044656"/>
    <s v="D10"/>
    <s v="DEV D2C - Comprou modelo errado"/>
    <s v="COMERCIAL"/>
    <x v="2"/>
    <n v="58035834"/>
    <x v="850"/>
    <s v="RO"/>
    <n v="474"/>
    <s v="Site Brastemp"/>
    <n v="1352"/>
    <s v="W11396368"/>
    <s v="Gavetas"/>
    <x v="9"/>
    <n v="1000"/>
    <n v="5002359"/>
    <s v="EMPRESA BRASILEIRA DE CORREIOS E"/>
    <n v="170.17"/>
    <d v="2025-06-26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566265"/>
    <s v="Placas de Controle"/>
    <x v="1"/>
    <n v="1000"/>
    <n v="5002858"/>
    <s v="FAVORITA TRANSPORTES LTDA"/>
    <n v="170.17"/>
    <d v="2025-07-15T00:00:00"/>
  </r>
  <r>
    <n v="253995073"/>
    <n v="64743431"/>
    <s v="REB"/>
    <n v="9949903"/>
    <n v="173"/>
    <s v="PEÇAS - Defeito de fabric./Alta Amperage"/>
    <s v="FUNCIONAL"/>
    <x v="1"/>
    <n v="4446"/>
    <x v="392"/>
    <s v="PR"/>
    <n v="350"/>
    <s v="Ats On"/>
    <n v="1350"/>
    <n v="326073243"/>
    <s v="Placas de Controle"/>
    <x v="1"/>
    <n v="1000"/>
    <n v="5003024"/>
    <s v="RODOBRAS TRANSPORTES RODOVIARIOS LT"/>
    <n v="170.04"/>
    <d v="2025-04-01T00:00:00"/>
  </r>
  <r>
    <n v="254033380"/>
    <n v="64807135"/>
    <s v="REB"/>
    <n v="9838990"/>
    <n v="90"/>
    <s v="CLIENTE-não solicitou"/>
    <s v="COMERCIAL"/>
    <x v="1"/>
    <n v="31063"/>
    <x v="308"/>
    <s v="RJ"/>
    <n v="644"/>
    <s v="Plus"/>
    <n v="1350"/>
    <s v="W10643285"/>
    <s v="Motores Ventiladores"/>
    <x v="1"/>
    <n v="1000"/>
    <n v="5003176"/>
    <s v="J C THEDIN TRANSPORTES LTDA"/>
    <n v="170.03"/>
    <d v="2025-07-08T00:00:00"/>
  </r>
  <r>
    <n v="254039603"/>
    <n v="64817695"/>
    <s v="ZRDI"/>
    <n v="10100615"/>
    <s v="D25"/>
    <s v="DEV D2C - Prob na entrega (Não recebi)"/>
    <s v="TRANSPORTADORA"/>
    <x v="2"/>
    <n v="58109761"/>
    <x v="851"/>
    <s v="PI"/>
    <n v="474"/>
    <s v="Site Brastemp"/>
    <n v="1352"/>
    <s v="W10866790"/>
    <s v="Kits Instalação"/>
    <x v="7"/>
    <n v="1000"/>
    <n v="5002359"/>
    <s v="EMPRESA BRASILEIRA DE CORREIOS E"/>
    <n v="169.57"/>
    <d v="2025-07-25T00:00:00"/>
  </r>
  <r>
    <n v="254039603"/>
    <n v="64817695"/>
    <s v="ZRDI"/>
    <n v="10100615"/>
    <s v="D25"/>
    <s v="DEV D2C - Prob na entrega (Não recebi)"/>
    <s v="TRANSPORTADORA"/>
    <x v="2"/>
    <n v="58109761"/>
    <x v="851"/>
    <s v="PI"/>
    <n v="474"/>
    <s v="Site Brastemp"/>
    <n v="1352"/>
    <s v="W10866790"/>
    <s v="Kits Instalação"/>
    <x v="7"/>
    <n v="1000"/>
    <n v="5002359"/>
    <s v="EMPRESA BRASILEIRA DE CORREIOS E"/>
    <n v="169.57"/>
    <d v="2025-07-25T00:00:00"/>
  </r>
  <r>
    <s v="Sem TR"/>
    <n v="64817610"/>
    <s v="REB"/>
    <n v="9860195"/>
    <n v="173"/>
    <s v="PEÇAS - Defeito de fabric./Alta Amperage"/>
    <s v="FUNCIONAL"/>
    <x v="1"/>
    <n v="32533"/>
    <x v="194"/>
    <s v="PE"/>
    <n v="713"/>
    <s v="Key Account"/>
    <n v="1350"/>
    <s v="W11634491"/>
    <s v="Placas de Controle"/>
    <x v="1"/>
    <n v="3000"/>
    <n v="5004101"/>
    <s v="UNIDOCK'S ASSESSORIA E LOGISTICA DE"/>
    <n v="169.4"/>
    <d v="2025-07-25T00:00:00"/>
  </r>
  <r>
    <s v="Sem TR"/>
    <n v="64812210"/>
    <s v="ROB"/>
    <n v="10122763"/>
    <n v="25"/>
    <s v="OC. 80 - EXTRAVIO TOTAL"/>
    <s v="TRANSPORTADORA"/>
    <x v="0"/>
    <n v="71778"/>
    <x v="700"/>
    <s v="SC"/>
    <n v="932"/>
    <s v="CDP Prata"/>
    <n v="1350"/>
    <s v="W11082454"/>
    <s v="Termostatos"/>
    <x v="3"/>
    <n v="3000"/>
    <n v="5003024"/>
    <s v="RODOBRAS TRANSPORTES RODOVIARIOS LT"/>
    <n v="169.4"/>
    <d v="2025-07-17T00:00:00"/>
  </r>
  <r>
    <n v="254037052"/>
    <n v="64814968"/>
    <s v="ZRDI"/>
    <n v="10091624"/>
    <n v="208"/>
    <s v="DEV-Atraso entrega- LOGISTICA(Transp)"/>
    <s v="TRANSPORTADORA"/>
    <x v="2"/>
    <n v="5902539"/>
    <x v="852"/>
    <s v="SE"/>
    <n v="474"/>
    <s v="Site Brastemp"/>
    <n v="1352"/>
    <s v="W10866790"/>
    <s v="Kits Instalação"/>
    <x v="7"/>
    <n v="1000"/>
    <n v="5002359"/>
    <s v="EMPRESA BRASILEIRA DE CORREIOS E"/>
    <n v="169.26"/>
    <d v="2025-07-22T00:00:00"/>
  </r>
  <r>
    <n v="254037052"/>
    <n v="64814968"/>
    <s v="ZRDI"/>
    <n v="10091624"/>
    <n v="208"/>
    <s v="DEV-Atraso entrega- LOGISTICA(Transp)"/>
    <s v="TRANSPORTADORA"/>
    <x v="2"/>
    <n v="5902539"/>
    <x v="852"/>
    <s v="SE"/>
    <n v="474"/>
    <s v="Site Brastemp"/>
    <n v="1352"/>
    <s v="W10866790"/>
    <s v="Kits Instalação"/>
    <x v="7"/>
    <n v="1000"/>
    <n v="5002359"/>
    <s v="EMPRESA BRASILEIRA DE CORREIOS E"/>
    <n v="169.26"/>
    <d v="2025-07-22T00:00:00"/>
  </r>
  <r>
    <n v="254027332"/>
    <n v="64806745"/>
    <s v="ZRDI"/>
    <n v="10073442"/>
    <n v="208"/>
    <s v="DEV-Atraso entrega- LOGISTICA(Transp)"/>
    <s v="TRANSPORTADORA"/>
    <x v="2"/>
    <n v="57972387"/>
    <x v="853"/>
    <s v="BA"/>
    <n v="474"/>
    <s v="Site Brastemp"/>
    <n v="1352"/>
    <s v="W11662058"/>
    <s v="Outros"/>
    <x v="7"/>
    <n v="1000"/>
    <n v="5002359"/>
    <s v="EMPRESA BRASILEIRA DE CORREIOS E"/>
    <n v="169.25"/>
    <d v="2025-07-07T00:00:00"/>
  </r>
  <r>
    <n v="254027332"/>
    <n v="64806745"/>
    <s v="ZRDI"/>
    <n v="10073442"/>
    <n v="208"/>
    <s v="DEV-Atraso entrega- LOGISTICA(Transp)"/>
    <s v="TRANSPORTADORA"/>
    <x v="2"/>
    <n v="57972387"/>
    <x v="853"/>
    <s v="BA"/>
    <n v="474"/>
    <s v="Site Brastemp"/>
    <n v="1352"/>
    <s v="W11662058"/>
    <s v="Outros"/>
    <x v="7"/>
    <n v="1000"/>
    <n v="5002359"/>
    <s v="EMPRESA BRASILEIRA DE CORREIOS E"/>
    <n v="169.25"/>
    <d v="2025-07-07T00:00:00"/>
  </r>
  <r>
    <n v="254030011"/>
    <n v="64809487"/>
    <s v="ZRDI"/>
    <n v="10093737"/>
    <n v="208"/>
    <s v="DEV-Atraso entrega- LOGISTICA(Transp)"/>
    <s v="TRANSPORTADORA"/>
    <x v="2"/>
    <n v="52111556"/>
    <x v="854"/>
    <s v="PE"/>
    <n v="474"/>
    <s v="Site Brastemp"/>
    <n v="1352"/>
    <s v="W10866790"/>
    <s v="Kits Instalação"/>
    <x v="7"/>
    <n v="1000"/>
    <n v="5002359"/>
    <s v="EMPRESA BRASILEIRA DE CORREIOS E"/>
    <n v="169.23"/>
    <d v="2025-07-11T00:00:00"/>
  </r>
  <r>
    <n v="254033941"/>
    <n v="64812474"/>
    <s v="ZRDI"/>
    <n v="10093635"/>
    <n v="208"/>
    <s v="DEV-Atraso entrega- LOGISTICA(Transp)"/>
    <s v="TRANSPORTADORA"/>
    <x v="2"/>
    <n v="58094994"/>
    <x v="855"/>
    <s v="BA"/>
    <n v="474"/>
    <s v="Site Brastemp"/>
    <n v="1352"/>
    <s v="W10866790"/>
    <s v="Kits Instalação"/>
    <x v="7"/>
    <n v="1000"/>
    <n v="5002359"/>
    <s v="EMPRESA BRASILEIRA DE CORREIOS E"/>
    <n v="169.1"/>
    <d v="2025-07-17T00:00:00"/>
  </r>
  <r>
    <n v="254035821"/>
    <n v="64814020"/>
    <s v="ZRDI"/>
    <n v="10093731"/>
    <n v="208"/>
    <s v="DEV-Atraso entrega- LOGISTICA(Transp)"/>
    <s v="TRANSPORTADORA"/>
    <x v="2"/>
    <n v="51913995"/>
    <x v="856"/>
    <s v="BA"/>
    <n v="474"/>
    <s v="Site Brastemp"/>
    <n v="1352"/>
    <s v="W10866790"/>
    <s v="Kits Instalação"/>
    <x v="7"/>
    <n v="1000"/>
    <n v="5002359"/>
    <s v="EMPRESA BRASILEIRA DE CORREIOS E"/>
    <n v="169.1"/>
    <d v="2025-07-21T00:00:00"/>
  </r>
  <r>
    <n v="254039181"/>
    <n v="64817062"/>
    <s v="ZRDI"/>
    <n v="10091487"/>
    <n v="208"/>
    <s v="DEV-Atraso entrega- LOGISTICA(Transp)"/>
    <s v="TRANSPORTADORA"/>
    <x v="2"/>
    <n v="58094994"/>
    <x v="855"/>
    <s v="BA"/>
    <n v="474"/>
    <s v="Site Brastemp"/>
    <n v="1352"/>
    <s v="W10866790"/>
    <s v="Kits Instalação"/>
    <x v="7"/>
    <n v="1000"/>
    <n v="5002359"/>
    <s v="EMPRESA BRASILEIRA DE CORREIOS E"/>
    <n v="169.1"/>
    <d v="2025-07-24T00:00:00"/>
  </r>
  <r>
    <s v="Sem TR"/>
    <n v="64805030"/>
    <s v="ZRDI"/>
    <n v="10088266"/>
    <s v="D18"/>
    <s v="DEV D2C - Arrependimento não quero mais"/>
    <s v="COMERCIAL"/>
    <x v="2"/>
    <n v="50779058"/>
    <x v="857"/>
    <s v="MG"/>
    <n v="474"/>
    <s v="Site Brastemp"/>
    <n v="1352"/>
    <s v="W10866790"/>
    <s v="Kits Instalação"/>
    <x v="7"/>
    <n v="1000"/>
    <n v="5002359"/>
    <s v="EMPRESA BRASILEIRA DE CORREIOS E"/>
    <n v="169.09"/>
    <d v="2025-07-03T00:00:00"/>
  </r>
  <r>
    <s v="Sem TR"/>
    <n v="64816128"/>
    <s v="ZRDI"/>
    <n v="10148839"/>
    <s v="D10"/>
    <s v="DEV D2C - Comprou modelo errado"/>
    <s v="COMERCIAL"/>
    <x v="1"/>
    <n v="53853977"/>
    <x v="858"/>
    <s v="SP"/>
    <n v="474"/>
    <s v="Site Brastemp"/>
    <n v="1352"/>
    <s v="W10287527"/>
    <s v="Prateleiras"/>
    <x v="9"/>
    <n v="1000"/>
    <n v="5002359"/>
    <s v="EMPRESA BRASILEIRA DE CORREIOS E"/>
    <n v="169.02"/>
    <d v="2025-07-29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518617"/>
    <s v="Atuadores"/>
    <x v="2"/>
    <n v="5000"/>
    <n v="5004101"/>
    <s v="UNIDOCK'S ASSESSORIA E LOGISTICA DE"/>
    <n v="169.02"/>
    <d v="2025-06-24T00:00:00"/>
  </r>
  <r>
    <n v="254033321"/>
    <n v="64807173"/>
    <s v="REB"/>
    <n v="10063000"/>
    <n v="173"/>
    <s v="PEÇAS - Defeito de fabric./Alta Amperage"/>
    <s v="FUNCIONAL"/>
    <x v="1"/>
    <n v="26939"/>
    <x v="126"/>
    <s v="PR"/>
    <n v="643"/>
    <s v="Elite"/>
    <n v="1350"/>
    <s v="W10882241"/>
    <s v="Agitadores"/>
    <x v="2"/>
    <n v="4000"/>
    <n v="5003024"/>
    <s v="RODOBRAS TRANSPORTES RODOVIARIOS LT"/>
    <n v="168.87"/>
    <d v="2025-07-08T00:00:00"/>
  </r>
  <r>
    <s v="Sem TR"/>
    <n v="64796892"/>
    <s v="ZRDI"/>
    <n v="10095449"/>
    <s v="D23"/>
    <s v="DEV D2C - Falta de previsão de entrega"/>
    <s v="COMERCIAL"/>
    <x v="2"/>
    <n v="58095576"/>
    <x v="859"/>
    <s v="RJ"/>
    <n v="474"/>
    <s v="Site Brastemp"/>
    <n v="1352"/>
    <s v="W10866790"/>
    <s v="Kits Instalação"/>
    <x v="7"/>
    <n v="1000"/>
    <n v="5002359"/>
    <s v="EMPRESA BRASILEIRA DE CORREIOS E"/>
    <n v="168.86"/>
    <d v="2025-06-26T00:00:00"/>
  </r>
  <r>
    <n v="254033966"/>
    <n v="64812525"/>
    <s v="ZRDI"/>
    <n v="10103603"/>
    <n v="208"/>
    <s v="DEV-Atraso entrega- LOGISTICA(Transp)"/>
    <s v="TRANSPORTADORA"/>
    <x v="2"/>
    <n v="57344089"/>
    <x v="860"/>
    <s v="RJ"/>
    <n v="474"/>
    <s v="Site Brastemp"/>
    <n v="1352"/>
    <s v="W10866790"/>
    <s v="Kits Instalação"/>
    <x v="7"/>
    <n v="1000"/>
    <n v="5002359"/>
    <s v="EMPRESA BRASILEIRA DE CORREIOS E"/>
    <n v="168.86"/>
    <d v="2025-07-17T00:00:00"/>
  </r>
  <r>
    <n v="254032513"/>
    <n v="64811477"/>
    <s v="ZRDI"/>
    <n v="10091672"/>
    <n v="208"/>
    <s v="DEV-Atraso entrega- LOGISTICA(Transp)"/>
    <s v="TRANSPORTADORA"/>
    <x v="2"/>
    <n v="5694318"/>
    <x v="861"/>
    <s v="BA"/>
    <n v="474"/>
    <s v="Site Brastemp"/>
    <n v="1352"/>
    <s v="W10710769"/>
    <s v="Termostatos"/>
    <x v="3"/>
    <n v="1000"/>
    <n v="5002359"/>
    <s v="EMPRESA BRASILEIRA DE CORREIOS E"/>
    <n v="168.8"/>
    <d v="2025-07-16T00:00:00"/>
  </r>
  <r>
    <n v="254024635"/>
    <n v="64804732"/>
    <s v="ZRDI"/>
    <n v="10088316"/>
    <n v="208"/>
    <s v="DEV-Atraso entrega- LOGISTICA(Transp)"/>
    <s v="TRANSPORTADORA"/>
    <x v="2"/>
    <n v="55598827"/>
    <x v="862"/>
    <s v="RJ"/>
    <n v="474"/>
    <s v="Site Brastemp"/>
    <n v="1352"/>
    <s v="W10866790"/>
    <s v="Kits Instalação"/>
    <x v="7"/>
    <n v="1000"/>
    <n v="5002359"/>
    <s v="EMPRESA BRASILEIRA DE CORREIOS E"/>
    <n v="168.74"/>
    <d v="2025-07-02T00:00:00"/>
  </r>
  <r>
    <n v="254030009"/>
    <n v="64809485"/>
    <s v="ZRDI"/>
    <n v="10093755"/>
    <n v="208"/>
    <s v="DEV-Atraso entrega- LOGISTICA(Transp)"/>
    <s v="TRANSPORTADORA"/>
    <x v="2"/>
    <n v="52792758"/>
    <x v="863"/>
    <s v="ES"/>
    <n v="474"/>
    <s v="Site Brastemp"/>
    <n v="1352"/>
    <s v="W10866790"/>
    <s v="Kits Instalação"/>
    <x v="7"/>
    <n v="1000"/>
    <n v="5002359"/>
    <s v="EMPRESA BRASILEIRA DE CORREIOS E"/>
    <n v="168.74"/>
    <d v="2025-07-11T00:00:00"/>
  </r>
  <r>
    <n v="254042098"/>
    <n v="64796864"/>
    <s v="REB"/>
    <n v="10080162"/>
    <n v="90"/>
    <s v="CLIENTE-não solicitou"/>
    <s v="COMERCIAL"/>
    <x v="0"/>
    <n v="45440"/>
    <x v="226"/>
    <s v="MG"/>
    <n v="350"/>
    <s v="Ats On"/>
    <n v="1350"/>
    <s v="W10616737"/>
    <s v="Gavetas"/>
    <x v="9"/>
    <n v="1000"/>
    <n v="5004215"/>
    <s v="BRASIL WEB TRANSPORTES E LOGISTICA"/>
    <n v="168.69"/>
    <d v="2025-06-24T00:00:00"/>
  </r>
  <r>
    <s v="Sem TR"/>
    <n v="64799887"/>
    <s v="ZRDI"/>
    <n v="10092983"/>
    <n v="208"/>
    <s v="DEV-Atraso entrega- LOGISTICA(Transp)"/>
    <s v="TRANSPORTADORA"/>
    <x v="2"/>
    <n v="51679203"/>
    <x v="864"/>
    <s v="RJ"/>
    <n v="474"/>
    <s v="Site Brastemp"/>
    <n v="1352"/>
    <s v="W10866790"/>
    <s v="Kits Instalação"/>
    <x v="7"/>
    <n v="1000"/>
    <n v="5002359"/>
    <s v="EMPRESA BRASILEIRA DE CORREIOS E"/>
    <n v="168.65"/>
    <d v="2025-06-27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326031817"/>
    <s v="Mangueiras"/>
    <x v="5"/>
    <n v="10000"/>
    <n v="5002858"/>
    <s v="FAVORITA TRANSPORTES LTDA"/>
    <n v="168.5"/>
    <d v="2025-07-15T00:00:00"/>
  </r>
  <r>
    <n v="254003870"/>
    <n v="64778699"/>
    <s v="REB"/>
    <n v="10018455"/>
    <n v="173"/>
    <s v="PEÇAS - Defeito de fabric./Alta Amperage"/>
    <s v="FUNCIONAL"/>
    <x v="1"/>
    <n v="10164"/>
    <x v="183"/>
    <s v="PB"/>
    <n v="931"/>
    <s v="Ats Off"/>
    <n v="1350"/>
    <s v="W11195523"/>
    <s v="Motores"/>
    <x v="1"/>
    <n v="1000"/>
    <n v="5004101"/>
    <s v="UNIDOCK'S ASSESSORIA E LOGISTICA DE"/>
    <n v="168.49"/>
    <d v="2025-05-26T00:00:00"/>
  </r>
  <r>
    <n v="254007621"/>
    <n v="64776937"/>
    <s v="REB"/>
    <n v="10028801"/>
    <n v="168"/>
    <s v="PEÇAS-Def.Fabric.Empenamento/Abaulamento"/>
    <s v="FUNCIONAL"/>
    <x v="1"/>
    <n v="82179"/>
    <x v="191"/>
    <s v="MG"/>
    <n v="350"/>
    <s v="Ats On"/>
    <n v="1350"/>
    <s v="W10882241"/>
    <s v="Agitadores"/>
    <x v="2"/>
    <n v="3000"/>
    <n v="5004215"/>
    <s v="BRASIL WEB TRANSPORTES E LOGISTICA"/>
    <n v="168.41"/>
    <d v="2025-06-02T00:00:00"/>
  </r>
  <r>
    <s v="Sem TR"/>
    <n v="64798892"/>
    <s v="ZRDI"/>
    <n v="10094327"/>
    <s v="D18"/>
    <s v="DEV D2C - Arrependimento não quero mais"/>
    <s v="COMERCIAL"/>
    <x v="2"/>
    <n v="56709791"/>
    <x v="313"/>
    <s v="MG"/>
    <n v="474"/>
    <s v="Site Brastemp"/>
    <n v="1352"/>
    <s v="W10287527"/>
    <s v="Prateleiras"/>
    <x v="9"/>
    <n v="1000"/>
    <n v="5002359"/>
    <s v="EMPRESA BRASILEIRA DE CORREIOS E"/>
    <n v="168.4"/>
    <d v="2025-06-28T00:00:00"/>
  </r>
  <r>
    <n v="253988788"/>
    <n v="64764101"/>
    <s v="REB"/>
    <n v="9905314"/>
    <n v="176"/>
    <s v="PEÇAS - Defeito de fabric./Interrompido"/>
    <s v="FUNCIONAL"/>
    <x v="1"/>
    <n v="3506"/>
    <x v="46"/>
    <s v="SP"/>
    <n v="931"/>
    <s v="Ats Off"/>
    <n v="1350"/>
    <s v="W10585027"/>
    <s v="Bombas"/>
    <x v="1"/>
    <n v="1000"/>
    <n v="5004042"/>
    <s v="BRASIL WEB TRANSPORTES E LOGISTICA"/>
    <n v="168.32"/>
    <d v="2025-05-05T00:00:00"/>
  </r>
  <r>
    <n v="253981541"/>
    <n v="64756625"/>
    <s v="REB"/>
    <n v="8920157"/>
    <n v="173"/>
    <s v="PEÇAS - Defeito de fabric./Alta Amperage"/>
    <s v="FUNCIONAL"/>
    <x v="2"/>
    <n v="60871"/>
    <x v="9"/>
    <s v="ES"/>
    <n v="713"/>
    <s v="Key Account"/>
    <n v="1350"/>
    <s v="W11523016"/>
    <s v="Placas de Controle"/>
    <x v="1"/>
    <n v="1000"/>
    <n v="5004042"/>
    <s v="BRASIL WEB TRANSPORTES E LOGISTICA"/>
    <n v="168.31"/>
    <d v="2025-04-25T00:00:00"/>
  </r>
  <r>
    <n v="253993283"/>
    <n v="64771123"/>
    <s v="ROB"/>
    <n v="10004919"/>
    <n v="182"/>
    <s v="PEÇAS - Extravio - Volume a menor"/>
    <s v="TRANSPORTADORA"/>
    <x v="1"/>
    <n v="4523"/>
    <x v="261"/>
    <s v="SC"/>
    <n v="350"/>
    <s v="Ats On"/>
    <n v="1350"/>
    <n v="55118"/>
    <s v="Suportes"/>
    <x v="6"/>
    <n v="10000"/>
    <n v="5003024"/>
    <s v="RODOBRAS TRANSPORTES RODOVIARIOS LT"/>
    <n v="168.19"/>
    <d v="2025-05-15T00:00:00"/>
  </r>
  <r>
    <s v="Sem TR"/>
    <n v="64809991"/>
    <s v="ZRDI"/>
    <n v="10123609"/>
    <s v="D10"/>
    <s v="DEV D2C - Comprou modelo errado"/>
    <s v="COMERCIAL"/>
    <x v="2"/>
    <n v="58137125"/>
    <x v="830"/>
    <s v="MG"/>
    <n v="474"/>
    <s v="Site Brastemp"/>
    <n v="1352"/>
    <s v="W10287547"/>
    <s v="Gavetas"/>
    <x v="9"/>
    <n v="1000"/>
    <n v="5002359"/>
    <s v="EMPRESA BRASILEIRA DE CORREIOS E"/>
    <n v="168.1"/>
    <d v="2025-07-22T00:00:00"/>
  </r>
  <r>
    <s v="Sem TR"/>
    <n v="64809991"/>
    <s v="ZRDI"/>
    <n v="10123609"/>
    <s v="D10"/>
    <s v="DEV D2C - Comprou modelo errado"/>
    <s v="COMERCIAL"/>
    <x v="2"/>
    <n v="58137125"/>
    <x v="830"/>
    <s v="MG"/>
    <n v="474"/>
    <s v="Site Brastemp"/>
    <n v="1352"/>
    <s v="W10287547"/>
    <s v="Gavetas"/>
    <x v="9"/>
    <n v="1000"/>
    <n v="5002359"/>
    <s v="EMPRESA BRASILEIRA DE CORREIOS E"/>
    <n v="168.1"/>
    <d v="2025-07-22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4258886"/>
    <s v="Anéis Hidro"/>
    <x v="6"/>
    <n v="3000"/>
    <n v="5002858"/>
    <s v="FAVORITA TRANSPORTES LTDA"/>
    <n v="167.97"/>
    <d v="2025-07-15T00:00:00"/>
  </r>
  <r>
    <n v="254024711"/>
    <n v="64784603"/>
    <s v="ROB"/>
    <n v="10098678"/>
    <n v="311"/>
    <s v="DEV-PRODUTO TROCADO-LOGÍSTICA"/>
    <s v="LOGÍSTICA"/>
    <x v="2"/>
    <n v="76131"/>
    <x v="248"/>
    <s v="SP"/>
    <n v="932"/>
    <s v="CDP Prata"/>
    <n v="1350"/>
    <s v="W11574388"/>
    <s v="Capacitores"/>
    <x v="1"/>
    <n v="10000"/>
    <n v="5004101"/>
    <s v="UNIDOCK'S ASSESSORIA E LOGISTICA DE"/>
    <n v="167.9"/>
    <d v="2025-07-03T00:00:00"/>
  </r>
  <r>
    <n v="253988872"/>
    <n v="64760621"/>
    <s v="REB"/>
    <n v="9703124"/>
    <n v="173"/>
    <s v="PEÇAS - Defeito de fabric./Alta Amperage"/>
    <s v="FUNCIONAL"/>
    <x v="1"/>
    <n v="32533"/>
    <x v="194"/>
    <s v="PE"/>
    <n v="713"/>
    <s v="Key Account"/>
    <n v="1350"/>
    <s v="W10586927"/>
    <s v="Placas de Controle"/>
    <x v="1"/>
    <n v="1000"/>
    <n v="5004101"/>
    <s v="UNIDOCK'S ASSESSORIA E LOGISTICA DE"/>
    <n v="167.61"/>
    <d v="2025-05-05T00:00:00"/>
  </r>
  <r>
    <s v="Sem TR"/>
    <n v="64620549"/>
    <s v="ROB"/>
    <n v="9561928"/>
    <n v="25"/>
    <s v="OC. 80 - EXTRAVIO TOTAL"/>
    <s v="TRANSPORTADORA"/>
    <x v="0"/>
    <n v="84895"/>
    <x v="666"/>
    <s v="PE"/>
    <n v="932"/>
    <s v="CDP Prata"/>
    <n v="1350"/>
    <s v="W10742654"/>
    <s v="Motores Ventiladores"/>
    <x v="1"/>
    <n v="3000"/>
    <n v="5004101"/>
    <s v="UNIDOCK'S ASSESSORIA E LOGISTICA DE"/>
    <n v="167.48"/>
    <d v="2024-10-02T00:00:00"/>
  </r>
  <r>
    <s v="Sem TR"/>
    <n v="64812749"/>
    <s v="REB"/>
    <n v="10091549"/>
    <n v="176"/>
    <s v="PEÇAS - Defeito de fabric./Interrompido"/>
    <s v="FUNCIONAL"/>
    <x v="1"/>
    <n v="27031"/>
    <x v="239"/>
    <s v="SP"/>
    <n v="932"/>
    <s v="CDP Prata"/>
    <n v="1350"/>
    <s v="W11254865"/>
    <s v="Mecanismos"/>
    <x v="2"/>
    <n v="1000"/>
    <n v="5004042"/>
    <s v="BRASIL WEB TRANSPORTES E LOGISTICA"/>
    <n v="167.46"/>
    <d v="2025-07-17T00:00:00"/>
  </r>
  <r>
    <n v="253988955"/>
    <n v="64757373"/>
    <s v="REB"/>
    <n v="9988824"/>
    <n v="173"/>
    <s v="PEÇAS - Defeito de fabric./Alta Amperage"/>
    <s v="FUNCIONAL"/>
    <x v="2"/>
    <n v="87707"/>
    <x v="143"/>
    <s v="BA"/>
    <n v="648"/>
    <s v="Ultra"/>
    <n v="1350"/>
    <s v="W10700346"/>
    <s v="Placas de Controle"/>
    <x v="1"/>
    <n v="1000"/>
    <n v="5004101"/>
    <s v="UNIDOCK'S ASSESSORIA E LOGISTICA DE"/>
    <n v="167.32"/>
    <d v="2025-05-05T00:00:00"/>
  </r>
  <r>
    <n v="253948572"/>
    <n v="64726696"/>
    <s v="REB"/>
    <n v="9858640"/>
    <n v="176"/>
    <s v="PEÇAS - Defeito de fabric./Interrompido"/>
    <s v="FUNCIONAL"/>
    <x v="2"/>
    <n v="75812"/>
    <x v="102"/>
    <s v="SP"/>
    <n v="931"/>
    <s v="Ats Off"/>
    <n v="1350"/>
    <s v="W11045281"/>
    <s v="Placas de Controle"/>
    <x v="1"/>
    <n v="1000"/>
    <n v="5004042"/>
    <s v="BRASIL WEB TRANSPORTES E LOGISTICA"/>
    <n v="167.18"/>
    <d v="2025-03-07T00:00:00"/>
  </r>
  <r>
    <n v="253915530"/>
    <n v="64680988"/>
    <s v="REB"/>
    <n v="9798336"/>
    <n v="173"/>
    <s v="PEÇAS - Defeito de fabric./Alta Amperage"/>
    <s v="FUNCIONAL"/>
    <x v="1"/>
    <n v="3236"/>
    <x v="45"/>
    <s v="SP"/>
    <n v="931"/>
    <s v="Ats Off"/>
    <n v="1350"/>
    <s v="W10276002"/>
    <s v="Motores"/>
    <x v="1"/>
    <n v="1000"/>
    <n v="5003254"/>
    <s v="TMA TRANSPORTE LOTACAO E LOGISTICA"/>
    <n v="167.18"/>
    <d v="2025-01-09T00:00:00"/>
  </r>
  <r>
    <n v="254033405"/>
    <n v="64805311"/>
    <s v="REB"/>
    <n v="9958736"/>
    <n v="173"/>
    <s v="PEÇAS - Defeito de fabric./Alta Amperage"/>
    <s v="FUNCIONAL"/>
    <x v="1"/>
    <n v="40998"/>
    <x v="8"/>
    <s v="GO"/>
    <n v="648"/>
    <s v="Ultra"/>
    <n v="1350"/>
    <s v="W10686100"/>
    <s v="Placas de Controle"/>
    <x v="1"/>
    <n v="1000"/>
    <n v="5002858"/>
    <s v="FAVORITA TRANSPORTES LTDA"/>
    <n v="167.13"/>
    <d v="2025-07-08T00:00:00"/>
  </r>
  <r>
    <n v="254012553"/>
    <n v="64789159"/>
    <s v="REB"/>
    <n v="10045883"/>
    <n v="167"/>
    <s v="PEÇAS - Avaria - Quebrada/Depósito"/>
    <s v="LOGÍSTICA"/>
    <x v="1"/>
    <n v="61467"/>
    <x v="451"/>
    <s v="CE"/>
    <n v="644"/>
    <s v="Plus"/>
    <n v="1350"/>
    <s v="W11393157"/>
    <s v="Tampas Móveis"/>
    <x v="6"/>
    <n v="1000"/>
    <n v="5004101"/>
    <s v="UNIDOCK'S ASSESSORIA E LOGISTICA DE"/>
    <n v="167.12"/>
    <d v="2025-06-10T00:00:00"/>
  </r>
  <r>
    <n v="253886279"/>
    <n v="64655369"/>
    <s v="REB"/>
    <n v="9706800"/>
    <n v="90"/>
    <s v="CLIENTE-não solicitou"/>
    <s v="COMERCIAL"/>
    <x v="1"/>
    <n v="56043"/>
    <x v="48"/>
    <s v="PR"/>
    <n v="963"/>
    <s v="Ats Distribuidoras"/>
    <n v="1350"/>
    <s v="W11082463"/>
    <s v="Termostatos"/>
    <x v="3"/>
    <n v="5000"/>
    <n v="5003024"/>
    <s v="RODOBRAS TRANSPORTES RODOVIARIOS LT"/>
    <n v="167.04"/>
    <d v="2024-11-29T00:00:00"/>
  </r>
  <r>
    <s v="Sem TR"/>
    <n v="64685954"/>
    <s v="REB"/>
    <n v="9750010"/>
    <n v="671"/>
    <s v="DEV-ENVIADO PARA GESTÃO DE CONSEQUENCIA"/>
    <s v="TRANSPORTADORA"/>
    <x v="1"/>
    <n v="299"/>
    <x v="865"/>
    <s v="SC"/>
    <n v="350"/>
    <s v="Ats On"/>
    <n v="1350"/>
    <s v="W11254865"/>
    <s v="Mecanismos"/>
    <x v="2"/>
    <n v="1000"/>
    <n v="5003024"/>
    <s v="RODOBRAS TRANSPORTES RODOVIARIOS LT"/>
    <n v="167"/>
    <d v="2025-01-07T00:00:00"/>
  </r>
  <r>
    <n v="253988864"/>
    <n v="64764219"/>
    <s v="REB"/>
    <n v="9919648"/>
    <n v="173"/>
    <s v="PEÇAS - Defeito de fabric./Alta Amperage"/>
    <s v="FUNCIONAL"/>
    <x v="1"/>
    <n v="29706"/>
    <x v="149"/>
    <s v="RN"/>
    <n v="644"/>
    <s v="Plus"/>
    <n v="1350"/>
    <s v="W10686100"/>
    <s v="Placas de Controle"/>
    <x v="1"/>
    <n v="1000"/>
    <n v="5004101"/>
    <s v="UNIDOCK'S ASSESSORIA E LOGISTICA DE"/>
    <n v="166.93"/>
    <d v="2025-05-05T00:00:00"/>
  </r>
  <r>
    <n v="253992752"/>
    <n v="64758713"/>
    <s v="REB"/>
    <n v="9675867"/>
    <n v="173"/>
    <s v="PEÇAS - Defeito de fabric./Alta Amperage"/>
    <s v="FUNCIONAL"/>
    <x v="1"/>
    <n v="59025"/>
    <x v="648"/>
    <s v="AL"/>
    <n v="644"/>
    <s v="Plus"/>
    <n v="1350"/>
    <s v="W10780260"/>
    <s v="Placas de Controle"/>
    <x v="1"/>
    <n v="1000"/>
    <n v="5004101"/>
    <s v="UNIDOCK'S ASSESSORIA E LOGISTICA DE"/>
    <n v="166.84"/>
    <d v="2025-05-12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326051258"/>
    <s v="Interruptores"/>
    <x v="3"/>
    <n v="10000"/>
    <n v="5002858"/>
    <s v="FAVORITA TRANSPORTES LTDA"/>
    <n v="166.8"/>
    <d v="2025-07-15T00:00:00"/>
  </r>
  <r>
    <n v="254018275"/>
    <n v="64768817"/>
    <s v="REB"/>
    <n v="10054330"/>
    <n v="90"/>
    <s v="CLIENTE-não solicitou"/>
    <s v="COMERCIAL"/>
    <x v="2"/>
    <n v="31063"/>
    <x v="308"/>
    <s v="RJ"/>
    <n v="644"/>
    <s v="Plus"/>
    <n v="1350"/>
    <s v="W10215334"/>
    <s v="Gaxetas"/>
    <x v="4"/>
    <n v="5000"/>
    <n v="5003176"/>
    <s v="J C THEDIN TRANSPORTES LTDA"/>
    <n v="166.65"/>
    <d v="2025-06-16T00:00:00"/>
  </r>
  <r>
    <n v="254033322"/>
    <n v="64807324"/>
    <s v="REB"/>
    <n v="10074276"/>
    <n v="173"/>
    <s v="PEÇAS - Defeito de fabric./Alta Amperage"/>
    <s v="FUNCIONAL"/>
    <x v="0"/>
    <n v="27113"/>
    <x v="423"/>
    <s v="MG"/>
    <n v="350"/>
    <s v="Ats On"/>
    <n v="1350"/>
    <s v="W10605809"/>
    <s v="Placas de Interface"/>
    <x v="1"/>
    <n v="1000"/>
    <n v="5004215"/>
    <s v="BRASIL WEB TRANSPORTES E LOGISTICA"/>
    <n v="166.43"/>
    <d v="2025-07-08T00:00:00"/>
  </r>
  <r>
    <n v="254004073"/>
    <n v="64777943"/>
    <s v="REB"/>
    <n v="9907488"/>
    <n v="176"/>
    <s v="PEÇAS - Defeito de fabric./Interrompido"/>
    <s v="FUNCIONAL"/>
    <x v="2"/>
    <n v="81988"/>
    <x v="38"/>
    <s v="MG"/>
    <n v="648"/>
    <s v="Ultra"/>
    <n v="1350"/>
    <s v="W10686100"/>
    <s v="Placas de Controle"/>
    <x v="1"/>
    <n v="1000"/>
    <n v="5004215"/>
    <s v="BRASIL WEB TRANSPORTES E LOGISTICA"/>
    <n v="166.36"/>
    <d v="2025-05-26T00:00:00"/>
  </r>
  <r>
    <s v="Sem TR"/>
    <n v="64780548"/>
    <s v="ZRDI"/>
    <n v="10095993"/>
    <s v="D10"/>
    <s v="DEV D2C - Comprou modelo errado"/>
    <s v="COMERCIAL"/>
    <x v="2"/>
    <n v="55823608"/>
    <x v="866"/>
    <s v="AL"/>
    <n v="474"/>
    <s v="Site Brastemp"/>
    <n v="1352"/>
    <n v="326047477"/>
    <s v="Gavetas"/>
    <x v="9"/>
    <n v="1000"/>
    <n v="5002359"/>
    <s v="EMPRESA BRASILEIRA DE CORREIOS E"/>
    <n v="166.13"/>
    <d v="2025-06-30T00:00:00"/>
  </r>
  <r>
    <n v="254003949"/>
    <n v="64775171"/>
    <s v="REB"/>
    <n v="10039699"/>
    <n v="167"/>
    <s v="PEÇAS - Avaria - Quebrada/Depósito"/>
    <s v="LOGÍSTICA"/>
    <x v="1"/>
    <n v="31587"/>
    <x v="135"/>
    <s v="SP"/>
    <n v="643"/>
    <s v="Elite"/>
    <n v="1350"/>
    <s v="W10512612"/>
    <s v="Tampas Móveis"/>
    <x v="6"/>
    <n v="1000"/>
    <n v="5004042"/>
    <s v="BRASIL WEB TRANSPORTES E LOGISTICA"/>
    <n v="165.92"/>
    <d v="2025-05-26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0168510"/>
    <s v="Motores Ventiladores"/>
    <x v="1"/>
    <n v="4000"/>
    <n v="5003024"/>
    <s v="RODOBRAS TRANSPORTES RODOVIARIOS LT"/>
    <n v="165.92"/>
    <d v="2025-01-16T00:00:00"/>
  </r>
  <r>
    <s v="Sem TR"/>
    <n v="64817451"/>
    <s v="ZRDI"/>
    <n v="10150171"/>
    <s v="D30"/>
    <s v="DEV D2C - Defeito funcional manufatura"/>
    <s v="MANUFATURA"/>
    <x v="2"/>
    <n v="53563244"/>
    <x v="867"/>
    <s v="MG"/>
    <n v="474"/>
    <s v="Site Brastemp"/>
    <n v="1352"/>
    <s v="W10369440"/>
    <s v="Lâmpadas"/>
    <x v="1"/>
    <n v="2000"/>
    <n v="5002359"/>
    <s v="EMPRESA BRASILEIRA DE CORREIOS E"/>
    <n v="165.72"/>
    <d v="2025-07-26T00:00:00"/>
  </r>
  <r>
    <s v="Sem TR"/>
    <n v="64817451"/>
    <s v="ZRDI"/>
    <n v="10150171"/>
    <s v="D30"/>
    <s v="DEV D2C - Defeito funcional manufatura"/>
    <s v="MANUFATURA"/>
    <x v="2"/>
    <n v="53563244"/>
    <x v="867"/>
    <s v="MG"/>
    <n v="474"/>
    <s v="Site Brastemp"/>
    <n v="1352"/>
    <s v="W10369440"/>
    <s v="Lâmpadas"/>
    <x v="1"/>
    <n v="2000"/>
    <n v="5002359"/>
    <s v="EMPRESA BRASILEIRA DE CORREIOS E"/>
    <n v="165.72"/>
    <d v="2025-07-26T00:00:00"/>
  </r>
  <r>
    <n v="254035363"/>
    <n v="64812392"/>
    <s v="REB"/>
    <n v="9628042"/>
    <n v="173"/>
    <s v="PEÇAS - Defeito de fabric./Alta Amperage"/>
    <s v="FUNCIONAL"/>
    <x v="0"/>
    <n v="27770"/>
    <x v="37"/>
    <s v="AL"/>
    <n v="641"/>
    <s v="CDP Diamante"/>
    <n v="1350"/>
    <s v="W10269365"/>
    <s v="Placas de Controle"/>
    <x v="1"/>
    <n v="1000"/>
    <n v="5004101"/>
    <s v="UNIDOCK'S ASSESSORIA E LOGISTICA DE"/>
    <n v="165.51"/>
    <d v="2025-07-17T00:00:00"/>
  </r>
  <r>
    <s v="Sem TR"/>
    <n v="64806331"/>
    <s v="REB"/>
    <n v="10091557"/>
    <n v="506"/>
    <s v="Qtd de peças a Maior dentro do Volume"/>
    <s v="LOGÍSTICA"/>
    <x v="1"/>
    <n v="28681"/>
    <x v="277"/>
    <s v="SP"/>
    <n v="643"/>
    <s v="Elite"/>
    <n v="1350"/>
    <s v="W10531315"/>
    <s v="Sensores"/>
    <x v="3"/>
    <n v="20000"/>
    <n v="5004042"/>
    <s v="BRASIL WEB TRANSPORTES E LOGISTICA"/>
    <n v="165.5"/>
    <d v="2025-07-08T00:00:00"/>
  </r>
  <r>
    <s v="Sem TR"/>
    <n v="64805073"/>
    <s v="ZRDI"/>
    <n v="10103258"/>
    <s v="D10"/>
    <s v="DEV D2C - Comprou modelo errado"/>
    <s v="COMERCIAL"/>
    <x v="2"/>
    <n v="58114716"/>
    <x v="868"/>
    <s v="PR"/>
    <n v="474"/>
    <s v="Site Brastemp"/>
    <n v="1352"/>
    <s v="W10287527"/>
    <s v="Prateleiras"/>
    <x v="9"/>
    <n v="1000"/>
    <n v="5002359"/>
    <s v="EMPRESA BRASILEIRA DE CORREIOS E"/>
    <n v="165.46"/>
    <d v="2025-07-07T00:00:00"/>
  </r>
  <r>
    <n v="254033973"/>
    <n v="64812532"/>
    <s v="ZRDI"/>
    <n v="10108237"/>
    <n v="208"/>
    <s v="DEV-Atraso entrega- LOGISTICA(Transp)"/>
    <s v="TRANSPORTADORA"/>
    <x v="2"/>
    <n v="58118620"/>
    <x v="869"/>
    <s v="PR"/>
    <n v="474"/>
    <s v="Site Brastemp"/>
    <n v="1352"/>
    <s v="W10287527"/>
    <s v="Prateleiras"/>
    <x v="9"/>
    <n v="1000"/>
    <n v="5002359"/>
    <s v="EMPRESA BRASILEIRA DE CORREIOS E"/>
    <n v="165.46"/>
    <d v="2025-07-17T00:00:00"/>
  </r>
  <r>
    <s v="Sem TR"/>
    <n v="64805073"/>
    <s v="ZRDI"/>
    <n v="10103258"/>
    <s v="D10"/>
    <s v="DEV D2C - Comprou modelo errado"/>
    <s v="COMERCIAL"/>
    <x v="2"/>
    <n v="58114716"/>
    <x v="868"/>
    <s v="PR"/>
    <n v="474"/>
    <s v="Site Brastemp"/>
    <n v="1352"/>
    <s v="W10287527"/>
    <s v="Prateleiras"/>
    <x v="9"/>
    <n v="1000"/>
    <n v="5002359"/>
    <s v="EMPRESA BRASILEIRA DE CORREIOS E"/>
    <n v="165.46"/>
    <d v="2025-07-07T00:00:00"/>
  </r>
  <r>
    <n v="253952258"/>
    <n v="64729190"/>
    <s v="REB"/>
    <n v="9847026"/>
    <n v="104"/>
    <s v="PEÇAS-Código trocado(embalag X conteúdo)"/>
    <s v="LOGÍSTICA"/>
    <x v="1"/>
    <n v="30416"/>
    <x v="136"/>
    <s v="AM"/>
    <n v="648"/>
    <s v="Ultra"/>
    <n v="1350"/>
    <s v="W10292562"/>
    <s v="Capas"/>
    <x v="6"/>
    <n v="10000"/>
    <n v="5002858"/>
    <s v="FAVORITA TRANSPORTES LTDA"/>
    <n v="165.45"/>
    <d v="2025-03-10T00:00:00"/>
  </r>
  <r>
    <n v="254012439"/>
    <n v="64788747"/>
    <s v="REB"/>
    <n v="10060631"/>
    <n v="173"/>
    <s v="PEÇAS - Defeito de fabric./Alta Amperage"/>
    <s v="FUNCIONAL"/>
    <x v="1"/>
    <n v="3506"/>
    <x v="46"/>
    <s v="SP"/>
    <n v="931"/>
    <s v="Ats Off"/>
    <n v="1350"/>
    <s v="W11344900"/>
    <s v="Parafusos e afins"/>
    <x v="10"/>
    <n v="1000"/>
    <n v="5004042"/>
    <s v="BRASIL WEB TRANSPORTES E LOGISTICA"/>
    <n v="165.35"/>
    <d v="2025-06-10T00:00:00"/>
  </r>
  <r>
    <n v="253948458"/>
    <n v="64722512"/>
    <s v="REB"/>
    <n v="9771466"/>
    <n v="173"/>
    <s v="PEÇAS - Defeito de fabric./Alta Amperage"/>
    <s v="FUNCIONAL"/>
    <x v="2"/>
    <n v="13757"/>
    <x v="14"/>
    <s v="SP"/>
    <n v="713"/>
    <s v="Key Account"/>
    <n v="1350"/>
    <s v="W11023460"/>
    <s v="Placas de Controle"/>
    <x v="1"/>
    <n v="2000"/>
    <n v="5004042"/>
    <s v="BRASIL WEB TRANSPORTES E LOGISTICA"/>
    <n v="165.33"/>
    <d v="2025-03-07T00:00:00"/>
  </r>
  <r>
    <s v="Sem TR"/>
    <n v="64801575"/>
    <s v="ZRDI"/>
    <n v="10112094"/>
    <s v="D18"/>
    <s v="DEV D2C - Arrependimento não quero mais"/>
    <s v="COMERCIAL"/>
    <x v="2"/>
    <n v="50804347"/>
    <x v="870"/>
    <s v="SP"/>
    <n v="474"/>
    <s v="Site Brastemp"/>
    <n v="1352"/>
    <s v="W10803356"/>
    <s v="Filtros"/>
    <x v="5"/>
    <n v="1000"/>
    <n v="5002359"/>
    <s v="EMPRESA BRASILEIRA DE CORREIOS E"/>
    <n v="165.26"/>
    <d v="2025-07-07T00:00:00"/>
  </r>
  <r>
    <s v="Sem TR"/>
    <n v="64801575"/>
    <s v="ZRDI"/>
    <n v="10112094"/>
    <s v="D18"/>
    <s v="DEV D2C - Arrependimento não quero mais"/>
    <s v="COMERCIAL"/>
    <x v="2"/>
    <n v="50804347"/>
    <x v="870"/>
    <s v="SP"/>
    <n v="474"/>
    <s v="Site Brastemp"/>
    <n v="1352"/>
    <s v="W10803356"/>
    <s v="Filtros"/>
    <x v="5"/>
    <n v="1000"/>
    <n v="5002359"/>
    <s v="EMPRESA BRASILEIRA DE CORREIOS E"/>
    <n v="165.26"/>
    <d v="2025-07-07T00:00:00"/>
  </r>
  <r>
    <n v="253907543"/>
    <n v="64676794"/>
    <s v="REB"/>
    <n v="9760213"/>
    <n v="671"/>
    <s v="DEV-ENVIADO PARA GESTÃO DE CONSEQUENCIA"/>
    <s v="TRANSPORTADORA"/>
    <x v="1"/>
    <n v="4354"/>
    <x v="871"/>
    <s v="PR"/>
    <n v="350"/>
    <s v="Ats On"/>
    <n v="1350"/>
    <s v="W11300681"/>
    <s v="Mecanismos"/>
    <x v="2"/>
    <n v="1000"/>
    <n v="5003024"/>
    <s v="RODOBRAS TRANSPORTES RODOVIARIOS LT"/>
    <n v="165.13"/>
    <d v="2024-12-23T00:00:00"/>
  </r>
  <r>
    <s v="Sem TR"/>
    <n v="64806331"/>
    <s v="REB"/>
    <n v="10091557"/>
    <n v="506"/>
    <s v="Qtd de peças a Maior dentro do Volume"/>
    <s v="LOGÍSTICA"/>
    <x v="1"/>
    <n v="28681"/>
    <x v="277"/>
    <s v="SP"/>
    <n v="643"/>
    <s v="Elite"/>
    <n v="1350"/>
    <s v="W11245250"/>
    <s v="Válvulas de Água"/>
    <x v="5"/>
    <n v="3000"/>
    <n v="5004042"/>
    <s v="BRASIL WEB TRANSPORTES E LOGISTICA"/>
    <n v="165.12"/>
    <d v="2025-07-08T00:00:00"/>
  </r>
  <r>
    <n v="254035399"/>
    <n v="64806938"/>
    <s v="REB"/>
    <n v="9733811"/>
    <n v="173"/>
    <s v="PEÇAS - Defeito de fabric./Alta Amperage"/>
    <s v="FUNCIONAL"/>
    <x v="0"/>
    <n v="61263"/>
    <x v="18"/>
    <s v="CE"/>
    <n v="648"/>
    <s v="Ultra"/>
    <n v="1350"/>
    <s v="W11415305"/>
    <s v="Placas de Controle"/>
    <x v="1"/>
    <n v="1000"/>
    <n v="5004101"/>
    <s v="UNIDOCK'S ASSESSORIA E LOGISTICA DE"/>
    <n v="165.12"/>
    <d v="2025-07-17T00:00:00"/>
  </r>
  <r>
    <n v="253993283"/>
    <n v="64771123"/>
    <s v="ROB"/>
    <n v="10004919"/>
    <n v="182"/>
    <s v="PEÇAS - Extravio - Volume a menor"/>
    <s v="TRANSPORTADORA"/>
    <x v="1"/>
    <n v="4523"/>
    <x v="261"/>
    <s v="SC"/>
    <n v="350"/>
    <s v="Ats On"/>
    <n v="1350"/>
    <n v="326015418"/>
    <s v="Polias/Roldanas"/>
    <x v="2"/>
    <n v="6000"/>
    <n v="5003024"/>
    <s v="RODOBRAS TRANSPORTES RODOVIARIOS LT"/>
    <n v="165.09"/>
    <d v="2025-05-15T00:00:00"/>
  </r>
  <r>
    <n v="254039191"/>
    <n v="64817073"/>
    <s v="ZRDI"/>
    <n v="10115690"/>
    <n v="208"/>
    <s v="DEV-Atraso entrega- LOGISTICA(Transp)"/>
    <s v="TRANSPORTADORA"/>
    <x v="2"/>
    <n v="58126505"/>
    <x v="872"/>
    <s v="RS"/>
    <n v="474"/>
    <s v="Site Brastemp"/>
    <n v="1352"/>
    <s v="W10287527"/>
    <s v="Prateleiras"/>
    <x v="9"/>
    <n v="1000"/>
    <n v="5002359"/>
    <s v="EMPRESA BRASILEIRA DE CORREIOS E"/>
    <n v="165.08"/>
    <d v="2025-07-24T00:00:00"/>
  </r>
  <r>
    <n v="254039191"/>
    <n v="64817073"/>
    <s v="ZRDI"/>
    <n v="10115690"/>
    <n v="208"/>
    <s v="DEV-Atraso entrega- LOGISTICA(Transp)"/>
    <s v="TRANSPORTADORA"/>
    <x v="2"/>
    <n v="58126505"/>
    <x v="872"/>
    <s v="RS"/>
    <n v="474"/>
    <s v="Site Brastemp"/>
    <n v="1352"/>
    <s v="W10287527"/>
    <s v="Prateleiras"/>
    <x v="9"/>
    <n v="1000"/>
    <n v="5002359"/>
    <s v="EMPRESA BRASILEIRA DE CORREIOS E"/>
    <n v="165.08"/>
    <d v="2025-07-24T00:00:00"/>
  </r>
  <r>
    <n v="254033295"/>
    <n v="64807389"/>
    <s v="REB"/>
    <n v="10009336"/>
    <n v="176"/>
    <s v="PEÇAS - Defeito de fabric./Interrompido"/>
    <s v="FUNCIONAL"/>
    <x v="1"/>
    <n v="18805"/>
    <x v="307"/>
    <s v="PR"/>
    <n v="648"/>
    <s v="Ultra"/>
    <n v="1350"/>
    <s v="W10849469"/>
    <s v="Bombas"/>
    <x v="1"/>
    <n v="5000"/>
    <n v="5003024"/>
    <s v="RODOBRAS TRANSPORTES RODOVIARIOS LT"/>
    <n v="164.84"/>
    <d v="2025-07-08T00:00:00"/>
  </r>
  <r>
    <n v="253922601"/>
    <n v="64689658"/>
    <s v="REB"/>
    <n v="9764754"/>
    <n v="176"/>
    <s v="PEÇAS - Defeito de fabric./Interrompido"/>
    <s v="FUNCIONAL"/>
    <x v="1"/>
    <n v="83572"/>
    <x v="105"/>
    <s v="SP"/>
    <n v="931"/>
    <s v="Ats Off"/>
    <n v="1350"/>
    <n v="326073243"/>
    <s v="Placas de Controle"/>
    <x v="1"/>
    <n v="1000"/>
    <n v="5003254"/>
    <s v="TMA TRANSPORTE LOTACAO E LOGISTICA"/>
    <n v="164.8"/>
    <d v="2025-01-20T00:00:00"/>
  </r>
  <r>
    <s v="Sem TR"/>
    <n v="64812957"/>
    <s v="ZRDI"/>
    <n v="10121650"/>
    <s v="D25"/>
    <s v="DEV D2C - Prob na entrega (Não recebi)"/>
    <s v="TRANSPORTADORA"/>
    <x v="2"/>
    <n v="5728656"/>
    <x v="873"/>
    <s v="PR"/>
    <n v="474"/>
    <s v="Site Brastemp"/>
    <n v="1352"/>
    <s v="W10287547"/>
    <s v="Gavetas"/>
    <x v="9"/>
    <n v="1000"/>
    <n v="5002359"/>
    <s v="EMPRESA BRASILEIRA DE CORREIOS E"/>
    <n v="164.69"/>
    <d v="2025-07-24T00:00:00"/>
  </r>
  <r>
    <s v="Sem TR"/>
    <n v="64812957"/>
    <s v="ZRDI"/>
    <n v="10121650"/>
    <s v="D25"/>
    <s v="DEV D2C - Prob na entrega (Não recebi)"/>
    <s v="TRANSPORTADORA"/>
    <x v="2"/>
    <n v="5728656"/>
    <x v="873"/>
    <s v="PR"/>
    <n v="474"/>
    <s v="Site Brastemp"/>
    <n v="1352"/>
    <s v="W10287547"/>
    <s v="Gavetas"/>
    <x v="9"/>
    <n v="1000"/>
    <n v="5002359"/>
    <s v="EMPRESA BRASILEIRA DE CORREIOS E"/>
    <n v="164.69"/>
    <d v="2025-07-24T00:00:00"/>
  </r>
  <r>
    <n v="254033442"/>
    <n v="64807114"/>
    <s v="REB"/>
    <n v="10096427"/>
    <n v="167"/>
    <s v="PEÇAS - Avaria - Quebrada/Depósito"/>
    <s v="LOGÍSTICA"/>
    <x v="0"/>
    <n v="70555"/>
    <x v="150"/>
    <s v="SC"/>
    <n v="648"/>
    <s v="Ultra"/>
    <n v="1350"/>
    <s v="W10624070"/>
    <s v="Gavetas"/>
    <x v="9"/>
    <n v="2000"/>
    <n v="5003024"/>
    <s v="RODOBRAS TRANSPORTES RODOVIARIOS LT"/>
    <n v="164.67"/>
    <d v="2025-07-08T00:00:00"/>
  </r>
  <r>
    <n v="253932996"/>
    <n v="64706514"/>
    <s v="REB"/>
    <n v="9845577"/>
    <n v="90"/>
    <s v="CLIENTE-não solicitou"/>
    <s v="COMERCIAL"/>
    <x v="1"/>
    <n v="49237"/>
    <x v="399"/>
    <s v="SP"/>
    <n v="350"/>
    <s v="Ats On"/>
    <n v="1350"/>
    <s v="W10732485"/>
    <s v="Bombas"/>
    <x v="1"/>
    <n v="1000"/>
    <n v="5003482"/>
    <s v="TMA TRANSPORTE LOTACAO E LOGISTICA"/>
    <n v="164.64"/>
    <d v="2025-02-0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1621541"/>
    <s v="Registros"/>
    <x v="12"/>
    <n v="20000"/>
    <n v="5004101"/>
    <s v="UNIDOCK'S ASSESSORIA E LOGISTICA DE"/>
    <n v="164.58"/>
    <d v="2025-03-13T00:00:00"/>
  </r>
  <r>
    <n v="254042155"/>
    <n v="64795899"/>
    <s v="REB"/>
    <n v="10076928"/>
    <n v="104"/>
    <s v="PEÇAS-Código trocado(embalag X conteúdo)"/>
    <s v="LOGÍSTICA"/>
    <x v="0"/>
    <n v="66"/>
    <x v="73"/>
    <s v="GO"/>
    <n v="931"/>
    <s v="Ats Off"/>
    <n v="1350"/>
    <n v="326072300"/>
    <s v="Tampas Móveis"/>
    <x v="6"/>
    <n v="10000"/>
    <n v="5002858"/>
    <s v="FAVORITA TRANSPORTES LTDA"/>
    <n v="164.48"/>
    <d v="2025-06-23T00:00:00"/>
  </r>
  <r>
    <n v="254038404"/>
    <n v="64814559"/>
    <s v="REB"/>
    <n v="10127543"/>
    <n v="167"/>
    <s v="PEÇAS - Avaria - Quebrada/Depósito"/>
    <s v="LOGÍSTICA"/>
    <x v="1"/>
    <n v="88969"/>
    <x v="101"/>
    <s v="SC"/>
    <n v="641"/>
    <s v="CDP Diamante"/>
    <n v="1350"/>
    <n v="326014231"/>
    <s v="Evaporadores"/>
    <x v="0"/>
    <n v="1000"/>
    <n v="5003024"/>
    <s v="RODOBRAS TRANSPORTES RODOVIARIOS LT"/>
    <n v="164.33"/>
    <d v="2025-07-22T00:00:00"/>
  </r>
  <r>
    <n v="253952241"/>
    <n v="64728282"/>
    <s v="REB"/>
    <n v="9545937"/>
    <n v="176"/>
    <s v="PEÇAS - Defeito de fabric./Interrompido"/>
    <s v="FUNCIONAL"/>
    <x v="1"/>
    <n v="29706"/>
    <x v="149"/>
    <s v="RN"/>
    <n v="644"/>
    <s v="Plus"/>
    <n v="1350"/>
    <s v="W11300681"/>
    <s v="Mecanismos"/>
    <x v="2"/>
    <n v="1000"/>
    <n v="5004101"/>
    <s v="UNIDOCK'S ASSESSORIA E LOGISTICA DE"/>
    <n v="164.18"/>
    <d v="2025-03-10T00:00:00"/>
  </r>
  <r>
    <n v="254018320"/>
    <n v="64773774"/>
    <s v="REB"/>
    <n v="10016384"/>
    <n v="109"/>
    <s v="PEÇAS-Erro de catálogo/BT"/>
    <s v="ENGENHARIA"/>
    <x v="2"/>
    <n v="53012"/>
    <x v="476"/>
    <s v="RJ"/>
    <n v="350"/>
    <s v="Ats On"/>
    <n v="1350"/>
    <s v="W10686100"/>
    <s v="Placas de Controle"/>
    <x v="1"/>
    <n v="1000"/>
    <n v="5003176"/>
    <s v="J C THEDIN TRANSPORTES LTDA"/>
    <n v="164.07"/>
    <d v="2025-05-20T00:00:00"/>
  </r>
  <r>
    <n v="254037100"/>
    <n v="64815008"/>
    <s v="ZRDI"/>
    <n v="10129819"/>
    <n v="208"/>
    <s v="DEV-Atraso entrega- LOGISTICA(Transp)"/>
    <s v="TRANSPORTADORA"/>
    <x v="2"/>
    <n v="52247097"/>
    <x v="874"/>
    <s v="BA"/>
    <n v="475"/>
    <s v="Site Consul"/>
    <n v="1352"/>
    <s v="W10810920"/>
    <s v="Prateleiras"/>
    <x v="9"/>
    <n v="1000"/>
    <n v="5002359"/>
    <s v="EMPRESA BRASILEIRA DE CORREIOS E"/>
    <n v="163.82"/>
    <d v="2025-07-22T00:00:00"/>
  </r>
  <r>
    <n v="254037100"/>
    <n v="64815008"/>
    <s v="ZRDI"/>
    <n v="10129819"/>
    <n v="208"/>
    <s v="DEV-Atraso entrega- LOGISTICA(Transp)"/>
    <s v="TRANSPORTADORA"/>
    <x v="2"/>
    <n v="52247097"/>
    <x v="874"/>
    <s v="BA"/>
    <n v="475"/>
    <s v="Site Consul"/>
    <n v="1352"/>
    <s v="W10810920"/>
    <s v="Prateleiras"/>
    <x v="9"/>
    <n v="1000"/>
    <n v="5002359"/>
    <s v="EMPRESA BRASILEIRA DE CORREIOS E"/>
    <n v="163.82"/>
    <d v="2025-07-22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1082450"/>
    <s v="Termostatos"/>
    <x v="3"/>
    <n v="4000"/>
    <n v="5004101"/>
    <s v="UNIDOCK'S ASSESSORIA E LOGISTICA DE"/>
    <n v="163.79"/>
    <d v="2025-03-11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617044"/>
    <s v="Pressostatos"/>
    <x v="3"/>
    <n v="5000"/>
    <n v="5004101"/>
    <s v="UNIDOCK'S ASSESSORIA E LOGISTICA DE"/>
    <n v="163.53"/>
    <d v="2025-06-24T00:00:00"/>
  </r>
  <r>
    <s v="Sem TR"/>
    <n v="64768415"/>
    <s v="ROB"/>
    <n v="50501"/>
    <n v="671"/>
    <s v="DEV-ENVIADO PARA GESTÃO DE CONSEQUENCIA"/>
    <s v="TRANSPORTADORA"/>
    <x v="2"/>
    <n v="85357"/>
    <x v="875"/>
    <s v="BA"/>
    <n v="932"/>
    <s v="CDP Prata"/>
    <n v="1550"/>
    <s v="W10399715"/>
    <s v="Motores Ventiladores"/>
    <x v="1"/>
    <n v="3000"/>
    <n v="5004391"/>
    <s v="JEONCEL TRANSPORTES LTDA"/>
    <n v="163.41999999999999"/>
    <d v="2025-05-12T00:00:00"/>
  </r>
  <r>
    <n v="254033462"/>
    <n v="64805343"/>
    <s v="REB"/>
    <n v="9959988"/>
    <n v="173"/>
    <s v="PEÇAS - Defeito de fabric./Alta Amperage"/>
    <s v="FUNCIONAL"/>
    <x v="1"/>
    <n v="80833"/>
    <x v="132"/>
    <s v="PR"/>
    <n v="644"/>
    <s v="Plus"/>
    <n v="1350"/>
    <s v="W10585027"/>
    <s v="Bombas"/>
    <x v="1"/>
    <n v="1000"/>
    <n v="5003024"/>
    <s v="RODOBRAS TRANSPORTES RODOVIARIOS LT"/>
    <n v="163.31"/>
    <d v="2025-07-08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849470"/>
    <s v="Bombas"/>
    <x v="1"/>
    <n v="5000"/>
    <n v="5004101"/>
    <s v="UNIDOCK'S ASSESSORIA E LOGISTICA DE"/>
    <n v="163.19"/>
    <d v="2025-06-24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531315"/>
    <s v="Sensores"/>
    <x v="3"/>
    <n v="20000"/>
    <n v="5004101"/>
    <s v="UNIDOCK'S ASSESSORIA E LOGISTICA DE"/>
    <n v="163.16"/>
    <d v="2025-02-25T00:00:00"/>
  </r>
  <r>
    <n v="253944075"/>
    <n v="64714826"/>
    <s v="REB"/>
    <n v="9779882"/>
    <n v="173"/>
    <s v="PEÇAS - Defeito de fabric./Alta Amperage"/>
    <s v="FUNCIONAL"/>
    <x v="1"/>
    <n v="80573"/>
    <x v="186"/>
    <s v="MA"/>
    <n v="643"/>
    <s v="Elite"/>
    <n v="1350"/>
    <s v="W11195523"/>
    <s v="Motores"/>
    <x v="1"/>
    <n v="1000"/>
    <n v="5004101"/>
    <s v="UNIDOCK'S ASSESSORIA E LOGISTICA DE"/>
    <n v="163.03"/>
    <d v="2025-02-17T00:00:00"/>
  </r>
  <r>
    <n v="254003952"/>
    <n v="64776198"/>
    <s v="REB"/>
    <n v="9863866"/>
    <n v="173"/>
    <s v="PEÇAS - Defeito de fabric./Alta Amperage"/>
    <s v="FUNCIONAL"/>
    <x v="2"/>
    <n v="31862"/>
    <x v="342"/>
    <s v="SC"/>
    <n v="933"/>
    <s v="Top"/>
    <n v="1350"/>
    <s v="W10709306"/>
    <s v="Placas de Controle"/>
    <x v="1"/>
    <n v="1000"/>
    <n v="5003024"/>
    <s v="RODOBRAS TRANSPORTES RODOVIARIOS LT"/>
    <n v="163"/>
    <d v="2025-05-26T00:00:00"/>
  </r>
  <r>
    <n v="253952259"/>
    <n v="64729176"/>
    <s v="REB"/>
    <n v="9584427"/>
    <n v="176"/>
    <s v="PEÇAS - Defeito de fabric./Interrompido"/>
    <s v="FUNCIONAL"/>
    <x v="1"/>
    <n v="30684"/>
    <x v="332"/>
    <s v="RS"/>
    <n v="641"/>
    <s v="CDP Diamante"/>
    <n v="1350"/>
    <s v="W10586927"/>
    <s v="Placas de Controle"/>
    <x v="1"/>
    <n v="1000"/>
    <n v="5003024"/>
    <s v="RODOBRAS TRANSPORTES RODOVIARIOS LT"/>
    <n v="162.81"/>
    <d v="2025-03-10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771376"/>
    <s v="Resistências"/>
    <x v="1"/>
    <n v="3000"/>
    <n v="5004101"/>
    <s v="UNIDOCK'S ASSESSORIA E LOGISTICA DE"/>
    <n v="162.79"/>
    <d v="2025-06-24T00:00:00"/>
  </r>
  <r>
    <n v="253872447"/>
    <n v="64640976"/>
    <s v="REB"/>
    <n v="9234082"/>
    <n v="173"/>
    <s v="PEÇAS - Defeito de fabric./Alta Amperage"/>
    <s v="FUNCIONAL"/>
    <x v="2"/>
    <n v="61868"/>
    <x v="290"/>
    <s v="MA"/>
    <n v="643"/>
    <s v="Elite"/>
    <n v="1350"/>
    <s v="W10586927"/>
    <s v="Placas de Controle"/>
    <x v="1"/>
    <n v="1000"/>
    <n v="5004101"/>
    <s v="UNIDOCK'S ASSESSORIA E LOGISTICA DE"/>
    <n v="162.74"/>
    <d v="2024-11-11T00:00:00"/>
  </r>
  <r>
    <n v="253961314"/>
    <n v="64737231"/>
    <s v="REB"/>
    <n v="9909104"/>
    <n v="167"/>
    <s v="PEÇAS - Avaria - Quebrada/Depósito"/>
    <s v="LOGÍSTICA"/>
    <x v="2"/>
    <n v="30847"/>
    <x v="87"/>
    <s v="SP"/>
    <n v="644"/>
    <s v="Plus"/>
    <n v="1350"/>
    <s v="W10483993"/>
    <s v="Capas"/>
    <x v="6"/>
    <n v="5000"/>
    <n v="5004042"/>
    <s v="BRASIL WEB TRANSPORTES E LOGISTICA"/>
    <n v="162.72"/>
    <d v="2025-03-24T00:00:00"/>
  </r>
  <r>
    <n v="254022275"/>
    <n v="64799888"/>
    <s v="ZRDI"/>
    <n v="10093863"/>
    <n v="208"/>
    <s v="DEV-Atraso entrega- LOGISTICA(Transp)"/>
    <s v="TRANSPORTADORA"/>
    <x v="2"/>
    <n v="58098738"/>
    <x v="496"/>
    <s v="SC"/>
    <n v="474"/>
    <s v="Site Brastemp"/>
    <n v="1352"/>
    <s v="W11108178"/>
    <s v="Prateleiras"/>
    <x v="9"/>
    <n v="1000"/>
    <n v="5002359"/>
    <s v="EMPRESA BRASILEIRA DE CORREIOS E"/>
    <n v="162.66999999999999"/>
    <d v="2025-06-27T00:00:00"/>
  </r>
  <r>
    <n v="254004073"/>
    <n v="64760488"/>
    <s v="REB"/>
    <n v="9499797"/>
    <n v="176"/>
    <s v="PEÇAS - Defeito de fabric./Interrompido"/>
    <s v="FUNCIONAL"/>
    <x v="2"/>
    <n v="81988"/>
    <x v="38"/>
    <s v="MG"/>
    <n v="648"/>
    <s v="Ultra"/>
    <n v="1350"/>
    <s v="W11102092"/>
    <s v="Placas de Controle"/>
    <x v="1"/>
    <n v="1000"/>
    <n v="5004215"/>
    <s v="BRASIL WEB TRANSPORTES E LOGISTICA"/>
    <n v="162.66"/>
    <d v="2025-05-26T00:00:00"/>
  </r>
  <r>
    <n v="254016289"/>
    <n v="64794462"/>
    <s v="ROB"/>
    <n v="10038955"/>
    <n v="182"/>
    <s v="PEÇAS - Extravio - Volume a menor"/>
    <s v="TRANSPORTADORA"/>
    <x v="1"/>
    <n v="4523"/>
    <x v="261"/>
    <s v="SC"/>
    <n v="350"/>
    <s v="Ats On"/>
    <n v="1350"/>
    <s v="W11082454"/>
    <s v="Termostatos"/>
    <x v="3"/>
    <n v="3000"/>
    <n v="5003024"/>
    <s v="RODOBRAS TRANSPORTES RODOVIARIOS LT"/>
    <n v="162.65"/>
    <d v="2025-06-18T00:00:00"/>
  </r>
  <r>
    <n v="254042173"/>
    <n v="64796144"/>
    <s v="REB"/>
    <n v="9551273"/>
    <n v="176"/>
    <s v="PEÇAS - Defeito de fabric./Interrompido"/>
    <s v="FUNCIONAL"/>
    <x v="0"/>
    <n v="78757"/>
    <x v="50"/>
    <s v="RS"/>
    <n v="643"/>
    <s v="Elite"/>
    <n v="1350"/>
    <s v="W11196470"/>
    <s v="Placas de Interface"/>
    <x v="1"/>
    <n v="1000"/>
    <n v="5003024"/>
    <s v="RODOBRAS TRANSPORTES RODOVIARIOS LT"/>
    <n v="162.63999999999999"/>
    <d v="2025-06-23T00:00:00"/>
  </r>
  <r>
    <n v="253952113"/>
    <n v="64729539"/>
    <s v="REB"/>
    <n v="9813050"/>
    <n v="173"/>
    <s v="PEÇAS - Defeito de fabric./Alta Amperage"/>
    <s v="FUNCIONAL"/>
    <x v="1"/>
    <n v="113"/>
    <x v="396"/>
    <s v="AL"/>
    <n v="350"/>
    <s v="Ats On"/>
    <n v="1350"/>
    <s v="W10686100"/>
    <s v="Placas de Controle"/>
    <x v="1"/>
    <n v="1000"/>
    <n v="5004101"/>
    <s v="UNIDOCK'S ASSESSORIA E LOGISTICA DE"/>
    <n v="162.5"/>
    <d v="2025-03-11T00:00:00"/>
  </r>
  <r>
    <n v="253992702"/>
    <n v="64767102"/>
    <s v="REB"/>
    <n v="10010979"/>
    <n v="176"/>
    <s v="PEÇAS - Defeito de fabric./Interrompido"/>
    <s v="FUNCIONAL"/>
    <x v="1"/>
    <n v="21594"/>
    <x v="97"/>
    <s v="SP"/>
    <n v="931"/>
    <s v="Ats Off"/>
    <n v="1350"/>
    <n v="326026041"/>
    <s v="Gaxetas"/>
    <x v="4"/>
    <n v="1000"/>
    <n v="5004042"/>
    <s v="BRASIL WEB TRANSPORTES E LOGISTICA"/>
    <n v="162.46"/>
    <d v="2025-05-12T00:00:00"/>
  </r>
  <r>
    <s v="Sem TR"/>
    <n v="64807127"/>
    <s v="ZRDI"/>
    <n v="10116313"/>
    <s v="D10"/>
    <s v="DEV D2C - Comprou modelo errado"/>
    <s v="COMERCIAL"/>
    <x v="2"/>
    <n v="55461197"/>
    <x v="876"/>
    <s v="SP"/>
    <n v="474"/>
    <s v="Site Brastemp"/>
    <n v="1352"/>
    <s v="W11662058"/>
    <s v="Outros"/>
    <x v="7"/>
    <n v="1000"/>
    <n v="5002359"/>
    <s v="EMPRESA BRASILEIRA DE CORREIOS E"/>
    <n v="162.44999999999999"/>
    <d v="2025-07-09T00:00:00"/>
  </r>
  <r>
    <s v="Sem TR"/>
    <n v="64809104"/>
    <s v="ZRDI"/>
    <n v="10116258"/>
    <s v="D10"/>
    <s v="DEV D2C - Comprou modelo errado"/>
    <s v="COMERCIAL"/>
    <x v="2"/>
    <n v="4013585"/>
    <x v="877"/>
    <s v="SP"/>
    <n v="474"/>
    <s v="Site Brastemp"/>
    <n v="1352"/>
    <s v="W11664627"/>
    <s v="Outros"/>
    <x v="7"/>
    <n v="1000"/>
    <n v="5002359"/>
    <s v="EMPRESA BRASILEIRA DE CORREIOS E"/>
    <n v="162.44999999999999"/>
    <d v="2025-07-11T00:00:00"/>
  </r>
  <r>
    <s v="Sem TR"/>
    <n v="64810023"/>
    <s v="ZRDI"/>
    <n v="10095917"/>
    <s v="D10"/>
    <s v="DEV D2C - Comprou modelo errado"/>
    <s v="COMERCIAL"/>
    <x v="2"/>
    <n v="58099554"/>
    <x v="878"/>
    <s v="SP"/>
    <n v="474"/>
    <s v="Site Brastemp"/>
    <n v="1352"/>
    <s v="W11662058"/>
    <s v="Outros"/>
    <x v="7"/>
    <n v="1000"/>
    <n v="5002359"/>
    <s v="EMPRESA BRASILEIRA DE CORREIOS E"/>
    <n v="162.44999999999999"/>
    <d v="2025-07-24T00:00:00"/>
  </r>
  <r>
    <s v="Sem TR"/>
    <n v="64810023"/>
    <s v="ZRDI"/>
    <n v="10095917"/>
    <s v="D10"/>
    <s v="DEV D2C - Comprou modelo errado"/>
    <s v="COMERCIAL"/>
    <x v="2"/>
    <n v="58099554"/>
    <x v="878"/>
    <s v="SP"/>
    <n v="474"/>
    <s v="Site Brastemp"/>
    <n v="1352"/>
    <s v="W11662058"/>
    <s v="Outros"/>
    <x v="7"/>
    <n v="1000"/>
    <n v="5002359"/>
    <s v="EMPRESA BRASILEIRA DE CORREIOS E"/>
    <n v="162.44999999999999"/>
    <d v="2025-07-24T00:00:00"/>
  </r>
  <r>
    <n v="254033302"/>
    <n v="64806940"/>
    <s v="REB"/>
    <n v="10094849"/>
    <n v="176"/>
    <s v="PEÇAS - Defeito de fabric./Interrompido"/>
    <s v="FUNCIONAL"/>
    <x v="1"/>
    <n v="21594"/>
    <x v="97"/>
    <s v="SP"/>
    <n v="931"/>
    <s v="Ats Off"/>
    <n v="1350"/>
    <s v="W11622875"/>
    <s v="Conexões Hidráulicas"/>
    <x v="10"/>
    <n v="4000"/>
    <n v="5004042"/>
    <s v="BRASIL WEB TRANSPORTES E LOGISTICA"/>
    <n v="162.31"/>
    <d v="2025-07-08T00:00:00"/>
  </r>
  <r>
    <n v="254003846"/>
    <n v="64778290"/>
    <s v="REB"/>
    <n v="10034731"/>
    <n v="173"/>
    <s v="PEÇAS - Defeito de fabric./Alta Amperage"/>
    <s v="FUNCIONAL"/>
    <x v="1"/>
    <n v="3236"/>
    <x v="45"/>
    <s v="SP"/>
    <n v="931"/>
    <s v="Ats Off"/>
    <n v="1350"/>
    <s v="W10585027"/>
    <s v="Bombas"/>
    <x v="1"/>
    <n v="1000"/>
    <n v="5004042"/>
    <s v="BRASIL WEB TRANSPORTES E LOGISTICA"/>
    <n v="162.30000000000001"/>
    <d v="2025-05-26T00:00:00"/>
  </r>
  <r>
    <n v="254012615"/>
    <n v="64789381"/>
    <s v="REB"/>
    <n v="10046314"/>
    <n v="173"/>
    <s v="PEÇAS - Defeito de fabric./Alta Amperage"/>
    <s v="FUNCIONAL"/>
    <x v="2"/>
    <n v="75812"/>
    <x v="102"/>
    <s v="SP"/>
    <n v="931"/>
    <s v="Ats Off"/>
    <n v="1350"/>
    <s v="W10585027"/>
    <s v="Bombas"/>
    <x v="1"/>
    <n v="1000"/>
    <n v="5004042"/>
    <s v="BRASIL WEB TRANSPORTES E LOGISTICA"/>
    <n v="162.30000000000001"/>
    <d v="2025-06-10T00:00:00"/>
  </r>
  <r>
    <n v="254012500"/>
    <n v="64789400"/>
    <s v="REB"/>
    <n v="10013392"/>
    <n v="104"/>
    <s v="PEÇAS-Código trocado(embalag X conteúdo)"/>
    <s v="LOGÍSTICA"/>
    <x v="2"/>
    <n v="28707"/>
    <x v="209"/>
    <s v="SP"/>
    <n v="648"/>
    <s v="Ultra"/>
    <n v="1350"/>
    <s v="W11254865"/>
    <s v="Mecanismos"/>
    <x v="2"/>
    <n v="1000"/>
    <n v="5004042"/>
    <s v="BRASIL WEB TRANSPORTES E LOGISTICA"/>
    <n v="162.27000000000001"/>
    <d v="2025-06-10T00:00:00"/>
  </r>
  <r>
    <n v="253970783"/>
    <n v="64748867"/>
    <s v="REB"/>
    <n v="9854775"/>
    <n v="168"/>
    <s v="PEÇAS-Def.Fabric.Empenamento/Abaulamento"/>
    <s v="FUNCIONAL"/>
    <x v="1"/>
    <n v="31537"/>
    <x v="523"/>
    <s v="RS"/>
    <n v="641"/>
    <s v="CDP Diamante"/>
    <n v="1350"/>
    <s v="W11371164"/>
    <s v="Mecanismos"/>
    <x v="2"/>
    <n v="1000"/>
    <n v="5003024"/>
    <s v="RODOBRAS TRANSPORTES RODOVIARIOS LT"/>
    <n v="162.21"/>
    <d v="2025-04-09T00:00:00"/>
  </r>
  <r>
    <n v="254018405"/>
    <n v="64791707"/>
    <s v="REB"/>
    <n v="10064996"/>
    <n v="167"/>
    <s v="PEÇAS - Avaria - Quebrada/Depósito"/>
    <s v="LOGÍSTICA"/>
    <x v="2"/>
    <n v="88969"/>
    <x v="101"/>
    <s v="SC"/>
    <n v="641"/>
    <s v="CDP Diamante"/>
    <n v="1350"/>
    <s v="W10830936"/>
    <s v="Prateleiras"/>
    <x v="9"/>
    <n v="3000"/>
    <n v="5003024"/>
    <s v="RODOBRAS TRANSPORTES RODOVIARIOS LT"/>
    <n v="162.09"/>
    <d v="2025-06-16T00:00:00"/>
  </r>
  <r>
    <s v="Sem TR"/>
    <n v="64817493"/>
    <s v="ZRDI"/>
    <n v="10119921"/>
    <s v="D10"/>
    <s v="DEV D2C - Comprou modelo errado"/>
    <s v="COMERCIAL"/>
    <x v="1"/>
    <n v="54264668"/>
    <x v="879"/>
    <s v="PB"/>
    <n v="475"/>
    <s v="Site Consul"/>
    <n v="1352"/>
    <s v="W11163349"/>
    <s v="Placas de Controle"/>
    <x v="1"/>
    <n v="1000"/>
    <n v="5002359"/>
    <s v="EMPRESA BRASILEIRA DE CORREIOS E"/>
    <n v="162.08000000000001"/>
    <d v="2025-07-28T00:00:00"/>
  </r>
  <r>
    <n v="254003908"/>
    <n v="64775431"/>
    <s v="REB"/>
    <n v="9250714"/>
    <n v="173"/>
    <s v="PEÇAS - Defeito de fabric./Alta Amperage"/>
    <s v="FUNCIONAL"/>
    <x v="1"/>
    <n v="27770"/>
    <x v="37"/>
    <s v="AL"/>
    <n v="641"/>
    <s v="CDP Diamante"/>
    <n v="1350"/>
    <s v="W10686100"/>
    <s v="Placas de Controle"/>
    <x v="1"/>
    <n v="1000"/>
    <n v="5004101"/>
    <s v="UNIDOCK'S ASSESSORIA E LOGISTICA DE"/>
    <n v="162.06"/>
    <d v="2025-05-26T00:00:00"/>
  </r>
  <r>
    <n v="254003907"/>
    <n v="64778269"/>
    <s v="REB"/>
    <n v="9250714"/>
    <n v="173"/>
    <s v="PEÇAS - Defeito de fabric./Alta Amperage"/>
    <s v="FUNCIONAL"/>
    <x v="1"/>
    <n v="27770"/>
    <x v="37"/>
    <s v="AL"/>
    <n v="641"/>
    <s v="CDP Diamante"/>
    <n v="1350"/>
    <s v="W10686100"/>
    <s v="Placas de Controle"/>
    <x v="1"/>
    <n v="1000"/>
    <n v="5004101"/>
    <s v="UNIDOCK'S ASSESSORIA E LOGISTICA DE"/>
    <n v="162.06"/>
    <d v="2025-05-26T00:00:00"/>
  </r>
  <r>
    <n v="253994992"/>
    <n v="64770485"/>
    <s v="REB"/>
    <n v="9996596"/>
    <n v="177"/>
    <s v="PEÇAS - Defeito de fabric./Ruído"/>
    <s v="FUNCIONAL"/>
    <x v="2"/>
    <n v="578"/>
    <x v="232"/>
    <s v="MG"/>
    <n v="350"/>
    <s v="Ats On"/>
    <n v="1350"/>
    <s v="W10882241"/>
    <s v="Agitadores"/>
    <x v="2"/>
    <n v="3000"/>
    <n v="5004215"/>
    <s v="BRASIL WEB TRANSPORTES E LOGISTICA"/>
    <n v="162.01"/>
    <d v="2025-05-16T00:00:00"/>
  </r>
  <r>
    <n v="253961329"/>
    <n v="64733621"/>
    <s v="REB"/>
    <n v="9442866"/>
    <n v="173"/>
    <s v="PEÇAS - Defeito de fabric./Alta Amperage"/>
    <s v="FUNCIONAL"/>
    <x v="2"/>
    <n v="34365"/>
    <x v="339"/>
    <s v="CE"/>
    <n v="931"/>
    <s v="Ats Off"/>
    <n v="1350"/>
    <s v="W11196470"/>
    <s v="Placas de Interface"/>
    <x v="1"/>
    <n v="1000"/>
    <n v="5004101"/>
    <s v="UNIDOCK'S ASSESSORIA E LOGISTICA DE"/>
    <n v="161.96"/>
    <d v="2025-03-24T00:00:00"/>
  </r>
  <r>
    <s v="Sem TR"/>
    <n v="64806936"/>
    <s v="ZRDI"/>
    <n v="10126719"/>
    <s v="D10"/>
    <s v="DEV D2C - Comprou modelo errado"/>
    <s v="COMERCIAL"/>
    <x v="2"/>
    <n v="53606301"/>
    <x v="880"/>
    <s v="RJ"/>
    <n v="475"/>
    <s v="Site Consul"/>
    <n v="1352"/>
    <s v="W11108178"/>
    <s v="Prateleiras"/>
    <x v="9"/>
    <n v="1000"/>
    <n v="5002359"/>
    <s v="EMPRESA BRASILEIRA DE CORREIOS E"/>
    <n v="161.91999999999999"/>
    <d v="2025-07-15T00:00:00"/>
  </r>
  <r>
    <s v="Sem TR"/>
    <n v="64806936"/>
    <s v="ZRDI"/>
    <n v="10126719"/>
    <s v="D10"/>
    <s v="DEV D2C - Comprou modelo errado"/>
    <s v="COMERCIAL"/>
    <x v="2"/>
    <n v="53606301"/>
    <x v="880"/>
    <s v="RJ"/>
    <n v="475"/>
    <s v="Site Consul"/>
    <n v="1352"/>
    <s v="W11108178"/>
    <s v="Prateleiras"/>
    <x v="9"/>
    <n v="1000"/>
    <n v="5002359"/>
    <s v="EMPRESA BRASILEIRA DE CORREIOS E"/>
    <n v="161.91999999999999"/>
    <d v="2025-07-15T00:00:00"/>
  </r>
  <r>
    <n v="254030011"/>
    <n v="64809487"/>
    <s v="ZRDI"/>
    <n v="10093737"/>
    <n v="208"/>
    <s v="DEV-Atraso entrega- LOGISTICA(Transp)"/>
    <s v="TRANSPORTADORA"/>
    <x v="2"/>
    <n v="52111556"/>
    <x v="854"/>
    <s v="PE"/>
    <n v="474"/>
    <s v="Site Brastemp"/>
    <n v="1352"/>
    <s v="W10451655"/>
    <s v="Injetores"/>
    <x v="12"/>
    <n v="5000"/>
    <n v="5002359"/>
    <s v="EMPRESA BRASILEIRA DE CORREIOS E"/>
    <n v="161.80000000000001"/>
    <d v="2025-07-11T00:00:00"/>
  </r>
  <r>
    <n v="254038265"/>
    <n v="64807513"/>
    <s v="REB"/>
    <n v="10113100"/>
    <n v="176"/>
    <s v="PEÇAS - Defeito de fabric./Interrompido"/>
    <s v="FUNCIONAL"/>
    <x v="0"/>
    <n v="3506"/>
    <x v="46"/>
    <s v="SP"/>
    <n v="931"/>
    <s v="Ats Off"/>
    <n v="1350"/>
    <s v="W10585017"/>
    <s v="Bombas"/>
    <x v="1"/>
    <n v="1000"/>
    <n v="5004042"/>
    <s v="BRASIL WEB TRANSPORTES E LOGISTICA"/>
    <n v="161.65"/>
    <d v="2025-07-22T00:00:00"/>
  </r>
  <r>
    <n v="253998009"/>
    <n v="64774234"/>
    <s v="REB"/>
    <n v="9889395"/>
    <n v="90"/>
    <s v="CLIENTE-não solicitou"/>
    <s v="COMERCIAL"/>
    <x v="1"/>
    <n v="77746"/>
    <x v="119"/>
    <s v="GO"/>
    <n v="933"/>
    <s v="Top"/>
    <n v="1350"/>
    <s v="W11225454"/>
    <s v="Tampas Móveis"/>
    <x v="6"/>
    <n v="1000"/>
    <n v="5002858"/>
    <s v="FAVORITA TRANSPORTES LTDA"/>
    <n v="161.43"/>
    <d v="2025-05-20T00:00:00"/>
  </r>
  <r>
    <n v="254004076"/>
    <n v="64777183"/>
    <s v="REB"/>
    <n v="9986086"/>
    <n v="173"/>
    <s v="PEÇAS - Defeito de fabric./Alta Amperage"/>
    <s v="FUNCIONAL"/>
    <x v="2"/>
    <n v="85461"/>
    <x v="180"/>
    <s v="MG"/>
    <n v="641"/>
    <s v="CDP Diamante"/>
    <n v="1350"/>
    <s v="W10686100"/>
    <s v="Placas de Controle"/>
    <x v="1"/>
    <n v="1000"/>
    <n v="5004215"/>
    <s v="BRASIL WEB TRANSPORTES E LOGISTICA"/>
    <n v="161.41"/>
    <d v="2025-05-26T00:00:00"/>
  </r>
  <r>
    <n v="253995240"/>
    <n v="64770965"/>
    <s v="REB"/>
    <n v="9986086"/>
    <n v="173"/>
    <s v="PEÇAS - Defeito de fabric./Alta Amperage"/>
    <s v="FUNCIONAL"/>
    <x v="1"/>
    <n v="85461"/>
    <x v="180"/>
    <s v="MG"/>
    <n v="641"/>
    <s v="CDP Diamante"/>
    <n v="1350"/>
    <s v="W10686100"/>
    <s v="Placas de Controle"/>
    <x v="1"/>
    <n v="1000"/>
    <n v="5004215"/>
    <s v="BRASIL WEB TRANSPORTES E LOGISTICA"/>
    <n v="161.41"/>
    <d v="2025-05-15T00:00:00"/>
  </r>
  <r>
    <n v="254038417"/>
    <n v="64816294"/>
    <s v="ZRDI"/>
    <n v="10145612"/>
    <s v="D10"/>
    <s v="DEV D2C - Comprou modelo errado"/>
    <s v="COMERCIAL"/>
    <x v="2"/>
    <n v="58164003"/>
    <x v="881"/>
    <s v="SP"/>
    <n v="466"/>
    <s v="Sup ML Marketplace"/>
    <n v="1352"/>
    <s v="W10287547"/>
    <s v="Gavetas"/>
    <x v="9"/>
    <n v="1000"/>
    <n v="5003972"/>
    <s v="ICARO EXPRESS LOGISTICA LTDA"/>
    <n v="161.4"/>
    <d v="2025-07-24T00:00:00"/>
  </r>
  <r>
    <n v="254038417"/>
    <n v="64816294"/>
    <s v="ZRDI"/>
    <n v="10145612"/>
    <s v="D10"/>
    <s v="DEV D2C - Comprou modelo errado"/>
    <s v="COMERCIAL"/>
    <x v="2"/>
    <n v="58164003"/>
    <x v="881"/>
    <s v="SP"/>
    <n v="466"/>
    <s v="Sup ML Marketplace"/>
    <n v="1352"/>
    <s v="W10287547"/>
    <s v="Gavetas"/>
    <x v="9"/>
    <n v="1000"/>
    <n v="5003972"/>
    <s v="ICARO EXPRESS LOGISTICA LTDA"/>
    <n v="161.4"/>
    <d v="2025-07-24T00:00:00"/>
  </r>
  <r>
    <n v="253931084"/>
    <n v="64703919"/>
    <s v="REB"/>
    <n v="9812517"/>
    <n v="176"/>
    <s v="PEÇAS - Defeito de fabric./Interrompido"/>
    <s v="FUNCIONAL"/>
    <x v="2"/>
    <n v="24089"/>
    <x v="134"/>
    <s v="RJ"/>
    <n v="931"/>
    <s v="Ats Off"/>
    <n v="1350"/>
    <s v="W10512610"/>
    <s v="Tampas Móveis"/>
    <x v="6"/>
    <n v="1000"/>
    <n v="5003176"/>
    <s v="J C THEDIN TRANSPORTES LTDA"/>
    <n v="161.24"/>
    <d v="2025-01-31T00:00:00"/>
  </r>
  <r>
    <n v="254017810"/>
    <n v="64795626"/>
    <s v="REB"/>
    <n v="10092478"/>
    <n v="240"/>
    <s v="DEV-Avaria - 2 trecho transp - Produto"/>
    <s v="QUALIDADE"/>
    <x v="2"/>
    <n v="9991"/>
    <x v="86"/>
    <s v="DF"/>
    <n v="648"/>
    <s v="Ultra"/>
    <n v="1350"/>
    <s v="W11393157"/>
    <s v="Tampas Móveis"/>
    <x v="6"/>
    <n v="1000"/>
    <n v="5002858"/>
    <s v="FAVORITA TRANSPORTES LTDA"/>
    <n v="161.05000000000001"/>
    <d v="2025-06-23T00:00:00"/>
  </r>
  <r>
    <n v="253981488"/>
    <n v="64757811"/>
    <s v="REB"/>
    <n v="9355352"/>
    <n v="176"/>
    <s v="PEÇAS - Defeito de fabric./Interrompido"/>
    <s v="FUNCIONAL"/>
    <x v="2"/>
    <n v="29706"/>
    <x v="149"/>
    <s v="RN"/>
    <n v="644"/>
    <s v="Plus"/>
    <n v="1350"/>
    <s v="W11196470"/>
    <s v="Placas de Interface"/>
    <x v="1"/>
    <n v="1000"/>
    <n v="5004101"/>
    <s v="UNIDOCK'S ASSESSORIA E LOGISTICA DE"/>
    <n v="160.99"/>
    <d v="2025-04-25T00:00:00"/>
  </r>
  <r>
    <n v="253995232"/>
    <n v="64769077"/>
    <s v="REB"/>
    <n v="9980665"/>
    <n v="90"/>
    <s v="CLIENTE-não solicitou"/>
    <s v="COMERCIAL"/>
    <x v="2"/>
    <n v="80257"/>
    <x v="882"/>
    <s v="MG"/>
    <n v="644"/>
    <s v="Plus"/>
    <n v="1350"/>
    <s v="W11660323"/>
    <s v="Retentores"/>
    <x v="4"/>
    <n v="2000"/>
    <n v="5004215"/>
    <s v="BRASIL WEB TRANSPORTES E LOGISTICA"/>
    <n v="160.91"/>
    <d v="2025-05-15T00:00:00"/>
  </r>
  <r>
    <n v="254024149"/>
    <n v="64803811"/>
    <s v="ZRDI"/>
    <n v="10088945"/>
    <n v="208"/>
    <s v="DEV-Atraso entrega- LOGISTICA(Transp)"/>
    <s v="TRANSPORTADORA"/>
    <x v="2"/>
    <n v="5523720"/>
    <x v="883"/>
    <s v="CE"/>
    <n v="475"/>
    <s v="Site Consul"/>
    <n v="1352"/>
    <s v="W10758992"/>
    <s v="Gavetas"/>
    <x v="9"/>
    <n v="1000"/>
    <n v="5002359"/>
    <s v="EMPRESA BRASILEIRA DE CORREIOS E"/>
    <n v="160.9"/>
    <d v="2025-07-01T00:00:00"/>
  </r>
  <r>
    <n v="254033278"/>
    <n v="64800492"/>
    <s v="REB"/>
    <n v="9805316"/>
    <n v="173"/>
    <s v="PEÇAS - Defeito de fabric./Alta Amperage"/>
    <s v="FUNCIONAL"/>
    <x v="2"/>
    <n v="9991"/>
    <x v="86"/>
    <s v="DF"/>
    <n v="648"/>
    <s v="Ultra"/>
    <n v="1350"/>
    <s v="W10709306"/>
    <s v="Placas de Controle"/>
    <x v="1"/>
    <n v="1000"/>
    <n v="5002858"/>
    <s v="FAVORITA TRANSPORTES LTDA"/>
    <n v="160.82"/>
    <d v="2025-07-01T00:00:00"/>
  </r>
  <r>
    <n v="254035341"/>
    <n v="64812520"/>
    <s v="REB"/>
    <n v="9791646"/>
    <n v="176"/>
    <s v="PEÇAS - Defeito de fabric./Interrompido"/>
    <s v="FUNCIONAL"/>
    <x v="1"/>
    <n v="9991"/>
    <x v="86"/>
    <s v="DF"/>
    <n v="648"/>
    <s v="Ultra"/>
    <n v="1350"/>
    <s v="W10709306"/>
    <s v="Placas de Controle"/>
    <x v="1"/>
    <n v="1000"/>
    <n v="5002858"/>
    <s v="FAVORITA TRANSPORTES LTDA"/>
    <n v="160.82"/>
    <d v="2025-07-17T00:00:00"/>
  </r>
  <r>
    <n v="254018259"/>
    <n v="64792350"/>
    <s v="REB"/>
    <n v="9714108"/>
    <n v="176"/>
    <s v="PEÇAS - Defeito de fabric./Interrompido"/>
    <s v="FUNCIONAL"/>
    <x v="1"/>
    <n v="29706"/>
    <x v="149"/>
    <s v="RN"/>
    <n v="644"/>
    <s v="Plus"/>
    <n v="1350"/>
    <s v="W10709306"/>
    <s v="Placas de Controle"/>
    <x v="1"/>
    <n v="1000"/>
    <n v="5004101"/>
    <s v="UNIDOCK'S ASSESSORIA E LOGISTICA DE"/>
    <n v="160.72999999999999"/>
    <d v="2025-06-16T00:00:00"/>
  </r>
  <r>
    <n v="254007597"/>
    <n v="64782588"/>
    <s v="REB"/>
    <n v="9855101"/>
    <n v="173"/>
    <s v="PEÇAS - Defeito de fabric./Alta Amperage"/>
    <s v="FUNCIONAL"/>
    <x v="1"/>
    <n v="56605"/>
    <x v="268"/>
    <s v="AL"/>
    <n v="934"/>
    <s v="CDP Ouro"/>
    <n v="1350"/>
    <s v="W11254865"/>
    <s v="Mecanismos"/>
    <x v="2"/>
    <n v="1000"/>
    <n v="5004101"/>
    <s v="UNIDOCK'S ASSESSORIA E LOGISTICA DE"/>
    <n v="160.53"/>
    <d v="2025-06-02T00:00:00"/>
  </r>
  <r>
    <s v="Sem TR"/>
    <n v="64801821"/>
    <s v="ZRDI"/>
    <n v="10100978"/>
    <s v="D31"/>
    <s v="DEV D2C - Defeito estético manufatura"/>
    <s v="MANUFATURA"/>
    <x v="2"/>
    <n v="58109399"/>
    <x v="884"/>
    <s v="SP"/>
    <n v="474"/>
    <s v="Site Brastemp"/>
    <n v="1352"/>
    <s v="W10287527"/>
    <s v="Prateleiras"/>
    <x v="9"/>
    <n v="1000"/>
    <n v="5002359"/>
    <s v="EMPRESA BRASILEIRA DE CORREIOS E"/>
    <n v="160.31"/>
    <d v="2025-07-01T00:00:00"/>
  </r>
  <r>
    <s v="Sem TR"/>
    <n v="64807984"/>
    <s v="ZRDI"/>
    <n v="10091542"/>
    <s v="D11"/>
    <s v="DEV D2C - Comprou prod dimensão errada"/>
    <s v="COMERCIAL"/>
    <x v="2"/>
    <n v="58094685"/>
    <x v="885"/>
    <s v="SP"/>
    <n v="474"/>
    <s v="Site Brastemp"/>
    <n v="1352"/>
    <s v="W10287527"/>
    <s v="Prateleiras"/>
    <x v="9"/>
    <n v="1000"/>
    <n v="5002359"/>
    <s v="EMPRESA BRASILEIRA DE CORREIOS E"/>
    <n v="160.31"/>
    <d v="2025-07-09T00:00:00"/>
  </r>
  <r>
    <s v="Sem TR"/>
    <n v="64801821"/>
    <s v="ZRDI"/>
    <n v="10100978"/>
    <s v="D31"/>
    <s v="DEV D2C - Defeito estético manufatura"/>
    <s v="MANUFATURA"/>
    <x v="2"/>
    <n v="58109399"/>
    <x v="884"/>
    <s v="SP"/>
    <n v="474"/>
    <s v="Site Brastemp"/>
    <n v="1352"/>
    <s v="W10287527"/>
    <s v="Prateleiras"/>
    <x v="9"/>
    <n v="1000"/>
    <n v="5002359"/>
    <s v="EMPRESA BRASILEIRA DE CORREIOS E"/>
    <n v="160.31"/>
    <d v="2025-07-01T00:00:00"/>
  </r>
  <r>
    <n v="254038269"/>
    <n v="64813940"/>
    <s v="REB"/>
    <n v="9800581"/>
    <n v="173"/>
    <s v="PEÇAS - Defeito de fabric./Alta Amperage"/>
    <s v="FUNCIONAL"/>
    <x v="0"/>
    <n v="4167"/>
    <x v="63"/>
    <s v="SP"/>
    <n v="931"/>
    <s v="Ats Off"/>
    <n v="1350"/>
    <s v="W10661056"/>
    <s v="Interruptores horário"/>
    <x v="3"/>
    <n v="1000"/>
    <n v="5004042"/>
    <s v="BRASIL WEB TRANSPORTES E LOGISTICA"/>
    <n v="160.15"/>
    <d v="2025-07-22T00:00:00"/>
  </r>
  <r>
    <s v="Sem TR"/>
    <n v="64701906"/>
    <s v="ROB"/>
    <n v="9817208"/>
    <n v="221"/>
    <s v="DEV-Sinistro - SEGURO"/>
    <s v="TRANSPORTADORA"/>
    <x v="0"/>
    <n v="76503"/>
    <x v="287"/>
    <s v="SC"/>
    <n v="932"/>
    <s v="CDP Prata"/>
    <n v="1350"/>
    <s v="W11049118"/>
    <s v="Placas de Controle"/>
    <x v="1"/>
    <n v="2000"/>
    <n v="5003024"/>
    <s v="RODOBRAS TRANSPORTES RODOVIARIOS LT"/>
    <n v="160.13999999999999"/>
    <d v="2025-01-28T00:00:00"/>
  </r>
  <r>
    <n v="254033395"/>
    <n v="64800260"/>
    <s v="REB"/>
    <n v="10048615"/>
    <n v="173"/>
    <s v="PEÇAS - Defeito de fabric./Alta Amperage"/>
    <s v="FUNCIONAL"/>
    <x v="1"/>
    <n v="37434"/>
    <x v="95"/>
    <s v="GO"/>
    <n v="931"/>
    <s v="Ats Off"/>
    <n v="1350"/>
    <s v="W11195523"/>
    <s v="Motores"/>
    <x v="1"/>
    <n v="1000"/>
    <n v="5002858"/>
    <s v="FAVORITA TRANSPORTES LTDA"/>
    <n v="159.91999999999999"/>
    <d v="2025-07-01T00:00:00"/>
  </r>
  <r>
    <s v="Sem TR"/>
    <n v="64807663"/>
    <s v="ZRDI"/>
    <n v="10119908"/>
    <s v="D18"/>
    <s v="DEV D2C - Arrependimento não quero mais"/>
    <s v="COMERCIAL"/>
    <x v="2"/>
    <n v="50774002"/>
    <x v="886"/>
    <s v="MG"/>
    <n v="474"/>
    <s v="Site Brastemp"/>
    <n v="1352"/>
    <n v="326076881"/>
    <s v="Resistências"/>
    <x v="1"/>
    <n v="1000"/>
    <n v="5002359"/>
    <s v="EMPRESA BRASILEIRA DE CORREIOS E"/>
    <n v="159.85"/>
    <d v="2025-07-15T00:00:00"/>
  </r>
  <r>
    <s v="Sem TR"/>
    <n v="64807663"/>
    <s v="ZRDI"/>
    <n v="10119908"/>
    <s v="D18"/>
    <s v="DEV D2C - Arrependimento não quero mais"/>
    <s v="COMERCIAL"/>
    <x v="2"/>
    <n v="50774002"/>
    <x v="886"/>
    <s v="MG"/>
    <n v="474"/>
    <s v="Site Brastemp"/>
    <n v="1352"/>
    <n v="326076881"/>
    <s v="Resistências"/>
    <x v="1"/>
    <n v="1000"/>
    <n v="5002359"/>
    <s v="EMPRESA BRASILEIRA DE CORREIOS E"/>
    <n v="159.85"/>
    <d v="2025-07-15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706137"/>
    <s v="Válvulas de Água"/>
    <x v="5"/>
    <n v="3000"/>
    <n v="5004101"/>
    <s v="UNIDOCK'S ASSESSORIA E LOGISTICA DE"/>
    <n v="159.84"/>
    <d v="2025-03-13T00:00:00"/>
  </r>
  <r>
    <n v="253989841"/>
    <n v="64764890"/>
    <s v="REB"/>
    <n v="10007106"/>
    <n v="167"/>
    <s v="PEÇAS - Avaria - Quebrada/Depósito"/>
    <s v="LOGÍSTICA"/>
    <x v="2"/>
    <n v="81338"/>
    <x v="354"/>
    <s v="SP"/>
    <n v="644"/>
    <s v="Plus"/>
    <n v="1350"/>
    <s v="W10287527"/>
    <s v="Prateleiras"/>
    <x v="9"/>
    <n v="1000"/>
    <n v="5004042"/>
    <s v="BRASIL WEB TRANSPORTES E LOGISTICA"/>
    <n v="159.77000000000001"/>
    <d v="2025-05-07T00:00:00"/>
  </r>
  <r>
    <s v="Sem TR"/>
    <n v="64816002"/>
    <s v="ZRDI"/>
    <n v="10110217"/>
    <s v="D35"/>
    <s v="DEV D2C - Prod difere do comprado"/>
    <s v="COMERCIAL"/>
    <x v="1"/>
    <n v="50080590"/>
    <x v="887"/>
    <s v="PI"/>
    <n v="475"/>
    <s v="Site Consul"/>
    <n v="1352"/>
    <s v="W10759020"/>
    <s v="Prateleiras"/>
    <x v="9"/>
    <n v="1000"/>
    <n v="5002359"/>
    <s v="EMPRESA BRASILEIRA DE CORREIOS E"/>
    <n v="159.77000000000001"/>
    <d v="2025-07-29T00:00:00"/>
  </r>
  <r>
    <s v="Sem TR"/>
    <n v="64798003"/>
    <s v="ZRDI"/>
    <n v="10093993"/>
    <s v="D10"/>
    <s v="DEV D2C - Comprou modelo errado"/>
    <s v="COMERCIAL"/>
    <x v="2"/>
    <n v="58098746"/>
    <x v="888"/>
    <s v="PR"/>
    <n v="474"/>
    <s v="Site Brastemp"/>
    <n v="1352"/>
    <n v="326008329"/>
    <s v="Gaxetas"/>
    <x v="4"/>
    <n v="1000"/>
    <n v="5002359"/>
    <s v="EMPRESA BRASILEIRA DE CORREIOS E"/>
    <n v="159.72999999999999"/>
    <d v="2025-06-28T00:00:00"/>
  </r>
  <r>
    <n v="253981472"/>
    <n v="64758029"/>
    <s v="REB"/>
    <n v="7512273"/>
    <n v="173"/>
    <s v="PEÇAS - Defeito de fabric./Alta Amperage"/>
    <s v="FUNCIONAL"/>
    <x v="2"/>
    <n v="29164"/>
    <x v="32"/>
    <s v="BA"/>
    <n v="648"/>
    <s v="Ultra"/>
    <n v="1350"/>
    <s v="W10904721"/>
    <s v="Placas de Controle"/>
    <x v="1"/>
    <n v="1000"/>
    <n v="5004101"/>
    <s v="UNIDOCK'S ASSESSORIA E LOGISTICA DE"/>
    <n v="159.69999999999999"/>
    <d v="2025-04-25T00:00:00"/>
  </r>
  <r>
    <n v="254033299"/>
    <n v="64799848"/>
    <s v="REB"/>
    <n v="10097571"/>
    <n v="173"/>
    <s v="PEÇAS - Defeito de fabric./Alta Amperage"/>
    <s v="FUNCIONAL"/>
    <x v="1"/>
    <n v="20602"/>
    <x v="355"/>
    <s v="SP"/>
    <n v="350"/>
    <s v="Ats On"/>
    <n v="1350"/>
    <n v="326073242"/>
    <s v="Placas de Controle"/>
    <x v="1"/>
    <n v="1000"/>
    <n v="5004042"/>
    <s v="BRASIL WEB TRANSPORTES E LOGISTICA"/>
    <n v="159.69"/>
    <d v="2025-07-01T00:00:00"/>
  </r>
  <r>
    <n v="254012453"/>
    <n v="64789515"/>
    <s v="REB"/>
    <n v="10007854"/>
    <n v="173"/>
    <s v="PEÇAS - Defeito de fabric./Alta Amperage"/>
    <s v="FUNCIONAL"/>
    <x v="2"/>
    <n v="4585"/>
    <x v="555"/>
    <s v="SC"/>
    <n v="350"/>
    <s v="Ats On"/>
    <n v="1350"/>
    <s v="W10709306"/>
    <s v="Placas de Controle"/>
    <x v="1"/>
    <n v="1000"/>
    <n v="5003024"/>
    <s v="RODOBRAS TRANSPORTES RODOVIARIOS LT"/>
    <n v="159.66999999999999"/>
    <d v="2025-06-10T00:00:00"/>
  </r>
  <r>
    <n v="253879477"/>
    <n v="64640793"/>
    <s v="REB"/>
    <n v="9698597"/>
    <n v="173"/>
    <s v="PEÇAS - Defeito de fabric./Alta Amperage"/>
    <s v="FUNCIONAL"/>
    <x v="1"/>
    <n v="4167"/>
    <x v="63"/>
    <s v="SP"/>
    <n v="931"/>
    <s v="Ats Off"/>
    <n v="1350"/>
    <n v="326073243"/>
    <s v="Placas de Controle"/>
    <x v="1"/>
    <n v="1000"/>
    <n v="5003254"/>
    <s v="TMA TRANSPORTE LOTACAO E LOGISTICA"/>
    <n v="159.59"/>
    <d v="2024-11-08T00:00:00"/>
  </r>
  <r>
    <n v="254007600"/>
    <n v="64782239"/>
    <s v="REB"/>
    <n v="10044926"/>
    <n v="165"/>
    <s v="PEÇAS - Defeito de fabric./Incompleta"/>
    <s v="FUNCIONAL"/>
    <x v="2"/>
    <n v="64321"/>
    <x v="889"/>
    <s v="PR"/>
    <n v="932"/>
    <s v="CDP Prata"/>
    <n v="1350"/>
    <s v="W11197058"/>
    <s v="Trempes"/>
    <x v="6"/>
    <n v="1000"/>
    <n v="5003024"/>
    <s v="RODOBRAS TRANSPORTES RODOVIARIOS LT"/>
    <n v="159.57"/>
    <d v="2025-06-02T00:00:00"/>
  </r>
  <r>
    <n v="254041069"/>
    <n v="64818855"/>
    <s v="ZRDI"/>
    <n v="10122109"/>
    <n v="208"/>
    <s v="DEV-Atraso entrega- LOGISTICA(Transp)"/>
    <s v="TRANSPORTADORA"/>
    <x v="1"/>
    <n v="57894874"/>
    <x v="890"/>
    <s v="RJ"/>
    <n v="466"/>
    <s v="Sup ML Marketplace"/>
    <n v="1352"/>
    <s v="W10501867"/>
    <s v="Tampas Móveis"/>
    <x v="6"/>
    <n v="1000"/>
    <n v="5002359"/>
    <s v="EMPRESA BRASILEIRA DE CORREIOS E"/>
    <n v="159.32"/>
    <d v="2025-07-28T00:00:00"/>
  </r>
  <r>
    <n v="254018343"/>
    <n v="64792010"/>
    <s v="REB"/>
    <n v="10009481"/>
    <n v="90"/>
    <s v="CLIENTE-não solicitou"/>
    <s v="COMERCIAL"/>
    <x v="2"/>
    <n v="65510"/>
    <x v="246"/>
    <s v="RO"/>
    <n v="350"/>
    <s v="Ats On"/>
    <n v="1350"/>
    <s v="W10592481"/>
    <s v="Placas de Controle"/>
    <x v="1"/>
    <n v="1000"/>
    <n v="5002858"/>
    <s v="FAVORITA TRANSPORTES LTDA"/>
    <n v="159.27000000000001"/>
    <d v="2025-06-16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1245250"/>
    <s v="Válvulas de Água"/>
    <x v="5"/>
    <n v="3000"/>
    <n v="5004101"/>
    <s v="UNIDOCK'S ASSESSORIA E LOGISTICA DE"/>
    <n v="159.27000000000001"/>
    <d v="2025-06-24T00:00:00"/>
  </r>
  <r>
    <n v="253988908"/>
    <n v="64762718"/>
    <s v="REB"/>
    <n v="9987581"/>
    <n v="173"/>
    <s v="PEÇAS - Defeito de fabric./Alta Amperage"/>
    <s v="FUNCIONAL"/>
    <x v="1"/>
    <n v="70149"/>
    <x v="147"/>
    <s v="SP"/>
    <n v="963"/>
    <s v="Ats Distribuidoras"/>
    <n v="1350"/>
    <s v="W11048912"/>
    <s v="Filtros"/>
    <x v="5"/>
    <n v="1000"/>
    <n v="5004042"/>
    <s v="BRASIL WEB TRANSPORTES E LOGISTICA"/>
    <n v="159.25"/>
    <d v="2025-05-05T00:00:00"/>
  </r>
  <r>
    <n v="253992733"/>
    <n v="64768271"/>
    <s v="REB"/>
    <n v="9999569"/>
    <n v="173"/>
    <s v="PEÇAS - Defeito de fabric./Alta Amperage"/>
    <s v="FUNCIONAL"/>
    <x v="1"/>
    <n v="31537"/>
    <x v="523"/>
    <s v="RS"/>
    <n v="641"/>
    <s v="CDP Diamante"/>
    <n v="1350"/>
    <s v="W10585017"/>
    <s v="Bombas"/>
    <x v="1"/>
    <n v="1000"/>
    <n v="5003024"/>
    <s v="RODOBRAS TRANSPORTES RODOVIARIOS LT"/>
    <n v="159.03"/>
    <d v="2025-05-12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397530"/>
    <s v="Manípulos"/>
    <x v="6"/>
    <n v="3000"/>
    <n v="5004042"/>
    <s v="BRASIL WEB TRANSPORTES E LOGISTICA"/>
    <n v="159"/>
    <d v="2025-07-08T00:00:00"/>
  </r>
  <r>
    <n v="253992775"/>
    <n v="64767516"/>
    <s v="REB"/>
    <n v="9832554"/>
    <n v="173"/>
    <s v="PEÇAS - Defeito de fabric./Alta Amperage"/>
    <s v="FUNCIONAL"/>
    <x v="2"/>
    <n v="78757"/>
    <x v="50"/>
    <s v="RS"/>
    <n v="643"/>
    <s v="Elite"/>
    <n v="1350"/>
    <s v="W11371164"/>
    <s v="Mecanismos"/>
    <x v="2"/>
    <n v="1000"/>
    <n v="5003024"/>
    <s v="RODOBRAS TRANSPORTES RODOVIARIOS LT"/>
    <n v="158.9"/>
    <d v="2025-05-12T00:00:00"/>
  </r>
  <r>
    <s v="Sem TR"/>
    <n v="64721253"/>
    <s v="REB"/>
    <n v="9851913"/>
    <n v="160"/>
    <s v="OI Cancelada - Ver motivo no texto"/>
    <s v="OUTROS"/>
    <x v="1"/>
    <n v="56043"/>
    <x v="48"/>
    <s v="PR"/>
    <n v="963"/>
    <s v="Ats Distribuidoras"/>
    <n v="1350"/>
    <s v="W10476183"/>
    <s v="Prateleiras"/>
    <x v="9"/>
    <n v="6000"/>
    <n v="5003024"/>
    <s v="RODOBRAS TRANSPORTES RODOVIARIOS LT"/>
    <n v="158.86000000000001"/>
    <d v="2025-03-07T00:00:00"/>
  </r>
  <r>
    <s v="Sem TR"/>
    <n v="64805574"/>
    <s v="ZRDI"/>
    <n v="10116089"/>
    <s v="D10"/>
    <s v="DEV D2C - Comprou modelo errado"/>
    <s v="COMERCIAL"/>
    <x v="2"/>
    <n v="51587430"/>
    <x v="891"/>
    <s v="SP"/>
    <n v="466"/>
    <s v="Sup ML Marketplace"/>
    <n v="1352"/>
    <s v="W10758992"/>
    <s v="Gavetas"/>
    <x v="9"/>
    <n v="1000"/>
    <n v="5002359"/>
    <s v="EMPRESA BRASILEIRA DE CORREIOS E"/>
    <n v="158.63999999999999"/>
    <d v="2025-07-04T00:00:00"/>
  </r>
  <r>
    <s v="Sem TR"/>
    <n v="64809880"/>
    <s v="ZRDI"/>
    <n v="10122230"/>
    <s v="D10"/>
    <s v="DEV D2C - Comprou modelo errado"/>
    <s v="COMERCIAL"/>
    <x v="2"/>
    <n v="4292178"/>
    <x v="892"/>
    <s v="SP"/>
    <n v="466"/>
    <s v="Sup ML Marketplace"/>
    <n v="1352"/>
    <s v="W10758992"/>
    <s v="Gavetas"/>
    <x v="9"/>
    <n v="1000"/>
    <n v="5002359"/>
    <s v="EMPRESA BRASILEIRA DE CORREIOS E"/>
    <n v="158.63999999999999"/>
    <d v="2025-07-14T00:00:00"/>
  </r>
  <r>
    <n v="254024711"/>
    <n v="64784603"/>
    <s v="ROB"/>
    <n v="10098678"/>
    <n v="311"/>
    <s v="DEV-PRODUTO TROCADO-LOGÍSTICA"/>
    <s v="LOGÍSTICA"/>
    <x v="2"/>
    <n v="76131"/>
    <x v="248"/>
    <s v="SP"/>
    <n v="932"/>
    <s v="CDP Prata"/>
    <n v="1350"/>
    <s v="W10576312"/>
    <s v="Parafusos e afins"/>
    <x v="10"/>
    <n v="1000"/>
    <n v="5004101"/>
    <s v="UNIDOCK'S ASSESSORIA E LOGISTICA DE"/>
    <n v="158.55000000000001"/>
    <d v="2025-07-03T00:00:00"/>
  </r>
  <r>
    <n v="254030523"/>
    <n v="64796183"/>
    <s v="REB"/>
    <n v="10088198"/>
    <n v="104"/>
    <s v="PEÇAS-Código trocado(embalag X conteúdo)"/>
    <s v="LOGÍSTICA"/>
    <x v="1"/>
    <n v="28707"/>
    <x v="209"/>
    <s v="SP"/>
    <n v="648"/>
    <s v="Ultra"/>
    <n v="1350"/>
    <s v="W10460618"/>
    <s v="Tampas Móveis"/>
    <x v="6"/>
    <n v="1000"/>
    <n v="5004042"/>
    <s v="BRASIL WEB TRANSPORTES E LOGISTICA"/>
    <n v="158.54"/>
    <d v="2025-07-01T00:00:00"/>
  </r>
  <r>
    <n v="253953858"/>
    <n v="64732110"/>
    <s v="REB"/>
    <n v="9854801"/>
    <n v="173"/>
    <s v="PEÇAS - Defeito de fabric./Alta Amperage"/>
    <s v="FUNCIONAL"/>
    <x v="2"/>
    <n v="84684"/>
    <x v="893"/>
    <s v="SC"/>
    <n v="934"/>
    <s v="CDP Ouro"/>
    <n v="1350"/>
    <s v="W10269365"/>
    <s v="Placas de Controle"/>
    <x v="1"/>
    <n v="1000"/>
    <n v="5003024"/>
    <s v="RODOBRAS TRANSPORTES RODOVIARIOS LT"/>
    <n v="158.5"/>
    <d v="2025-03-14T00:00:00"/>
  </r>
  <r>
    <n v="253961389"/>
    <n v="64737328"/>
    <s v="REB"/>
    <n v="9800681"/>
    <n v="173"/>
    <s v="PEÇAS - Defeito de fabric./Alta Amperage"/>
    <s v="FUNCIONAL"/>
    <x v="1"/>
    <n v="70149"/>
    <x v="147"/>
    <s v="SP"/>
    <n v="963"/>
    <s v="Ats Distribuidoras"/>
    <n v="1350"/>
    <s v="W11581052"/>
    <s v="Placas de Controle"/>
    <x v="1"/>
    <n v="1000"/>
    <n v="5004042"/>
    <s v="BRASIL WEB TRANSPORTES E LOGISTICA"/>
    <n v="158.47"/>
    <d v="2025-03-24T00:00:00"/>
  </r>
  <r>
    <n v="254012454"/>
    <n v="64788908"/>
    <s v="REB"/>
    <n v="10055112"/>
    <n v="165"/>
    <s v="PEÇAS - Defeito de fabric./Incompleta"/>
    <s v="FUNCIONAL"/>
    <x v="1"/>
    <n v="5011"/>
    <x v="189"/>
    <s v="RS"/>
    <n v="350"/>
    <s v="Ats On"/>
    <n v="1350"/>
    <s v="W11197058"/>
    <s v="Trempes"/>
    <x v="6"/>
    <n v="1000"/>
    <n v="5003024"/>
    <s v="RODOBRAS TRANSPORTES RODOVIARIOS LT"/>
    <n v="158.33000000000001"/>
    <d v="2025-06-10T00:00:00"/>
  </r>
  <r>
    <n v="254038372"/>
    <n v="64814940"/>
    <s v="REB"/>
    <n v="9518386"/>
    <n v="173"/>
    <s v="PEÇAS - Defeito de fabric./Alta Amperage"/>
    <s v="FUNCIONAL"/>
    <x v="1"/>
    <n v="40998"/>
    <x v="8"/>
    <s v="GO"/>
    <n v="648"/>
    <s v="Ultra"/>
    <n v="1350"/>
    <s v="W10800267"/>
    <s v="Placas de Interface"/>
    <x v="1"/>
    <n v="1000"/>
    <n v="5002858"/>
    <s v="FAVORITA TRANSPORTES LTDA"/>
    <n v="158.26"/>
    <d v="2025-07-22T00:00:00"/>
  </r>
  <r>
    <n v="254003872"/>
    <n v="64775852"/>
    <s v="REB"/>
    <n v="9988170"/>
    <n v="173"/>
    <s v="PEÇAS - Defeito de fabric./Alta Amperage"/>
    <s v="FUNCIONAL"/>
    <x v="1"/>
    <n v="13757"/>
    <x v="14"/>
    <s v="SP"/>
    <n v="713"/>
    <s v="Key Account"/>
    <n v="1350"/>
    <s v="W11254865"/>
    <s v="Mecanismos"/>
    <x v="2"/>
    <n v="1000"/>
    <n v="5004042"/>
    <s v="BRASIL WEB TRANSPORTES E LOGISTICA"/>
    <n v="158.08000000000001"/>
    <d v="2025-05-26T00:00:00"/>
  </r>
  <r>
    <n v="254036531"/>
    <n v="64814363"/>
    <s v="ZRDI"/>
    <n v="10086885"/>
    <n v="208"/>
    <s v="DEV-Atraso entrega- LOGISTICA(Transp)"/>
    <s v="TRANSPORTADORA"/>
    <x v="2"/>
    <n v="55798639"/>
    <x v="894"/>
    <s v="MG"/>
    <n v="466"/>
    <s v="Sup ML Marketplace"/>
    <n v="1352"/>
    <s v="W10577330"/>
    <s v="Tampas Móveis"/>
    <x v="6"/>
    <n v="1000"/>
    <n v="5002359"/>
    <s v="EMPRESA BRASILEIRA DE CORREIOS E"/>
    <n v="157.93"/>
    <d v="2025-07-22T00:00:00"/>
  </r>
  <r>
    <n v="254036531"/>
    <n v="64814363"/>
    <s v="ZRDI"/>
    <n v="10086885"/>
    <n v="208"/>
    <s v="DEV-Atraso entrega- LOGISTICA(Transp)"/>
    <s v="TRANSPORTADORA"/>
    <x v="2"/>
    <n v="55798639"/>
    <x v="894"/>
    <s v="MG"/>
    <n v="466"/>
    <s v="Sup ML Marketplace"/>
    <n v="1352"/>
    <s v="W10577330"/>
    <s v="Tampas Móveis"/>
    <x v="6"/>
    <n v="1000"/>
    <n v="5002359"/>
    <s v="EMPRESA BRASILEIRA DE CORREIOS E"/>
    <n v="157.93"/>
    <d v="2025-07-22T00:00:00"/>
  </r>
  <r>
    <n v="253961384"/>
    <n v="64737286"/>
    <s v="REB"/>
    <n v="9864173"/>
    <n v="173"/>
    <s v="PEÇAS - Defeito de fabric./Alta Amperage"/>
    <s v="FUNCIONAL"/>
    <x v="1"/>
    <n v="67948"/>
    <x v="15"/>
    <s v="SC"/>
    <n v="713"/>
    <s v="Key Account"/>
    <n v="1350"/>
    <s v="W10632495"/>
    <s v="Placas de Controle"/>
    <x v="1"/>
    <n v="2000"/>
    <n v="5003024"/>
    <s v="RODOBRAS TRANSPORTES RODOVIARIOS LT"/>
    <n v="157.72999999999999"/>
    <d v="2025-03-24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678923"/>
    <s v="Placas de Controle"/>
    <x v="1"/>
    <n v="2000"/>
    <n v="5004042"/>
    <s v="BRASIL WEB TRANSPORTES E LOGISTICA"/>
    <n v="157.71"/>
    <d v="2025-07-08T00:00:00"/>
  </r>
  <r>
    <n v="254012529"/>
    <n v="64786961"/>
    <s v="REB"/>
    <n v="10053475"/>
    <n v="173"/>
    <s v="PEÇAS - Defeito de fabric./Alta Amperage"/>
    <s v="FUNCIONAL"/>
    <x v="2"/>
    <n v="47026"/>
    <x v="16"/>
    <s v="BA"/>
    <n v="643"/>
    <s v="Elite"/>
    <n v="1350"/>
    <s v="W10586927"/>
    <s v="Placas de Controle"/>
    <x v="1"/>
    <n v="1000"/>
    <n v="5004101"/>
    <s v="UNIDOCK'S ASSESSORIA E LOGISTICA DE"/>
    <n v="157.44"/>
    <d v="2025-06-10T00:00:00"/>
  </r>
  <r>
    <n v="254038272"/>
    <n v="64810317"/>
    <s v="REB"/>
    <n v="10124122"/>
    <n v="176"/>
    <s v="PEÇAS - Defeito de fabric./Interrompido"/>
    <s v="FUNCIONAL"/>
    <x v="1"/>
    <n v="4318"/>
    <x v="89"/>
    <s v="SC"/>
    <n v="931"/>
    <s v="Ats Off"/>
    <n v="1350"/>
    <s v="W11195523"/>
    <s v="Motores"/>
    <x v="1"/>
    <n v="1000"/>
    <n v="5003024"/>
    <s v="RODOBRAS TRANSPORTES RODOVIARIOS LT"/>
    <n v="157.41"/>
    <d v="2025-07-22T00:00:00"/>
  </r>
  <r>
    <n v="254038271"/>
    <n v="64811418"/>
    <s v="REB"/>
    <n v="10122292"/>
    <n v="176"/>
    <s v="PEÇAS - Defeito de fabric./Interrompido"/>
    <s v="FUNCIONAL"/>
    <x v="1"/>
    <n v="4318"/>
    <x v="89"/>
    <s v="SC"/>
    <n v="931"/>
    <s v="Ats Off"/>
    <n v="1350"/>
    <s v="W11195523"/>
    <s v="Motores"/>
    <x v="1"/>
    <n v="1000"/>
    <n v="5003024"/>
    <s v="RODOBRAS TRANSPORTES RODOVIARIOS LT"/>
    <n v="157.41"/>
    <d v="2025-07-22T00:00:00"/>
  </r>
  <r>
    <n v="253995165"/>
    <n v="64772321"/>
    <s v="REB"/>
    <n v="9239945"/>
    <n v="173"/>
    <s v="PEÇAS - Defeito de fabric./Alta Amperage"/>
    <s v="FUNCIONAL"/>
    <x v="2"/>
    <n v="47026"/>
    <x v="16"/>
    <s v="BA"/>
    <n v="643"/>
    <s v="Elite"/>
    <n v="1350"/>
    <s v="W10780260"/>
    <s v="Placas de Controle"/>
    <x v="1"/>
    <n v="1000"/>
    <n v="5004101"/>
    <s v="UNIDOCK'S ASSESSORIA E LOGISTICA DE"/>
    <n v="157.4"/>
    <d v="2025-05-16T00:00:00"/>
  </r>
  <r>
    <n v="253931168"/>
    <n v="64701851"/>
    <s v="REB"/>
    <n v="9719617"/>
    <n v="176"/>
    <s v="PEÇAS - Defeito de fabric./Interrompido"/>
    <s v="FUNCIONAL"/>
    <x v="2"/>
    <n v="76848"/>
    <x v="240"/>
    <s v="GO"/>
    <n v="643"/>
    <s v="Elite"/>
    <n v="1350"/>
    <s v="W10586927"/>
    <s v="Placas de Controle"/>
    <x v="1"/>
    <n v="1000"/>
    <n v="5002858"/>
    <s v="FAVORITA TRANSPORTES LTDA"/>
    <n v="157.30000000000001"/>
    <d v="2025-01-31T00:00:00"/>
  </r>
  <r>
    <n v="253931165"/>
    <n v="64702980"/>
    <s v="REB"/>
    <n v="9719618"/>
    <n v="176"/>
    <s v="PEÇAS - Defeito de fabric./Interrompido"/>
    <s v="FUNCIONAL"/>
    <x v="2"/>
    <n v="76848"/>
    <x v="240"/>
    <s v="GO"/>
    <n v="643"/>
    <s v="Elite"/>
    <n v="1350"/>
    <s v="W10269365"/>
    <s v="Placas de Controle"/>
    <x v="1"/>
    <n v="1000"/>
    <n v="5002858"/>
    <s v="FAVORITA TRANSPORTES LTDA"/>
    <n v="157.30000000000001"/>
    <d v="2025-01-31T00:00:00"/>
  </r>
  <r>
    <n v="253952274"/>
    <n v="64693387"/>
    <s v="REB"/>
    <n v="9823626"/>
    <n v="115"/>
    <s v="PEÇAS-Recusa do cliente"/>
    <s v="COMERCIAL"/>
    <x v="1"/>
    <n v="31790"/>
    <x v="160"/>
    <s v="SP"/>
    <n v="350"/>
    <s v="Ats On"/>
    <n v="1350"/>
    <s v="W11046681"/>
    <s v="Outros"/>
    <x v="7"/>
    <n v="1000"/>
    <n v="5004042"/>
    <s v="BRASIL WEB TRANSPORTES E LOGISTICA"/>
    <n v="157.19999999999999"/>
    <d v="2025-01-17T00:00:00"/>
  </r>
  <r>
    <n v="254038380"/>
    <n v="64814930"/>
    <s v="REB"/>
    <n v="10069751"/>
    <n v="173"/>
    <s v="PEÇAS - Defeito de fabric./Alta Amperage"/>
    <s v="FUNCIONAL"/>
    <x v="0"/>
    <n v="58773"/>
    <x v="13"/>
    <s v="RN"/>
    <n v="350"/>
    <s v="Ats On"/>
    <n v="1350"/>
    <s v="W10585017"/>
    <s v="Bombas"/>
    <x v="1"/>
    <n v="1000"/>
    <n v="5004101"/>
    <s v="UNIDOCK'S ASSESSORIA E LOGISTICA DE"/>
    <n v="157.13999999999999"/>
    <d v="2025-07-22T00:00:00"/>
  </r>
  <r>
    <n v="253970763"/>
    <n v="64748873"/>
    <s v="REB"/>
    <n v="9939450"/>
    <n v="173"/>
    <s v="PEÇAS - Defeito de fabric./Alta Amperage"/>
    <s v="FUNCIONAL"/>
    <x v="2"/>
    <n v="28178"/>
    <x v="127"/>
    <s v="SP"/>
    <n v="644"/>
    <s v="Plus"/>
    <n v="1350"/>
    <s v="W11254865"/>
    <s v="Mecanismos"/>
    <x v="2"/>
    <n v="1000"/>
    <n v="5004042"/>
    <s v="BRASIL WEB TRANSPORTES E LOGISTICA"/>
    <n v="157.08000000000001"/>
    <d v="2025-04-09T00:00:00"/>
  </r>
  <r>
    <n v="254042204"/>
    <n v="64795940"/>
    <s v="REB"/>
    <n v="10007106"/>
    <n v="173"/>
    <s v="PEÇAS - Defeito de fabric./Alta Amperage"/>
    <s v="FUNCIONAL"/>
    <x v="0"/>
    <n v="81338"/>
    <x v="354"/>
    <s v="SP"/>
    <n v="644"/>
    <s v="Plus"/>
    <n v="1350"/>
    <s v="W11254865"/>
    <s v="Mecanismos"/>
    <x v="2"/>
    <n v="1000"/>
    <n v="5004042"/>
    <s v="BRASIL WEB TRANSPORTES E LOGISTICA"/>
    <n v="157.08000000000001"/>
    <d v="2025-06-23T00:00:00"/>
  </r>
  <r>
    <n v="253903206"/>
    <n v="64670063"/>
    <s v="REB"/>
    <n v="8635322"/>
    <n v="177"/>
    <s v="PEÇAS - Defeito de fabric./Ruído"/>
    <s v="FUNCIONAL"/>
    <x v="1"/>
    <n v="42048"/>
    <x v="11"/>
    <s v="MT"/>
    <n v="933"/>
    <s v="Top"/>
    <n v="1350"/>
    <s v="W11300681"/>
    <s v="Mecanismos"/>
    <x v="2"/>
    <n v="1000"/>
    <n v="5002573"/>
    <s v="CARVALIMA TRANSPORTES LTDA"/>
    <n v="156.94999999999999"/>
    <d v="2024-12-18T00:00:00"/>
  </r>
  <r>
    <n v="254030266"/>
    <n v="64795935"/>
    <s v="REB"/>
    <n v="9942604"/>
    <n v="173"/>
    <s v="PEÇAS - Defeito de fabric./Alta Amperage"/>
    <s v="FUNCIONAL"/>
    <x v="1"/>
    <n v="47026"/>
    <x v="16"/>
    <s v="BA"/>
    <n v="643"/>
    <s v="Elite"/>
    <n v="1350"/>
    <s v="W11196470"/>
    <s v="Placas de Interface"/>
    <x v="1"/>
    <n v="1000"/>
    <n v="5004101"/>
    <s v="UNIDOCK'S ASSESSORIA E LOGISTICA DE"/>
    <n v="156.83000000000001"/>
    <d v="2025-06-23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171528"/>
    <s v="Pressostatos"/>
    <x v="3"/>
    <n v="5000"/>
    <n v="5004101"/>
    <s v="UNIDOCK'S ASSESSORIA E LOGISTICA DE"/>
    <n v="156.72"/>
    <d v="2025-06-24T00:00:00"/>
  </r>
  <r>
    <n v="254018181"/>
    <n v="64793258"/>
    <s v="REB"/>
    <n v="9409073"/>
    <n v="176"/>
    <s v="PEÇAS - Defeito de fabric./Interrompido"/>
    <s v="FUNCIONAL"/>
    <x v="1"/>
    <n v="3506"/>
    <x v="46"/>
    <s v="SP"/>
    <n v="931"/>
    <s v="Ats Off"/>
    <n v="1350"/>
    <s v="W11046681"/>
    <s v="Outros"/>
    <x v="7"/>
    <n v="1000"/>
    <n v="5004042"/>
    <s v="BRASIL WEB TRANSPORTES E LOGISTICA"/>
    <n v="156.54"/>
    <d v="2025-06-17T00:00:00"/>
  </r>
  <r>
    <n v="253970698"/>
    <n v="64748346"/>
    <s v="REB"/>
    <n v="9409073"/>
    <n v="176"/>
    <s v="PEÇAS - Defeito de fabric./Interrompido"/>
    <s v="FUNCIONAL"/>
    <x v="2"/>
    <n v="3506"/>
    <x v="46"/>
    <s v="SP"/>
    <n v="931"/>
    <s v="Ats Off"/>
    <n v="1350"/>
    <s v="W11046681"/>
    <s v="Outros"/>
    <x v="7"/>
    <n v="1000"/>
    <n v="5004042"/>
    <s v="BRASIL WEB TRANSPORTES E LOGISTICA"/>
    <n v="156.54"/>
    <d v="2025-04-09T00:00:00"/>
  </r>
  <r>
    <n v="254042274"/>
    <n v="64791552"/>
    <s v="REB"/>
    <n v="10043173"/>
    <n v="173"/>
    <s v="PEÇAS - Defeito de fabric./Alta Amperage"/>
    <s v="FUNCIONAL"/>
    <x v="0"/>
    <n v="4189"/>
    <x v="426"/>
    <s v="CE"/>
    <n v="931"/>
    <s v="Ats Off"/>
    <n v="1350"/>
    <s v="W10405579"/>
    <s v="Bombas"/>
    <x v="1"/>
    <n v="2000"/>
    <n v="5004101"/>
    <s v="UNIDOCK'S ASSESSORIA E LOGISTICA DE"/>
    <n v="156.47999999999999"/>
    <d v="2025-06-23T00:00:00"/>
  </r>
  <r>
    <s v="Sem TR"/>
    <n v="64808963"/>
    <s v="ZRDI"/>
    <n v="10112340"/>
    <s v="D11"/>
    <s v="DEV D2C - Comprou prod dimensão errada"/>
    <s v="COMERCIAL"/>
    <x v="2"/>
    <n v="5741159"/>
    <x v="895"/>
    <s v="PE"/>
    <n v="474"/>
    <s v="Site Brastemp"/>
    <n v="1352"/>
    <s v="W11108178"/>
    <s v="Prateleiras"/>
    <x v="9"/>
    <n v="1000"/>
    <n v="5002359"/>
    <s v="EMPRESA BRASILEIRA DE CORREIOS E"/>
    <n v="156.46"/>
    <d v="2025-07-11T00:00:00"/>
  </r>
  <r>
    <n v="254032533"/>
    <n v="64811487"/>
    <s v="ZRDI"/>
    <n v="10096056"/>
    <n v="208"/>
    <s v="DEV-Atraso entrega- LOGISTICA(Transp)"/>
    <s v="TRANSPORTADORA"/>
    <x v="2"/>
    <n v="58103198"/>
    <x v="896"/>
    <s v="SC"/>
    <n v="474"/>
    <s v="Site Brastemp"/>
    <n v="1352"/>
    <s v="W11201322"/>
    <s v="Prateleiras"/>
    <x v="9"/>
    <n v="1000"/>
    <n v="5002359"/>
    <s v="EMPRESA BRASILEIRA DE CORREIOS E"/>
    <n v="156.41999999999999"/>
    <d v="2025-07-16T00:00:00"/>
  </r>
  <r>
    <s v="Sem TR"/>
    <n v="64747392"/>
    <s v="ROB"/>
    <n v="9929307"/>
    <n v="671"/>
    <s v="DEV-ENVIADO PARA GESTÃO DE CONSEQUENCIA"/>
    <s v="TRANSPORTADORA"/>
    <x v="2"/>
    <n v="92116"/>
    <x v="897"/>
    <s v="BA"/>
    <n v="698"/>
    <s v="CDP Bronze"/>
    <n v="1350"/>
    <n v="326014231"/>
    <s v="Evaporadores"/>
    <x v="0"/>
    <n v="1000"/>
    <n v="5004101"/>
    <s v="UNIDOCK'S ASSESSORIA E LOGISTICA DE"/>
    <n v="156.37"/>
    <d v="2025-04-08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0807957"/>
    <s v="Conjunto Varetas"/>
    <x v="8"/>
    <n v="2000"/>
    <n v="5004101"/>
    <s v="UNIDOCK'S ASSESSORIA E LOGISTICA DE"/>
    <n v="156.21"/>
    <d v="2025-02-19T00:00:00"/>
  </r>
  <r>
    <n v="254007611"/>
    <n v="64782591"/>
    <s v="REB"/>
    <n v="8744279"/>
    <n v="173"/>
    <s v="PEÇAS - Defeito de fabric./Alta Amperage"/>
    <s v="FUNCIONAL"/>
    <x v="1"/>
    <n v="73003"/>
    <x v="294"/>
    <s v="SC"/>
    <n v="931"/>
    <s v="Ats Off"/>
    <n v="1350"/>
    <s v="W10737721"/>
    <s v="Placas de Controle"/>
    <x v="1"/>
    <n v="1000"/>
    <n v="5003024"/>
    <s v="RODOBRAS TRANSPORTES RODOVIARIOS LT"/>
    <n v="156.18"/>
    <d v="2025-06-02T00:00:00"/>
  </r>
  <r>
    <n v="253953764"/>
    <n v="64731463"/>
    <s v="REB"/>
    <n v="9861857"/>
    <n v="173"/>
    <s v="PEÇAS - Defeito de fabric./Alta Amperage"/>
    <s v="FUNCIONAL"/>
    <x v="1"/>
    <n v="22985"/>
    <x v="247"/>
    <s v="SC"/>
    <n v="641"/>
    <s v="CDP Diamante"/>
    <n v="1350"/>
    <s v="W10269365"/>
    <s v="Placas de Controle"/>
    <x v="1"/>
    <n v="1000"/>
    <n v="5003024"/>
    <s v="RODOBRAS TRANSPORTES RODOVIARIOS LT"/>
    <n v="156.11000000000001"/>
    <d v="2025-03-14T00:00:00"/>
  </r>
  <r>
    <n v="254042022"/>
    <n v="64794277"/>
    <s v="REB"/>
    <n v="9623484"/>
    <n v="173"/>
    <s v="PEÇAS - Defeito de fabric./Alta Amperage"/>
    <s v="FUNCIONAL"/>
    <x v="0"/>
    <n v="32533"/>
    <x v="194"/>
    <s v="PE"/>
    <n v="713"/>
    <s v="Key Account"/>
    <n v="1350"/>
    <s v="W10678923"/>
    <s v="Placas de Controle"/>
    <x v="1"/>
    <n v="3000"/>
    <n v="5004101"/>
    <s v="UNIDOCK'S ASSESSORIA E LOGISTICA DE"/>
    <n v="156.03"/>
    <d v="2025-06-23T00:00:00"/>
  </r>
  <r>
    <s v="Sem TR"/>
    <n v="64819699"/>
    <s v="ZRDI"/>
    <n v="10136552"/>
    <s v="D10"/>
    <s v="DEV D2C - Comprou modelo errado"/>
    <s v="COMERCIAL"/>
    <x v="1"/>
    <n v="55620647"/>
    <x v="898"/>
    <s v="PR"/>
    <n v="475"/>
    <s v="Site Consul"/>
    <n v="1352"/>
    <s v="W10758992"/>
    <s v="Gavetas"/>
    <x v="9"/>
    <n v="1000"/>
    <n v="5002359"/>
    <s v="EMPRESA BRASILEIRA DE CORREIOS E"/>
    <n v="155.93"/>
    <d v="2025-07-29T00:00:00"/>
  </r>
  <r>
    <n v="253948585"/>
    <n v="64727039"/>
    <s v="REB"/>
    <n v="9839968"/>
    <n v="104"/>
    <s v="PEÇAS-Código trocado(embalag X conteúdo)"/>
    <s v="LOGÍSTICA"/>
    <x v="2"/>
    <n v="82179"/>
    <x v="191"/>
    <s v="MG"/>
    <n v="350"/>
    <s v="Ats On"/>
    <n v="1350"/>
    <s v="W10512610"/>
    <s v="Tampas Móveis"/>
    <x v="6"/>
    <n v="1000"/>
    <n v="5004215"/>
    <s v="BRASIL WEB TRANSPORTES E LOGISTICA"/>
    <n v="155.91999999999999"/>
    <d v="2025-03-07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1364881"/>
    <s v="Válvulas de Água"/>
    <x v="5"/>
    <n v="5000"/>
    <n v="5004391"/>
    <s v="JEONCEL TRANSPORTES LTDA"/>
    <n v="155.85"/>
    <d v="2025-05-08T00:00:00"/>
  </r>
  <r>
    <s v="Sem TR"/>
    <n v="64814900"/>
    <s v="ZRDI"/>
    <n v="10127604"/>
    <s v="D10"/>
    <s v="DEV D2C - Comprou modelo errado"/>
    <s v="COMERCIAL"/>
    <x v="2"/>
    <n v="58140706"/>
    <x v="899"/>
    <s v="GO"/>
    <n v="474"/>
    <s v="Site Brastemp"/>
    <n v="1352"/>
    <s v="W11396368"/>
    <s v="Gavetas"/>
    <x v="9"/>
    <n v="1000"/>
    <n v="5002359"/>
    <s v="EMPRESA BRASILEIRA DE CORREIOS E"/>
    <n v="155.79"/>
    <d v="2025-07-24T00:00:00"/>
  </r>
  <r>
    <s v="Sem TR"/>
    <n v="64814900"/>
    <s v="ZRDI"/>
    <n v="10127604"/>
    <s v="D10"/>
    <s v="DEV D2C - Comprou modelo errado"/>
    <s v="COMERCIAL"/>
    <x v="2"/>
    <n v="58140706"/>
    <x v="899"/>
    <s v="GO"/>
    <n v="474"/>
    <s v="Site Brastemp"/>
    <n v="1352"/>
    <s v="W11396368"/>
    <s v="Gavetas"/>
    <x v="9"/>
    <n v="1000"/>
    <n v="5002359"/>
    <s v="EMPRESA BRASILEIRA DE CORREIOS E"/>
    <n v="155.79"/>
    <d v="2025-07-24T00:00:00"/>
  </r>
  <r>
    <n v="253953764"/>
    <n v="64731946"/>
    <s v="REB"/>
    <n v="9916099"/>
    <n v="90"/>
    <s v="CLIENTE-não solicitou"/>
    <s v="COMERCIAL"/>
    <x v="1"/>
    <n v="22985"/>
    <x v="247"/>
    <s v="SC"/>
    <n v="641"/>
    <s v="CDP Diamante"/>
    <n v="1350"/>
    <s v="W11268190"/>
    <s v="Placas de Controle"/>
    <x v="1"/>
    <n v="1000"/>
    <n v="5003024"/>
    <s v="RODOBRAS TRANSPORTES RODOVIARIOS LT"/>
    <n v="155.74"/>
    <d v="2025-03-14T00:00:00"/>
  </r>
  <r>
    <s v="Sem TR"/>
    <n v="64799931"/>
    <s v="ZRDI"/>
    <n v="10095834"/>
    <s v="D10"/>
    <s v="DEV D2C - Comprou modelo errado"/>
    <s v="COMERCIAL"/>
    <x v="2"/>
    <n v="50119823"/>
    <x v="900"/>
    <s v="SP"/>
    <n v="474"/>
    <s v="Site Brastemp"/>
    <n v="1352"/>
    <n v="326008329"/>
    <s v="Gaxetas"/>
    <x v="4"/>
    <n v="1000"/>
    <n v="5002359"/>
    <s v="EMPRESA BRASILEIRA DE CORREIOS E"/>
    <n v="155.57"/>
    <d v="2025-06-28T00:00:00"/>
  </r>
  <r>
    <s v="Sem TR"/>
    <n v="64803948"/>
    <s v="ZRDI"/>
    <n v="10118736"/>
    <s v="D10"/>
    <s v="DEV D2C - Comprou modelo errado"/>
    <s v="COMERCIAL"/>
    <x v="2"/>
    <n v="58128775"/>
    <x v="901"/>
    <s v="SP"/>
    <n v="474"/>
    <s v="Site Brastemp"/>
    <n v="1352"/>
    <n v="326008329"/>
    <s v="Gaxetas"/>
    <x v="4"/>
    <n v="1000"/>
    <n v="5002359"/>
    <s v="EMPRESA BRASILEIRA DE CORREIOS E"/>
    <n v="155.57"/>
    <d v="2025-07-09T00:00:00"/>
  </r>
  <r>
    <s v="Sem TR"/>
    <n v="64813069"/>
    <s v="ZRDI"/>
    <n v="10135665"/>
    <s v="D10"/>
    <s v="DEV D2C - Comprou modelo errado"/>
    <s v="COMERCIAL"/>
    <x v="2"/>
    <n v="53857645"/>
    <x v="902"/>
    <s v="SP"/>
    <n v="474"/>
    <s v="Site Brastemp"/>
    <n v="1352"/>
    <n v="326008329"/>
    <s v="Gaxetas"/>
    <x v="4"/>
    <n v="1000"/>
    <n v="5002359"/>
    <s v="EMPRESA BRASILEIRA DE CORREIOS E"/>
    <n v="155.57"/>
    <d v="2025-07-18T00:00:00"/>
  </r>
  <r>
    <n v="253989437"/>
    <n v="64767269"/>
    <s v="REB"/>
    <n v="9795242"/>
    <n v="176"/>
    <s v="PEÇAS - Defeito de fabric./Interrompido"/>
    <s v="FUNCIONAL"/>
    <x v="2"/>
    <n v="75812"/>
    <x v="102"/>
    <s v="SP"/>
    <n v="931"/>
    <s v="Ats Off"/>
    <n v="1350"/>
    <s v="W10665444"/>
    <s v="Bombas"/>
    <x v="1"/>
    <n v="1000"/>
    <n v="5004042"/>
    <s v="BRASIL WEB TRANSPORTES E LOGISTICA"/>
    <n v="155.30000000000001"/>
    <d v="2025-05-09T00:00:00"/>
  </r>
  <r>
    <n v="253993283"/>
    <n v="64771123"/>
    <s v="ROB"/>
    <n v="10004919"/>
    <n v="182"/>
    <s v="PEÇAS - Extravio - Volume a menor"/>
    <s v="TRANSPORTADORA"/>
    <x v="1"/>
    <n v="4523"/>
    <x v="261"/>
    <s v="SC"/>
    <n v="350"/>
    <s v="Ats On"/>
    <n v="1350"/>
    <n v="326009198"/>
    <s v="Gaxetas"/>
    <x v="4"/>
    <n v="5000"/>
    <n v="5003024"/>
    <s v="RODOBRAS TRANSPORTES RODOVIARIOS LT"/>
    <n v="155.29"/>
    <d v="2025-05-15T00:00:00"/>
  </r>
  <r>
    <s v="Sem TR"/>
    <n v="64812195"/>
    <s v="ZRDI"/>
    <n v="10116309"/>
    <s v="D31"/>
    <s v="DEV D2C - Defeito estético manufatura"/>
    <s v="MANUFATURA"/>
    <x v="2"/>
    <n v="58127469"/>
    <x v="903"/>
    <s v="RS"/>
    <n v="474"/>
    <s v="Site Brastemp"/>
    <n v="1352"/>
    <s v="W10347206"/>
    <s v="Prateleiras"/>
    <x v="9"/>
    <n v="1000"/>
    <n v="5002359"/>
    <s v="EMPRESA BRASILEIRA DE CORREIOS E"/>
    <n v="155.22999999999999"/>
    <d v="2025-07-18T00:00:00"/>
  </r>
  <r>
    <s v="Sem TR"/>
    <n v="64812195"/>
    <s v="ZRDI"/>
    <n v="10116309"/>
    <s v="D31"/>
    <s v="DEV D2C - Defeito estético manufatura"/>
    <s v="MANUFATURA"/>
    <x v="2"/>
    <n v="58127469"/>
    <x v="903"/>
    <s v="RS"/>
    <n v="474"/>
    <s v="Site Brastemp"/>
    <n v="1352"/>
    <s v="W10347206"/>
    <s v="Prateleiras"/>
    <x v="9"/>
    <n v="1000"/>
    <n v="5002359"/>
    <s v="EMPRESA BRASILEIRA DE CORREIOS E"/>
    <n v="155.22999999999999"/>
    <d v="2025-07-18T00:00:00"/>
  </r>
  <r>
    <s v="Sem TR"/>
    <n v="64697164"/>
    <s v="ROB"/>
    <n v="9789363"/>
    <n v="25"/>
    <s v="OC. 80 - EXTRAVIO TOTAL"/>
    <s v="TRANSPORTADORA"/>
    <x v="0"/>
    <n v="30172"/>
    <x v="904"/>
    <s v="SP"/>
    <n v="932"/>
    <s v="CDP Prata"/>
    <n v="1350"/>
    <s v="W10518616"/>
    <s v="Atuadores"/>
    <x v="2"/>
    <n v="5000"/>
    <n v="5004101"/>
    <s v="UNIDOCK'S ASSESSORIA E LOGISTICA DE"/>
    <n v="155.22"/>
    <d v="2025-01-22T00:00:00"/>
  </r>
  <r>
    <n v="254032514"/>
    <n v="64811478"/>
    <s v="ZRDI"/>
    <n v="10091723"/>
    <n v="208"/>
    <s v="DEV-Atraso entrega- LOGISTICA(Transp)"/>
    <s v="TRANSPORTADORA"/>
    <x v="2"/>
    <n v="58005097"/>
    <x v="905"/>
    <s v="SC"/>
    <n v="475"/>
    <s v="Site Consul"/>
    <n v="1352"/>
    <s v="W10758992"/>
    <s v="Gavetas"/>
    <x v="9"/>
    <n v="1000"/>
    <n v="5002359"/>
    <s v="EMPRESA BRASILEIRA DE CORREIOS E"/>
    <n v="155.1"/>
    <d v="2025-07-16T00:00:00"/>
  </r>
  <r>
    <n v="253992743"/>
    <n v="64761907"/>
    <s v="REB"/>
    <n v="10001028"/>
    <n v="90"/>
    <s v="CLIENTE-não solicitou"/>
    <s v="COMERCIAL"/>
    <x v="1"/>
    <n v="42455"/>
    <x v="81"/>
    <s v="SP"/>
    <n v="931"/>
    <s v="Ats Off"/>
    <n v="1350"/>
    <s v="W10347199"/>
    <s v="Gavetas"/>
    <x v="9"/>
    <n v="3000"/>
    <n v="5004042"/>
    <s v="BRASIL WEB TRANSPORTES E LOGISTICA"/>
    <n v="155.09"/>
    <d v="2025-05-12T00:00:00"/>
  </r>
  <r>
    <n v="253992770"/>
    <n v="64766991"/>
    <s v="REB"/>
    <n v="10007851"/>
    <n v="167"/>
    <s v="PEÇAS - Avaria - Quebrada/Depósito"/>
    <s v="LOGÍSTICA"/>
    <x v="1"/>
    <n v="77425"/>
    <x v="98"/>
    <s v="PE"/>
    <n v="643"/>
    <s v="Elite"/>
    <n v="1350"/>
    <s v="W10581058"/>
    <s v="Gavetas"/>
    <x v="9"/>
    <n v="2000"/>
    <n v="5004101"/>
    <s v="UNIDOCK'S ASSESSORIA E LOGISTICA DE"/>
    <n v="155.01"/>
    <d v="2025-05-1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796892"/>
    <s v="Agitadores"/>
    <x v="2"/>
    <n v="3000"/>
    <n v="5004101"/>
    <s v="UNIDOCK'S ASSESSORIA E LOGISTICA DE"/>
    <n v="154.99"/>
    <d v="2025-06-24T00:00:00"/>
  </r>
  <r>
    <n v="254018318"/>
    <n v="64792602"/>
    <s v="REB"/>
    <n v="9892680"/>
    <n v="176"/>
    <s v="PEÇAS - Defeito de fabric./Interrompido"/>
    <s v="FUNCIONAL"/>
    <x v="2"/>
    <n v="52520"/>
    <x v="292"/>
    <s v="RJ"/>
    <n v="713"/>
    <s v="Key Account"/>
    <n v="1350"/>
    <s v="W10686100"/>
    <s v="Placas de Controle"/>
    <x v="1"/>
    <n v="1000"/>
    <n v="5003176"/>
    <s v="J C THEDIN TRANSPORTES LTDA"/>
    <n v="154.88"/>
    <d v="2025-06-17T00:00:00"/>
  </r>
  <r>
    <n v="254024677"/>
    <n v="64804770"/>
    <s v="ZRDI"/>
    <n v="10106332"/>
    <n v="208"/>
    <s v="DEV-Atraso entrega- LOGISTICA(Transp)"/>
    <s v="TRANSPORTADORA"/>
    <x v="2"/>
    <n v="58116335"/>
    <x v="906"/>
    <s v="RJ"/>
    <n v="475"/>
    <s v="Site Consul"/>
    <n v="1352"/>
    <s v="W10758992"/>
    <s v="Gavetas"/>
    <x v="9"/>
    <n v="1000"/>
    <n v="5002359"/>
    <s v="EMPRESA BRASILEIRA DE CORREIOS E"/>
    <n v="154.79"/>
    <d v="2025-07-02T00:00:00"/>
  </r>
  <r>
    <s v="Sem TR"/>
    <n v="64810686"/>
    <s v="ZRDI"/>
    <n v="10121398"/>
    <s v="D11"/>
    <s v="DEV D2C - Comprou prod dimensão errada"/>
    <s v="COMERCIAL"/>
    <x v="2"/>
    <n v="58118808"/>
    <x v="907"/>
    <s v="RJ"/>
    <n v="475"/>
    <s v="Site Consul"/>
    <n v="1352"/>
    <s v="W10758992"/>
    <s v="Gavetas"/>
    <x v="9"/>
    <n v="1000"/>
    <n v="5002359"/>
    <s v="EMPRESA BRASILEIRA DE CORREIOS E"/>
    <n v="154.79"/>
    <d v="2025-07-22T00:00:00"/>
  </r>
  <r>
    <n v="254024677"/>
    <n v="64804770"/>
    <s v="ZRDI"/>
    <n v="10106332"/>
    <n v="208"/>
    <s v="DEV-Atraso entrega- LOGISTICA(Transp)"/>
    <s v="TRANSPORTADORA"/>
    <x v="2"/>
    <n v="58116335"/>
    <x v="906"/>
    <s v="RJ"/>
    <n v="475"/>
    <s v="Site Consul"/>
    <n v="1352"/>
    <s v="W10758992"/>
    <s v="Gavetas"/>
    <x v="9"/>
    <n v="1000"/>
    <n v="5002359"/>
    <s v="EMPRESA BRASILEIRA DE CORREIOS E"/>
    <n v="154.79"/>
    <d v="2025-07-02T00:00:00"/>
  </r>
  <r>
    <s v="Sem TR"/>
    <n v="64810686"/>
    <s v="ZRDI"/>
    <n v="10121398"/>
    <s v="D11"/>
    <s v="DEV D2C - Comprou prod dimensão errada"/>
    <s v="COMERCIAL"/>
    <x v="2"/>
    <n v="58118808"/>
    <x v="907"/>
    <s v="RJ"/>
    <n v="475"/>
    <s v="Site Consul"/>
    <n v="1352"/>
    <s v="W10758992"/>
    <s v="Gavetas"/>
    <x v="9"/>
    <n v="1000"/>
    <n v="5002359"/>
    <s v="EMPRESA BRASILEIRA DE CORREIOS E"/>
    <n v="154.79"/>
    <d v="2025-07-22T00:00:00"/>
  </r>
  <r>
    <s v="Sem TR"/>
    <n v="64746732"/>
    <s v="REB"/>
    <n v="9955838"/>
    <n v="671"/>
    <s v="DEV-ENVIADO PARA GESTÃO DE CONSEQUENCIA"/>
    <s v="TRANSPORTADORA"/>
    <x v="1"/>
    <n v="72786"/>
    <x v="41"/>
    <s v="SC"/>
    <n v="643"/>
    <s v="Elite"/>
    <n v="1350"/>
    <s v="W10212144"/>
    <s v="Gavetas"/>
    <x v="9"/>
    <n v="5000"/>
    <n v="5003024"/>
    <s v="RODOBRAS TRANSPORTES RODOVIARIOS LT"/>
    <n v="154.75"/>
    <d v="2025-04-07T00:00:00"/>
  </r>
  <r>
    <n v="254003860"/>
    <n v="64777942"/>
    <s v="REB"/>
    <n v="9995955"/>
    <n v="173"/>
    <s v="PEÇAS - Defeito de fabric./Alta Amperage"/>
    <s v="FUNCIONAL"/>
    <x v="1"/>
    <n v="3648"/>
    <x v="130"/>
    <s v="SP"/>
    <n v="350"/>
    <s v="Ats On"/>
    <n v="1350"/>
    <s v="W11254865"/>
    <s v="Mecanismos"/>
    <x v="2"/>
    <n v="1000"/>
    <n v="5004042"/>
    <s v="BRASIL WEB TRANSPORTES E LOGISTICA"/>
    <n v="154.66"/>
    <d v="2025-05-26T00:00:00"/>
  </r>
  <r>
    <n v="253970917"/>
    <n v="64742100"/>
    <s v="REB"/>
    <n v="9926430"/>
    <n v="176"/>
    <s v="PEÇAS - Defeito de fabric./Interrompido"/>
    <s v="FUNCIONAL"/>
    <x v="2"/>
    <n v="67948"/>
    <x v="15"/>
    <s v="SC"/>
    <n v="713"/>
    <s v="Key Account"/>
    <n v="1350"/>
    <s v="W10539793"/>
    <s v="Capas"/>
    <x v="6"/>
    <n v="7000"/>
    <n v="5003024"/>
    <s v="RODOBRAS TRANSPORTES RODOVIARIOS LT"/>
    <n v="154.65"/>
    <d v="2025-04-09T00:00:00"/>
  </r>
  <r>
    <n v="254029263"/>
    <n v="64808769"/>
    <s v="ZRDI"/>
    <n v="10106265"/>
    <n v="208"/>
    <s v="DEV-Atraso entrega- LOGISTICA(Transp)"/>
    <s v="TRANSPORTADORA"/>
    <x v="2"/>
    <n v="51421547"/>
    <x v="908"/>
    <s v="SP"/>
    <n v="475"/>
    <s v="Site Consul"/>
    <n v="1352"/>
    <s v="W10632497"/>
    <s v="Placas de Controle"/>
    <x v="1"/>
    <n v="1000"/>
    <n v="5002359"/>
    <s v="EMPRESA BRASILEIRA DE CORREIOS E"/>
    <n v="154.41999999999999"/>
    <d v="2025-07-10T00:00:00"/>
  </r>
  <r>
    <s v="Sem TR"/>
    <n v="64817519"/>
    <s v="ZRDI"/>
    <n v="10056983"/>
    <s v="D10"/>
    <s v="DEV D2C - Comprou modelo errado"/>
    <s v="COMERCIAL"/>
    <x v="2"/>
    <n v="52647586"/>
    <x v="909"/>
    <s v="PR"/>
    <n v="474"/>
    <s v="Site Brastemp"/>
    <n v="1352"/>
    <s v="W11396368"/>
    <s v="Gavetas"/>
    <x v="9"/>
    <n v="1000"/>
    <n v="5002359"/>
    <s v="EMPRESA BRASILEIRA DE CORREIOS E"/>
    <n v="154.4"/>
    <d v="2025-07-25T00:00:00"/>
  </r>
  <r>
    <s v="Sem TR"/>
    <n v="64817519"/>
    <s v="ZRDI"/>
    <n v="10056983"/>
    <s v="D10"/>
    <s v="DEV D2C - Comprou modelo errado"/>
    <s v="COMERCIAL"/>
    <x v="2"/>
    <n v="52647586"/>
    <x v="909"/>
    <s v="PR"/>
    <n v="474"/>
    <s v="Site Brastemp"/>
    <n v="1352"/>
    <s v="W11396368"/>
    <s v="Gavetas"/>
    <x v="9"/>
    <n v="1000"/>
    <n v="5002359"/>
    <s v="EMPRESA BRASILEIRA DE CORREIOS E"/>
    <n v="154.4"/>
    <d v="2025-07-25T00:00:00"/>
  </r>
  <r>
    <s v="Sem TR"/>
    <n v="64811680"/>
    <s v="ZRDI"/>
    <n v="10079828"/>
    <s v="D10"/>
    <s v="DEV D2C - Comprou modelo errado"/>
    <s v="COMERCIAL"/>
    <x v="2"/>
    <n v="56644142"/>
    <x v="910"/>
    <s v="SP"/>
    <n v="474"/>
    <s v="Site Brastemp"/>
    <n v="1352"/>
    <s v="W11108178"/>
    <s v="Prateleiras"/>
    <x v="9"/>
    <n v="1000"/>
    <n v="5002359"/>
    <s v="EMPRESA BRASILEIRA DE CORREIOS E"/>
    <n v="154.19999999999999"/>
    <d v="2025-07-21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123830"/>
    <s v="Placas de Controle"/>
    <x v="1"/>
    <n v="1000"/>
    <n v="5004042"/>
    <s v="BRASIL WEB TRANSPORTES E LOGISTICA"/>
    <n v="153.97999999999999"/>
    <d v="2025-07-08T00:00:00"/>
  </r>
  <r>
    <n v="254038160"/>
    <n v="64816130"/>
    <s v="ZRDI"/>
    <n v="10100748"/>
    <n v="208"/>
    <s v="DEV-Atraso entrega- LOGISTICA(Transp)"/>
    <s v="TRANSPORTADORA"/>
    <x v="2"/>
    <n v="56741793"/>
    <x v="911"/>
    <s v="BA"/>
    <n v="474"/>
    <s v="Site Brastemp"/>
    <n v="1352"/>
    <s v="W10287547"/>
    <s v="Gavetas"/>
    <x v="9"/>
    <n v="1000"/>
    <n v="5002359"/>
    <s v="EMPRESA BRASILEIRA DE CORREIOS E"/>
    <n v="153.85"/>
    <d v="2025-07-23T00:00:00"/>
  </r>
  <r>
    <n v="254038160"/>
    <n v="64816130"/>
    <s v="ZRDI"/>
    <n v="10100748"/>
    <n v="208"/>
    <s v="DEV-Atraso entrega- LOGISTICA(Transp)"/>
    <s v="TRANSPORTADORA"/>
    <x v="2"/>
    <n v="56741793"/>
    <x v="911"/>
    <s v="BA"/>
    <n v="474"/>
    <s v="Site Brastemp"/>
    <n v="1352"/>
    <s v="W10287547"/>
    <s v="Gavetas"/>
    <x v="9"/>
    <n v="1000"/>
    <n v="5002359"/>
    <s v="EMPRESA BRASILEIRA DE CORREIOS E"/>
    <n v="153.85"/>
    <d v="2025-07-23T00:00:00"/>
  </r>
  <r>
    <s v="Sem TR"/>
    <n v="64800219"/>
    <s v="ZRDI"/>
    <n v="10075134"/>
    <s v="D31"/>
    <s v="DEV D2C - Defeito estético manufatura"/>
    <s v="MANUFATURA"/>
    <x v="2"/>
    <n v="4943577"/>
    <x v="912"/>
    <s v="BA"/>
    <n v="474"/>
    <s v="Site Brastemp"/>
    <n v="1352"/>
    <n v="326047477"/>
    <s v="Gavetas"/>
    <x v="9"/>
    <n v="1000"/>
    <n v="5002359"/>
    <s v="EMPRESA BRASILEIRA DE CORREIOS E"/>
    <n v="153.76"/>
    <d v="2025-06-30T00:00:00"/>
  </r>
  <r>
    <s v="Sem TR"/>
    <n v="64814702"/>
    <s v="ZRDI"/>
    <n v="10136631"/>
    <s v="D10"/>
    <s v="DEV D2C - Comprou modelo errado"/>
    <s v="COMERCIAL"/>
    <x v="1"/>
    <n v="58155199"/>
    <x v="913"/>
    <s v="BA"/>
    <n v="474"/>
    <s v="Site Brastemp"/>
    <n v="1352"/>
    <n v="326047477"/>
    <s v="Gavetas"/>
    <x v="9"/>
    <n v="1000"/>
    <n v="5002359"/>
    <s v="EMPRESA BRASILEIRA DE CORREIOS E"/>
    <n v="153.76"/>
    <d v="2025-07-28T00:00:00"/>
  </r>
  <r>
    <s v="Sem TR"/>
    <n v="64816442"/>
    <s v="REB"/>
    <n v="9627629"/>
    <n v="173"/>
    <s v="PEÇAS - Defeito de fabric./Alta Amperage"/>
    <s v="FUNCIONAL"/>
    <x v="1"/>
    <n v="67948"/>
    <x v="15"/>
    <s v="SC"/>
    <n v="713"/>
    <s v="Key Account"/>
    <n v="1350"/>
    <s v="W10780260"/>
    <s v="Placas de Controle"/>
    <x v="1"/>
    <n v="1000"/>
    <n v="5003024"/>
    <s v="RODOBRAS TRANSPORTES RODOVIARIOS LT"/>
    <n v="153.72"/>
    <d v="2025-07-25T00:00:00"/>
  </r>
  <r>
    <n v="253913086"/>
    <n v="64682726"/>
    <s v="REB"/>
    <n v="9782894"/>
    <n v="176"/>
    <s v="PEÇAS - Defeito de fabric./Interrompido"/>
    <s v="FUNCIONAL"/>
    <x v="1"/>
    <n v="24289"/>
    <x v="17"/>
    <s v="MG"/>
    <n v="643"/>
    <s v="Elite"/>
    <n v="1350"/>
    <s v="W11482941"/>
    <s v="Placas de Controle"/>
    <x v="1"/>
    <n v="1000"/>
    <n v="5004215"/>
    <s v="BRASIL WEB TRANSPORTES E LOGISTICA"/>
    <n v="153.71"/>
    <d v="2025-01-06T00:00:00"/>
  </r>
  <r>
    <s v="Sem TR"/>
    <n v="64811698"/>
    <s v="ZRDI"/>
    <n v="10127345"/>
    <s v="D10"/>
    <s v="DEV D2C - Comprou modelo errado"/>
    <s v="COMERCIAL"/>
    <x v="2"/>
    <n v="4757570"/>
    <x v="914"/>
    <s v="SP"/>
    <n v="347"/>
    <s v="Carteira D"/>
    <n v="1352"/>
    <s v="W10866789"/>
    <s v="Kits Instalação"/>
    <x v="7"/>
    <n v="2000"/>
    <n v="5002359"/>
    <s v="EMPRESA BRASILEIRA DE CORREIOS E"/>
    <n v="153.6"/>
    <d v="2025-07-18T00:00:00"/>
  </r>
  <r>
    <s v="Sem TR"/>
    <n v="64811698"/>
    <s v="ZRDI"/>
    <n v="10127345"/>
    <s v="D10"/>
    <s v="DEV D2C - Comprou modelo errado"/>
    <s v="COMERCIAL"/>
    <x v="2"/>
    <n v="4757570"/>
    <x v="914"/>
    <s v="SP"/>
    <n v="347"/>
    <s v="Carteira D"/>
    <n v="1352"/>
    <s v="W10866789"/>
    <s v="Kits Instalação"/>
    <x v="7"/>
    <n v="2000"/>
    <n v="5002359"/>
    <s v="EMPRESA BRASILEIRA DE CORREIOS E"/>
    <n v="153.6"/>
    <d v="2025-07-18T00:00:00"/>
  </r>
  <r>
    <n v="254024115"/>
    <n v="64803662"/>
    <s v="ZRDI"/>
    <n v="10044606"/>
    <n v="208"/>
    <s v="DEV-Atraso entrega- LOGISTICA(Transp)"/>
    <s v="TRANSPORTADORA"/>
    <x v="2"/>
    <n v="58037016"/>
    <x v="915"/>
    <s v="BA"/>
    <n v="466"/>
    <s v="Sup ML Marketplace"/>
    <n v="1352"/>
    <s v="W10476183"/>
    <s v="Prateleiras"/>
    <x v="9"/>
    <n v="3000"/>
    <n v="5002359"/>
    <s v="EMPRESA BRASILEIRA DE CORREIOS E"/>
    <n v="153.57"/>
    <d v="2025-07-01T00:00:00"/>
  </r>
  <r>
    <s v="Sem TR"/>
    <n v="64802674"/>
    <s v="ZRDI"/>
    <n v="10061420"/>
    <s v="D10"/>
    <s v="DEV D2C - Comprou modelo errado"/>
    <s v="COMERCIAL"/>
    <x v="2"/>
    <n v="58056583"/>
    <x v="916"/>
    <s v="PA"/>
    <n v="466"/>
    <s v="Sup ML Marketplace"/>
    <n v="1352"/>
    <n v="326067736"/>
    <s v="Prateleiras"/>
    <x v="9"/>
    <n v="3000"/>
    <n v="5002359"/>
    <s v="EMPRESA BRASILEIRA DE CORREIOS E"/>
    <n v="153.47999999999999"/>
    <d v="2025-07-01T00:00:00"/>
  </r>
  <r>
    <s v="Sem TR"/>
    <n v="64805289"/>
    <s v="ZRDI"/>
    <n v="10097787"/>
    <s v="D11"/>
    <s v="DEV D2C - Comprou prod dimensão errada"/>
    <s v="COMERCIAL"/>
    <x v="2"/>
    <n v="53702121"/>
    <x v="917"/>
    <s v="MG"/>
    <n v="474"/>
    <s v="Site Brastemp"/>
    <n v="1352"/>
    <s v="W11661613"/>
    <s v="Outros"/>
    <x v="7"/>
    <n v="1000"/>
    <n v="5002359"/>
    <s v="EMPRESA BRASILEIRA DE CORREIOS E"/>
    <n v="153.47999999999999"/>
    <d v="2025-07-03T00:00:00"/>
  </r>
  <r>
    <s v="Sem TR"/>
    <n v="64802674"/>
    <s v="ZRDI"/>
    <n v="10061420"/>
    <s v="D10"/>
    <s v="DEV D2C - Comprou modelo errado"/>
    <s v="COMERCIAL"/>
    <x v="2"/>
    <n v="58056583"/>
    <x v="916"/>
    <s v="PA"/>
    <n v="466"/>
    <s v="Sup ML Marketplace"/>
    <n v="1352"/>
    <n v="326067736"/>
    <s v="Prateleiras"/>
    <x v="9"/>
    <n v="3000"/>
    <n v="5002359"/>
    <s v="EMPRESA BRASILEIRA DE CORREIOS E"/>
    <n v="153.47999999999999"/>
    <d v="2025-07-01T00:00:00"/>
  </r>
  <r>
    <s v="Sem TR"/>
    <n v="64804978"/>
    <s v="ZRDI"/>
    <n v="10106513"/>
    <s v="D10"/>
    <s v="DEV D2C - Comprou modelo errado"/>
    <s v="COMERCIAL"/>
    <x v="2"/>
    <n v="50575555"/>
    <x v="918"/>
    <s v="CE"/>
    <n v="474"/>
    <s v="Site Brastemp"/>
    <n v="1352"/>
    <s v="W11396368"/>
    <s v="Gavetas"/>
    <x v="9"/>
    <n v="1000"/>
    <n v="5002359"/>
    <s v="EMPRESA BRASILEIRA DE CORREIOS E"/>
    <n v="153.38"/>
    <d v="2025-07-04T00:00:00"/>
  </r>
  <r>
    <s v="Sem TR"/>
    <n v="64807062"/>
    <s v="ZRDI"/>
    <n v="10126715"/>
    <s v="D30"/>
    <s v="DEV D2C - Defeito funcional manufatura"/>
    <s v="MANUFATURA"/>
    <x v="2"/>
    <n v="53165293"/>
    <x v="919"/>
    <s v="RJ"/>
    <n v="474"/>
    <s v="Site Brastemp"/>
    <n v="1352"/>
    <s v="W11396368"/>
    <s v="Gavetas"/>
    <x v="9"/>
    <n v="1000"/>
    <n v="5002359"/>
    <s v="EMPRESA BRASILEIRA DE CORREIOS E"/>
    <n v="153.38"/>
    <d v="2025-07-14T00:00:00"/>
  </r>
  <r>
    <s v="Sem TR"/>
    <n v="64817390"/>
    <s v="ZRDI"/>
    <n v="10148817"/>
    <s v="D10"/>
    <s v="DEV D2C - Comprou modelo errado"/>
    <s v="COMERCIAL"/>
    <x v="2"/>
    <n v="4014047"/>
    <x v="920"/>
    <s v="RJ"/>
    <n v="474"/>
    <s v="Site Brastemp"/>
    <n v="1352"/>
    <s v="W11396368"/>
    <s v="Gavetas"/>
    <x v="9"/>
    <n v="1000"/>
    <n v="5002359"/>
    <s v="EMPRESA BRASILEIRA DE CORREIOS E"/>
    <n v="153.38"/>
    <d v="2025-07-25T00:00:00"/>
  </r>
  <r>
    <s v="Sem TR"/>
    <n v="64817390"/>
    <s v="ZRDI"/>
    <n v="10148817"/>
    <s v="D10"/>
    <s v="DEV D2C - Comprou modelo errado"/>
    <s v="COMERCIAL"/>
    <x v="2"/>
    <n v="4014047"/>
    <x v="920"/>
    <s v="RJ"/>
    <n v="474"/>
    <s v="Site Brastemp"/>
    <n v="1352"/>
    <s v="W11396368"/>
    <s v="Gavetas"/>
    <x v="9"/>
    <n v="1000"/>
    <n v="5002359"/>
    <s v="EMPRESA BRASILEIRA DE CORREIOS E"/>
    <n v="153.38"/>
    <d v="2025-07-25T00:00:00"/>
  </r>
  <r>
    <s v="Sem TR"/>
    <n v="64795865"/>
    <s v="ZRDI"/>
    <n v="10091539"/>
    <s v="D10"/>
    <s v="DEV D2C - Comprou modelo errado"/>
    <s v="COMERCIAL"/>
    <x v="2"/>
    <n v="54667998"/>
    <x v="363"/>
    <s v="MG"/>
    <n v="474"/>
    <s v="Site Brastemp"/>
    <n v="1352"/>
    <s v="W11164673"/>
    <s v="Adesivos, Etiquetas, Selos"/>
    <x v="11"/>
    <n v="2000"/>
    <n v="5002359"/>
    <s v="EMPRESA BRASILEIRA DE CORREIOS E"/>
    <n v="153.34"/>
    <d v="2025-06-23T00:00:00"/>
  </r>
  <r>
    <s v="Sem TR"/>
    <n v="64795865"/>
    <s v="ZRDI"/>
    <n v="10091539"/>
    <s v="D10"/>
    <s v="DEV D2C - Comprou modelo errado"/>
    <s v="COMERCIAL"/>
    <x v="2"/>
    <n v="54667998"/>
    <x v="363"/>
    <s v="MG"/>
    <n v="474"/>
    <s v="Site Brastemp"/>
    <n v="1352"/>
    <s v="W11164673"/>
    <s v="Adesivos, Etiquetas, Selos"/>
    <x v="11"/>
    <n v="2000"/>
    <n v="5002359"/>
    <s v="EMPRESA BRASILEIRA DE CORREIOS E"/>
    <n v="153.34"/>
    <d v="2025-06-23T00:00:00"/>
  </r>
  <r>
    <n v="253886216"/>
    <n v="64655353"/>
    <s v="REB"/>
    <n v="9708769"/>
    <n v="173"/>
    <s v="PEÇAS - Defeito de fabric./Alta Amperage"/>
    <s v="FUNCIONAL"/>
    <x v="1"/>
    <n v="3236"/>
    <x v="45"/>
    <s v="SP"/>
    <n v="931"/>
    <s v="Ats Off"/>
    <n v="1350"/>
    <s v="W10601059"/>
    <s v="Motores Ventiladores"/>
    <x v="1"/>
    <n v="1000"/>
    <n v="5003254"/>
    <s v="TMA TRANSPORTE LOTACAO E LOGISTICA"/>
    <n v="153.32"/>
    <d v="2024-11-29T00:00:00"/>
  </r>
  <r>
    <n v="253988935"/>
    <n v="64763799"/>
    <s v="REB"/>
    <n v="9742817"/>
    <n v="173"/>
    <s v="PEÇAS - Defeito de fabric./Alta Amperage"/>
    <s v="FUNCIONAL"/>
    <x v="1"/>
    <n v="81093"/>
    <x v="53"/>
    <s v="ES"/>
    <n v="713"/>
    <s v="Key Account"/>
    <n v="1350"/>
    <s v="W10686100"/>
    <s v="Placas de Controle"/>
    <x v="1"/>
    <n v="1000"/>
    <n v="5004042"/>
    <s v="BRASIL WEB TRANSPORTES E LOGISTICA"/>
    <n v="153.22999999999999"/>
    <d v="2025-05-05T00:00:00"/>
  </r>
  <r>
    <n v="254037060"/>
    <n v="64814981"/>
    <s v="ZRDI"/>
    <n v="10106258"/>
    <n v="208"/>
    <s v="DEV-Atraso entrega- LOGISTICA(Transp)"/>
    <s v="TRANSPORTADORA"/>
    <x v="2"/>
    <n v="58118084"/>
    <x v="921"/>
    <s v="PA"/>
    <n v="466"/>
    <s v="Sup ML Marketplace"/>
    <n v="1352"/>
    <s v="W10581058"/>
    <s v="Gavetas"/>
    <x v="9"/>
    <n v="1000"/>
    <n v="5002359"/>
    <s v="EMPRESA BRASILEIRA DE CORREIOS E"/>
    <n v="153.11000000000001"/>
    <d v="2025-07-22T00:00:00"/>
  </r>
  <r>
    <n v="254037060"/>
    <n v="64814981"/>
    <s v="ZRDI"/>
    <n v="10106258"/>
    <n v="208"/>
    <s v="DEV-Atraso entrega- LOGISTICA(Transp)"/>
    <s v="TRANSPORTADORA"/>
    <x v="2"/>
    <n v="58118084"/>
    <x v="921"/>
    <s v="PA"/>
    <n v="466"/>
    <s v="Sup ML Marketplace"/>
    <n v="1352"/>
    <s v="W10581058"/>
    <s v="Gavetas"/>
    <x v="9"/>
    <n v="1000"/>
    <n v="5002359"/>
    <s v="EMPRESA BRASILEIRA DE CORREIOS E"/>
    <n v="153.11000000000001"/>
    <d v="2025-07-22T00:00:00"/>
  </r>
  <r>
    <s v="Sem TR"/>
    <n v="64816672"/>
    <s v="ZRDI"/>
    <n v="10112688"/>
    <s v="D10"/>
    <s v="DEV D2C - Comprou modelo errado"/>
    <s v="COMERCIAL"/>
    <x v="2"/>
    <n v="58124716"/>
    <x v="922"/>
    <s v="BA"/>
    <n v="475"/>
    <s v="Site Consul"/>
    <n v="1352"/>
    <s v="W11163349"/>
    <s v="Placas de Controle"/>
    <x v="1"/>
    <n v="1000"/>
    <n v="5002359"/>
    <s v="EMPRESA BRASILEIRA DE CORREIOS E"/>
    <n v="152.91999999999999"/>
    <d v="2025-07-25T00:00:00"/>
  </r>
  <r>
    <s v="Sem TR"/>
    <n v="64816672"/>
    <s v="ZRDI"/>
    <n v="10112688"/>
    <s v="D10"/>
    <s v="DEV D2C - Comprou modelo errado"/>
    <s v="COMERCIAL"/>
    <x v="2"/>
    <n v="58124716"/>
    <x v="922"/>
    <s v="BA"/>
    <n v="475"/>
    <s v="Site Consul"/>
    <n v="1352"/>
    <s v="W11163349"/>
    <s v="Placas de Controle"/>
    <x v="1"/>
    <n v="1000"/>
    <n v="5002359"/>
    <s v="EMPRESA BRASILEIRA DE CORREIOS E"/>
    <n v="152.91999999999999"/>
    <d v="2025-07-25T00:00:00"/>
  </r>
  <r>
    <n v="254033257"/>
    <n v="64805112"/>
    <s v="REB"/>
    <n v="10119477"/>
    <n v="173"/>
    <s v="PEÇAS - Defeito de fabric./Alta Amperage"/>
    <s v="FUNCIONAL"/>
    <x v="1"/>
    <n v="3236"/>
    <x v="45"/>
    <s v="SP"/>
    <n v="931"/>
    <s v="Ats Off"/>
    <n v="1350"/>
    <s v="W11047052"/>
    <s v="Interruptores horário"/>
    <x v="3"/>
    <n v="1000"/>
    <n v="5004042"/>
    <s v="BRASIL WEB TRANSPORTES E LOGISTICA"/>
    <n v="152.79"/>
    <d v="2025-07-08T00:00:00"/>
  </r>
  <r>
    <n v="254007587"/>
    <n v="64780882"/>
    <s v="REB"/>
    <n v="9362576"/>
    <n v="176"/>
    <s v="PEÇAS - Defeito de fabric./Interrompido"/>
    <s v="FUNCIONAL"/>
    <x v="1"/>
    <n v="46272"/>
    <x v="194"/>
    <s v="CE"/>
    <n v="713"/>
    <s v="Key Account"/>
    <n v="1350"/>
    <s v="W11366400"/>
    <s v="Placas de Controle"/>
    <x v="1"/>
    <n v="1000"/>
    <n v="5004101"/>
    <s v="UNIDOCK'S ASSESSORIA E LOGISTICA DE"/>
    <n v="152.75"/>
    <d v="2025-06-02T00:00:00"/>
  </r>
  <r>
    <n v="253888842"/>
    <n v="64653667"/>
    <s v="ZDVP"/>
    <n v="9675808"/>
    <n v="90"/>
    <s v="CLIENTE-não solicitou"/>
    <s v="COMERCIAL"/>
    <x v="1"/>
    <n v="61858"/>
    <x v="420"/>
    <s v="PI"/>
    <n v="934"/>
    <s v="CDP Ouro"/>
    <n v="1350"/>
    <s v="W10897149"/>
    <s v="Rolamentos"/>
    <x v="2"/>
    <n v="17000"/>
    <n v="5004101"/>
    <s v="UNIDOCK'S ASSESSORIA E LOGISTICA DE"/>
    <n v="152.66"/>
    <d v="2024-11-29T00:00:00"/>
  </r>
  <r>
    <n v="253988834"/>
    <n v="64763793"/>
    <s v="REB"/>
    <n v="9992537"/>
    <n v="173"/>
    <s v="PEÇAS - Defeito de fabric./Alta Amperage"/>
    <s v="FUNCIONAL"/>
    <x v="1"/>
    <n v="21594"/>
    <x v="97"/>
    <s v="SP"/>
    <n v="931"/>
    <s v="Ats Off"/>
    <n v="1350"/>
    <s v="W11557305"/>
    <s v="Resistências"/>
    <x v="1"/>
    <n v="1000"/>
    <n v="5004042"/>
    <s v="BRASIL WEB TRANSPORTES E LOGISTICA"/>
    <n v="152.57"/>
    <d v="2025-05-05T00:00:00"/>
  </r>
  <r>
    <n v="254033338"/>
    <n v="64807125"/>
    <s v="REB"/>
    <n v="9779922"/>
    <n v="173"/>
    <s v="PEÇAS - Defeito de fabric./Alta Amperage"/>
    <s v="FUNCIONAL"/>
    <x v="1"/>
    <n v="27770"/>
    <x v="37"/>
    <s v="AL"/>
    <n v="641"/>
    <s v="CDP Diamante"/>
    <n v="1350"/>
    <s v="W11123830"/>
    <s v="Placas de Controle"/>
    <x v="1"/>
    <n v="1000"/>
    <n v="5004101"/>
    <s v="UNIDOCK'S ASSESSORIA E LOGISTICA DE"/>
    <n v="152.32"/>
    <d v="2025-07-08T00:00:00"/>
  </r>
  <r>
    <s v="Sem TR"/>
    <n v="64812373"/>
    <s v="ZRDI"/>
    <n v="10078264"/>
    <s v="D18"/>
    <s v="DEV D2C - Arrependimento não quero mais"/>
    <s v="COMERCIAL"/>
    <x v="2"/>
    <n v="58073615"/>
    <x v="923"/>
    <s v="AP"/>
    <n v="474"/>
    <s v="Site Brastemp"/>
    <n v="1352"/>
    <n v="326047477"/>
    <s v="Gavetas"/>
    <x v="9"/>
    <n v="1000"/>
    <n v="5002359"/>
    <s v="EMPRESA BRASILEIRA DE CORREIOS E"/>
    <n v="152.27000000000001"/>
    <d v="2025-07-18T00:00:00"/>
  </r>
  <r>
    <s v="Sem TR"/>
    <n v="64812373"/>
    <s v="ZRDI"/>
    <n v="10078264"/>
    <s v="D18"/>
    <s v="DEV D2C - Arrependimento não quero mais"/>
    <s v="COMERCIAL"/>
    <x v="2"/>
    <n v="58073615"/>
    <x v="923"/>
    <s v="AP"/>
    <n v="474"/>
    <s v="Site Brastemp"/>
    <n v="1352"/>
    <n v="326047477"/>
    <s v="Gavetas"/>
    <x v="9"/>
    <n v="1000"/>
    <n v="5002359"/>
    <s v="EMPRESA BRASILEIRA DE CORREIOS E"/>
    <n v="152.27000000000001"/>
    <d v="2025-07-18T00:00:00"/>
  </r>
  <r>
    <n v="254024711"/>
    <n v="64784603"/>
    <s v="ROB"/>
    <n v="10098678"/>
    <n v="311"/>
    <s v="DEV-PRODUTO TROCADO-LOGÍSTICA"/>
    <s v="LOGÍSTICA"/>
    <x v="2"/>
    <n v="76131"/>
    <x v="248"/>
    <s v="SP"/>
    <n v="932"/>
    <s v="CDP Prata"/>
    <n v="1350"/>
    <s v="W10606115"/>
    <s v="Polias/Roldanas"/>
    <x v="2"/>
    <n v="10000"/>
    <n v="5004101"/>
    <s v="UNIDOCK'S ASSESSORIA E LOGISTICA DE"/>
    <n v="152.21"/>
    <d v="2025-07-03T00:00:00"/>
  </r>
  <r>
    <n v="253961309"/>
    <n v="64737889"/>
    <s v="REB"/>
    <n v="8623618"/>
    <n v="176"/>
    <s v="PEÇAS - Defeito de fabric./Interrompido"/>
    <s v="FUNCIONAL"/>
    <x v="2"/>
    <n v="29706"/>
    <x v="149"/>
    <s v="RN"/>
    <n v="644"/>
    <s v="Plus"/>
    <n v="1350"/>
    <s v="W10876527"/>
    <s v="Placas de Controle"/>
    <x v="1"/>
    <n v="1000"/>
    <n v="5004101"/>
    <s v="UNIDOCK'S ASSESSORIA E LOGISTICA DE"/>
    <n v="152.06"/>
    <d v="2025-03-25T00:00:00"/>
  </r>
  <r>
    <n v="253981488"/>
    <n v="64757779"/>
    <s v="REB"/>
    <n v="8623618"/>
    <n v="176"/>
    <s v="PEÇAS - Defeito de fabric./Interrompido"/>
    <s v="FUNCIONAL"/>
    <x v="2"/>
    <n v="29706"/>
    <x v="149"/>
    <s v="RN"/>
    <n v="644"/>
    <s v="Plus"/>
    <n v="1350"/>
    <s v="W10876527"/>
    <s v="Placas de Controle"/>
    <x v="1"/>
    <n v="1000"/>
    <n v="5004101"/>
    <s v="UNIDOCK'S ASSESSORIA E LOGISTICA DE"/>
    <n v="152.06"/>
    <d v="2025-04-25T00:00:00"/>
  </r>
  <r>
    <n v="254040419"/>
    <n v="64818323"/>
    <s v="ZRDI"/>
    <n v="10133738"/>
    <n v="208"/>
    <s v="DEV-Atraso entrega- LOGISTICA(Transp)"/>
    <s v="TRANSPORTADORA"/>
    <x v="2"/>
    <n v="58153906"/>
    <x v="924"/>
    <s v="MG"/>
    <n v="474"/>
    <s v="Site Brastemp"/>
    <n v="1352"/>
    <s v="W10577330"/>
    <s v="Tampas Móveis"/>
    <x v="6"/>
    <n v="1000"/>
    <n v="5002359"/>
    <s v="EMPRESA BRASILEIRA DE CORREIOS E"/>
    <n v="152.03"/>
    <d v="2025-07-26T00:00:00"/>
  </r>
  <r>
    <n v="254040419"/>
    <n v="64818323"/>
    <s v="ZRDI"/>
    <n v="10133738"/>
    <n v="208"/>
    <s v="DEV-Atraso entrega- LOGISTICA(Transp)"/>
    <s v="TRANSPORTADORA"/>
    <x v="2"/>
    <n v="58153906"/>
    <x v="924"/>
    <s v="MG"/>
    <n v="474"/>
    <s v="Site Brastemp"/>
    <n v="1352"/>
    <s v="W10577330"/>
    <s v="Tampas Móveis"/>
    <x v="6"/>
    <n v="1000"/>
    <n v="5002359"/>
    <s v="EMPRESA BRASILEIRA DE CORREIOS E"/>
    <n v="152.03"/>
    <d v="2025-07-26T00:00:00"/>
  </r>
  <r>
    <n v="253981472"/>
    <n v="64758035"/>
    <s v="REB"/>
    <n v="8085966"/>
    <n v="173"/>
    <s v="PEÇAS - Defeito de fabric./Alta Amperage"/>
    <s v="FUNCIONAL"/>
    <x v="2"/>
    <n v="29164"/>
    <x v="32"/>
    <s v="BA"/>
    <n v="648"/>
    <s v="Ultra"/>
    <n v="1350"/>
    <s v="W11091875"/>
    <s v="Termostatos"/>
    <x v="3"/>
    <n v="3000"/>
    <n v="5004101"/>
    <s v="UNIDOCK'S ASSESSORIA E LOGISTICA DE"/>
    <n v="152.01"/>
    <d v="2025-04-25T00:00:00"/>
  </r>
  <r>
    <s v="Sem TR"/>
    <n v="64813919"/>
    <s v="ZRDI"/>
    <n v="10011575"/>
    <n v="25"/>
    <s v="OC. 80 - EXTRAVIO TOTAL"/>
    <s v="TRANSPORTADORA"/>
    <x v="2"/>
    <n v="57946179"/>
    <x v="925"/>
    <s v="DF"/>
    <n v="466"/>
    <s v="Sup ML Marketplace"/>
    <n v="1352"/>
    <s v="W11396368"/>
    <s v="Gavetas"/>
    <x v="9"/>
    <n v="1000"/>
    <n v="5002359"/>
    <s v="EMPRESA BRASILEIRA DE CORREIOS E"/>
    <n v="152.01"/>
    <d v="2025-07-21T00:00:00"/>
  </r>
  <r>
    <s v="Sem TR"/>
    <n v="64813919"/>
    <s v="ZRDI"/>
    <n v="10011575"/>
    <n v="25"/>
    <s v="OC. 80 - EXTRAVIO TOTAL"/>
    <s v="TRANSPORTADORA"/>
    <x v="2"/>
    <n v="57946179"/>
    <x v="925"/>
    <s v="DF"/>
    <n v="466"/>
    <s v="Sup ML Marketplace"/>
    <n v="1352"/>
    <s v="W11396368"/>
    <s v="Gavetas"/>
    <x v="9"/>
    <n v="1000"/>
    <n v="5002359"/>
    <s v="EMPRESA BRASILEIRA DE CORREIOS E"/>
    <n v="152.01"/>
    <d v="2025-07-21T00:00:00"/>
  </r>
  <r>
    <n v="254033681"/>
    <n v="64795375"/>
    <s v="REB"/>
    <n v="10008462"/>
    <n v="176"/>
    <s v="PEÇAS - Defeito de fabric./Interrompido"/>
    <s v="FUNCIONAL"/>
    <x v="1"/>
    <n v="24089"/>
    <x v="134"/>
    <s v="RJ"/>
    <n v="931"/>
    <s v="Ats Off"/>
    <n v="1350"/>
    <s v="W10585027"/>
    <s v="Bombas"/>
    <x v="1"/>
    <n v="1000"/>
    <n v="5003176"/>
    <s v="J C THEDIN TRANSPORTES LTDA"/>
    <n v="151.94999999999999"/>
    <d v="2025-06-23T00:00:00"/>
  </r>
  <r>
    <s v="Sem TR"/>
    <n v="64762175"/>
    <s v="REB"/>
    <n v="9992221"/>
    <n v="509"/>
    <s v="Qtd de peças a Menor dentro do Volume"/>
    <s v="LOGÍSTICA"/>
    <x v="1"/>
    <n v="77676"/>
    <x v="278"/>
    <s v="DF"/>
    <n v="350"/>
    <s v="Ats On"/>
    <n v="1350"/>
    <s v="W10477178"/>
    <s v="Capas"/>
    <x v="6"/>
    <n v="7000"/>
    <n v="5002359"/>
    <s v="EMPRESA BRASILEIRA DE CORREIOS E"/>
    <n v="151.88"/>
    <d v="2025-05-05T00:00:00"/>
  </r>
  <r>
    <n v="254035011"/>
    <n v="64813410"/>
    <s v="ZRDI"/>
    <n v="10120328"/>
    <n v="208"/>
    <s v="DEV-Atraso entrega- LOGISTICA(Transp)"/>
    <s v="TRANSPORTADORA"/>
    <x v="2"/>
    <n v="5852353"/>
    <x v="926"/>
    <s v="DF"/>
    <n v="474"/>
    <s v="Site Brastemp"/>
    <n v="1352"/>
    <n v="326065620"/>
    <s v="Prateleiras"/>
    <x v="9"/>
    <n v="1000"/>
    <n v="5002359"/>
    <s v="EMPRESA BRASILEIRA DE CORREIOS E"/>
    <n v="151.77000000000001"/>
    <d v="2025-07-18T00:00:00"/>
  </r>
  <r>
    <n v="253981486"/>
    <n v="64757972"/>
    <s v="REB"/>
    <n v="7156448"/>
    <n v="173"/>
    <s v="PEÇAS - Defeito de fabric./Alta Amperage"/>
    <s v="FUNCIONAL"/>
    <x v="2"/>
    <n v="29164"/>
    <x v="32"/>
    <s v="BA"/>
    <n v="648"/>
    <s v="Ultra"/>
    <n v="1350"/>
    <s v="W10678923"/>
    <s v="Placas de Controle"/>
    <x v="1"/>
    <n v="2000"/>
    <n v="5004101"/>
    <s v="UNIDOCK'S ASSESSORIA E LOGISTICA DE"/>
    <n v="151.75"/>
    <d v="2025-04-25T00:00:00"/>
  </r>
  <r>
    <n v="254024139"/>
    <n v="64803771"/>
    <s v="ZRDI"/>
    <n v="10071176"/>
    <n v="208"/>
    <s v="DEV-Atraso entrega- LOGISTICA(Transp)"/>
    <s v="TRANSPORTADORA"/>
    <x v="2"/>
    <n v="54820637"/>
    <x v="927"/>
    <s v="MA"/>
    <n v="475"/>
    <s v="Site Consul"/>
    <n v="1352"/>
    <s v="W10581058"/>
    <s v="Gavetas"/>
    <x v="9"/>
    <n v="1000"/>
    <n v="5002359"/>
    <s v="EMPRESA BRASILEIRA DE CORREIOS E"/>
    <n v="151.71"/>
    <d v="2025-07-01T00:00:00"/>
  </r>
  <r>
    <n v="254033358"/>
    <n v="64807318"/>
    <s v="REB"/>
    <n v="9950693"/>
    <n v="173"/>
    <s v="PEÇAS - Defeito de fabric./Alta Amperage"/>
    <s v="FUNCIONAL"/>
    <x v="0"/>
    <n v="28991"/>
    <x v="65"/>
    <s v="MG"/>
    <n v="643"/>
    <s v="Elite"/>
    <n v="1350"/>
    <s v="W10686100"/>
    <s v="Placas de Controle"/>
    <x v="1"/>
    <n v="1000"/>
    <n v="5004215"/>
    <s v="BRASIL WEB TRANSPORTES E LOGISTICA"/>
    <n v="151.66999999999999"/>
    <d v="2025-07-08T00:00:00"/>
  </r>
  <r>
    <n v="254031841"/>
    <n v="64796851"/>
    <s v="REB"/>
    <n v="10085962"/>
    <n v="176"/>
    <s v="PEÇAS - Defeito de fabric./Interrompido"/>
    <s v="FUNCIONAL"/>
    <x v="1"/>
    <n v="3506"/>
    <x v="46"/>
    <s v="SP"/>
    <n v="931"/>
    <s v="Ats Off"/>
    <n v="1350"/>
    <n v="326073242"/>
    <s v="Placas de Controle"/>
    <x v="1"/>
    <n v="1000"/>
    <n v="5004042"/>
    <s v="BRASIL WEB TRANSPORTES E LOGISTICA"/>
    <n v="151.58000000000001"/>
    <d v="2025-06-24T00:00:00"/>
  </r>
  <r>
    <n v="254031867"/>
    <n v="64802554"/>
    <s v="REB"/>
    <n v="10096980"/>
    <n v="176"/>
    <s v="PEÇAS - Defeito de fabric./Interrompido"/>
    <s v="FUNCIONAL"/>
    <x v="1"/>
    <n v="3506"/>
    <x v="46"/>
    <s v="SP"/>
    <n v="931"/>
    <s v="Ats Off"/>
    <n v="1350"/>
    <n v="326073242"/>
    <s v="Placas de Controle"/>
    <x v="1"/>
    <n v="1000"/>
    <n v="5004042"/>
    <s v="BRASIL WEB TRANSPORTES E LOGISTICA"/>
    <n v="151.58000000000001"/>
    <d v="2025-07-01T00:00:00"/>
  </r>
  <r>
    <n v="254031873"/>
    <n v="64802579"/>
    <s v="REB"/>
    <n v="10085962"/>
    <n v="176"/>
    <s v="PEÇAS - Defeito de fabric./Interrompido"/>
    <s v="FUNCIONAL"/>
    <x v="1"/>
    <n v="3506"/>
    <x v="46"/>
    <s v="SP"/>
    <n v="931"/>
    <s v="Ats Off"/>
    <n v="1350"/>
    <n v="326073242"/>
    <s v="Placas de Controle"/>
    <x v="1"/>
    <n v="1000"/>
    <n v="5004042"/>
    <s v="BRASIL WEB TRANSPORTES E LOGISTICA"/>
    <n v="151.58000000000001"/>
    <d v="2025-07-01T00:00:00"/>
  </r>
  <r>
    <s v="Sem TR"/>
    <n v="64811402"/>
    <s v="ZRDI"/>
    <n v="10114386"/>
    <s v="D11"/>
    <s v="DEV D2C - Comprou prod dimensão errada"/>
    <s v="COMERCIAL"/>
    <x v="2"/>
    <n v="58126543"/>
    <x v="928"/>
    <s v="BA"/>
    <n v="474"/>
    <s v="Site Brastemp"/>
    <n v="1352"/>
    <s v="W10920074"/>
    <s v="Outros"/>
    <x v="7"/>
    <n v="1000"/>
    <n v="5002359"/>
    <s v="EMPRESA BRASILEIRA DE CORREIOS E"/>
    <n v="151.52000000000001"/>
    <d v="2025-07-16T00:00:00"/>
  </r>
  <r>
    <n v="254033420"/>
    <n v="64807219"/>
    <s v="REB"/>
    <n v="9687448"/>
    <n v="173"/>
    <s v="PEÇAS - Defeito de fabric./Alta Amperage"/>
    <s v="FUNCIONAL"/>
    <x v="1"/>
    <n v="59520"/>
    <x v="251"/>
    <s v="SC"/>
    <n v="643"/>
    <s v="Elite"/>
    <n v="1350"/>
    <s v="W10709306"/>
    <s v="Placas de Controle"/>
    <x v="1"/>
    <n v="1000"/>
    <n v="5003024"/>
    <s v="RODOBRAS TRANSPORTES RODOVIARIOS LT"/>
    <n v="151.33000000000001"/>
    <d v="2025-07-08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0480665"/>
    <s v="Agitadores"/>
    <x v="2"/>
    <n v="10000"/>
    <n v="5004101"/>
    <s v="UNIDOCK'S ASSESSORIA E LOGISTICA DE"/>
    <n v="151.28"/>
    <d v="2025-01-22T00:00:00"/>
  </r>
  <r>
    <n v="254012628"/>
    <n v="64789079"/>
    <s v="REB"/>
    <n v="10042418"/>
    <n v="165"/>
    <s v="PEÇAS - Defeito de fabric./Incompleta"/>
    <s v="FUNCIONAL"/>
    <x v="1"/>
    <n v="83581"/>
    <x v="929"/>
    <s v="SP"/>
    <n v="932"/>
    <s v="CDP Prata"/>
    <n v="1350"/>
    <s v="W10688302"/>
    <s v="Manípulos"/>
    <x v="6"/>
    <n v="5000"/>
    <n v="5004042"/>
    <s v="BRASIL WEB TRANSPORTES E LOGISTICA"/>
    <n v="151.26"/>
    <d v="2025-06-10T00:00:00"/>
  </r>
  <r>
    <s v="Sem TR"/>
    <n v="64804083"/>
    <s v="ZRDI"/>
    <n v="10082801"/>
    <s v="D18"/>
    <s v="DEV D2C - Arrependimento não quero mais"/>
    <s v="COMERCIAL"/>
    <x v="2"/>
    <n v="58078391"/>
    <x v="930"/>
    <s v="MG"/>
    <n v="474"/>
    <s v="Site Brastemp"/>
    <n v="1352"/>
    <s v="W10920074"/>
    <s v="Outros"/>
    <x v="7"/>
    <n v="1000"/>
    <n v="5002359"/>
    <s v="EMPRESA BRASILEIRA DE CORREIOS E"/>
    <n v="151.16999999999999"/>
    <d v="2025-07-07T00:00:00"/>
  </r>
  <r>
    <s v="Sem TR"/>
    <n v="64813686"/>
    <s v="ZRDI"/>
    <n v="10129873"/>
    <s v="D10"/>
    <s v="DEV D2C - Comprou modelo errado"/>
    <s v="COMERCIAL"/>
    <x v="2"/>
    <n v="58145807"/>
    <x v="931"/>
    <s v="MG"/>
    <n v="474"/>
    <s v="Site Brastemp"/>
    <n v="1352"/>
    <s v="W10920074"/>
    <s v="Outros"/>
    <x v="7"/>
    <n v="1000"/>
    <n v="5002359"/>
    <s v="EMPRESA BRASILEIRA DE CORREIOS E"/>
    <n v="151.16999999999999"/>
    <d v="2025-07-21T00:00:00"/>
  </r>
  <r>
    <s v="Sem TR"/>
    <n v="64804083"/>
    <s v="ZRDI"/>
    <n v="10082801"/>
    <s v="D18"/>
    <s v="DEV D2C - Arrependimento não quero mais"/>
    <s v="COMERCIAL"/>
    <x v="2"/>
    <n v="58078391"/>
    <x v="930"/>
    <s v="MG"/>
    <n v="474"/>
    <s v="Site Brastemp"/>
    <n v="1352"/>
    <s v="W10920074"/>
    <s v="Outros"/>
    <x v="7"/>
    <n v="1000"/>
    <n v="5002359"/>
    <s v="EMPRESA BRASILEIRA DE CORREIOS E"/>
    <n v="151.16999999999999"/>
    <d v="2025-07-07T00:00:00"/>
  </r>
  <r>
    <s v="Sem TR"/>
    <n v="64813686"/>
    <s v="ZRDI"/>
    <n v="10129873"/>
    <s v="D10"/>
    <s v="DEV D2C - Comprou modelo errado"/>
    <s v="COMERCIAL"/>
    <x v="2"/>
    <n v="58145807"/>
    <x v="931"/>
    <s v="MG"/>
    <n v="474"/>
    <s v="Site Brastemp"/>
    <n v="1352"/>
    <s v="W10920074"/>
    <s v="Outros"/>
    <x v="7"/>
    <n v="1000"/>
    <n v="5002359"/>
    <s v="EMPRESA BRASILEIRA DE CORREIOS E"/>
    <n v="151.16999999999999"/>
    <d v="2025-07-21T00:00:00"/>
  </r>
  <r>
    <s v="Sem TR"/>
    <n v="64768414"/>
    <s v="ROB"/>
    <n v="50478"/>
    <n v="671"/>
    <s v="DEV-ENVIADO PARA GESTÃO DE CONSEQUENCIA"/>
    <s v="TRANSPORTADORA"/>
    <x v="2"/>
    <n v="31820"/>
    <x v="932"/>
    <s v="BA"/>
    <n v="350"/>
    <s v="Ats On"/>
    <n v="1550"/>
    <s v="W10754676"/>
    <s v="Suportes"/>
    <x v="6"/>
    <n v="4000"/>
    <n v="5004391"/>
    <s v="JEONCEL TRANSPORTES LTDA"/>
    <n v="151.1"/>
    <d v="2025-05-12T00:00:00"/>
  </r>
  <r>
    <n v="254018179"/>
    <n v="64789773"/>
    <s v="REB"/>
    <n v="10051291"/>
    <n v="176"/>
    <s v="PEÇAS - Defeito de fabric./Interrompido"/>
    <s v="FUNCIONAL"/>
    <x v="1"/>
    <n v="3506"/>
    <x v="46"/>
    <s v="SP"/>
    <n v="931"/>
    <s v="Ats Off"/>
    <n v="1350"/>
    <s v="W10729735"/>
    <s v="Transformadores"/>
    <x v="1"/>
    <n v="1000"/>
    <n v="5004042"/>
    <s v="BRASIL WEB TRANSPORTES E LOGISTICA"/>
    <n v="151.07"/>
    <d v="2025-06-17T00:00:00"/>
  </r>
  <r>
    <n v="254035911"/>
    <n v="64814031"/>
    <s v="ZRDI"/>
    <n v="10121435"/>
    <n v="208"/>
    <s v="DEV-Atraso entrega- LOGISTICA(Transp)"/>
    <s v="TRANSPORTADORA"/>
    <x v="2"/>
    <n v="58132988"/>
    <x v="933"/>
    <s v="RJ"/>
    <n v="466"/>
    <s v="Sup ML Marketplace"/>
    <n v="1352"/>
    <s v="W10577330"/>
    <s v="Tampas Móveis"/>
    <x v="6"/>
    <n v="1000"/>
    <n v="5002359"/>
    <s v="EMPRESA BRASILEIRA DE CORREIOS E"/>
    <n v="150.97"/>
    <d v="2025-07-21T00:00:00"/>
  </r>
  <r>
    <n v="253948569"/>
    <n v="64727216"/>
    <s v="REB"/>
    <n v="9851971"/>
    <n v="671"/>
    <s v="DEV-ENVIADO PARA GESTÃO DE CONSEQUENCIA"/>
    <s v="TRANSPORTADORA"/>
    <x v="1"/>
    <n v="72648"/>
    <x v="229"/>
    <s v="PR"/>
    <n v="932"/>
    <s v="CDP Prata"/>
    <n v="1350"/>
    <s v="W10460618"/>
    <s v="Tampas Móveis"/>
    <x v="6"/>
    <n v="1000"/>
    <n v="5003024"/>
    <s v="RODOBRAS TRANSPORTES RODOVIARIOS LT"/>
    <n v="150.94999999999999"/>
    <d v="2025-03-07T00:00:00"/>
  </r>
  <r>
    <n v="253988784"/>
    <n v="64756962"/>
    <s v="REB"/>
    <n v="9954452"/>
    <n v="176"/>
    <s v="PEÇAS - Defeito de fabric./Interrompido"/>
    <s v="FUNCIONAL"/>
    <x v="1"/>
    <n v="3506"/>
    <x v="46"/>
    <s v="SP"/>
    <n v="931"/>
    <s v="Ats Off"/>
    <n v="1350"/>
    <s v="W11047052"/>
    <s v="Interruptores horário"/>
    <x v="3"/>
    <n v="1000"/>
    <n v="5004042"/>
    <s v="BRASIL WEB TRANSPORTES E LOGISTICA"/>
    <n v="150.91999999999999"/>
    <d v="2025-05-05T00:00:00"/>
  </r>
  <r>
    <n v="254012502"/>
    <n v="64789380"/>
    <s v="REB"/>
    <n v="10042333"/>
    <n v="173"/>
    <s v="PEÇAS - Defeito de fabric./Alta Amperage"/>
    <s v="FUNCIONAL"/>
    <x v="1"/>
    <n v="29095"/>
    <x v="368"/>
    <s v="SP"/>
    <n v="933"/>
    <s v="Top"/>
    <n v="1350"/>
    <s v="W11254865"/>
    <s v="Mecanismos"/>
    <x v="2"/>
    <n v="1000"/>
    <n v="5004042"/>
    <s v="BRASIL WEB TRANSPORTES E LOGISTICA"/>
    <n v="150.63"/>
    <d v="2025-06-10T00:00:00"/>
  </r>
  <r>
    <n v="254018184"/>
    <n v="64792961"/>
    <s v="REB"/>
    <n v="9985584"/>
    <n v="176"/>
    <s v="PEÇAS - Defeito de fabric./Interrompido"/>
    <s v="FUNCIONAL"/>
    <x v="1"/>
    <n v="4318"/>
    <x v="89"/>
    <s v="SC"/>
    <n v="931"/>
    <s v="Ats Off"/>
    <n v="1350"/>
    <s v="W10585017"/>
    <s v="Bombas"/>
    <x v="1"/>
    <n v="1000"/>
    <n v="5003024"/>
    <s v="RODOBRAS TRANSPORTES RODOVIARIOS LT"/>
    <n v="150.63"/>
    <d v="2025-06-17T00:00:00"/>
  </r>
  <r>
    <n v="254035336"/>
    <n v="64812505"/>
    <s v="REB"/>
    <n v="10024122"/>
    <n v="176"/>
    <s v="PEÇAS - Defeito de fabric./Interrompido"/>
    <s v="FUNCIONAL"/>
    <x v="1"/>
    <n v="4318"/>
    <x v="89"/>
    <s v="SC"/>
    <n v="931"/>
    <s v="Ats Off"/>
    <n v="1350"/>
    <s v="W10585017"/>
    <s v="Bombas"/>
    <x v="1"/>
    <n v="1000"/>
    <n v="5003024"/>
    <s v="RODOBRAS TRANSPORTES RODOVIARIOS LT"/>
    <n v="150.63"/>
    <d v="2025-07-17T00:00:00"/>
  </r>
  <r>
    <n v="254024641"/>
    <n v="64804742"/>
    <s v="ZRDI"/>
    <n v="10093675"/>
    <n v="208"/>
    <s v="DEV-Atraso entrega- LOGISTICA(Transp)"/>
    <s v="TRANSPORTADORA"/>
    <x v="2"/>
    <n v="5706128"/>
    <x v="557"/>
    <s v="RN"/>
    <n v="474"/>
    <s v="Site Brastemp"/>
    <n v="1352"/>
    <s v="W11115537"/>
    <s v="Prateleiras"/>
    <x v="9"/>
    <n v="1000"/>
    <n v="5002359"/>
    <s v="EMPRESA BRASILEIRA DE CORREIOS E"/>
    <n v="150.57"/>
    <d v="2025-07-02T00:00:00"/>
  </r>
  <r>
    <s v="Sem TR"/>
    <n v="64789042"/>
    <s v="ZRDI"/>
    <n v="10083226"/>
    <s v="D10"/>
    <s v="DEV D2C - Comprou modelo errado"/>
    <s v="COMERCIAL"/>
    <x v="2"/>
    <n v="58077033"/>
    <x v="934"/>
    <s v="SP"/>
    <n v="474"/>
    <s v="Site Brastemp"/>
    <n v="1352"/>
    <s v="W11396368"/>
    <s v="Gavetas"/>
    <x v="9"/>
    <n v="1000"/>
    <n v="5002359"/>
    <s v="EMPRESA BRASILEIRA DE CORREIOS E"/>
    <n v="150.5"/>
    <d v="2025-06-17T00:00:00"/>
  </r>
  <r>
    <n v="254022219"/>
    <n v="64799854"/>
    <s v="ZRDI"/>
    <n v="10054960"/>
    <s v="D25"/>
    <s v="DEV D2C - Prob na entrega (Não recebi)"/>
    <s v="TRANSPORTADORA"/>
    <x v="2"/>
    <n v="4935307"/>
    <x v="935"/>
    <s v="SP"/>
    <n v="474"/>
    <s v="Site Brastemp"/>
    <n v="1352"/>
    <s v="W11396368"/>
    <s v="Gavetas"/>
    <x v="9"/>
    <n v="1000"/>
    <n v="5003972"/>
    <s v="ICARO EXPRESS LOGISTICA LTDA"/>
    <n v="150.5"/>
    <d v="2025-06-27T00:00:00"/>
  </r>
  <r>
    <n v="253988926"/>
    <n v="64760961"/>
    <s v="REB"/>
    <n v="9864178"/>
    <n v="176"/>
    <s v="PEÇAS - Defeito de fabric./Interrompido"/>
    <s v="FUNCIONAL"/>
    <x v="2"/>
    <n v="80432"/>
    <x v="3"/>
    <s v="ES"/>
    <n v="713"/>
    <s v="Key Account"/>
    <n v="1350"/>
    <s v="W10780260"/>
    <s v="Placas de Controle"/>
    <x v="1"/>
    <n v="1000"/>
    <n v="5004042"/>
    <s v="BRASIL WEB TRANSPORTES E LOGISTICA"/>
    <n v="150.24"/>
    <d v="2025-05-05T00:00:00"/>
  </r>
  <r>
    <s v="Sem TR"/>
    <n v="64812279"/>
    <s v="REB"/>
    <n v="10108896"/>
    <n v="90"/>
    <s v="CLIENTE-não solicitou"/>
    <s v="COMERCIAL"/>
    <x v="1"/>
    <n v="71778"/>
    <x v="700"/>
    <s v="SC"/>
    <n v="932"/>
    <s v="CDP Prata"/>
    <n v="1350"/>
    <s v="W11254865"/>
    <s v="Mecanismos"/>
    <x v="2"/>
    <n v="1000"/>
    <n v="5003024"/>
    <s v="RODOBRAS TRANSPORTES RODOVIARIOS LT"/>
    <n v="150.13"/>
    <d v="2025-07-17T00:00:00"/>
  </r>
  <r>
    <s v="Sem TR"/>
    <n v="64812212"/>
    <s v="ROB"/>
    <n v="10122765"/>
    <n v="25"/>
    <s v="OC. 80 - EXTRAVIO TOTAL"/>
    <s v="TRANSPORTADORA"/>
    <x v="0"/>
    <n v="71778"/>
    <x v="700"/>
    <s v="SC"/>
    <n v="932"/>
    <s v="CDP Prata"/>
    <n v="1350"/>
    <s v="W11254865"/>
    <s v="Mecanismos"/>
    <x v="2"/>
    <n v="1000"/>
    <n v="5003024"/>
    <s v="RODOBRAS TRANSPORTES RODOVIARIOS LT"/>
    <n v="150.13"/>
    <d v="2025-07-17T00:00:00"/>
  </r>
  <r>
    <n v="254018101"/>
    <n v="64790488"/>
    <s v="REB"/>
    <n v="10056553"/>
    <n v="173"/>
    <s v="PEÇAS - Defeito de fabric./Alta Amperage"/>
    <s v="FUNCIONAL"/>
    <x v="2"/>
    <n v="2506"/>
    <x v="936"/>
    <s v="RJ"/>
    <n v="350"/>
    <s v="Ats On"/>
    <n v="1350"/>
    <n v="326073242"/>
    <s v="Placas de Controle"/>
    <x v="1"/>
    <n v="1000"/>
    <n v="5003176"/>
    <s v="J C THEDIN TRANSPORTES LTDA"/>
    <n v="150.08000000000001"/>
    <d v="2025-06-12T00:00:00"/>
  </r>
  <r>
    <n v="253961416"/>
    <n v="64738001"/>
    <s v="REB"/>
    <n v="9900004"/>
    <n v="168"/>
    <s v="PEÇAS-Def.Fabric.Empenamento/Abaulamento"/>
    <s v="FUNCIONAL"/>
    <x v="1"/>
    <n v="81075"/>
    <x v="223"/>
    <s v="BA"/>
    <n v="934"/>
    <s v="CDP Ouro"/>
    <n v="1350"/>
    <s v="W10431991"/>
    <s v="Gavetas"/>
    <x v="9"/>
    <n v="1000"/>
    <n v="5004101"/>
    <s v="UNIDOCK'S ASSESSORIA E LOGISTICA DE"/>
    <n v="149.94"/>
    <d v="2025-03-26T00:00:00"/>
  </r>
  <r>
    <n v="253970725"/>
    <n v="64748628"/>
    <s v="REB"/>
    <n v="9958221"/>
    <n v="173"/>
    <s v="PEÇAS - Defeito de fabric./Alta Amperage"/>
    <s v="FUNCIONAL"/>
    <x v="1"/>
    <n v="5036"/>
    <x v="421"/>
    <s v="RS"/>
    <n v="350"/>
    <s v="Ats On"/>
    <n v="1350"/>
    <s v="W10585017"/>
    <s v="Bombas"/>
    <x v="1"/>
    <n v="1000"/>
    <n v="5003024"/>
    <s v="RODOBRAS TRANSPORTES RODOVIARIOS LT"/>
    <n v="149.87"/>
    <d v="2025-04-09T00:00:00"/>
  </r>
  <r>
    <n v="254023966"/>
    <n v="64802717"/>
    <s v="ZRDI"/>
    <n v="10056947"/>
    <s v="D25"/>
    <s v="DEV D2C - Prob na entrega (Não recebi)"/>
    <s v="TRANSPORTADORA"/>
    <x v="2"/>
    <n v="50892896"/>
    <x v="937"/>
    <s v="RJ"/>
    <n v="475"/>
    <s v="Site Consul"/>
    <n v="1352"/>
    <s v="W11375406"/>
    <s v="Prateleiras"/>
    <x v="9"/>
    <n v="1000"/>
    <n v="5002359"/>
    <s v="EMPRESA BRASILEIRA DE CORREIOS E"/>
    <n v="149.80000000000001"/>
    <d v="2025-07-01T00:00:00"/>
  </r>
  <r>
    <n v="254011980"/>
    <n v="64790241"/>
    <s v="ROB"/>
    <n v="10017875"/>
    <n v="115"/>
    <s v="PEÇAS-Recusa do cliente"/>
    <s v="COMERCIAL"/>
    <x v="2"/>
    <n v="67948"/>
    <x v="15"/>
    <s v="SC"/>
    <n v="713"/>
    <s v="Key Account"/>
    <n v="1350"/>
    <s v="W10710769"/>
    <s v="Termostatos"/>
    <x v="3"/>
    <n v="3000"/>
    <n v="5003024"/>
    <s v="RODOBRAS TRANSPORTES RODOVIARIOS LT"/>
    <n v="149.68"/>
    <d v="2025-06-11T00:00:00"/>
  </r>
  <r>
    <n v="254033336"/>
    <n v="64807470"/>
    <s v="REB"/>
    <n v="10053676"/>
    <n v="176"/>
    <s v="PEÇAS - Defeito de fabric./Interrompido"/>
    <s v="FUNCIONAL"/>
    <x v="1"/>
    <n v="27574"/>
    <x v="938"/>
    <s v="SP"/>
    <n v="641"/>
    <s v="CDP Diamante"/>
    <n v="1350"/>
    <s v="W10518616"/>
    <s v="Atuadores"/>
    <x v="2"/>
    <n v="4000"/>
    <n v="5004042"/>
    <s v="BRASIL WEB TRANSPORTES E LOGISTICA"/>
    <n v="149.65"/>
    <d v="2025-07-08T00:00:00"/>
  </r>
  <r>
    <n v="253952177"/>
    <n v="64727335"/>
    <s v="REB"/>
    <n v="9766055"/>
    <n v="173"/>
    <s v="PEÇAS - Defeito de fabric./Alta Amperage"/>
    <s v="FUNCIONAL"/>
    <x v="2"/>
    <n v="13757"/>
    <x v="14"/>
    <s v="SP"/>
    <n v="713"/>
    <s v="Key Account"/>
    <n v="1350"/>
    <s v="W10709306"/>
    <s v="Placas de Controle"/>
    <x v="1"/>
    <n v="1000"/>
    <n v="5004042"/>
    <s v="BRASIL WEB TRANSPORTES E LOGISTICA"/>
    <n v="149.52000000000001"/>
    <d v="2025-03-08T00:00:00"/>
  </r>
  <r>
    <n v="253983864"/>
    <n v="64758286"/>
    <s v="REB"/>
    <n v="9766055"/>
    <n v="173"/>
    <s v="PEÇAS - Defeito de fabric./Alta Amperage"/>
    <s v="FUNCIONAL"/>
    <x v="2"/>
    <n v="13757"/>
    <x v="14"/>
    <s v="SP"/>
    <n v="713"/>
    <s v="Key Account"/>
    <n v="1350"/>
    <s v="W10709306"/>
    <s v="Placas de Controle"/>
    <x v="1"/>
    <n v="1000"/>
    <n v="5004042"/>
    <s v="BRASIL WEB TRANSPORTES E LOGISTICA"/>
    <n v="149.52000000000001"/>
    <d v="2025-04-28T00:00:00"/>
  </r>
  <r>
    <n v="254018224"/>
    <n v="64793141"/>
    <s v="REB"/>
    <n v="9658281"/>
    <n v="176"/>
    <s v="PEÇAS - Defeito de fabric./Interrompido"/>
    <s v="FUNCIONAL"/>
    <x v="1"/>
    <n v="13757"/>
    <x v="14"/>
    <s v="SP"/>
    <n v="713"/>
    <s v="Key Account"/>
    <n v="1350"/>
    <s v="W10709306"/>
    <s v="Placas de Controle"/>
    <x v="1"/>
    <n v="1000"/>
    <n v="5004042"/>
    <s v="BRASIL WEB TRANSPORTES E LOGISTICA"/>
    <n v="149.52000000000001"/>
    <d v="2025-06-17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n v="326003301"/>
    <s v="Recipientes de Evaporação"/>
    <x v="9"/>
    <n v="6000"/>
    <n v="5004101"/>
    <s v="UNIDOCK'S ASSESSORIA E LOGISTICA DE"/>
    <n v="149.47999999999999"/>
    <d v="2025-07-16T00:00:00"/>
  </r>
  <r>
    <s v="Sem TR"/>
    <n v="64808062"/>
    <s v="ZRDI"/>
    <n v="10119940"/>
    <s v="D35"/>
    <s v="DEV D2C - Prod difere do comprado"/>
    <s v="COMERCIAL"/>
    <x v="2"/>
    <n v="58130180"/>
    <x v="939"/>
    <s v="ES"/>
    <n v="474"/>
    <s v="Site Brastemp"/>
    <n v="1352"/>
    <s v="W10501867"/>
    <s v="Tampas Móveis"/>
    <x v="6"/>
    <n v="1000"/>
    <n v="5002359"/>
    <s v="EMPRESA BRASILEIRA DE CORREIOS E"/>
    <n v="149.38999999999999"/>
    <d v="2025-07-17T00:00:00"/>
  </r>
  <r>
    <s v="Sem TR"/>
    <n v="64808062"/>
    <s v="ZRDI"/>
    <n v="10119940"/>
    <s v="D35"/>
    <s v="DEV D2C - Prod difere do comprado"/>
    <s v="COMERCIAL"/>
    <x v="2"/>
    <n v="58130180"/>
    <x v="939"/>
    <s v="ES"/>
    <n v="474"/>
    <s v="Site Brastemp"/>
    <n v="1352"/>
    <s v="W10501867"/>
    <s v="Tampas Móveis"/>
    <x v="6"/>
    <n v="1000"/>
    <n v="5002359"/>
    <s v="EMPRESA BRASILEIRA DE CORREIOS E"/>
    <n v="149.38999999999999"/>
    <d v="2025-07-17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1510292"/>
    <s v="Interruptores"/>
    <x v="3"/>
    <n v="5000"/>
    <n v="5004101"/>
    <s v="UNIDOCK'S ASSESSORIA E LOGISTICA DE"/>
    <n v="149.37"/>
    <d v="2025-02-19T00:00:00"/>
  </r>
  <r>
    <n v="253992779"/>
    <n v="64768480"/>
    <s v="REB"/>
    <n v="10015252"/>
    <n v="90"/>
    <s v="CLIENTE-não solicitou"/>
    <s v="COMERCIAL"/>
    <x v="2"/>
    <n v="81093"/>
    <x v="53"/>
    <s v="ES"/>
    <n v="713"/>
    <s v="Key Account"/>
    <n v="1350"/>
    <s v="W10710769"/>
    <s v="Termostatos"/>
    <x v="3"/>
    <n v="3000"/>
    <n v="5004042"/>
    <s v="BRASIL WEB TRANSPORTES E LOGISTICA"/>
    <n v="149.31"/>
    <d v="2025-05-1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510292"/>
    <s v="Interruptores"/>
    <x v="3"/>
    <n v="5000"/>
    <n v="5004101"/>
    <s v="UNIDOCK'S ASSESSORIA E LOGISTICA DE"/>
    <n v="149.31"/>
    <d v="2025-06-24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s v="W10488370"/>
    <s v="Suportes"/>
    <x v="6"/>
    <n v="3000"/>
    <n v="5004042"/>
    <s v="BRASIL WEB TRANSPORTES E LOGISTICA"/>
    <n v="149.13"/>
    <d v="2025-05-26T00:00:00"/>
  </r>
  <r>
    <s v="Sem TR"/>
    <n v="64768430"/>
    <s v="ROB"/>
    <n v="50604"/>
    <n v="671"/>
    <s v="DEV-ENVIADO PARA GESTÃO DE CONSEQUENCIA"/>
    <s v="TRANSPORTADORA"/>
    <x v="2"/>
    <n v="79755"/>
    <x v="329"/>
    <s v="BA"/>
    <n v="934"/>
    <s v="CDP Ouro"/>
    <n v="1550"/>
    <s v="W11364881"/>
    <s v="Válvulas de Água"/>
    <x v="5"/>
    <n v="5000"/>
    <n v="5004391"/>
    <s v="JEONCEL TRANSPORTES LTDA"/>
    <n v="148.94999999999999"/>
    <d v="2025-05-12T00:00:00"/>
  </r>
  <r>
    <n v="254033278"/>
    <n v="64802445"/>
    <s v="REB"/>
    <n v="10029778"/>
    <n v="173"/>
    <s v="PEÇAS - Defeito de fabric./Alta Amperage"/>
    <s v="FUNCIONAL"/>
    <x v="1"/>
    <n v="9991"/>
    <x v="86"/>
    <s v="DF"/>
    <n v="648"/>
    <s v="Ultra"/>
    <n v="1350"/>
    <s v="W11047054"/>
    <s v="Interruptores horário"/>
    <x v="3"/>
    <n v="1000"/>
    <n v="5002858"/>
    <s v="FAVORITA TRANSPORTES LTDA"/>
    <n v="148.94999999999999"/>
    <d v="2025-07-01T00:00:00"/>
  </r>
  <r>
    <n v="254033358"/>
    <n v="64807331"/>
    <s v="REB"/>
    <n v="9852672"/>
    <n v="173"/>
    <s v="PEÇAS - Defeito de fabric./Alta Amperage"/>
    <s v="FUNCIONAL"/>
    <x v="0"/>
    <n v="28991"/>
    <x v="65"/>
    <s v="MG"/>
    <n v="643"/>
    <s v="Elite"/>
    <n v="1350"/>
    <s v="W10780260"/>
    <s v="Placas de Controle"/>
    <x v="1"/>
    <n v="1000"/>
    <n v="5004215"/>
    <s v="BRASIL WEB TRANSPORTES E LOGISTICA"/>
    <n v="148.88999999999999"/>
    <d v="2025-07-08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428264"/>
    <s v="Atuadores"/>
    <x v="2"/>
    <n v="5000"/>
    <n v="5002858"/>
    <s v="FAVORITA TRANSPORTES LTDA"/>
    <n v="148.82"/>
    <d v="2025-07-15T00:00:00"/>
  </r>
  <r>
    <n v="254018212"/>
    <n v="64792598"/>
    <s v="REB"/>
    <n v="9805322"/>
    <n v="173"/>
    <s v="PEÇAS - Defeito de fabric./Alta Amperage"/>
    <s v="FUNCIONAL"/>
    <x v="2"/>
    <n v="9991"/>
    <x v="86"/>
    <s v="DF"/>
    <n v="648"/>
    <s v="Ultra"/>
    <n v="1350"/>
    <s v="W11603414"/>
    <s v="Placas de Controle"/>
    <x v="1"/>
    <n v="1000"/>
    <n v="5002858"/>
    <s v="FAVORITA TRANSPORTES LTDA"/>
    <n v="148.80000000000001"/>
    <d v="2025-06-17T00:00:00"/>
  </r>
  <r>
    <n v="254004037"/>
    <n v="64776876"/>
    <s v="REB"/>
    <n v="9973593"/>
    <n v="165"/>
    <s v="PEÇAS - Defeito de fabric./Incompleta"/>
    <s v="FUNCIONAL"/>
    <x v="2"/>
    <n v="64772"/>
    <x v="940"/>
    <s v="SP"/>
    <n v="350"/>
    <s v="Ats On"/>
    <n v="1350"/>
    <s v="W10833453"/>
    <s v="Capas"/>
    <x v="6"/>
    <n v="1000"/>
    <n v="5004042"/>
    <s v="BRASIL WEB TRANSPORTES E LOGISTICA"/>
    <n v="148.66"/>
    <d v="2025-05-27T00:00:00"/>
  </r>
  <r>
    <n v="253961438"/>
    <n v="64737280"/>
    <s v="REB"/>
    <n v="9919024"/>
    <n v="167"/>
    <s v="PEÇAS - Avaria - Quebrada/Depósito"/>
    <s v="LOGÍSTICA"/>
    <x v="2"/>
    <n v="88969"/>
    <x v="101"/>
    <s v="SC"/>
    <n v="641"/>
    <s v="CDP Diamante"/>
    <n v="1350"/>
    <s v="W11396368"/>
    <s v="Gavetas"/>
    <x v="9"/>
    <n v="2000"/>
    <n v="5003024"/>
    <s v="RODOBRAS TRANSPORTES RODOVIARIOS LT"/>
    <n v="148.6"/>
    <d v="2025-03-24T00:00:00"/>
  </r>
  <r>
    <n v="254018238"/>
    <n v="64793215"/>
    <s v="REB"/>
    <n v="10061829"/>
    <n v="176"/>
    <s v="PEÇAS - Defeito de fabric./Interrompido"/>
    <s v="FUNCIONAL"/>
    <x v="2"/>
    <n v="24089"/>
    <x v="134"/>
    <s v="RJ"/>
    <n v="931"/>
    <s v="Ats Off"/>
    <n v="1350"/>
    <s v="W11345784"/>
    <s v="Resistências"/>
    <x v="1"/>
    <n v="1000"/>
    <n v="5003176"/>
    <s v="J C THEDIN TRANSPORTES LTDA"/>
    <n v="148.47"/>
    <d v="2025-06-17T00:00:00"/>
  </r>
  <r>
    <n v="254041863"/>
    <n v="64795602"/>
    <s v="REB"/>
    <n v="10088187"/>
    <n v="176"/>
    <s v="PEÇAS - Defeito de fabric./Interrompido"/>
    <s v="FUNCIONAL"/>
    <x v="0"/>
    <n v="70149"/>
    <x v="147"/>
    <s v="SP"/>
    <n v="963"/>
    <s v="Ats Distribuidoras"/>
    <n v="1350"/>
    <s v="W10699293"/>
    <s v="Mangueiras"/>
    <x v="5"/>
    <n v="1000"/>
    <n v="5004042"/>
    <s v="BRASIL WEB TRANSPORTES E LOGISTICA"/>
    <n v="148.47"/>
    <d v="2025-06-23T00:00:00"/>
  </r>
  <r>
    <s v="Sem TR"/>
    <n v="64784942"/>
    <s v="ROB"/>
    <n v="10005653"/>
    <n v="25"/>
    <s v="OC. 80 - EXTRAVIO TOTAL"/>
    <s v="TRANSPORTADORA"/>
    <x v="0"/>
    <n v="19750"/>
    <x v="165"/>
    <s v="RR"/>
    <n v="648"/>
    <s v="Ultra"/>
    <n v="1350"/>
    <s v="W10476183"/>
    <s v="Prateleiras"/>
    <x v="9"/>
    <n v="8000"/>
    <n v="5002858"/>
    <s v="FAVORITA TRANSPORTES LTDA"/>
    <n v="148.4"/>
    <d v="2025-06-13T00:00:00"/>
  </r>
  <r>
    <n v="254003927"/>
    <n v="64775173"/>
    <s v="REB"/>
    <n v="10018240"/>
    <n v="173"/>
    <s v="PEÇAS - Defeito de fabric./Alta Amperage"/>
    <s v="FUNCIONAL"/>
    <x v="1"/>
    <n v="28902"/>
    <x v="57"/>
    <s v="DF"/>
    <n v="648"/>
    <s v="Ultra"/>
    <n v="1350"/>
    <s v="W11082462"/>
    <s v="Termostatos"/>
    <x v="3"/>
    <n v="3000"/>
    <n v="5002858"/>
    <s v="FAVORITA TRANSPORTES LTDA"/>
    <n v="148.29"/>
    <d v="2025-05-26T00:00:00"/>
  </r>
  <r>
    <n v="254043472"/>
    <n v="64806021"/>
    <s v="REB"/>
    <n v="10118042"/>
    <n v="173"/>
    <s v="PEÇAS - Defeito de fabric./Alta Amperage"/>
    <s v="FUNCIONAL"/>
    <x v="0"/>
    <n v="2666"/>
    <x v="219"/>
    <s v="RJ"/>
    <n v="931"/>
    <s v="Ats Off"/>
    <n v="1350"/>
    <n v="326073242"/>
    <s v="Placas de Controle"/>
    <x v="1"/>
    <n v="1000"/>
    <n v="5003176"/>
    <s v="J C THEDIN TRANSPORTES LTDA"/>
    <n v="148.08000000000001"/>
    <d v="2025-07-05T00:00:00"/>
  </r>
  <r>
    <s v="Sem TR"/>
    <n v="64808552"/>
    <s v="ZRDI"/>
    <n v="10086746"/>
    <s v="D10"/>
    <s v="DEV D2C - Comprou modelo errado"/>
    <s v="COMERCIAL"/>
    <x v="2"/>
    <n v="58088962"/>
    <x v="941"/>
    <s v="MG"/>
    <n v="466"/>
    <s v="Sup ML Marketplace"/>
    <n v="1352"/>
    <s v="W10581058"/>
    <s v="Gavetas"/>
    <x v="9"/>
    <n v="1000"/>
    <n v="5002359"/>
    <s v="EMPRESA BRASILEIRA DE CORREIOS E"/>
    <n v="147.66"/>
    <d v="2025-07-11T00:00:00"/>
  </r>
  <r>
    <s v="Sem TR"/>
    <n v="64808552"/>
    <s v="ZRDI"/>
    <n v="10086746"/>
    <s v="D10"/>
    <s v="DEV D2C - Comprou modelo errado"/>
    <s v="COMERCIAL"/>
    <x v="2"/>
    <n v="58088962"/>
    <x v="941"/>
    <s v="MG"/>
    <n v="466"/>
    <s v="Sup ML Marketplace"/>
    <n v="1352"/>
    <s v="W10581058"/>
    <s v="Gavetas"/>
    <x v="9"/>
    <n v="1000"/>
    <n v="5002359"/>
    <s v="EMPRESA BRASILEIRA DE CORREIOS E"/>
    <n v="147.66"/>
    <d v="2025-07-11T00:00:00"/>
  </r>
  <r>
    <n v="254003850"/>
    <n v="64778078"/>
    <s v="REB"/>
    <n v="10043635"/>
    <n v="176"/>
    <s v="PEÇAS - Defeito de fabric./Interrompido"/>
    <s v="FUNCIONAL"/>
    <x v="2"/>
    <n v="3506"/>
    <x v="46"/>
    <s v="SP"/>
    <n v="931"/>
    <s v="Ats Off"/>
    <n v="1350"/>
    <s v="W10231316"/>
    <s v="Válvulas de Água"/>
    <x v="5"/>
    <n v="4000"/>
    <n v="5004042"/>
    <s v="BRASIL WEB TRANSPORTES E LOGISTICA"/>
    <n v="147.57"/>
    <d v="2025-05-26T00:00:00"/>
  </r>
  <r>
    <n v="254003853"/>
    <n v="64778277"/>
    <s v="REB"/>
    <n v="9884528"/>
    <n v="176"/>
    <s v="PEÇAS - Defeito de fabric./Interrompido"/>
    <s v="FUNCIONAL"/>
    <x v="2"/>
    <n v="3506"/>
    <x v="46"/>
    <s v="SP"/>
    <n v="931"/>
    <s v="Ats Off"/>
    <n v="1350"/>
    <s v="W11195522"/>
    <s v="Motores"/>
    <x v="1"/>
    <n v="1000"/>
    <n v="5004042"/>
    <s v="BRASIL WEB TRANSPORTES E LOGISTICA"/>
    <n v="147.57"/>
    <d v="2025-05-26T00:00:00"/>
  </r>
  <r>
    <n v="254033457"/>
    <n v="64805713"/>
    <s v="REB"/>
    <n v="10096420"/>
    <n v="104"/>
    <s v="PEÇAS-Código trocado(embalag X conteúdo)"/>
    <s v="LOGÍSTICA"/>
    <x v="0"/>
    <n v="78757"/>
    <x v="50"/>
    <s v="RS"/>
    <n v="643"/>
    <s v="Elite"/>
    <n v="1350"/>
    <s v="W10211808"/>
    <s v="Evaporadores"/>
    <x v="0"/>
    <n v="1000"/>
    <n v="5003024"/>
    <s v="RODOBRAS TRANSPORTES RODOVIARIOS LT"/>
    <n v="147.55000000000001"/>
    <d v="2025-07-08T00:00:00"/>
  </r>
  <r>
    <n v="254033459"/>
    <n v="64806682"/>
    <s v="REB"/>
    <n v="10096420"/>
    <n v="167"/>
    <s v="PEÇAS - Avaria - Quebrada/Depósito"/>
    <s v="LOGÍSTICA"/>
    <x v="0"/>
    <n v="78757"/>
    <x v="50"/>
    <s v="RS"/>
    <n v="643"/>
    <s v="Elite"/>
    <n v="1350"/>
    <s v="W10211808"/>
    <s v="Evaporadores"/>
    <x v="0"/>
    <n v="1000"/>
    <n v="5003024"/>
    <s v="RODOBRAS TRANSPORTES RODOVIARIOS LT"/>
    <n v="147.55000000000001"/>
    <d v="2025-07-08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0686100"/>
    <s v="Placas de Controle"/>
    <x v="1"/>
    <n v="1000"/>
    <n v="5003024"/>
    <s v="RODOBRAS TRANSPORTES RODOVIARIOS LT"/>
    <n v="147.31"/>
    <d v="2025-01-16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163349"/>
    <s v="Placas de Controle"/>
    <x v="1"/>
    <n v="2000"/>
    <n v="5004101"/>
    <s v="UNIDOCK'S ASSESSORIA E LOGISTICA DE"/>
    <n v="147.24"/>
    <d v="2025-06-24T00:00:00"/>
  </r>
  <r>
    <s v="Sem TR"/>
    <n v="64797592"/>
    <s v="ZRDI"/>
    <n v="10082173"/>
    <s v="D10"/>
    <s v="DEV D2C - Comprou modelo errado"/>
    <s v="COMERCIAL"/>
    <x v="2"/>
    <n v="58083514"/>
    <x v="942"/>
    <s v="CE"/>
    <n v="474"/>
    <s v="Site Brastemp"/>
    <n v="1352"/>
    <s v="W11115537"/>
    <s v="Prateleiras"/>
    <x v="9"/>
    <n v="1000"/>
    <n v="5002359"/>
    <s v="EMPRESA BRASILEIRA DE CORREIOS E"/>
    <n v="146.99"/>
    <d v="2025-06-26T00:00:00"/>
  </r>
  <r>
    <s v="Sem TR"/>
    <n v="64725713"/>
    <s v="ROB"/>
    <n v="9874440"/>
    <n v="25"/>
    <s v="OC. 80 - EXTRAVIO TOTAL"/>
    <s v="TRANSPORTADORA"/>
    <x v="0"/>
    <n v="41896"/>
    <x v="36"/>
    <s v="MG"/>
    <n v="350"/>
    <s v="Ats On"/>
    <n v="1350"/>
    <s v="W11245249"/>
    <s v="Válvulas de Água"/>
    <x v="5"/>
    <n v="3000"/>
    <n v="5004101"/>
    <s v="UNIDOCK'S ASSESSORIA E LOGISTICA DE"/>
    <n v="146.82"/>
    <d v="2025-03-07T00:00:00"/>
  </r>
  <r>
    <n v="254032697"/>
    <n v="64811635"/>
    <s v="ROB"/>
    <n v="10078671"/>
    <n v="268"/>
    <s v="DEV-APREENSÃO FISCAL - VENDAS"/>
    <s v="COMERCIAL"/>
    <x v="0"/>
    <n v="85837"/>
    <x v="352"/>
    <s v="RN"/>
    <n v="698"/>
    <s v="CDP Bronze"/>
    <n v="1350"/>
    <s v="W10371191"/>
    <s v="Tampas Fixas"/>
    <x v="6"/>
    <n v="1000"/>
    <n v="5004101"/>
    <s v="UNIDOCK'S ASSESSORIA E LOGISTICA DE"/>
    <n v="146.79"/>
    <d v="2025-07-16T00:00:00"/>
  </r>
  <r>
    <n v="254040365"/>
    <n v="64795588"/>
    <s v="REB"/>
    <n v="9992130"/>
    <n v="176"/>
    <s v="PEÇAS - Defeito de fabric./Interrompido"/>
    <s v="FUNCIONAL"/>
    <x v="1"/>
    <n v="32263"/>
    <x v="157"/>
    <s v="PA"/>
    <n v="641"/>
    <s v="CDP Diamante"/>
    <n v="1350"/>
    <s v="W10737718"/>
    <s v="Placas de Controle"/>
    <x v="1"/>
    <n v="1000"/>
    <n v="5002858"/>
    <s v="FAVORITA TRANSPORTES LTDA"/>
    <n v="146.74"/>
    <d v="2025-06-23T00:00:00"/>
  </r>
  <r>
    <n v="254033389"/>
    <n v="64805732"/>
    <s v="REB"/>
    <n v="10044808"/>
    <n v="90"/>
    <s v="CLIENTE-não solicitou"/>
    <s v="COMERCIAL"/>
    <x v="1"/>
    <n v="32856"/>
    <x v="60"/>
    <s v="PR"/>
    <n v="713"/>
    <s v="Key Account"/>
    <n v="1350"/>
    <s v="W10714366"/>
    <s v="Válvulas de Água"/>
    <x v="5"/>
    <n v="3000"/>
    <n v="5003024"/>
    <s v="RODOBRAS TRANSPORTES RODOVIARIOS LT"/>
    <n v="146.28"/>
    <d v="2025-07-08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n v="326028183"/>
    <s v="Pressostatos"/>
    <x v="3"/>
    <n v="5000"/>
    <n v="5004101"/>
    <s v="UNIDOCK'S ASSESSORIA E LOGISTICA DE"/>
    <n v="146.24"/>
    <d v="2025-06-24T00:00:00"/>
  </r>
  <r>
    <n v="254018184"/>
    <n v="64793090"/>
    <s v="REB"/>
    <n v="9977848"/>
    <n v="176"/>
    <s v="PEÇAS - Defeito de fabric./Interrompido"/>
    <s v="FUNCIONAL"/>
    <x v="1"/>
    <n v="4318"/>
    <x v="89"/>
    <s v="SC"/>
    <n v="931"/>
    <s v="Ats Off"/>
    <n v="1350"/>
    <s v="W11292016"/>
    <s v="Placas de Controle"/>
    <x v="1"/>
    <n v="1000"/>
    <n v="5003024"/>
    <s v="RODOBRAS TRANSPORTES RODOVIARIOS LT"/>
    <n v="146.19"/>
    <d v="2025-06-17T00:00:00"/>
  </r>
  <r>
    <n v="254018184"/>
    <n v="64793094"/>
    <s v="REB"/>
    <n v="9993031"/>
    <n v="177"/>
    <s v="PEÇAS - Defeito de fabric./Ruído"/>
    <s v="FUNCIONAL"/>
    <x v="1"/>
    <n v="4318"/>
    <x v="89"/>
    <s v="SC"/>
    <n v="931"/>
    <s v="Ats Off"/>
    <n v="1350"/>
    <s v="W11254865"/>
    <s v="Mecanismos"/>
    <x v="2"/>
    <n v="1000"/>
    <n v="5003024"/>
    <s v="RODOBRAS TRANSPORTES RODOVIARIOS LT"/>
    <n v="145.88999999999999"/>
    <d v="2025-06-17T00:00:00"/>
  </r>
  <r>
    <n v="254035336"/>
    <n v="64812504"/>
    <s v="REB"/>
    <n v="9920830"/>
    <n v="176"/>
    <s v="PEÇAS - Defeito de fabric./Interrompido"/>
    <s v="FUNCIONAL"/>
    <x v="1"/>
    <n v="4318"/>
    <x v="89"/>
    <s v="SC"/>
    <n v="931"/>
    <s v="Ats Off"/>
    <n v="1350"/>
    <s v="W11047056"/>
    <s v="Placas de Controle"/>
    <x v="1"/>
    <n v="1000"/>
    <n v="5003024"/>
    <s v="RODOBRAS TRANSPORTES RODOVIARIOS LT"/>
    <n v="145.86000000000001"/>
    <d v="2025-07-17T00:00:00"/>
  </r>
  <r>
    <s v="Sem TR"/>
    <n v="64817564"/>
    <s v="REB"/>
    <n v="9951134"/>
    <n v="173"/>
    <s v="PEÇAS - Defeito de fabric./Alta Amperage"/>
    <s v="FUNCIONAL"/>
    <x v="1"/>
    <n v="4167"/>
    <x v="63"/>
    <s v="SP"/>
    <n v="931"/>
    <s v="Ats Off"/>
    <n v="1350"/>
    <n v="326073242"/>
    <s v="Placas de Controle"/>
    <x v="1"/>
    <n v="1000"/>
    <n v="5004042"/>
    <s v="BRASIL WEB TRANSPORTES E LOGISTICA"/>
    <n v="145.83000000000001"/>
    <d v="2025-07-25T00:00:00"/>
  </r>
  <r>
    <n v="254018233"/>
    <n v="64793894"/>
    <s v="REB"/>
    <n v="10063487"/>
    <n v="173"/>
    <s v="PEÇAS - Defeito de fabric./Alta Amperage"/>
    <s v="FUNCIONAL"/>
    <x v="2"/>
    <n v="21594"/>
    <x v="97"/>
    <s v="SP"/>
    <n v="931"/>
    <s v="Ats Off"/>
    <n v="1350"/>
    <n v="326073242"/>
    <s v="Placas de Controle"/>
    <x v="1"/>
    <n v="1000"/>
    <n v="5004042"/>
    <s v="BRASIL WEB TRANSPORTES E LOGISTICA"/>
    <n v="145.83000000000001"/>
    <d v="2025-06-18T00:00:00"/>
  </r>
  <r>
    <n v="253897733"/>
    <n v="64666634"/>
    <s v="REB"/>
    <n v="9746693"/>
    <n v="671"/>
    <s v="DEV-ENVIADO PARA GESTÃO DE CONSEQUENCIA"/>
    <s v="TRANSPORTADORA"/>
    <x v="1"/>
    <n v="38442"/>
    <x v="943"/>
    <s v="RS"/>
    <n v="644"/>
    <s v="Plus"/>
    <n v="1350"/>
    <s v="W10396957"/>
    <s v="Hélices"/>
    <x v="5"/>
    <n v="1000"/>
    <n v="5003024"/>
    <s v="RODOBRAS TRANSPORTES RODOVIARIOS LT"/>
    <n v="145.81"/>
    <d v="2024-12-12T00:00:00"/>
  </r>
  <r>
    <s v="Sem TR"/>
    <n v="64806554"/>
    <s v="ZRDI"/>
    <n v="10093943"/>
    <s v="D10"/>
    <s v="DEV D2C - Comprou modelo errado"/>
    <s v="COMERCIAL"/>
    <x v="2"/>
    <n v="58095466"/>
    <x v="944"/>
    <s v="SC"/>
    <n v="474"/>
    <s v="Site Brastemp"/>
    <n v="1352"/>
    <s v="W10577330"/>
    <s v="Tampas Móveis"/>
    <x v="6"/>
    <n v="1000"/>
    <n v="5002359"/>
    <s v="EMPRESA BRASILEIRA DE CORREIOS E"/>
    <n v="145.66999999999999"/>
    <d v="2025-07-07T00:00:00"/>
  </r>
  <r>
    <s v="Sem TR"/>
    <n v="64803579"/>
    <s v="ZRDI"/>
    <n v="10096037"/>
    <s v="D10"/>
    <s v="DEV D2C - Comprou modelo errado"/>
    <s v="COMERCIAL"/>
    <x v="2"/>
    <n v="58066173"/>
    <x v="945"/>
    <s v="MG"/>
    <n v="474"/>
    <s v="Site Brastemp"/>
    <n v="1352"/>
    <s v="W10325885"/>
    <s v="Membranas Eletrônicas"/>
    <x v="1"/>
    <n v="1000"/>
    <n v="5002359"/>
    <s v="EMPRESA BRASILEIRA DE CORREIOS E"/>
    <n v="145.54"/>
    <d v="2025-07-01T00:00:00"/>
  </r>
  <r>
    <n v="254012615"/>
    <n v="64789474"/>
    <s v="REB"/>
    <n v="10060732"/>
    <n v="173"/>
    <s v="PEÇAS - Defeito de fabric./Alta Amperage"/>
    <s v="FUNCIONAL"/>
    <x v="2"/>
    <n v="75812"/>
    <x v="102"/>
    <s v="SP"/>
    <n v="931"/>
    <s v="Ats Off"/>
    <n v="1350"/>
    <s v="W10567471"/>
    <s v="Atuadores"/>
    <x v="2"/>
    <n v="1000"/>
    <n v="5004042"/>
    <s v="BRASIL WEB TRANSPORTES E LOGISTICA"/>
    <n v="145.52000000000001"/>
    <d v="2025-06-10T00:00:00"/>
  </r>
  <r>
    <n v="254035331"/>
    <n v="64812671"/>
    <s v="REB"/>
    <n v="10125741"/>
    <n v="168"/>
    <s v="PEÇAS-Def.Fabric.Empenamento/Abaulamento"/>
    <s v="FUNCIONAL"/>
    <x v="1"/>
    <n v="3652"/>
    <x v="51"/>
    <s v="SP"/>
    <n v="350"/>
    <s v="Ats On"/>
    <n v="1350"/>
    <n v="326050267"/>
    <s v="Queimadores"/>
    <x v="12"/>
    <n v="1000"/>
    <n v="5004042"/>
    <s v="BRASIL WEB TRANSPORTES E LOGISTICA"/>
    <n v="145.41"/>
    <d v="2025-07-17T00:00:00"/>
  </r>
  <r>
    <n v="254003866"/>
    <n v="64775853"/>
    <s v="REB"/>
    <n v="10025680"/>
    <n v="173"/>
    <s v="PEÇAS - Defeito de fabric./Alta Amperage"/>
    <s v="FUNCIONAL"/>
    <x v="1"/>
    <n v="9272"/>
    <x v="395"/>
    <s v="RS"/>
    <n v="931"/>
    <s v="Ats Off"/>
    <n v="1350"/>
    <s v="W11047055"/>
    <s v="Placas de Controle"/>
    <x v="1"/>
    <n v="1000"/>
    <n v="5003024"/>
    <s v="RODOBRAS TRANSPORTES RODOVIARIOS LT"/>
    <n v="145.36000000000001"/>
    <d v="2025-05-26T00:00:00"/>
  </r>
  <r>
    <n v="254003988"/>
    <n v="64778967"/>
    <s v="REB"/>
    <n v="10016991"/>
    <n v="104"/>
    <s v="PEÇAS-Código trocado(embalag X conteúdo)"/>
    <s v="LOGÍSTICA"/>
    <x v="2"/>
    <n v="42455"/>
    <x v="81"/>
    <s v="SP"/>
    <n v="931"/>
    <s v="Ats Off"/>
    <n v="1350"/>
    <s v="W10242384"/>
    <s v="Redes Elétricas"/>
    <x v="1"/>
    <n v="1000"/>
    <n v="5004042"/>
    <s v="BRASIL WEB TRANSPORTES E LOGISTICA"/>
    <n v="145.33000000000001"/>
    <d v="2025-05-27T00:00:00"/>
  </r>
  <r>
    <n v="253995204"/>
    <n v="64768973"/>
    <s v="REB"/>
    <n v="10013316"/>
    <n v="173"/>
    <s v="PEÇAS - Defeito de fabric./Alta Amperage"/>
    <s v="FUNCIONAL"/>
    <x v="2"/>
    <n v="63114"/>
    <x v="946"/>
    <s v="SP"/>
    <n v="932"/>
    <s v="CDP Prata"/>
    <n v="1350"/>
    <s v="W11299805"/>
    <s v="Mecanismos"/>
    <x v="2"/>
    <n v="1000"/>
    <n v="5004042"/>
    <s v="BRASIL WEB TRANSPORTES E LOGISTICA"/>
    <n v="145.25"/>
    <d v="2025-05-16T00:00:00"/>
  </r>
  <r>
    <n v="254042368"/>
    <n v="64794755"/>
    <s v="REB"/>
    <n v="10066546"/>
    <n v="178"/>
    <s v="PEÇAS -Defeito de fabric./Sem Compressão"/>
    <s v="FUNCIONAL"/>
    <x v="0"/>
    <n v="80421"/>
    <x v="947"/>
    <s v="PE"/>
    <n v="701"/>
    <s v="Descredenciado"/>
    <n v="1350"/>
    <s v="W10665434"/>
    <s v="Motores Ventiladores"/>
    <x v="1"/>
    <n v="1000"/>
    <n v="5004101"/>
    <s v="UNIDOCK'S ASSESSORIA E LOGISTICA DE"/>
    <n v="145.24"/>
    <d v="2025-06-19T00:00:00"/>
  </r>
  <r>
    <n v="254035907"/>
    <n v="64814027"/>
    <s v="ZRDI"/>
    <n v="10112600"/>
    <n v="208"/>
    <s v="DEV-Atraso entrega- LOGISTICA(Transp)"/>
    <s v="TRANSPORTADORA"/>
    <x v="2"/>
    <n v="56345133"/>
    <x v="948"/>
    <s v="RS"/>
    <n v="475"/>
    <s v="Site Consul"/>
    <n v="1352"/>
    <s v="W10515645"/>
    <s v="Filtros"/>
    <x v="5"/>
    <n v="3000"/>
    <n v="5002359"/>
    <s v="EMPRESA BRASILEIRA DE CORREIOS E"/>
    <n v="145.22999999999999"/>
    <d v="2025-07-21T00:00:00"/>
  </r>
  <r>
    <n v="254036529"/>
    <n v="64814361"/>
    <s v="ZRDI"/>
    <n v="10093375"/>
    <n v="208"/>
    <s v="DEV-Atraso entrega- LOGISTICA(Transp)"/>
    <s v="TRANSPORTADORA"/>
    <x v="2"/>
    <n v="56011971"/>
    <x v="949"/>
    <s v="RS"/>
    <n v="475"/>
    <s v="Site Consul"/>
    <n v="1352"/>
    <s v="W10515645"/>
    <s v="Filtros"/>
    <x v="5"/>
    <n v="3000"/>
    <n v="5002359"/>
    <s v="EMPRESA BRASILEIRA DE CORREIOS E"/>
    <n v="145.22999999999999"/>
    <d v="2025-07-22T00:00:00"/>
  </r>
  <r>
    <s v="Sem TR"/>
    <n v="64746731"/>
    <s v="REB"/>
    <n v="9952718"/>
    <n v="671"/>
    <s v="DEV-ENVIADO PARA GESTÃO DE CONSEQUENCIA"/>
    <s v="TRANSPORTADORA"/>
    <x v="1"/>
    <n v="72786"/>
    <x v="41"/>
    <s v="SC"/>
    <n v="643"/>
    <s v="Elite"/>
    <n v="1350"/>
    <s v="W11086108"/>
    <s v="Placas de Controle"/>
    <x v="1"/>
    <n v="1000"/>
    <n v="5003024"/>
    <s v="RODOBRAS TRANSPORTES RODOVIARIOS LT"/>
    <n v="145.21"/>
    <d v="2025-04-07T00:00:00"/>
  </r>
  <r>
    <n v="254035336"/>
    <n v="64812407"/>
    <s v="REB"/>
    <n v="9861280"/>
    <n v="176"/>
    <s v="PEÇAS - Defeito de fabric./Interrompido"/>
    <s v="FUNCIONAL"/>
    <x v="1"/>
    <n v="4318"/>
    <x v="89"/>
    <s v="SC"/>
    <n v="931"/>
    <s v="Ats Off"/>
    <n v="1350"/>
    <s v="W11047056"/>
    <s v="Placas de Controle"/>
    <x v="1"/>
    <n v="1000"/>
    <n v="5003024"/>
    <s v="RODOBRAS TRANSPORTES RODOVIARIOS LT"/>
    <n v="145.16999999999999"/>
    <d v="2025-07-17T00:00:00"/>
  </r>
  <r>
    <n v="254030020"/>
    <n v="64809497"/>
    <s v="ZRDI"/>
    <n v="10106276"/>
    <n v="208"/>
    <s v="DEV-Atraso entrega- LOGISTICA(Transp)"/>
    <s v="TRANSPORTADORA"/>
    <x v="2"/>
    <n v="57793276"/>
    <x v="950"/>
    <s v="RJ"/>
    <n v="474"/>
    <s v="Site Brastemp"/>
    <n v="1352"/>
    <s v="W10577330"/>
    <s v="Tampas Móveis"/>
    <x v="6"/>
    <n v="1000"/>
    <n v="5002359"/>
    <s v="EMPRESA BRASILEIRA DE CORREIOS E"/>
    <n v="145.07"/>
    <d v="2025-07-11T00:00:00"/>
  </r>
  <r>
    <s v="Sem TR"/>
    <n v="64814669"/>
    <s v="ZRDI"/>
    <n v="10061522"/>
    <s v="D10"/>
    <s v="DEV D2C - Comprou modelo errado"/>
    <s v="COMERCIAL"/>
    <x v="2"/>
    <n v="57212080"/>
    <x v="951"/>
    <s v="TO"/>
    <n v="474"/>
    <s v="Site Brastemp"/>
    <n v="1352"/>
    <s v="W10331995"/>
    <s v="Gavetas"/>
    <x v="9"/>
    <n v="1000"/>
    <n v="5002359"/>
    <s v="EMPRESA BRASILEIRA DE CORREIOS E"/>
    <n v="144.91999999999999"/>
    <d v="2025-07-22T00:00:00"/>
  </r>
  <r>
    <s v="Sem TR"/>
    <n v="64814669"/>
    <s v="ZRDI"/>
    <n v="10061522"/>
    <s v="D10"/>
    <s v="DEV D2C - Comprou modelo errado"/>
    <s v="COMERCIAL"/>
    <x v="2"/>
    <n v="57212080"/>
    <x v="951"/>
    <s v="TO"/>
    <n v="474"/>
    <s v="Site Brastemp"/>
    <n v="1352"/>
    <s v="W10331995"/>
    <s v="Gavetas"/>
    <x v="9"/>
    <n v="1000"/>
    <n v="5002359"/>
    <s v="EMPRESA BRASILEIRA DE CORREIOS E"/>
    <n v="144.91999999999999"/>
    <d v="2025-07-22T00:00:00"/>
  </r>
  <r>
    <s v="Sem TR"/>
    <n v="64800051"/>
    <s v="ZRDI"/>
    <n v="10145619"/>
    <s v="D11"/>
    <s v="DEV D2C - Comprou prod dimensão errada"/>
    <s v="COMERCIAL"/>
    <x v="2"/>
    <n v="58164743"/>
    <x v="952"/>
    <s v="SP"/>
    <n v="466"/>
    <s v="Sup ML Marketplace"/>
    <n v="1352"/>
    <s v="W10577330"/>
    <s v="Tampas Móveis"/>
    <x v="6"/>
    <n v="1000"/>
    <n v="5002359"/>
    <s v="EMPRESA BRASILEIRA DE CORREIOS E"/>
    <n v="144.80000000000001"/>
    <d v="2025-07-22T00:00:00"/>
  </r>
  <r>
    <n v="254034404"/>
    <n v="64812881"/>
    <s v="ZRDI"/>
    <n v="10134615"/>
    <s v="D18"/>
    <s v="DEV D2C - Arrependimento não quero mais"/>
    <s v="COMERCIAL"/>
    <x v="2"/>
    <n v="58151256"/>
    <x v="953"/>
    <s v="SP"/>
    <n v="466"/>
    <s v="Sup ML Marketplace"/>
    <n v="1352"/>
    <s v="W10577330"/>
    <s v="Tampas Móveis"/>
    <x v="6"/>
    <n v="1000"/>
    <n v="5003972"/>
    <s v="ICARO EXPRESS LOGISTICA LTDA"/>
    <n v="144.80000000000001"/>
    <d v="2025-07-18T00:00:00"/>
  </r>
  <r>
    <s v="Sem TR"/>
    <n v="64800051"/>
    <s v="ZRDI"/>
    <n v="10145619"/>
    <s v="D11"/>
    <s v="DEV D2C - Comprou prod dimensão errada"/>
    <s v="COMERCIAL"/>
    <x v="2"/>
    <n v="58164743"/>
    <x v="952"/>
    <s v="SP"/>
    <n v="466"/>
    <s v="Sup ML Marketplace"/>
    <n v="1352"/>
    <s v="W10577330"/>
    <s v="Tampas Móveis"/>
    <x v="6"/>
    <n v="1000"/>
    <n v="5002359"/>
    <s v="EMPRESA BRASILEIRA DE CORREIOS E"/>
    <n v="144.80000000000001"/>
    <d v="2025-07-22T00:00:00"/>
  </r>
  <r>
    <n v="254023524"/>
    <n v="64800739"/>
    <s v="ZRDI"/>
    <n v="10050693"/>
    <s v="D25"/>
    <s v="DEV D2C - Prob na entrega (Não recebi)"/>
    <s v="TRANSPORTADORA"/>
    <x v="2"/>
    <n v="58044536"/>
    <x v="954"/>
    <s v="RJ"/>
    <n v="466"/>
    <s v="Sup ML Marketplace"/>
    <n v="1352"/>
    <s v="W10577330"/>
    <s v="Tampas Móveis"/>
    <x v="6"/>
    <n v="1000"/>
    <n v="5003972"/>
    <s v="ICARO EXPRESS LOGISTICA LTDA"/>
    <n v="144.72"/>
    <d v="2025-06-30T00:00:00"/>
  </r>
  <r>
    <n v="254012590"/>
    <n v="64782016"/>
    <s v="REB"/>
    <n v="8070920"/>
    <n v="173"/>
    <s v="PEÇAS - Defeito de fabric./Alta Amperage"/>
    <s v="FUNCIONAL"/>
    <x v="1"/>
    <n v="67948"/>
    <x v="15"/>
    <s v="SC"/>
    <n v="713"/>
    <s v="Key Account"/>
    <n v="1350"/>
    <s v="W11519911"/>
    <s v="Placas de Controle"/>
    <x v="1"/>
    <n v="1000"/>
    <n v="5003024"/>
    <s v="RODOBRAS TRANSPORTES RODOVIARIOS LT"/>
    <n v="144.66"/>
    <d v="2025-06-10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1574388"/>
    <s v="Capacitores"/>
    <x v="1"/>
    <n v="10000"/>
    <n v="5004101"/>
    <s v="UNIDOCK'S ASSESSORIA E LOGISTICA DE"/>
    <n v="144.6"/>
    <d v="2025-02-19T00:00:00"/>
  </r>
  <r>
    <n v="253952415"/>
    <n v="64725963"/>
    <s v="REB"/>
    <n v="9539400"/>
    <n v="173"/>
    <s v="PEÇAS - Defeito de fabric./Alta Amperage"/>
    <s v="FUNCIONAL"/>
    <x v="1"/>
    <n v="58773"/>
    <x v="13"/>
    <s v="RN"/>
    <n v="350"/>
    <s v="Ats On"/>
    <n v="1350"/>
    <s v="W11603414"/>
    <s v="Placas de Controle"/>
    <x v="1"/>
    <n v="1000"/>
    <n v="5004101"/>
    <s v="UNIDOCK'S ASSESSORIA E LOGISTICA DE"/>
    <n v="144.57"/>
    <d v="2025-03-10T00:00:00"/>
  </r>
  <r>
    <s v="Sem TR"/>
    <n v="64808498"/>
    <s v="ZRDI"/>
    <n v="10125464"/>
    <s v="D10"/>
    <s v="DEV D2C - Comprou modelo errado"/>
    <s v="COMERCIAL"/>
    <x v="2"/>
    <n v="54937690"/>
    <x v="955"/>
    <s v="SP"/>
    <n v="474"/>
    <s v="Site Brastemp"/>
    <n v="1352"/>
    <n v="326031008"/>
    <s v="Prateleiras"/>
    <x v="9"/>
    <n v="3000"/>
    <n v="5002359"/>
    <s v="EMPRESA BRASILEIRA DE CORREIOS E"/>
    <n v="144.33000000000001"/>
    <d v="2025-07-17T00:00:00"/>
  </r>
  <r>
    <n v="254018319"/>
    <n v="64793170"/>
    <s v="REB"/>
    <n v="10001519"/>
    <n v="177"/>
    <s v="PEÇAS - Defeito de fabric./Ruído"/>
    <s v="FUNCIONAL"/>
    <x v="2"/>
    <n v="52520"/>
    <x v="292"/>
    <s v="RJ"/>
    <n v="713"/>
    <s v="Key Account"/>
    <n v="1350"/>
    <s v="W11254865"/>
    <s v="Mecanismos"/>
    <x v="2"/>
    <n v="1000"/>
    <n v="5003176"/>
    <s v="J C THEDIN TRANSPORTES LTDA"/>
    <n v="144.25"/>
    <d v="2025-06-17T00:00:00"/>
  </r>
  <r>
    <n v="254042013"/>
    <n v="64795587"/>
    <s v="REB"/>
    <n v="10074023"/>
    <n v="173"/>
    <s v="PEÇAS - Defeito de fabric./Alta Amperage"/>
    <s v="FUNCIONAL"/>
    <x v="0"/>
    <n v="30820"/>
    <x v="49"/>
    <s v="PE"/>
    <n v="350"/>
    <s v="Ats On"/>
    <n v="1350"/>
    <s v="W11125635"/>
    <s v="Placas de Controle"/>
    <x v="1"/>
    <n v="1000"/>
    <n v="5004101"/>
    <s v="UNIDOCK'S ASSESSORIA E LOGISTICA DE"/>
    <n v="144.22999999999999"/>
    <d v="2025-06-23T00:00:00"/>
  </r>
  <r>
    <s v="Sem TR"/>
    <n v="64804106"/>
    <s v="ZRDI"/>
    <n v="10100931"/>
    <s v="D18"/>
    <s v="DEV D2C - Arrependimento não quero mais"/>
    <s v="COMERCIAL"/>
    <x v="2"/>
    <n v="4856746"/>
    <x v="956"/>
    <s v="RJ"/>
    <n v="466"/>
    <s v="Sup ML Marketplace"/>
    <n v="1352"/>
    <s v="W10581058"/>
    <s v="Gavetas"/>
    <x v="9"/>
    <n v="1000"/>
    <n v="5003861"/>
    <s v="TMA SUDESTE TRANSPORTE E LOGISTICA"/>
    <n v="144.19999999999999"/>
    <d v="2025-07-04T00:00:00"/>
  </r>
  <r>
    <n v="253952032"/>
    <n v="64727861"/>
    <s v="REB"/>
    <n v="9480043"/>
    <n v="176"/>
    <s v="PEÇAS - Defeito de fabric./Interrompido"/>
    <s v="FUNCIONAL"/>
    <x v="1"/>
    <n v="66"/>
    <x v="73"/>
    <s v="GO"/>
    <n v="931"/>
    <s v="Ats Off"/>
    <n v="1350"/>
    <s v="W11452237"/>
    <s v="Placas de Controle"/>
    <x v="1"/>
    <n v="1000"/>
    <n v="5002858"/>
    <s v="FAVORITA TRANSPORTES LTDA"/>
    <n v="144.19"/>
    <d v="2025-03-08T00:00:00"/>
  </r>
  <r>
    <n v="254041817"/>
    <n v="64795910"/>
    <s v="REB"/>
    <n v="9986988"/>
    <n v="173"/>
    <s v="PEÇAS - Defeito de fabric./Alta Amperage"/>
    <s v="FUNCIONAL"/>
    <x v="0"/>
    <n v="70555"/>
    <x v="150"/>
    <s v="SC"/>
    <n v="648"/>
    <s v="Ultra"/>
    <n v="1350"/>
    <s v="W11161214"/>
    <s v="Placas de Interface"/>
    <x v="1"/>
    <n v="1000"/>
    <n v="5003024"/>
    <s v="RODOBRAS TRANSPORTES RODOVIARIOS LT"/>
    <n v="144.05000000000001"/>
    <d v="2025-06-23T00:00:00"/>
  </r>
  <r>
    <n v="254024122"/>
    <n v="64803694"/>
    <s v="ZRDI"/>
    <n v="10047840"/>
    <n v="208"/>
    <s v="DEV-Atraso entrega- LOGISTICA(Transp)"/>
    <s v="TRANSPORTADORA"/>
    <x v="2"/>
    <n v="57499485"/>
    <x v="957"/>
    <s v="SE"/>
    <n v="475"/>
    <s v="Site Consul"/>
    <n v="1352"/>
    <s v="W10581058"/>
    <s v="Gavetas"/>
    <x v="9"/>
    <n v="1000"/>
    <n v="5002359"/>
    <s v="EMPRESA BRASILEIRA DE CORREIOS E"/>
    <n v="143.99"/>
    <d v="2025-07-01T00:00:00"/>
  </r>
  <r>
    <n v="254018179"/>
    <n v="64793256"/>
    <s v="REB"/>
    <n v="9997826"/>
    <n v="176"/>
    <s v="PEÇAS - Defeito de fabric./Interrompido"/>
    <s v="FUNCIONAL"/>
    <x v="1"/>
    <n v="3506"/>
    <x v="46"/>
    <s v="SP"/>
    <n v="931"/>
    <s v="Ats Off"/>
    <n v="1350"/>
    <s v="W11123830"/>
    <s v="Placas de Controle"/>
    <x v="1"/>
    <n v="1000"/>
    <n v="5004042"/>
    <s v="BRASIL WEB TRANSPORTES E LOGISTICA"/>
    <n v="143.88999999999999"/>
    <d v="2025-06-17T00:00:00"/>
  </r>
  <r>
    <n v="254024314"/>
    <n v="64804299"/>
    <s v="ROB"/>
    <n v="10116122"/>
    <n v="184"/>
    <s v="PEÇAS - Emissão de Nota Fiscal Errada"/>
    <s v="LOGÍSTICA"/>
    <x v="0"/>
    <n v="5136"/>
    <x v="181"/>
    <s v="RS"/>
    <n v="350"/>
    <s v="Ats On"/>
    <n v="1350"/>
    <s v="W10710642"/>
    <s v="Portas"/>
    <x v="6"/>
    <n v="1000"/>
    <n v="5002835"/>
    <s v="RODOBRAS TRANSPORTES (5003024)"/>
    <n v="143.88999999999999"/>
    <d v="2025-07-02T00:00:00"/>
  </r>
  <r>
    <n v="253944062"/>
    <n v="64714850"/>
    <s v="REB"/>
    <n v="9851915"/>
    <n v="671"/>
    <s v="DEV-ENVIADO PARA GESTÃO DE CONSEQUENCIA"/>
    <s v="TRANSPORTADORA"/>
    <x v="1"/>
    <n v="56043"/>
    <x v="48"/>
    <s v="PR"/>
    <n v="963"/>
    <s v="Ats Distribuidoras"/>
    <n v="1350"/>
    <n v="326047714"/>
    <s v="Prateleiras"/>
    <x v="9"/>
    <n v="3000"/>
    <n v="5003024"/>
    <s v="RODOBRAS TRANSPORTES RODOVIARIOS LT"/>
    <n v="143.81"/>
    <d v="2025-02-17T00:00:00"/>
  </r>
  <r>
    <n v="254021270"/>
    <n v="64798925"/>
    <s v="ZRDI"/>
    <n v="10079372"/>
    <n v="208"/>
    <s v="DEV-Atraso entrega- LOGISTICA(Transp)"/>
    <s v="TRANSPORTADORA"/>
    <x v="2"/>
    <n v="4956095"/>
    <x v="958"/>
    <s v="CE"/>
    <n v="475"/>
    <s v="Site Consul"/>
    <n v="1352"/>
    <s v="W10581058"/>
    <s v="Gavetas"/>
    <x v="9"/>
    <n v="1000"/>
    <n v="5002359"/>
    <s v="EMPRESA BRASILEIRA DE CORREIOS E"/>
    <n v="143.79"/>
    <d v="2025-06-26T00:00:00"/>
  </r>
  <r>
    <s v="Sem TR"/>
    <n v="64800731"/>
    <s v="ZRDI"/>
    <n v="10085263"/>
    <s v="D31"/>
    <s v="DEV D2C - Defeito estético manufatura"/>
    <s v="MANUFATURA"/>
    <x v="2"/>
    <n v="58084070"/>
    <x v="765"/>
    <s v="CE"/>
    <n v="475"/>
    <s v="Site Consul"/>
    <n v="1352"/>
    <s v="W10581058"/>
    <s v="Gavetas"/>
    <x v="9"/>
    <n v="1000"/>
    <n v="5002359"/>
    <s v="EMPRESA BRASILEIRA DE CORREIOS E"/>
    <n v="143.79"/>
    <d v="2025-06-30T00:00:00"/>
  </r>
  <r>
    <s v="Sem TR"/>
    <n v="64800745"/>
    <s v="ZRDI"/>
    <n v="10085263"/>
    <s v="D31"/>
    <s v="DEV D2C - Defeito estético manufatura"/>
    <s v="MANUFATURA"/>
    <x v="2"/>
    <n v="58084070"/>
    <x v="765"/>
    <s v="CE"/>
    <n v="475"/>
    <s v="Site Consul"/>
    <n v="1352"/>
    <s v="W10581058"/>
    <s v="Gavetas"/>
    <x v="9"/>
    <n v="1000"/>
    <n v="5002359"/>
    <s v="EMPRESA BRASILEIRA DE CORREIOS E"/>
    <n v="143.79"/>
    <d v="2025-06-30T00:00:00"/>
  </r>
  <r>
    <s v="Sem TR"/>
    <n v="64816300"/>
    <s v="ZRDI"/>
    <n v="10149384"/>
    <s v="D31"/>
    <s v="DEV D2C - Defeito estético manufatura"/>
    <s v="MANUFATURA"/>
    <x v="2"/>
    <n v="58174283"/>
    <x v="959"/>
    <s v="SP"/>
    <n v="475"/>
    <s v="Site Consul"/>
    <n v="1352"/>
    <s v="W11375406"/>
    <s v="Prateleiras"/>
    <x v="9"/>
    <n v="1000"/>
    <n v="5002359"/>
    <s v="EMPRESA BRASILEIRA DE CORREIOS E"/>
    <n v="143.63"/>
    <d v="2025-07-24T00:00:00"/>
  </r>
  <r>
    <s v="Sem TR"/>
    <n v="64816300"/>
    <s v="ZRDI"/>
    <n v="10149384"/>
    <s v="D31"/>
    <s v="DEV D2C - Defeito estético manufatura"/>
    <s v="MANUFATURA"/>
    <x v="2"/>
    <n v="58174283"/>
    <x v="959"/>
    <s v="SP"/>
    <n v="475"/>
    <s v="Site Consul"/>
    <n v="1352"/>
    <s v="W11375406"/>
    <s v="Prateleiras"/>
    <x v="9"/>
    <n v="1000"/>
    <n v="5002359"/>
    <s v="EMPRESA BRASILEIRA DE CORREIOS E"/>
    <n v="143.63"/>
    <d v="2025-07-24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0581058"/>
    <s v="Gavetas"/>
    <x v="9"/>
    <n v="1000"/>
    <n v="5002359"/>
    <s v="EMPRESA BRASILEIRA DE CORREIOS E"/>
    <n v="143.59"/>
    <d v="2025-07-11T00:00:00"/>
  </r>
  <r>
    <n v="253981560"/>
    <n v="64758384"/>
    <s v="REB"/>
    <n v="9960751"/>
    <n v="173"/>
    <s v="PEÇAS - Defeito de fabric./Alta Amperage"/>
    <s v="FUNCIONAL"/>
    <x v="1"/>
    <n v="63300"/>
    <x v="17"/>
    <s v="MG"/>
    <n v="643"/>
    <s v="Elite"/>
    <n v="1350"/>
    <s v="W10626365"/>
    <s v="Placas de Interface"/>
    <x v="1"/>
    <n v="1000"/>
    <n v="5004215"/>
    <s v="BRASIL WEB TRANSPORTES E LOGISTICA"/>
    <n v="143.53"/>
    <d v="2025-04-2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284848"/>
    <s v="Correias"/>
    <x v="2"/>
    <n v="4000"/>
    <n v="5004101"/>
    <s v="UNIDOCK'S ASSESSORIA E LOGISTICA DE"/>
    <n v="143.43"/>
    <d v="2025-03-13T00:00:00"/>
  </r>
  <r>
    <s v="Sem TR"/>
    <n v="64796193"/>
    <s v="ZRDI"/>
    <n v="10098106"/>
    <s v="D10"/>
    <s v="DEV D2C - Comprou modelo errado"/>
    <s v="COMERCIAL"/>
    <x v="2"/>
    <n v="58105011"/>
    <x v="961"/>
    <s v="MG"/>
    <n v="474"/>
    <s v="Site Brastemp"/>
    <n v="1352"/>
    <s v="W11115537"/>
    <s v="Prateleiras"/>
    <x v="9"/>
    <n v="1000"/>
    <n v="5002359"/>
    <s v="EMPRESA BRASILEIRA DE CORREIOS E"/>
    <n v="143.41"/>
    <d v="2025-07-01T00:00:00"/>
  </r>
  <r>
    <n v="254038271"/>
    <n v="64814872"/>
    <s v="REB"/>
    <n v="10110401"/>
    <n v="176"/>
    <s v="PEÇAS - Defeito de fabric./Interrompido"/>
    <s v="FUNCIONAL"/>
    <x v="1"/>
    <n v="4318"/>
    <x v="89"/>
    <s v="SC"/>
    <n v="931"/>
    <s v="Ats Off"/>
    <n v="1350"/>
    <s v="W10807957"/>
    <s v="Conjunto Varetas"/>
    <x v="8"/>
    <n v="2000"/>
    <n v="5003024"/>
    <s v="RODOBRAS TRANSPORTES RODOVIARIOS LT"/>
    <n v="143.35"/>
    <d v="2025-07-2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471970"/>
    <s v="Interruptores"/>
    <x v="3"/>
    <n v="10000"/>
    <n v="5004101"/>
    <s v="UNIDOCK'S ASSESSORIA E LOGISTICA DE"/>
    <n v="143.33000000000001"/>
    <d v="2025-06-24T00:00:00"/>
  </r>
  <r>
    <n v="253952310"/>
    <n v="64729086"/>
    <s v="REB"/>
    <n v="9890974"/>
    <n v="671"/>
    <s v="DEV-ENVIADO PARA GESTÃO DE CONSEQUENCIA"/>
    <s v="TRANSPORTADORA"/>
    <x v="1"/>
    <n v="38442"/>
    <x v="943"/>
    <s v="RS"/>
    <n v="641"/>
    <s v="CDP Diamante"/>
    <n v="1350"/>
    <n v="326066852"/>
    <s v="Prateleiras"/>
    <x v="9"/>
    <n v="4000"/>
    <n v="5003024"/>
    <s v="RODOBRAS TRANSPORTES RODOVIARIOS LT"/>
    <n v="143.25"/>
    <d v="2025-03-10T00:00:00"/>
  </r>
  <r>
    <n v="253926895"/>
    <n v="64700023"/>
    <s v="REB"/>
    <n v="9798399"/>
    <n v="173"/>
    <s v="PEÇAS - Defeito de fabric./Alta Amperage"/>
    <s v="FUNCIONAL"/>
    <x v="1"/>
    <n v="9452"/>
    <x v="42"/>
    <s v="SP"/>
    <n v="931"/>
    <s v="Ats Off"/>
    <n v="1350"/>
    <s v="W10585027"/>
    <s v="Bombas"/>
    <x v="1"/>
    <n v="1000"/>
    <n v="5003254"/>
    <s v="TMA TRANSPORTE LOTACAO E LOGISTICA"/>
    <n v="143.1"/>
    <d v="2025-01-27T00:00:00"/>
  </r>
  <r>
    <n v="253995071"/>
    <n v="64768328"/>
    <s v="REB"/>
    <n v="9959944"/>
    <n v="176"/>
    <s v="PEÇAS - Defeito de fabric./Interrompido"/>
    <s v="FUNCIONAL"/>
    <x v="1"/>
    <n v="4318"/>
    <x v="89"/>
    <s v="SC"/>
    <n v="931"/>
    <s v="Ats Off"/>
    <n v="1350"/>
    <s v="W10807957"/>
    <s v="Conjunto Varetas"/>
    <x v="8"/>
    <n v="2000"/>
    <n v="5003024"/>
    <s v="RODOBRAS TRANSPORTES RODOVIARIOS LT"/>
    <n v="143.04"/>
    <d v="2025-05-15T00:00:00"/>
  </r>
  <r>
    <s v="Sem TR"/>
    <n v="64789951"/>
    <s v="REB"/>
    <n v="10025111"/>
    <n v="177"/>
    <s v="PEÇAS - Defeito de fabric./Ruído"/>
    <s v="FUNCIONAL"/>
    <x v="1"/>
    <n v="27804"/>
    <x v="466"/>
    <s v="SP"/>
    <n v="641"/>
    <s v="CDP Diamante"/>
    <n v="1350"/>
    <s v="W11299805"/>
    <s v="Mecanismos"/>
    <x v="2"/>
    <n v="1000"/>
    <n v="5004042"/>
    <s v="BRASIL WEB TRANSPORTES E LOGISTICA"/>
    <n v="142.85"/>
    <d v="2025-06-17T00:00:00"/>
  </r>
  <r>
    <s v="Sem TR"/>
    <n v="64795359"/>
    <s v="ZRDI"/>
    <n v="10089147"/>
    <s v="D10"/>
    <s v="DEV D2C - Comprou modelo errado"/>
    <s v="COMERCIAL"/>
    <x v="2"/>
    <n v="58090262"/>
    <x v="962"/>
    <s v="RJ"/>
    <n v="475"/>
    <s v="Site Consul"/>
    <n v="1352"/>
    <s v="W11223847"/>
    <s v="Tampas Móveis"/>
    <x v="6"/>
    <n v="1000"/>
    <n v="5002359"/>
    <s v="EMPRESA BRASILEIRA DE CORREIOS E"/>
    <n v="142.84"/>
    <d v="2025-06-20T00:00:00"/>
  </r>
  <r>
    <s v="Sem TR"/>
    <n v="64795359"/>
    <s v="ZRDI"/>
    <n v="10089147"/>
    <s v="D10"/>
    <s v="DEV D2C - Comprou modelo errado"/>
    <s v="COMERCIAL"/>
    <x v="2"/>
    <n v="58090262"/>
    <x v="962"/>
    <s v="RJ"/>
    <n v="475"/>
    <s v="Site Consul"/>
    <n v="1352"/>
    <s v="W11223847"/>
    <s v="Tampas Móveis"/>
    <x v="6"/>
    <n v="1000"/>
    <n v="5002359"/>
    <s v="EMPRESA BRASILEIRA DE CORREIOS E"/>
    <n v="142.84"/>
    <d v="2025-06-20T00:00:00"/>
  </r>
  <r>
    <n v="254030851"/>
    <n v="64810291"/>
    <s v="ZRDI"/>
    <n v="10116230"/>
    <s v="D25"/>
    <s v="DEV D2C - Prob na entrega (Não recebi)"/>
    <s v="TRANSPORTADORA"/>
    <x v="2"/>
    <n v="58127272"/>
    <x v="963"/>
    <s v="MG"/>
    <n v="474"/>
    <s v="Site Brastemp"/>
    <n v="1352"/>
    <s v="W10728834"/>
    <s v="Bombas"/>
    <x v="1"/>
    <n v="1000"/>
    <n v="5002359"/>
    <s v="EMPRESA BRASILEIRA DE CORREIOS E"/>
    <n v="142.79"/>
    <d v="2025-07-14T00:00:00"/>
  </r>
  <r>
    <n v="254012479"/>
    <n v="64789245"/>
    <s v="REB"/>
    <n v="10063487"/>
    <n v="170"/>
    <s v="PEÇAS - Avaria - Riscada/Depósito"/>
    <s v="LOGÍSTICA"/>
    <x v="1"/>
    <n v="21594"/>
    <x v="97"/>
    <s v="SP"/>
    <n v="931"/>
    <s v="Ats Off"/>
    <n v="1350"/>
    <s v="W10633267"/>
    <s v="Mesas Cocção"/>
    <x v="6"/>
    <n v="1000"/>
    <n v="5004042"/>
    <s v="BRASIL WEB TRANSPORTES E LOGISTICA"/>
    <n v="142.66999999999999"/>
    <d v="2025-06-10T00:00:00"/>
  </r>
  <r>
    <s v="Sem TR"/>
    <n v="64734274"/>
    <s v="ROB"/>
    <n v="9901965"/>
    <n v="671"/>
    <s v="DEV-ENVIADO PARA GESTÃO DE CONSEQUENCIA"/>
    <s v="TRANSPORTADORA"/>
    <x v="1"/>
    <n v="28563"/>
    <x v="271"/>
    <s v="RS"/>
    <n v="701"/>
    <s v="Descredenciado"/>
    <n v="1350"/>
    <s v="W10764578"/>
    <s v="Conjunto Varetas"/>
    <x v="8"/>
    <n v="3000"/>
    <n v="5003024"/>
    <s v="RODOBRAS TRANSPORTES RODOVIARIOS LT"/>
    <n v="142.62"/>
    <d v="2025-03-19T00:00:00"/>
  </r>
  <r>
    <n v="253952415"/>
    <n v="64728659"/>
    <s v="REB"/>
    <n v="9804179"/>
    <n v="173"/>
    <s v="PEÇAS - Defeito de fabric./Alta Amperage"/>
    <s v="FUNCIONAL"/>
    <x v="1"/>
    <n v="58773"/>
    <x v="13"/>
    <s v="RN"/>
    <n v="350"/>
    <s v="Ats On"/>
    <n v="1350"/>
    <s v="W11603414"/>
    <s v="Placas de Controle"/>
    <x v="1"/>
    <n v="1000"/>
    <n v="5004101"/>
    <s v="UNIDOCK'S ASSESSORIA E LOGISTICA DE"/>
    <n v="142.61000000000001"/>
    <d v="2025-03-10T00:00:00"/>
  </r>
  <r>
    <n v="254038715"/>
    <n v="64816664"/>
    <s v="REB"/>
    <n v="10148506"/>
    <n v="240"/>
    <s v="DEV-Avaria - 2 trecho transp - Produto"/>
    <s v="QUALIDADE"/>
    <x v="1"/>
    <n v="9991"/>
    <x v="86"/>
    <s v="DF"/>
    <n v="648"/>
    <s v="Ultra"/>
    <n v="1350"/>
    <s v="W11643949"/>
    <s v="Tampas Móveis"/>
    <x v="6"/>
    <n v="1000"/>
    <n v="5002858"/>
    <s v="FAVORITA TRANSPORTES LTDA"/>
    <n v="142.49"/>
    <d v="2025-07-24T00:00:00"/>
  </r>
  <r>
    <s v="Sem TR"/>
    <n v="64759612"/>
    <s v="REB"/>
    <n v="9864425"/>
    <n v="160"/>
    <s v="OI Cancelada - Ver motivo no texto"/>
    <s v="OUTROS"/>
    <x v="1"/>
    <n v="9452"/>
    <x v="42"/>
    <s v="SP"/>
    <n v="931"/>
    <s v="Ats Off"/>
    <n v="1350"/>
    <s v="W10290362"/>
    <s v="Dispensers"/>
    <x v="9"/>
    <n v="2000"/>
    <n v="5004042"/>
    <s v="BRASIL WEB TRANSPORTES E LOGISTICA"/>
    <n v="142.4"/>
    <d v="2025-04-28T00:00:00"/>
  </r>
  <r>
    <s v="Sem TR"/>
    <n v="64807660"/>
    <s v="ZRDI"/>
    <n v="10090907"/>
    <s v="D10"/>
    <s v="DEV D2C - Comprou modelo errado"/>
    <s v="COMERCIAL"/>
    <x v="2"/>
    <n v="50196536"/>
    <x v="964"/>
    <s v="SP"/>
    <n v="474"/>
    <s v="Site Brastemp"/>
    <n v="1352"/>
    <s v="W11115537"/>
    <s v="Prateleiras"/>
    <x v="9"/>
    <n v="1000"/>
    <n v="5002359"/>
    <s v="EMPRESA BRASILEIRA DE CORREIOS E"/>
    <n v="142.07"/>
    <d v="2025-07-08T00:00:00"/>
  </r>
  <r>
    <s v="Sem TR"/>
    <n v="64807660"/>
    <s v="ZRDI"/>
    <n v="10090907"/>
    <s v="D10"/>
    <s v="DEV D2C - Comprou modelo errado"/>
    <s v="COMERCIAL"/>
    <x v="2"/>
    <n v="50196536"/>
    <x v="964"/>
    <s v="SP"/>
    <n v="474"/>
    <s v="Site Brastemp"/>
    <n v="1352"/>
    <s v="W11115537"/>
    <s v="Prateleiras"/>
    <x v="9"/>
    <n v="1000"/>
    <n v="5002359"/>
    <s v="EMPRESA BRASILEIRA DE CORREIOS E"/>
    <n v="142.07"/>
    <d v="2025-07-08T00:00:00"/>
  </r>
  <r>
    <n v="254024106"/>
    <n v="64803628"/>
    <s v="ZRDI"/>
    <n v="10036014"/>
    <n v="208"/>
    <s v="DEV-Atraso entrega- LOGISTICA(Transp)"/>
    <s v="TRANSPORTADORA"/>
    <x v="2"/>
    <n v="51835412"/>
    <x v="965"/>
    <s v="BA"/>
    <n v="466"/>
    <s v="Sup ML Marketplace"/>
    <n v="1352"/>
    <s v="W11370000"/>
    <s v="Motores Ventiladores"/>
    <x v="1"/>
    <n v="1000"/>
    <n v="5002359"/>
    <s v="EMPRESA BRASILEIRA DE CORREIOS E"/>
    <n v="142.04"/>
    <d v="2025-07-01T00:00:00"/>
  </r>
  <r>
    <s v="Sem TR"/>
    <n v="64819602"/>
    <s v="ZRDI"/>
    <n v="10136681"/>
    <s v="D10"/>
    <s v="DEV D2C - Comprou modelo errado"/>
    <s v="COMERCIAL"/>
    <x v="1"/>
    <n v="58156053"/>
    <x v="966"/>
    <s v="ES"/>
    <n v="474"/>
    <s v="Site Brastemp"/>
    <n v="1352"/>
    <s v="W10920074"/>
    <s v="Outros"/>
    <x v="7"/>
    <n v="1000"/>
    <n v="5002359"/>
    <s v="EMPRESA BRASILEIRA DE CORREIOS E"/>
    <n v="141.93"/>
    <d v="2025-07-29T00:00:00"/>
  </r>
  <r>
    <s v="Sem TR"/>
    <n v="64796534"/>
    <s v="REB"/>
    <n v="10078533"/>
    <n v="509"/>
    <s v="Qtd de peças a Menor dentro do Volume"/>
    <s v="LOGÍSTICA"/>
    <x v="1"/>
    <n v="78757"/>
    <x v="50"/>
    <s v="RS"/>
    <n v="643"/>
    <s v="Elite"/>
    <n v="1350"/>
    <n v="326000047"/>
    <s v="Tirantes"/>
    <x v="8"/>
    <n v="100000"/>
    <n v="5002359"/>
    <s v="EMPRESA BRASILEIRA DE CORREIOS E"/>
    <n v="141.58000000000001"/>
    <d v="2025-06-24T00:00:00"/>
  </r>
  <r>
    <n v="253995098"/>
    <n v="64771164"/>
    <s v="REB"/>
    <n v="10008061"/>
    <n v="173"/>
    <s v="PEÇAS - Defeito de fabric./Alta Amperage"/>
    <s v="FUNCIONAL"/>
    <x v="1"/>
    <n v="21594"/>
    <x v="97"/>
    <s v="SP"/>
    <n v="931"/>
    <s v="Ats Off"/>
    <n v="1350"/>
    <s v="W11387305"/>
    <s v="Gases Refrigerantes"/>
    <x v="0"/>
    <n v="1000"/>
    <n v="5004042"/>
    <s v="BRASIL WEB TRANSPORTES E LOGISTICA"/>
    <n v="141.46"/>
    <d v="2025-05-15T00:00:00"/>
  </r>
  <r>
    <s v="Sem TR"/>
    <n v="64789172"/>
    <s v="ZRDI"/>
    <n v="10098280"/>
    <s v="D18"/>
    <s v="DEV D2C - Arrependimento não quero mais"/>
    <s v="COMERCIAL"/>
    <x v="2"/>
    <n v="57330857"/>
    <x v="967"/>
    <s v="MG"/>
    <n v="475"/>
    <s v="Site Consul"/>
    <n v="1352"/>
    <s v="W10581058"/>
    <s v="Gavetas"/>
    <x v="9"/>
    <n v="1000"/>
    <n v="5002359"/>
    <s v="EMPRESA BRASILEIRA DE CORREIOS E"/>
    <n v="141.41"/>
    <d v="2025-06-23T00:00:00"/>
  </r>
  <r>
    <s v="Sem TR"/>
    <n v="64802300"/>
    <s v="ZRDI"/>
    <n v="10094012"/>
    <s v="D10"/>
    <s v="DEV D2C - Comprou modelo errado"/>
    <s v="COMERCIAL"/>
    <x v="2"/>
    <n v="58099719"/>
    <x v="968"/>
    <s v="MG"/>
    <n v="474"/>
    <s v="Site Brastemp"/>
    <n v="1352"/>
    <s v="W10581058"/>
    <s v="Gavetas"/>
    <x v="9"/>
    <n v="1000"/>
    <n v="5002359"/>
    <s v="EMPRESA BRASILEIRA DE CORREIOS E"/>
    <n v="141.41"/>
    <d v="2025-07-01T00:00:00"/>
  </r>
  <r>
    <n v="254033984"/>
    <n v="64812554"/>
    <s v="ZRDI"/>
    <n v="10116349"/>
    <n v="208"/>
    <s v="DEV-Atraso entrega- LOGISTICA(Transp)"/>
    <s v="TRANSPORTADORA"/>
    <x v="2"/>
    <n v="58127767"/>
    <x v="969"/>
    <s v="MG"/>
    <n v="475"/>
    <s v="Site Consul"/>
    <n v="1352"/>
    <s v="W10581058"/>
    <s v="Gavetas"/>
    <x v="9"/>
    <n v="1000"/>
    <n v="5002359"/>
    <s v="EMPRESA BRASILEIRA DE CORREIOS E"/>
    <n v="141.41"/>
    <d v="2025-07-17T00:00:00"/>
  </r>
  <r>
    <s v="Sem TR"/>
    <n v="64816305"/>
    <s v="ZRDI"/>
    <n v="10141653"/>
    <s v="D10"/>
    <s v="DEV D2C - Comprou modelo errado"/>
    <s v="COMERCIAL"/>
    <x v="2"/>
    <n v="58161447"/>
    <x v="970"/>
    <s v="MG"/>
    <n v="475"/>
    <s v="Site Consul"/>
    <n v="1352"/>
    <s v="W10581058"/>
    <s v="Gavetas"/>
    <x v="9"/>
    <n v="1000"/>
    <n v="5002359"/>
    <s v="EMPRESA BRASILEIRA DE CORREIOS E"/>
    <n v="141.41"/>
    <d v="2025-07-24T00:00:00"/>
  </r>
  <r>
    <s v="Sem TR"/>
    <n v="64789172"/>
    <s v="ZRDI"/>
    <n v="10098280"/>
    <s v="D18"/>
    <s v="DEV D2C - Arrependimento não quero mais"/>
    <s v="COMERCIAL"/>
    <x v="2"/>
    <n v="57330857"/>
    <x v="967"/>
    <s v="MG"/>
    <n v="475"/>
    <s v="Site Consul"/>
    <n v="1352"/>
    <s v="W10581058"/>
    <s v="Gavetas"/>
    <x v="9"/>
    <n v="1000"/>
    <n v="5002359"/>
    <s v="EMPRESA BRASILEIRA DE CORREIOS E"/>
    <n v="141.41"/>
    <d v="2025-06-23T00:00:00"/>
  </r>
  <r>
    <n v="254033984"/>
    <n v="64812554"/>
    <s v="ZRDI"/>
    <n v="10116349"/>
    <n v="208"/>
    <s v="DEV-Atraso entrega- LOGISTICA(Transp)"/>
    <s v="TRANSPORTADORA"/>
    <x v="2"/>
    <n v="58127767"/>
    <x v="969"/>
    <s v="MG"/>
    <n v="475"/>
    <s v="Site Consul"/>
    <n v="1352"/>
    <s v="W10581058"/>
    <s v="Gavetas"/>
    <x v="9"/>
    <n v="1000"/>
    <n v="5002359"/>
    <s v="EMPRESA BRASILEIRA DE CORREIOS E"/>
    <n v="141.41"/>
    <d v="2025-07-17T00:00:00"/>
  </r>
  <r>
    <s v="Sem TR"/>
    <n v="64816305"/>
    <s v="ZRDI"/>
    <n v="10141653"/>
    <s v="D10"/>
    <s v="DEV D2C - Comprou modelo errado"/>
    <s v="COMERCIAL"/>
    <x v="2"/>
    <n v="58161447"/>
    <x v="970"/>
    <s v="MG"/>
    <n v="475"/>
    <s v="Site Consul"/>
    <n v="1352"/>
    <s v="W10581058"/>
    <s v="Gavetas"/>
    <x v="9"/>
    <n v="1000"/>
    <n v="5002359"/>
    <s v="EMPRESA BRASILEIRA DE CORREIOS E"/>
    <n v="141.41"/>
    <d v="2025-07-24T00:00:00"/>
  </r>
  <r>
    <n v="254026369"/>
    <n v="64805835"/>
    <s v="ZRDI"/>
    <n v="10073280"/>
    <n v="208"/>
    <s v="DEV-Atraso entrega- LOGISTICA(Transp)"/>
    <s v="TRANSPORTADORA"/>
    <x v="2"/>
    <n v="57023175"/>
    <x v="971"/>
    <s v="MG"/>
    <n v="466"/>
    <s v="Sup ML Marketplace"/>
    <n v="1352"/>
    <s v="W11509387"/>
    <s v="Filtros"/>
    <x v="5"/>
    <n v="1000"/>
    <n v="5002359"/>
    <s v="EMPRESA BRASILEIRA DE CORREIOS E"/>
    <n v="141.33000000000001"/>
    <d v="2025-07-04T00:00:00"/>
  </r>
  <r>
    <n v="254044377"/>
    <n v="64799953"/>
    <s v="REB"/>
    <n v="10085182"/>
    <n v="115"/>
    <s v="PEÇAS-Recusa do cliente"/>
    <s v="COMERCIAL"/>
    <x v="0"/>
    <n v="48539"/>
    <x v="972"/>
    <s v="MG"/>
    <n v="350"/>
    <s v="Ats On"/>
    <n v="1350"/>
    <s v="W11046681"/>
    <s v="Outros"/>
    <x v="7"/>
    <n v="1000"/>
    <n v="5004215"/>
    <s v="BRASIL WEB TRANSPORTES E LOGISTICA"/>
    <n v="141.31"/>
    <d v="2025-06-28T00:00:00"/>
  </r>
  <r>
    <s v="Sem TR"/>
    <n v="64805864"/>
    <s v="ZRDI"/>
    <n v="10106291"/>
    <s v="D10"/>
    <s v="DEV D2C - Comprou modelo errado"/>
    <s v="COMERCIAL"/>
    <x v="2"/>
    <n v="58117597"/>
    <x v="973"/>
    <s v="SP"/>
    <n v="466"/>
    <s v="Sup ML Marketplace"/>
    <n v="1352"/>
    <s v="W10581058"/>
    <s v="Gavetas"/>
    <x v="9"/>
    <n v="1000"/>
    <n v="5002359"/>
    <s v="EMPRESA BRASILEIRA DE CORREIOS E"/>
    <n v="141.13"/>
    <d v="2025-07-04T00:00:00"/>
  </r>
  <r>
    <s v="Sem TR"/>
    <n v="64810806"/>
    <s v="ZRDI"/>
    <n v="10105414"/>
    <s v="D10"/>
    <s v="DEV D2C - Comprou modelo errado"/>
    <s v="COMERCIAL"/>
    <x v="2"/>
    <n v="58113631"/>
    <x v="974"/>
    <s v="SP"/>
    <n v="466"/>
    <s v="Sup ML Marketplace"/>
    <n v="1352"/>
    <s v="W10581058"/>
    <s v="Gavetas"/>
    <x v="9"/>
    <n v="1000"/>
    <n v="5003254"/>
    <s v="TMA TRANSPORTE LOTACAO E LOGISTICA"/>
    <n v="141.13"/>
    <d v="2025-07-15T00:00:00"/>
  </r>
  <r>
    <s v="Sem TR"/>
    <n v="64810806"/>
    <s v="ZRDI"/>
    <n v="10105414"/>
    <s v="D10"/>
    <s v="DEV D2C - Comprou modelo errado"/>
    <s v="COMERCIAL"/>
    <x v="2"/>
    <n v="58113631"/>
    <x v="974"/>
    <s v="SP"/>
    <n v="466"/>
    <s v="Sup ML Marketplace"/>
    <n v="1352"/>
    <s v="W10581058"/>
    <s v="Gavetas"/>
    <x v="9"/>
    <n v="1000"/>
    <n v="5003254"/>
    <s v="TMA TRANSPORTE LOTACAO E LOGISTICA"/>
    <n v="141.13"/>
    <d v="2025-07-15T00:00:00"/>
  </r>
  <r>
    <n v="254032517"/>
    <n v="64811481"/>
    <s v="ZRDI"/>
    <n v="10093593"/>
    <n v="208"/>
    <s v="DEV-Atraso entrega- LOGISTICA(Transp)"/>
    <s v="TRANSPORTADORA"/>
    <x v="2"/>
    <n v="57203113"/>
    <x v="975"/>
    <s v="RJ"/>
    <n v="475"/>
    <s v="Site Consul"/>
    <n v="1352"/>
    <s v="W10866789"/>
    <s v="Kits Instalação"/>
    <x v="7"/>
    <n v="2000"/>
    <n v="5002359"/>
    <s v="EMPRESA BRASILEIRA DE CORREIOS E"/>
    <n v="141.12"/>
    <d v="2025-07-16T00:00:00"/>
  </r>
  <r>
    <n v="254033317"/>
    <n v="64806123"/>
    <s v="REB"/>
    <n v="9766580"/>
    <n v="176"/>
    <s v="PEÇAS - Defeito de fabric./Interrompido"/>
    <s v="FUNCIONAL"/>
    <x v="1"/>
    <n v="24089"/>
    <x v="134"/>
    <s v="RJ"/>
    <n v="931"/>
    <s v="Ats Off"/>
    <n v="1350"/>
    <s v="W11047052"/>
    <s v="Interruptores horário"/>
    <x v="3"/>
    <n v="1000"/>
    <n v="5003176"/>
    <s v="J C THEDIN TRANSPORTES LTDA"/>
    <n v="141.09"/>
    <d v="2025-07-08T00:00:00"/>
  </r>
  <r>
    <n v="253992756"/>
    <n v="64767962"/>
    <s v="REB"/>
    <n v="10013505"/>
    <n v="167"/>
    <s v="PEÇAS - Avaria - Quebrada/Depósito"/>
    <s v="LOGÍSTICA"/>
    <x v="1"/>
    <n v="63028"/>
    <x v="144"/>
    <s v="SP"/>
    <n v="641"/>
    <s v="CDP Diamante"/>
    <n v="1350"/>
    <s v="W10744943"/>
    <s v="Gavetas"/>
    <x v="9"/>
    <n v="2000"/>
    <n v="5004042"/>
    <s v="BRASIL WEB TRANSPORTES E LOGISTICA"/>
    <n v="140.85"/>
    <d v="2025-05-12T00:00:00"/>
  </r>
  <r>
    <s v="Sem TR"/>
    <n v="64817954"/>
    <s v="ZRDI"/>
    <n v="10115630"/>
    <s v="D10"/>
    <s v="DEV D2C - Comprou modelo errado"/>
    <s v="COMERCIAL"/>
    <x v="2"/>
    <n v="52720766"/>
    <x v="976"/>
    <s v="MG"/>
    <n v="466"/>
    <s v="Sup ML Marketplace"/>
    <n v="1352"/>
    <s v="W11630833"/>
    <s v="Relês"/>
    <x v="1"/>
    <n v="1000"/>
    <n v="5002359"/>
    <s v="EMPRESA BRASILEIRA DE CORREIOS E"/>
    <n v="140.65"/>
    <d v="2025-07-25T00:00:00"/>
  </r>
  <r>
    <s v="Sem TR"/>
    <n v="64817954"/>
    <s v="ZRDI"/>
    <n v="10115630"/>
    <s v="D10"/>
    <s v="DEV D2C - Comprou modelo errado"/>
    <s v="COMERCIAL"/>
    <x v="2"/>
    <n v="52720766"/>
    <x v="976"/>
    <s v="MG"/>
    <n v="466"/>
    <s v="Sup ML Marketplace"/>
    <n v="1352"/>
    <s v="W11630833"/>
    <s v="Relês"/>
    <x v="1"/>
    <n v="1000"/>
    <n v="5002359"/>
    <s v="EMPRESA BRASILEIRA DE CORREIOS E"/>
    <n v="140.65"/>
    <d v="2025-07-25T00:00:00"/>
  </r>
  <r>
    <n v="253983872"/>
    <n v="64759655"/>
    <s v="REB"/>
    <n v="9969934"/>
    <n v="176"/>
    <s v="PEÇAS - Defeito de fabric./Interrompido"/>
    <s v="FUNCIONAL"/>
    <x v="2"/>
    <n v="24089"/>
    <x v="134"/>
    <s v="RJ"/>
    <n v="931"/>
    <s v="Ats Off"/>
    <n v="1350"/>
    <n v="326073242"/>
    <s v="Placas de Controle"/>
    <x v="1"/>
    <n v="1000"/>
    <n v="5003176"/>
    <s v="J C THEDIN TRANSPORTES LTDA"/>
    <n v="140.63999999999999"/>
    <d v="2025-04-28T00:00:00"/>
  </r>
  <r>
    <n v="254018238"/>
    <n v="64793209"/>
    <s v="REB"/>
    <n v="10064031"/>
    <n v="176"/>
    <s v="PEÇAS - Defeito de fabric./Interrompido"/>
    <s v="FUNCIONAL"/>
    <x v="1"/>
    <n v="24089"/>
    <x v="134"/>
    <s v="RJ"/>
    <n v="931"/>
    <s v="Ats Off"/>
    <n v="1350"/>
    <n v="326073242"/>
    <s v="Placas de Controle"/>
    <x v="1"/>
    <n v="1000"/>
    <n v="5003176"/>
    <s v="J C THEDIN TRANSPORTES LTDA"/>
    <n v="140.63999999999999"/>
    <d v="2025-06-17T00:00:00"/>
  </r>
  <r>
    <n v="254042269"/>
    <n v="64796018"/>
    <s v="REB"/>
    <n v="9998225"/>
    <n v="173"/>
    <s v="PEÇAS - Defeito de fabric./Alta Amperage"/>
    <s v="FUNCIONAL"/>
    <x v="0"/>
    <n v="69166"/>
    <x v="129"/>
    <s v="RJ"/>
    <n v="931"/>
    <s v="Ats Off"/>
    <n v="1350"/>
    <n v="326073242"/>
    <s v="Placas de Controle"/>
    <x v="1"/>
    <n v="1000"/>
    <n v="5003176"/>
    <s v="J C THEDIN TRANSPORTES LTDA"/>
    <n v="140.63999999999999"/>
    <d v="2025-06-23T00:00:00"/>
  </r>
  <r>
    <n v="254043651"/>
    <n v="64804991"/>
    <s v="REB"/>
    <n v="10033798"/>
    <n v="173"/>
    <s v="PEÇAS - Defeito de fabric./Alta Amperage"/>
    <s v="FUNCIONAL"/>
    <x v="0"/>
    <n v="37369"/>
    <x v="85"/>
    <s v="SC"/>
    <n v="932"/>
    <s v="CDP Prata"/>
    <n v="1350"/>
    <s v="W11108979"/>
    <s v="Molduras"/>
    <x v="6"/>
    <n v="1000"/>
    <n v="5003024"/>
    <s v="RODOBRAS TRANSPORTES RODOVIARIOS LT"/>
    <n v="140.6"/>
    <d v="2025-07-03T00:00:00"/>
  </r>
  <r>
    <n v="254032488"/>
    <n v="64811450"/>
    <s v="ZRDI"/>
    <n v="10076097"/>
    <s v="D25"/>
    <s v="DEV D2C - Prob na entrega (Não recebi)"/>
    <s v="TRANSPORTADORA"/>
    <x v="2"/>
    <n v="5791202"/>
    <x v="977"/>
    <s v="SP"/>
    <n v="466"/>
    <s v="Sup ML Marketplace"/>
    <n v="1352"/>
    <s v="W11509387"/>
    <s v="Filtros"/>
    <x v="5"/>
    <n v="1000"/>
    <n v="5002359"/>
    <s v="EMPRESA BRASILEIRA DE CORREIOS E"/>
    <n v="140.44"/>
    <d v="2025-07-16T00:00:00"/>
  </r>
  <r>
    <n v="254032488"/>
    <n v="64811450"/>
    <s v="ZRDI"/>
    <n v="10076097"/>
    <s v="D25"/>
    <s v="DEV D2C - Prob na entrega (Não recebi)"/>
    <s v="TRANSPORTADORA"/>
    <x v="2"/>
    <n v="5791202"/>
    <x v="977"/>
    <s v="SP"/>
    <n v="466"/>
    <s v="Sup ML Marketplace"/>
    <n v="1352"/>
    <s v="W11509387"/>
    <s v="Filtros"/>
    <x v="5"/>
    <n v="1000"/>
    <n v="5002359"/>
    <s v="EMPRESA BRASILEIRA DE CORREIOS E"/>
    <n v="140.44"/>
    <d v="2025-07-16T00:00:00"/>
  </r>
  <r>
    <n v="254038294"/>
    <n v="64814862"/>
    <s v="REB"/>
    <n v="10046750"/>
    <n v="176"/>
    <s v="PEÇAS - Defeito de fabric./Interrompido"/>
    <s v="FUNCIONAL"/>
    <x v="1"/>
    <n v="4318"/>
    <x v="89"/>
    <s v="SC"/>
    <n v="931"/>
    <s v="Ats Off"/>
    <n v="1350"/>
    <s v="W10885440"/>
    <s v="Portas"/>
    <x v="6"/>
    <n v="1000"/>
    <n v="5003024"/>
    <s v="RODOBRAS TRANSPORTES RODOVIARIOS LT"/>
    <n v="140.38999999999999"/>
    <d v="2025-07-22T00:00:00"/>
  </r>
  <r>
    <n v="254033397"/>
    <n v="64802489"/>
    <s v="REB"/>
    <n v="10048615"/>
    <n v="173"/>
    <s v="PEÇAS - Defeito de fabric./Alta Amperage"/>
    <s v="FUNCIONAL"/>
    <x v="1"/>
    <n v="37434"/>
    <x v="95"/>
    <s v="GO"/>
    <n v="931"/>
    <s v="Ats Off"/>
    <n v="1350"/>
    <s v="W11254865"/>
    <s v="Mecanismos"/>
    <x v="2"/>
    <n v="1000"/>
    <n v="5002858"/>
    <s v="FAVORITA TRANSPORTES LTDA"/>
    <n v="140.36000000000001"/>
    <d v="2025-07-01T00:00:00"/>
  </r>
  <r>
    <s v="Sem TR"/>
    <n v="64792806"/>
    <s v="REB"/>
    <n v="10041891"/>
    <n v="177"/>
    <s v="PEÇAS - Defeito de fabric./Ruído"/>
    <s v="FUNCIONAL"/>
    <x v="1"/>
    <n v="27804"/>
    <x v="466"/>
    <s v="SP"/>
    <n v="641"/>
    <s v="CDP Diamante"/>
    <n v="1350"/>
    <s v="W11300816"/>
    <s v="Mecanismos"/>
    <x v="2"/>
    <n v="1000"/>
    <n v="5004042"/>
    <s v="BRASIL WEB TRANSPORTES E LOGISTICA"/>
    <n v="140.21"/>
    <d v="2025-06-17T00:00:00"/>
  </r>
  <r>
    <n v="254012531"/>
    <n v="64788572"/>
    <s v="REB"/>
    <n v="9494343"/>
    <n v="173"/>
    <s v="PEÇAS - Defeito de fabric./Alta Amperage"/>
    <s v="FUNCIONAL"/>
    <x v="2"/>
    <n v="47026"/>
    <x v="16"/>
    <s v="BA"/>
    <n v="643"/>
    <s v="Elite"/>
    <n v="1350"/>
    <s v="W11387505"/>
    <s v="Placas de Controle"/>
    <x v="1"/>
    <n v="1000"/>
    <n v="5004101"/>
    <s v="UNIDOCK'S ASSESSORIA E LOGISTICA DE"/>
    <n v="140.01"/>
    <d v="2025-06-10T00:00:00"/>
  </r>
  <r>
    <s v="Sem TR"/>
    <n v="64820709"/>
    <s v="ZRDI"/>
    <n v="10123242"/>
    <s v="D10"/>
    <s v="DEV D2C - Comprou modelo errado"/>
    <s v="COMERCIAL"/>
    <x v="1"/>
    <n v="52682243"/>
    <x v="978"/>
    <s v="SC"/>
    <n v="474"/>
    <s v="Site Brastemp"/>
    <n v="1352"/>
    <s v="W10398757"/>
    <s v="Prateleiras"/>
    <x v="9"/>
    <n v="2000"/>
    <n v="5002359"/>
    <s v="EMPRESA BRASILEIRA DE CORREIOS E"/>
    <n v="139.84"/>
    <d v="2025-07-30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446927"/>
    <s v="Placas de Controle"/>
    <x v="1"/>
    <n v="1000"/>
    <n v="5004101"/>
    <s v="UNIDOCK'S ASSESSORIA E LOGISTICA DE"/>
    <n v="139.82"/>
    <d v="2025-02-25T00:00:00"/>
  </r>
  <r>
    <s v="Sem TR"/>
    <n v="64805060"/>
    <s v="ZRDI"/>
    <n v="10110750"/>
    <s v="D35"/>
    <s v="DEV D2C - Prod difere do comprado"/>
    <s v="COMERCIAL"/>
    <x v="2"/>
    <n v="51349135"/>
    <x v="979"/>
    <s v="SP"/>
    <n v="474"/>
    <s v="Site Brastemp"/>
    <n v="1352"/>
    <s v="W10920074"/>
    <s v="Outros"/>
    <x v="7"/>
    <n v="1000"/>
    <n v="5002359"/>
    <s v="EMPRESA BRASILEIRA DE CORREIOS E"/>
    <n v="139.66"/>
    <d v="2025-07-03T00:00:00"/>
  </r>
  <r>
    <n v="254042080"/>
    <n v="64795826"/>
    <s v="REB"/>
    <n v="9993596"/>
    <n v="173"/>
    <s v="PEÇAS - Defeito de fabric./Alta Amperage"/>
    <s v="FUNCIONAL"/>
    <x v="0"/>
    <n v="21330"/>
    <x v="80"/>
    <s v="PR"/>
    <n v="643"/>
    <s v="Elite"/>
    <n v="1350"/>
    <s v="W11254865"/>
    <s v="Mecanismos"/>
    <x v="2"/>
    <n v="1000"/>
    <n v="5003024"/>
    <s v="RODOBRAS TRANSPORTES RODOVIARIOS LT"/>
    <n v="139.62"/>
    <d v="2025-06-23T00:00:00"/>
  </r>
  <r>
    <s v="Sem TR"/>
    <n v="64814114"/>
    <s v="ZRDI"/>
    <n v="10128903"/>
    <s v="D10"/>
    <s v="DEV D2C - Comprou modelo errado"/>
    <s v="COMERCIAL"/>
    <x v="2"/>
    <n v="52920032"/>
    <x v="980"/>
    <s v="SP"/>
    <n v="474"/>
    <s v="Site Brastemp"/>
    <n v="1352"/>
    <n v="4258886"/>
    <s v="Anéis Hidro"/>
    <x v="6"/>
    <n v="1000"/>
    <n v="5002359"/>
    <s v="EMPRESA BRASILEIRA DE CORREIOS E"/>
    <n v="139.59"/>
    <d v="2025-07-21T00:00:00"/>
  </r>
  <r>
    <s v="Sem TR"/>
    <n v="64814114"/>
    <s v="ZRDI"/>
    <n v="10128903"/>
    <s v="D10"/>
    <s v="DEV D2C - Comprou modelo errado"/>
    <s v="COMERCIAL"/>
    <x v="2"/>
    <n v="52920032"/>
    <x v="980"/>
    <s v="SP"/>
    <n v="474"/>
    <s v="Site Brastemp"/>
    <n v="1352"/>
    <n v="4258886"/>
    <s v="Anéis Hidro"/>
    <x v="6"/>
    <n v="1000"/>
    <n v="5002359"/>
    <s v="EMPRESA BRASILEIRA DE CORREIOS E"/>
    <n v="139.59"/>
    <d v="2025-07-21T00:00:00"/>
  </r>
  <r>
    <s v="Sem TR"/>
    <n v="64817462"/>
    <s v="REB"/>
    <n v="10039379"/>
    <n v="173"/>
    <s v="PEÇAS - Defeito de fabric./Alta Amperage"/>
    <s v="FUNCIONAL"/>
    <x v="1"/>
    <n v="66"/>
    <x v="73"/>
    <s v="GO"/>
    <n v="931"/>
    <s v="Ats Off"/>
    <n v="1350"/>
    <s v="W10585017"/>
    <s v="Bombas"/>
    <x v="1"/>
    <n v="1000"/>
    <n v="5002858"/>
    <s v="FAVORITA TRANSPORTES LTDA"/>
    <n v="139.43"/>
    <d v="2025-07-25T00:00:00"/>
  </r>
  <r>
    <n v="254035317"/>
    <n v="64812414"/>
    <s v="REB"/>
    <n v="10024719"/>
    <n v="173"/>
    <s v="PEÇAS - Defeito de fabric./Alta Amperage"/>
    <s v="FUNCIONAL"/>
    <x v="2"/>
    <n v="66"/>
    <x v="73"/>
    <s v="GO"/>
    <n v="931"/>
    <s v="Ats Off"/>
    <n v="1350"/>
    <s v="W10585017"/>
    <s v="Bombas"/>
    <x v="1"/>
    <n v="1000"/>
    <n v="5002858"/>
    <s v="FAVORITA TRANSPORTES LTDA"/>
    <n v="139.43"/>
    <d v="2025-07-17T00:00:00"/>
  </r>
  <r>
    <s v="Sem TR"/>
    <n v="64800110"/>
    <s v="ZRDI"/>
    <n v="10063802"/>
    <s v="D10"/>
    <s v="DEV D2C - Comprou modelo errado"/>
    <s v="COMERCIAL"/>
    <x v="2"/>
    <n v="52358348"/>
    <x v="981"/>
    <s v="RS"/>
    <n v="474"/>
    <s v="Site Brastemp"/>
    <n v="1352"/>
    <s v="W11115537"/>
    <s v="Prateleiras"/>
    <x v="9"/>
    <n v="1000"/>
    <n v="5002359"/>
    <s v="EMPRESA BRASILEIRA DE CORREIOS E"/>
    <n v="139.38999999999999"/>
    <d v="2025-06-30T00:00:00"/>
  </r>
  <r>
    <n v="254012438"/>
    <n v="64788483"/>
    <s v="REB"/>
    <n v="10027801"/>
    <n v="177"/>
    <s v="PEÇAS - Defeito de fabric./Ruído"/>
    <s v="FUNCIONAL"/>
    <x v="1"/>
    <n v="3361"/>
    <x v="351"/>
    <s v="SP"/>
    <n v="350"/>
    <s v="Ats On"/>
    <n v="1350"/>
    <s v="W11300816"/>
    <s v="Mecanismos"/>
    <x v="2"/>
    <n v="1000"/>
    <n v="5004042"/>
    <s v="BRASIL WEB TRANSPORTES E LOGISTICA"/>
    <n v="139.13999999999999"/>
    <d v="2025-06-10T00:00:00"/>
  </r>
  <r>
    <n v="254035008"/>
    <n v="64813407"/>
    <s v="ZRDI"/>
    <n v="10112491"/>
    <n v="208"/>
    <s v="DEV-Atraso entrega- LOGISTICA(Transp)"/>
    <s v="TRANSPORTADORA"/>
    <x v="2"/>
    <n v="58051359"/>
    <x v="982"/>
    <s v="PR"/>
    <n v="475"/>
    <s v="Site Consul"/>
    <n v="1352"/>
    <s v="W10581058"/>
    <s v="Gavetas"/>
    <x v="9"/>
    <n v="1000"/>
    <n v="5002359"/>
    <s v="EMPRESA BRASILEIRA DE CORREIOS E"/>
    <n v="139.04"/>
    <d v="2025-07-18T00:00:00"/>
  </r>
  <r>
    <n v="254035008"/>
    <n v="64813407"/>
    <s v="ZRDI"/>
    <n v="10112491"/>
    <n v="208"/>
    <s v="DEV-Atraso entrega- LOGISTICA(Transp)"/>
    <s v="TRANSPORTADORA"/>
    <x v="2"/>
    <n v="58051359"/>
    <x v="982"/>
    <s v="PR"/>
    <n v="475"/>
    <s v="Site Consul"/>
    <n v="1352"/>
    <s v="W10581058"/>
    <s v="Gavetas"/>
    <x v="9"/>
    <n v="1000"/>
    <n v="5002359"/>
    <s v="EMPRESA BRASILEIRA DE CORREIOS E"/>
    <n v="139.04"/>
    <d v="2025-07-18T00:00:00"/>
  </r>
  <r>
    <n v="254042280"/>
    <n v="64796117"/>
    <s v="REB"/>
    <n v="9863811"/>
    <n v="173"/>
    <s v="PEÇAS - Defeito de fabric./Alta Amperage"/>
    <s v="FUNCIONAL"/>
    <x v="0"/>
    <n v="70555"/>
    <x v="150"/>
    <s v="SC"/>
    <n v="648"/>
    <s v="Ultra"/>
    <n v="1350"/>
    <s v="W11161219"/>
    <s v="Placas de Interface"/>
    <x v="1"/>
    <n v="1000"/>
    <n v="5003024"/>
    <s v="RODOBRAS TRANSPORTES RODOVIARIOS LT"/>
    <n v="138.97"/>
    <d v="2025-06-23T00:00:00"/>
  </r>
  <r>
    <s v="Sem TR"/>
    <n v="64793401"/>
    <s v="ZRDI"/>
    <n v="10109774"/>
    <s v="D10"/>
    <s v="DEV D2C - Comprou modelo errado"/>
    <s v="COMERCIAL"/>
    <x v="2"/>
    <n v="58120240"/>
    <x v="983"/>
    <s v="SP"/>
    <n v="474"/>
    <s v="Site Brastemp"/>
    <n v="1352"/>
    <s v="W10577330"/>
    <s v="Tampas Móveis"/>
    <x v="6"/>
    <n v="1000"/>
    <n v="5002359"/>
    <s v="EMPRESA BRASILEIRA DE CORREIOS E"/>
    <n v="138.9"/>
    <d v="2025-07-02T00:00:00"/>
  </r>
  <r>
    <n v="254023084"/>
    <n v="64748872"/>
    <s v="REB"/>
    <n v="49381"/>
    <n v="173"/>
    <s v="PEÇAS - Defeito de fabric./Alta Amperage"/>
    <s v="FUNCIONAL"/>
    <x v="2"/>
    <n v="30820"/>
    <x v="49"/>
    <s v="PE"/>
    <n v="350"/>
    <s v="Ats On"/>
    <n v="1550"/>
    <s v="W10446925"/>
    <s v="Placas de Controle"/>
    <x v="1"/>
    <n v="1000"/>
    <n v="5004391"/>
    <s v="JEONCEL TRANSPORTES LTDA"/>
    <n v="138.86000000000001"/>
    <d v="2025-04-09T00:00:00"/>
  </r>
  <r>
    <n v="254033424"/>
    <n v="64802816"/>
    <s v="REB"/>
    <n v="10068438"/>
    <n v="173"/>
    <s v="PEÇAS - Defeito de fabric./Alta Amperage"/>
    <s v="FUNCIONAL"/>
    <x v="1"/>
    <n v="61371"/>
    <x v="96"/>
    <s v="DF"/>
    <n v="933"/>
    <s v="Top"/>
    <n v="1350"/>
    <s v="W10882241"/>
    <s v="Agitadores"/>
    <x v="2"/>
    <n v="4000"/>
    <n v="5002858"/>
    <s v="FAVORITA TRANSPORTES LTDA"/>
    <n v="138.81"/>
    <d v="2025-07-01T00:00:00"/>
  </r>
  <r>
    <n v="254018237"/>
    <n v="64793307"/>
    <s v="REB"/>
    <n v="10060265"/>
    <n v="90"/>
    <s v="CLIENTE-não solicitou"/>
    <s v="COMERCIAL"/>
    <x v="2"/>
    <n v="22985"/>
    <x v="247"/>
    <s v="SC"/>
    <n v="641"/>
    <s v="CDP Diamante"/>
    <n v="1350"/>
    <s v="W10733396"/>
    <s v="Tampas Móveis"/>
    <x v="6"/>
    <n v="1000"/>
    <n v="5003024"/>
    <s v="RODOBRAS TRANSPORTES RODOVIARIOS LT"/>
    <n v="138.78"/>
    <d v="2025-06-17T00:00:00"/>
  </r>
  <r>
    <n v="253907544"/>
    <n v="64675883"/>
    <s v="REB"/>
    <n v="9778690"/>
    <n v="671"/>
    <s v="DEV-ENVIADO PARA GESTÃO DE CONSEQUENCIA"/>
    <s v="TRANSPORTADORA"/>
    <x v="1"/>
    <n v="8192"/>
    <x v="118"/>
    <s v="PR"/>
    <n v="933"/>
    <s v="Top"/>
    <n v="1350"/>
    <s v="W11310109"/>
    <s v="Espargidores"/>
    <x v="2"/>
    <n v="5000"/>
    <n v="5003024"/>
    <s v="RODOBRAS TRANSPORTES RODOVIARIOS LT"/>
    <n v="138.78"/>
    <d v="2024-12-23T00:00:00"/>
  </r>
  <r>
    <s v="Sem TR"/>
    <n v="64806002"/>
    <s v="ZRDI"/>
    <n v="10103347"/>
    <s v="D10"/>
    <s v="DEV D2C - Comprou modelo errado"/>
    <s v="COMERCIAL"/>
    <x v="2"/>
    <n v="58111286"/>
    <x v="984"/>
    <s v="RS"/>
    <n v="474"/>
    <s v="Site Brastemp"/>
    <n v="1352"/>
    <s v="W10581058"/>
    <s v="Gavetas"/>
    <x v="9"/>
    <n v="1000"/>
    <n v="5002359"/>
    <s v="EMPRESA BRASILEIRA DE CORREIOS E"/>
    <n v="138.74"/>
    <d v="2025-07-10T00:00:00"/>
  </r>
  <r>
    <s v="Sem TR"/>
    <n v="64815126"/>
    <s v="ZRDI"/>
    <n v="10108236"/>
    <s v="D35"/>
    <s v="DEV D2C - Prod difere do comprado"/>
    <s v="COMERCIAL"/>
    <x v="2"/>
    <n v="58118583"/>
    <x v="985"/>
    <s v="RS"/>
    <n v="475"/>
    <s v="Site Consul"/>
    <n v="1352"/>
    <s v="W10581058"/>
    <s v="Gavetas"/>
    <x v="9"/>
    <n v="1000"/>
    <n v="5002359"/>
    <s v="EMPRESA BRASILEIRA DE CORREIOS E"/>
    <n v="138.74"/>
    <d v="2025-07-23T00:00:00"/>
  </r>
  <r>
    <s v="Sem TR"/>
    <n v="64815126"/>
    <s v="ZRDI"/>
    <n v="10108236"/>
    <s v="D35"/>
    <s v="DEV D2C - Prod difere do comprado"/>
    <s v="COMERCIAL"/>
    <x v="2"/>
    <n v="58118583"/>
    <x v="985"/>
    <s v="RS"/>
    <n v="475"/>
    <s v="Site Consul"/>
    <n v="1352"/>
    <s v="W10581058"/>
    <s v="Gavetas"/>
    <x v="9"/>
    <n v="1000"/>
    <n v="5002359"/>
    <s v="EMPRESA BRASILEIRA DE CORREIOS E"/>
    <n v="138.74"/>
    <d v="2025-07-23T00:00:00"/>
  </r>
  <r>
    <n v="254021293"/>
    <n v="64798939"/>
    <s v="ZRDI"/>
    <n v="10047624"/>
    <s v="D25"/>
    <s v="DEV D2C - Prob na entrega (Não recebi)"/>
    <s v="TRANSPORTADORA"/>
    <x v="2"/>
    <n v="54618653"/>
    <x v="986"/>
    <s v="RS"/>
    <n v="475"/>
    <s v="Site Consul"/>
    <n v="1352"/>
    <s v="W10581058"/>
    <s v="Gavetas"/>
    <x v="9"/>
    <n v="1000"/>
    <n v="5002359"/>
    <s v="EMPRESA BRASILEIRA DE CORREIOS E"/>
    <n v="138.72999999999999"/>
    <d v="2025-06-26T00:00:00"/>
  </r>
  <r>
    <n v="254033454"/>
    <n v="64806987"/>
    <s v="REB"/>
    <n v="9843973"/>
    <n v="173"/>
    <s v="PEÇAS - Defeito de fabric./Alta Amperage"/>
    <s v="FUNCIONAL"/>
    <x v="2"/>
    <n v="76462"/>
    <x v="243"/>
    <s v="DF"/>
    <n v="933"/>
    <s v="Top"/>
    <n v="1350"/>
    <s v="W11435392"/>
    <s v="Placas de Controle"/>
    <x v="1"/>
    <n v="1000"/>
    <n v="5002858"/>
    <s v="FAVORITA TRANSPORTES LTDA"/>
    <n v="138.66999999999999"/>
    <d v="2025-07-08T00:00:00"/>
  </r>
  <r>
    <n v="254012526"/>
    <n v="64788658"/>
    <s v="REB"/>
    <n v="9854930"/>
    <n v="173"/>
    <s v="PEÇAS - Defeito de fabric./Alta Amperage"/>
    <s v="FUNCIONAL"/>
    <x v="2"/>
    <n v="40998"/>
    <x v="8"/>
    <s v="GO"/>
    <n v="648"/>
    <s v="Ultra"/>
    <n v="1350"/>
    <s v="W11254865"/>
    <s v="Mecanismos"/>
    <x v="2"/>
    <n v="1000"/>
    <n v="5002858"/>
    <s v="FAVORITA TRANSPORTES LTDA"/>
    <n v="138.51"/>
    <d v="2025-06-10T00:00:00"/>
  </r>
  <r>
    <n v="253988837"/>
    <n v="64756978"/>
    <s v="REB"/>
    <n v="9995803"/>
    <n v="167"/>
    <s v="PEÇAS - Avaria - Quebrada/Depósito"/>
    <s v="LOGÍSTICA"/>
    <x v="1"/>
    <n v="25656"/>
    <x v="173"/>
    <s v="SP"/>
    <n v="931"/>
    <s v="Ats Off"/>
    <n v="1350"/>
    <s v="W10856154"/>
    <s v="Capas"/>
    <x v="6"/>
    <n v="5000"/>
    <n v="5004042"/>
    <s v="BRASIL WEB TRANSPORTES E LOGISTICA"/>
    <n v="138.47"/>
    <d v="2025-05-05T00:00:00"/>
  </r>
  <r>
    <n v="254003850"/>
    <n v="64778159"/>
    <s v="REB"/>
    <n v="10034600"/>
    <n v="176"/>
    <s v="PEÇAS - Defeito de fabric./Interrompido"/>
    <s v="FUNCIONAL"/>
    <x v="2"/>
    <n v="3506"/>
    <x v="46"/>
    <s v="SP"/>
    <n v="931"/>
    <s v="Ats Off"/>
    <n v="1350"/>
    <s v="W11123830"/>
    <s v="Placas de Controle"/>
    <x v="1"/>
    <n v="1000"/>
    <n v="5004042"/>
    <s v="BRASIL WEB TRANSPORTES E LOGISTICA"/>
    <n v="138.44999999999999"/>
    <d v="2025-05-26T00:00:00"/>
  </r>
  <r>
    <n v="254035353"/>
    <n v="64812357"/>
    <s v="REB"/>
    <n v="10113165"/>
    <n v="173"/>
    <s v="PEÇAS - Defeito de fabric./Alta Amperage"/>
    <s v="FUNCIONAL"/>
    <x v="1"/>
    <n v="21594"/>
    <x v="97"/>
    <s v="SP"/>
    <n v="931"/>
    <s v="Ats Off"/>
    <n v="1350"/>
    <s v="W11123830"/>
    <s v="Placas de Controle"/>
    <x v="1"/>
    <n v="1000"/>
    <n v="5004042"/>
    <s v="BRASIL WEB TRANSPORTES E LOGISTICA"/>
    <n v="138.44999999999999"/>
    <d v="2025-07-17T00:00:00"/>
  </r>
  <r>
    <n v="254003990"/>
    <n v="64777915"/>
    <s v="REB"/>
    <n v="9989284"/>
    <n v="90"/>
    <s v="CLIENTE-não solicitou"/>
    <s v="COMERCIAL"/>
    <x v="1"/>
    <n v="48722"/>
    <x v="987"/>
    <s v="SP"/>
    <n v="350"/>
    <s v="Ats On"/>
    <n v="1350"/>
    <s v="W10287547"/>
    <s v="Gavetas"/>
    <x v="9"/>
    <n v="1000"/>
    <n v="5004042"/>
    <s v="BRASIL WEB TRANSPORTES E LOGISTICA"/>
    <n v="138.37"/>
    <d v="2025-05-26T00:00:00"/>
  </r>
  <r>
    <n v="254018184"/>
    <n v="64760018"/>
    <s v="REB"/>
    <n v="9964568"/>
    <n v="177"/>
    <s v="PEÇAS - Defeito de fabric./Ruído"/>
    <s v="FUNCIONAL"/>
    <x v="1"/>
    <n v="4318"/>
    <x v="89"/>
    <s v="SC"/>
    <n v="931"/>
    <s v="Ats Off"/>
    <n v="1350"/>
    <s v="W10284848"/>
    <s v="Correias"/>
    <x v="2"/>
    <n v="4000"/>
    <n v="5003024"/>
    <s v="RODOBRAS TRANSPORTES RODOVIARIOS LT"/>
    <n v="138.36000000000001"/>
    <d v="2025-06-17T00:00:00"/>
  </r>
  <r>
    <n v="254012190"/>
    <n v="64790301"/>
    <s v="ZRDI"/>
    <n v="10011619"/>
    <n v="208"/>
    <s v="DEV-Atraso entrega- LOGISTICA(Transp)"/>
    <s v="TRANSPORTADORA"/>
    <x v="2"/>
    <n v="57998049"/>
    <x v="988"/>
    <s v="SC"/>
    <n v="475"/>
    <s v="Site Consul"/>
    <n v="1352"/>
    <s v="W10581058"/>
    <s v="Gavetas"/>
    <x v="9"/>
    <n v="1000"/>
    <n v="5002359"/>
    <s v="EMPRESA BRASILEIRA DE CORREIOS E"/>
    <n v="138.25"/>
    <d v="2025-06-11T00:00:00"/>
  </r>
  <r>
    <n v="254012479"/>
    <n v="64789449"/>
    <s v="REB"/>
    <n v="10046120"/>
    <n v="173"/>
    <s v="PEÇAS - Defeito de fabric./Alta Amperage"/>
    <s v="FUNCIONAL"/>
    <x v="1"/>
    <n v="21594"/>
    <x v="97"/>
    <s v="SP"/>
    <n v="931"/>
    <s v="Ats Off"/>
    <n v="1350"/>
    <s v="W10842342"/>
    <s v="Filtros"/>
    <x v="5"/>
    <n v="1000"/>
    <n v="5004042"/>
    <s v="BRASIL WEB TRANSPORTES E LOGISTICA"/>
    <n v="138.03"/>
    <d v="2025-06-10T00:00:00"/>
  </r>
  <r>
    <n v="254018098"/>
    <n v="64793139"/>
    <s v="REB"/>
    <n v="9825975"/>
    <n v="176"/>
    <s v="PEÇAS - Defeito de fabric./Interrompido"/>
    <s v="FUNCIONAL"/>
    <x v="2"/>
    <n v="66"/>
    <x v="73"/>
    <s v="GO"/>
    <n v="931"/>
    <s v="Ats Off"/>
    <n v="1350"/>
    <s v="W11603414"/>
    <s v="Placas de Controle"/>
    <x v="1"/>
    <n v="1000"/>
    <n v="5002858"/>
    <s v="FAVORITA TRANSPORTES LTDA"/>
    <n v="138.02000000000001"/>
    <d v="2025-06-17T00:00:00"/>
  </r>
  <r>
    <s v="Sem TR"/>
    <n v="64802847"/>
    <s v="ZRDI"/>
    <n v="10123439"/>
    <s v="D31"/>
    <s v="DEV D2C - Defeito estético manufatura"/>
    <s v="MANUFATURA"/>
    <x v="2"/>
    <n v="57652644"/>
    <x v="989"/>
    <s v="RJ"/>
    <n v="475"/>
    <s v="Site Consul"/>
    <n v="1352"/>
    <s v="W10581058"/>
    <s v="Gavetas"/>
    <x v="9"/>
    <n v="1000"/>
    <n v="5002359"/>
    <s v="EMPRESA BRASILEIRA DE CORREIOS E"/>
    <n v="137.94999999999999"/>
    <d v="2025-07-15T00:00:00"/>
  </r>
  <r>
    <s v="Sem TR"/>
    <n v="64804562"/>
    <s v="ZRDI"/>
    <n v="10106583"/>
    <s v="D10"/>
    <s v="DEV D2C - Comprou modelo errado"/>
    <s v="COMERCIAL"/>
    <x v="2"/>
    <n v="58116905"/>
    <x v="990"/>
    <s v="RJ"/>
    <n v="474"/>
    <s v="Site Brastemp"/>
    <n v="1352"/>
    <s v="W10581058"/>
    <s v="Gavetas"/>
    <x v="9"/>
    <n v="1000"/>
    <n v="5002359"/>
    <s v="EMPRESA BRASILEIRA DE CORREIOS E"/>
    <n v="137.94999999999999"/>
    <d v="2025-07-04T00:00:00"/>
  </r>
  <r>
    <n v="254035933"/>
    <n v="64814033"/>
    <s v="ZRDI"/>
    <n v="10123389"/>
    <n v="208"/>
    <s v="DEV-Atraso entrega- LOGISTICA(Transp)"/>
    <s v="TRANSPORTADORA"/>
    <x v="2"/>
    <n v="56785093"/>
    <x v="991"/>
    <s v="RJ"/>
    <n v="475"/>
    <s v="Site Consul"/>
    <n v="1352"/>
    <s v="W10581058"/>
    <s v="Gavetas"/>
    <x v="9"/>
    <n v="1000"/>
    <n v="5002359"/>
    <s v="EMPRESA BRASILEIRA DE CORREIOS E"/>
    <n v="137.94999999999999"/>
    <d v="2025-07-21T00:00:00"/>
  </r>
  <r>
    <s v="Sem TR"/>
    <n v="64804562"/>
    <s v="ZRDI"/>
    <n v="10106583"/>
    <s v="D10"/>
    <s v="DEV D2C - Comprou modelo errado"/>
    <s v="COMERCIAL"/>
    <x v="2"/>
    <n v="58116905"/>
    <x v="990"/>
    <s v="RJ"/>
    <n v="474"/>
    <s v="Site Brastemp"/>
    <n v="1352"/>
    <s v="W10581058"/>
    <s v="Gavetas"/>
    <x v="9"/>
    <n v="1000"/>
    <n v="5002359"/>
    <s v="EMPRESA BRASILEIRA DE CORREIOS E"/>
    <n v="137.94999999999999"/>
    <d v="2025-07-04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326052631"/>
    <s v="Prateleiras"/>
    <x v="9"/>
    <n v="1000"/>
    <n v="5004101"/>
    <s v="UNIDOCK'S ASSESSORIA E LOGISTICA DE"/>
    <n v="137.88999999999999"/>
    <d v="2025-03-13T00:00:00"/>
  </r>
  <r>
    <n v="254031622"/>
    <n v="64789580"/>
    <s v="REB"/>
    <n v="9798380"/>
    <n v="176"/>
    <s v="PEÇAS - Defeito de fabric./Interrompido"/>
    <s v="FUNCIONAL"/>
    <x v="1"/>
    <n v="3506"/>
    <x v="46"/>
    <s v="SP"/>
    <n v="931"/>
    <s v="Ats Off"/>
    <n v="1350"/>
    <s v="W11195522"/>
    <s v="Motores"/>
    <x v="1"/>
    <n v="1000"/>
    <n v="5004042"/>
    <s v="BRASIL WEB TRANSPORTES E LOGISTICA"/>
    <n v="137.87"/>
    <d v="2025-06-24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269366"/>
    <s v="Placas de Controle"/>
    <x v="1"/>
    <n v="1000"/>
    <n v="5004101"/>
    <s v="UNIDOCK'S ASSESSORIA E LOGISTICA DE"/>
    <n v="137.84"/>
    <d v="2025-07-29T00:00:00"/>
  </r>
  <r>
    <s v="Sem TR"/>
    <n v="64758414"/>
    <s v="REB"/>
    <n v="9958559"/>
    <n v="509"/>
    <s v="Qtd de peças a Menor dentro do Volume"/>
    <s v="LOGÍSTICA"/>
    <x v="1"/>
    <n v="31000"/>
    <x v="992"/>
    <s v="CE"/>
    <n v="350"/>
    <s v="Ats On"/>
    <n v="1350"/>
    <n v="4197305"/>
    <s v="Dobradiças"/>
    <x v="10"/>
    <n v="4000"/>
    <n v="5002359"/>
    <s v="EMPRESA BRASILEIRA DE CORREIOS E"/>
    <n v="137.76"/>
    <d v="2025-04-25T00:00:00"/>
  </r>
  <r>
    <n v="253988952"/>
    <n v="64759643"/>
    <s v="REB"/>
    <n v="9957645"/>
    <n v="167"/>
    <s v="PEÇAS - Avaria - Quebrada/Depósito"/>
    <s v="LOGÍSTICA"/>
    <x v="2"/>
    <n v="87407"/>
    <x v="208"/>
    <s v="SP"/>
    <n v="644"/>
    <s v="Plus"/>
    <n v="1350"/>
    <n v="326076083"/>
    <s v="Motores Ventiladores"/>
    <x v="1"/>
    <n v="1000"/>
    <n v="5004042"/>
    <s v="BRASIL WEB TRANSPORTES E LOGISTICA"/>
    <n v="137.51"/>
    <d v="2025-05-05T00:00:00"/>
  </r>
  <r>
    <n v="253970743"/>
    <n v="64748492"/>
    <s v="REB"/>
    <n v="9788866"/>
    <n v="173"/>
    <s v="PEÇAS - Defeito de fabric./Alta Amperage"/>
    <s v="FUNCIONAL"/>
    <x v="1"/>
    <n v="21594"/>
    <x v="97"/>
    <s v="SP"/>
    <n v="931"/>
    <s v="Ats Off"/>
    <n v="1350"/>
    <s v="W11045273"/>
    <s v="Capas"/>
    <x v="6"/>
    <n v="1000"/>
    <n v="5004042"/>
    <s v="BRASIL WEB TRANSPORTES E LOGISTICA"/>
    <n v="137.49"/>
    <d v="2025-04-09T00:00:00"/>
  </r>
  <r>
    <n v="254003964"/>
    <n v="64778229"/>
    <s v="REB"/>
    <n v="9843041"/>
    <n v="173"/>
    <s v="PEÇAS - Defeito de fabric./Alta Amperage"/>
    <s v="FUNCIONAL"/>
    <x v="2"/>
    <n v="31862"/>
    <x v="342"/>
    <s v="SC"/>
    <n v="933"/>
    <s v="Top"/>
    <n v="1350"/>
    <s v="W10751205"/>
    <s v="Placas de Interface"/>
    <x v="1"/>
    <n v="1000"/>
    <n v="5003024"/>
    <s v="RODOBRAS TRANSPORTES RODOVIARIOS LT"/>
    <n v="137.46"/>
    <d v="2025-05-26T00:00:00"/>
  </r>
  <r>
    <n v="253983948"/>
    <n v="64758351"/>
    <s v="REB"/>
    <n v="9939106"/>
    <n v="176"/>
    <s v="PEÇAS - Defeito de fabric./Interrompido"/>
    <s v="FUNCIONAL"/>
    <x v="2"/>
    <n v="66366"/>
    <x v="993"/>
    <s v="SP"/>
    <n v="934"/>
    <s v="CDP Ouro"/>
    <n v="1350"/>
    <s v="W11049608"/>
    <s v="Cordões de Alimentação"/>
    <x v="1"/>
    <n v="1000"/>
    <n v="5004042"/>
    <s v="BRASIL WEB TRANSPORTES E LOGISTICA"/>
    <n v="137.34"/>
    <d v="2025-04-28T00:00:00"/>
  </r>
  <r>
    <n v="254033100"/>
    <n v="64807622"/>
    <s v="REB"/>
    <n v="10015446"/>
    <n v="173"/>
    <s v="PEÇAS - Defeito de fabric./Alta Amperage"/>
    <s v="FUNCIONAL"/>
    <x v="2"/>
    <n v="66"/>
    <x v="73"/>
    <s v="GO"/>
    <n v="931"/>
    <s v="Ats Off"/>
    <n v="1350"/>
    <s v="W10885440"/>
    <s v="Portas"/>
    <x v="6"/>
    <n v="1000"/>
    <n v="5002858"/>
    <s v="FAVORITA TRANSPORTES LTDA"/>
    <n v="137.34"/>
    <d v="2025-07-08T00:00:00"/>
  </r>
  <r>
    <n v="254035317"/>
    <n v="64812457"/>
    <s v="REB"/>
    <n v="10057446"/>
    <n v="173"/>
    <s v="PEÇAS - Defeito de fabric./Alta Amperage"/>
    <s v="FUNCIONAL"/>
    <x v="2"/>
    <n v="66"/>
    <x v="73"/>
    <s v="GO"/>
    <n v="931"/>
    <s v="Ats Off"/>
    <n v="1350"/>
    <s v="W10885440"/>
    <s v="Portas"/>
    <x v="6"/>
    <n v="1000"/>
    <n v="5002858"/>
    <s v="FAVORITA TRANSPORTES LTDA"/>
    <n v="137.34"/>
    <d v="2025-07-17T00:00:00"/>
  </r>
  <r>
    <n v="254026366"/>
    <n v="64805832"/>
    <s v="ZRDI"/>
    <n v="10059105"/>
    <n v="208"/>
    <s v="DEV-Atraso entrega- LOGISTICA(Transp)"/>
    <s v="TRANSPORTADORA"/>
    <x v="2"/>
    <n v="58055284"/>
    <x v="994"/>
    <s v="MT"/>
    <n v="466"/>
    <s v="Sup ML Marketplace"/>
    <n v="1352"/>
    <s v="W11509387"/>
    <s v="Filtros"/>
    <x v="5"/>
    <n v="1000"/>
    <n v="5002359"/>
    <s v="EMPRESA BRASILEIRA DE CORREIOS E"/>
    <n v="137.26"/>
    <d v="2025-07-04T00:00:00"/>
  </r>
  <r>
    <n v="254012606"/>
    <n v="64789554"/>
    <s v="REB"/>
    <n v="9890606"/>
    <n v="173"/>
    <s v="PEÇAS - Defeito de fabric./Alta Amperage"/>
    <s v="FUNCIONAL"/>
    <x v="2"/>
    <n v="71476"/>
    <x v="265"/>
    <s v="RJ"/>
    <n v="934"/>
    <s v="CDP Ouro"/>
    <n v="1350"/>
    <s v="W10269366"/>
    <s v="Placas de Controle"/>
    <x v="1"/>
    <n v="1000"/>
    <n v="5003176"/>
    <s v="J C THEDIN TRANSPORTES LTDA"/>
    <n v="137.18"/>
    <d v="2025-06-10T00:00:00"/>
  </r>
  <r>
    <n v="254012607"/>
    <n v="64789560"/>
    <s v="REB"/>
    <n v="9890606"/>
    <n v="173"/>
    <s v="PEÇAS - Defeito de fabric./Alta Amperage"/>
    <s v="FUNCIONAL"/>
    <x v="2"/>
    <n v="71476"/>
    <x v="265"/>
    <s v="RJ"/>
    <n v="934"/>
    <s v="CDP Ouro"/>
    <n v="1350"/>
    <s v="W10269366"/>
    <s v="Placas de Controle"/>
    <x v="1"/>
    <n v="1000"/>
    <n v="5003176"/>
    <s v="J C THEDIN TRANSPORTES LTDA"/>
    <n v="137.18"/>
    <d v="2025-06-10T00:00:00"/>
  </r>
  <r>
    <n v="254024492"/>
    <n v="64804717"/>
    <s v="ZRDI"/>
    <n v="10076104"/>
    <n v="208"/>
    <s v="DEV-Atraso entrega- LOGISTICA(Transp)"/>
    <s v="TRANSPORTADORA"/>
    <x v="2"/>
    <n v="50335414"/>
    <x v="995"/>
    <s v="GO"/>
    <n v="475"/>
    <s v="Site Consul"/>
    <n v="1352"/>
    <s v="W11509387"/>
    <s v="Filtros"/>
    <x v="5"/>
    <n v="1000"/>
    <n v="5002359"/>
    <s v="EMPRESA BRASILEIRA DE CORREIOS E"/>
    <n v="136.78"/>
    <d v="2025-07-02T00:00:00"/>
  </r>
  <r>
    <n v="254024492"/>
    <n v="64804717"/>
    <s v="ZRDI"/>
    <n v="10076104"/>
    <n v="208"/>
    <s v="DEV-Atraso entrega- LOGISTICA(Transp)"/>
    <s v="TRANSPORTADORA"/>
    <x v="2"/>
    <n v="50335414"/>
    <x v="995"/>
    <s v="GO"/>
    <n v="475"/>
    <s v="Site Consul"/>
    <n v="1352"/>
    <s v="W11509387"/>
    <s v="Filtros"/>
    <x v="5"/>
    <n v="1000"/>
    <n v="5002359"/>
    <s v="EMPRESA BRASILEIRA DE CORREIOS E"/>
    <n v="136.76"/>
    <d v="2025-07-02T00:00:00"/>
  </r>
  <r>
    <s v="Sem TR"/>
    <n v="64797602"/>
    <s v="ZRDI"/>
    <n v="10096118"/>
    <s v="D18"/>
    <s v="DEV D2C - Arrependimento não quero mais"/>
    <s v="COMERCIAL"/>
    <x v="2"/>
    <n v="5705436"/>
    <x v="996"/>
    <s v="RJ"/>
    <n v="474"/>
    <s v="Site Brastemp"/>
    <n v="1352"/>
    <s v="W11123634"/>
    <s v="Condensadores"/>
    <x v="0"/>
    <n v="1000"/>
    <n v="5002359"/>
    <s v="EMPRESA BRASILEIRA DE CORREIOS E"/>
    <n v="136.72"/>
    <d v="2025-06-26T00:00:00"/>
  </r>
  <r>
    <n v="254018328"/>
    <n v="64791696"/>
    <s v="REB"/>
    <n v="10045883"/>
    <n v="173"/>
    <s v="PEÇAS - Defeito de fabric./Alta Amperage"/>
    <s v="FUNCIONAL"/>
    <x v="1"/>
    <n v="61467"/>
    <x v="451"/>
    <s v="CE"/>
    <n v="644"/>
    <s v="Plus"/>
    <n v="1350"/>
    <s v="W10518617"/>
    <s v="Atuadores"/>
    <x v="2"/>
    <n v="4000"/>
    <n v="5004101"/>
    <s v="UNIDOCK'S ASSESSORIA E LOGISTICA DE"/>
    <n v="136.69999999999999"/>
    <d v="2025-06-16T00:00:00"/>
  </r>
  <r>
    <n v="253961316"/>
    <n v="64738219"/>
    <s v="REB"/>
    <n v="9855088"/>
    <n v="173"/>
    <s v="PEÇAS - Defeito de fabric./Alta Amperage"/>
    <s v="FUNCIONAL"/>
    <x v="1"/>
    <n v="30990"/>
    <x v="26"/>
    <s v="ES"/>
    <n v="713"/>
    <s v="Key Account"/>
    <n v="1350"/>
    <s v="W10592481"/>
    <s v="Placas de Controle"/>
    <x v="1"/>
    <n v="1000"/>
    <n v="5004042"/>
    <s v="BRASIL WEB TRANSPORTES E LOGISTICA"/>
    <n v="136.69"/>
    <d v="2025-03-25T00:00:00"/>
  </r>
  <r>
    <n v="254038153"/>
    <n v="64816118"/>
    <s v="ZRDI"/>
    <n v="10082775"/>
    <n v="208"/>
    <s v="DEV-Atraso entrega- LOGISTICA(Transp)"/>
    <s v="TRANSPORTADORA"/>
    <x v="2"/>
    <n v="58077150"/>
    <x v="997"/>
    <s v="SC"/>
    <n v="466"/>
    <s v="Sup ML Marketplace"/>
    <n v="1352"/>
    <s v="W11344665"/>
    <s v="Válvulas de Água"/>
    <x v="5"/>
    <n v="1000"/>
    <n v="5002359"/>
    <s v="EMPRESA BRASILEIRA DE CORREIOS E"/>
    <n v="136.6"/>
    <d v="2025-07-23T00:00:00"/>
  </r>
  <r>
    <n v="254038153"/>
    <n v="64816118"/>
    <s v="ZRDI"/>
    <n v="10082775"/>
    <n v="208"/>
    <s v="DEV-Atraso entrega- LOGISTICA(Transp)"/>
    <s v="TRANSPORTADORA"/>
    <x v="2"/>
    <n v="58077150"/>
    <x v="997"/>
    <s v="SC"/>
    <n v="466"/>
    <s v="Sup ML Marketplace"/>
    <n v="1352"/>
    <s v="W11344665"/>
    <s v="Válvulas de Água"/>
    <x v="5"/>
    <n v="1000"/>
    <n v="5002359"/>
    <s v="EMPRESA BRASILEIRA DE CORREIOS E"/>
    <n v="136.6"/>
    <d v="2025-07-23T00:00:00"/>
  </r>
  <r>
    <n v="253989793"/>
    <n v="64763328"/>
    <s v="REB"/>
    <n v="10000107"/>
    <n v="176"/>
    <s v="PEÇAS - Defeito de fabric./Interrompido"/>
    <s v="FUNCIONAL"/>
    <x v="2"/>
    <n v="3506"/>
    <x v="46"/>
    <s v="SP"/>
    <n v="931"/>
    <s v="Ats Off"/>
    <n v="1350"/>
    <s v="W10160037"/>
    <s v="Capacitores"/>
    <x v="1"/>
    <n v="3000"/>
    <n v="5004042"/>
    <s v="BRASIL WEB TRANSPORTES E LOGISTICA"/>
    <n v="136.59"/>
    <d v="2025-05-07T00:00:00"/>
  </r>
  <r>
    <n v="253988834"/>
    <n v="64763934"/>
    <s v="REB"/>
    <n v="9976783"/>
    <n v="173"/>
    <s v="PEÇAS - Defeito de fabric./Alta Amperage"/>
    <s v="FUNCIONAL"/>
    <x v="1"/>
    <n v="21594"/>
    <x v="97"/>
    <s v="SP"/>
    <n v="931"/>
    <s v="Ats Off"/>
    <n v="1350"/>
    <s v="W11047054"/>
    <s v="Interruptores horário"/>
    <x v="3"/>
    <n v="1000"/>
    <n v="5004042"/>
    <s v="BRASIL WEB TRANSPORTES E LOGISTICA"/>
    <n v="136.47"/>
    <d v="2025-05-05T00:00:00"/>
  </r>
  <r>
    <n v="254035351"/>
    <n v="64807963"/>
    <s v="REB"/>
    <n v="10092756"/>
    <n v="176"/>
    <s v="PEÇAS - Defeito de fabric./Interrompido"/>
    <s v="FUNCIONAL"/>
    <x v="1"/>
    <n v="21594"/>
    <x v="97"/>
    <s v="SP"/>
    <n v="931"/>
    <s v="Ats Off"/>
    <n v="1350"/>
    <s v="W11047054"/>
    <s v="Interruptores horário"/>
    <x v="3"/>
    <n v="1000"/>
    <n v="5004042"/>
    <s v="BRASIL WEB TRANSPORTES E LOGISTICA"/>
    <n v="136.47"/>
    <d v="2025-07-17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n v="326000280"/>
    <s v="Resistências"/>
    <x v="1"/>
    <n v="2000"/>
    <n v="5004101"/>
    <s v="UNIDOCK'S ASSESSORIA E LOGISTICA DE"/>
    <n v="136.26"/>
    <d v="2025-07-29T00:00:00"/>
  </r>
  <r>
    <s v="Sem TR"/>
    <n v="64810946"/>
    <s v="ZRDI"/>
    <n v="10123229"/>
    <s v="D19"/>
    <s v="DEV D2C - Entrega atrasada"/>
    <s v="COMERCIAL"/>
    <x v="2"/>
    <n v="52424267"/>
    <x v="998"/>
    <s v="ES"/>
    <n v="475"/>
    <s v="Site Consul"/>
    <n v="1352"/>
    <s v="W10581058"/>
    <s v="Gavetas"/>
    <x v="9"/>
    <n v="1000"/>
    <n v="5002359"/>
    <s v="EMPRESA BRASILEIRA DE CORREIOS E"/>
    <n v="136.16999999999999"/>
    <d v="2025-07-16T00:00:00"/>
  </r>
  <r>
    <n v="254033979"/>
    <n v="64812544"/>
    <s v="ZRDI"/>
    <n v="10112471"/>
    <n v="208"/>
    <s v="DEV-Atraso entrega- LOGISTICA(Transp)"/>
    <s v="TRANSPORTADORA"/>
    <x v="2"/>
    <n v="56555520"/>
    <x v="999"/>
    <s v="ES"/>
    <n v="475"/>
    <s v="Site Consul"/>
    <n v="1352"/>
    <s v="W10581058"/>
    <s v="Gavetas"/>
    <x v="9"/>
    <n v="1000"/>
    <n v="5002359"/>
    <s v="EMPRESA BRASILEIRA DE CORREIOS E"/>
    <n v="136.16999999999999"/>
    <d v="2025-07-17T00:00:00"/>
  </r>
  <r>
    <s v="Sem TR"/>
    <n v="64810946"/>
    <s v="ZRDI"/>
    <n v="10123229"/>
    <s v="D19"/>
    <s v="DEV D2C - Entrega atrasada"/>
    <s v="COMERCIAL"/>
    <x v="2"/>
    <n v="52424267"/>
    <x v="998"/>
    <s v="ES"/>
    <n v="475"/>
    <s v="Site Consul"/>
    <n v="1352"/>
    <s v="W10581058"/>
    <s v="Gavetas"/>
    <x v="9"/>
    <n v="1000"/>
    <n v="5002359"/>
    <s v="EMPRESA BRASILEIRA DE CORREIOS E"/>
    <n v="136.16999999999999"/>
    <d v="2025-07-16T00:00:00"/>
  </r>
  <r>
    <n v="254033979"/>
    <n v="64812544"/>
    <s v="ZRDI"/>
    <n v="10112471"/>
    <n v="208"/>
    <s v="DEV-Atraso entrega- LOGISTICA(Transp)"/>
    <s v="TRANSPORTADORA"/>
    <x v="2"/>
    <n v="56555520"/>
    <x v="999"/>
    <s v="ES"/>
    <n v="475"/>
    <s v="Site Consul"/>
    <n v="1352"/>
    <s v="W10581058"/>
    <s v="Gavetas"/>
    <x v="9"/>
    <n v="1000"/>
    <n v="5002359"/>
    <s v="EMPRESA BRASILEIRA DE CORREIOS E"/>
    <n v="136.16999999999999"/>
    <d v="2025-07-17T00:00:00"/>
  </r>
  <r>
    <n v="254012551"/>
    <n v="64789574"/>
    <s v="REB"/>
    <n v="9829399"/>
    <n v="173"/>
    <s v="PEÇAS - Defeito de fabric./Alta Amperage"/>
    <s v="FUNCIONAL"/>
    <x v="1"/>
    <n v="59025"/>
    <x v="648"/>
    <s v="AL"/>
    <n v="644"/>
    <s v="Plus"/>
    <n v="1350"/>
    <s v="W11123830"/>
    <s v="Placas de Controle"/>
    <x v="1"/>
    <n v="1000"/>
    <n v="5004101"/>
    <s v="UNIDOCK'S ASSESSORIA E LOGISTICA DE"/>
    <n v="136.16"/>
    <d v="2025-06-10T00:00:00"/>
  </r>
  <r>
    <s v="Sem TR"/>
    <n v="64798771"/>
    <s v="ZRDI"/>
    <n v="10091727"/>
    <s v="D31"/>
    <s v="DEV D2C - Defeito estético manufatura"/>
    <s v="MANUFATURA"/>
    <x v="2"/>
    <n v="58095062"/>
    <x v="1000"/>
    <s v="RJ"/>
    <n v="474"/>
    <s v="Site Brastemp"/>
    <n v="1352"/>
    <s v="W11113060"/>
    <s v="Gavetas"/>
    <x v="9"/>
    <n v="1000"/>
    <n v="5002359"/>
    <s v="EMPRESA BRASILEIRA DE CORREIOS E"/>
    <n v="136.16"/>
    <d v="2025-06-27T00:00:00"/>
  </r>
  <r>
    <n v="253970683"/>
    <n v="64748165"/>
    <s v="REB"/>
    <n v="9948902"/>
    <n v="173"/>
    <s v="PEÇAS - Defeito de fabric./Alta Amperage"/>
    <s v="FUNCIONAL"/>
    <x v="1"/>
    <n v="3236"/>
    <x v="45"/>
    <s v="SP"/>
    <n v="931"/>
    <s v="Ats Off"/>
    <n v="1350"/>
    <s v="W10902825"/>
    <s v="Painéis de Controle"/>
    <x v="6"/>
    <n v="1000"/>
    <n v="5004042"/>
    <s v="BRASIL WEB TRANSPORTES E LOGISTICA"/>
    <n v="135.97999999999999"/>
    <d v="2025-04-09T00:00:00"/>
  </r>
  <r>
    <n v="253983966"/>
    <n v="64759148"/>
    <s v="REB"/>
    <n v="9936637"/>
    <n v="90"/>
    <s v="CLIENTE-não solicitou"/>
    <s v="COMERCIAL"/>
    <x v="1"/>
    <n v="81548"/>
    <x v="348"/>
    <s v="SC"/>
    <n v="350"/>
    <s v="Ats On"/>
    <n v="1350"/>
    <s v="W10431991"/>
    <s v="Gavetas"/>
    <x v="9"/>
    <n v="1000"/>
    <n v="5003024"/>
    <s v="RODOBRAS TRANSPORTES RODOVIARIOS LT"/>
    <n v="135.97999999999999"/>
    <d v="2025-04-28T00:00:00"/>
  </r>
  <r>
    <n v="254042214"/>
    <n v="64795128"/>
    <s v="REB"/>
    <n v="9718946"/>
    <n v="173"/>
    <s v="PEÇAS - Defeito de fabric./Alta Amperage"/>
    <s v="FUNCIONAL"/>
    <x v="0"/>
    <n v="69578"/>
    <x v="197"/>
    <s v="MG"/>
    <n v="933"/>
    <s v="Top"/>
    <n v="1350"/>
    <s v="W11581052"/>
    <s v="Placas de Controle"/>
    <x v="1"/>
    <n v="1000"/>
    <n v="5004215"/>
    <s v="BRASIL WEB TRANSPORTES E LOGISTICA"/>
    <n v="135.91999999999999"/>
    <d v="2025-06-23T00:00:00"/>
  </r>
  <r>
    <s v="Sem TR"/>
    <n v="64806948"/>
    <s v="ZRDI"/>
    <n v="10122214"/>
    <s v="D10"/>
    <s v="DEV D2C - Comprou modelo errado"/>
    <s v="COMERCIAL"/>
    <x v="2"/>
    <n v="58132583"/>
    <x v="1001"/>
    <s v="SP"/>
    <n v="474"/>
    <s v="Site Brastemp"/>
    <n v="1352"/>
    <s v="W11630830"/>
    <s v="Relês"/>
    <x v="1"/>
    <n v="1000"/>
    <n v="5002359"/>
    <s v="EMPRESA BRASILEIRA DE CORREIOS E"/>
    <n v="135.63999999999999"/>
    <d v="2025-07-14T00:00:00"/>
  </r>
  <r>
    <n v="254007615"/>
    <n v="64782274"/>
    <s v="REB"/>
    <n v="10038981"/>
    <n v="104"/>
    <s v="PEÇAS-Código trocado(embalag X conteúdo)"/>
    <s v="LOGÍSTICA"/>
    <x v="2"/>
    <n v="78757"/>
    <x v="50"/>
    <s v="RS"/>
    <n v="643"/>
    <s v="Elite"/>
    <n v="1350"/>
    <s v="W11254865"/>
    <s v="Mecanismos"/>
    <x v="2"/>
    <n v="1000"/>
    <n v="5003024"/>
    <s v="RODOBRAS TRANSPORTES RODOVIARIOS LT"/>
    <n v="135.32"/>
    <d v="2025-06-02T00:00:00"/>
  </r>
  <r>
    <n v="254035341"/>
    <n v="64812521"/>
    <s v="REB"/>
    <n v="10034479"/>
    <n v="168"/>
    <s v="PEÇAS-Def.Fabric.Empenamento/Abaulamento"/>
    <s v="FUNCIONAL"/>
    <x v="1"/>
    <n v="9991"/>
    <x v="86"/>
    <s v="DF"/>
    <n v="648"/>
    <s v="Ultra"/>
    <n v="1350"/>
    <s v="W10882241"/>
    <s v="Agitadores"/>
    <x v="2"/>
    <n v="3000"/>
    <n v="5002858"/>
    <s v="FAVORITA TRANSPORTES LTDA"/>
    <n v="135.29"/>
    <d v="2025-07-17T00:00:00"/>
  </r>
  <r>
    <n v="253981573"/>
    <n v="64734188"/>
    <s v="REB"/>
    <n v="9900714"/>
    <n v="173"/>
    <s v="PEÇAS - Defeito de fabric./Alta Amperage"/>
    <s v="FUNCIONAL"/>
    <x v="1"/>
    <n v="79952"/>
    <x v="1002"/>
    <s v="SP"/>
    <n v="932"/>
    <s v="CDP Prata"/>
    <n v="1350"/>
    <s v="W11564674"/>
    <s v="Placas de Controle"/>
    <x v="1"/>
    <n v="1000"/>
    <n v="5004042"/>
    <s v="BRASIL WEB TRANSPORTES E LOGISTICA"/>
    <n v="135.19999999999999"/>
    <d v="2025-04-16T00:00:00"/>
  </r>
  <r>
    <n v="253992768"/>
    <n v="64768384"/>
    <s v="REB"/>
    <n v="9101418"/>
    <n v="173"/>
    <s v="PEÇAS - Defeito de fabric./Alta Amperage"/>
    <s v="FUNCIONAL"/>
    <x v="1"/>
    <n v="75812"/>
    <x v="102"/>
    <s v="SP"/>
    <n v="931"/>
    <s v="Ats Off"/>
    <n v="1350"/>
    <s v="W11123830"/>
    <s v="Placas de Controle"/>
    <x v="1"/>
    <n v="1000"/>
    <n v="5004042"/>
    <s v="BRASIL WEB TRANSPORTES E LOGISTICA"/>
    <n v="135.06"/>
    <d v="2025-05-12T00:00:00"/>
  </r>
  <r>
    <n v="253981508"/>
    <n v="64757769"/>
    <s v="REB"/>
    <n v="9950773"/>
    <n v="173"/>
    <s v="PEÇAS - Defeito de fabric./Alta Amperage"/>
    <s v="FUNCIONAL"/>
    <x v="1"/>
    <n v="37434"/>
    <x v="95"/>
    <s v="GO"/>
    <n v="931"/>
    <s v="Ats Off"/>
    <n v="1350"/>
    <s v="W11254865"/>
    <s v="Mecanismos"/>
    <x v="2"/>
    <n v="1000"/>
    <n v="5002858"/>
    <s v="FAVORITA TRANSPORTES LTDA"/>
    <n v="135.04"/>
    <d v="2025-04-25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1299805"/>
    <s v="Mecanismos"/>
    <x v="2"/>
    <n v="1000"/>
    <n v="5002359"/>
    <s v="EMPRESA BRASILEIRA DE CORREIOS E"/>
    <n v="134.97"/>
    <d v="2025-05-20T00:00:00"/>
  </r>
  <r>
    <s v="Sem TR"/>
    <n v="64797976"/>
    <s v="ZRDI"/>
    <n v="10110715"/>
    <s v="D18"/>
    <s v="DEV D2C - Arrependimento não quero mais"/>
    <s v="COMERCIAL"/>
    <x v="2"/>
    <n v="4969387"/>
    <x v="1003"/>
    <s v="SP"/>
    <n v="475"/>
    <s v="Site Consul"/>
    <n v="1352"/>
    <s v="W10581058"/>
    <s v="Gavetas"/>
    <x v="9"/>
    <n v="1000"/>
    <n v="5002359"/>
    <s v="EMPRESA BRASILEIRA DE CORREIOS E"/>
    <n v="134.88"/>
    <d v="2025-07-01T00:00:00"/>
  </r>
  <r>
    <s v="Sem TR"/>
    <n v="64806400"/>
    <s v="ZRDI"/>
    <n v="10095909"/>
    <s v="D10"/>
    <s v="DEV D2C - Comprou modelo errado"/>
    <s v="COMERCIAL"/>
    <x v="2"/>
    <n v="58098522"/>
    <x v="1004"/>
    <s v="SP"/>
    <n v="474"/>
    <s v="Site Brastemp"/>
    <n v="1352"/>
    <s v="W10581058"/>
    <s v="Gavetas"/>
    <x v="9"/>
    <n v="1000"/>
    <n v="5002359"/>
    <s v="EMPRESA BRASILEIRA DE CORREIOS E"/>
    <n v="134.88"/>
    <d v="2025-07-07T00:00:00"/>
  </r>
  <r>
    <s v="Sem TR"/>
    <n v="64806651"/>
    <s v="ZRDI"/>
    <n v="10116273"/>
    <s v="D10"/>
    <s v="DEV D2C - Comprou modelo errado"/>
    <s v="COMERCIAL"/>
    <x v="2"/>
    <n v="50256616"/>
    <x v="1005"/>
    <s v="SP"/>
    <n v="475"/>
    <s v="Site Consul"/>
    <n v="1352"/>
    <s v="W10581058"/>
    <s v="Gavetas"/>
    <x v="9"/>
    <n v="1000"/>
    <n v="5002359"/>
    <s v="EMPRESA BRASILEIRA DE CORREIOS E"/>
    <n v="134.88"/>
    <d v="2025-07-09T00:00:00"/>
  </r>
  <r>
    <s v="Sem TR"/>
    <n v="64806400"/>
    <s v="ZRDI"/>
    <n v="10095909"/>
    <s v="D10"/>
    <s v="DEV D2C - Comprou modelo errado"/>
    <s v="COMERCIAL"/>
    <x v="2"/>
    <n v="58098522"/>
    <x v="1004"/>
    <s v="SP"/>
    <n v="474"/>
    <s v="Site Brastemp"/>
    <n v="1352"/>
    <s v="W10581058"/>
    <s v="Gavetas"/>
    <x v="9"/>
    <n v="1000"/>
    <n v="5002359"/>
    <s v="EMPRESA BRASILEIRA DE CORREIOS E"/>
    <n v="134.88"/>
    <d v="2025-07-07T00:00:00"/>
  </r>
  <r>
    <s v="Sem TR"/>
    <n v="64810618"/>
    <s v="REB"/>
    <n v="10106365"/>
    <n v="167"/>
    <s v="PEÇAS - Avaria - Quebrada/Depósito"/>
    <s v="LOGÍSTICA"/>
    <x v="1"/>
    <n v="86964"/>
    <x v="345"/>
    <s v="PB"/>
    <n v="713"/>
    <s v="Key Account"/>
    <n v="1350"/>
    <s v="W10477178"/>
    <s v="Capas"/>
    <x v="6"/>
    <n v="7000"/>
    <n v="5004101"/>
    <s v="UNIDOCK'S ASSESSORIA E LOGISTICA DE"/>
    <n v="134.37"/>
    <d v="2025-07-21T00:00:00"/>
  </r>
  <r>
    <n v="254041813"/>
    <n v="64795380"/>
    <s v="REB"/>
    <n v="10039998"/>
    <n v="176"/>
    <s v="PEÇAS - Defeito de fabric./Interrompido"/>
    <s v="FUNCIONAL"/>
    <x v="0"/>
    <n v="52520"/>
    <x v="292"/>
    <s v="RJ"/>
    <n v="713"/>
    <s v="Key Account"/>
    <n v="1350"/>
    <s v="W10269366"/>
    <s v="Placas de Controle"/>
    <x v="1"/>
    <n v="1000"/>
    <n v="5003176"/>
    <s v="J C THEDIN TRANSPORTES LTDA"/>
    <n v="134.21"/>
    <d v="2025-06-23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451677"/>
    <s v="Injetores"/>
    <x v="12"/>
    <n v="4000"/>
    <n v="5004101"/>
    <s v="UNIDOCK'S ASSESSORIA E LOGISTICA DE"/>
    <n v="134.1"/>
    <d v="2025-03-13T00:00:00"/>
  </r>
  <r>
    <n v="253948442"/>
    <n v="64727189"/>
    <s v="REB"/>
    <n v="9808552"/>
    <n v="173"/>
    <s v="PEÇAS - Defeito de fabric./Alta Amperage"/>
    <s v="FUNCIONAL"/>
    <x v="1"/>
    <n v="3236"/>
    <x v="45"/>
    <s v="SP"/>
    <n v="931"/>
    <s v="Ats Off"/>
    <n v="1350"/>
    <s v="W11047054"/>
    <s v="Interruptores horário"/>
    <x v="3"/>
    <n v="1000"/>
    <n v="5004042"/>
    <s v="BRASIL WEB TRANSPORTES E LOGISTICA"/>
    <n v="134.09"/>
    <d v="2025-03-07T00:00:00"/>
  </r>
  <r>
    <n v="254038269"/>
    <n v="64802338"/>
    <s v="REB"/>
    <n v="9553407"/>
    <n v="173"/>
    <s v="PEÇAS - Defeito de fabric./Alta Amperage"/>
    <s v="FUNCIONAL"/>
    <x v="0"/>
    <n v="4167"/>
    <x v="63"/>
    <s v="SP"/>
    <n v="931"/>
    <s v="Ats Off"/>
    <n v="1350"/>
    <s v="W11047054"/>
    <s v="Interruptores horário"/>
    <x v="3"/>
    <n v="1000"/>
    <n v="5004042"/>
    <s v="BRASIL WEB TRANSPORTES E LOGISTICA"/>
    <n v="134.09"/>
    <d v="2025-07-22T00:00:00"/>
  </r>
  <r>
    <n v="253952491"/>
    <n v="64725708"/>
    <s v="REB"/>
    <n v="9823215"/>
    <n v="173"/>
    <s v="PEÇAS - Defeito de fabric./Alta Amperage"/>
    <s v="FUNCIONAL"/>
    <x v="2"/>
    <n v="75812"/>
    <x v="102"/>
    <s v="SP"/>
    <n v="931"/>
    <s v="Ats Off"/>
    <n v="1350"/>
    <n v="326073242"/>
    <s v="Placas de Controle"/>
    <x v="1"/>
    <n v="1000"/>
    <n v="5004042"/>
    <s v="BRASIL WEB TRANSPORTES E LOGISTICA"/>
    <n v="134.06"/>
    <d v="2025-03-08T00:00:00"/>
  </r>
  <r>
    <n v="253952490"/>
    <n v="64727434"/>
    <s v="REB"/>
    <n v="9823215"/>
    <n v="178"/>
    <s v="PEÇAS -Defeito de fabric./Sem Compressão"/>
    <s v="FUNCIONAL"/>
    <x v="2"/>
    <n v="75812"/>
    <x v="102"/>
    <s v="SP"/>
    <n v="931"/>
    <s v="Ats Off"/>
    <n v="1350"/>
    <n v="326073242"/>
    <s v="Placas de Controle"/>
    <x v="1"/>
    <n v="1000"/>
    <n v="5004042"/>
    <s v="BRASIL WEB TRANSPORTES E LOGISTICA"/>
    <n v="134.06"/>
    <d v="2025-03-08T00:00:00"/>
  </r>
  <r>
    <n v="253882974"/>
    <n v="64649658"/>
    <s v="REB"/>
    <n v="9654080"/>
    <n v="173"/>
    <s v="PEÇAS - Defeito de fabric./Alta Amperage"/>
    <s v="FUNCIONAL"/>
    <x v="1"/>
    <n v="3236"/>
    <x v="45"/>
    <s v="SP"/>
    <n v="931"/>
    <s v="Ats Off"/>
    <n v="1350"/>
    <n v="326073242"/>
    <s v="Placas de Controle"/>
    <x v="1"/>
    <n v="1000"/>
    <n v="5003254"/>
    <s v="TMA TRANSPORTE LOTACAO E LOGISTICA"/>
    <n v="134.06"/>
    <d v="2024-11-21T00:00:00"/>
  </r>
  <r>
    <n v="253886216"/>
    <n v="64654083"/>
    <s v="REB"/>
    <n v="9716741"/>
    <n v="173"/>
    <s v="PEÇAS - Defeito de fabric./Alta Amperage"/>
    <s v="FUNCIONAL"/>
    <x v="1"/>
    <n v="3236"/>
    <x v="45"/>
    <s v="SP"/>
    <n v="931"/>
    <s v="Ats Off"/>
    <n v="1350"/>
    <n v="326073242"/>
    <s v="Placas de Controle"/>
    <x v="1"/>
    <n v="1000"/>
    <n v="5003254"/>
    <s v="TMA TRANSPORTE LOTACAO E LOGISTICA"/>
    <n v="134.06"/>
    <d v="2024-11-29T00:00:00"/>
  </r>
  <r>
    <s v="Sem TR"/>
    <n v="64800681"/>
    <s v="ZRDI"/>
    <n v="10113261"/>
    <s v="D31"/>
    <s v="DEV D2C - Defeito estético manufatura"/>
    <s v="MANUFATURA"/>
    <x v="2"/>
    <n v="55587045"/>
    <x v="1006"/>
    <s v="RJ"/>
    <n v="475"/>
    <s v="Site Consul"/>
    <n v="1352"/>
    <s v="W11132264"/>
    <s v="Trempes"/>
    <x v="6"/>
    <n v="2000"/>
    <n v="5002359"/>
    <s v="EMPRESA BRASILEIRA DE CORREIOS E"/>
    <n v="134.04"/>
    <d v="2025-07-03T00:00:00"/>
  </r>
  <r>
    <n v="254038158"/>
    <n v="64816123"/>
    <s v="ZRDI"/>
    <n v="10098418"/>
    <n v="208"/>
    <s v="DEV-Atraso entrega- LOGISTICA(Transp)"/>
    <s v="TRANSPORTADORA"/>
    <x v="2"/>
    <n v="4608064"/>
    <x v="1007"/>
    <s v="ES"/>
    <n v="348"/>
    <s v="Midia"/>
    <n v="1352"/>
    <s v="W10866789"/>
    <s v="Kits Instalação"/>
    <x v="7"/>
    <n v="2000"/>
    <n v="5002359"/>
    <s v="EMPRESA BRASILEIRA DE CORREIOS E"/>
    <n v="133.94"/>
    <d v="2025-07-23T00:00:00"/>
  </r>
  <r>
    <n v="254038158"/>
    <n v="64816123"/>
    <s v="ZRDI"/>
    <n v="10098418"/>
    <n v="208"/>
    <s v="DEV-Atraso entrega- LOGISTICA(Transp)"/>
    <s v="TRANSPORTADORA"/>
    <x v="2"/>
    <n v="4608064"/>
    <x v="1007"/>
    <s v="ES"/>
    <n v="348"/>
    <s v="Midia"/>
    <n v="1352"/>
    <s v="W10866789"/>
    <s v="Kits Instalação"/>
    <x v="7"/>
    <n v="2000"/>
    <n v="5002359"/>
    <s v="EMPRESA BRASILEIRA DE CORREIOS E"/>
    <n v="133.94"/>
    <d v="2025-07-23T00:00:00"/>
  </r>
  <r>
    <n v="254012596"/>
    <n v="64789411"/>
    <s v="REB"/>
    <n v="10018018"/>
    <n v="173"/>
    <s v="PEÇAS - Defeito de fabric./Alta Amperage"/>
    <s v="FUNCIONAL"/>
    <x v="2"/>
    <n v="67948"/>
    <x v="15"/>
    <s v="SC"/>
    <n v="713"/>
    <s v="Key Account"/>
    <n v="1350"/>
    <s v="W11254865"/>
    <s v="Mecanismos"/>
    <x v="2"/>
    <n v="1000"/>
    <n v="5003024"/>
    <s v="RODOBRAS TRANSPORTES RODOVIARIOS LT"/>
    <n v="133.82"/>
    <d v="2025-06-10T00:00:00"/>
  </r>
  <r>
    <n v="254032697"/>
    <n v="64811635"/>
    <s v="ROB"/>
    <n v="10078671"/>
    <n v="268"/>
    <s v="DEV-APREENSÃO FISCAL - VENDAS"/>
    <s v="COMERCIAL"/>
    <x v="0"/>
    <n v="85837"/>
    <x v="352"/>
    <s v="RN"/>
    <n v="698"/>
    <s v="CDP Bronze"/>
    <n v="1350"/>
    <s v="W10333449"/>
    <s v="Tampas Fixas"/>
    <x v="6"/>
    <n v="1000"/>
    <n v="5004101"/>
    <s v="UNIDOCK'S ASSESSORIA E LOGISTICA DE"/>
    <n v="133.80000000000001"/>
    <d v="2025-07-16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1363944"/>
    <s v="Capas"/>
    <x v="6"/>
    <n v="5000"/>
    <n v="5004101"/>
    <s v="UNIDOCK'S ASSESSORIA E LOGISTICA DE"/>
    <n v="133.75"/>
    <d v="2025-01-22T00:00:00"/>
  </r>
  <r>
    <s v="Sem TR"/>
    <n v="64802669"/>
    <s v="ZRDI"/>
    <n v="10047549"/>
    <s v="D19"/>
    <s v="DEV D2C - Entrega atrasada"/>
    <s v="COMERCIAL"/>
    <x v="2"/>
    <n v="58041505"/>
    <x v="1008"/>
    <s v="CE"/>
    <n v="466"/>
    <s v="Sup ML Marketplace"/>
    <n v="1352"/>
    <s v="W11199342"/>
    <s v="Filtros"/>
    <x v="5"/>
    <n v="1000"/>
    <n v="5002359"/>
    <s v="EMPRESA BRASILEIRA DE CORREIOS E"/>
    <n v="133.71"/>
    <d v="2025-07-01T00:00:00"/>
  </r>
  <r>
    <s v="Sem TR"/>
    <n v="64802669"/>
    <s v="ZRDI"/>
    <n v="10047549"/>
    <s v="D19"/>
    <s v="DEV D2C - Entrega atrasada"/>
    <s v="COMERCIAL"/>
    <x v="2"/>
    <n v="58041505"/>
    <x v="1008"/>
    <s v="CE"/>
    <n v="466"/>
    <s v="Sup ML Marketplace"/>
    <n v="1352"/>
    <s v="W11199342"/>
    <s v="Filtros"/>
    <x v="5"/>
    <n v="1000"/>
    <n v="5002359"/>
    <s v="EMPRESA BRASILEIRA DE CORREIOS E"/>
    <n v="133.71"/>
    <d v="2025-07-01T00:00:00"/>
  </r>
  <r>
    <s v="Sem TR"/>
    <n v="64799885"/>
    <s v="ZRDI"/>
    <n v="10088631"/>
    <n v="208"/>
    <s v="DEV-Atraso entrega- LOGISTICA(Transp)"/>
    <s v="TRANSPORTADORA"/>
    <x v="2"/>
    <n v="52380765"/>
    <x v="1009"/>
    <s v="SP"/>
    <n v="474"/>
    <s v="Site Brastemp"/>
    <n v="1352"/>
    <s v="W11115537"/>
    <s v="Prateleiras"/>
    <x v="9"/>
    <n v="1000"/>
    <n v="5002359"/>
    <s v="EMPRESA BRASILEIRA DE CORREIOS E"/>
    <n v="133.58000000000001"/>
    <d v="2025-06-27T00:00:00"/>
  </r>
  <r>
    <s v="Sem TR"/>
    <n v="64803139"/>
    <s v="ZRDI"/>
    <n v="10096141"/>
    <s v="D11"/>
    <s v="DEV D2C - Comprou prod dimensão errada"/>
    <s v="COMERCIAL"/>
    <x v="2"/>
    <n v="53935794"/>
    <x v="1010"/>
    <s v="SP"/>
    <n v="474"/>
    <s v="Site Brastemp"/>
    <n v="1352"/>
    <s v="W11115537"/>
    <s v="Prateleiras"/>
    <x v="9"/>
    <n v="1000"/>
    <n v="5002359"/>
    <s v="EMPRESA BRASILEIRA DE CORREIOS E"/>
    <n v="133.58000000000001"/>
    <d v="2025-07-01T00:00:00"/>
  </r>
  <r>
    <s v="Sem TR"/>
    <n v="64807862"/>
    <s v="REB"/>
    <n v="10104408"/>
    <n v="104"/>
    <s v="PEÇAS-Código trocado(embalag X conteúdo)"/>
    <s v="LOGÍSTICA"/>
    <x v="1"/>
    <n v="42244"/>
    <x v="1011"/>
    <s v="GO"/>
    <n v="932"/>
    <s v="CDP Prata"/>
    <n v="1350"/>
    <s v="W10882241"/>
    <s v="Agitadores"/>
    <x v="2"/>
    <n v="3000"/>
    <n v="5002858"/>
    <s v="FAVORITA TRANSPORTES LTDA"/>
    <n v="133.53"/>
    <d v="2025-07-17T00:00:00"/>
  </r>
  <r>
    <s v="Sem TR"/>
    <n v="64812645"/>
    <s v="ZRDI"/>
    <n v="10126463"/>
    <s v="D35"/>
    <s v="DEV D2C - Prod difere do comprado"/>
    <s v="COMERCIAL"/>
    <x v="2"/>
    <n v="56593003"/>
    <x v="1012"/>
    <s v="PE"/>
    <n v="474"/>
    <s v="Site Brastemp"/>
    <n v="1352"/>
    <s v="W10830936"/>
    <s v="Prateleiras"/>
    <x v="9"/>
    <n v="1000"/>
    <n v="5002359"/>
    <s v="EMPRESA BRASILEIRA DE CORREIOS E"/>
    <n v="133.41"/>
    <d v="2025-07-22T00:00:00"/>
  </r>
  <r>
    <s v="Sem TR"/>
    <n v="64812645"/>
    <s v="ZRDI"/>
    <n v="10126463"/>
    <s v="D35"/>
    <s v="DEV D2C - Prod difere do comprado"/>
    <s v="COMERCIAL"/>
    <x v="2"/>
    <n v="56593003"/>
    <x v="1012"/>
    <s v="PE"/>
    <n v="474"/>
    <s v="Site Brastemp"/>
    <n v="1352"/>
    <s v="W10830936"/>
    <s v="Prateleiras"/>
    <x v="9"/>
    <n v="1000"/>
    <n v="5002359"/>
    <s v="EMPRESA BRASILEIRA DE CORREIOS E"/>
    <n v="133.41"/>
    <d v="2025-07-22T00:00:00"/>
  </r>
  <r>
    <s v="Sem TR"/>
    <n v="64806651"/>
    <s v="ZRDI"/>
    <n v="10116273"/>
    <s v="D10"/>
    <s v="DEV D2C - Comprou modelo errado"/>
    <s v="COMERCIAL"/>
    <x v="2"/>
    <n v="50256616"/>
    <x v="1005"/>
    <s v="SP"/>
    <n v="475"/>
    <s v="Site Consul"/>
    <n v="1352"/>
    <n v="326049386"/>
    <s v="Prateleiras"/>
    <x v="9"/>
    <n v="3000"/>
    <n v="5002359"/>
    <s v="EMPRESA BRASILEIRA DE CORREIOS E"/>
    <n v="133.38"/>
    <d v="2025-07-09T00:00:00"/>
  </r>
  <r>
    <n v="253995133"/>
    <n v="64772251"/>
    <s v="REB"/>
    <n v="10025086"/>
    <n v="165"/>
    <s v="PEÇAS - Defeito de fabric./Incompleta"/>
    <s v="FUNCIONAL"/>
    <x v="1"/>
    <n v="27511"/>
    <x v="470"/>
    <s v="SP"/>
    <n v="641"/>
    <s v="CDP Diamante"/>
    <n v="1350"/>
    <s v="W11300816"/>
    <s v="Mecanismos"/>
    <x v="2"/>
    <n v="1000"/>
    <n v="5004042"/>
    <s v="BRASIL WEB TRANSPORTES E LOGISTICA"/>
    <n v="133.16999999999999"/>
    <d v="2025-05-16T00:00:00"/>
  </r>
  <r>
    <n v="254018300"/>
    <n v="64790801"/>
    <s v="REB"/>
    <n v="10053475"/>
    <n v="167"/>
    <s v="PEÇAS - Avaria - Quebrada/Depósito"/>
    <s v="LOGÍSTICA"/>
    <x v="2"/>
    <n v="47026"/>
    <x v="16"/>
    <s v="BA"/>
    <n v="643"/>
    <s v="Elite"/>
    <n v="1350"/>
    <s v="W10431991"/>
    <s v="Gavetas"/>
    <x v="9"/>
    <n v="1000"/>
    <n v="5004101"/>
    <s v="UNIDOCK'S ASSESSORIA E LOGISTICA DE"/>
    <n v="133.12"/>
    <d v="2025-06-16T00:00:00"/>
  </r>
  <r>
    <n v="254012515"/>
    <n v="64789364"/>
    <s v="REB"/>
    <n v="9799932"/>
    <n v="173"/>
    <s v="PEÇAS - Defeito de fabric./Alta Amperage"/>
    <s v="FUNCIONAL"/>
    <x v="1"/>
    <n v="32533"/>
    <x v="194"/>
    <s v="PE"/>
    <n v="713"/>
    <s v="Key Account"/>
    <n v="1350"/>
    <s v="W10709306"/>
    <s v="Placas de Controle"/>
    <x v="1"/>
    <n v="1000"/>
    <n v="5004101"/>
    <s v="UNIDOCK'S ASSESSORIA E LOGISTICA DE"/>
    <n v="132.93"/>
    <d v="2025-06-10T00:00:00"/>
  </r>
  <r>
    <s v="Sem TR"/>
    <n v="64790583"/>
    <s v="ZRDI"/>
    <n v="10073332"/>
    <s v="D10"/>
    <s v="DEV D2C - Comprou modelo errado"/>
    <s v="COMERCIAL"/>
    <x v="2"/>
    <n v="50954569"/>
    <x v="436"/>
    <s v="SC"/>
    <n v="474"/>
    <s v="Site Brastemp"/>
    <n v="1352"/>
    <n v="326075391"/>
    <s v="Lâmpadas"/>
    <x v="1"/>
    <n v="1000"/>
    <n v="5002359"/>
    <s v="EMPRESA BRASILEIRA DE CORREIOS E"/>
    <n v="132.77000000000001"/>
    <d v="2025-06-30T00:00:00"/>
  </r>
  <r>
    <n v="253894969"/>
    <n v="64663074"/>
    <s v="REB"/>
    <n v="9751423"/>
    <n v="167"/>
    <s v="PEÇAS - Avaria - Quebrada/Depósito"/>
    <s v="LOGÍSTICA"/>
    <x v="1"/>
    <n v="3236"/>
    <x v="45"/>
    <s v="SP"/>
    <n v="931"/>
    <s v="Ats Off"/>
    <n v="1350"/>
    <s v="W10287547"/>
    <s v="Gavetas"/>
    <x v="9"/>
    <n v="1000"/>
    <n v="5003254"/>
    <s v="TMA TRANSPORTE LOTACAO E LOGISTICA"/>
    <n v="132.75"/>
    <d v="2024-12-09T00:00:00"/>
  </r>
  <r>
    <s v="Sem TR"/>
    <n v="64807103"/>
    <s v="ZRDI"/>
    <n v="10122139"/>
    <s v="D10"/>
    <s v="DEV D2C - Comprou modelo errado"/>
    <s v="COMERCIAL"/>
    <x v="2"/>
    <n v="58133103"/>
    <x v="1013"/>
    <s v="RS"/>
    <n v="497"/>
    <s v="Site KA(novo)"/>
    <n v="1352"/>
    <n v="326069907"/>
    <s v="Acessórios"/>
    <x v="7"/>
    <n v="1000"/>
    <n v="5002359"/>
    <s v="EMPRESA BRASILEIRA DE CORREIOS E"/>
    <n v="132.69999999999999"/>
    <d v="2025-07-15T00:00:00"/>
  </r>
  <r>
    <s v="Sem TR"/>
    <n v="64807103"/>
    <s v="ZRDI"/>
    <n v="10122139"/>
    <s v="D10"/>
    <s v="DEV D2C - Comprou modelo errado"/>
    <s v="COMERCIAL"/>
    <x v="2"/>
    <n v="58133103"/>
    <x v="1013"/>
    <s v="RS"/>
    <n v="497"/>
    <s v="Site KA(novo)"/>
    <n v="1352"/>
    <n v="326069907"/>
    <s v="Acessórios"/>
    <x v="7"/>
    <n v="1000"/>
    <n v="5002359"/>
    <s v="EMPRESA BRASILEIRA DE CORREIOS E"/>
    <n v="132.69999999999999"/>
    <d v="2025-07-15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1082462"/>
    <s v="Termostatos"/>
    <x v="3"/>
    <n v="3000"/>
    <n v="5003024"/>
    <s v="RODOBRAS TRANSPORTES RODOVIARIOS LT"/>
    <n v="132.69"/>
    <d v="2024-10-08T00:00:00"/>
  </r>
  <r>
    <n v="253970763"/>
    <n v="64748873"/>
    <s v="REB"/>
    <n v="9939450"/>
    <n v="173"/>
    <s v="PEÇAS - Defeito de fabric./Alta Amperage"/>
    <s v="FUNCIONAL"/>
    <x v="2"/>
    <n v="28178"/>
    <x v="127"/>
    <s v="SP"/>
    <n v="644"/>
    <s v="Plus"/>
    <n v="1350"/>
    <s v="W11300816"/>
    <s v="Mecanismos"/>
    <x v="2"/>
    <n v="1000"/>
    <n v="5004042"/>
    <s v="BRASIL WEB TRANSPORTES E LOGISTICA"/>
    <n v="132.49"/>
    <d v="2025-04-09T00:00:00"/>
  </r>
  <r>
    <s v="Sem TR"/>
    <n v="64812246"/>
    <s v="REB"/>
    <n v="10106926"/>
    <n v="509"/>
    <s v="Qtd de peças a Menor dentro do Volume"/>
    <s v="LOGÍSTICA"/>
    <x v="1"/>
    <n v="70724"/>
    <x v="1014"/>
    <s v="DF"/>
    <n v="934"/>
    <s v="CDP Ouro"/>
    <n v="1350"/>
    <s v="W10882241"/>
    <s v="Agitadores"/>
    <x v="2"/>
    <n v="3000"/>
    <n v="5002359"/>
    <s v="EMPRESA BRASILEIRA DE CORREIOS E"/>
    <n v="132.47999999999999"/>
    <d v="2025-07-17T00:00:00"/>
  </r>
  <r>
    <n v="254042278"/>
    <n v="64796115"/>
    <s v="REB"/>
    <n v="10004701"/>
    <n v="176"/>
    <s v="PEÇAS - Defeito de fabric./Interrompido"/>
    <s v="FUNCIONAL"/>
    <x v="0"/>
    <n v="14474"/>
    <x v="25"/>
    <s v="RN"/>
    <n v="648"/>
    <s v="Ultra"/>
    <n v="1350"/>
    <s v="W10446925"/>
    <s v="Placas de Controle"/>
    <x v="1"/>
    <n v="1000"/>
    <n v="5004101"/>
    <s v="UNIDOCK'S ASSESSORIA E LOGISTICA DE"/>
    <n v="132.34"/>
    <d v="2025-06-23T00:00:00"/>
  </r>
  <r>
    <s v="Sem TR"/>
    <n v="64726751"/>
    <s v="REB"/>
    <n v="9851913"/>
    <n v="160"/>
    <s v="OI Cancelada - Ver motivo no texto"/>
    <s v="OUTROS"/>
    <x v="1"/>
    <n v="56043"/>
    <x v="48"/>
    <s v="PR"/>
    <n v="963"/>
    <s v="Ats Distribuidoras"/>
    <n v="1350"/>
    <s v="W10476183"/>
    <s v="Prateleiras"/>
    <x v="9"/>
    <n v="5000"/>
    <n v="5003024"/>
    <s v="RODOBRAS TRANSPORTES RODOVIARIOS LT"/>
    <n v="132.30000000000001"/>
    <d v="2025-03-07T00:00:00"/>
  </r>
  <r>
    <n v="254033394"/>
    <n v="64802471"/>
    <s v="REB"/>
    <n v="10085677"/>
    <n v="173"/>
    <s v="PEÇAS - Defeito de fabric./Alta Amperage"/>
    <s v="FUNCIONAL"/>
    <x v="1"/>
    <n v="37434"/>
    <x v="95"/>
    <s v="GO"/>
    <n v="931"/>
    <s v="Ats Off"/>
    <n v="1350"/>
    <s v="W11581054"/>
    <s v="Placas de Controle"/>
    <x v="1"/>
    <n v="1000"/>
    <n v="5002858"/>
    <s v="FAVORITA TRANSPORTES LTDA"/>
    <n v="132.27000000000001"/>
    <d v="2025-07-01T00:00:00"/>
  </r>
  <r>
    <s v="Sem TR"/>
    <n v="64820372"/>
    <s v="ZRDI"/>
    <n v="10143704"/>
    <s v="D10"/>
    <s v="DEV D2C - Comprou modelo errado"/>
    <s v="COMERCIAL"/>
    <x v="1"/>
    <n v="50340859"/>
    <x v="1015"/>
    <s v="SP"/>
    <n v="488"/>
    <s v="Carteira A"/>
    <n v="1352"/>
    <s v="W10544738"/>
    <s v="Mangueiras"/>
    <x v="5"/>
    <n v="1000"/>
    <n v="5002359"/>
    <s v="EMPRESA BRASILEIRA DE CORREIOS E"/>
    <n v="132.11000000000001"/>
    <d v="2025-07-30T00:00:00"/>
  </r>
  <r>
    <s v="Sem TR"/>
    <n v="64793329"/>
    <s v="ZRDI"/>
    <n v="10067860"/>
    <s v="D31"/>
    <s v="DEV D2C - Defeito estético manufatura"/>
    <s v="MANUFATURA"/>
    <x v="2"/>
    <n v="58062770"/>
    <x v="1016"/>
    <s v="MG"/>
    <n v="474"/>
    <s v="Site Brastemp"/>
    <n v="1352"/>
    <s v="W10796892"/>
    <s v="Agitadores"/>
    <x v="2"/>
    <n v="1000"/>
    <n v="5002359"/>
    <s v="EMPRESA BRASILEIRA DE CORREIOS E"/>
    <n v="132.1"/>
    <d v="2025-06-17T00:00:00"/>
  </r>
  <r>
    <s v="Sem TR"/>
    <n v="64793329"/>
    <s v="ZRDI"/>
    <n v="10067860"/>
    <s v="D31"/>
    <s v="DEV D2C - Defeito estético manufatura"/>
    <s v="MANUFATURA"/>
    <x v="2"/>
    <n v="58062770"/>
    <x v="1016"/>
    <s v="MG"/>
    <n v="474"/>
    <s v="Site Brastemp"/>
    <n v="1352"/>
    <s v="W10796892"/>
    <s v="Agitadores"/>
    <x v="2"/>
    <n v="1000"/>
    <n v="5002359"/>
    <s v="EMPRESA BRASILEIRA DE CORREIOS E"/>
    <n v="132.1"/>
    <d v="2025-06-17T00:00:00"/>
  </r>
  <r>
    <n v="253927633"/>
    <n v="64703190"/>
    <s v="REB"/>
    <n v="9837274"/>
    <n v="220"/>
    <s v="DEV-Avaria 1 trecho transp - Produto"/>
    <s v="QUALIDADE"/>
    <x v="1"/>
    <n v="27874"/>
    <x v="237"/>
    <s v="RS"/>
    <n v="933"/>
    <s v="Top"/>
    <n v="1350"/>
    <s v="W10512610"/>
    <s v="Tampas Móveis"/>
    <x v="6"/>
    <n v="1000"/>
    <n v="5003024"/>
    <s v="RODOBRAS TRANSPORTES RODOVIARIOS LT"/>
    <n v="132.04"/>
    <d v="2025-01-30T00:00:00"/>
  </r>
  <r>
    <s v="Sem TR"/>
    <n v="64799268"/>
    <s v="ZRDI"/>
    <n v="10105422"/>
    <s v="D15"/>
    <s v="DEV D2C - Arrependimento modelo comprado"/>
    <s v="COMERCIAL"/>
    <x v="2"/>
    <n v="58113851"/>
    <x v="1017"/>
    <s v="SP"/>
    <n v="466"/>
    <s v="Sup ML Marketplace"/>
    <n v="1352"/>
    <s v="W10581058"/>
    <s v="Gavetas"/>
    <x v="9"/>
    <n v="1000"/>
    <n v="5002359"/>
    <s v="EMPRESA BRASILEIRA DE CORREIOS E"/>
    <n v="131.94"/>
    <d v="2025-07-08T00:00:00"/>
  </r>
  <r>
    <s v="Sem TR"/>
    <n v="64799268"/>
    <s v="ZRDI"/>
    <n v="10105422"/>
    <s v="D15"/>
    <s v="DEV D2C - Arrependimento modelo comprado"/>
    <s v="COMERCIAL"/>
    <x v="2"/>
    <n v="58113851"/>
    <x v="1017"/>
    <s v="SP"/>
    <n v="466"/>
    <s v="Sup ML Marketplace"/>
    <n v="1352"/>
    <s v="W10581058"/>
    <s v="Gavetas"/>
    <x v="9"/>
    <n v="1000"/>
    <n v="5002359"/>
    <s v="EMPRESA BRASILEIRA DE CORREIOS E"/>
    <n v="131.94"/>
    <d v="2025-07-08T00:00:00"/>
  </r>
  <r>
    <s v="Sem TR"/>
    <n v="64802359"/>
    <s v="ZRDI"/>
    <n v="10077688"/>
    <s v="D18"/>
    <s v="DEV D2C - Arrependimento não quero mais"/>
    <s v="COMERCIAL"/>
    <x v="2"/>
    <n v="54007783"/>
    <x v="1018"/>
    <s v="SP"/>
    <n v="474"/>
    <s v="Site Brastemp"/>
    <n v="1352"/>
    <s v="W10709775"/>
    <s v="Puxadores"/>
    <x v="6"/>
    <n v="1000"/>
    <n v="5002359"/>
    <s v="EMPRESA BRASILEIRA DE CORREIOS E"/>
    <n v="131.83000000000001"/>
    <d v="2025-07-01T00:00:00"/>
  </r>
  <r>
    <s v="Sem TR"/>
    <n v="64802359"/>
    <s v="ZRDI"/>
    <n v="10077688"/>
    <s v="D18"/>
    <s v="DEV D2C - Arrependimento não quero mais"/>
    <s v="COMERCIAL"/>
    <x v="2"/>
    <n v="54007783"/>
    <x v="1018"/>
    <s v="SP"/>
    <n v="474"/>
    <s v="Site Brastemp"/>
    <n v="1352"/>
    <s v="W10709775"/>
    <s v="Puxadores"/>
    <x v="6"/>
    <n v="1000"/>
    <n v="5002359"/>
    <s v="EMPRESA BRASILEIRA DE CORREIOS E"/>
    <n v="131.83000000000001"/>
    <d v="2025-07-01T00:00:00"/>
  </r>
  <r>
    <n v="253968356"/>
    <n v="64746702"/>
    <s v="REB"/>
    <n v="9675343"/>
    <n v="671"/>
    <s v="DEV-ENVIADO PARA GESTÃO DE CONSEQUENCIA"/>
    <s v="TRANSPORTADORA"/>
    <x v="1"/>
    <n v="56043"/>
    <x v="48"/>
    <s v="PR"/>
    <n v="963"/>
    <s v="Ats Distribuidoras"/>
    <n v="1350"/>
    <s v="W10849469"/>
    <s v="Bombas"/>
    <x v="1"/>
    <n v="5000"/>
    <n v="5003024"/>
    <s v="RODOBRAS TRANSPORTES RODOVIARIOS LT"/>
    <n v="131.69999999999999"/>
    <d v="2025-04-07T00:00:00"/>
  </r>
  <r>
    <n v="254033377"/>
    <n v="64799926"/>
    <s v="REB"/>
    <n v="9991991"/>
    <n v="173"/>
    <s v="PEÇAS - Defeito de fabric./Alta Amperage"/>
    <s v="FUNCIONAL"/>
    <x v="1"/>
    <n v="30416"/>
    <x v="136"/>
    <s v="AM"/>
    <n v="648"/>
    <s v="Ultra"/>
    <n v="1350"/>
    <s v="W10586927"/>
    <s v="Placas de Controle"/>
    <x v="1"/>
    <n v="1000"/>
    <n v="5002858"/>
    <s v="FAVORITA TRANSPORTES LTDA"/>
    <n v="131.66"/>
    <d v="2025-07-01T00:00:00"/>
  </r>
  <r>
    <n v="254023959"/>
    <n v="64802707"/>
    <s v="ZRDI"/>
    <n v="10047611"/>
    <s v="D25"/>
    <s v="DEV D2C - Prob na entrega (Não recebi)"/>
    <s v="TRANSPORTADORA"/>
    <x v="2"/>
    <n v="54329751"/>
    <x v="1019"/>
    <s v="BA"/>
    <n v="474"/>
    <s v="Site Brastemp"/>
    <n v="1352"/>
    <s v="W10830936"/>
    <s v="Prateleiras"/>
    <x v="9"/>
    <n v="1000"/>
    <n v="5002359"/>
    <s v="EMPRESA BRASILEIRA DE CORREIOS E"/>
    <n v="131.62"/>
    <d v="2025-07-01T00:00:00"/>
  </r>
  <r>
    <n v="254042176"/>
    <n v="64790927"/>
    <s v="REB"/>
    <n v="10087927"/>
    <n v="104"/>
    <s v="PEÇAS-Código trocado(embalag X conteúdo)"/>
    <s v="LOGÍSTICA"/>
    <x v="0"/>
    <n v="84461"/>
    <x v="415"/>
    <s v="SP"/>
    <n v="350"/>
    <s v="Ats On"/>
    <n v="1350"/>
    <s v="W10810938"/>
    <s v="Tampas Móveis"/>
    <x v="6"/>
    <n v="1000"/>
    <n v="5004042"/>
    <s v="BRASIL WEB TRANSPORTES E LOGISTICA"/>
    <n v="131.62"/>
    <d v="2025-06-23T00:00:00"/>
  </r>
  <r>
    <n v="254024696"/>
    <n v="64804789"/>
    <s v="ZRDI"/>
    <n v="10070900"/>
    <n v="208"/>
    <s v="DEV-Atraso entrega- LOGISTICA(Transp)"/>
    <s v="TRANSPORTADORA"/>
    <x v="2"/>
    <n v="52632757"/>
    <x v="1020"/>
    <s v="PE"/>
    <n v="466"/>
    <s v="Sup ML Marketplace"/>
    <n v="1352"/>
    <s v="W10347201"/>
    <s v="Prateleiras"/>
    <x v="9"/>
    <n v="1000"/>
    <n v="5002359"/>
    <s v="EMPRESA BRASILEIRA DE CORREIOS E"/>
    <n v="131.53"/>
    <d v="2025-07-02T00:00:00"/>
  </r>
  <r>
    <s v="Sem TR"/>
    <n v="64807895"/>
    <s v="ZRDI"/>
    <n v="10092090"/>
    <s v="D10"/>
    <s v="DEV D2C - Comprou modelo errado"/>
    <s v="COMERCIAL"/>
    <x v="2"/>
    <n v="4873224"/>
    <x v="1021"/>
    <s v="SP"/>
    <n v="475"/>
    <s v="Site Consul"/>
    <n v="1352"/>
    <s v="W11621547"/>
    <s v="Registros"/>
    <x v="12"/>
    <n v="4000"/>
    <n v="5002359"/>
    <s v="EMPRESA BRASILEIRA DE CORREIOS E"/>
    <n v="131.52000000000001"/>
    <d v="2025-07-09T00:00:00"/>
  </r>
  <r>
    <n v="254018210"/>
    <n v="64784710"/>
    <s v="REB"/>
    <n v="10066163"/>
    <n v="104"/>
    <s v="PEÇAS-Código trocado(embalag X conteúdo)"/>
    <s v="LOGÍSTICA"/>
    <x v="2"/>
    <n v="9272"/>
    <x v="395"/>
    <s v="RS"/>
    <n v="931"/>
    <s v="Ats Off"/>
    <n v="1350"/>
    <s v="W11375439"/>
    <s v="Gavetas"/>
    <x v="9"/>
    <n v="1000"/>
    <n v="5003024"/>
    <s v="RODOBRAS TRANSPORTES RODOVIARIOS LT"/>
    <n v="131.51"/>
    <d v="2025-06-11T00:00:00"/>
  </r>
  <r>
    <n v="253918600"/>
    <n v="64670873"/>
    <s v="REB"/>
    <n v="9802640"/>
    <n v="167"/>
    <s v="PEÇAS - Avaria - Quebrada/Depósito"/>
    <s v="LOGÍSTICA"/>
    <x v="1"/>
    <n v="55985"/>
    <x v="400"/>
    <s v="GO"/>
    <n v="934"/>
    <s v="CDP Ouro"/>
    <n v="1350"/>
    <s v="W10512610"/>
    <s v="Tampas Móveis"/>
    <x v="6"/>
    <n v="1000"/>
    <n v="5002858"/>
    <s v="FAVORITA TRANSPORTES LTDA"/>
    <n v="131.29"/>
    <d v="2025-01-15T00:00:00"/>
  </r>
  <r>
    <n v="254012584"/>
    <n v="64789327"/>
    <s v="REB"/>
    <n v="9879563"/>
    <n v="173"/>
    <s v="PEÇAS - Defeito de fabric./Alta Amperage"/>
    <s v="FUNCIONAL"/>
    <x v="2"/>
    <n v="63620"/>
    <x v="328"/>
    <s v="MG"/>
    <n v="934"/>
    <s v="CDP Ouro"/>
    <n v="1350"/>
    <s v="W11300816"/>
    <s v="Mecanismos"/>
    <x v="2"/>
    <n v="1000"/>
    <n v="5004215"/>
    <s v="BRASIL WEB TRANSPORTES E LOGISTICA"/>
    <n v="131.26"/>
    <d v="2025-06-10T00:00:00"/>
  </r>
  <r>
    <n v="253988801"/>
    <n v="64764027"/>
    <s v="REB"/>
    <n v="9918506"/>
    <n v="173"/>
    <s v="PEÇAS - Defeito de fabric./Alta Amperage"/>
    <s v="FUNCIONAL"/>
    <x v="1"/>
    <n v="13757"/>
    <x v="14"/>
    <s v="SP"/>
    <n v="713"/>
    <s v="Key Account"/>
    <n v="1350"/>
    <s v="W10882241"/>
    <s v="Agitadores"/>
    <x v="2"/>
    <n v="4000"/>
    <n v="5004042"/>
    <s v="BRASIL WEB TRANSPORTES E LOGISTICA"/>
    <n v="131.03"/>
    <d v="2025-05-05T00:00:00"/>
  </r>
  <r>
    <n v="254003947"/>
    <n v="64775550"/>
    <s v="REB"/>
    <n v="9883075"/>
    <n v="173"/>
    <s v="PEÇAS - Defeito de fabric./Alta Amperage"/>
    <s v="FUNCIONAL"/>
    <x v="2"/>
    <n v="30990"/>
    <x v="26"/>
    <s v="ES"/>
    <n v="713"/>
    <s v="Key Account"/>
    <n v="1350"/>
    <s v="W11254865"/>
    <s v="Mecanismos"/>
    <x v="2"/>
    <n v="1000"/>
    <n v="5004042"/>
    <s v="BRASIL WEB TRANSPORTES E LOGISTICA"/>
    <n v="131"/>
    <d v="2025-05-26T00:00:00"/>
  </r>
  <r>
    <s v="Sem TR"/>
    <n v="64797905"/>
    <s v="ZRDI"/>
    <n v="10083039"/>
    <s v="D35"/>
    <s v="DEV D2C - Prod difere do comprado"/>
    <s v="COMERCIAL"/>
    <x v="2"/>
    <n v="58083690"/>
    <x v="1022"/>
    <s v="SP"/>
    <n v="466"/>
    <s v="Sup ML Marketplace"/>
    <n v="1352"/>
    <s v="W10830936"/>
    <s v="Prateleiras"/>
    <x v="9"/>
    <n v="1000"/>
    <n v="5002359"/>
    <s v="EMPRESA BRASILEIRA DE CORREIOS E"/>
    <n v="131"/>
    <d v="2025-06-26T00:00:00"/>
  </r>
  <r>
    <s v="Sem TR"/>
    <n v="64797905"/>
    <s v="ZRDI"/>
    <n v="10083039"/>
    <s v="D35"/>
    <s v="DEV D2C - Prod difere do comprado"/>
    <s v="COMERCIAL"/>
    <x v="2"/>
    <n v="58083690"/>
    <x v="1022"/>
    <s v="SP"/>
    <n v="466"/>
    <s v="Sup ML Marketplace"/>
    <n v="1352"/>
    <s v="W10830936"/>
    <s v="Prateleiras"/>
    <x v="9"/>
    <n v="1000"/>
    <n v="5002359"/>
    <s v="EMPRESA BRASILEIRA DE CORREIOS E"/>
    <n v="131"/>
    <d v="2025-06-26T00:00:00"/>
  </r>
  <r>
    <n v="254031862"/>
    <n v="64800476"/>
    <s v="REB"/>
    <n v="10060630"/>
    <n v="176"/>
    <s v="PEÇAS - Defeito de fabric./Interrompido"/>
    <s v="FUNCIONAL"/>
    <x v="1"/>
    <n v="3506"/>
    <x v="46"/>
    <s v="SP"/>
    <n v="931"/>
    <s v="Ats Off"/>
    <n v="1350"/>
    <s v="W10544610"/>
    <s v="Bombas"/>
    <x v="1"/>
    <n v="1000"/>
    <n v="5004042"/>
    <s v="BRASIL WEB TRANSPORTES E LOGISTICA"/>
    <n v="130.97999999999999"/>
    <d v="2025-07-01T00:00:00"/>
  </r>
  <r>
    <n v="253970762"/>
    <n v="64748868"/>
    <s v="REB"/>
    <n v="9972960"/>
    <n v="173"/>
    <s v="PEÇAS - Defeito de fabric./Alta Amperage"/>
    <s v="FUNCIONAL"/>
    <x v="2"/>
    <n v="28162"/>
    <x v="203"/>
    <s v="SP"/>
    <n v="641"/>
    <s v="CDP Diamante"/>
    <n v="1350"/>
    <s v="W11557350"/>
    <s v="Resistências"/>
    <x v="1"/>
    <n v="1000"/>
    <n v="5004042"/>
    <s v="BRASIL WEB TRANSPORTES E LOGISTICA"/>
    <n v="130.96"/>
    <d v="2025-04-09T00:00:00"/>
  </r>
  <r>
    <n v="254012433"/>
    <n v="64785093"/>
    <s v="REB"/>
    <n v="10024721"/>
    <n v="176"/>
    <s v="PEÇAS - Defeito de fabric./Interrompido"/>
    <s v="FUNCIONAL"/>
    <x v="2"/>
    <n v="66"/>
    <x v="73"/>
    <s v="GO"/>
    <n v="931"/>
    <s v="Ats Off"/>
    <n v="1350"/>
    <s v="W10666757"/>
    <s v="Válvulas de Água"/>
    <x v="5"/>
    <n v="1000"/>
    <n v="5002858"/>
    <s v="FAVORITA TRANSPORTES LTDA"/>
    <n v="130.82"/>
    <d v="2025-06-10T00:00:00"/>
  </r>
  <r>
    <n v="254034818"/>
    <n v="64813327"/>
    <s v="ZRDI"/>
    <n v="8983060"/>
    <n v="208"/>
    <s v="DEV-Atraso entrega- LOGISTICA(Transp)"/>
    <s v="TRANSPORTADORA"/>
    <x v="2"/>
    <n v="54453947"/>
    <x v="1023"/>
    <s v="RJ"/>
    <n v="475"/>
    <s v="Site Consul"/>
    <n v="1352"/>
    <s v="W10581058"/>
    <s v="Gavetas"/>
    <x v="9"/>
    <n v="1000"/>
    <n v="5002359"/>
    <s v="EMPRESA BRASILEIRA DE CORREIOS E"/>
    <n v="130.69"/>
    <d v="2025-07-18T00:00:00"/>
  </r>
  <r>
    <n v="254034818"/>
    <n v="64813327"/>
    <s v="ZRDI"/>
    <n v="8983060"/>
    <n v="208"/>
    <s v="DEV-Atraso entrega- LOGISTICA(Transp)"/>
    <s v="TRANSPORTADORA"/>
    <x v="2"/>
    <n v="54453947"/>
    <x v="1023"/>
    <s v="RJ"/>
    <n v="475"/>
    <s v="Site Consul"/>
    <n v="1352"/>
    <s v="W10581058"/>
    <s v="Gavetas"/>
    <x v="9"/>
    <n v="1000"/>
    <n v="5002359"/>
    <s v="EMPRESA BRASILEIRA DE CORREIOS E"/>
    <n v="130.69"/>
    <d v="2025-07-18T00:00:00"/>
  </r>
  <r>
    <n v="253952142"/>
    <n v="64718717"/>
    <s v="REB"/>
    <n v="9820222"/>
    <n v="173"/>
    <s v="PEÇAS - Defeito de fabric./Alta Amperage"/>
    <s v="FUNCIONAL"/>
    <x v="1"/>
    <n v="3524"/>
    <x v="93"/>
    <s v="SP"/>
    <n v="931"/>
    <s v="Ats Off"/>
    <n v="1350"/>
    <s v="W10436335"/>
    <s v="Lâmpadas"/>
    <x v="1"/>
    <n v="1000"/>
    <n v="5004042"/>
    <s v="BRASIL WEB TRANSPORTES E LOGISTICA"/>
    <n v="130.66999999999999"/>
    <d v="2025-03-10T00:00:00"/>
  </r>
  <r>
    <n v="253988907"/>
    <n v="64763676"/>
    <s v="REB"/>
    <n v="9909138"/>
    <n v="173"/>
    <s v="PEÇAS - Defeito de fabric./Alta Amperage"/>
    <s v="FUNCIONAL"/>
    <x v="1"/>
    <n v="69921"/>
    <x v="205"/>
    <s v="SP"/>
    <n v="934"/>
    <s v="CDP Ouro"/>
    <n v="1350"/>
    <s v="W11396188"/>
    <s v="Placas de Interface"/>
    <x v="1"/>
    <n v="1000"/>
    <n v="5004042"/>
    <s v="BRASIL WEB TRANSPORTES E LOGISTICA"/>
    <n v="130.59"/>
    <d v="2025-05-05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1574388"/>
    <s v="Capacitores"/>
    <x v="1"/>
    <n v="10000"/>
    <n v="5003024"/>
    <s v="RODOBRAS TRANSPORTES RODOVIARIOS LT"/>
    <n v="130.5"/>
    <d v="2024-10-08T00:00:00"/>
  </r>
  <r>
    <n v="254018369"/>
    <n v="64788247"/>
    <s v="REB"/>
    <n v="10077256"/>
    <n v="178"/>
    <s v="PEÇAS -Defeito de fabric./Sem Compressão"/>
    <s v="FUNCIONAL"/>
    <x v="2"/>
    <n v="72911"/>
    <x v="61"/>
    <s v="SP"/>
    <n v="931"/>
    <s v="Ats Off"/>
    <n v="1350"/>
    <s v="W10563075"/>
    <s v="Gaxetas"/>
    <x v="4"/>
    <n v="1000"/>
    <n v="5004042"/>
    <s v="BRASIL WEB TRANSPORTES E LOGISTICA"/>
    <n v="130.41"/>
    <d v="2025-06-08T00:00:00"/>
  </r>
  <r>
    <n v="254040389"/>
    <n v="64818293"/>
    <s v="ZRDI"/>
    <n v="10073054"/>
    <n v="208"/>
    <s v="DEV-Atraso entrega- LOGISTICA(Transp)"/>
    <s v="TRANSPORTADORA"/>
    <x v="2"/>
    <n v="58069372"/>
    <x v="1024"/>
    <s v="GO"/>
    <n v="474"/>
    <s v="Site Brastemp"/>
    <n v="1352"/>
    <s v="W10461959"/>
    <s v="Mangueiras"/>
    <x v="5"/>
    <n v="1000"/>
    <n v="5002359"/>
    <s v="EMPRESA BRASILEIRA DE CORREIOS E"/>
    <n v="130.41"/>
    <d v="2025-07-26T00:00:00"/>
  </r>
  <r>
    <n v="254040389"/>
    <n v="64818293"/>
    <s v="ZRDI"/>
    <n v="10073054"/>
    <n v="208"/>
    <s v="DEV-Atraso entrega- LOGISTICA(Transp)"/>
    <s v="TRANSPORTADORA"/>
    <x v="2"/>
    <n v="58069372"/>
    <x v="1024"/>
    <s v="GO"/>
    <n v="474"/>
    <s v="Site Brastemp"/>
    <n v="1352"/>
    <s v="W10461959"/>
    <s v="Mangueiras"/>
    <x v="5"/>
    <n v="1000"/>
    <n v="5002359"/>
    <s v="EMPRESA BRASILEIRA DE CORREIOS E"/>
    <n v="130.41"/>
    <d v="2025-07-26T00:00:00"/>
  </r>
  <r>
    <n v="253926838"/>
    <n v="64700020"/>
    <s v="REB"/>
    <n v="9820301"/>
    <n v="104"/>
    <s v="PEÇAS-Código trocado(embalag X conteúdo)"/>
    <s v="LOGÍSTICA"/>
    <x v="1"/>
    <n v="3236"/>
    <x v="45"/>
    <s v="SP"/>
    <n v="931"/>
    <s v="Ats Off"/>
    <n v="1350"/>
    <s v="W10666554"/>
    <s v="Gaxetas"/>
    <x v="4"/>
    <n v="1000"/>
    <n v="5003254"/>
    <s v="TMA TRANSPORTE LOTACAO E LOGISTICA"/>
    <n v="130.28"/>
    <d v="2025-01-27T00:00:00"/>
  </r>
  <r>
    <n v="254021262"/>
    <n v="64798917"/>
    <s v="ZRDI"/>
    <n v="10060895"/>
    <n v="208"/>
    <s v="DEV-Atraso entrega- LOGISTICA(Transp)"/>
    <s v="TRANSPORTADORA"/>
    <x v="2"/>
    <n v="58057040"/>
    <x v="430"/>
    <s v="GO"/>
    <n v="474"/>
    <s v="Site Brastemp"/>
    <n v="1352"/>
    <s v="W10347201"/>
    <s v="Prateleiras"/>
    <x v="9"/>
    <n v="1000"/>
    <n v="5002359"/>
    <s v="EMPRESA BRASILEIRA DE CORREIOS E"/>
    <n v="130.22999999999999"/>
    <d v="2025-06-26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169457"/>
    <s v="Prateleiras"/>
    <x v="9"/>
    <n v="3000"/>
    <n v="5004101"/>
    <s v="UNIDOCK'S ASSESSORIA E LOGISTICA DE"/>
    <n v="130.16"/>
    <d v="2025-02-25T00:00:00"/>
  </r>
  <r>
    <n v="254012622"/>
    <n v="64789129"/>
    <s v="REB"/>
    <n v="10056888"/>
    <n v="167"/>
    <s v="PEÇAS - Avaria - Quebrada/Depósito"/>
    <s v="LOGÍSTICA"/>
    <x v="2"/>
    <n v="81338"/>
    <x v="354"/>
    <s v="SP"/>
    <n v="644"/>
    <s v="Plus"/>
    <n v="1350"/>
    <s v="W11132264"/>
    <s v="Trempes"/>
    <x v="6"/>
    <n v="3000"/>
    <n v="5004042"/>
    <s v="BRASIL WEB TRANSPORTES E LOGISTICA"/>
    <n v="130.12"/>
    <d v="2025-06-10T00:00:00"/>
  </r>
  <r>
    <n v="253981505"/>
    <n v="64748823"/>
    <s v="REB"/>
    <n v="9967778"/>
    <n v="104"/>
    <s v="PEÇAS-Código trocado(embalag X conteúdo)"/>
    <s v="LOGÍSTICA"/>
    <x v="1"/>
    <n v="33671"/>
    <x v="1025"/>
    <s v="RS"/>
    <n v="350"/>
    <s v="Ats On"/>
    <n v="1350"/>
    <s v="W11347049"/>
    <s v="Bombas"/>
    <x v="1"/>
    <n v="1000"/>
    <n v="5003024"/>
    <s v="RODOBRAS TRANSPORTES RODOVIARIOS LT"/>
    <n v="130.1"/>
    <d v="2025-04-16T00:00:00"/>
  </r>
  <r>
    <n v="254033294"/>
    <n v="64805606"/>
    <s v="REB"/>
    <n v="9907274"/>
    <n v="176"/>
    <s v="PEÇAS - Defeito de fabric./Interrompido"/>
    <s v="FUNCIONAL"/>
    <x v="1"/>
    <n v="18805"/>
    <x v="307"/>
    <s v="PR"/>
    <n v="648"/>
    <s v="Ultra"/>
    <n v="1350"/>
    <s v="W11160655"/>
    <s v="Placas de Interface"/>
    <x v="1"/>
    <n v="1000"/>
    <n v="5003024"/>
    <s v="RODOBRAS TRANSPORTES RODOVIARIOS LT"/>
    <n v="130.06"/>
    <d v="2025-07-08T00:00:00"/>
  </r>
  <r>
    <n v="253995206"/>
    <n v="64772255"/>
    <s v="REB"/>
    <n v="9963259"/>
    <n v="173"/>
    <s v="PEÇAS - Defeito de fabric./Alta Amperage"/>
    <s v="FUNCIONAL"/>
    <x v="2"/>
    <n v="64345"/>
    <x v="1026"/>
    <s v="SP"/>
    <n v="932"/>
    <s v="CDP Prata"/>
    <n v="1350"/>
    <s v="W11300676"/>
    <s v="Mecanismos"/>
    <x v="2"/>
    <n v="1000"/>
    <n v="5004042"/>
    <s v="BRASIL WEB TRANSPORTES E LOGISTICA"/>
    <n v="129.97999999999999"/>
    <d v="2025-05-16T00:00:00"/>
  </r>
  <r>
    <n v="254012461"/>
    <n v="64787457"/>
    <s v="REB"/>
    <n v="10041357"/>
    <n v="167"/>
    <s v="PEÇAS - Avaria - Quebrada/Depósito"/>
    <s v="LOGÍSTICA"/>
    <x v="1"/>
    <n v="10164"/>
    <x v="183"/>
    <s v="PB"/>
    <n v="931"/>
    <s v="Ats Off"/>
    <n v="1350"/>
    <s v="W10616737"/>
    <s v="Gavetas"/>
    <x v="9"/>
    <n v="1000"/>
    <n v="5004101"/>
    <s v="UNIDOCK'S ASSESSORIA E LOGISTICA DE"/>
    <n v="129.86000000000001"/>
    <d v="2025-06-10T00:00:00"/>
  </r>
  <r>
    <n v="253870857"/>
    <n v="64637901"/>
    <s v="REB"/>
    <n v="9416460"/>
    <n v="671"/>
    <s v="DEV-ENVIADO PARA GESTÃO DE CONSEQUENCIA"/>
    <s v="TRANSPORTADORA"/>
    <x v="1"/>
    <n v="21330"/>
    <x v="80"/>
    <s v="PR"/>
    <n v="643"/>
    <s v="Elite"/>
    <n v="1350"/>
    <s v="W10269366"/>
    <s v="Placas de Controle"/>
    <x v="1"/>
    <n v="1000"/>
    <n v="5003024"/>
    <s v="RODOBRAS TRANSPORTES RODOVIARIOS LT"/>
    <n v="129.85"/>
    <d v="2024-11-04T00:00:00"/>
  </r>
  <r>
    <n v="254027641"/>
    <n v="64807244"/>
    <s v="ZRDI"/>
    <n v="10071121"/>
    <n v="208"/>
    <s v="DEV-Atraso entrega- LOGISTICA(Transp)"/>
    <s v="TRANSPORTADORA"/>
    <x v="2"/>
    <n v="58067386"/>
    <x v="1027"/>
    <s v="BA"/>
    <n v="466"/>
    <s v="Sup ML Marketplace"/>
    <n v="1352"/>
    <s v="W10347201"/>
    <s v="Prateleiras"/>
    <x v="9"/>
    <n v="1000"/>
    <n v="5002359"/>
    <s v="EMPRESA BRASILEIRA DE CORREIOS E"/>
    <n v="129.65"/>
    <d v="2025-07-08T00:00:00"/>
  </r>
  <r>
    <n v="253989820"/>
    <n v="64765965"/>
    <s v="REB"/>
    <n v="9991386"/>
    <n v="90"/>
    <s v="CLIENTE-não solicitou"/>
    <s v="COMERCIAL"/>
    <x v="1"/>
    <n v="32856"/>
    <x v="60"/>
    <s v="PR"/>
    <n v="713"/>
    <s v="Key Account"/>
    <n v="1350"/>
    <s v="W10721910"/>
    <s v="Pressostatos"/>
    <x v="3"/>
    <n v="6000"/>
    <n v="5003024"/>
    <s v="RODOBRAS TRANSPORTES RODOVIARIOS LT"/>
    <n v="129.33000000000001"/>
    <d v="2025-05-07T00:00:00"/>
  </r>
  <r>
    <s v="Sem TR"/>
    <n v="64804563"/>
    <s v="ZRDI"/>
    <n v="10086750"/>
    <s v="D35"/>
    <s v="DEV D2C - Prod difere do comprado"/>
    <s v="COMERCIAL"/>
    <x v="2"/>
    <n v="51389865"/>
    <x v="1028"/>
    <s v="PR"/>
    <n v="474"/>
    <s v="Site Brastemp"/>
    <n v="1352"/>
    <s v="W10830936"/>
    <s v="Prateleiras"/>
    <x v="9"/>
    <n v="1000"/>
    <n v="5002359"/>
    <s v="EMPRESA BRASILEIRA DE CORREIOS E"/>
    <n v="129.16999999999999"/>
    <d v="2025-07-07T00:00:00"/>
  </r>
  <r>
    <s v="Sem TR"/>
    <n v="64812137"/>
    <s v="ZRDI"/>
    <n v="10127899"/>
    <s v="D10"/>
    <s v="DEV D2C - Comprou modelo errado"/>
    <s v="COMERCIAL"/>
    <x v="2"/>
    <n v="51389865"/>
    <x v="1028"/>
    <s v="PR"/>
    <n v="474"/>
    <s v="Site Brastemp"/>
    <n v="1352"/>
    <s v="W10830936"/>
    <s v="Prateleiras"/>
    <x v="9"/>
    <n v="1000"/>
    <n v="5002359"/>
    <s v="EMPRESA BRASILEIRA DE CORREIOS E"/>
    <n v="129.16999999999999"/>
    <d v="2025-07-23T00:00:00"/>
  </r>
  <r>
    <s v="Sem TR"/>
    <n v="64804563"/>
    <s v="ZRDI"/>
    <n v="10086750"/>
    <s v="D35"/>
    <s v="DEV D2C - Prod difere do comprado"/>
    <s v="COMERCIAL"/>
    <x v="2"/>
    <n v="51389865"/>
    <x v="1028"/>
    <s v="PR"/>
    <n v="474"/>
    <s v="Site Brastemp"/>
    <n v="1352"/>
    <s v="W10830936"/>
    <s v="Prateleiras"/>
    <x v="9"/>
    <n v="1000"/>
    <n v="5002359"/>
    <s v="EMPRESA BRASILEIRA DE CORREIOS E"/>
    <n v="129.16999999999999"/>
    <d v="2025-07-07T00:00:00"/>
  </r>
  <r>
    <s v="Sem TR"/>
    <n v="64812137"/>
    <s v="ZRDI"/>
    <n v="10127899"/>
    <s v="D10"/>
    <s v="DEV D2C - Comprou modelo errado"/>
    <s v="COMERCIAL"/>
    <x v="2"/>
    <n v="51389865"/>
    <x v="1028"/>
    <s v="PR"/>
    <n v="474"/>
    <s v="Site Brastemp"/>
    <n v="1352"/>
    <s v="W10830936"/>
    <s v="Prateleiras"/>
    <x v="9"/>
    <n v="1000"/>
    <n v="5002359"/>
    <s v="EMPRESA BRASILEIRA DE CORREIOS E"/>
    <n v="129.16999999999999"/>
    <d v="2025-07-23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1299805"/>
    <s v="Mecanismos"/>
    <x v="2"/>
    <n v="1000"/>
    <n v="5004101"/>
    <s v="UNIDOCK'S ASSESSORIA E LOGISTICA DE"/>
    <n v="129.06"/>
    <d v="2025-03-11T00:00:00"/>
  </r>
  <r>
    <n v="254036649"/>
    <n v="64814547"/>
    <s v="ZRDI"/>
    <n v="10098400"/>
    <s v="D25"/>
    <s v="DEV D2C - Prob na entrega (Não recebi)"/>
    <s v="TRANSPORTADORA"/>
    <x v="2"/>
    <n v="51084202"/>
    <x v="1029"/>
    <s v="MG"/>
    <n v="474"/>
    <s v="Site Brastemp"/>
    <n v="1352"/>
    <s v="W10234323"/>
    <s v="Recipientes de Evaporação"/>
    <x v="9"/>
    <n v="1000"/>
    <n v="5003972"/>
    <s v="ICARO EXPRESS LOGISTICA LTDA"/>
    <n v="129.06"/>
    <d v="2025-07-22T00:00:00"/>
  </r>
  <r>
    <n v="254036649"/>
    <n v="64814547"/>
    <s v="ZRDI"/>
    <n v="10098400"/>
    <s v="D25"/>
    <s v="DEV D2C - Prob na entrega (Não recebi)"/>
    <s v="TRANSPORTADORA"/>
    <x v="2"/>
    <n v="51084202"/>
    <x v="1029"/>
    <s v="MG"/>
    <n v="474"/>
    <s v="Site Brastemp"/>
    <n v="1352"/>
    <s v="W10234323"/>
    <s v="Recipientes de Evaporação"/>
    <x v="9"/>
    <n v="1000"/>
    <n v="5003972"/>
    <s v="ICARO EXPRESS LOGISTICA LTDA"/>
    <n v="129.06"/>
    <d v="2025-07-2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16687"/>
    <s v="Capas"/>
    <x v="6"/>
    <n v="5000"/>
    <n v="5004101"/>
    <s v="UNIDOCK'S ASSESSORIA E LOGISTICA DE"/>
    <n v="129.01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16687"/>
    <s v="Capas"/>
    <x v="6"/>
    <n v="5000"/>
    <n v="5004101"/>
    <s v="UNIDOCK'S ASSESSORIA E LOGISTICA DE"/>
    <n v="129.01"/>
    <d v="2025-06-24T00:00:00"/>
  </r>
  <r>
    <s v="Sem TR"/>
    <n v="64794991"/>
    <s v="REB"/>
    <n v="10083116"/>
    <n v="509"/>
    <s v="Qtd de peças a Menor dentro do Volume"/>
    <s v="LOGÍSTICA"/>
    <x v="1"/>
    <n v="71778"/>
    <x v="700"/>
    <s v="SC"/>
    <n v="932"/>
    <s v="CDP Prata"/>
    <n v="1350"/>
    <s v="W11299805"/>
    <s v="Mecanismos"/>
    <x v="2"/>
    <n v="1000"/>
    <n v="5002359"/>
    <s v="EMPRESA BRASILEIRA DE CORREIOS E"/>
    <n v="129"/>
    <d v="2025-06-23T00:00:00"/>
  </r>
  <r>
    <n v="253907551"/>
    <n v="64676753"/>
    <s v="REB"/>
    <n v="9766578"/>
    <n v="176"/>
    <s v="PEÇAS - Defeito de fabric./Interrompido"/>
    <s v="FUNCIONAL"/>
    <x v="2"/>
    <n v="24089"/>
    <x v="134"/>
    <s v="RJ"/>
    <n v="931"/>
    <s v="Ats Off"/>
    <n v="1350"/>
    <n v="326073242"/>
    <s v="Placas de Controle"/>
    <x v="1"/>
    <n v="1000"/>
    <n v="5003176"/>
    <s v="J C THEDIN TRANSPORTES LTDA"/>
    <n v="128.97"/>
    <d v="2024-12-23T00:00:00"/>
  </r>
  <r>
    <n v="253886229"/>
    <n v="64653876"/>
    <s v="REB"/>
    <n v="9738479"/>
    <n v="173"/>
    <s v="PEÇAS - Defeito de fabric./Alta Amperage"/>
    <s v="FUNCIONAL"/>
    <x v="1"/>
    <n v="9452"/>
    <x v="42"/>
    <s v="SP"/>
    <n v="931"/>
    <s v="Ats Off"/>
    <n v="1350"/>
    <s v="W11258102"/>
    <s v="Dobradiças"/>
    <x v="10"/>
    <n v="1000"/>
    <n v="5003254"/>
    <s v="TMA TRANSPORTE LOTACAO E LOGISTICA"/>
    <n v="128.9"/>
    <d v="2024-11-29T00:00:00"/>
  </r>
  <r>
    <s v="Sem TR"/>
    <n v="64802285"/>
    <s v="ZRDI"/>
    <n v="10089009"/>
    <s v="D18"/>
    <s v="DEV D2C - Arrependimento não quero mais"/>
    <s v="COMERCIAL"/>
    <x v="2"/>
    <n v="54669856"/>
    <x v="1030"/>
    <s v="PR"/>
    <n v="466"/>
    <s v="Sup ML Marketplace"/>
    <n v="1352"/>
    <s v="W10830936"/>
    <s v="Prateleiras"/>
    <x v="9"/>
    <n v="1000"/>
    <n v="5002359"/>
    <s v="EMPRESA BRASILEIRA DE CORREIOS E"/>
    <n v="128.88"/>
    <d v="2025-07-01T00:00:00"/>
  </r>
  <r>
    <s v="Sem TR"/>
    <n v="64802285"/>
    <s v="ZRDI"/>
    <n v="10089009"/>
    <s v="D18"/>
    <s v="DEV D2C - Arrependimento não quero mais"/>
    <s v="COMERCIAL"/>
    <x v="2"/>
    <n v="54669856"/>
    <x v="1030"/>
    <s v="PR"/>
    <n v="466"/>
    <s v="Sup ML Marketplace"/>
    <n v="1352"/>
    <s v="W10830936"/>
    <s v="Prateleiras"/>
    <x v="9"/>
    <n v="1000"/>
    <n v="5002359"/>
    <s v="EMPRESA BRASILEIRA DE CORREIOS E"/>
    <n v="128.88"/>
    <d v="2025-07-01T00:00:00"/>
  </r>
  <r>
    <n v="253882974"/>
    <n v="64649906"/>
    <s v="REB"/>
    <n v="9685476"/>
    <n v="173"/>
    <s v="PEÇAS - Defeito de fabric./Alta Amperage"/>
    <s v="FUNCIONAL"/>
    <x v="1"/>
    <n v="3236"/>
    <x v="45"/>
    <s v="SP"/>
    <n v="931"/>
    <s v="Ats Off"/>
    <n v="1350"/>
    <s v="W11160655"/>
    <s v="Placas de Interface"/>
    <x v="1"/>
    <n v="1000"/>
    <n v="5003254"/>
    <s v="TMA TRANSPORTE LOTACAO E LOGISTICA"/>
    <n v="128.88"/>
    <d v="2024-11-21T00:00:00"/>
  </r>
  <r>
    <n v="253926838"/>
    <n v="64700450"/>
    <s v="REB"/>
    <n v="9838083"/>
    <n v="104"/>
    <s v="PEÇAS-Código trocado(embalag X conteúdo)"/>
    <s v="LOGÍSTICA"/>
    <x v="1"/>
    <n v="3236"/>
    <x v="45"/>
    <s v="SP"/>
    <n v="931"/>
    <s v="Ats Off"/>
    <n v="1350"/>
    <s v="W10666554"/>
    <s v="Gaxetas"/>
    <x v="4"/>
    <n v="1000"/>
    <n v="5003254"/>
    <s v="TMA TRANSPORTE LOTACAO E LOGISTICA"/>
    <n v="128.81"/>
    <d v="2025-01-27T00:00:00"/>
  </r>
  <r>
    <n v="253998136"/>
    <n v="64729254"/>
    <s v="REB"/>
    <n v="9742817"/>
    <n v="173"/>
    <s v="PEÇAS - Defeito de fabric./Alta Amperage"/>
    <s v="FUNCIONAL"/>
    <x v="2"/>
    <n v="81093"/>
    <x v="53"/>
    <s v="ES"/>
    <n v="713"/>
    <s v="Key Account"/>
    <n v="1350"/>
    <s v="W10751205"/>
    <s v="Placas de Interface"/>
    <x v="1"/>
    <n v="1000"/>
    <n v="5004042"/>
    <s v="BRASIL WEB TRANSPORTES E LOGISTICA"/>
    <n v="128.79"/>
    <d v="2025-03-10T00:00:00"/>
  </r>
  <r>
    <n v="254012457"/>
    <n v="64782102"/>
    <s v="REB"/>
    <n v="10039147"/>
    <n v="167"/>
    <s v="PEÇAS - Avaria - Quebrada/Depósito"/>
    <s v="LOGÍSTICA"/>
    <x v="2"/>
    <n v="9022"/>
    <x v="1031"/>
    <s v="RO"/>
    <n v="350"/>
    <s v="Ats On"/>
    <n v="1350"/>
    <s v="W10616737"/>
    <s v="Gavetas"/>
    <x v="9"/>
    <n v="1000"/>
    <n v="5002858"/>
    <s v="FAVORITA TRANSPORTES LTDA"/>
    <n v="128.68"/>
    <d v="2025-06-10T00:00:00"/>
  </r>
  <r>
    <n v="254031875"/>
    <n v="64805113"/>
    <s v="REB"/>
    <n v="10113099"/>
    <n v="176"/>
    <s v="PEÇAS - Defeito de fabric./Interrompido"/>
    <s v="FUNCIONAL"/>
    <x v="1"/>
    <n v="3506"/>
    <x v="46"/>
    <s v="SP"/>
    <n v="931"/>
    <s v="Ats Off"/>
    <n v="1350"/>
    <s v="W11703911"/>
    <s v="Outros"/>
    <x v="7"/>
    <n v="1000"/>
    <n v="5004042"/>
    <s v="BRASIL WEB TRANSPORTES E LOGISTICA"/>
    <n v="128.68"/>
    <d v="2025-07-08T00:00:00"/>
  </r>
  <r>
    <n v="253988815"/>
    <n v="64759703"/>
    <s v="REB"/>
    <n v="9889764"/>
    <n v="173"/>
    <s v="PEÇAS - Defeito de fabric./Alta Amperage"/>
    <s v="FUNCIONAL"/>
    <x v="1"/>
    <n v="14474"/>
    <x v="25"/>
    <s v="RN"/>
    <n v="648"/>
    <s v="Ultra"/>
    <n v="1350"/>
    <s v="W10626365"/>
    <s v="Placas de Interface"/>
    <x v="1"/>
    <n v="1000"/>
    <n v="5004101"/>
    <s v="UNIDOCK'S ASSESSORIA E LOGISTICA DE"/>
    <n v="128.56"/>
    <d v="2025-05-05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0830936"/>
    <s v="Prateleiras"/>
    <x v="9"/>
    <n v="1000"/>
    <n v="5002359"/>
    <s v="EMPRESA BRASILEIRA DE CORREIOS E"/>
    <n v="128.41"/>
    <d v="2025-07-23T00:00:00"/>
  </r>
  <r>
    <s v="Sem TR"/>
    <n v="64814858"/>
    <s v="ZRDI"/>
    <n v="10112861"/>
    <s v="D10"/>
    <s v="DEV D2C - Comprou modelo errado"/>
    <s v="COMERCIAL"/>
    <x v="2"/>
    <n v="56225130"/>
    <x v="792"/>
    <s v="MS"/>
    <n v="474"/>
    <s v="Site Brastemp"/>
    <n v="1352"/>
    <s v="W10830936"/>
    <s v="Prateleiras"/>
    <x v="9"/>
    <n v="1000"/>
    <n v="5002359"/>
    <s v="EMPRESA BRASILEIRA DE CORREIOS E"/>
    <n v="128.41"/>
    <d v="2025-07-23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0830936"/>
    <s v="Prateleiras"/>
    <x v="9"/>
    <n v="1000"/>
    <n v="5002359"/>
    <s v="EMPRESA BRASILEIRA DE CORREIOS E"/>
    <n v="128.41"/>
    <d v="2025-07-23T00:00:00"/>
  </r>
  <r>
    <n v="253882948"/>
    <n v="64654147"/>
    <s v="REB"/>
    <n v="9682917"/>
    <n v="671"/>
    <s v="DEV-ENVIADO PARA GESTÃO DE CONSEQUENCIA"/>
    <s v="TRANSPORTADORA"/>
    <x v="1"/>
    <n v="4524"/>
    <x v="696"/>
    <s v="SC"/>
    <n v="350"/>
    <s v="Ats On"/>
    <n v="1350"/>
    <s v="W10795368"/>
    <s v="Tampas Móveis"/>
    <x v="6"/>
    <n v="1000"/>
    <n v="5003024"/>
    <s v="RODOBRAS TRANSPORTES RODOVIARIOS LT"/>
    <n v="128.38999999999999"/>
    <d v="2024-11-28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0795368"/>
    <s v="Tampas Móveis"/>
    <x v="6"/>
    <n v="1000"/>
    <n v="5003024"/>
    <s v="RODOBRAS TRANSPORTES RODOVIARIOS LT"/>
    <n v="128.38999999999999"/>
    <d v="2024-10-08T00:00:00"/>
  </r>
  <r>
    <n v="254032347"/>
    <n v="64811335"/>
    <s v="ZRDI"/>
    <n v="10073300"/>
    <s v="D25"/>
    <s v="DEV D2C - Prob na entrega (Não recebi)"/>
    <s v="TRANSPORTADORA"/>
    <x v="2"/>
    <n v="58070440"/>
    <x v="1032"/>
    <s v="SC"/>
    <n v="466"/>
    <s v="Sup ML Marketplace"/>
    <n v="1352"/>
    <s v="W11199342"/>
    <s v="Filtros"/>
    <x v="5"/>
    <n v="1000"/>
    <n v="5002359"/>
    <s v="EMPRESA BRASILEIRA DE CORREIOS E"/>
    <n v="128.16999999999999"/>
    <d v="2025-07-16T00:00:00"/>
  </r>
  <r>
    <n v="254032347"/>
    <n v="64811335"/>
    <s v="ZRDI"/>
    <n v="10073300"/>
    <s v="D25"/>
    <s v="DEV D2C - Prob na entrega (Não recebi)"/>
    <s v="TRANSPORTADORA"/>
    <x v="2"/>
    <n v="58070440"/>
    <x v="1032"/>
    <s v="SC"/>
    <n v="466"/>
    <s v="Sup ML Marketplace"/>
    <n v="1352"/>
    <s v="W11199342"/>
    <s v="Filtros"/>
    <x v="5"/>
    <n v="1000"/>
    <n v="5002359"/>
    <s v="EMPRESA BRASILEIRA DE CORREIOS E"/>
    <n v="128.16999999999999"/>
    <d v="2025-07-16T00:00:00"/>
  </r>
  <r>
    <n v="254012479"/>
    <n v="64789395"/>
    <s v="REB"/>
    <n v="10063485"/>
    <n v="173"/>
    <s v="PEÇAS - Defeito de fabric./Alta Amperage"/>
    <s v="FUNCIONAL"/>
    <x v="1"/>
    <n v="21594"/>
    <x v="97"/>
    <s v="SP"/>
    <n v="931"/>
    <s v="Ats Off"/>
    <n v="1350"/>
    <n v="326012237"/>
    <s v="Motores"/>
    <x v="1"/>
    <n v="1000"/>
    <n v="5004042"/>
    <s v="BRASIL WEB TRANSPORTES E LOGISTICA"/>
    <n v="128.16"/>
    <d v="2025-06-10T00:00:00"/>
  </r>
  <r>
    <s v="Sem TR"/>
    <n v="64807747"/>
    <s v="ZRDI"/>
    <n v="10110970"/>
    <s v="D10"/>
    <s v="DEV D2C - Comprou modelo errado"/>
    <s v="COMERCIAL"/>
    <x v="2"/>
    <n v="58121616"/>
    <x v="1033"/>
    <s v="RJ"/>
    <n v="474"/>
    <s v="Site Brastemp"/>
    <n v="1352"/>
    <s v="W10830936"/>
    <s v="Prateleiras"/>
    <x v="9"/>
    <n v="1000"/>
    <n v="5002359"/>
    <s v="EMPRESA BRASILEIRA DE CORREIOS E"/>
    <n v="128.13"/>
    <d v="2025-07-10T00:00:00"/>
  </r>
  <r>
    <n v="254030526"/>
    <n v="64802431"/>
    <s v="REB"/>
    <n v="10094924"/>
    <n v="167"/>
    <s v="PEÇAS - Avaria - Quebrada/Depósito"/>
    <s v="LOGÍSTICA"/>
    <x v="1"/>
    <n v="30847"/>
    <x v="87"/>
    <s v="SP"/>
    <n v="644"/>
    <s v="Plus"/>
    <n v="1350"/>
    <s v="W10169464"/>
    <s v="Defletores/Difusores"/>
    <x v="5"/>
    <n v="4000"/>
    <n v="5004042"/>
    <s v="BRASIL WEB TRANSPORTES E LOGISTICA"/>
    <n v="128.03"/>
    <d v="2025-07-01T00:00:00"/>
  </r>
  <r>
    <s v="Sem TR"/>
    <n v="64812285"/>
    <s v="REB"/>
    <n v="9467256"/>
    <n v="176"/>
    <s v="PEÇAS - Defeito de fabric./Interrompido"/>
    <s v="FUNCIONAL"/>
    <x v="1"/>
    <n v="29731"/>
    <x v="14"/>
    <s v="RS"/>
    <n v="713"/>
    <s v="Key Account"/>
    <n v="1350"/>
    <s v="W10780260"/>
    <s v="Placas de Controle"/>
    <x v="1"/>
    <n v="1000"/>
    <n v="5003024"/>
    <s v="RODOBRAS TRANSPORTES RODOVIARIOS LT"/>
    <n v="127.87"/>
    <d v="2025-07-17T00:00:00"/>
  </r>
  <r>
    <n v="253927633"/>
    <n v="64703190"/>
    <s v="REB"/>
    <n v="9837274"/>
    <n v="220"/>
    <s v="DEV-Avaria 1 trecho transp - Produto"/>
    <s v="QUALIDADE"/>
    <x v="1"/>
    <n v="27874"/>
    <x v="237"/>
    <s v="RS"/>
    <n v="933"/>
    <s v="Top"/>
    <n v="1350"/>
    <s v="W10347201"/>
    <s v="Prateleiras"/>
    <x v="9"/>
    <n v="2000"/>
    <n v="5003024"/>
    <s v="RODOBRAS TRANSPORTES RODOVIARIOS LT"/>
    <n v="127.75"/>
    <d v="2025-01-30T00:00:00"/>
  </r>
  <r>
    <s v="Sem TR"/>
    <n v="64802340"/>
    <s v="ZRDI"/>
    <n v="10082569"/>
    <s v="D31"/>
    <s v="DEV D2C - Defeito estético manufatura"/>
    <s v="MANUFATURA"/>
    <x v="2"/>
    <n v="55283564"/>
    <x v="1034"/>
    <s v="MG"/>
    <n v="475"/>
    <s v="Site Consul"/>
    <n v="1352"/>
    <s v="W10200101"/>
    <s v="Prateleiras"/>
    <x v="9"/>
    <n v="1000"/>
    <n v="5002359"/>
    <s v="EMPRESA BRASILEIRA DE CORREIOS E"/>
    <n v="127.74"/>
    <d v="2025-07-01T00:00:00"/>
  </r>
  <r>
    <s v="Sem TR"/>
    <n v="64802340"/>
    <s v="ZRDI"/>
    <n v="10082569"/>
    <s v="D31"/>
    <s v="DEV D2C - Defeito estético manufatura"/>
    <s v="MANUFATURA"/>
    <x v="2"/>
    <n v="55283564"/>
    <x v="1034"/>
    <s v="MG"/>
    <n v="475"/>
    <s v="Site Consul"/>
    <n v="1352"/>
    <s v="W10581058"/>
    <s v="Gavetas"/>
    <x v="9"/>
    <n v="1000"/>
    <n v="5002359"/>
    <s v="EMPRESA BRASILEIRA DE CORREIOS E"/>
    <n v="127.73"/>
    <d v="2025-07-01T00:00:00"/>
  </r>
  <r>
    <n v="254018098"/>
    <n v="64793149"/>
    <s v="REB"/>
    <n v="10074869"/>
    <n v="176"/>
    <s v="PEÇAS - Defeito de fabric./Interrompido"/>
    <s v="FUNCIONAL"/>
    <x v="2"/>
    <n v="66"/>
    <x v="73"/>
    <s v="GO"/>
    <n v="931"/>
    <s v="Ats Off"/>
    <n v="1350"/>
    <s v="W10733396"/>
    <s v="Tampas Móveis"/>
    <x v="6"/>
    <n v="1000"/>
    <n v="5002858"/>
    <s v="FAVORITA TRANSPORTES LTDA"/>
    <n v="127.4"/>
    <d v="2025-06-17T00:00:00"/>
  </r>
  <r>
    <n v="253995145"/>
    <n v="64769785"/>
    <s v="REB"/>
    <n v="10027704"/>
    <n v="167"/>
    <s v="PEÇAS - Avaria - Quebrada/Depósito"/>
    <s v="LOGÍSTICA"/>
    <x v="1"/>
    <n v="30847"/>
    <x v="87"/>
    <s v="SP"/>
    <n v="644"/>
    <s v="Plus"/>
    <n v="1350"/>
    <s v="W10882241"/>
    <s v="Agitadores"/>
    <x v="2"/>
    <n v="2000"/>
    <n v="5004042"/>
    <s v="BRASIL WEB TRANSPORTES E LOGISTICA"/>
    <n v="127.33"/>
    <d v="2025-05-15T00:00:00"/>
  </r>
  <r>
    <n v="254036544"/>
    <n v="64795894"/>
    <s v="REB"/>
    <n v="10078794"/>
    <n v="167"/>
    <s v="PEÇAS - Avaria - Quebrada/Depósito"/>
    <s v="LOGÍSTICA"/>
    <x v="0"/>
    <n v="28434"/>
    <x v="112"/>
    <s v="DF"/>
    <n v="648"/>
    <s v="Ultra"/>
    <n v="1350"/>
    <s v="W10347201"/>
    <s v="Prateleiras"/>
    <x v="9"/>
    <n v="2000"/>
    <n v="5002858"/>
    <s v="FAVORITA TRANSPORTES LTDA"/>
    <n v="127.22"/>
    <d v="2025-06-23T00:00:00"/>
  </r>
  <r>
    <s v="Sem TR"/>
    <n v="64797130"/>
    <s v="ZRDI"/>
    <n v="10066247"/>
    <s v="D10"/>
    <s v="DEV D2C - Comprou modelo errado"/>
    <s v="COMERCIAL"/>
    <x v="2"/>
    <n v="58061683"/>
    <x v="1035"/>
    <s v="SP"/>
    <n v="474"/>
    <s v="Site Brastemp"/>
    <n v="1352"/>
    <s v="W11112671"/>
    <s v="Interruptores horário"/>
    <x v="3"/>
    <n v="1000"/>
    <n v="5002359"/>
    <s v="EMPRESA BRASILEIRA DE CORREIOS E"/>
    <n v="127.2"/>
    <d v="2025-06-25T00:00:00"/>
  </r>
  <r>
    <s v="Sem TR"/>
    <n v="64795930"/>
    <s v="REB"/>
    <n v="10093534"/>
    <n v="176"/>
    <s v="PEÇAS - Defeito de fabric./Interrompido"/>
    <s v="FUNCIONAL"/>
    <x v="1"/>
    <n v="25656"/>
    <x v="173"/>
    <s v="SP"/>
    <n v="931"/>
    <s v="Ats Off"/>
    <n v="1350"/>
    <s v="W11300816"/>
    <s v="Mecanismos"/>
    <x v="2"/>
    <n v="1000"/>
    <n v="5004042"/>
    <s v="BRASIL WEB TRANSPORTES E LOGISTICA"/>
    <n v="127.04"/>
    <d v="2025-06-23T00:00:00"/>
  </r>
  <r>
    <n v="253944060"/>
    <n v="64639441"/>
    <s v="REB"/>
    <n v="9678253"/>
    <n v="109"/>
    <s v="PEÇAS-Erro de catálogo/BT"/>
    <s v="ENGENHARIA"/>
    <x v="1"/>
    <n v="42046"/>
    <x v="293"/>
    <s v="PE"/>
    <n v="931"/>
    <s v="Ats Off"/>
    <n v="1350"/>
    <s v="W10729735"/>
    <s v="Transformadores"/>
    <x v="1"/>
    <n v="1000"/>
    <n v="5004101"/>
    <s v="UNIDOCK'S ASSESSORIA E LOGISTICA DE"/>
    <n v="126.97"/>
    <d v="2024-11-06T00:00:00"/>
  </r>
  <r>
    <n v="254042301"/>
    <n v="64795932"/>
    <s v="REB"/>
    <n v="9989836"/>
    <n v="173"/>
    <s v="PEÇAS - Defeito de fabric./Alta Amperage"/>
    <s v="FUNCIONAL"/>
    <x v="0"/>
    <n v="30121"/>
    <x v="23"/>
    <s v="SP"/>
    <n v="648"/>
    <s v="Ultra"/>
    <n v="1350"/>
    <s v="W11082454"/>
    <s v="Termostatos"/>
    <x v="3"/>
    <n v="2000"/>
    <n v="5004042"/>
    <s v="BRASIL WEB TRANSPORTES E LOGISTICA"/>
    <n v="126.94"/>
    <d v="2025-06-23T00:00:00"/>
  </r>
  <r>
    <s v="Sem TR"/>
    <n v="64805229"/>
    <s v="ZRDI"/>
    <n v="10103518"/>
    <s v="D10"/>
    <s v="DEV D2C - Comprou modelo errado"/>
    <s v="COMERCIAL"/>
    <x v="2"/>
    <n v="5892118"/>
    <x v="299"/>
    <s v="SP"/>
    <n v="497"/>
    <s v="Site KA(novo)"/>
    <n v="1352"/>
    <n v="326069907"/>
    <s v="Acessórios"/>
    <x v="7"/>
    <n v="1000"/>
    <n v="5002359"/>
    <s v="EMPRESA BRASILEIRA DE CORREIOS E"/>
    <n v="126.89"/>
    <d v="2025-07-03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698525"/>
    <s v="Dobradiças"/>
    <x v="10"/>
    <n v="4000"/>
    <n v="5004101"/>
    <s v="UNIDOCK'S ASSESSORIA E LOGISTICA DE"/>
    <n v="126.74"/>
    <d v="2025-03-13T00:00:00"/>
  </r>
  <r>
    <s v="Sem TR"/>
    <n v="64812618"/>
    <s v="ZRDI"/>
    <n v="10060741"/>
    <n v="25"/>
    <s v="OC. 80 - EXTRAVIO TOTAL"/>
    <s v="TRANSPORTADORA"/>
    <x v="2"/>
    <n v="51657691"/>
    <x v="1036"/>
    <s v="CE"/>
    <n v="466"/>
    <s v="Sup ML Marketplace"/>
    <n v="1352"/>
    <s v="W11509386"/>
    <s v="Filtros"/>
    <x v="5"/>
    <n v="1000"/>
    <n v="5002359"/>
    <s v="EMPRESA BRASILEIRA DE CORREIOS E"/>
    <n v="126.72"/>
    <d v="2025-07-17T00:00:00"/>
  </r>
  <r>
    <s v="Sem TR"/>
    <n v="64812618"/>
    <s v="ZRDI"/>
    <n v="10060741"/>
    <n v="25"/>
    <s v="OC. 80 - EXTRAVIO TOTAL"/>
    <s v="TRANSPORTADORA"/>
    <x v="2"/>
    <n v="51657691"/>
    <x v="1036"/>
    <s v="CE"/>
    <n v="466"/>
    <s v="Sup ML Marketplace"/>
    <n v="1352"/>
    <s v="W11509386"/>
    <s v="Filtros"/>
    <x v="5"/>
    <n v="1000"/>
    <n v="5002359"/>
    <s v="EMPRESA BRASILEIRA DE CORREIOS E"/>
    <n v="126.72"/>
    <d v="2025-07-17T00:00:00"/>
  </r>
  <r>
    <n v="254007513"/>
    <n v="64782230"/>
    <s v="REB"/>
    <n v="10046173"/>
    <n v="176"/>
    <s v="PEÇAS - Defeito de fabric./Interrompido"/>
    <s v="FUNCIONAL"/>
    <x v="2"/>
    <n v="3506"/>
    <x v="46"/>
    <s v="SP"/>
    <n v="931"/>
    <s v="Ats Off"/>
    <n v="1350"/>
    <s v="W11022993"/>
    <s v="Defletores/Difusores"/>
    <x v="5"/>
    <n v="1000"/>
    <n v="5004042"/>
    <s v="BRASIL WEB TRANSPORTES E LOGISTICA"/>
    <n v="126.65"/>
    <d v="2025-06-02T00:00:00"/>
  </r>
  <r>
    <n v="254032499"/>
    <n v="64811462"/>
    <s v="ZRDI"/>
    <n v="10059292"/>
    <n v="208"/>
    <s v="DEV-Atraso entrega- LOGISTICA(Transp)"/>
    <s v="TRANSPORTADORA"/>
    <x v="2"/>
    <n v="52736606"/>
    <x v="1037"/>
    <s v="SE"/>
    <n v="474"/>
    <s v="Site Brastemp"/>
    <n v="1352"/>
    <s v="W10347201"/>
    <s v="Prateleiras"/>
    <x v="9"/>
    <n v="1000"/>
    <n v="5002359"/>
    <s v="EMPRESA BRASILEIRA DE CORREIOS E"/>
    <n v="126.65"/>
    <d v="2025-07-16T00:00:00"/>
  </r>
  <r>
    <n v="253981410"/>
    <n v="64756872"/>
    <s v="REB"/>
    <n v="9973335"/>
    <n v="168"/>
    <s v="PEÇAS-Def.Fabric.Empenamento/Abaulamento"/>
    <s v="FUNCIONAL"/>
    <x v="2"/>
    <n v="25656"/>
    <x v="173"/>
    <s v="SP"/>
    <n v="931"/>
    <s v="Ats Off"/>
    <n v="1350"/>
    <s v="W10341843"/>
    <s v="Capas"/>
    <x v="6"/>
    <n v="1000"/>
    <n v="5004042"/>
    <s v="BRASIL WEB TRANSPORTES E LOGISTICA"/>
    <n v="126.64"/>
    <d v="2025-04-25T00:00:00"/>
  </r>
  <r>
    <n v="254012601"/>
    <n v="64787498"/>
    <s v="REB"/>
    <n v="10060619"/>
    <n v="167"/>
    <s v="PEÇAS - Avaria - Quebrada/Depósito"/>
    <s v="LOGÍSTICA"/>
    <x v="2"/>
    <n v="69085"/>
    <x v="178"/>
    <s v="SP"/>
    <n v="641"/>
    <s v="CDP Diamante"/>
    <n v="1350"/>
    <s v="W11508048"/>
    <s v="Placas de Interface"/>
    <x v="1"/>
    <n v="1000"/>
    <n v="5004042"/>
    <s v="BRASIL WEB TRANSPORTES E LOGISTICA"/>
    <n v="126.61"/>
    <d v="2025-06-10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630751"/>
    <s v="Resistências"/>
    <x v="1"/>
    <n v="2000"/>
    <n v="5004101"/>
    <s v="UNIDOCK'S ASSESSORIA E LOGISTICA DE"/>
    <n v="126.55"/>
    <d v="2025-07-29T00:00:00"/>
  </r>
  <r>
    <n v="254035002"/>
    <n v="64813401"/>
    <s v="ZRDI"/>
    <n v="10050061"/>
    <n v="208"/>
    <s v="DEV-Atraso entrega- LOGISTICA(Transp)"/>
    <s v="TRANSPORTADORA"/>
    <x v="2"/>
    <n v="55353364"/>
    <x v="1038"/>
    <s v="MT"/>
    <n v="466"/>
    <s v="Sup ML Marketplace"/>
    <n v="1352"/>
    <s v="W11509386"/>
    <s v="Filtros"/>
    <x v="5"/>
    <n v="1000"/>
    <n v="5002359"/>
    <s v="EMPRESA BRASILEIRA DE CORREIOS E"/>
    <n v="126.52"/>
    <d v="2025-07-18T00:00:00"/>
  </r>
  <r>
    <n v="254042256"/>
    <n v="64796219"/>
    <s v="REB"/>
    <n v="10083596"/>
    <n v="178"/>
    <s v="PEÇAS -Defeito de fabric./Sem Compressão"/>
    <s v="FUNCIONAL"/>
    <x v="0"/>
    <n v="85703"/>
    <x v="164"/>
    <s v="DF"/>
    <n v="350"/>
    <s v="Ats On"/>
    <n v="1350"/>
    <s v="W11387305"/>
    <s v="Gases Refrigerantes"/>
    <x v="0"/>
    <n v="1000"/>
    <n v="5002858"/>
    <s v="FAVORITA TRANSPORTES LTDA"/>
    <n v="126.45"/>
    <d v="2025-06-23T00:00:00"/>
  </r>
  <r>
    <s v="Sem TR"/>
    <n v="64806651"/>
    <s v="ZRDI"/>
    <n v="10116273"/>
    <s v="D10"/>
    <s v="DEV D2C - Comprou modelo errado"/>
    <s v="COMERCIAL"/>
    <x v="2"/>
    <n v="50256616"/>
    <x v="1005"/>
    <s v="SP"/>
    <n v="475"/>
    <s v="Site Consul"/>
    <n v="1352"/>
    <n v="326067736"/>
    <s v="Prateleiras"/>
    <x v="9"/>
    <n v="3000"/>
    <n v="5002359"/>
    <s v="EMPRESA BRASILEIRA DE CORREIOS E"/>
    <n v="126.39"/>
    <d v="2025-07-09T00:00:00"/>
  </r>
  <r>
    <n v="254024117"/>
    <n v="64803674"/>
    <s v="ZRDI"/>
    <n v="10044720"/>
    <n v="208"/>
    <s v="DEV-Atraso entrega- LOGISTICA(Transp)"/>
    <s v="TRANSPORTADORA"/>
    <x v="2"/>
    <n v="58037377"/>
    <x v="1039"/>
    <s v="MT"/>
    <n v="474"/>
    <s v="Site Brastemp"/>
    <n v="1352"/>
    <s v="W10347201"/>
    <s v="Prateleiras"/>
    <x v="9"/>
    <n v="1000"/>
    <n v="5002359"/>
    <s v="EMPRESA BRASILEIRA DE CORREIOS E"/>
    <n v="126.25"/>
    <d v="2025-07-01T00:00:00"/>
  </r>
  <r>
    <n v="254024117"/>
    <n v="64803674"/>
    <s v="ZRDI"/>
    <n v="10044720"/>
    <n v="208"/>
    <s v="DEV-Atraso entrega- LOGISTICA(Transp)"/>
    <s v="TRANSPORTADORA"/>
    <x v="2"/>
    <n v="58037377"/>
    <x v="1039"/>
    <s v="MT"/>
    <n v="474"/>
    <s v="Site Brastemp"/>
    <n v="1352"/>
    <s v="W10347201"/>
    <s v="Prateleiras"/>
    <x v="9"/>
    <n v="1000"/>
    <n v="5002359"/>
    <s v="EMPRESA BRASILEIRA DE CORREIOS E"/>
    <n v="126.25"/>
    <d v="2025-07-01T00:00:00"/>
  </r>
  <r>
    <s v="Sem TR"/>
    <n v="64813151"/>
    <s v="ZRDI"/>
    <n v="10093985"/>
    <s v="D10"/>
    <s v="DEV D2C - Comprou modelo errado"/>
    <s v="COMERCIAL"/>
    <x v="2"/>
    <n v="58098519"/>
    <x v="1040"/>
    <s v="RS"/>
    <n v="466"/>
    <s v="Sup ML Marketplace"/>
    <n v="1352"/>
    <s v="W10830936"/>
    <s v="Prateleiras"/>
    <x v="9"/>
    <n v="1000"/>
    <n v="5002359"/>
    <s v="EMPRESA BRASILEIRA DE CORREIOS E"/>
    <n v="126.16"/>
    <d v="2025-07-25T00:00:00"/>
  </r>
  <r>
    <s v="Sem TR"/>
    <n v="64813151"/>
    <s v="ZRDI"/>
    <n v="10093985"/>
    <s v="D10"/>
    <s v="DEV D2C - Comprou modelo errado"/>
    <s v="COMERCIAL"/>
    <x v="2"/>
    <n v="58098519"/>
    <x v="1040"/>
    <s v="RS"/>
    <n v="466"/>
    <s v="Sup ML Marketplace"/>
    <n v="1352"/>
    <s v="W10830936"/>
    <s v="Prateleiras"/>
    <x v="9"/>
    <n v="1000"/>
    <n v="5002359"/>
    <s v="EMPRESA BRASILEIRA DE CORREIOS E"/>
    <n v="126.16"/>
    <d v="2025-07-25T00:00:00"/>
  </r>
  <r>
    <n v="254035336"/>
    <n v="64812484"/>
    <s v="REB"/>
    <n v="10046750"/>
    <n v="176"/>
    <s v="PEÇAS - Defeito de fabric./Interrompido"/>
    <s v="FUNCIONAL"/>
    <x v="1"/>
    <n v="4318"/>
    <x v="89"/>
    <s v="SC"/>
    <n v="931"/>
    <s v="Ats Off"/>
    <n v="1350"/>
    <s v="W11347049"/>
    <s v="Bombas"/>
    <x v="1"/>
    <n v="1000"/>
    <n v="5003024"/>
    <s v="RODOBRAS TRANSPORTES RODOVIARIOS LT"/>
    <n v="126.07"/>
    <d v="2025-07-17T00:00:00"/>
  </r>
  <r>
    <s v="Sem TR"/>
    <n v="64768421"/>
    <s v="ROB"/>
    <n v="50555"/>
    <n v="671"/>
    <s v="DEV-ENVIADO PARA GESTÃO DE CONSEQUENCIA"/>
    <s v="TRANSPORTADORA"/>
    <x v="2"/>
    <n v="12692"/>
    <x v="82"/>
    <s v="BA"/>
    <n v="641"/>
    <s v="CDP Diamante"/>
    <n v="1550"/>
    <s v="W10470951"/>
    <s v="Correias"/>
    <x v="2"/>
    <n v="12000"/>
    <n v="5004391"/>
    <s v="JEONCEL TRANSPORTES LTDA"/>
    <n v="126.01"/>
    <d v="2025-05-12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1082450"/>
    <s v="Termostatos"/>
    <x v="3"/>
    <n v="3000"/>
    <n v="5004101"/>
    <s v="UNIDOCK'S ASSESSORIA E LOGISTICA DE"/>
    <n v="126"/>
    <d v="2025-07-29T00:00:00"/>
  </r>
  <r>
    <n v="254007541"/>
    <n v="64783635"/>
    <s v="REB"/>
    <n v="10001474"/>
    <n v="173"/>
    <s v="PEÇAS - Defeito de fabric./Alta Amperage"/>
    <s v="FUNCIONAL"/>
    <x v="1"/>
    <n v="21330"/>
    <x v="80"/>
    <s v="PR"/>
    <n v="643"/>
    <s v="Elite"/>
    <n v="1350"/>
    <s v="W11160655"/>
    <s v="Placas de Interface"/>
    <x v="1"/>
    <n v="1000"/>
    <n v="5003024"/>
    <s v="RODOBRAS TRANSPORTES RODOVIARIOS LT"/>
    <n v="126"/>
    <d v="2025-06-02T00:00:00"/>
  </r>
  <r>
    <n v="254033969"/>
    <n v="64812528"/>
    <s v="ZRDI"/>
    <n v="10103863"/>
    <n v="208"/>
    <s v="DEV-Atraso entrega- LOGISTICA(Transp)"/>
    <s v="TRANSPORTADORA"/>
    <x v="2"/>
    <n v="52444238"/>
    <x v="1041"/>
    <s v="PR"/>
    <n v="474"/>
    <s v="Site Brastemp"/>
    <n v="1352"/>
    <s v="W11115537"/>
    <s v="Prateleiras"/>
    <x v="9"/>
    <n v="1000"/>
    <n v="5002359"/>
    <s v="EMPRESA BRASILEIRA DE CORREIOS E"/>
    <n v="125.91"/>
    <d v="2025-07-17T00:00:00"/>
  </r>
  <r>
    <n v="254033969"/>
    <n v="64812528"/>
    <s v="ZRDI"/>
    <n v="10103863"/>
    <n v="208"/>
    <s v="DEV-Atraso entrega- LOGISTICA(Transp)"/>
    <s v="TRANSPORTADORA"/>
    <x v="2"/>
    <n v="52444238"/>
    <x v="1041"/>
    <s v="PR"/>
    <n v="474"/>
    <s v="Site Brastemp"/>
    <n v="1352"/>
    <s v="W11115537"/>
    <s v="Prateleiras"/>
    <x v="9"/>
    <n v="1000"/>
    <n v="5002359"/>
    <s v="EMPRESA BRASILEIRA DE CORREIOS E"/>
    <n v="125.91"/>
    <d v="2025-07-17T00:00:00"/>
  </r>
  <r>
    <s v="Sem TR"/>
    <n v="64768415"/>
    <s v="ROB"/>
    <n v="50501"/>
    <n v="671"/>
    <s v="DEV-ENVIADO PARA GESTÃO DE CONSEQUENCIA"/>
    <s v="TRANSPORTADORA"/>
    <x v="2"/>
    <n v="85357"/>
    <x v="875"/>
    <s v="BA"/>
    <n v="932"/>
    <s v="CDP Prata"/>
    <n v="1550"/>
    <s v="W11300676"/>
    <s v="Mecanismos"/>
    <x v="2"/>
    <n v="1000"/>
    <n v="5004391"/>
    <s v="JEONCEL TRANSPORTES LTDA"/>
    <n v="125.65"/>
    <d v="2025-05-12T00:00:00"/>
  </r>
  <r>
    <n v="254039175"/>
    <n v="64817056"/>
    <s v="ZRDI"/>
    <n v="10058046"/>
    <n v="208"/>
    <s v="DEV-Atraso entrega- LOGISTICA(Transp)"/>
    <s v="TRANSPORTADORA"/>
    <x v="2"/>
    <n v="57624528"/>
    <x v="1042"/>
    <s v="MG"/>
    <n v="466"/>
    <s v="Sup ML Marketplace"/>
    <n v="1352"/>
    <s v="W10301562"/>
    <s v="Filtros"/>
    <x v="5"/>
    <n v="1000"/>
    <n v="5002359"/>
    <s v="EMPRESA BRASILEIRA DE CORREIOS E"/>
    <n v="125.58"/>
    <d v="2025-07-24T00:00:00"/>
  </r>
  <r>
    <n v="254039175"/>
    <n v="64817056"/>
    <s v="ZRDI"/>
    <n v="10058046"/>
    <n v="208"/>
    <s v="DEV-Atraso entrega- LOGISTICA(Transp)"/>
    <s v="TRANSPORTADORA"/>
    <x v="2"/>
    <n v="57624528"/>
    <x v="1042"/>
    <s v="MG"/>
    <n v="466"/>
    <s v="Sup ML Marketplace"/>
    <n v="1352"/>
    <s v="W10301562"/>
    <s v="Filtros"/>
    <x v="5"/>
    <n v="1000"/>
    <n v="5002359"/>
    <s v="EMPRESA BRASILEIRA DE CORREIOS E"/>
    <n v="125.58"/>
    <d v="2025-07-24T00:00:00"/>
  </r>
  <r>
    <n v="254007514"/>
    <n v="64783324"/>
    <s v="REB"/>
    <n v="9766362"/>
    <n v="177"/>
    <s v="PEÇAS - Defeito de fabric./Ruído"/>
    <s v="FUNCIONAL"/>
    <x v="2"/>
    <n v="3648"/>
    <x v="130"/>
    <s v="SP"/>
    <n v="350"/>
    <s v="Ats On"/>
    <n v="1350"/>
    <s v="W11299805"/>
    <s v="Mecanismos"/>
    <x v="2"/>
    <n v="1000"/>
    <n v="5004042"/>
    <s v="BRASIL WEB TRANSPORTES E LOGISTICA"/>
    <n v="125.57"/>
    <d v="2025-06-02T00:00:00"/>
  </r>
  <r>
    <n v="253981483"/>
    <n v="64758024"/>
    <s v="REB"/>
    <n v="7512273"/>
    <n v="173"/>
    <s v="PEÇAS - Defeito de fabric./Alta Amperage"/>
    <s v="FUNCIONAL"/>
    <x v="2"/>
    <n v="29164"/>
    <x v="32"/>
    <s v="BA"/>
    <n v="648"/>
    <s v="Ultra"/>
    <n v="1350"/>
    <n v="326059371"/>
    <s v="Placas de Controle"/>
    <x v="1"/>
    <n v="1000"/>
    <n v="5004101"/>
    <s v="UNIDOCK'S ASSESSORIA E LOGISTICA DE"/>
    <n v="125.55"/>
    <d v="2025-04-25T00:00:00"/>
  </r>
  <r>
    <n v="254004009"/>
    <n v="64773928"/>
    <s v="REB"/>
    <n v="9961258"/>
    <n v="173"/>
    <s v="PEÇAS - Defeito de fabric./Alta Amperage"/>
    <s v="FUNCIONAL"/>
    <x v="2"/>
    <n v="55093"/>
    <x v="231"/>
    <s v="SP"/>
    <n v="648"/>
    <s v="Ultra"/>
    <n v="1350"/>
    <s v="W11564674"/>
    <s v="Placas de Controle"/>
    <x v="1"/>
    <n v="1000"/>
    <n v="5004042"/>
    <s v="BRASIL WEB TRANSPORTES E LOGISTICA"/>
    <n v="125.47"/>
    <d v="2025-05-26T00:00:00"/>
  </r>
  <r>
    <n v="254035417"/>
    <n v="64810017"/>
    <s v="REB"/>
    <n v="10114025"/>
    <n v="104"/>
    <s v="PEÇAS-Código trocado(embalag X conteúdo)"/>
    <s v="LOGÍSTICA"/>
    <x v="1"/>
    <n v="72786"/>
    <x v="41"/>
    <s v="SC"/>
    <n v="643"/>
    <s v="Elite"/>
    <n v="1350"/>
    <s v="W11195522"/>
    <s v="Motores"/>
    <x v="1"/>
    <n v="1000"/>
    <n v="5003024"/>
    <s v="RODOBRAS TRANSPORTES RODOVIARIOS LT"/>
    <n v="125.39"/>
    <d v="2025-07-17T00:00:00"/>
  </r>
  <r>
    <n v="253918539"/>
    <n v="64691651"/>
    <s v="REB"/>
    <n v="9744797"/>
    <n v="90"/>
    <s v="CLIENTE-não solicitou"/>
    <s v="COMERCIAL"/>
    <x v="1"/>
    <n v="2809"/>
    <x v="28"/>
    <s v="RJ"/>
    <n v="350"/>
    <s v="Ats On"/>
    <n v="1350"/>
    <s v="W10638550"/>
    <s v="Filtros"/>
    <x v="5"/>
    <n v="1000"/>
    <n v="5003176"/>
    <s v="J C THEDIN TRANSPORTES LTDA"/>
    <n v="125.28"/>
    <d v="2025-01-15T00:00:00"/>
  </r>
  <r>
    <n v="253924900"/>
    <n v="64700831"/>
    <s v="ROB"/>
    <n v="9776572"/>
    <n v="268"/>
    <s v="DEV-APREENSÃO FISCAL - VENDAS"/>
    <s v="COMERCIAL"/>
    <x v="1"/>
    <n v="67561"/>
    <x v="47"/>
    <s v="CE"/>
    <n v="934"/>
    <s v="CDP Ouro"/>
    <n v="1350"/>
    <s v="W11299805"/>
    <s v="Mecanismos"/>
    <x v="2"/>
    <n v="1000"/>
    <n v="5004101"/>
    <s v="UNIDOCK'S ASSESSORIA E LOGISTICA DE"/>
    <n v="125.27"/>
    <d v="2025-01-27T00:00:00"/>
  </r>
  <r>
    <s v="Sem TR"/>
    <n v="64805850"/>
    <s v="ZRDI"/>
    <n v="10110918"/>
    <s v="D10"/>
    <s v="DEV D2C - Comprou modelo errado"/>
    <s v="COMERCIAL"/>
    <x v="2"/>
    <n v="57787006"/>
    <x v="1043"/>
    <s v="SP"/>
    <n v="474"/>
    <s v="Site Brastemp"/>
    <n v="1352"/>
    <s v="W10830936"/>
    <s v="Prateleiras"/>
    <x v="9"/>
    <n v="1000"/>
    <n v="5003972"/>
    <s v="ICARO EXPRESS LOGISTICA LTDA"/>
    <n v="125.21"/>
    <d v="2025-07-08T00:00:00"/>
  </r>
  <r>
    <s v="Sem TR"/>
    <n v="64806283"/>
    <s v="ZRDI"/>
    <n v="10105503"/>
    <s v="D31"/>
    <s v="DEV D2C - Defeito estético manufatura"/>
    <s v="MANUFATURA"/>
    <x v="2"/>
    <n v="58103032"/>
    <x v="1044"/>
    <s v="SP"/>
    <n v="474"/>
    <s v="Site Brastemp"/>
    <n v="1352"/>
    <s v="W10830936"/>
    <s v="Prateleiras"/>
    <x v="9"/>
    <n v="1000"/>
    <n v="5002359"/>
    <s v="EMPRESA BRASILEIRA DE CORREIOS E"/>
    <n v="125.21"/>
    <d v="2025-07-08T00:00:00"/>
  </r>
  <r>
    <s v="Sem TR"/>
    <n v="64805850"/>
    <s v="ZRDI"/>
    <n v="10110918"/>
    <s v="D10"/>
    <s v="DEV D2C - Comprou modelo errado"/>
    <s v="COMERCIAL"/>
    <x v="2"/>
    <n v="57787006"/>
    <x v="1043"/>
    <s v="SP"/>
    <n v="474"/>
    <s v="Site Brastemp"/>
    <n v="1352"/>
    <s v="W10830936"/>
    <s v="Prateleiras"/>
    <x v="9"/>
    <n v="1000"/>
    <n v="5003972"/>
    <s v="ICARO EXPRESS LOGISTICA LTDA"/>
    <n v="125.21"/>
    <d v="2025-07-08T00:00:00"/>
  </r>
  <r>
    <n v="254023314"/>
    <n v="64790837"/>
    <s v="ZRDI"/>
    <n v="10048355"/>
    <s v="D25"/>
    <s v="DEV D2C - Prob na entrega (Não recebi)"/>
    <s v="TRANSPORTADORA"/>
    <x v="2"/>
    <n v="58000200"/>
    <x v="1045"/>
    <s v="SP"/>
    <n v="475"/>
    <s v="Site Consul"/>
    <n v="1352"/>
    <s v="W11369860"/>
    <s v="Motores Ventiladores"/>
    <x v="1"/>
    <n v="1000"/>
    <n v="5003972"/>
    <s v="ICARO EXPRESS LOGISTICA LTDA"/>
    <n v="125.2"/>
    <d v="2025-06-30T00:00:00"/>
  </r>
  <r>
    <s v="Sem TR"/>
    <n v="64812683"/>
    <s v="REB"/>
    <n v="10085406"/>
    <n v="509"/>
    <s v="Qtd de peças a Menor dentro do Volume"/>
    <s v="LOGÍSTICA"/>
    <x v="1"/>
    <n v="30990"/>
    <x v="26"/>
    <s v="ES"/>
    <n v="713"/>
    <s v="Key Account"/>
    <n v="1350"/>
    <n v="326000516"/>
    <s v="Tirantes"/>
    <x v="8"/>
    <n v="100000"/>
    <n v="5002359"/>
    <s v="EMPRESA BRASILEIRA DE CORREIOS E"/>
    <n v="125.12"/>
    <d v="2025-07-17T00:00:00"/>
  </r>
  <r>
    <s v="Sem TR"/>
    <n v="64794487"/>
    <s v="ZRDI"/>
    <n v="10044656"/>
    <s v="D10"/>
    <s v="DEV D2C - Comprou modelo errado"/>
    <s v="COMERCIAL"/>
    <x v="2"/>
    <n v="58035834"/>
    <x v="850"/>
    <s v="RO"/>
    <n v="474"/>
    <s v="Site Brastemp"/>
    <n v="1352"/>
    <s v="W10920084"/>
    <s v="Prateleiras"/>
    <x v="9"/>
    <n v="1000"/>
    <n v="5002359"/>
    <s v="EMPRESA BRASILEIRA DE CORREIOS E"/>
    <n v="125.06"/>
    <d v="2025-06-26T00:00:00"/>
  </r>
  <r>
    <s v="Sem TR"/>
    <n v="64759705"/>
    <s v="REB"/>
    <n v="9994437"/>
    <n v="509"/>
    <s v="Qtd de peças a Menor dentro do Volume"/>
    <s v="LOGÍSTICA"/>
    <x v="1"/>
    <n v="28181"/>
    <x v="566"/>
    <s v="GO"/>
    <n v="643"/>
    <s v="Elite"/>
    <n v="1350"/>
    <s v="W10791633"/>
    <s v="Retentores"/>
    <x v="4"/>
    <n v="16000"/>
    <n v="5002359"/>
    <s v="EMPRESA BRASILEIRA DE CORREIOS E"/>
    <n v="125.06"/>
    <d v="2025-04-28T00:00:00"/>
  </r>
  <r>
    <n v="254033096"/>
    <n v="64802565"/>
    <s v="REB"/>
    <n v="10101331"/>
    <n v="168"/>
    <s v="PEÇAS-Def.Fabric.Empenamento/Abaulamento"/>
    <s v="FUNCIONAL"/>
    <x v="2"/>
    <n v="66"/>
    <x v="73"/>
    <s v="GO"/>
    <n v="931"/>
    <s v="Ats Off"/>
    <n v="1350"/>
    <s v="W10616737"/>
    <s v="Gavetas"/>
    <x v="9"/>
    <n v="1000"/>
    <n v="5002858"/>
    <s v="FAVORITA TRANSPORTES LTDA"/>
    <n v="124.85"/>
    <d v="2025-07-01T00:00:00"/>
  </r>
  <r>
    <n v="254033096"/>
    <n v="64805711"/>
    <s v="REB"/>
    <n v="10089551"/>
    <n v="167"/>
    <s v="PEÇAS - Avaria - Quebrada/Depósito"/>
    <s v="LOGÍSTICA"/>
    <x v="2"/>
    <n v="66"/>
    <x v="73"/>
    <s v="GO"/>
    <n v="931"/>
    <s v="Ats Off"/>
    <n v="1350"/>
    <s v="W10616737"/>
    <s v="Gavetas"/>
    <x v="9"/>
    <n v="1000"/>
    <n v="5002858"/>
    <s v="FAVORITA TRANSPORTES LTDA"/>
    <n v="124.85"/>
    <d v="2025-07-08T00:00:00"/>
  </r>
  <r>
    <n v="254024159"/>
    <n v="64803861"/>
    <s v="ZRDI"/>
    <n v="10102640"/>
    <n v="208"/>
    <s v="DEV-Atraso entrega- LOGISTICA(Transp)"/>
    <s v="TRANSPORTADORA"/>
    <x v="2"/>
    <n v="58111992"/>
    <x v="1046"/>
    <s v="SP"/>
    <n v="466"/>
    <s v="Sup ML Marketplace"/>
    <n v="1352"/>
    <s v="W10301562"/>
    <s v="Filtros"/>
    <x v="5"/>
    <n v="1000"/>
    <n v="5002359"/>
    <s v="EMPRESA BRASILEIRA DE CORREIOS E"/>
    <n v="124.8"/>
    <d v="2025-07-01T00:00:00"/>
  </r>
  <r>
    <s v="Sem TR"/>
    <n v="64806669"/>
    <s v="ZRDI"/>
    <n v="10021614"/>
    <n v="25"/>
    <s v="OC. 80 - EXTRAVIO TOTAL"/>
    <s v="TRANSPORTADORA"/>
    <x v="2"/>
    <n v="57154039"/>
    <x v="1047"/>
    <s v="AM"/>
    <n v="475"/>
    <s v="Site Consul"/>
    <n v="1352"/>
    <s v="W11509387"/>
    <s v="Filtros"/>
    <x v="5"/>
    <n v="1000"/>
    <n v="5002359"/>
    <s v="EMPRESA BRASILEIRA DE CORREIOS E"/>
    <n v="124.8"/>
    <d v="2025-07-07T00:00:00"/>
  </r>
  <r>
    <s v="Sem TR"/>
    <n v="64806669"/>
    <s v="ZRDI"/>
    <n v="10021614"/>
    <n v="25"/>
    <s v="OC. 80 - EXTRAVIO TOTAL"/>
    <s v="TRANSPORTADORA"/>
    <x v="2"/>
    <n v="57154039"/>
    <x v="1047"/>
    <s v="AM"/>
    <n v="475"/>
    <s v="Site Consul"/>
    <n v="1352"/>
    <s v="W11509387"/>
    <s v="Filtros"/>
    <x v="5"/>
    <n v="1000"/>
    <n v="5002359"/>
    <s v="EMPRESA BRASILEIRA DE CORREIOS E"/>
    <n v="124.8"/>
    <d v="2025-07-07T00:00:00"/>
  </r>
  <r>
    <n v="254004050"/>
    <n v="64773092"/>
    <s v="REB"/>
    <n v="10029212"/>
    <n v="167"/>
    <s v="PEÇAS - Avaria - Quebrada/Depósito"/>
    <s v="LOGÍSTICA"/>
    <x v="1"/>
    <n v="71936"/>
    <x v="1048"/>
    <s v="PR"/>
    <n v="698"/>
    <s v="CDP Bronze"/>
    <n v="1350"/>
    <s v="W11298039"/>
    <s v="Gavetas"/>
    <x v="9"/>
    <n v="1000"/>
    <n v="5003024"/>
    <s v="RODOBRAS TRANSPORTES RODOVIARIOS LT"/>
    <n v="124.74"/>
    <d v="2025-05-26T00:00:00"/>
  </r>
  <r>
    <n v="254033388"/>
    <n v="64806611"/>
    <s v="REB"/>
    <n v="10096443"/>
    <n v="167"/>
    <s v="PEÇAS - Avaria - Quebrada/Depósito"/>
    <s v="LOGÍSTICA"/>
    <x v="1"/>
    <n v="32272"/>
    <x v="312"/>
    <s v="PR"/>
    <n v="933"/>
    <s v="Top"/>
    <n v="1350"/>
    <s v="W11300816"/>
    <s v="Mecanismos"/>
    <x v="2"/>
    <n v="1000"/>
    <n v="5003024"/>
    <s v="RODOBRAS TRANSPORTES RODOVIARIOS LT"/>
    <n v="124.72"/>
    <d v="2025-07-08T00:00:00"/>
  </r>
  <r>
    <n v="254042468"/>
    <n v="64792205"/>
    <s v="REB"/>
    <n v="10096443"/>
    <n v="173"/>
    <s v="PEÇAS - Defeito de fabric./Alta Amperage"/>
    <s v="FUNCIONAL"/>
    <x v="0"/>
    <n v="32272"/>
    <x v="312"/>
    <s v="PR"/>
    <n v="933"/>
    <s v="Top"/>
    <n v="1350"/>
    <s v="W11300816"/>
    <s v="Mecanismos"/>
    <x v="2"/>
    <n v="1000"/>
    <n v="5003024"/>
    <s v="RODOBRAS TRANSPORTES RODOVIARIOS LT"/>
    <n v="124.72"/>
    <d v="2025-06-24T00:00:00"/>
  </r>
  <r>
    <n v="254033440"/>
    <n v="64805065"/>
    <s v="REB"/>
    <n v="10061871"/>
    <n v="173"/>
    <s v="PEÇAS - Defeito de fabric./Alta Amperage"/>
    <s v="FUNCIONAL"/>
    <x v="1"/>
    <n v="69166"/>
    <x v="129"/>
    <s v="RJ"/>
    <n v="931"/>
    <s v="Ats Off"/>
    <n v="1350"/>
    <n v="326075394"/>
    <s v="Sensores"/>
    <x v="3"/>
    <n v="1000"/>
    <n v="5003176"/>
    <s v="J C THEDIN TRANSPORTES LTDA"/>
    <n v="124.71"/>
    <d v="2025-07-08T00:00:00"/>
  </r>
  <r>
    <n v="254042266"/>
    <n v="64795367"/>
    <s v="REB"/>
    <n v="9956534"/>
    <n v="176"/>
    <s v="PEÇAS - Defeito de fabric./Interrompido"/>
    <s v="FUNCIONAL"/>
    <x v="0"/>
    <n v="52349"/>
    <x v="1049"/>
    <s v="SP"/>
    <n v="934"/>
    <s v="CDP Ouro"/>
    <n v="1350"/>
    <s v="W11352538"/>
    <s v="Placas de Controle"/>
    <x v="1"/>
    <n v="1000"/>
    <n v="5004042"/>
    <s v="BRASIL WEB TRANSPORTES E LOGISTICA"/>
    <n v="124.64"/>
    <d v="2025-06-23T00:00:00"/>
  </r>
  <r>
    <n v="254033479"/>
    <n v="64808290"/>
    <s v="ZDVP"/>
    <n v="10031215"/>
    <n v="173"/>
    <s v="PEÇAS - Defeito de fabric./Alta Amperage"/>
    <s v="FUNCIONAL"/>
    <x v="1"/>
    <n v="30180"/>
    <x v="1050"/>
    <s v="MG"/>
    <n v="644"/>
    <s v="Plus"/>
    <n v="1350"/>
    <s v="W11300816"/>
    <s v="Mecanismos"/>
    <x v="2"/>
    <n v="1000"/>
    <n v="5004215"/>
    <s v="BRASIL WEB TRANSPORTES E LOGISTICA"/>
    <n v="124.63"/>
    <d v="2025-07-10T00:00:00"/>
  </r>
  <r>
    <n v="253988834"/>
    <n v="64763902"/>
    <s v="REB"/>
    <n v="9979597"/>
    <n v="173"/>
    <s v="PEÇAS - Defeito de fabric./Alta Amperage"/>
    <s v="FUNCIONAL"/>
    <x v="1"/>
    <n v="21594"/>
    <x v="97"/>
    <s v="SP"/>
    <n v="931"/>
    <s v="Ats Off"/>
    <n v="1350"/>
    <s v="W10837074"/>
    <s v="Bombas"/>
    <x v="1"/>
    <n v="1000"/>
    <n v="5004042"/>
    <s v="BRASIL WEB TRANSPORTES E LOGISTICA"/>
    <n v="124.42"/>
    <d v="2025-05-05T00:00:00"/>
  </r>
  <r>
    <n v="254003965"/>
    <n v="64776591"/>
    <s v="REB"/>
    <n v="9782907"/>
    <n v="173"/>
    <s v="PEÇAS - Defeito de fabric./Alta Amperage"/>
    <s v="FUNCIONAL"/>
    <x v="1"/>
    <n v="31862"/>
    <x v="342"/>
    <s v="SC"/>
    <n v="933"/>
    <s v="Top"/>
    <n v="1350"/>
    <s v="W11047054"/>
    <s v="Interruptores horário"/>
    <x v="3"/>
    <n v="1000"/>
    <n v="5003024"/>
    <s v="RODOBRAS TRANSPORTES RODOVIARIOS LT"/>
    <n v="124.38"/>
    <d v="2025-05-26T00:00:00"/>
  </r>
  <r>
    <n v="253870903"/>
    <n v="64633541"/>
    <s v="REB"/>
    <n v="9436090"/>
    <n v="173"/>
    <s v="PEÇAS - Defeito de fabric./Alta Amperage"/>
    <s v="FUNCIONAL"/>
    <x v="1"/>
    <n v="30345"/>
    <x v="330"/>
    <s v="SP"/>
    <n v="644"/>
    <s v="Plus"/>
    <n v="1350"/>
    <s v="W11091875"/>
    <s v="Termostatos"/>
    <x v="3"/>
    <n v="2000"/>
    <n v="5004042"/>
    <s v="BRASIL WEB TRANSPORTES E LOGISTICA"/>
    <n v="124.35"/>
    <d v="2024-11-04T00:00:00"/>
  </r>
  <r>
    <n v="254003872"/>
    <n v="64777866"/>
    <s v="REB"/>
    <n v="10006872"/>
    <n v="90"/>
    <s v="CLIENTE-não solicitou"/>
    <s v="COMERCIAL"/>
    <x v="1"/>
    <n v="13757"/>
    <x v="14"/>
    <s v="SP"/>
    <n v="713"/>
    <s v="Key Account"/>
    <n v="1350"/>
    <n v="326004688"/>
    <s v="Puxadores"/>
    <x v="6"/>
    <n v="20000"/>
    <n v="5004042"/>
    <s v="BRASIL WEB TRANSPORTES E LOGISTICA"/>
    <n v="124.3"/>
    <d v="2025-05-26T00:00:00"/>
  </r>
  <r>
    <s v="Sem TR"/>
    <n v="64804368"/>
    <s v="ZRDI"/>
    <n v="10047319"/>
    <s v="D35"/>
    <s v="DEV D2C - Prod difere do comprado"/>
    <s v="COMERCIAL"/>
    <x v="2"/>
    <n v="52806814"/>
    <x v="1051"/>
    <s v="BA"/>
    <n v="474"/>
    <s v="Site Brastemp"/>
    <n v="1352"/>
    <s v="W10347201"/>
    <s v="Prateleiras"/>
    <x v="9"/>
    <n v="1000"/>
    <n v="5002359"/>
    <s v="EMPRESA BRASILEIRA DE CORREIOS E"/>
    <n v="124.27"/>
    <d v="2025-07-04T00:00:00"/>
  </r>
  <r>
    <s v="Sem TR"/>
    <n v="64805755"/>
    <s v="ZRDI"/>
    <n v="10109781"/>
    <s v="D31"/>
    <s v="DEV D2C - Defeito estético manufatura"/>
    <s v="MANUFATURA"/>
    <x v="2"/>
    <n v="58120807"/>
    <x v="1052"/>
    <s v="BA"/>
    <n v="474"/>
    <s v="Site Brastemp"/>
    <n v="1352"/>
    <s v="W10347201"/>
    <s v="Prateleiras"/>
    <x v="9"/>
    <n v="1000"/>
    <n v="5002359"/>
    <s v="EMPRESA BRASILEIRA DE CORREIOS E"/>
    <n v="124.27"/>
    <d v="2025-07-14T00:00:00"/>
  </r>
  <r>
    <s v="Sem TR"/>
    <n v="64804368"/>
    <s v="ZRDI"/>
    <n v="10047319"/>
    <s v="D35"/>
    <s v="DEV D2C - Prod difere do comprado"/>
    <s v="COMERCIAL"/>
    <x v="2"/>
    <n v="52806814"/>
    <x v="1051"/>
    <s v="BA"/>
    <n v="474"/>
    <s v="Site Brastemp"/>
    <n v="1352"/>
    <s v="W10347201"/>
    <s v="Prateleiras"/>
    <x v="9"/>
    <n v="1000"/>
    <n v="5002359"/>
    <s v="EMPRESA BRASILEIRA DE CORREIOS E"/>
    <n v="124.27"/>
    <d v="2025-07-04T00:00:00"/>
  </r>
  <r>
    <s v="Sem TR"/>
    <n v="64805755"/>
    <s v="ZRDI"/>
    <n v="10109781"/>
    <s v="D31"/>
    <s v="DEV D2C - Defeito estético manufatura"/>
    <s v="MANUFATURA"/>
    <x v="2"/>
    <n v="58120807"/>
    <x v="1052"/>
    <s v="BA"/>
    <n v="474"/>
    <s v="Site Brastemp"/>
    <n v="1352"/>
    <s v="W10347201"/>
    <s v="Prateleiras"/>
    <x v="9"/>
    <n v="1000"/>
    <n v="5002359"/>
    <s v="EMPRESA BRASILEIRA DE CORREIOS E"/>
    <n v="124.27"/>
    <d v="2025-07-14T00:00:00"/>
  </r>
  <r>
    <n v="254035373"/>
    <n v="64805238"/>
    <s v="REB"/>
    <n v="10110569"/>
    <n v="167"/>
    <s v="PEÇAS - Avaria - Quebrada/Depósito"/>
    <s v="LOGÍSTICA"/>
    <x v="1"/>
    <n v="31063"/>
    <x v="308"/>
    <s v="RJ"/>
    <n v="644"/>
    <s v="Plus"/>
    <n v="1350"/>
    <s v="W10539793"/>
    <s v="Capas"/>
    <x v="6"/>
    <n v="4000"/>
    <n v="5003176"/>
    <s v="J C THEDIN TRANSPORTES LTDA"/>
    <n v="124.2"/>
    <d v="2025-07-17T00:00:00"/>
  </r>
  <r>
    <n v="253953808"/>
    <n v="64731935"/>
    <s v="REB"/>
    <n v="9886941"/>
    <n v="90"/>
    <s v="CLIENTE-não solicitou"/>
    <s v="COMERCIAL"/>
    <x v="2"/>
    <n v="34365"/>
    <x v="339"/>
    <s v="CE"/>
    <n v="931"/>
    <s v="Ats Off"/>
    <n v="1350"/>
    <n v="326067799"/>
    <s v="Prateleiras"/>
    <x v="9"/>
    <n v="1000"/>
    <n v="5004101"/>
    <s v="UNIDOCK'S ASSESSORIA E LOGISTICA DE"/>
    <n v="124.12"/>
    <d v="2025-03-14T00:00:00"/>
  </r>
  <r>
    <s v="Sem TR"/>
    <n v="64806649"/>
    <s v="ZRDI"/>
    <n v="10103480"/>
    <s v="D31"/>
    <s v="DEV D2C - Defeito estético manufatura"/>
    <s v="MANUFATURA"/>
    <x v="2"/>
    <n v="50122766"/>
    <x v="1053"/>
    <s v="MG"/>
    <n v="474"/>
    <s v="Site Brastemp"/>
    <n v="1352"/>
    <s v="W10347201"/>
    <s v="Prateleiras"/>
    <x v="9"/>
    <n v="1000"/>
    <n v="5002359"/>
    <s v="EMPRESA BRASILEIRA DE CORREIOS E"/>
    <n v="124.07"/>
    <d v="2025-07-07T00:00:00"/>
  </r>
  <r>
    <s v="Sem TR"/>
    <n v="64817929"/>
    <s v="REB"/>
    <n v="10095481"/>
    <n v="90"/>
    <s v="CLIENTE-não solicitou"/>
    <s v="COMERCIAL"/>
    <x v="1"/>
    <n v="31063"/>
    <x v="308"/>
    <s v="RJ"/>
    <n v="644"/>
    <s v="Plus"/>
    <n v="1350"/>
    <s v="W11300816"/>
    <s v="Mecanismos"/>
    <x v="2"/>
    <n v="1000"/>
    <n v="5003176"/>
    <s v="J C THEDIN TRANSPORTES LTDA"/>
    <n v="124.04"/>
    <d v="2025-07-25T00:00:00"/>
  </r>
  <r>
    <s v="Sem TR"/>
    <n v="64812212"/>
    <s v="ROB"/>
    <n v="10122765"/>
    <n v="25"/>
    <s v="OC. 80 - EXTRAVIO TOTAL"/>
    <s v="TRANSPORTADORA"/>
    <x v="0"/>
    <n v="71778"/>
    <x v="700"/>
    <s v="SC"/>
    <n v="932"/>
    <s v="CDP Prata"/>
    <n v="1350"/>
    <s v="W10791633"/>
    <s v="Retentores"/>
    <x v="4"/>
    <n v="15000"/>
    <n v="5003024"/>
    <s v="RODOBRAS TRANSPORTES RODOVIARIOS LT"/>
    <n v="124.03"/>
    <d v="2025-07-17T00:00:00"/>
  </r>
  <r>
    <n v="254012604"/>
    <n v="64789101"/>
    <s v="REB"/>
    <n v="10054062"/>
    <n v="167"/>
    <s v="PEÇAS - Avaria - Quebrada/Depósito"/>
    <s v="LOGÍSTICA"/>
    <x v="2"/>
    <n v="69166"/>
    <x v="129"/>
    <s v="RJ"/>
    <n v="931"/>
    <s v="Ats Off"/>
    <n v="1350"/>
    <s v="W11045006"/>
    <s v="Interruptores"/>
    <x v="3"/>
    <n v="1000"/>
    <n v="5003176"/>
    <s v="J C THEDIN TRANSPORTES LTDA"/>
    <n v="123.99"/>
    <d v="2025-06-10T00:00:00"/>
  </r>
  <r>
    <n v="254012604"/>
    <n v="64789559"/>
    <s v="REB"/>
    <n v="10066088"/>
    <n v="173"/>
    <s v="PEÇAS - Defeito de fabric./Alta Amperage"/>
    <s v="FUNCIONAL"/>
    <x v="2"/>
    <n v="69166"/>
    <x v="129"/>
    <s v="RJ"/>
    <n v="931"/>
    <s v="Ats Off"/>
    <n v="1350"/>
    <s v="W11045006"/>
    <s v="Interruptores"/>
    <x v="3"/>
    <n v="1000"/>
    <n v="5003176"/>
    <s v="J C THEDIN TRANSPORTES LTDA"/>
    <n v="123.99"/>
    <d v="2025-06-10T00:00:00"/>
  </r>
  <r>
    <s v="Sem TR"/>
    <n v="64800126"/>
    <s v="ZRDI"/>
    <n v="10082645"/>
    <s v="D35"/>
    <s v="DEV D2C - Prod difere do comprado"/>
    <s v="COMERCIAL"/>
    <x v="2"/>
    <n v="56499658"/>
    <x v="1054"/>
    <s v="SC"/>
    <n v="475"/>
    <s v="Site Consul"/>
    <n v="1352"/>
    <s v="W10678923"/>
    <s v="Placas de Controle"/>
    <x v="1"/>
    <n v="1000"/>
    <n v="5002359"/>
    <s v="EMPRESA BRASILEIRA DE CORREIOS E"/>
    <n v="123.95"/>
    <d v="2025-06-30T00:00:00"/>
  </r>
  <r>
    <s v="Sem TR"/>
    <n v="64814991"/>
    <s v="ZRDI"/>
    <n v="10121624"/>
    <n v="208"/>
    <s v="DEV-Atraso entrega- LOGISTICA(Transp)"/>
    <s v="TRANSPORTADORA"/>
    <x v="2"/>
    <n v="58134579"/>
    <x v="1055"/>
    <s v="SP"/>
    <n v="466"/>
    <s v="Sup ML Marketplace"/>
    <n v="1352"/>
    <s v="W11509386"/>
    <s v="Filtros"/>
    <x v="5"/>
    <n v="1000"/>
    <n v="5002359"/>
    <s v="EMPRESA BRASILEIRA DE CORREIOS E"/>
    <n v="123.8"/>
    <d v="2025-07-22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606115"/>
    <s v="Polias/Roldanas"/>
    <x v="2"/>
    <n v="10000"/>
    <n v="5004101"/>
    <s v="UNIDOCK'S ASSESSORIA E LOGISTICA DE"/>
    <n v="123.75"/>
    <d v="2025-07-29T00:00:00"/>
  </r>
  <r>
    <n v="254033947"/>
    <n v="64812496"/>
    <s v="ZRDI"/>
    <n v="10095819"/>
    <n v="208"/>
    <s v="DEV-Atraso entrega- LOGISTICA(Transp)"/>
    <s v="TRANSPORTADORA"/>
    <x v="2"/>
    <n v="58104481"/>
    <x v="1056"/>
    <s v="BA"/>
    <n v="466"/>
    <s v="Sup ML Marketplace"/>
    <n v="1352"/>
    <s v="W11199342"/>
    <s v="Filtros"/>
    <x v="5"/>
    <n v="1000"/>
    <n v="5002359"/>
    <s v="EMPRESA BRASILEIRA DE CORREIOS E"/>
    <n v="123.49"/>
    <d v="2025-07-17T00:00:00"/>
  </r>
  <r>
    <n v="254012433"/>
    <n v="64788498"/>
    <s v="REB"/>
    <n v="9986839"/>
    <n v="176"/>
    <s v="PEÇAS - Defeito de fabric./Interrompido"/>
    <s v="FUNCIONAL"/>
    <x v="2"/>
    <n v="66"/>
    <x v="73"/>
    <s v="GO"/>
    <n v="931"/>
    <s v="Ats Off"/>
    <n v="1350"/>
    <s v="W11347049"/>
    <s v="Bombas"/>
    <x v="1"/>
    <n v="1000"/>
    <n v="5002858"/>
    <s v="FAVORITA TRANSPORTES LTDA"/>
    <n v="123.32"/>
    <d v="2025-06-10T00:00:00"/>
  </r>
  <r>
    <n v="254012575"/>
    <n v="64788906"/>
    <s v="REB"/>
    <n v="10045270"/>
    <n v="167"/>
    <s v="PEÇAS - Avaria - Quebrada/Depósito"/>
    <s v="LOGÍSTICA"/>
    <x v="2"/>
    <n v="63300"/>
    <x v="17"/>
    <s v="MG"/>
    <n v="643"/>
    <s v="Elite"/>
    <n v="1350"/>
    <s v="W10169464"/>
    <s v="Defletores/Difusores"/>
    <x v="5"/>
    <n v="5000"/>
    <n v="5004215"/>
    <s v="BRASIL WEB TRANSPORTES E LOGISTICA"/>
    <n v="123.29"/>
    <d v="2025-06-10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730203"/>
    <s v="Gavetas"/>
    <x v="9"/>
    <n v="1000"/>
    <n v="5002359"/>
    <s v="EMPRESA BRASILEIRA DE CORREIOS E"/>
    <n v="123.2"/>
    <d v="2025-07-26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730203"/>
    <s v="Gavetas"/>
    <x v="9"/>
    <n v="1000"/>
    <n v="5002359"/>
    <s v="EMPRESA BRASILEIRA DE CORREIOS E"/>
    <n v="123.2"/>
    <d v="2025-07-26T00:00:00"/>
  </r>
  <r>
    <n v="254042248"/>
    <n v="64796040"/>
    <s v="REB"/>
    <n v="9996744"/>
    <n v="173"/>
    <s v="PEÇAS - Defeito de fabric./Alta Amperage"/>
    <s v="FUNCIONAL"/>
    <x v="0"/>
    <n v="4384"/>
    <x v="1058"/>
    <s v="SC"/>
    <n v="644"/>
    <s v="Plus"/>
    <n v="1350"/>
    <s v="W11047054"/>
    <s v="Interruptores horário"/>
    <x v="3"/>
    <n v="1000"/>
    <n v="5003024"/>
    <s v="RODOBRAS TRANSPORTES RODOVIARIOS LT"/>
    <n v="123.08"/>
    <d v="2025-06-23T00:00:00"/>
  </r>
  <r>
    <n v="254018212"/>
    <n v="64793185"/>
    <s v="REB"/>
    <n v="9992088"/>
    <n v="173"/>
    <s v="PEÇAS - Defeito de fabric./Alta Amperage"/>
    <s v="FUNCIONAL"/>
    <x v="2"/>
    <n v="9991"/>
    <x v="86"/>
    <s v="DF"/>
    <n v="648"/>
    <s v="Ultra"/>
    <n v="1350"/>
    <s v="W11300816"/>
    <s v="Mecanismos"/>
    <x v="2"/>
    <n v="1000"/>
    <n v="5002858"/>
    <s v="FAVORITA TRANSPORTES LTDA"/>
    <n v="123.07"/>
    <d v="2025-06-17T00:00:00"/>
  </r>
  <r>
    <n v="254038369"/>
    <n v="64814581"/>
    <s v="REB"/>
    <n v="10088170"/>
    <n v="176"/>
    <s v="PEÇAS - Defeito de fabric./Interrompido"/>
    <s v="FUNCIONAL"/>
    <x v="0"/>
    <n v="31587"/>
    <x v="135"/>
    <s v="SP"/>
    <n v="643"/>
    <s v="Elite"/>
    <n v="1350"/>
    <s v="W11082454"/>
    <s v="Termostatos"/>
    <x v="3"/>
    <n v="2000"/>
    <n v="5004042"/>
    <s v="BRASIL WEB TRANSPORTES E LOGISTICA"/>
    <n v="122.99"/>
    <d v="2025-07-22T00:00:00"/>
  </r>
  <r>
    <n v="254033298"/>
    <n v="64797912"/>
    <s v="REB"/>
    <n v="9913885"/>
    <n v="176"/>
    <s v="PEÇAS - Defeito de fabric./Interrompido"/>
    <s v="FUNCIONAL"/>
    <x v="1"/>
    <n v="19716"/>
    <x v="252"/>
    <s v="SC"/>
    <n v="644"/>
    <s v="Plus"/>
    <n v="1350"/>
    <s v="W11047054"/>
    <s v="Interruptores horário"/>
    <x v="3"/>
    <n v="1000"/>
    <n v="5003024"/>
    <s v="RODOBRAS TRANSPORTES RODOVIARIOS LT"/>
    <n v="122.95"/>
    <d v="2025-07-08T00:00:00"/>
  </r>
  <r>
    <n v="254004042"/>
    <n v="64778182"/>
    <s v="REB"/>
    <n v="10018018"/>
    <n v="173"/>
    <s v="PEÇAS - Defeito de fabric./Alta Amperage"/>
    <s v="FUNCIONAL"/>
    <x v="1"/>
    <n v="67948"/>
    <x v="15"/>
    <s v="SC"/>
    <n v="713"/>
    <s v="Key Account"/>
    <n v="1350"/>
    <s v="W11161214"/>
    <s v="Placas de Interface"/>
    <x v="1"/>
    <n v="1000"/>
    <n v="5003024"/>
    <s v="RODOBRAS TRANSPORTES RODOVIARIOS LT"/>
    <n v="122.94"/>
    <d v="2025-05-26T00:00:00"/>
  </r>
  <r>
    <n v="254042073"/>
    <n v="64795929"/>
    <s v="REB"/>
    <n v="10072305"/>
    <n v="167"/>
    <s v="PEÇAS - Avaria - Quebrada/Depósito"/>
    <s v="LOGÍSTICA"/>
    <x v="0"/>
    <n v="28181"/>
    <x v="566"/>
    <s v="GO"/>
    <n v="643"/>
    <s v="Elite"/>
    <n v="1350"/>
    <s v="W10347201"/>
    <s v="Prateleiras"/>
    <x v="9"/>
    <n v="2000"/>
    <n v="5002858"/>
    <s v="FAVORITA TRANSPORTES LTDA"/>
    <n v="122.94"/>
    <d v="2025-06-23T00:00:00"/>
  </r>
  <r>
    <n v="253992727"/>
    <n v="64766810"/>
    <s v="REB"/>
    <n v="10013716"/>
    <n v="90"/>
    <s v="CLIENTE-não solicitou"/>
    <s v="COMERCIAL"/>
    <x v="1"/>
    <n v="28684"/>
    <x v="235"/>
    <s v="SP"/>
    <n v="648"/>
    <s v="Ultra"/>
    <n v="1350"/>
    <s v="W10710769"/>
    <s v="Termostatos"/>
    <x v="3"/>
    <n v="2000"/>
    <n v="5004042"/>
    <s v="BRASIL WEB TRANSPORTES E LOGISTICA"/>
    <n v="122.9"/>
    <d v="2025-05-12T00:00:00"/>
  </r>
  <r>
    <n v="254035313"/>
    <n v="64811677"/>
    <s v="REB"/>
    <n v="10076925"/>
    <n v="178"/>
    <s v="PEÇAS -Defeito de fabric./Sem Compressão"/>
    <s v="FUNCIONAL"/>
    <x v="2"/>
    <n v="66"/>
    <x v="73"/>
    <s v="GO"/>
    <n v="931"/>
    <s v="Ats Off"/>
    <n v="1350"/>
    <s v="W11387305"/>
    <s v="Gases Refrigerantes"/>
    <x v="0"/>
    <n v="1000"/>
    <n v="5002858"/>
    <s v="FAVORITA TRANSPORTES LTDA"/>
    <n v="122.87"/>
    <d v="2025-07-17T00:00:00"/>
  </r>
  <r>
    <n v="254038059"/>
    <n v="64814975"/>
    <s v="REB"/>
    <n v="10076925"/>
    <n v="178"/>
    <s v="PEÇAS -Defeito de fabric./Sem Compressão"/>
    <s v="FUNCIONAL"/>
    <x v="1"/>
    <n v="66"/>
    <x v="73"/>
    <s v="GO"/>
    <n v="931"/>
    <s v="Ats Off"/>
    <n v="1350"/>
    <s v="W11387305"/>
    <s v="Gases Refrigerantes"/>
    <x v="0"/>
    <n v="1000"/>
    <n v="5002858"/>
    <s v="FAVORITA TRANSPORTES LTDA"/>
    <n v="122.87"/>
    <d v="2025-07-22T00:00:00"/>
  </r>
  <r>
    <n v="253952468"/>
    <n v="64726456"/>
    <s v="REB"/>
    <n v="9640448"/>
    <n v="173"/>
    <s v="PEÇAS - Defeito de fabric./Alta Amperage"/>
    <s v="FUNCIONAL"/>
    <x v="2"/>
    <n v="72785"/>
    <x v="177"/>
    <s v="SP"/>
    <n v="641"/>
    <s v="CDP Diamante"/>
    <n v="1350"/>
    <s v="W11300816"/>
    <s v="Mecanismos"/>
    <x v="2"/>
    <n v="1000"/>
    <n v="5004042"/>
    <s v="BRASIL WEB TRANSPORTES E LOGISTICA"/>
    <n v="122.8"/>
    <d v="2025-03-08T00:00:00"/>
  </r>
  <r>
    <n v="253970736"/>
    <n v="64747695"/>
    <s v="REB"/>
    <n v="9869857"/>
    <n v="177"/>
    <s v="PEÇAS - Defeito de fabric./Ruído"/>
    <s v="FUNCIONAL"/>
    <x v="1"/>
    <n v="17539"/>
    <x v="320"/>
    <s v="SP"/>
    <n v="350"/>
    <s v="Ats On"/>
    <n v="1350"/>
    <s v="W10894133"/>
    <s v="Motores Ventiladores"/>
    <x v="1"/>
    <n v="1000"/>
    <n v="5004042"/>
    <s v="BRASIL WEB TRANSPORTES E LOGISTICA"/>
    <n v="122.74"/>
    <d v="2025-04-09T00:00:00"/>
  </r>
  <r>
    <n v="254042009"/>
    <n v="64790713"/>
    <s v="REB"/>
    <n v="9605699"/>
    <n v="176"/>
    <s v="PEÇAS - Defeito de fabric./Interrompido"/>
    <s v="FUNCIONAL"/>
    <x v="0"/>
    <n v="78757"/>
    <x v="50"/>
    <s v="RS"/>
    <n v="643"/>
    <s v="Elite"/>
    <n v="1350"/>
    <s v="W11268186"/>
    <s v="Placas de Controle"/>
    <x v="1"/>
    <n v="1000"/>
    <n v="5003024"/>
    <s v="RODOBRAS TRANSPORTES RODOVIARIOS LT"/>
    <n v="122.49"/>
    <d v="2025-06-23T00:00:00"/>
  </r>
  <r>
    <n v="253970693"/>
    <n v="64748195"/>
    <s v="REB"/>
    <n v="9943473"/>
    <n v="176"/>
    <s v="PEÇAS - Defeito de fabric./Interrompido"/>
    <s v="FUNCIONAL"/>
    <x v="2"/>
    <n v="3506"/>
    <x v="46"/>
    <s v="SP"/>
    <n v="931"/>
    <s v="Ats Off"/>
    <n v="1350"/>
    <s v="W11557350"/>
    <s v="Resistências"/>
    <x v="1"/>
    <n v="1000"/>
    <n v="5004042"/>
    <s v="BRASIL WEB TRANSPORTES E LOGISTICA"/>
    <n v="122.07"/>
    <d v="2025-04-09T00:00:00"/>
  </r>
  <r>
    <n v="254018330"/>
    <n v="64792421"/>
    <s v="REB"/>
    <n v="10067462"/>
    <n v="104"/>
    <s v="PEÇAS-Código trocado(embalag X conteúdo)"/>
    <s v="LOGÍSTICA"/>
    <x v="1"/>
    <n v="61675"/>
    <x v="12"/>
    <s v="MG"/>
    <n v="643"/>
    <s v="Elite"/>
    <n v="1350"/>
    <s v="W11195522"/>
    <s v="Motores"/>
    <x v="1"/>
    <n v="1000"/>
    <n v="5004215"/>
    <s v="BRASIL WEB TRANSPORTES E LOGISTICA"/>
    <n v="122.05"/>
    <d v="2025-06-16T00:00:00"/>
  </r>
  <r>
    <n v="254035351"/>
    <n v="64812327"/>
    <s v="REB"/>
    <n v="10107389"/>
    <n v="90"/>
    <s v="CLIENTE-não solicitou"/>
    <s v="COMERCIAL"/>
    <x v="1"/>
    <n v="21594"/>
    <x v="97"/>
    <s v="SP"/>
    <n v="931"/>
    <s v="Ats Off"/>
    <n v="1350"/>
    <s v="W11316366"/>
    <s v="Gaxetas"/>
    <x v="4"/>
    <n v="3000"/>
    <n v="5004042"/>
    <s v="BRASIL WEB TRANSPORTES E LOGISTICA"/>
    <n v="122.05"/>
    <d v="2025-07-17T00:00:00"/>
  </r>
  <r>
    <n v="254035339"/>
    <n v="64809748"/>
    <s v="REB"/>
    <n v="10124090"/>
    <n v="173"/>
    <s v="PEÇAS - Defeito de fabric./Alta Amperage"/>
    <s v="FUNCIONAL"/>
    <x v="1"/>
    <n v="8192"/>
    <x v="118"/>
    <s v="PR"/>
    <n v="933"/>
    <s v="Top"/>
    <n v="1350"/>
    <s v="W11307524"/>
    <s v="Placas de Interface"/>
    <x v="1"/>
    <n v="1000"/>
    <n v="5003024"/>
    <s v="RODOBRAS TRANSPORTES RODOVIARIOS LT"/>
    <n v="121.97"/>
    <d v="2025-07-17T00:00:00"/>
  </r>
  <r>
    <n v="254033921"/>
    <n v="64812459"/>
    <s v="ZRDI"/>
    <n v="10063548"/>
    <n v="208"/>
    <s v="DEV-Atraso entrega- LOGISTICA(Transp)"/>
    <s v="TRANSPORTADORA"/>
    <x v="2"/>
    <n v="58058778"/>
    <x v="1059"/>
    <s v="ES"/>
    <n v="466"/>
    <s v="Sup ML Marketplace"/>
    <n v="1352"/>
    <s v="W10581058"/>
    <s v="Gavetas"/>
    <x v="9"/>
    <n v="1000"/>
    <n v="5002359"/>
    <s v="EMPRESA BRASILEIRA DE CORREIOS E"/>
    <n v="121.93"/>
    <d v="2025-07-17T00:00:00"/>
  </r>
  <r>
    <n v="254033921"/>
    <n v="64812459"/>
    <s v="ZRDI"/>
    <n v="10063548"/>
    <n v="208"/>
    <s v="DEV-Atraso entrega- LOGISTICA(Transp)"/>
    <s v="TRANSPORTADORA"/>
    <x v="2"/>
    <n v="58058778"/>
    <x v="1059"/>
    <s v="ES"/>
    <n v="466"/>
    <s v="Sup ML Marketplace"/>
    <n v="1352"/>
    <s v="W10200101"/>
    <s v="Prateleiras"/>
    <x v="9"/>
    <n v="1000"/>
    <n v="5002359"/>
    <s v="EMPRESA BRASILEIRA DE CORREIOS E"/>
    <n v="121.92"/>
    <d v="2025-07-17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397307"/>
    <s v="Defletores/Difusores"/>
    <x v="5"/>
    <n v="5000"/>
    <n v="5004101"/>
    <s v="UNIDOCK'S ASSESSORIA E LOGISTICA DE"/>
    <n v="121.88"/>
    <d v="2025-06-24T00:00:00"/>
  </r>
  <r>
    <n v="254033690"/>
    <n v="64796017"/>
    <s v="REB"/>
    <n v="9998203"/>
    <n v="176"/>
    <s v="PEÇAS - Defeito de fabric./Interrompido"/>
    <s v="FUNCIONAL"/>
    <x v="1"/>
    <n v="24089"/>
    <x v="134"/>
    <s v="RJ"/>
    <n v="931"/>
    <s v="Ats Off"/>
    <n v="1350"/>
    <s v="W11347049"/>
    <s v="Bombas"/>
    <x v="1"/>
    <n v="1000"/>
    <n v="5003176"/>
    <s v="J C THEDIN TRANSPORTES LTDA"/>
    <n v="121.87"/>
    <d v="2025-06-23T00:00:00"/>
  </r>
  <r>
    <n v="254030527"/>
    <n v="64800550"/>
    <s v="REB"/>
    <n v="10087191"/>
    <n v="167"/>
    <s v="PEÇAS - Avaria - Quebrada/Depósito"/>
    <s v="LOGÍSTICA"/>
    <x v="1"/>
    <n v="31537"/>
    <x v="523"/>
    <s v="RS"/>
    <n v="641"/>
    <s v="CDP Diamante"/>
    <n v="1350"/>
    <s v="W10287527"/>
    <s v="Prateleiras"/>
    <x v="9"/>
    <n v="1000"/>
    <n v="5003024"/>
    <s v="RODOBRAS TRANSPORTES RODOVIARIOS LT"/>
    <n v="121.76"/>
    <d v="2025-07-01T00:00:00"/>
  </r>
  <r>
    <n v="254030460"/>
    <n v="64802994"/>
    <s v="REB"/>
    <n v="10030246"/>
    <n v="176"/>
    <s v="PEÇAS - Defeito de fabric./Interrompido"/>
    <s v="FUNCIONAL"/>
    <x v="1"/>
    <n v="13757"/>
    <x v="14"/>
    <s v="SP"/>
    <n v="713"/>
    <s v="Key Account"/>
    <n v="1350"/>
    <s v="W11300816"/>
    <s v="Mecanismos"/>
    <x v="2"/>
    <n v="1000"/>
    <n v="5004042"/>
    <s v="BRASIL WEB TRANSPORTES E LOGISTICA"/>
    <n v="121.73"/>
    <d v="2025-07-01T00:00:00"/>
  </r>
  <r>
    <s v="Sem TR"/>
    <n v="64799366"/>
    <s v="ZRDI"/>
    <n v="10085242"/>
    <s v="D31"/>
    <s v="DEV D2C - Defeito estético manufatura"/>
    <s v="MANUFATURA"/>
    <x v="2"/>
    <n v="56473878"/>
    <x v="1060"/>
    <s v="PR"/>
    <n v="474"/>
    <s v="Site Brastemp"/>
    <n v="1352"/>
    <s v="W10347201"/>
    <s v="Prateleiras"/>
    <x v="9"/>
    <n v="1000"/>
    <n v="5002359"/>
    <s v="EMPRESA BRASILEIRA DE CORREIOS E"/>
    <n v="121.7"/>
    <d v="2025-07-03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347201"/>
    <s v="Prateleiras"/>
    <x v="9"/>
    <n v="1000"/>
    <n v="5002359"/>
    <s v="EMPRESA BRASILEIRA DE CORREIOS E"/>
    <n v="121.7"/>
    <d v="2025-07-26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347201"/>
    <s v="Prateleiras"/>
    <x v="9"/>
    <n v="1000"/>
    <n v="5002359"/>
    <s v="EMPRESA BRASILEIRA DE CORREIOS E"/>
    <n v="121.7"/>
    <d v="2025-07-26T00:00:00"/>
  </r>
  <r>
    <n v="254033279"/>
    <n v="64805791"/>
    <s v="REB"/>
    <n v="10087543"/>
    <n v="104"/>
    <s v="PEÇAS-Código trocado(embalag X conteúdo)"/>
    <s v="LOGÍSTICA"/>
    <x v="0"/>
    <n v="10164"/>
    <x v="183"/>
    <s v="PB"/>
    <n v="931"/>
    <s v="Ats Off"/>
    <n v="1350"/>
    <n v="326073243"/>
    <s v="Placas de Controle"/>
    <x v="1"/>
    <n v="1000"/>
    <n v="5004101"/>
    <s v="UNIDOCK'S ASSESSORIA E LOGISTICA DE"/>
    <n v="121.68"/>
    <d v="2025-07-08T00:00:00"/>
  </r>
  <r>
    <n v="253992727"/>
    <n v="64768044"/>
    <s v="REB"/>
    <n v="10013717"/>
    <n v="90"/>
    <s v="CLIENTE-não solicitou"/>
    <s v="COMERCIAL"/>
    <x v="1"/>
    <n v="28684"/>
    <x v="235"/>
    <s v="SP"/>
    <n v="648"/>
    <s v="Ultra"/>
    <n v="1350"/>
    <s v="W10710769"/>
    <s v="Termostatos"/>
    <x v="3"/>
    <n v="2000"/>
    <n v="5004042"/>
    <s v="BRASIL WEB TRANSPORTES E LOGISTICA"/>
    <n v="121.49"/>
    <d v="2025-05-12T00:00:00"/>
  </r>
  <r>
    <n v="254033944"/>
    <n v="64812477"/>
    <s v="ZRDI"/>
    <n v="10094232"/>
    <n v="208"/>
    <s v="DEV-Atraso entrega- LOGISTICA(Transp)"/>
    <s v="TRANSPORTADORA"/>
    <x v="2"/>
    <n v="5947319"/>
    <x v="1061"/>
    <s v="RS"/>
    <n v="466"/>
    <s v="Sup ML Marketplace"/>
    <n v="1352"/>
    <n v="326007517"/>
    <s v="Suportes"/>
    <x v="6"/>
    <n v="1000"/>
    <n v="5002359"/>
    <s v="EMPRESA BRASILEIRA DE CORREIOS E"/>
    <n v="121.47"/>
    <d v="2025-07-17T00:00:00"/>
  </r>
  <r>
    <n v="254030459"/>
    <n v="64800021"/>
    <s v="REB"/>
    <n v="10006871"/>
    <n v="176"/>
    <s v="PEÇAS - Defeito de fabric./Interrompido"/>
    <s v="FUNCIONAL"/>
    <x v="1"/>
    <n v="13757"/>
    <x v="14"/>
    <s v="SP"/>
    <n v="713"/>
    <s v="Key Account"/>
    <n v="1350"/>
    <s v="W11300676"/>
    <s v="Mecanismos"/>
    <x v="2"/>
    <n v="1000"/>
    <n v="5004042"/>
    <s v="BRASIL WEB TRANSPORTES E LOGISTICA"/>
    <n v="121.47"/>
    <d v="2025-07-01T00:00:00"/>
  </r>
  <r>
    <s v="Sem TR"/>
    <n v="64818572"/>
    <s v="ZRDI"/>
    <n v="10118610"/>
    <s v="D10"/>
    <s v="DEV D2C - Comprou modelo errado"/>
    <s v="COMERCIAL"/>
    <x v="1"/>
    <n v="58129670"/>
    <x v="1062"/>
    <s v="DF"/>
    <n v="475"/>
    <s v="Site Consul"/>
    <n v="1352"/>
    <s v="W10744943"/>
    <s v="Gavetas"/>
    <x v="9"/>
    <n v="1000"/>
    <n v="5002359"/>
    <s v="EMPRESA BRASILEIRA DE CORREIOS E"/>
    <n v="121.44"/>
    <d v="2025-07-29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0555140"/>
    <s v="Resistências"/>
    <x v="1"/>
    <n v="2000"/>
    <n v="5004101"/>
    <s v="UNIDOCK'S ASSESSORIA E LOGISTICA DE"/>
    <n v="121.33"/>
    <d v="2025-01-22T00:00:00"/>
  </r>
  <r>
    <n v="254018225"/>
    <n v="64793151"/>
    <s v="REB"/>
    <n v="9953372"/>
    <n v="176"/>
    <s v="PEÇAS - Defeito de fabric./Interrompido"/>
    <s v="FUNCIONAL"/>
    <x v="1"/>
    <n v="13757"/>
    <x v="14"/>
    <s v="SP"/>
    <n v="713"/>
    <s v="Key Account"/>
    <n v="1350"/>
    <s v="W11300816"/>
    <s v="Mecanismos"/>
    <x v="2"/>
    <n v="1000"/>
    <n v="5004042"/>
    <s v="BRASIL WEB TRANSPORTES E LOGISTICA"/>
    <n v="121.29"/>
    <d v="2025-06-17T00:00:00"/>
  </r>
  <r>
    <n v="254018224"/>
    <n v="64792375"/>
    <s v="REB"/>
    <n v="9953372"/>
    <n v="176"/>
    <s v="PEÇAS - Defeito de fabric./Interrompido"/>
    <s v="FUNCIONAL"/>
    <x v="1"/>
    <n v="13757"/>
    <x v="14"/>
    <s v="SP"/>
    <n v="713"/>
    <s v="Key Account"/>
    <n v="1350"/>
    <s v="W11300816"/>
    <s v="Mecanismos"/>
    <x v="2"/>
    <n v="1000"/>
    <n v="5004042"/>
    <s v="BRASIL WEB TRANSPORTES E LOGISTICA"/>
    <n v="121.29"/>
    <d v="2025-06-16T00:00:00"/>
  </r>
  <r>
    <n v="254042158"/>
    <n v="64796164"/>
    <s v="REB"/>
    <n v="9953372"/>
    <n v="176"/>
    <s v="PEÇAS - Defeito de fabric./Interrompido"/>
    <s v="FUNCIONAL"/>
    <x v="0"/>
    <n v="13757"/>
    <x v="14"/>
    <s v="SP"/>
    <n v="713"/>
    <s v="Key Account"/>
    <n v="1350"/>
    <s v="W11300816"/>
    <s v="Mecanismos"/>
    <x v="2"/>
    <n v="1000"/>
    <n v="5004042"/>
    <s v="BRASIL WEB TRANSPORTES E LOGISTICA"/>
    <n v="121.29"/>
    <d v="2025-06-23T00:00:00"/>
  </r>
  <r>
    <n v="254024149"/>
    <n v="64803811"/>
    <s v="ZRDI"/>
    <n v="10088945"/>
    <n v="208"/>
    <s v="DEV-Atraso entrega- LOGISTICA(Transp)"/>
    <s v="TRANSPORTADORA"/>
    <x v="2"/>
    <n v="5523720"/>
    <x v="883"/>
    <s v="CE"/>
    <n v="475"/>
    <s v="Site Consul"/>
    <n v="1352"/>
    <s v="W10200101"/>
    <s v="Prateleiras"/>
    <x v="9"/>
    <n v="1000"/>
    <n v="5002359"/>
    <s v="EMPRESA BRASILEIRA DE CORREIOS E"/>
    <n v="121.24"/>
    <d v="2025-07-01T00:00:00"/>
  </r>
  <r>
    <n v="253983922"/>
    <n v="64759729"/>
    <s v="REB"/>
    <n v="9996813"/>
    <n v="167"/>
    <s v="PEÇAS - Avaria - Quebrada/Depósito"/>
    <s v="LOGÍSTICA"/>
    <x v="1"/>
    <n v="38442"/>
    <x v="943"/>
    <s v="RS"/>
    <n v="641"/>
    <s v="CDP Diamante"/>
    <n v="1350"/>
    <s v="W11552572"/>
    <s v="Outros"/>
    <x v="7"/>
    <n v="1000"/>
    <n v="5003024"/>
    <s v="RODOBRAS TRANSPORTES RODOVIARIOS LT"/>
    <n v="121.04"/>
    <d v="2025-04-28T00:00:00"/>
  </r>
  <r>
    <n v="253926894"/>
    <n v="64700424"/>
    <s v="REB"/>
    <n v="9830997"/>
    <n v="671"/>
    <s v="DEV-ENVIADO PARA GESTÃO DE CONSEQUENCIA"/>
    <s v="TRANSPORTADORA"/>
    <x v="2"/>
    <n v="9015"/>
    <x v="72"/>
    <s v="SC"/>
    <n v="931"/>
    <s v="Ats Off"/>
    <n v="1350"/>
    <s v="W10347201"/>
    <s v="Prateleiras"/>
    <x v="9"/>
    <n v="2000"/>
    <n v="5003024"/>
    <s v="RODOBRAS TRANSPORTES RODOVIARIOS LT"/>
    <n v="120.99"/>
    <d v="2025-01-27T00:00:00"/>
  </r>
  <r>
    <n v="253919018"/>
    <n v="64693220"/>
    <s v="ROB"/>
    <n v="9821819"/>
    <n v="671"/>
    <s v="DEV-ENVIADO PARA GESTÃO DE CONSEQUENCIA"/>
    <s v="TRANSPORTADORA"/>
    <x v="1"/>
    <n v="32856"/>
    <x v="60"/>
    <s v="PR"/>
    <n v="713"/>
    <s v="Key Account"/>
    <n v="1350"/>
    <s v="W10678919"/>
    <s v="Placas de Controle"/>
    <x v="1"/>
    <n v="2000"/>
    <n v="5003024"/>
    <s v="RODOBRAS TRANSPORTES RODOVIARIOS LT"/>
    <n v="120.97"/>
    <d v="2025-01-16T00:00:00"/>
  </r>
  <r>
    <n v="254033437"/>
    <n v="64807180"/>
    <s v="REB"/>
    <n v="9479990"/>
    <n v="173"/>
    <s v="PEÇAS - Defeito de fabric./Alta Amperage"/>
    <s v="FUNCIONAL"/>
    <x v="1"/>
    <n v="67948"/>
    <x v="15"/>
    <s v="SC"/>
    <n v="713"/>
    <s v="Key Account"/>
    <n v="1350"/>
    <s v="W11195522"/>
    <s v="Motores"/>
    <x v="1"/>
    <n v="1000"/>
    <n v="5003024"/>
    <s v="RODOBRAS TRANSPORTES RODOVIARIOS LT"/>
    <n v="120.96"/>
    <d v="2025-07-08T00:00:00"/>
  </r>
  <r>
    <n v="254018389"/>
    <n v="64788687"/>
    <s v="REB"/>
    <n v="10053334"/>
    <n v="173"/>
    <s v="PEÇAS - Defeito de fabric./Alta Amperage"/>
    <s v="FUNCIONAL"/>
    <x v="1"/>
    <n v="85703"/>
    <x v="164"/>
    <s v="DF"/>
    <n v="350"/>
    <s v="Ats On"/>
    <n v="1350"/>
    <s v="W10446925"/>
    <s v="Placas de Controle"/>
    <x v="1"/>
    <n v="1000"/>
    <n v="5002858"/>
    <s v="FAVORITA TRANSPORTES LTDA"/>
    <n v="120.86"/>
    <d v="2025-06-17T00:00:00"/>
  </r>
  <r>
    <n v="254003880"/>
    <n v="64777947"/>
    <s v="REB"/>
    <n v="9157302"/>
    <n v="173"/>
    <s v="PEÇAS - Defeito de fabric./Alta Amperage"/>
    <s v="FUNCIONAL"/>
    <x v="2"/>
    <n v="21295"/>
    <x v="2"/>
    <s v="SP"/>
    <n v="648"/>
    <s v="Ultra"/>
    <n v="1350"/>
    <s v="W10882241"/>
    <s v="Agitadores"/>
    <x v="2"/>
    <n v="2000"/>
    <n v="5004042"/>
    <s v="BRASIL WEB TRANSPORTES E LOGISTICA"/>
    <n v="120.8"/>
    <d v="2025-05-26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616024"/>
    <s v="Prateleiras"/>
    <x v="9"/>
    <n v="4000"/>
    <n v="5004101"/>
    <s v="UNIDOCK'S ASSESSORIA E LOGISTICA DE"/>
    <n v="120.8"/>
    <d v="2025-02-25T00:00:00"/>
  </r>
  <r>
    <n v="254027356"/>
    <n v="64806760"/>
    <s v="ZRDI"/>
    <n v="10100805"/>
    <n v="208"/>
    <s v="DEV-Atraso entrega- LOGISTICA(Transp)"/>
    <s v="TRANSPORTADORA"/>
    <x v="2"/>
    <n v="56197861"/>
    <x v="1063"/>
    <s v="PR"/>
    <n v="474"/>
    <s v="Site Brastemp"/>
    <n v="1352"/>
    <s v="W11109236"/>
    <s v="Bandejas"/>
    <x v="9"/>
    <n v="1000"/>
    <n v="5002359"/>
    <s v="EMPRESA BRASILEIRA DE CORREIOS E"/>
    <n v="120.79"/>
    <d v="2025-07-07T00:00:00"/>
  </r>
  <r>
    <n v="254027356"/>
    <n v="64806760"/>
    <s v="ZRDI"/>
    <n v="10100805"/>
    <n v="208"/>
    <s v="DEV-Atraso entrega- LOGISTICA(Transp)"/>
    <s v="TRANSPORTADORA"/>
    <x v="2"/>
    <n v="56197861"/>
    <x v="1063"/>
    <s v="PR"/>
    <n v="474"/>
    <s v="Site Brastemp"/>
    <n v="1352"/>
    <s v="W11109236"/>
    <s v="Bandejas"/>
    <x v="9"/>
    <n v="1000"/>
    <n v="5002359"/>
    <s v="EMPRESA BRASILEIRA DE CORREIOS E"/>
    <n v="120.79"/>
    <d v="2025-07-07T00:00:00"/>
  </r>
  <r>
    <s v="Sem TR"/>
    <n v="64806503"/>
    <s v="ZRDI"/>
    <n v="10112468"/>
    <s v="D31"/>
    <s v="DEV D2C - Defeito estético manufatura"/>
    <s v="MANUFATURA"/>
    <x v="2"/>
    <n v="56422674"/>
    <x v="1064"/>
    <s v="RJ"/>
    <n v="475"/>
    <s v="Site Consul"/>
    <n v="1352"/>
    <s v="W10200101"/>
    <s v="Prateleiras"/>
    <x v="9"/>
    <n v="1000"/>
    <n v="5002359"/>
    <s v="EMPRESA BRASILEIRA DE CORREIOS E"/>
    <n v="120.78"/>
    <d v="2025-07-14T00:00:00"/>
  </r>
  <r>
    <n v="254033989"/>
    <n v="64812574"/>
    <s v="ZRDI"/>
    <n v="10120260"/>
    <n v="208"/>
    <s v="DEV-Atraso entrega- LOGISTICA(Transp)"/>
    <s v="TRANSPORTADORA"/>
    <x v="2"/>
    <n v="57262122"/>
    <x v="1065"/>
    <s v="RJ"/>
    <n v="475"/>
    <s v="Site Consul"/>
    <n v="1352"/>
    <s v="W10200101"/>
    <s v="Prateleiras"/>
    <x v="9"/>
    <n v="1000"/>
    <n v="5002359"/>
    <s v="EMPRESA BRASILEIRA DE CORREIOS E"/>
    <n v="120.78"/>
    <d v="2025-07-17T00:00:00"/>
  </r>
  <r>
    <s v="Sem TR"/>
    <n v="64806503"/>
    <s v="ZRDI"/>
    <n v="10112468"/>
    <s v="D31"/>
    <s v="DEV D2C - Defeito estético manufatura"/>
    <s v="MANUFATURA"/>
    <x v="2"/>
    <n v="56422674"/>
    <x v="1064"/>
    <s v="RJ"/>
    <n v="475"/>
    <s v="Site Consul"/>
    <n v="1352"/>
    <s v="W10581058"/>
    <s v="Gavetas"/>
    <x v="9"/>
    <n v="1000"/>
    <n v="5002359"/>
    <s v="EMPRESA BRASILEIRA DE CORREIOS E"/>
    <n v="120.77"/>
    <d v="2025-07-14T00:00:00"/>
  </r>
  <r>
    <n v="254033989"/>
    <n v="64812574"/>
    <s v="ZRDI"/>
    <n v="10120260"/>
    <n v="208"/>
    <s v="DEV-Atraso entrega- LOGISTICA(Transp)"/>
    <s v="TRANSPORTADORA"/>
    <x v="2"/>
    <n v="57262122"/>
    <x v="1065"/>
    <s v="RJ"/>
    <n v="475"/>
    <s v="Site Consul"/>
    <n v="1352"/>
    <s v="W10581058"/>
    <s v="Gavetas"/>
    <x v="9"/>
    <n v="1000"/>
    <n v="5002359"/>
    <s v="EMPRESA BRASILEIRA DE CORREIOS E"/>
    <n v="120.77"/>
    <d v="2025-07-17T00:00:00"/>
  </r>
  <r>
    <n v="254033397"/>
    <n v="64802442"/>
    <s v="REB"/>
    <n v="10015525"/>
    <n v="173"/>
    <s v="PEÇAS - Defeito de fabric./Alta Amperage"/>
    <s v="FUNCIONAL"/>
    <x v="1"/>
    <n v="37434"/>
    <x v="95"/>
    <s v="GO"/>
    <n v="931"/>
    <s v="Ats Off"/>
    <n v="1350"/>
    <s v="W11268184"/>
    <s v="Placas de Controle"/>
    <x v="1"/>
    <n v="1000"/>
    <n v="5002858"/>
    <s v="FAVORITA TRANSPORTES LTDA"/>
    <n v="120.69"/>
    <d v="2025-07-01T00:00:00"/>
  </r>
  <r>
    <n v="254024096"/>
    <n v="64803593"/>
    <s v="ZRDI"/>
    <n v="10013183"/>
    <n v="208"/>
    <s v="DEV-Atraso entrega- LOGISTICA(Transp)"/>
    <s v="TRANSPORTADORA"/>
    <x v="2"/>
    <n v="57998772"/>
    <x v="1066"/>
    <s v="BA"/>
    <n v="474"/>
    <s v="Site Brastemp"/>
    <n v="1352"/>
    <s v="W10467328"/>
    <s v="Válvulas de Água"/>
    <x v="5"/>
    <n v="1000"/>
    <n v="5002359"/>
    <s v="EMPRESA BRASILEIRA DE CORREIOS E"/>
    <n v="120.47"/>
    <d v="2025-07-01T00:00:00"/>
  </r>
  <r>
    <n v="254021288"/>
    <n v="64798934"/>
    <s v="ZRDI"/>
    <n v="10093847"/>
    <n v="208"/>
    <s v="DEV-Atraso entrega- LOGISTICA(Transp)"/>
    <s v="TRANSPORTADORA"/>
    <x v="2"/>
    <n v="58098376"/>
    <x v="1067"/>
    <s v="GO"/>
    <n v="475"/>
    <s v="Site Consul"/>
    <n v="1352"/>
    <s v="W11509386"/>
    <s v="Filtros"/>
    <x v="5"/>
    <n v="1000"/>
    <n v="5002359"/>
    <s v="EMPRESA BRASILEIRA DE CORREIOS E"/>
    <n v="120.44"/>
    <d v="2025-06-26T00:00:00"/>
  </r>
  <r>
    <n v="254021288"/>
    <n v="64798934"/>
    <s v="ZRDI"/>
    <n v="10093847"/>
    <n v="208"/>
    <s v="DEV-Atraso entrega- LOGISTICA(Transp)"/>
    <s v="TRANSPORTADORA"/>
    <x v="2"/>
    <n v="58098376"/>
    <x v="1067"/>
    <s v="GO"/>
    <n v="475"/>
    <s v="Site Consul"/>
    <n v="1352"/>
    <s v="W11509386"/>
    <s v="Filtros"/>
    <x v="5"/>
    <n v="1000"/>
    <n v="5002359"/>
    <s v="EMPRESA BRASILEIRA DE CORREIOS E"/>
    <n v="120.44"/>
    <d v="2025-06-26T00:00:00"/>
  </r>
  <r>
    <s v="Sem TR"/>
    <n v="64804482"/>
    <s v="ZRDI"/>
    <n v="10100441"/>
    <s v="D10"/>
    <s v="DEV D2C - Comprou modelo errado"/>
    <s v="COMERCIAL"/>
    <x v="2"/>
    <n v="4721984"/>
    <x v="1068"/>
    <s v="RJ"/>
    <n v="474"/>
    <s v="Site Brastemp"/>
    <n v="1352"/>
    <s v="W11115537"/>
    <s v="Prateleiras"/>
    <x v="9"/>
    <n v="1000"/>
    <n v="5002359"/>
    <s v="EMPRESA BRASILEIRA DE CORREIOS E"/>
    <n v="120.4"/>
    <d v="2025-07-09T00:00:00"/>
  </r>
  <r>
    <s v="Sem TR"/>
    <n v="64808910"/>
    <s v="ZRDI"/>
    <n v="10117310"/>
    <s v="D31"/>
    <s v="DEV D2C - Defeito estético manufatura"/>
    <s v="MANUFATURA"/>
    <x v="2"/>
    <n v="58128793"/>
    <x v="1069"/>
    <s v="RJ"/>
    <n v="474"/>
    <s v="Site Brastemp"/>
    <n v="1352"/>
    <s v="W11115537"/>
    <s v="Prateleiras"/>
    <x v="9"/>
    <n v="1000"/>
    <n v="5002359"/>
    <s v="EMPRESA BRASILEIRA DE CORREIOS E"/>
    <n v="120.4"/>
    <d v="2025-07-14T00:00:00"/>
  </r>
  <r>
    <s v="Sem TR"/>
    <n v="64725713"/>
    <s v="ROB"/>
    <n v="9874440"/>
    <n v="25"/>
    <s v="OC. 80 - EXTRAVIO TOTAL"/>
    <s v="TRANSPORTADORA"/>
    <x v="0"/>
    <n v="41896"/>
    <x v="36"/>
    <s v="MG"/>
    <n v="350"/>
    <s v="Ats On"/>
    <n v="1350"/>
    <s v="W11360276"/>
    <s v="Filtros"/>
    <x v="5"/>
    <n v="5000"/>
    <n v="5004101"/>
    <s v="UNIDOCK'S ASSESSORIA E LOGISTICA DE"/>
    <n v="120.2"/>
    <d v="2025-03-07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754807"/>
    <s v="Agitadores"/>
    <x v="2"/>
    <n v="3000"/>
    <n v="5004101"/>
    <s v="UNIDOCK'S ASSESSORIA E LOGISTICA DE"/>
    <n v="120.11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754807"/>
    <s v="Agitadores"/>
    <x v="2"/>
    <n v="3000"/>
    <n v="5004101"/>
    <s v="UNIDOCK'S ASSESSORIA E LOGISTICA DE"/>
    <n v="120.11"/>
    <d v="2025-06-24T00:00:00"/>
  </r>
  <r>
    <n v="254028927"/>
    <n v="64803971"/>
    <s v="REB"/>
    <n v="10090176"/>
    <n v="173"/>
    <s v="PEÇAS - Defeito de fabric./Alta Amperage"/>
    <s v="FUNCIONAL"/>
    <x v="1"/>
    <n v="67948"/>
    <x v="15"/>
    <s v="SC"/>
    <n v="713"/>
    <s v="Key Account"/>
    <n v="1350"/>
    <s v="W10849470"/>
    <s v="Bombas"/>
    <x v="1"/>
    <n v="4000"/>
    <n v="5003024"/>
    <s v="RODOBRAS TRANSPORTES RODOVIARIOS LT"/>
    <n v="120.1"/>
    <d v="2025-07-02T00:00:00"/>
  </r>
  <r>
    <n v="254032499"/>
    <n v="64811462"/>
    <s v="ZRDI"/>
    <n v="10059292"/>
    <n v="208"/>
    <s v="DEV-Atraso entrega- LOGISTICA(Transp)"/>
    <s v="TRANSPORTADORA"/>
    <x v="2"/>
    <n v="52736606"/>
    <x v="1037"/>
    <s v="SE"/>
    <n v="474"/>
    <s v="Site Brastemp"/>
    <n v="1352"/>
    <s v="W10331995"/>
    <s v="Gavetas"/>
    <x v="9"/>
    <n v="1000"/>
    <n v="5002359"/>
    <s v="EMPRESA BRASILEIRA DE CORREIOS E"/>
    <n v="120.07"/>
    <d v="2025-07-16T00:00:00"/>
  </r>
  <r>
    <s v="Sem TR"/>
    <n v="64626796"/>
    <s v="REB"/>
    <n v="9605833"/>
    <n v="125"/>
    <s v="DEV-Extravio de produto (Transportadora)"/>
    <s v="TRANSPORTADORA"/>
    <x v="0"/>
    <n v="24289"/>
    <x v="17"/>
    <s v="MG"/>
    <n v="643"/>
    <s v="Elite"/>
    <n v="1350"/>
    <s v="W10211808"/>
    <s v="Evaporadores"/>
    <x v="0"/>
    <n v="1000"/>
    <n v="5004101"/>
    <s v="UNIDOCK'S ASSESSORIA E LOGISTICA DE"/>
    <n v="120.03"/>
    <d v="2024-10-14T00:00:00"/>
  </r>
  <r>
    <n v="253995099"/>
    <n v="64772465"/>
    <s v="REB"/>
    <n v="9815832"/>
    <n v="176"/>
    <s v="PEÇAS - Defeito de fabric./Interrompido"/>
    <s v="FUNCIONAL"/>
    <x v="1"/>
    <n v="22211"/>
    <x v="146"/>
    <s v="SC"/>
    <n v="644"/>
    <s v="Plus"/>
    <n v="1350"/>
    <s v="W10446925"/>
    <s v="Placas de Controle"/>
    <x v="1"/>
    <n v="1000"/>
    <n v="5003024"/>
    <s v="RODOBRAS TRANSPORTES RODOVIARIOS LT"/>
    <n v="120"/>
    <d v="2025-05-16T00:00:00"/>
  </r>
  <r>
    <n v="254012478"/>
    <n v="64789135"/>
    <s v="REB"/>
    <n v="10035612"/>
    <n v="173"/>
    <s v="PEÇAS - Defeito de fabric./Alta Amperage"/>
    <s v="FUNCIONAL"/>
    <x v="1"/>
    <n v="21330"/>
    <x v="80"/>
    <s v="PR"/>
    <n v="643"/>
    <s v="Elite"/>
    <n v="1350"/>
    <s v="W11299805"/>
    <s v="Mecanismos"/>
    <x v="2"/>
    <n v="1000"/>
    <n v="5003024"/>
    <s v="RODOBRAS TRANSPORTES RODOVIARIOS LT"/>
    <n v="119.97"/>
    <d v="2025-06-10T00:00:00"/>
  </r>
  <r>
    <n v="254042221"/>
    <n v="64784163"/>
    <s v="REB"/>
    <n v="10035612"/>
    <n v="173"/>
    <s v="PEÇAS - Defeito de fabric./Alta Amperage"/>
    <s v="FUNCIONAL"/>
    <x v="0"/>
    <n v="21330"/>
    <x v="80"/>
    <s v="PR"/>
    <n v="643"/>
    <s v="Elite"/>
    <n v="1350"/>
    <s v="W11299805"/>
    <s v="Mecanismos"/>
    <x v="2"/>
    <n v="1000"/>
    <n v="5003024"/>
    <s v="RODOBRAS TRANSPORTES RODOVIARIOS LT"/>
    <n v="119.97"/>
    <d v="2025-06-23T00:00:00"/>
  </r>
  <r>
    <n v="254033300"/>
    <n v="64797233"/>
    <s v="REB"/>
    <n v="10079860"/>
    <n v="173"/>
    <s v="PEÇAS - Defeito de fabric./Alta Amperage"/>
    <s v="FUNCIONAL"/>
    <x v="0"/>
    <n v="21330"/>
    <x v="80"/>
    <s v="PR"/>
    <n v="643"/>
    <s v="Elite"/>
    <n v="1350"/>
    <s v="W11299805"/>
    <s v="Mecanismos"/>
    <x v="2"/>
    <n v="1000"/>
    <n v="5003024"/>
    <s v="RODOBRAS TRANSPORTES RODOVIARIOS LT"/>
    <n v="119.97"/>
    <d v="2025-07-08T00:00:00"/>
  </r>
  <r>
    <n v="254035336"/>
    <n v="64812485"/>
    <s v="REB"/>
    <n v="10068536"/>
    <n v="176"/>
    <s v="PEÇAS - Defeito de fabric./Interrompido"/>
    <s v="FUNCIONAL"/>
    <x v="1"/>
    <n v="4318"/>
    <x v="89"/>
    <s v="SC"/>
    <n v="931"/>
    <s v="Ats Off"/>
    <n v="1350"/>
    <s v="W11047054"/>
    <s v="Interruptores horário"/>
    <x v="3"/>
    <n v="1000"/>
    <n v="5003024"/>
    <s v="RODOBRAS TRANSPORTES RODOVIARIOS LT"/>
    <n v="119.88"/>
    <d v="2025-07-17T00:00:00"/>
  </r>
  <r>
    <s v="Sem TR"/>
    <n v="64704426"/>
    <s v="REB"/>
    <n v="42520"/>
    <n v="173"/>
    <s v="PEÇAS - Defeito de fabric./Alta Amperage"/>
    <s v="FUNCIONAL"/>
    <x v="2"/>
    <n v="80573"/>
    <x v="186"/>
    <s v="MA"/>
    <n v="643"/>
    <s v="Elite"/>
    <n v="1550"/>
    <s v="W10446925"/>
    <s v="Placas de Controle"/>
    <x v="1"/>
    <n v="1000"/>
    <n v="5004391"/>
    <s v="JEONCEL TRANSPORTES LTDA"/>
    <n v="119.86"/>
    <d v="2025-02-05T00:00:00"/>
  </r>
  <r>
    <n v="253981582"/>
    <n v="64757810"/>
    <s v="REB"/>
    <n v="9963208"/>
    <n v="177"/>
    <s v="PEÇAS - Defeito de fabric./Ruído"/>
    <s v="FUNCIONAL"/>
    <x v="1"/>
    <n v="80432"/>
    <x v="3"/>
    <s v="ES"/>
    <n v="713"/>
    <s v="Key Account"/>
    <n v="1350"/>
    <s v="W10678923"/>
    <s v="Placas de Controle"/>
    <x v="1"/>
    <n v="2000"/>
    <n v="5004042"/>
    <s v="BRASIL WEB TRANSPORTES E LOGISTICA"/>
    <n v="119.8"/>
    <d v="2025-04-25T00:00:00"/>
  </r>
  <r>
    <n v="254007538"/>
    <n v="64779423"/>
    <s v="REB"/>
    <n v="10003120"/>
    <n v="173"/>
    <s v="PEÇAS - Defeito de fabric./Alta Amperage"/>
    <s v="FUNCIONAL"/>
    <x v="2"/>
    <n v="18949"/>
    <x v="264"/>
    <s v="SP"/>
    <n v="933"/>
    <s v="Top"/>
    <n v="1350"/>
    <s v="W11396188"/>
    <s v="Placas de Interface"/>
    <x v="1"/>
    <n v="1000"/>
    <n v="5004042"/>
    <s v="BRASIL WEB TRANSPORTES E LOGISTICA"/>
    <n v="119.74"/>
    <d v="2025-06-02T00:00:00"/>
  </r>
  <r>
    <s v="Sem TR"/>
    <n v="64805805"/>
    <s v="ZRDI"/>
    <n v="10125455"/>
    <s v="D35"/>
    <s v="DEV D2C - Prod difere do comprado"/>
    <s v="COMERCIAL"/>
    <x v="2"/>
    <n v="4419672"/>
    <x v="1070"/>
    <s v="MG"/>
    <n v="474"/>
    <s v="Site Brastemp"/>
    <n v="1352"/>
    <s v="W10630757"/>
    <s v="Resistências"/>
    <x v="1"/>
    <n v="1000"/>
    <n v="5002359"/>
    <s v="EMPRESA BRASILEIRA DE CORREIOS E"/>
    <n v="119.73"/>
    <d v="2025-07-25T00:00:00"/>
  </r>
  <r>
    <s v="Sem TR"/>
    <n v="64805805"/>
    <s v="ZRDI"/>
    <n v="10125455"/>
    <s v="D35"/>
    <s v="DEV D2C - Prod difere do comprado"/>
    <s v="COMERCIAL"/>
    <x v="2"/>
    <n v="4419672"/>
    <x v="1070"/>
    <s v="MG"/>
    <n v="474"/>
    <s v="Site Brastemp"/>
    <n v="1352"/>
    <s v="W10630757"/>
    <s v="Resistências"/>
    <x v="1"/>
    <n v="1000"/>
    <n v="5002359"/>
    <s v="EMPRESA BRASILEIRA DE CORREIOS E"/>
    <n v="119.73"/>
    <d v="2025-07-25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471975"/>
    <s v="Interruptores"/>
    <x v="3"/>
    <n v="3000"/>
    <n v="5004101"/>
    <s v="UNIDOCK'S ASSESSORIA E LOGISTICA DE"/>
    <n v="119.7"/>
    <d v="2025-07-29T00:00:00"/>
  </r>
  <r>
    <s v="Sem TR"/>
    <n v="64813804"/>
    <s v="ZRDI"/>
    <n v="10127917"/>
    <s v="D11"/>
    <s v="DEV D2C - Comprou prod dimensão errada"/>
    <s v="COMERCIAL"/>
    <x v="2"/>
    <n v="58144640"/>
    <x v="1071"/>
    <s v="MG"/>
    <n v="474"/>
    <s v="Site Brastemp"/>
    <n v="1352"/>
    <s v="W11115537"/>
    <s v="Prateleiras"/>
    <x v="9"/>
    <n v="1000"/>
    <n v="5002359"/>
    <s v="EMPRESA BRASILEIRA DE CORREIOS E"/>
    <n v="119.67"/>
    <d v="2025-07-21T00:00:00"/>
  </r>
  <r>
    <s v="Sem TR"/>
    <n v="64813804"/>
    <s v="ZRDI"/>
    <n v="10127917"/>
    <s v="D11"/>
    <s v="DEV D2C - Comprou prod dimensão errada"/>
    <s v="COMERCIAL"/>
    <x v="2"/>
    <n v="58144640"/>
    <x v="1071"/>
    <s v="MG"/>
    <n v="474"/>
    <s v="Site Brastemp"/>
    <n v="1352"/>
    <s v="W11115537"/>
    <s v="Prateleiras"/>
    <x v="9"/>
    <n v="1000"/>
    <n v="5002359"/>
    <s v="EMPRESA BRASILEIRA DE CORREIOS E"/>
    <n v="119.67"/>
    <d v="2025-07-21T00:00:00"/>
  </r>
  <r>
    <n v="254004009"/>
    <n v="64775851"/>
    <s v="REB"/>
    <n v="10000033"/>
    <n v="173"/>
    <s v="PEÇAS - Defeito de fabric./Alta Amperage"/>
    <s v="FUNCIONAL"/>
    <x v="2"/>
    <n v="55093"/>
    <x v="231"/>
    <s v="SP"/>
    <n v="648"/>
    <s v="Ultra"/>
    <n v="1350"/>
    <s v="W11123829"/>
    <s v="Placas de Controle"/>
    <x v="1"/>
    <n v="1000"/>
    <n v="5004042"/>
    <s v="BRASIL WEB TRANSPORTES E LOGISTICA"/>
    <n v="119.66"/>
    <d v="2025-05-26T00:00:00"/>
  </r>
  <r>
    <s v="Sem TR"/>
    <n v="64731030"/>
    <s v="ROB"/>
    <n v="9901095"/>
    <n v="25"/>
    <s v="OC. 80 - EXTRAVIO TOTAL"/>
    <s v="TRANSPORTADORA"/>
    <x v="0"/>
    <n v="578"/>
    <x v="232"/>
    <s v="MG"/>
    <n v="350"/>
    <s v="Ats On"/>
    <n v="1350"/>
    <n v="326000282"/>
    <s v="Resistências"/>
    <x v="1"/>
    <n v="2000"/>
    <n v="5004101"/>
    <s v="UNIDOCK'S ASSESSORIA E LOGISTICA DE"/>
    <n v="119.56"/>
    <d v="2025-03-13T00:00:00"/>
  </r>
  <r>
    <n v="254012611"/>
    <n v="64788759"/>
    <s v="REB"/>
    <n v="10041533"/>
    <n v="90"/>
    <s v="CLIENTE-não solicitou"/>
    <s v="COMERCIAL"/>
    <x v="2"/>
    <n v="72911"/>
    <x v="61"/>
    <s v="SP"/>
    <n v="931"/>
    <s v="Ats Off"/>
    <n v="1350"/>
    <s v="W11538145"/>
    <s v="Portas"/>
    <x v="6"/>
    <n v="1000"/>
    <n v="5004042"/>
    <s v="BRASIL WEB TRANSPORTES E LOGISTICA"/>
    <n v="119.53"/>
    <d v="2025-06-09T00:00:00"/>
  </r>
  <r>
    <n v="254012611"/>
    <n v="64789080"/>
    <s v="REB"/>
    <n v="10046075"/>
    <n v="90"/>
    <s v="CLIENTE-não solicitou"/>
    <s v="COMERCIAL"/>
    <x v="2"/>
    <n v="72911"/>
    <x v="61"/>
    <s v="SP"/>
    <n v="931"/>
    <s v="Ats Off"/>
    <n v="1350"/>
    <s v="W11538145"/>
    <s v="Portas"/>
    <x v="6"/>
    <n v="1000"/>
    <n v="5004042"/>
    <s v="BRASIL WEB TRANSPORTES E LOGISTICA"/>
    <n v="119.53"/>
    <d v="2025-06-10T00:00:00"/>
  </r>
  <r>
    <n v="254024659"/>
    <n v="64804762"/>
    <s v="ZRDI"/>
    <n v="10103102"/>
    <n v="208"/>
    <s v="DEV-Atraso entrega- LOGISTICA(Transp)"/>
    <s v="TRANSPORTADORA"/>
    <x v="2"/>
    <n v="4517609"/>
    <x v="1072"/>
    <s v="DF"/>
    <n v="474"/>
    <s v="Site Brastemp"/>
    <n v="1352"/>
    <s v="W10347201"/>
    <s v="Prateleiras"/>
    <x v="9"/>
    <n v="1000"/>
    <n v="5002359"/>
    <s v="EMPRESA BRASILEIRA DE CORREIOS E"/>
    <n v="119.52"/>
    <d v="2025-07-02T00:00:00"/>
  </r>
  <r>
    <s v="Sem TR"/>
    <n v="64805137"/>
    <s v="ZRDI"/>
    <n v="10115584"/>
    <s v="D31"/>
    <s v="DEV D2C - Defeito estético manufatura"/>
    <s v="MANUFATURA"/>
    <x v="2"/>
    <n v="56672140"/>
    <x v="1073"/>
    <s v="DF"/>
    <n v="474"/>
    <s v="Site Brastemp"/>
    <n v="1352"/>
    <s v="W10347201"/>
    <s v="Prateleiras"/>
    <x v="9"/>
    <n v="1000"/>
    <n v="5002359"/>
    <s v="EMPRESA BRASILEIRA DE CORREIOS E"/>
    <n v="119.52"/>
    <d v="2025-07-15T00:00:00"/>
  </r>
  <r>
    <n v="254027357"/>
    <n v="64806761"/>
    <s v="ZRDI"/>
    <n v="10103316"/>
    <n v="208"/>
    <s v="DEV-Atraso entrega- LOGISTICA(Transp)"/>
    <s v="TRANSPORTADORA"/>
    <x v="2"/>
    <n v="57014948"/>
    <x v="1074"/>
    <s v="DF"/>
    <n v="474"/>
    <s v="Site Brastemp"/>
    <n v="1352"/>
    <s v="W10347201"/>
    <s v="Prateleiras"/>
    <x v="9"/>
    <n v="1000"/>
    <n v="5002359"/>
    <s v="EMPRESA BRASILEIRA DE CORREIOS E"/>
    <n v="119.52"/>
    <d v="2025-07-07T00:00:00"/>
  </r>
  <r>
    <s v="Sem TR"/>
    <n v="64805137"/>
    <s v="ZRDI"/>
    <n v="10115584"/>
    <s v="D31"/>
    <s v="DEV D2C - Defeito estético manufatura"/>
    <s v="MANUFATURA"/>
    <x v="2"/>
    <n v="56672140"/>
    <x v="1073"/>
    <s v="DF"/>
    <n v="474"/>
    <s v="Site Brastemp"/>
    <n v="1352"/>
    <s v="W10347201"/>
    <s v="Prateleiras"/>
    <x v="9"/>
    <n v="1000"/>
    <n v="5002359"/>
    <s v="EMPRESA BRASILEIRA DE CORREIOS E"/>
    <n v="119.52"/>
    <d v="2025-07-15T00:00:00"/>
  </r>
  <r>
    <n v="253931165"/>
    <n v="64703756"/>
    <s v="REB"/>
    <n v="9780572"/>
    <n v="176"/>
    <s v="PEÇAS - Defeito de fabric./Interrompido"/>
    <s v="FUNCIONAL"/>
    <x v="1"/>
    <n v="76848"/>
    <x v="240"/>
    <s v="GO"/>
    <n v="643"/>
    <s v="Elite"/>
    <n v="1350"/>
    <s v="W11268184"/>
    <s v="Placas de Controle"/>
    <x v="1"/>
    <n v="1000"/>
    <n v="5002858"/>
    <s v="FAVORITA TRANSPORTES LTDA"/>
    <n v="119.45"/>
    <d v="2025-01-31T00:00:00"/>
  </r>
  <r>
    <n v="254003909"/>
    <n v="64778212"/>
    <s v="REB"/>
    <n v="10006682"/>
    <n v="173"/>
    <s v="PEÇAS - Defeito de fabric./Alta Amperage"/>
    <s v="FUNCIONAL"/>
    <x v="2"/>
    <n v="27825"/>
    <x v="116"/>
    <s v="SP"/>
    <n v="641"/>
    <s v="CDP Diamante"/>
    <n v="1350"/>
    <s v="W11300675"/>
    <s v="Mecanismos"/>
    <x v="2"/>
    <n v="1000"/>
    <n v="5004042"/>
    <s v="BRASIL WEB TRANSPORTES E LOGISTICA"/>
    <n v="119.44"/>
    <d v="2025-05-26T00:00:00"/>
  </r>
  <r>
    <n v="254033342"/>
    <n v="64805747"/>
    <s v="REB"/>
    <n v="10088895"/>
    <n v="167"/>
    <s v="PEÇAS - Avaria - Quebrada/Depósito"/>
    <s v="LOGÍSTICA"/>
    <x v="1"/>
    <n v="28403"/>
    <x v="723"/>
    <s v="RJ"/>
    <n v="934"/>
    <s v="CDP Ouro"/>
    <n v="1350"/>
    <s v="W11298039"/>
    <s v="Gavetas"/>
    <x v="9"/>
    <n v="1000"/>
    <n v="5003176"/>
    <s v="J C THEDIN TRANSPORTES LTDA"/>
    <n v="119.43"/>
    <d v="2025-07-08T00:00:00"/>
  </r>
  <r>
    <s v="Sem TR"/>
    <n v="64807372"/>
    <s v="ZRDI"/>
    <n v="10134535"/>
    <s v="D10"/>
    <s v="DEV D2C - Comprou modelo errado"/>
    <s v="COMERCIAL"/>
    <x v="2"/>
    <n v="51989280"/>
    <x v="1075"/>
    <s v="SP"/>
    <n v="466"/>
    <s v="Sup ML Marketplace"/>
    <n v="1352"/>
    <s v="W10200101"/>
    <s v="Prateleiras"/>
    <x v="9"/>
    <n v="1000"/>
    <n v="5002359"/>
    <s v="EMPRESA BRASILEIRA DE CORREIOS E"/>
    <n v="119.34"/>
    <d v="2025-07-17T00:00:00"/>
  </r>
  <r>
    <s v="Sem TR"/>
    <n v="64807372"/>
    <s v="ZRDI"/>
    <n v="10134535"/>
    <s v="D10"/>
    <s v="DEV D2C - Comprou modelo errado"/>
    <s v="COMERCIAL"/>
    <x v="2"/>
    <n v="51989280"/>
    <x v="1075"/>
    <s v="SP"/>
    <n v="466"/>
    <s v="Sup ML Marketplace"/>
    <n v="1352"/>
    <s v="W10581058"/>
    <s v="Gavetas"/>
    <x v="9"/>
    <n v="1000"/>
    <n v="5002359"/>
    <s v="EMPRESA BRASILEIRA DE CORREIOS E"/>
    <n v="119.34"/>
    <d v="2025-07-17T00:00:00"/>
  </r>
  <r>
    <s v="Sem TR"/>
    <n v="64807372"/>
    <s v="ZRDI"/>
    <n v="10134535"/>
    <s v="D10"/>
    <s v="DEV D2C - Comprou modelo errado"/>
    <s v="COMERCIAL"/>
    <x v="2"/>
    <n v="51989280"/>
    <x v="1075"/>
    <s v="SP"/>
    <n v="466"/>
    <s v="Sup ML Marketplace"/>
    <n v="1352"/>
    <s v="W10200101"/>
    <s v="Prateleiras"/>
    <x v="9"/>
    <n v="1000"/>
    <n v="5002359"/>
    <s v="EMPRESA BRASILEIRA DE CORREIOS E"/>
    <n v="119.34"/>
    <d v="2025-07-17T00:00:00"/>
  </r>
  <r>
    <s v="Sem TR"/>
    <n v="64807372"/>
    <s v="ZRDI"/>
    <n v="10134535"/>
    <s v="D10"/>
    <s v="DEV D2C - Comprou modelo errado"/>
    <s v="COMERCIAL"/>
    <x v="2"/>
    <n v="51989280"/>
    <x v="1075"/>
    <s v="SP"/>
    <n v="466"/>
    <s v="Sup ML Marketplace"/>
    <n v="1352"/>
    <s v="W10581058"/>
    <s v="Gavetas"/>
    <x v="9"/>
    <n v="1000"/>
    <n v="5002359"/>
    <s v="EMPRESA BRASILEIRA DE CORREIOS E"/>
    <n v="119.34"/>
    <d v="2025-07-17T00:00:00"/>
  </r>
  <r>
    <n v="254033316"/>
    <n v="64806357"/>
    <s v="REB"/>
    <n v="10049640"/>
    <n v="173"/>
    <s v="PEÇAS - Defeito de fabric./Alta Amperage"/>
    <s v="FUNCIONAL"/>
    <x v="0"/>
    <n v="22985"/>
    <x v="247"/>
    <s v="SC"/>
    <n v="641"/>
    <s v="CDP Diamante"/>
    <n v="1350"/>
    <s v="W11047054"/>
    <s v="Interruptores horário"/>
    <x v="3"/>
    <n v="1000"/>
    <n v="5003024"/>
    <s v="RODOBRAS TRANSPORTES RODOVIARIOS LT"/>
    <n v="119.34"/>
    <d v="2025-07-08T00:00:00"/>
  </r>
  <r>
    <n v="253988817"/>
    <n v="64763870"/>
    <s v="REB"/>
    <n v="9396865"/>
    <n v="176"/>
    <s v="PEÇAS - Defeito de fabric./Interrompido"/>
    <s v="FUNCIONAL"/>
    <x v="1"/>
    <n v="14474"/>
    <x v="25"/>
    <s v="RN"/>
    <n v="648"/>
    <s v="Ultra"/>
    <n v="1350"/>
    <s v="W11299805"/>
    <s v="Mecanismos"/>
    <x v="2"/>
    <n v="1000"/>
    <n v="5004101"/>
    <s v="UNIDOCK'S ASSESSORIA E LOGISTICA DE"/>
    <n v="119.22"/>
    <d v="2025-05-05T00:00:00"/>
  </r>
  <r>
    <n v="253988833"/>
    <n v="64763919"/>
    <s v="REB"/>
    <n v="10003143"/>
    <n v="173"/>
    <s v="PEÇAS - Defeito de fabric./Alta Amperage"/>
    <s v="FUNCIONAL"/>
    <x v="1"/>
    <n v="21594"/>
    <x v="97"/>
    <s v="SP"/>
    <n v="931"/>
    <s v="Ats Off"/>
    <n v="1350"/>
    <s v="W11183615"/>
    <s v="Cestos"/>
    <x v="9"/>
    <n v="1000"/>
    <n v="5004042"/>
    <s v="BRASIL WEB TRANSPORTES E LOGISTICA"/>
    <n v="119.2"/>
    <d v="2025-05-05T00:00:00"/>
  </r>
  <r>
    <n v="253989797"/>
    <n v="64766019"/>
    <s v="REB"/>
    <n v="9917582"/>
    <n v="173"/>
    <s v="PEÇAS - Defeito de fabric./Alta Amperage"/>
    <s v="FUNCIONAL"/>
    <x v="1"/>
    <n v="13757"/>
    <x v="14"/>
    <s v="SP"/>
    <n v="713"/>
    <s v="Key Account"/>
    <n v="1350"/>
    <s v="W11300675"/>
    <s v="Mecanismos"/>
    <x v="2"/>
    <n v="1000"/>
    <n v="5004042"/>
    <s v="BRASIL WEB TRANSPORTES E LOGISTICA"/>
    <n v="119.15"/>
    <d v="2025-05-07T00:00:00"/>
  </r>
  <r>
    <n v="253970690"/>
    <n v="64748264"/>
    <s v="REB"/>
    <n v="9938300"/>
    <n v="176"/>
    <s v="PEÇAS - Defeito de fabric./Interrompido"/>
    <s v="FUNCIONAL"/>
    <x v="2"/>
    <n v="3506"/>
    <x v="46"/>
    <s v="SP"/>
    <n v="931"/>
    <s v="Ats Off"/>
    <n v="1350"/>
    <s v="W10920579"/>
    <s v="Suportes"/>
    <x v="6"/>
    <n v="1000"/>
    <n v="5004042"/>
    <s v="BRASIL WEB TRANSPORTES E LOGISTICA"/>
    <n v="118.99"/>
    <d v="2025-04-09T00:00:00"/>
  </r>
  <r>
    <s v="Sem TR"/>
    <n v="64805143"/>
    <s v="ZRDI"/>
    <n v="10100967"/>
    <s v="D10"/>
    <s v="DEV D2C - Comprou modelo errado"/>
    <s v="COMERCIAL"/>
    <x v="2"/>
    <n v="58108144"/>
    <x v="1076"/>
    <s v="SP"/>
    <n v="475"/>
    <s v="Site Consul"/>
    <n v="1352"/>
    <s v="W10678923"/>
    <s v="Placas de Controle"/>
    <x v="1"/>
    <n v="1000"/>
    <n v="5002359"/>
    <s v="EMPRESA BRASILEIRA DE CORREIOS E"/>
    <n v="118.88"/>
    <d v="2025-07-04T00:00:00"/>
  </r>
  <r>
    <n v="253967863"/>
    <n v="64746106"/>
    <s v="REB"/>
    <n v="9944034"/>
    <n v="104"/>
    <s v="PEÇAS-Código trocado(embalag X conteúdo)"/>
    <s v="LOGÍSTICA"/>
    <x v="1"/>
    <n v="54465"/>
    <x v="207"/>
    <s v="SP"/>
    <n v="644"/>
    <s v="Plus"/>
    <n v="1350"/>
    <s v="W11300675"/>
    <s v="Mecanismos"/>
    <x v="2"/>
    <n v="1000"/>
    <n v="5004042"/>
    <s v="BRASIL WEB TRANSPORTES E LOGISTICA"/>
    <n v="118.82"/>
    <d v="2025-04-04T00:00:00"/>
  </r>
  <r>
    <n v="253948562"/>
    <n v="64726730"/>
    <s v="REB"/>
    <n v="9792871"/>
    <n v="173"/>
    <s v="PEÇAS - Defeito de fabric./Alta Amperage"/>
    <s v="FUNCIONAL"/>
    <x v="1"/>
    <n v="64522"/>
    <x v="158"/>
    <s v="SP"/>
    <n v="643"/>
    <s v="Elite"/>
    <n v="1350"/>
    <s v="W11300816"/>
    <s v="Mecanismos"/>
    <x v="2"/>
    <n v="1000"/>
    <n v="5004042"/>
    <s v="BRASIL WEB TRANSPORTES E LOGISTICA"/>
    <n v="118.82"/>
    <d v="2025-03-07T00:00:00"/>
  </r>
  <r>
    <n v="254032540"/>
    <n v="64811494"/>
    <s v="ZRDI"/>
    <n v="10100814"/>
    <n v="208"/>
    <s v="DEV-Atraso entrega- LOGISTICA(Transp)"/>
    <s v="TRANSPORTADORA"/>
    <x v="2"/>
    <n v="58110853"/>
    <x v="1077"/>
    <s v="DF"/>
    <n v="474"/>
    <s v="Site Brastemp"/>
    <n v="1352"/>
    <s v="W11115537"/>
    <s v="Prateleiras"/>
    <x v="9"/>
    <n v="1000"/>
    <n v="5002359"/>
    <s v="EMPRESA BRASILEIRA DE CORREIOS E"/>
    <n v="118.76"/>
    <d v="2025-07-16T00:00:00"/>
  </r>
  <r>
    <n v="254038387"/>
    <n v="64814783"/>
    <s v="REB"/>
    <n v="10090173"/>
    <n v="173"/>
    <s v="PEÇAS - Defeito de fabric./Alta Amperage"/>
    <s v="FUNCIONAL"/>
    <x v="1"/>
    <n v="67948"/>
    <x v="15"/>
    <s v="SC"/>
    <n v="713"/>
    <s v="Key Account"/>
    <n v="1350"/>
    <s v="W11299805"/>
    <s v="Mecanismos"/>
    <x v="2"/>
    <n v="1000"/>
    <n v="5003024"/>
    <s v="RODOBRAS TRANSPORTES RODOVIARIOS LT"/>
    <n v="118.75"/>
    <d v="2025-07-22T00:00:00"/>
  </r>
  <r>
    <n v="254026127"/>
    <n v="64805679"/>
    <s v="ZRDI"/>
    <n v="10084606"/>
    <n v="208"/>
    <s v="DEV-Atraso entrega- LOGISTICA(Transp)"/>
    <s v="TRANSPORTADORA"/>
    <x v="2"/>
    <n v="56080857"/>
    <x v="1078"/>
    <s v="RS"/>
    <n v="475"/>
    <s v="Site Consul"/>
    <n v="1352"/>
    <s v="W11601003"/>
    <s v="Filtros"/>
    <x v="5"/>
    <n v="1000"/>
    <n v="5002359"/>
    <s v="EMPRESA BRASILEIRA DE CORREIOS E"/>
    <n v="118.66"/>
    <d v="2025-07-04T00:00:00"/>
  </r>
  <r>
    <n v="254026373"/>
    <n v="64805844"/>
    <s v="ZRDI"/>
    <n v="10094037"/>
    <n v="208"/>
    <s v="DEV-Atraso entrega- LOGISTICA(Transp)"/>
    <s v="TRANSPORTADORA"/>
    <x v="2"/>
    <n v="58095551"/>
    <x v="1079"/>
    <s v="RS"/>
    <n v="466"/>
    <s v="Sup ML Marketplace"/>
    <n v="1352"/>
    <s v="W11375498"/>
    <s v="Prateleiras"/>
    <x v="9"/>
    <n v="3000"/>
    <n v="5002359"/>
    <s v="EMPRESA BRASILEIRA DE CORREIOS E"/>
    <n v="118.41"/>
    <d v="2025-07-04T00:00:00"/>
  </r>
  <r>
    <n v="254003947"/>
    <n v="64778355"/>
    <s v="REB"/>
    <n v="9851321"/>
    <n v="173"/>
    <s v="PEÇAS - Defeito de fabric./Alta Amperage"/>
    <s v="FUNCIONAL"/>
    <x v="2"/>
    <n v="30990"/>
    <x v="26"/>
    <s v="ES"/>
    <n v="713"/>
    <s v="Key Account"/>
    <n v="1350"/>
    <s v="W10678923"/>
    <s v="Placas de Controle"/>
    <x v="1"/>
    <n v="2000"/>
    <n v="5004042"/>
    <s v="BRASIL WEB TRANSPORTES E LOGISTICA"/>
    <n v="118.33"/>
    <d v="2025-05-26T00:00:00"/>
  </r>
  <r>
    <s v="Sem TR"/>
    <n v="64809847"/>
    <s v="ZRDI"/>
    <n v="10123468"/>
    <s v="D10"/>
    <s v="DEV D2C - Comprou modelo errado"/>
    <s v="COMERCIAL"/>
    <x v="2"/>
    <n v="58089972"/>
    <x v="1080"/>
    <s v="GO"/>
    <n v="474"/>
    <s v="Site Brastemp"/>
    <n v="1352"/>
    <s v="W11115537"/>
    <s v="Prateleiras"/>
    <x v="9"/>
    <n v="1000"/>
    <n v="5002359"/>
    <s v="EMPRESA BRASILEIRA DE CORREIOS E"/>
    <n v="118.33"/>
    <d v="2025-07-18T00:00:00"/>
  </r>
  <r>
    <n v="254033999"/>
    <n v="64812593"/>
    <s v="ZRDI"/>
    <n v="10123621"/>
    <n v="208"/>
    <s v="DEV-Atraso entrega- LOGISTICA(Transp)"/>
    <s v="TRANSPORTADORA"/>
    <x v="2"/>
    <n v="58137290"/>
    <x v="1081"/>
    <s v="GO"/>
    <n v="474"/>
    <s v="Site Brastemp"/>
    <n v="1352"/>
    <s v="W11115537"/>
    <s v="Prateleiras"/>
    <x v="9"/>
    <n v="1000"/>
    <n v="5002359"/>
    <s v="EMPRESA BRASILEIRA DE CORREIOS E"/>
    <n v="118.33"/>
    <d v="2025-07-17T00:00:00"/>
  </r>
  <r>
    <s v="Sem TR"/>
    <n v="64809847"/>
    <s v="ZRDI"/>
    <n v="10123468"/>
    <s v="D10"/>
    <s v="DEV D2C - Comprou modelo errado"/>
    <s v="COMERCIAL"/>
    <x v="2"/>
    <n v="58089972"/>
    <x v="1080"/>
    <s v="GO"/>
    <n v="474"/>
    <s v="Site Brastemp"/>
    <n v="1352"/>
    <s v="W11115537"/>
    <s v="Prateleiras"/>
    <x v="9"/>
    <n v="1000"/>
    <n v="5002359"/>
    <s v="EMPRESA BRASILEIRA DE CORREIOS E"/>
    <n v="118.33"/>
    <d v="2025-07-18T00:00:00"/>
  </r>
  <r>
    <n v="254033999"/>
    <n v="64812593"/>
    <s v="ZRDI"/>
    <n v="10123621"/>
    <n v="208"/>
    <s v="DEV-Atraso entrega- LOGISTICA(Transp)"/>
    <s v="TRANSPORTADORA"/>
    <x v="2"/>
    <n v="58137290"/>
    <x v="1081"/>
    <s v="GO"/>
    <n v="474"/>
    <s v="Site Brastemp"/>
    <n v="1352"/>
    <s v="W11115537"/>
    <s v="Prateleiras"/>
    <x v="9"/>
    <n v="1000"/>
    <n v="5002359"/>
    <s v="EMPRESA BRASILEIRA DE CORREIOS E"/>
    <n v="118.33"/>
    <d v="2025-07-17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721910"/>
    <s v="Pressostatos"/>
    <x v="3"/>
    <n v="5000"/>
    <n v="5004101"/>
    <s v="UNIDOCK'S ASSESSORIA E LOGISTICA DE"/>
    <n v="118.31"/>
    <d v="2025-06-24T00:00:00"/>
  </r>
  <r>
    <n v="254020421"/>
    <n v="64798120"/>
    <s v="ZRDI"/>
    <n v="10025926"/>
    <n v="208"/>
    <s v="DEV-Atraso entrega- LOGISTICA(Transp)"/>
    <s v="TRANSPORTADORA"/>
    <x v="2"/>
    <n v="57049652"/>
    <x v="1082"/>
    <s v="GO"/>
    <n v="475"/>
    <s v="Site Consul"/>
    <n v="1352"/>
    <s v="W11601003"/>
    <s v="Filtros"/>
    <x v="5"/>
    <n v="1000"/>
    <n v="5002359"/>
    <s v="EMPRESA BRASILEIRA DE CORREIOS E"/>
    <n v="118.17"/>
    <d v="2025-06-25T00:00:00"/>
  </r>
  <r>
    <n v="254027696"/>
    <n v="64807249"/>
    <s v="ZRDI"/>
    <n v="10093631"/>
    <n v="208"/>
    <s v="DEV-Atraso entrega- LOGISTICA(Transp)"/>
    <s v="TRANSPORTADORA"/>
    <x v="2"/>
    <n v="57913464"/>
    <x v="1083"/>
    <s v="RJ"/>
    <n v="475"/>
    <s v="Site Consul"/>
    <n v="1352"/>
    <s v="W11509386"/>
    <s v="Filtros"/>
    <x v="5"/>
    <n v="1000"/>
    <n v="5002359"/>
    <s v="EMPRESA BRASILEIRA DE CORREIOS E"/>
    <n v="117.87"/>
    <d v="2025-07-08T00:00:00"/>
  </r>
  <r>
    <n v="254032584"/>
    <n v="64811530"/>
    <s v="ZRDI"/>
    <n v="10117794"/>
    <n v="208"/>
    <s v="DEV-Atraso entrega- LOGISTICA(Transp)"/>
    <s v="TRANSPORTADORA"/>
    <x v="2"/>
    <n v="58129727"/>
    <x v="1084"/>
    <s v="RJ"/>
    <n v="475"/>
    <s v="Site Consul"/>
    <n v="1352"/>
    <s v="W11509386"/>
    <s v="Filtros"/>
    <x v="5"/>
    <n v="1000"/>
    <n v="5002359"/>
    <s v="EMPRESA BRASILEIRA DE CORREIOS E"/>
    <n v="117.87"/>
    <d v="2025-07-16T00:00:00"/>
  </r>
  <r>
    <n v="254032584"/>
    <n v="64811530"/>
    <s v="ZRDI"/>
    <n v="10117794"/>
    <n v="208"/>
    <s v="DEV-Atraso entrega- LOGISTICA(Transp)"/>
    <s v="TRANSPORTADORA"/>
    <x v="2"/>
    <n v="58129727"/>
    <x v="1084"/>
    <s v="RJ"/>
    <n v="475"/>
    <s v="Site Consul"/>
    <n v="1352"/>
    <s v="W11509386"/>
    <s v="Filtros"/>
    <x v="5"/>
    <n v="1000"/>
    <n v="5002359"/>
    <s v="EMPRESA BRASILEIRA DE CORREIOS E"/>
    <n v="117.87"/>
    <d v="2025-07-16T00:00:00"/>
  </r>
  <r>
    <n v="254042042"/>
    <n v="64796896"/>
    <s v="REB"/>
    <n v="10001471"/>
    <n v="173"/>
    <s v="PEÇAS - Defeito de fabric./Alta Amperage"/>
    <s v="FUNCIONAL"/>
    <x v="0"/>
    <n v="21330"/>
    <x v="80"/>
    <s v="PR"/>
    <n v="643"/>
    <s v="Elite"/>
    <n v="1350"/>
    <s v="W11300816"/>
    <s v="Mecanismos"/>
    <x v="2"/>
    <n v="1000"/>
    <n v="5003024"/>
    <s v="RODOBRAS TRANSPORTES RODOVIARIOS LT"/>
    <n v="117.76"/>
    <d v="2025-06-24T00:00:00"/>
  </r>
  <r>
    <n v="253976550"/>
    <n v="64751113"/>
    <s v="ROB"/>
    <n v="9983981"/>
    <n v="220"/>
    <s v="DEV-Avaria 1 trecho transp - Produto"/>
    <s v="QUALIDADE"/>
    <x v="1"/>
    <n v="77654"/>
    <x v="1085"/>
    <s v="SC"/>
    <n v="698"/>
    <s v="CDP Bronze"/>
    <n v="1350"/>
    <s v="W10576312"/>
    <s v="Parafusos e afins"/>
    <x v="10"/>
    <n v="1000"/>
    <n v="5003024"/>
    <s v="RODOBRAS TRANSPORTES RODOVIARIOS LT"/>
    <n v="117.75"/>
    <d v="2025-04-22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1644103"/>
    <s v="Placas de Interface"/>
    <x v="1"/>
    <n v="1000"/>
    <n v="5004101"/>
    <s v="UNIDOCK'S ASSESSORIA E LOGISTICA DE"/>
    <n v="117.68"/>
    <d v="2025-07-29T00:00:00"/>
  </r>
  <r>
    <s v="Sem TR"/>
    <n v="64800228"/>
    <s v="ZRDI"/>
    <n v="10097676"/>
    <s v="D31"/>
    <s v="DEV D2C - Defeito estético manufatura"/>
    <s v="MANUFATURA"/>
    <x v="2"/>
    <n v="58105764"/>
    <x v="1086"/>
    <s v="MG"/>
    <n v="474"/>
    <s v="Site Brastemp"/>
    <n v="1352"/>
    <s v="W10657521"/>
    <s v="Portas"/>
    <x v="6"/>
    <n v="1000"/>
    <n v="5002359"/>
    <s v="EMPRESA BRASILEIRA DE CORREIOS E"/>
    <n v="117.59"/>
    <d v="2025-07-02T00:00:00"/>
  </r>
  <r>
    <s v="Sem TR"/>
    <n v="64806975"/>
    <s v="ZRDI"/>
    <n v="10085303"/>
    <s v="D20"/>
    <s v="DEV D2C - Demora na entrega"/>
    <s v="COMERCIAL"/>
    <x v="2"/>
    <n v="50547683"/>
    <x v="1087"/>
    <s v="SP"/>
    <n v="474"/>
    <s v="Site Brastemp"/>
    <n v="1352"/>
    <s v="W10347201"/>
    <s v="Prateleiras"/>
    <x v="9"/>
    <n v="1000"/>
    <n v="5003972"/>
    <s v="ICARO EXPRESS LOGISTICA LTDA"/>
    <n v="117.54"/>
    <d v="2025-07-08T00:00:00"/>
  </r>
  <r>
    <n v="254029402"/>
    <n v="64809028"/>
    <s v="ZRDI"/>
    <n v="10080698"/>
    <s v="D25"/>
    <s v="DEV D2C - Prob na entrega (Não recebi)"/>
    <s v="TRANSPORTADORA"/>
    <x v="2"/>
    <n v="50388392"/>
    <x v="1088"/>
    <s v="SP"/>
    <n v="474"/>
    <s v="Site Brastemp"/>
    <n v="1352"/>
    <s v="W10347201"/>
    <s v="Prateleiras"/>
    <x v="9"/>
    <n v="1000"/>
    <n v="5003972"/>
    <s v="ICARO EXPRESS LOGISTICA LTDA"/>
    <n v="117.54"/>
    <d v="2025-07-11T00:00:00"/>
  </r>
  <r>
    <s v="Sem TR"/>
    <n v="64810117"/>
    <s v="ZRDI"/>
    <n v="10138879"/>
    <s v="D31"/>
    <s v="DEV D2C - Defeito estético manufatura"/>
    <s v="MANUFATURA"/>
    <x v="2"/>
    <n v="50388392"/>
    <x v="1088"/>
    <s v="SP"/>
    <n v="474"/>
    <s v="Site Brastemp"/>
    <n v="1352"/>
    <s v="W10347201"/>
    <s v="Prateleiras"/>
    <x v="9"/>
    <n v="1000"/>
    <n v="5002359"/>
    <s v="EMPRESA BRASILEIRA DE CORREIOS E"/>
    <n v="117.54"/>
    <d v="2025-07-21T00:00:00"/>
  </r>
  <r>
    <s v="Sem TR"/>
    <n v="64806975"/>
    <s v="ZRDI"/>
    <n v="10085303"/>
    <s v="D20"/>
    <s v="DEV D2C - Demora na entrega"/>
    <s v="COMERCIAL"/>
    <x v="2"/>
    <n v="50547683"/>
    <x v="1087"/>
    <s v="SP"/>
    <n v="474"/>
    <s v="Site Brastemp"/>
    <n v="1352"/>
    <s v="W10347201"/>
    <s v="Prateleiras"/>
    <x v="9"/>
    <n v="1000"/>
    <n v="5003972"/>
    <s v="ICARO EXPRESS LOGISTICA LTDA"/>
    <n v="117.54"/>
    <d v="2025-07-08T00:00:00"/>
  </r>
  <r>
    <s v="Sem TR"/>
    <n v="64810117"/>
    <s v="ZRDI"/>
    <n v="10138879"/>
    <s v="D31"/>
    <s v="DEV D2C - Defeito estético manufatura"/>
    <s v="MANUFATURA"/>
    <x v="2"/>
    <n v="50388392"/>
    <x v="1088"/>
    <s v="SP"/>
    <n v="474"/>
    <s v="Site Brastemp"/>
    <n v="1352"/>
    <s v="W10347201"/>
    <s v="Prateleiras"/>
    <x v="9"/>
    <n v="1000"/>
    <n v="5002359"/>
    <s v="EMPRESA BRASILEIRA DE CORREIOS E"/>
    <n v="117.54"/>
    <d v="2025-07-21T00:00:00"/>
  </r>
  <r>
    <s v="Sem TR"/>
    <n v="64815710"/>
    <s v="ZRDI"/>
    <n v="10116103"/>
    <s v="D18"/>
    <s v="DEV D2C - Arrependimento não quero mais"/>
    <s v="COMERCIAL"/>
    <x v="2"/>
    <n v="54530108"/>
    <x v="1089"/>
    <s v="RS"/>
    <n v="474"/>
    <s v="Site Brastemp"/>
    <n v="1352"/>
    <s v="W10509296"/>
    <s v="Puxadores"/>
    <x v="6"/>
    <n v="1000"/>
    <n v="5002359"/>
    <s v="EMPRESA BRASILEIRA DE CORREIOS E"/>
    <n v="117.4"/>
    <d v="2025-07-25T00:00:00"/>
  </r>
  <r>
    <s v="Sem TR"/>
    <n v="64815710"/>
    <s v="ZRDI"/>
    <n v="10116103"/>
    <s v="D18"/>
    <s v="DEV D2C - Arrependimento não quero mais"/>
    <s v="COMERCIAL"/>
    <x v="2"/>
    <n v="54530108"/>
    <x v="1089"/>
    <s v="RS"/>
    <n v="474"/>
    <s v="Site Brastemp"/>
    <n v="1352"/>
    <s v="W10509296"/>
    <s v="Puxadores"/>
    <x v="6"/>
    <n v="1000"/>
    <n v="5002359"/>
    <s v="EMPRESA BRASILEIRA DE CORREIOS E"/>
    <n v="117.4"/>
    <d v="2025-07-25T00:00:00"/>
  </r>
  <r>
    <n v="254004039"/>
    <n v="64772943"/>
    <s v="REB"/>
    <n v="9926430"/>
    <n v="173"/>
    <s v="PEÇAS - Defeito de fabric./Alta Amperage"/>
    <s v="FUNCIONAL"/>
    <x v="2"/>
    <n v="67948"/>
    <x v="15"/>
    <s v="SC"/>
    <n v="713"/>
    <s v="Key Account"/>
    <n v="1350"/>
    <s v="W11047054"/>
    <s v="Interruptores horário"/>
    <x v="3"/>
    <n v="1000"/>
    <n v="5003024"/>
    <s v="RODOBRAS TRANSPORTES RODOVIARIOS LT"/>
    <n v="117.39"/>
    <d v="2025-05-26T00:00:00"/>
  </r>
  <r>
    <n v="254035325"/>
    <n v="64811803"/>
    <s v="REB"/>
    <n v="10078961"/>
    <n v="176"/>
    <s v="PEÇAS - Defeito de fabric./Interrompido"/>
    <s v="FUNCIONAL"/>
    <x v="0"/>
    <n v="3506"/>
    <x v="46"/>
    <s v="SP"/>
    <n v="931"/>
    <s v="Ats Off"/>
    <n v="1350"/>
    <s v="W11045218"/>
    <s v="Placas de Controle"/>
    <x v="1"/>
    <n v="1000"/>
    <n v="5004042"/>
    <s v="BRASIL WEB TRANSPORTES E LOGISTICA"/>
    <n v="117.36"/>
    <d v="2025-07-17T00:00:00"/>
  </r>
  <r>
    <n v="253952434"/>
    <n v="64718248"/>
    <s v="REB"/>
    <n v="9737786"/>
    <n v="173"/>
    <s v="PEÇAS - Defeito de fabric./Alta Amperage"/>
    <s v="FUNCIONAL"/>
    <x v="1"/>
    <n v="62749"/>
    <x v="482"/>
    <s v="CE"/>
    <n v="933"/>
    <s v="Top"/>
    <n v="1350"/>
    <s v="W11435392"/>
    <s v="Placas de Controle"/>
    <x v="1"/>
    <n v="1000"/>
    <n v="5004101"/>
    <s v="UNIDOCK'S ASSESSORIA E LOGISTICA DE"/>
    <n v="117.32"/>
    <d v="2025-03-10T00:00:00"/>
  </r>
  <r>
    <n v="254004023"/>
    <n v="64776193"/>
    <s v="REB"/>
    <n v="10042922"/>
    <n v="176"/>
    <s v="PEÇAS - Defeito de fabric./Interrompido"/>
    <s v="FUNCIONAL"/>
    <x v="1"/>
    <n v="61472"/>
    <x v="79"/>
    <s v="MG"/>
    <n v="350"/>
    <s v="Ats On"/>
    <n v="1350"/>
    <s v="W11300676"/>
    <s v="Mecanismos"/>
    <x v="2"/>
    <n v="1000"/>
    <n v="5004215"/>
    <s v="BRASIL WEB TRANSPORTES E LOGISTICA"/>
    <n v="117.31"/>
    <d v="2025-05-26T00:00:00"/>
  </r>
  <r>
    <n v="253870828"/>
    <n v="64573002"/>
    <s v="REB"/>
    <n v="9662096"/>
    <n v="109"/>
    <s v="PEÇAS-Erro de catálogo/BT"/>
    <s v="ENGENHARIA"/>
    <x v="1"/>
    <n v="3677"/>
    <x v="360"/>
    <s v="SP"/>
    <n v="931"/>
    <s v="Ats Off"/>
    <n v="1350"/>
    <n v="326076086"/>
    <s v="Chaves Rotativas"/>
    <x v="3"/>
    <n v="1000"/>
    <n v="5003254"/>
    <s v="TMA TRANSPORTE LOTACAO E LOGISTICA"/>
    <n v="117.24"/>
    <d v="2024-11-05T00:00:00"/>
  </r>
  <r>
    <n v="253989793"/>
    <n v="64765996"/>
    <s v="REB"/>
    <n v="9884528"/>
    <n v="176"/>
    <s v="PEÇAS - Defeito de fabric./Interrompido"/>
    <s v="FUNCIONAL"/>
    <x v="2"/>
    <n v="3506"/>
    <x v="46"/>
    <s v="SP"/>
    <n v="931"/>
    <s v="Ats Off"/>
    <n v="1350"/>
    <s v="W11045218"/>
    <s v="Placas de Controle"/>
    <x v="1"/>
    <n v="1000"/>
    <n v="5004042"/>
    <s v="BRASIL WEB TRANSPORTES E LOGISTICA"/>
    <n v="117.1"/>
    <d v="2025-05-07T00:00:00"/>
  </r>
  <r>
    <n v="254038270"/>
    <n v="64814874"/>
    <s v="REB"/>
    <n v="10110399"/>
    <n v="176"/>
    <s v="PEÇAS - Defeito de fabric./Interrompido"/>
    <s v="FUNCIONAL"/>
    <x v="1"/>
    <n v="4318"/>
    <x v="89"/>
    <s v="SC"/>
    <n v="931"/>
    <s v="Ats Off"/>
    <n v="1350"/>
    <s v="W11047054"/>
    <s v="Interruptores horário"/>
    <x v="3"/>
    <n v="1000"/>
    <n v="5003024"/>
    <s v="RODOBRAS TRANSPORTES RODOVIARIOS LT"/>
    <n v="116.83"/>
    <d v="2025-07-22T00:00:00"/>
  </r>
  <r>
    <n v="254029249"/>
    <n v="64808763"/>
    <s v="ZRDI"/>
    <n v="10093809"/>
    <n v="208"/>
    <s v="DEV-Atraso entrega- LOGISTICA(Transp)"/>
    <s v="TRANSPORTADORA"/>
    <x v="2"/>
    <n v="58096674"/>
    <x v="1090"/>
    <s v="DF"/>
    <n v="475"/>
    <s v="Site Consul"/>
    <n v="1352"/>
    <s v="W11509386"/>
    <s v="Filtros"/>
    <x v="5"/>
    <n v="1000"/>
    <n v="5002359"/>
    <s v="EMPRESA BRASILEIRA DE CORREIOS E"/>
    <n v="116.78"/>
    <d v="2025-07-10T00:00:00"/>
  </r>
  <r>
    <n v="254030270"/>
    <n v="64796179"/>
    <s v="REB"/>
    <n v="10017734"/>
    <n v="173"/>
    <s v="PEÇAS - Defeito de fabric./Alta Amperage"/>
    <s v="FUNCIONAL"/>
    <x v="1"/>
    <n v="47026"/>
    <x v="16"/>
    <s v="BA"/>
    <n v="643"/>
    <s v="Elite"/>
    <n v="1350"/>
    <s v="W11300816"/>
    <s v="Mecanismos"/>
    <x v="2"/>
    <n v="1000"/>
    <n v="5004101"/>
    <s v="UNIDOCK'S ASSESSORIA E LOGISTICA DE"/>
    <n v="116.77"/>
    <d v="2025-06-23T00:00:00"/>
  </r>
  <r>
    <n v="254035383"/>
    <n v="64812321"/>
    <s v="REB"/>
    <n v="10073902"/>
    <n v="173"/>
    <s v="PEÇAS - Defeito de fabric./Alta Amperage"/>
    <s v="FUNCIONAL"/>
    <x v="0"/>
    <n v="47026"/>
    <x v="16"/>
    <s v="BA"/>
    <n v="643"/>
    <s v="Elite"/>
    <n v="1350"/>
    <s v="W11300816"/>
    <s v="Mecanismos"/>
    <x v="2"/>
    <n v="1000"/>
    <n v="5004101"/>
    <s v="UNIDOCK'S ASSESSORIA E LOGISTICA DE"/>
    <n v="116.77"/>
    <d v="2025-07-17T00:00:00"/>
  </r>
  <r>
    <s v="Sem TR"/>
    <n v="64817554"/>
    <s v="REB"/>
    <n v="9713957"/>
    <n v="173"/>
    <s v="PEÇAS - Defeito de fabric./Alta Amperage"/>
    <s v="FUNCIONAL"/>
    <x v="1"/>
    <n v="67948"/>
    <x v="15"/>
    <s v="SC"/>
    <n v="713"/>
    <s v="Key Account"/>
    <n v="1350"/>
    <s v="W11268186"/>
    <s v="Placas de Controle"/>
    <x v="1"/>
    <n v="1000"/>
    <n v="5003024"/>
    <s v="RODOBRAS TRANSPORTES RODOVIARIOS LT"/>
    <n v="116.75"/>
    <d v="2025-07-25T00:00:00"/>
  </r>
  <r>
    <s v="Sem TR"/>
    <n v="64812957"/>
    <s v="ZRDI"/>
    <n v="10121650"/>
    <s v="D25"/>
    <s v="DEV D2C - Prob na entrega (Não recebi)"/>
    <s v="TRANSPORTADORA"/>
    <x v="2"/>
    <n v="5728656"/>
    <x v="873"/>
    <s v="PR"/>
    <n v="474"/>
    <s v="Site Brastemp"/>
    <n v="1352"/>
    <s v="W10630751"/>
    <s v="Resistências"/>
    <x v="1"/>
    <n v="1000"/>
    <n v="5002359"/>
    <s v="EMPRESA BRASILEIRA DE CORREIOS E"/>
    <n v="116.75"/>
    <d v="2025-07-24T00:00:00"/>
  </r>
  <r>
    <s v="Sem TR"/>
    <n v="64812957"/>
    <s v="ZRDI"/>
    <n v="10121650"/>
    <s v="D25"/>
    <s v="DEV D2C - Prob na entrega (Não recebi)"/>
    <s v="TRANSPORTADORA"/>
    <x v="2"/>
    <n v="5728656"/>
    <x v="873"/>
    <s v="PR"/>
    <n v="474"/>
    <s v="Site Brastemp"/>
    <n v="1352"/>
    <s v="W10630751"/>
    <s v="Resistências"/>
    <x v="1"/>
    <n v="1000"/>
    <n v="5002359"/>
    <s v="EMPRESA BRASILEIRA DE CORREIOS E"/>
    <n v="116.75"/>
    <d v="2025-07-24T00:00:00"/>
  </r>
  <r>
    <n v="254012525"/>
    <n v="64789182"/>
    <s v="REB"/>
    <n v="10015391"/>
    <n v="173"/>
    <s v="PEÇAS - Defeito de fabric./Alta Amperage"/>
    <s v="FUNCIONAL"/>
    <x v="2"/>
    <n v="40998"/>
    <x v="8"/>
    <s v="GO"/>
    <n v="648"/>
    <s v="Ultra"/>
    <n v="1350"/>
    <s v="W11300816"/>
    <s v="Mecanismos"/>
    <x v="2"/>
    <n v="1000"/>
    <n v="5002858"/>
    <s v="FAVORITA TRANSPORTES LTDA"/>
    <n v="116.74"/>
    <d v="2025-06-10T00:00:00"/>
  </r>
  <r>
    <n v="253970722"/>
    <n v="64746802"/>
    <s v="REB"/>
    <n v="9955531"/>
    <n v="173"/>
    <s v="PEÇAS - Defeito de fabric./Alta Amperage"/>
    <s v="FUNCIONAL"/>
    <x v="1"/>
    <n v="4446"/>
    <x v="392"/>
    <s v="PR"/>
    <n v="350"/>
    <s v="Ats On"/>
    <n v="1350"/>
    <s v="W11298039"/>
    <s v="Gavetas"/>
    <x v="9"/>
    <n v="1000"/>
    <n v="5003024"/>
    <s v="RODOBRAS TRANSPORTES RODOVIARIOS LT"/>
    <n v="116.7"/>
    <d v="2025-04-09T00:00:00"/>
  </r>
  <r>
    <n v="254018188"/>
    <n v="64791598"/>
    <s v="REB"/>
    <n v="9707336"/>
    <n v="176"/>
    <s v="PEÇAS - Defeito de fabric./Interrompido"/>
    <s v="FUNCIONAL"/>
    <x v="1"/>
    <n v="4318"/>
    <x v="89"/>
    <s v="SC"/>
    <n v="931"/>
    <s v="Ats Off"/>
    <n v="1350"/>
    <s v="W11047054"/>
    <s v="Interruptores horário"/>
    <x v="3"/>
    <n v="1000"/>
    <n v="5003024"/>
    <s v="RODOBRAS TRANSPORTES RODOVIARIOS LT"/>
    <n v="116.7"/>
    <d v="2025-06-17T00:00:00"/>
  </r>
  <r>
    <s v="Sem TR"/>
    <n v="64785288"/>
    <s v="REB"/>
    <n v="10025111"/>
    <n v="173"/>
    <s v="PEÇAS - Defeito de fabric./Alta Amperage"/>
    <s v="FUNCIONAL"/>
    <x v="1"/>
    <n v="27804"/>
    <x v="466"/>
    <s v="SP"/>
    <n v="641"/>
    <s v="CDP Diamante"/>
    <n v="1350"/>
    <s v="W11299803"/>
    <s v="Mecanismos"/>
    <x v="2"/>
    <n v="1000"/>
    <n v="5004042"/>
    <s v="BRASIL WEB TRANSPORTES E LOGISTICA"/>
    <n v="116.63"/>
    <d v="2025-06-17T00:00:00"/>
  </r>
  <r>
    <s v="Sem TR"/>
    <n v="64793282"/>
    <s v="REB"/>
    <n v="10025111"/>
    <n v="173"/>
    <s v="PEÇAS - Defeito de fabric./Alta Amperage"/>
    <s v="FUNCIONAL"/>
    <x v="1"/>
    <n v="27804"/>
    <x v="466"/>
    <s v="SP"/>
    <n v="641"/>
    <s v="CDP Diamante"/>
    <n v="1350"/>
    <s v="W11299803"/>
    <s v="Mecanismos"/>
    <x v="2"/>
    <n v="1000"/>
    <n v="5004042"/>
    <s v="BRASIL WEB TRANSPORTES E LOGISTICA"/>
    <n v="116.63"/>
    <d v="2025-06-17T00:00:00"/>
  </r>
  <r>
    <s v="Sem TR"/>
    <n v="64793308"/>
    <s v="REB"/>
    <n v="10025111"/>
    <n v="173"/>
    <s v="PEÇAS - Defeito de fabric./Alta Amperage"/>
    <s v="FUNCIONAL"/>
    <x v="1"/>
    <n v="27804"/>
    <x v="466"/>
    <s v="SP"/>
    <n v="641"/>
    <s v="CDP Diamante"/>
    <n v="1350"/>
    <s v="W11299803"/>
    <s v="Mecanismos"/>
    <x v="2"/>
    <n v="1000"/>
    <n v="5004042"/>
    <s v="BRASIL WEB TRANSPORTES E LOGISTICA"/>
    <n v="116.63"/>
    <d v="2025-06-17T00:00:00"/>
  </r>
  <r>
    <n v="254041652"/>
    <n v="64789323"/>
    <s v="REB"/>
    <n v="10082462"/>
    <n v="92"/>
    <s v="PEÇAS-Preço divergente"/>
    <s v="COMERCIAL"/>
    <x v="0"/>
    <n v="35368"/>
    <x v="176"/>
    <s v="ES"/>
    <n v="350"/>
    <s v="Ats On"/>
    <n v="1350"/>
    <n v="326006796"/>
    <s v="Outros"/>
    <x v="7"/>
    <n v="2000"/>
    <n v="5004042"/>
    <s v="BRASIL WEB TRANSPORTES E LOGISTICA"/>
    <n v="116.48"/>
    <d v="2025-06-24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476183"/>
    <s v="Prateleiras"/>
    <x v="9"/>
    <n v="6000"/>
    <n v="5002858"/>
    <s v="FAVORITA TRANSPORTES LTDA"/>
    <n v="116.42"/>
    <d v="2025-07-15T00:00:00"/>
  </r>
  <r>
    <n v="254033358"/>
    <n v="64807318"/>
    <s v="REB"/>
    <n v="9950693"/>
    <n v="173"/>
    <s v="PEÇAS - Defeito de fabric./Alta Amperage"/>
    <s v="FUNCIONAL"/>
    <x v="0"/>
    <n v="28991"/>
    <x v="65"/>
    <s v="MG"/>
    <n v="643"/>
    <s v="Elite"/>
    <n v="1350"/>
    <s v="W11123830"/>
    <s v="Placas de Controle"/>
    <x v="1"/>
    <n v="1000"/>
    <n v="5004215"/>
    <s v="BRASIL WEB TRANSPORTES E LOGISTICA"/>
    <n v="116.39"/>
    <d v="2025-07-08T00:00:00"/>
  </r>
  <r>
    <n v="254021262"/>
    <n v="64798917"/>
    <s v="ZRDI"/>
    <n v="10060895"/>
    <n v="208"/>
    <s v="DEV-Atraso entrega- LOGISTICA(Transp)"/>
    <s v="TRANSPORTADORA"/>
    <x v="2"/>
    <n v="58057040"/>
    <x v="430"/>
    <s v="GO"/>
    <n v="474"/>
    <s v="Site Brastemp"/>
    <n v="1352"/>
    <s v="W11100357"/>
    <s v="Tubos Queima"/>
    <x v="12"/>
    <n v="1000"/>
    <n v="5002359"/>
    <s v="EMPRESA BRASILEIRA DE CORREIOS E"/>
    <n v="116.38"/>
    <d v="2025-06-26T00:00:00"/>
  </r>
  <r>
    <n v="254012597"/>
    <n v="64789319"/>
    <s v="REB"/>
    <n v="10018018"/>
    <n v="173"/>
    <s v="PEÇAS - Defeito de fabric./Alta Amperage"/>
    <s v="FUNCIONAL"/>
    <x v="2"/>
    <n v="67948"/>
    <x v="15"/>
    <s v="SC"/>
    <n v="713"/>
    <s v="Key Account"/>
    <n v="1350"/>
    <s v="W10849470"/>
    <s v="Bombas"/>
    <x v="1"/>
    <n v="4000"/>
    <n v="5003024"/>
    <s v="RODOBRAS TRANSPORTES RODOVIARIOS LT"/>
    <n v="116.3"/>
    <d v="2025-06-10T00:00:00"/>
  </r>
  <r>
    <n v="254024118"/>
    <n v="64803675"/>
    <s v="ZRDI"/>
    <n v="10047122"/>
    <n v="208"/>
    <s v="DEV-Atraso entrega- LOGISTICA(Transp)"/>
    <s v="TRANSPORTADORA"/>
    <x v="2"/>
    <n v="4915742"/>
    <x v="1091"/>
    <s v="SP"/>
    <n v="475"/>
    <s v="Site Consul"/>
    <n v="1352"/>
    <s v="W11509386"/>
    <s v="Filtros"/>
    <x v="5"/>
    <n v="1000"/>
    <n v="5002359"/>
    <s v="EMPRESA BRASILEIRA DE CORREIOS E"/>
    <n v="116.29"/>
    <d v="2025-07-01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0471600"/>
    <s v="Embalagens Papelão"/>
    <x v="11"/>
    <n v="9000"/>
    <n v="5004101"/>
    <s v="UNIDOCK'S ASSESSORIA E LOGISTICA DE"/>
    <n v="116.24"/>
    <d v="2025-01-27T00:00:00"/>
  </r>
  <r>
    <s v="Sem TR"/>
    <n v="64728911"/>
    <s v="REB"/>
    <n v="41980"/>
    <n v="173"/>
    <s v="PEÇAS - Defeito de fabric./Alta Amperage"/>
    <s v="FUNCIONAL"/>
    <x v="2"/>
    <n v="2832"/>
    <x v="195"/>
    <s v="BA"/>
    <n v="350"/>
    <s v="Ats On"/>
    <n v="1550"/>
    <s v="W11300816"/>
    <s v="Mecanismos"/>
    <x v="2"/>
    <n v="1000"/>
    <n v="5004391"/>
    <s v="JEONCEL TRANSPORTES LTDA"/>
    <n v="116.2"/>
    <d v="2025-03-10T00:00:00"/>
  </r>
  <r>
    <n v="254017686"/>
    <n v="64759352"/>
    <s v="REB"/>
    <n v="41980"/>
    <n v="173"/>
    <s v="PEÇAS - Defeito de fabric./Alta Amperage"/>
    <s v="FUNCIONAL"/>
    <x v="2"/>
    <n v="2832"/>
    <x v="195"/>
    <s v="BA"/>
    <n v="350"/>
    <s v="Ats On"/>
    <n v="1550"/>
    <s v="W11300816"/>
    <s v="Mecanismos"/>
    <x v="2"/>
    <n v="1000"/>
    <n v="5004391"/>
    <s v="JEONCEL TRANSPORTES LTDA"/>
    <n v="116.2"/>
    <d v="2025-04-28T00:00:00"/>
  </r>
  <r>
    <n v="254024157"/>
    <n v="64803859"/>
    <s v="ZRDI"/>
    <n v="10099755"/>
    <n v="208"/>
    <s v="DEV-Atraso entrega- LOGISTICA(Transp)"/>
    <s v="TRANSPORTADORA"/>
    <x v="2"/>
    <n v="58108594"/>
    <x v="552"/>
    <s v="MG"/>
    <n v="475"/>
    <s v="Site Consul"/>
    <n v="1352"/>
    <s v="W11601003"/>
    <s v="Filtros"/>
    <x v="5"/>
    <n v="1000"/>
    <n v="5002359"/>
    <s v="EMPRESA BRASILEIRA DE CORREIOS E"/>
    <n v="116.11"/>
    <d v="2025-07-01T00:00:00"/>
  </r>
  <r>
    <n v="254024157"/>
    <n v="64803859"/>
    <s v="ZRDI"/>
    <n v="10099755"/>
    <n v="208"/>
    <s v="DEV-Atraso entrega- LOGISTICA(Transp)"/>
    <s v="TRANSPORTADORA"/>
    <x v="2"/>
    <n v="58108594"/>
    <x v="552"/>
    <s v="MG"/>
    <n v="475"/>
    <s v="Site Consul"/>
    <n v="1352"/>
    <s v="W11601003"/>
    <s v="Filtros"/>
    <x v="5"/>
    <n v="1000"/>
    <n v="5002359"/>
    <s v="EMPRESA BRASILEIRA DE CORREIOS E"/>
    <n v="116.11"/>
    <d v="2025-07-01T00:00:00"/>
  </r>
  <r>
    <n v="254018365"/>
    <n v="64791708"/>
    <s v="REB"/>
    <n v="10079181"/>
    <n v="167"/>
    <s v="PEÇAS - Avaria - Quebrada/Depósito"/>
    <s v="LOGÍSTICA"/>
    <x v="1"/>
    <n v="72205"/>
    <x v="1092"/>
    <s v="SP"/>
    <n v="641"/>
    <s v="CDP Diamante"/>
    <n v="1350"/>
    <s v="W10287534"/>
    <s v="Prateleiras"/>
    <x v="9"/>
    <n v="3000"/>
    <n v="5004042"/>
    <s v="BRASIL WEB TRANSPORTES E LOGISTICA"/>
    <n v="116.1"/>
    <d v="2025-06-16T00:00:00"/>
  </r>
  <r>
    <n v="254033466"/>
    <n v="64807500"/>
    <s v="REB"/>
    <n v="10051510"/>
    <n v="176"/>
    <s v="PEÇAS - Defeito de fabric./Interrompido"/>
    <s v="FUNCIONAL"/>
    <x v="0"/>
    <n v="81365"/>
    <x v="216"/>
    <s v="SP"/>
    <n v="934"/>
    <s v="CDP Ouro"/>
    <n v="1350"/>
    <s v="W11299803"/>
    <s v="Mecanismos"/>
    <x v="2"/>
    <n v="1000"/>
    <n v="5004042"/>
    <s v="BRASIL WEB TRANSPORTES E LOGISTICA"/>
    <n v="116"/>
    <d v="2025-07-08T00:00:00"/>
  </r>
  <r>
    <n v="254030005"/>
    <n v="64809481"/>
    <s v="ZRDI"/>
    <n v="10084622"/>
    <n v="208"/>
    <s v="DEV-Atraso entrega- LOGISTICA(Transp)"/>
    <s v="TRANSPORTADORA"/>
    <x v="2"/>
    <n v="56958900"/>
    <x v="1093"/>
    <s v="MA"/>
    <n v="475"/>
    <s v="Site Consul"/>
    <n v="1352"/>
    <s v="W11601003"/>
    <s v="Filtros"/>
    <x v="5"/>
    <n v="1000"/>
    <n v="5002359"/>
    <s v="EMPRESA BRASILEIRA DE CORREIOS E"/>
    <n v="115.89"/>
    <d v="2025-07-11T00:00:00"/>
  </r>
  <r>
    <n v="254030005"/>
    <n v="64809481"/>
    <s v="ZRDI"/>
    <n v="10084622"/>
    <n v="208"/>
    <s v="DEV-Atraso entrega- LOGISTICA(Transp)"/>
    <s v="TRANSPORTADORA"/>
    <x v="2"/>
    <n v="56958900"/>
    <x v="1093"/>
    <s v="MA"/>
    <n v="475"/>
    <s v="Site Consul"/>
    <n v="1352"/>
    <s v="W11601003"/>
    <s v="Filtros"/>
    <x v="5"/>
    <n v="1000"/>
    <n v="5002359"/>
    <s v="EMPRESA BRASILEIRA DE CORREIOS E"/>
    <n v="115.89"/>
    <d v="2025-07-11T00:00:00"/>
  </r>
  <r>
    <s v="Sem TR"/>
    <n v="64814520"/>
    <s v="REB"/>
    <n v="10118247"/>
    <n v="173"/>
    <s v="PEÇAS - Defeito de fabric./Alta Amperage"/>
    <s v="FUNCIONAL"/>
    <x v="1"/>
    <n v="20602"/>
    <x v="355"/>
    <s v="SP"/>
    <n v="350"/>
    <s v="Ats On"/>
    <n v="1350"/>
    <s v="W11299803"/>
    <s v="Mecanismos"/>
    <x v="2"/>
    <n v="1000"/>
    <n v="5004042"/>
    <s v="BRASIL WEB TRANSPORTES E LOGISTICA"/>
    <n v="115.86"/>
    <d v="2025-07-22T00:00:00"/>
  </r>
  <r>
    <s v="Sem TR"/>
    <n v="64792193"/>
    <s v="ZRDI"/>
    <n v="10109946"/>
    <s v="D18"/>
    <s v="DEV D2C - Arrependimento não quero mais"/>
    <s v="COMERCIAL"/>
    <x v="2"/>
    <n v="51959172"/>
    <x v="1094"/>
    <s v="SP"/>
    <n v="474"/>
    <s v="Site Brastemp"/>
    <n v="1352"/>
    <s v="W11115537"/>
    <s v="Prateleiras"/>
    <x v="9"/>
    <n v="1000"/>
    <n v="5002359"/>
    <s v="EMPRESA BRASILEIRA DE CORREIOS E"/>
    <n v="115.78"/>
    <d v="2025-07-09T00:00:00"/>
  </r>
  <r>
    <s v="Sem TR"/>
    <n v="64798840"/>
    <s v="ZRDI"/>
    <n v="10096242"/>
    <s v="D10"/>
    <s v="DEV D2C - Comprou modelo errado"/>
    <s v="COMERCIAL"/>
    <x v="2"/>
    <n v="51110498"/>
    <x v="1095"/>
    <s v="SP"/>
    <n v="474"/>
    <s v="Site Brastemp"/>
    <n v="1352"/>
    <s v="W11115537"/>
    <s v="Prateleiras"/>
    <x v="9"/>
    <n v="1000"/>
    <n v="5002359"/>
    <s v="EMPRESA BRASILEIRA DE CORREIOS E"/>
    <n v="115.78"/>
    <d v="2025-06-27T00:00:00"/>
  </r>
  <r>
    <s v="Sem TR"/>
    <n v="64806614"/>
    <s v="ZRDI"/>
    <n v="10110856"/>
    <s v="D11"/>
    <s v="DEV D2C - Comprou prod dimensão errada"/>
    <s v="COMERCIAL"/>
    <x v="2"/>
    <n v="55743716"/>
    <x v="1096"/>
    <s v="SP"/>
    <n v="474"/>
    <s v="Site Brastemp"/>
    <n v="1352"/>
    <s v="W11115537"/>
    <s v="Prateleiras"/>
    <x v="9"/>
    <n v="1000"/>
    <n v="5002359"/>
    <s v="EMPRESA BRASILEIRA DE CORREIOS E"/>
    <n v="115.78"/>
    <d v="2025-07-07T00:00:00"/>
  </r>
  <r>
    <s v="Sem TR"/>
    <n v="64808995"/>
    <s v="ZRDI"/>
    <n v="10110928"/>
    <s v="D10"/>
    <s v="DEV D2C - Comprou modelo errado"/>
    <s v="COMERCIAL"/>
    <x v="2"/>
    <n v="58089034"/>
    <x v="1097"/>
    <s v="SP"/>
    <n v="474"/>
    <s v="Site Brastemp"/>
    <n v="1352"/>
    <s v="W11115537"/>
    <s v="Prateleiras"/>
    <x v="9"/>
    <n v="1000"/>
    <n v="5002359"/>
    <s v="EMPRESA BRASILEIRA DE CORREIOS E"/>
    <n v="115.78"/>
    <d v="2025-07-11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791633"/>
    <s v="Retentores"/>
    <x v="4"/>
    <n v="14000"/>
    <n v="5004101"/>
    <s v="UNIDOCK'S ASSESSORIA E LOGISTICA DE"/>
    <n v="115.76"/>
    <d v="2025-07-29T00:00:00"/>
  </r>
  <r>
    <s v="Sem TR"/>
    <n v="64790587"/>
    <s v="ZRDI"/>
    <n v="10105354"/>
    <s v="D10"/>
    <s v="DEV D2C - Comprou modelo errado"/>
    <s v="COMERCIAL"/>
    <x v="2"/>
    <n v="58117099"/>
    <x v="1098"/>
    <s v="SP"/>
    <n v="466"/>
    <s v="Sup ML Marketplace"/>
    <n v="1352"/>
    <s v="W11199342"/>
    <s v="Filtros"/>
    <x v="5"/>
    <n v="1000"/>
    <n v="5002359"/>
    <s v="EMPRESA BRASILEIRA DE CORREIOS E"/>
    <n v="115.76"/>
    <d v="2025-07-11T00:00:00"/>
  </r>
  <r>
    <s v="Sem TR"/>
    <n v="64790587"/>
    <s v="ZRDI"/>
    <n v="10105354"/>
    <s v="D10"/>
    <s v="DEV D2C - Comprou modelo errado"/>
    <s v="COMERCIAL"/>
    <x v="2"/>
    <n v="58117099"/>
    <x v="1098"/>
    <s v="SP"/>
    <n v="466"/>
    <s v="Sup ML Marketplace"/>
    <n v="1352"/>
    <s v="W11199342"/>
    <s v="Filtros"/>
    <x v="5"/>
    <n v="1000"/>
    <n v="5002359"/>
    <s v="EMPRESA BRASILEIRA DE CORREIOS E"/>
    <n v="115.76"/>
    <d v="2025-07-11T00:00:00"/>
  </r>
  <r>
    <n v="253952314"/>
    <n v="64729293"/>
    <s v="REB"/>
    <n v="9762620"/>
    <n v="671"/>
    <s v="DEV-ENVIADO PARA GESTÃO DE CONSEQUENCIA"/>
    <s v="TRANSPORTADORA"/>
    <x v="1"/>
    <n v="38744"/>
    <x v="492"/>
    <s v="SC"/>
    <n v="350"/>
    <s v="Ats On"/>
    <n v="1350"/>
    <s v="W10446925"/>
    <s v="Placas de Controle"/>
    <x v="1"/>
    <n v="1000"/>
    <n v="5003024"/>
    <s v="RODOBRAS TRANSPORTES RODOVIARIOS LT"/>
    <n v="115.57"/>
    <d v="2025-03-10T00:00:00"/>
  </r>
  <r>
    <n v="254012505"/>
    <n v="64789446"/>
    <s v="REB"/>
    <n v="9852024"/>
    <n v="173"/>
    <s v="PEÇAS - Defeito de fabric./Alta Amperage"/>
    <s v="FUNCIONAL"/>
    <x v="1"/>
    <n v="29164"/>
    <x v="32"/>
    <s v="BA"/>
    <n v="648"/>
    <s v="Ultra"/>
    <n v="1350"/>
    <s v="W10446925"/>
    <s v="Placas de Controle"/>
    <x v="1"/>
    <n v="1000"/>
    <n v="5004101"/>
    <s v="UNIDOCK'S ASSESSORIA E LOGISTICA DE"/>
    <n v="115.56"/>
    <d v="2025-06-10T00:00:00"/>
  </r>
  <r>
    <n v="253981452"/>
    <n v="64758040"/>
    <s v="REB"/>
    <n v="9852024"/>
    <n v="173"/>
    <s v="PEÇAS - Defeito de fabric./Alta Amperage"/>
    <s v="FUNCIONAL"/>
    <x v="2"/>
    <n v="29164"/>
    <x v="32"/>
    <s v="BA"/>
    <n v="648"/>
    <s v="Ultra"/>
    <n v="1350"/>
    <s v="W10446925"/>
    <s v="Placas de Controle"/>
    <x v="1"/>
    <n v="1000"/>
    <n v="5004101"/>
    <s v="UNIDOCK'S ASSESSORIA E LOGISTICA DE"/>
    <n v="115.56"/>
    <d v="2025-04-25T00:00:00"/>
  </r>
  <r>
    <n v="253989833"/>
    <n v="64764951"/>
    <s v="REB"/>
    <n v="9998602"/>
    <n v="167"/>
    <s v="PEÇAS - Avaria - Quebrada/Depósito"/>
    <s v="LOGÍSTICA"/>
    <x v="2"/>
    <n v="54465"/>
    <x v="207"/>
    <s v="SP"/>
    <n v="644"/>
    <s v="Plus"/>
    <n v="1350"/>
    <s v="W10287534"/>
    <s v="Prateleiras"/>
    <x v="9"/>
    <n v="3000"/>
    <n v="5004042"/>
    <s v="BRASIL WEB TRANSPORTES E LOGISTICA"/>
    <n v="115.51"/>
    <d v="2025-05-07T00:00:00"/>
  </r>
  <r>
    <n v="254018324"/>
    <n v="64792323"/>
    <s v="REB"/>
    <n v="10066325"/>
    <n v="170"/>
    <s v="PEÇAS - Avaria - Riscada/Depósito"/>
    <s v="LOGÍSTICA"/>
    <x v="2"/>
    <n v="54465"/>
    <x v="207"/>
    <s v="SP"/>
    <n v="644"/>
    <s v="Plus"/>
    <n v="1350"/>
    <s v="W11113394"/>
    <s v="Gavetas"/>
    <x v="9"/>
    <n v="1000"/>
    <n v="5004042"/>
    <s v="BRASIL WEB TRANSPORTES E LOGISTICA"/>
    <n v="115.51"/>
    <d v="2025-06-16T00:00:00"/>
  </r>
  <r>
    <n v="254007611"/>
    <n v="64781980"/>
    <s v="REB"/>
    <n v="9683193"/>
    <n v="173"/>
    <s v="PEÇAS - Defeito de fabric./Alta Amperage"/>
    <s v="FUNCIONAL"/>
    <x v="1"/>
    <n v="73003"/>
    <x v="294"/>
    <s v="SC"/>
    <n v="931"/>
    <s v="Ats Off"/>
    <n v="1350"/>
    <s v="W11254865"/>
    <s v="Mecanismos"/>
    <x v="2"/>
    <n v="1000"/>
    <n v="5003024"/>
    <s v="RODOBRAS TRANSPORTES RODOVIARIOS LT"/>
    <n v="115.32"/>
    <d v="2025-06-02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544741"/>
    <s v="Cordões de Alimentação"/>
    <x v="1"/>
    <n v="2000"/>
    <n v="5002858"/>
    <s v="FAVORITA TRANSPORTES LTDA"/>
    <n v="115.3"/>
    <d v="2025-07-15T00:00:00"/>
  </r>
  <r>
    <n v="253993036"/>
    <n v="64703730"/>
    <s v="REB"/>
    <n v="9836572"/>
    <n v="170"/>
    <s v="PEÇAS - Avaria - Riscada/Depósito"/>
    <s v="LOGÍSTICA"/>
    <x v="2"/>
    <n v="87407"/>
    <x v="208"/>
    <s v="SP"/>
    <n v="933"/>
    <s v="Top"/>
    <n v="1350"/>
    <s v="W11298039"/>
    <s v="Gavetas"/>
    <x v="9"/>
    <n v="1000"/>
    <n v="5004042"/>
    <s v="BRASIL WEB TRANSPORTES E LOGISTICA"/>
    <n v="115.29"/>
    <d v="2025-01-31T00:00:00"/>
  </r>
  <r>
    <n v="253961288"/>
    <n v="64737341"/>
    <s v="REB"/>
    <n v="9934023"/>
    <n v="90"/>
    <s v="CLIENTE-não solicitou"/>
    <s v="COMERCIAL"/>
    <x v="1"/>
    <n v="28549"/>
    <x v="1099"/>
    <s v="RJ"/>
    <n v="933"/>
    <s v="Top"/>
    <n v="1350"/>
    <s v="W11307335"/>
    <s v="Capas"/>
    <x v="6"/>
    <n v="3000"/>
    <n v="5003176"/>
    <s v="J C THEDIN TRANSPORTES LTDA"/>
    <n v="115.21"/>
    <d v="2025-03-24T00:00:00"/>
  </r>
  <r>
    <s v="Sem TR"/>
    <n v="64807115"/>
    <s v="REB"/>
    <n v="10107281"/>
    <n v="167"/>
    <s v="PEÇAS - Avaria - Quebrada/Depósito"/>
    <s v="LOGÍSTICA"/>
    <x v="1"/>
    <n v="3524"/>
    <x v="93"/>
    <s v="SP"/>
    <n v="931"/>
    <s v="Ats Off"/>
    <n v="1350"/>
    <s v="W10581058"/>
    <s v="Gavetas"/>
    <x v="9"/>
    <n v="1000"/>
    <n v="5004042"/>
    <s v="BRASIL WEB TRANSPORTES E LOGISTICA"/>
    <n v="115.13"/>
    <d v="2025-07-08T00:00:00"/>
  </r>
  <r>
    <s v="Sem TR"/>
    <n v="64813674"/>
    <s v="ZRDI"/>
    <n v="10078169"/>
    <s v="D10"/>
    <s v="DEV D2C - Comprou modelo errado"/>
    <s v="COMERCIAL"/>
    <x v="2"/>
    <n v="4888716"/>
    <x v="1100"/>
    <s v="RJ"/>
    <n v="474"/>
    <s v="Site Brastemp"/>
    <n v="1352"/>
    <s v="W10630751"/>
    <s v="Resistências"/>
    <x v="1"/>
    <n v="1000"/>
    <n v="5002359"/>
    <s v="EMPRESA BRASILEIRA DE CORREIOS E"/>
    <n v="115.11"/>
    <d v="2025-07-19T00:00:00"/>
  </r>
  <r>
    <s v="Sem TR"/>
    <n v="64813674"/>
    <s v="ZRDI"/>
    <n v="10078169"/>
    <s v="D10"/>
    <s v="DEV D2C - Comprou modelo errado"/>
    <s v="COMERCIAL"/>
    <x v="2"/>
    <n v="4888716"/>
    <x v="1100"/>
    <s v="RJ"/>
    <n v="474"/>
    <s v="Site Brastemp"/>
    <n v="1352"/>
    <s v="W10630751"/>
    <s v="Resistências"/>
    <x v="1"/>
    <n v="1000"/>
    <n v="5002359"/>
    <s v="EMPRESA BRASILEIRA DE CORREIOS E"/>
    <n v="115.11"/>
    <d v="2025-07-19T00:00:00"/>
  </r>
  <r>
    <s v="Sem TR"/>
    <n v="64786886"/>
    <s v="REB"/>
    <n v="9985172"/>
    <n v="176"/>
    <s v="PEÇAS - Defeito de fabric./Interrompido"/>
    <s v="FUNCIONAL"/>
    <x v="1"/>
    <n v="25656"/>
    <x v="173"/>
    <s v="SP"/>
    <n v="931"/>
    <s v="Ats Off"/>
    <n v="1350"/>
    <s v="W10882241"/>
    <s v="Agitadores"/>
    <x v="2"/>
    <n v="2000"/>
    <n v="5004042"/>
    <s v="BRASIL WEB TRANSPORTES E LOGISTICA"/>
    <n v="114.98"/>
    <d v="2025-06-16T00:00:00"/>
  </r>
  <r>
    <s v="Sem TR"/>
    <n v="64782269"/>
    <s v="REB"/>
    <n v="10045112"/>
    <n v="509"/>
    <s v="Qtd de peças a Menor dentro do Volume"/>
    <s v="LOGÍSTICA"/>
    <x v="1"/>
    <n v="92053"/>
    <x v="17"/>
    <s v="MG"/>
    <n v="643"/>
    <s v="Elite"/>
    <n v="1350"/>
    <s v="W10754676"/>
    <s v="Suportes"/>
    <x v="6"/>
    <n v="3000"/>
    <n v="5002359"/>
    <s v="EMPRESA BRASILEIRA DE CORREIOS E"/>
    <n v="114.93"/>
    <d v="2025-06-02T00:00:00"/>
  </r>
  <r>
    <n v="253879476"/>
    <n v="64642814"/>
    <s v="REB"/>
    <n v="9681463"/>
    <n v="109"/>
    <s v="PEÇAS-Erro de catálogo/BT"/>
    <s v="ENGENHARIA"/>
    <x v="1"/>
    <n v="3677"/>
    <x v="360"/>
    <s v="SP"/>
    <n v="931"/>
    <s v="Ats Off"/>
    <n v="1350"/>
    <s v="W11123831"/>
    <s v="Placas de Controle"/>
    <x v="1"/>
    <n v="1000"/>
    <n v="5003254"/>
    <s v="TMA TRANSPORTE LOTACAO E LOGISTICA"/>
    <n v="114.91"/>
    <d v="2024-11-12T00:00:00"/>
  </r>
  <r>
    <s v="Sem TR"/>
    <n v="64818608"/>
    <s v="ZRDI"/>
    <n v="10147052"/>
    <s v="D18"/>
    <s v="DEV D2C - Arrependimento não quero mais"/>
    <s v="COMERCIAL"/>
    <x v="1"/>
    <n v="5922567"/>
    <x v="1101"/>
    <s v="SC"/>
    <n v="474"/>
    <s v="Site Brastemp"/>
    <n v="1352"/>
    <s v="W11115537"/>
    <s v="Prateleiras"/>
    <x v="9"/>
    <n v="1000"/>
    <n v="5002359"/>
    <s v="EMPRESA BRASILEIRA DE CORREIOS E"/>
    <n v="114.91"/>
    <d v="2025-07-30T00:00:00"/>
  </r>
  <r>
    <n v="254041071"/>
    <n v="64818858"/>
    <s v="ZRDI"/>
    <n v="10141646"/>
    <n v="208"/>
    <s v="DEV-Atraso entrega- LOGISTICA(Transp)"/>
    <s v="TRANSPORTADORA"/>
    <x v="1"/>
    <n v="58161242"/>
    <x v="1102"/>
    <s v="SC"/>
    <n v="474"/>
    <s v="Site Brastemp"/>
    <n v="1352"/>
    <s v="W11115537"/>
    <s v="Prateleiras"/>
    <x v="9"/>
    <n v="1000"/>
    <n v="5002359"/>
    <s v="EMPRESA BRASILEIRA DE CORREIOS E"/>
    <n v="114.91"/>
    <d v="2025-07-28T00:00:00"/>
  </r>
  <r>
    <s v="Sem TR"/>
    <n v="64802951"/>
    <s v="ZRDI"/>
    <n v="10095424"/>
    <s v="D18"/>
    <s v="DEV D2C - Arrependimento não quero mais"/>
    <s v="COMERCIAL"/>
    <x v="2"/>
    <n v="57158310"/>
    <x v="1103"/>
    <s v="AL"/>
    <n v="475"/>
    <s v="Site Consul"/>
    <n v="1352"/>
    <s v="W11199342"/>
    <s v="Filtros"/>
    <x v="5"/>
    <n v="1000"/>
    <n v="5002359"/>
    <s v="EMPRESA BRASILEIRA DE CORREIOS E"/>
    <n v="114.75"/>
    <d v="2025-07-0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292562"/>
    <s v="Capas"/>
    <x v="6"/>
    <n v="5000"/>
    <n v="5004101"/>
    <s v="UNIDOCK'S ASSESSORIA E LOGISTICA DE"/>
    <n v="114.69"/>
    <d v="2025-06-24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539793"/>
    <s v="Capas"/>
    <x v="6"/>
    <n v="5000"/>
    <n v="5004101"/>
    <s v="UNIDOCK'S ASSESSORIA E LOGISTICA DE"/>
    <n v="114.69"/>
    <d v="2025-06-24T00:00:00"/>
  </r>
  <r>
    <s v="Sem TR"/>
    <n v="64812693"/>
    <s v="ZRDI"/>
    <n v="10126724"/>
    <s v="D31"/>
    <s v="DEV D2C - Defeito estético manufatura"/>
    <s v="MANUFATURA"/>
    <x v="2"/>
    <n v="53820215"/>
    <x v="1104"/>
    <s v="SP"/>
    <n v="475"/>
    <s v="Site Consul"/>
    <n v="1352"/>
    <s v="W10200101"/>
    <s v="Prateleiras"/>
    <x v="9"/>
    <n v="1000"/>
    <n v="5002359"/>
    <s v="EMPRESA BRASILEIRA DE CORREIOS E"/>
    <n v="114.61"/>
    <d v="2025-07-21T00:00:00"/>
  </r>
  <r>
    <s v="Sem TR"/>
    <n v="64812693"/>
    <s v="ZRDI"/>
    <n v="10126724"/>
    <s v="D31"/>
    <s v="DEV D2C - Defeito estético manufatura"/>
    <s v="MANUFATURA"/>
    <x v="2"/>
    <n v="53820215"/>
    <x v="1104"/>
    <s v="SP"/>
    <n v="475"/>
    <s v="Site Consul"/>
    <n v="1352"/>
    <s v="W10200101"/>
    <s v="Prateleiras"/>
    <x v="9"/>
    <n v="1000"/>
    <n v="5002359"/>
    <s v="EMPRESA BRASILEIRA DE CORREIOS E"/>
    <n v="114.61"/>
    <d v="2025-07-21T00:00:00"/>
  </r>
  <r>
    <s v="Sem TR"/>
    <n v="64812693"/>
    <s v="ZRDI"/>
    <n v="10126724"/>
    <s v="D31"/>
    <s v="DEV D2C - Defeito estético manufatura"/>
    <s v="MANUFATURA"/>
    <x v="2"/>
    <n v="53820215"/>
    <x v="1104"/>
    <s v="SP"/>
    <n v="475"/>
    <s v="Site Consul"/>
    <n v="1352"/>
    <s v="W10581058"/>
    <s v="Gavetas"/>
    <x v="9"/>
    <n v="1000"/>
    <n v="5002359"/>
    <s v="EMPRESA BRASILEIRA DE CORREIOS E"/>
    <n v="114.6"/>
    <d v="2025-07-21T00:00:00"/>
  </r>
  <r>
    <s v="Sem TR"/>
    <n v="64812693"/>
    <s v="ZRDI"/>
    <n v="10126724"/>
    <s v="D31"/>
    <s v="DEV D2C - Defeito estético manufatura"/>
    <s v="MANUFATURA"/>
    <x v="2"/>
    <n v="53820215"/>
    <x v="1104"/>
    <s v="SP"/>
    <n v="475"/>
    <s v="Site Consul"/>
    <n v="1352"/>
    <s v="W10581058"/>
    <s v="Gavetas"/>
    <x v="9"/>
    <n v="1000"/>
    <n v="5002359"/>
    <s v="EMPRESA BRASILEIRA DE CORREIOS E"/>
    <n v="114.6"/>
    <d v="2025-07-21T00:00:00"/>
  </r>
  <r>
    <s v="Sem TR"/>
    <n v="64716074"/>
    <s v="ROB"/>
    <n v="46905"/>
    <n v="25"/>
    <s v="OC. 80 - EXTRAVIO TOTAL"/>
    <s v="TRANSPORTADORA"/>
    <x v="0"/>
    <n v="31083"/>
    <x v="123"/>
    <s v="PI"/>
    <n v="350"/>
    <s v="Ats On"/>
    <n v="1550"/>
    <s v="W11186097"/>
    <s v="Dispensers"/>
    <x v="9"/>
    <n v="3000"/>
    <n v="5004101"/>
    <s v="UNIDOCK'S ASSESSORIA E LOGISTICA DE"/>
    <n v="114.58"/>
    <d v="2025-02-19T00:00:00"/>
  </r>
  <r>
    <s v="Sem TR"/>
    <n v="64812061"/>
    <s v="ZRDI"/>
    <n v="10112400"/>
    <s v="D11"/>
    <s v="DEV D2C - Comprou prod dimensão errada"/>
    <s v="COMERCIAL"/>
    <x v="2"/>
    <n v="52461979"/>
    <x v="1105"/>
    <s v="MG"/>
    <n v="474"/>
    <s v="Site Brastemp"/>
    <n v="1352"/>
    <s v="W10396469"/>
    <s v="Prateleiras"/>
    <x v="9"/>
    <n v="1000"/>
    <n v="5002359"/>
    <s v="EMPRESA BRASILEIRA DE CORREIOS E"/>
    <n v="114.57"/>
    <d v="2025-07-17T00:00:00"/>
  </r>
  <r>
    <s v="Sem TR"/>
    <n v="64812061"/>
    <s v="ZRDI"/>
    <n v="10112400"/>
    <s v="D11"/>
    <s v="DEV D2C - Comprou prod dimensão errada"/>
    <s v="COMERCIAL"/>
    <x v="2"/>
    <n v="52461979"/>
    <x v="1105"/>
    <s v="MG"/>
    <n v="474"/>
    <s v="Site Brastemp"/>
    <n v="1352"/>
    <s v="W10396469"/>
    <s v="Prateleiras"/>
    <x v="9"/>
    <n v="1000"/>
    <n v="5002359"/>
    <s v="EMPRESA BRASILEIRA DE CORREIOS E"/>
    <n v="114.57"/>
    <d v="2025-07-17T00:00:00"/>
  </r>
  <r>
    <n v="254012614"/>
    <n v="64789475"/>
    <s v="REB"/>
    <n v="9973195"/>
    <n v="173"/>
    <s v="PEÇAS - Defeito de fabric./Alta Amperage"/>
    <s v="FUNCIONAL"/>
    <x v="2"/>
    <n v="75812"/>
    <x v="102"/>
    <s v="SP"/>
    <n v="931"/>
    <s v="Ats Off"/>
    <n v="1350"/>
    <s v="W11565766"/>
    <s v="Placas de Interface"/>
    <x v="1"/>
    <n v="1000"/>
    <n v="5004042"/>
    <s v="BRASIL WEB TRANSPORTES E LOGISTICA"/>
    <n v="114.56"/>
    <d v="2025-06-10T00:00:00"/>
  </r>
  <r>
    <n v="254031872"/>
    <n v="64802574"/>
    <s v="REB"/>
    <n v="10083740"/>
    <n v="176"/>
    <s v="PEÇAS - Defeito de fabric./Interrompido"/>
    <s v="FUNCIONAL"/>
    <x v="1"/>
    <n v="3506"/>
    <x v="46"/>
    <s v="SP"/>
    <n v="931"/>
    <s v="Ats Off"/>
    <n v="1350"/>
    <n v="326075385"/>
    <s v="Resistências"/>
    <x v="1"/>
    <n v="1000"/>
    <n v="5004042"/>
    <s v="BRASIL WEB TRANSPORTES E LOGISTICA"/>
    <n v="114.42"/>
    <d v="2025-07-01T00:00:00"/>
  </r>
  <r>
    <n v="254035323"/>
    <n v="64812695"/>
    <s v="REB"/>
    <n v="10032051"/>
    <n v="176"/>
    <s v="PEÇAS - Defeito de fabric./Interrompido"/>
    <s v="FUNCIONAL"/>
    <x v="1"/>
    <n v="3236"/>
    <x v="45"/>
    <s v="SP"/>
    <n v="931"/>
    <s v="Ats Off"/>
    <n v="1350"/>
    <s v="W11634906"/>
    <s v="Sensores"/>
    <x v="3"/>
    <n v="1000"/>
    <n v="5004042"/>
    <s v="BRASIL WEB TRANSPORTES E LOGISTICA"/>
    <n v="114.39"/>
    <d v="2025-07-17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1551361"/>
    <s v="Peças Mecanismos"/>
    <x v="2"/>
    <n v="10000"/>
    <n v="5004391"/>
    <s v="JEONCEL TRANSPORTES LTDA"/>
    <n v="114.36"/>
    <d v="2025-05-08T00:00:00"/>
  </r>
  <r>
    <n v="253915631"/>
    <n v="64687525"/>
    <s v="REB"/>
    <n v="9764830"/>
    <n v="167"/>
    <s v="PEÇAS - Avaria - Quebrada/Depósito"/>
    <s v="LOGÍSTICA"/>
    <x v="1"/>
    <n v="80807"/>
    <x v="1106"/>
    <s v="SP"/>
    <n v="934"/>
    <s v="CDP Ouro"/>
    <n v="1350"/>
    <s v="W10624070"/>
    <s v="Gavetas"/>
    <x v="9"/>
    <n v="1000"/>
    <n v="5004042"/>
    <s v="BRASIL WEB TRANSPORTES E LOGISTICA"/>
    <n v="114.31"/>
    <d v="2025-01-09T00:00:00"/>
  </r>
  <r>
    <n v="253993283"/>
    <n v="64771123"/>
    <s v="ROB"/>
    <n v="10004919"/>
    <n v="182"/>
    <s v="PEÇAS - Extravio - Volume a menor"/>
    <s v="TRANSPORTADORA"/>
    <x v="1"/>
    <n v="4523"/>
    <x v="261"/>
    <s v="SC"/>
    <n v="350"/>
    <s v="Ats On"/>
    <n v="1350"/>
    <s v="W10287527"/>
    <s v="Prateleiras"/>
    <x v="9"/>
    <n v="1000"/>
    <n v="5003024"/>
    <s v="RODOBRAS TRANSPORTES RODOVIARIOS LT"/>
    <n v="114.16"/>
    <d v="2025-05-15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510292"/>
    <s v="Interruptores"/>
    <x v="3"/>
    <n v="3000"/>
    <n v="5004042"/>
    <s v="BRASIL WEB TRANSPORTES E LOGISTICA"/>
    <n v="114.05"/>
    <d v="2025-07-08T00:00:00"/>
  </r>
  <r>
    <s v="Sem TR"/>
    <n v="64795927"/>
    <s v="ZRDI"/>
    <n v="10081931"/>
    <s v="D18"/>
    <s v="DEV D2C - Arrependimento não quero mais"/>
    <s v="COMERCIAL"/>
    <x v="2"/>
    <n v="55833450"/>
    <x v="443"/>
    <s v="SP"/>
    <n v="475"/>
    <s v="Site Consul"/>
    <n v="1352"/>
    <s v="W11100357"/>
    <s v="Tubos Queima"/>
    <x v="12"/>
    <n v="1000"/>
    <n v="5002359"/>
    <s v="EMPRESA BRASILEIRA DE CORREIOS E"/>
    <n v="114.01"/>
    <d v="2025-06-26T00:00:00"/>
  </r>
  <r>
    <n v="253913132"/>
    <n v="64684449"/>
    <s v="REB"/>
    <n v="9744639"/>
    <n v="173"/>
    <s v="PEÇAS - Defeito de fabric./Alta Amperage"/>
    <s v="FUNCIONAL"/>
    <x v="1"/>
    <n v="32023"/>
    <x v="43"/>
    <s v="SP"/>
    <n v="643"/>
    <s v="Elite"/>
    <n v="1350"/>
    <n v="326000282"/>
    <s v="Resistências"/>
    <x v="1"/>
    <n v="2000"/>
    <n v="5003254"/>
    <s v="TMA TRANSPORTE LOTACAO E LOGISTICA"/>
    <n v="113.97"/>
    <d v="2025-01-06T00:00:00"/>
  </r>
  <r>
    <n v="254012502"/>
    <n v="64789380"/>
    <s v="REB"/>
    <n v="10042333"/>
    <n v="173"/>
    <s v="PEÇAS - Defeito de fabric./Alta Amperage"/>
    <s v="FUNCIONAL"/>
    <x v="1"/>
    <n v="29095"/>
    <x v="368"/>
    <s v="SP"/>
    <n v="933"/>
    <s v="Top"/>
    <n v="1350"/>
    <s v="W11300675"/>
    <s v="Mecanismos"/>
    <x v="2"/>
    <n v="1000"/>
    <n v="5004042"/>
    <s v="BRASIL WEB TRANSPORTES E LOGISTICA"/>
    <n v="113.96"/>
    <d v="2025-06-10T00:00:00"/>
  </r>
  <r>
    <n v="254024130"/>
    <n v="64803707"/>
    <s v="ZRDI"/>
    <n v="10054141"/>
    <n v="208"/>
    <s v="DEV-Atraso entrega- LOGISTICA(Transp)"/>
    <s v="TRANSPORTADORA"/>
    <x v="2"/>
    <n v="5706291"/>
    <x v="444"/>
    <s v="CE"/>
    <n v="474"/>
    <s v="Site Brastemp"/>
    <n v="1352"/>
    <s v="W11100357"/>
    <s v="Tubos Queima"/>
    <x v="12"/>
    <n v="1000"/>
    <n v="5002359"/>
    <s v="EMPRESA BRASILEIRA DE CORREIOS E"/>
    <n v="113.93"/>
    <d v="2025-07-01T00:00:00"/>
  </r>
  <r>
    <n v="254024130"/>
    <n v="64803707"/>
    <s v="ZRDI"/>
    <n v="10054141"/>
    <n v="208"/>
    <s v="DEV-Atraso entrega- LOGISTICA(Transp)"/>
    <s v="TRANSPORTADORA"/>
    <x v="2"/>
    <n v="5706291"/>
    <x v="444"/>
    <s v="CE"/>
    <n v="474"/>
    <s v="Site Brastemp"/>
    <n v="1352"/>
    <s v="W11100357"/>
    <s v="Tubos Queima"/>
    <x v="12"/>
    <n v="1000"/>
    <n v="5002359"/>
    <s v="EMPRESA BRASILEIRA DE CORREIOS E"/>
    <n v="113.93"/>
    <d v="2025-07-01T00:00:00"/>
  </r>
  <r>
    <n v="253895450"/>
    <n v="64663084"/>
    <s v="REB"/>
    <n v="9752577"/>
    <n v="671"/>
    <s v="DEV-ENVIADO PARA GESTÃO DE CONSEQUENCIA"/>
    <s v="TRANSPORTADORA"/>
    <x v="1"/>
    <n v="75752"/>
    <x v="74"/>
    <s v="PR"/>
    <n v="648"/>
    <s v="Ultra"/>
    <n v="1350"/>
    <s v="W10287527"/>
    <s v="Prateleiras"/>
    <x v="9"/>
    <n v="1000"/>
    <n v="5003024"/>
    <s v="RODOBRAS TRANSPORTES RODOVIARIOS LT"/>
    <n v="113.82"/>
    <d v="2024-12-09T00:00:00"/>
  </r>
  <r>
    <s v="Sem TR"/>
    <n v="64800034"/>
    <s v="ZRDI"/>
    <n v="10035824"/>
    <n v="25"/>
    <s v="OC. 80 - EXTRAVIO TOTAL"/>
    <s v="TRANSPORTADORA"/>
    <x v="2"/>
    <n v="56818623"/>
    <x v="1107"/>
    <s v="PA"/>
    <n v="475"/>
    <s v="Site Consul"/>
    <n v="1352"/>
    <s v="W10301562"/>
    <s v="Filtros"/>
    <x v="5"/>
    <n v="1000"/>
    <n v="5002359"/>
    <s v="EMPRESA BRASILEIRA DE CORREIOS E"/>
    <n v="113.78"/>
    <d v="2025-06-28T00:00:00"/>
  </r>
  <r>
    <s v="Sem TR"/>
    <n v="64800034"/>
    <s v="ZRDI"/>
    <n v="10035824"/>
    <n v="25"/>
    <s v="OC. 80 - EXTRAVIO TOTAL"/>
    <s v="TRANSPORTADORA"/>
    <x v="2"/>
    <n v="56818623"/>
    <x v="1107"/>
    <s v="PA"/>
    <n v="475"/>
    <s v="Site Consul"/>
    <n v="1352"/>
    <s v="W10301562"/>
    <s v="Filtros"/>
    <x v="5"/>
    <n v="1000"/>
    <n v="5002359"/>
    <s v="EMPRESA BRASILEIRA DE CORREIOS E"/>
    <n v="113.78"/>
    <d v="2025-06-28T00:00:00"/>
  </r>
  <r>
    <n v="254007602"/>
    <n v="64782226"/>
    <s v="REB"/>
    <n v="9965622"/>
    <n v="104"/>
    <s v="PEÇAS-Código trocado(embalag X conteúdo)"/>
    <s v="LOGÍSTICA"/>
    <x v="1"/>
    <n v="67948"/>
    <x v="15"/>
    <s v="SC"/>
    <n v="713"/>
    <s v="Key Account"/>
    <n v="1350"/>
    <s v="W11299805"/>
    <s v="Mecanismos"/>
    <x v="2"/>
    <n v="1000"/>
    <n v="5003024"/>
    <s v="RODOBRAS TRANSPORTES RODOVIARIOS LT"/>
    <n v="113.77"/>
    <d v="2025-06-02T00:00:00"/>
  </r>
  <r>
    <n v="254007601"/>
    <n v="64781761"/>
    <s v="REB"/>
    <n v="9965622"/>
    <n v="104"/>
    <s v="PEÇAS-Código trocado(embalag X conteúdo)"/>
    <s v="LOGÍSTICA"/>
    <x v="0"/>
    <n v="67948"/>
    <x v="15"/>
    <s v="SC"/>
    <n v="713"/>
    <s v="Key Account"/>
    <n v="1350"/>
    <s v="W11299805"/>
    <s v="Mecanismos"/>
    <x v="2"/>
    <n v="1000"/>
    <n v="5003024"/>
    <s v="RODOBRAS TRANSPORTES RODOVIARIOS LT"/>
    <n v="113.77"/>
    <d v="2025-06-02T00:00:00"/>
  </r>
  <r>
    <n v="253953850"/>
    <n v="64731916"/>
    <s v="REB"/>
    <n v="9303130"/>
    <n v="173"/>
    <s v="PEÇAS - Defeito de fabric./Alta Amperage"/>
    <s v="FUNCIONAL"/>
    <x v="2"/>
    <n v="79953"/>
    <x v="309"/>
    <s v="SP"/>
    <n v="932"/>
    <s v="CDP Prata"/>
    <n v="1350"/>
    <s v="W11300675"/>
    <s v="Mecanismos"/>
    <x v="2"/>
    <n v="1000"/>
    <n v="5004042"/>
    <s v="BRASIL WEB TRANSPORTES E LOGISTICA"/>
    <n v="113.72"/>
    <d v="2025-03-14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699240"/>
    <s v="Filtro Secadores"/>
    <x v="0"/>
    <n v="15000"/>
    <n v="5002359"/>
    <s v="EMPRESA BRASILEIRA DE CORREIOS E"/>
    <n v="113.55"/>
    <d v="2025-07-08T00:00:00"/>
  </r>
  <r>
    <n v="253988860"/>
    <n v="64763729"/>
    <s v="REB"/>
    <n v="9895135"/>
    <n v="177"/>
    <s v="PEÇAS - Defeito de fabric./Ruído"/>
    <s v="FUNCIONAL"/>
    <x v="1"/>
    <n v="28684"/>
    <x v="235"/>
    <s v="SP"/>
    <n v="648"/>
    <s v="Ultra"/>
    <n v="1350"/>
    <s v="W11299803"/>
    <s v="Mecanismos"/>
    <x v="2"/>
    <n v="1000"/>
    <n v="5004042"/>
    <s v="BRASIL WEB TRANSPORTES E LOGISTICA"/>
    <n v="113.52"/>
    <d v="2025-05-05T00:00:00"/>
  </r>
  <r>
    <n v="254024110"/>
    <n v="64803642"/>
    <s v="ZRDI"/>
    <n v="10038408"/>
    <n v="208"/>
    <s v="DEV-Atraso entrega- LOGISTICA(Transp)"/>
    <s v="TRANSPORTADORA"/>
    <x v="2"/>
    <n v="57144045"/>
    <x v="446"/>
    <s v="PA"/>
    <n v="474"/>
    <s v="Site Brastemp"/>
    <n v="1352"/>
    <s v="W11100357"/>
    <s v="Tubos Queima"/>
    <x v="12"/>
    <n v="1000"/>
    <n v="5002359"/>
    <s v="EMPRESA BRASILEIRA DE CORREIOS E"/>
    <n v="113.44"/>
    <d v="2025-07-01T00:00:00"/>
  </r>
  <r>
    <n v="254022274"/>
    <n v="64799886"/>
    <s v="ZRDI"/>
    <n v="10090941"/>
    <n v="208"/>
    <s v="DEV-Atraso entrega- LOGISTICA(Transp)"/>
    <s v="TRANSPORTADORA"/>
    <x v="2"/>
    <n v="56937750"/>
    <x v="1108"/>
    <s v="RS"/>
    <n v="475"/>
    <s v="Site Consul"/>
    <n v="1352"/>
    <s v="W11601003"/>
    <s v="Filtros"/>
    <x v="5"/>
    <n v="1000"/>
    <n v="5002359"/>
    <s v="EMPRESA BRASILEIRA DE CORREIOS E"/>
    <n v="113.42"/>
    <d v="2025-06-27T00:00:00"/>
  </r>
  <r>
    <n v="254024105"/>
    <n v="64803627"/>
    <s v="ZRDI"/>
    <n v="10035110"/>
    <n v="208"/>
    <s v="DEV-Atraso entrega- LOGISTICA(Transp)"/>
    <s v="TRANSPORTADORA"/>
    <x v="2"/>
    <n v="58029443"/>
    <x v="1109"/>
    <s v="SE"/>
    <n v="475"/>
    <s v="Site Consul"/>
    <n v="1352"/>
    <s v="W11509386"/>
    <s v="Filtros"/>
    <x v="5"/>
    <n v="1000"/>
    <n v="5002359"/>
    <s v="EMPRESA BRASILEIRA DE CORREIOS E"/>
    <n v="113.42"/>
    <d v="2025-07-01T00:00:00"/>
  </r>
  <r>
    <n v="254040423"/>
    <n v="64818327"/>
    <s v="ZRDI"/>
    <n v="10139566"/>
    <n v="208"/>
    <s v="DEV-Atraso entrega- LOGISTICA(Transp)"/>
    <s v="TRANSPORTADORA"/>
    <x v="2"/>
    <n v="50419344"/>
    <x v="1110"/>
    <s v="RS"/>
    <n v="475"/>
    <s v="Site Consul"/>
    <n v="1352"/>
    <s v="W11601003"/>
    <s v="Filtros"/>
    <x v="5"/>
    <n v="1000"/>
    <n v="5002359"/>
    <s v="EMPRESA BRASILEIRA DE CORREIOS E"/>
    <n v="113.42"/>
    <d v="2025-07-26T00:00:00"/>
  </r>
  <r>
    <n v="254040423"/>
    <n v="64818327"/>
    <s v="ZRDI"/>
    <n v="10139566"/>
    <n v="208"/>
    <s v="DEV-Atraso entrega- LOGISTICA(Transp)"/>
    <s v="TRANSPORTADORA"/>
    <x v="2"/>
    <n v="50419344"/>
    <x v="1110"/>
    <s v="RS"/>
    <n v="475"/>
    <s v="Site Consul"/>
    <n v="1352"/>
    <s v="W11601003"/>
    <s v="Filtros"/>
    <x v="5"/>
    <n v="1000"/>
    <n v="5002359"/>
    <s v="EMPRESA BRASILEIRA DE CORREIOS E"/>
    <n v="113.42"/>
    <d v="2025-07-26T00:00:00"/>
  </r>
  <r>
    <n v="253952271"/>
    <n v="64724063"/>
    <s v="REB"/>
    <n v="9858619"/>
    <n v="177"/>
    <s v="PEÇAS - Defeito de fabric./Ruído"/>
    <s v="FUNCIONAL"/>
    <x v="1"/>
    <n v="31587"/>
    <x v="135"/>
    <s v="SP"/>
    <n v="643"/>
    <s v="Elite"/>
    <n v="1350"/>
    <s v="W11300816"/>
    <s v="Mecanismos"/>
    <x v="2"/>
    <n v="1000"/>
    <n v="5004042"/>
    <s v="BRASIL WEB TRANSPORTES E LOGISTICA"/>
    <n v="113.42"/>
    <d v="2025-03-08T00:00:00"/>
  </r>
  <r>
    <n v="254022274"/>
    <n v="64799886"/>
    <s v="ZRDI"/>
    <n v="10090941"/>
    <n v="208"/>
    <s v="DEV-Atraso entrega- LOGISTICA(Transp)"/>
    <s v="TRANSPORTADORA"/>
    <x v="2"/>
    <n v="56937750"/>
    <x v="1108"/>
    <s v="RS"/>
    <n v="475"/>
    <s v="Site Consul"/>
    <n v="1352"/>
    <s v="W11601003"/>
    <s v="Filtros"/>
    <x v="5"/>
    <n v="1000"/>
    <n v="5002359"/>
    <s v="EMPRESA BRASILEIRA DE CORREIOS E"/>
    <n v="113.41"/>
    <d v="2025-06-27T00:00:00"/>
  </r>
  <r>
    <s v="Sem TR"/>
    <n v="64807561"/>
    <s v="ZRDI"/>
    <n v="10100969"/>
    <s v="D11"/>
    <s v="DEV D2C - Comprou prod dimensão errada"/>
    <s v="COMERCIAL"/>
    <x v="2"/>
    <n v="58108335"/>
    <x v="1111"/>
    <s v="SP"/>
    <n v="466"/>
    <s v="Sup ML Marketplace"/>
    <n v="1352"/>
    <s v="W11115537"/>
    <s v="Prateleiras"/>
    <x v="9"/>
    <n v="1000"/>
    <n v="5002359"/>
    <s v="EMPRESA BRASILEIRA DE CORREIOS E"/>
    <n v="113.41"/>
    <d v="2025-07-09T00:00:00"/>
  </r>
  <r>
    <s v="Sem TR"/>
    <n v="64807561"/>
    <s v="ZRDI"/>
    <n v="10100969"/>
    <s v="D11"/>
    <s v="DEV D2C - Comprou prod dimensão errada"/>
    <s v="COMERCIAL"/>
    <x v="2"/>
    <n v="58108335"/>
    <x v="1111"/>
    <s v="SP"/>
    <n v="466"/>
    <s v="Sup ML Marketplace"/>
    <n v="1352"/>
    <s v="W11115537"/>
    <s v="Prateleiras"/>
    <x v="9"/>
    <n v="1000"/>
    <n v="5002359"/>
    <s v="EMPRESA BRASILEIRA DE CORREIOS E"/>
    <n v="113.41"/>
    <d v="2025-07-09T00:00:00"/>
  </r>
  <r>
    <n v="253952271"/>
    <n v="64729193"/>
    <s v="REB"/>
    <n v="9902934"/>
    <n v="173"/>
    <s v="PEÇAS - Defeito de fabric./Alta Amperage"/>
    <s v="FUNCIONAL"/>
    <x v="2"/>
    <n v="31587"/>
    <x v="135"/>
    <s v="SP"/>
    <n v="643"/>
    <s v="Elite"/>
    <n v="1350"/>
    <s v="W11300675"/>
    <s v="Mecanismos"/>
    <x v="2"/>
    <n v="1000"/>
    <n v="5004042"/>
    <s v="BRASIL WEB TRANSPORTES E LOGISTICA"/>
    <n v="113.35"/>
    <d v="2025-03-10T00:00:00"/>
  </r>
  <r>
    <n v="253886229"/>
    <n v="64653876"/>
    <s v="REB"/>
    <n v="9738479"/>
    <n v="173"/>
    <s v="PEÇAS - Defeito de fabric./Alta Amperage"/>
    <s v="FUNCIONAL"/>
    <x v="1"/>
    <n v="9452"/>
    <x v="42"/>
    <s v="SP"/>
    <n v="931"/>
    <s v="Ats Off"/>
    <n v="1350"/>
    <s v="W11258096"/>
    <s v="Dobradiças"/>
    <x v="10"/>
    <n v="1000"/>
    <n v="5003254"/>
    <s v="TMA TRANSPORTE LOTACAO E LOGISTICA"/>
    <n v="113.34"/>
    <d v="2024-11-29T00:00:00"/>
  </r>
  <r>
    <s v="Sem TR"/>
    <n v="64800190"/>
    <s v="ZRDI"/>
    <n v="10006612"/>
    <s v="D30"/>
    <s v="DEV D2C - Defeito funcional manufatura"/>
    <s v="MANUFATURA"/>
    <x v="2"/>
    <n v="56683917"/>
    <x v="1112"/>
    <s v="GO"/>
    <n v="466"/>
    <s v="Sup ML Marketplace"/>
    <n v="1352"/>
    <s v="W10907728"/>
    <s v="Acessórios"/>
    <x v="7"/>
    <n v="1000"/>
    <n v="5002359"/>
    <s v="EMPRESA BRASILEIRA DE CORREIOS E"/>
    <n v="113.32"/>
    <d v="2025-06-30T00:00:00"/>
  </r>
  <r>
    <s v="Sem TR"/>
    <n v="64800190"/>
    <s v="ZRDI"/>
    <n v="10006612"/>
    <s v="D30"/>
    <s v="DEV D2C - Defeito funcional manufatura"/>
    <s v="MANUFATURA"/>
    <x v="2"/>
    <n v="56683917"/>
    <x v="1112"/>
    <s v="GO"/>
    <n v="466"/>
    <s v="Sup ML Marketplace"/>
    <n v="1352"/>
    <s v="W10907728"/>
    <s v="Acessórios"/>
    <x v="7"/>
    <n v="1000"/>
    <n v="5002359"/>
    <s v="EMPRESA BRASILEIRA DE CORREIOS E"/>
    <n v="113.32"/>
    <d v="2025-06-30T00:00:00"/>
  </r>
  <r>
    <s v="Sem TR"/>
    <n v="64807993"/>
    <s v="ZRDI"/>
    <n v="10134241"/>
    <s v="D31"/>
    <s v="DEV D2C - Defeito estético manufatura"/>
    <s v="MANUFATURA"/>
    <x v="2"/>
    <n v="58150093"/>
    <x v="1113"/>
    <s v="MG"/>
    <n v="474"/>
    <s v="Site Brastemp"/>
    <n v="1352"/>
    <s v="W10347201"/>
    <s v="Prateleiras"/>
    <x v="9"/>
    <n v="1000"/>
    <n v="5002359"/>
    <s v="EMPRESA BRASILEIRA DE CORREIOS E"/>
    <n v="113.31"/>
    <d v="2025-07-22T00:00:00"/>
  </r>
  <r>
    <s v="Sem TR"/>
    <n v="64812733"/>
    <s v="ZRDI"/>
    <n v="10128943"/>
    <s v="D31"/>
    <s v="DEV D2C - Defeito estético manufatura"/>
    <s v="MANUFATURA"/>
    <x v="2"/>
    <n v="50431867"/>
    <x v="1114"/>
    <s v="MG"/>
    <n v="474"/>
    <s v="Site Brastemp"/>
    <n v="1352"/>
    <s v="W10347201"/>
    <s v="Prateleiras"/>
    <x v="9"/>
    <n v="1000"/>
    <n v="5002359"/>
    <s v="EMPRESA BRASILEIRA DE CORREIOS E"/>
    <n v="113.31"/>
    <d v="2025-07-21T00:00:00"/>
  </r>
  <r>
    <s v="Sem TR"/>
    <n v="64807993"/>
    <s v="ZRDI"/>
    <n v="10134241"/>
    <s v="D31"/>
    <s v="DEV D2C - Defeito estético manufatura"/>
    <s v="MANUFATURA"/>
    <x v="2"/>
    <n v="58150093"/>
    <x v="1113"/>
    <s v="MG"/>
    <n v="474"/>
    <s v="Site Brastemp"/>
    <n v="1352"/>
    <s v="W10347201"/>
    <s v="Prateleiras"/>
    <x v="9"/>
    <n v="1000"/>
    <n v="5002359"/>
    <s v="EMPRESA BRASILEIRA DE CORREIOS E"/>
    <n v="113.31"/>
    <d v="2025-07-22T00:00:00"/>
  </r>
  <r>
    <s v="Sem TR"/>
    <n v="64812733"/>
    <s v="ZRDI"/>
    <n v="10128943"/>
    <s v="D31"/>
    <s v="DEV D2C - Defeito estético manufatura"/>
    <s v="MANUFATURA"/>
    <x v="2"/>
    <n v="50431867"/>
    <x v="1114"/>
    <s v="MG"/>
    <n v="474"/>
    <s v="Site Brastemp"/>
    <n v="1352"/>
    <s v="W10347201"/>
    <s v="Prateleiras"/>
    <x v="9"/>
    <n v="1000"/>
    <n v="5002359"/>
    <s v="EMPRESA BRASILEIRA DE CORREIOS E"/>
    <n v="113.31"/>
    <d v="2025-07-21T00:00:00"/>
  </r>
  <r>
    <n v="254033358"/>
    <n v="64806352"/>
    <s v="REB"/>
    <n v="9910599"/>
    <n v="173"/>
    <s v="PEÇAS - Defeito de fabric./Alta Amperage"/>
    <s v="FUNCIONAL"/>
    <x v="0"/>
    <n v="28991"/>
    <x v="65"/>
    <s v="MG"/>
    <n v="643"/>
    <s v="Elite"/>
    <n v="1350"/>
    <s v="W11123831"/>
    <s v="Placas de Controle"/>
    <x v="1"/>
    <n v="1000"/>
    <n v="5004215"/>
    <s v="BRASIL WEB TRANSPORTES E LOGISTICA"/>
    <n v="113.28"/>
    <d v="2025-07-08T00:00:00"/>
  </r>
  <r>
    <n v="254033950"/>
    <n v="64812509"/>
    <s v="ZRDI"/>
    <n v="10099896"/>
    <n v="208"/>
    <s v="DEV-Atraso entrega- LOGISTICA(Transp)"/>
    <s v="TRANSPORTADORA"/>
    <x v="2"/>
    <n v="53112105"/>
    <x v="1115"/>
    <s v="CE"/>
    <n v="475"/>
    <s v="Site Consul"/>
    <n v="1352"/>
    <s v="W11509386"/>
    <s v="Filtros"/>
    <x v="5"/>
    <n v="1000"/>
    <n v="5002359"/>
    <s v="EMPRESA BRASILEIRA DE CORREIOS E"/>
    <n v="113.22"/>
    <d v="2025-07-17T00:00:00"/>
  </r>
  <r>
    <n v="254039196"/>
    <n v="64817078"/>
    <s v="ZRDI"/>
    <n v="10127688"/>
    <n v="208"/>
    <s v="DEV-Atraso entrega- LOGISTICA(Transp)"/>
    <s v="TRANSPORTADORA"/>
    <x v="2"/>
    <n v="58141866"/>
    <x v="1116"/>
    <s v="CE"/>
    <n v="475"/>
    <s v="Site Consul"/>
    <n v="1352"/>
    <s v="W11509386"/>
    <s v="Filtros"/>
    <x v="5"/>
    <n v="1000"/>
    <n v="5002359"/>
    <s v="EMPRESA BRASILEIRA DE CORREIOS E"/>
    <n v="113.22"/>
    <d v="2025-07-24T00:00:00"/>
  </r>
  <r>
    <n v="254039196"/>
    <n v="64817078"/>
    <s v="ZRDI"/>
    <n v="10127688"/>
    <n v="208"/>
    <s v="DEV-Atraso entrega- LOGISTICA(Transp)"/>
    <s v="TRANSPORTADORA"/>
    <x v="2"/>
    <n v="58141866"/>
    <x v="1116"/>
    <s v="CE"/>
    <n v="475"/>
    <s v="Site Consul"/>
    <n v="1352"/>
    <s v="W11509386"/>
    <s v="Filtros"/>
    <x v="5"/>
    <n v="1000"/>
    <n v="5002359"/>
    <s v="EMPRESA BRASILEIRA DE CORREIOS E"/>
    <n v="113.22"/>
    <d v="2025-07-24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169464"/>
    <s v="Defletores/Difusores"/>
    <x v="5"/>
    <n v="5000"/>
    <n v="5004101"/>
    <s v="UNIDOCK'S ASSESSORIA E LOGISTICA DE"/>
    <n v="113.21"/>
    <d v="2025-06-24T00:00:00"/>
  </r>
  <r>
    <n v="254042076"/>
    <n v="64795571"/>
    <s v="REB"/>
    <n v="10073706"/>
    <n v="168"/>
    <s v="PEÇAS-Def.Fabric.Empenamento/Abaulamento"/>
    <s v="FUNCIONAL"/>
    <x v="0"/>
    <n v="20602"/>
    <x v="355"/>
    <s v="SP"/>
    <n v="350"/>
    <s v="Ats On"/>
    <n v="1350"/>
    <s v="W10347206"/>
    <s v="Prateleiras"/>
    <x v="9"/>
    <n v="1000"/>
    <n v="5004042"/>
    <s v="BRASIL WEB TRANSPORTES E LOGISTICA"/>
    <n v="113.2"/>
    <d v="2025-06-23T00:00:00"/>
  </r>
  <r>
    <n v="254033341"/>
    <n v="64804398"/>
    <s v="REB"/>
    <n v="10095689"/>
    <n v="167"/>
    <s v="PEÇAS - Avaria - Quebrada/Depósito"/>
    <s v="LOGÍSTICA"/>
    <x v="1"/>
    <n v="28016"/>
    <x v="331"/>
    <s v="RJ"/>
    <n v="933"/>
    <s v="Top"/>
    <n v="1350"/>
    <s v="W10624070"/>
    <s v="Gavetas"/>
    <x v="9"/>
    <n v="1000"/>
    <n v="5003176"/>
    <s v="J C THEDIN TRANSPORTES LTDA"/>
    <n v="113.19"/>
    <d v="2025-07-08T00:00:00"/>
  </r>
  <r>
    <n v="254031857"/>
    <n v="64796934"/>
    <s v="REB"/>
    <n v="10046173"/>
    <n v="176"/>
    <s v="PEÇAS - Defeito de fabric./Interrompido"/>
    <s v="FUNCIONAL"/>
    <x v="0"/>
    <n v="3506"/>
    <x v="46"/>
    <s v="SP"/>
    <n v="931"/>
    <s v="Ats Off"/>
    <n v="1350"/>
    <s v="W11113071"/>
    <s v="Termostatos"/>
    <x v="3"/>
    <n v="1000"/>
    <n v="5004042"/>
    <s v="BRASIL WEB TRANSPORTES E LOGISTICA"/>
    <n v="113.19"/>
    <d v="2025-06-24T00:00:00"/>
  </r>
  <r>
    <n v="253970784"/>
    <n v="64748870"/>
    <s v="REB"/>
    <n v="9909285"/>
    <n v="173"/>
    <s v="PEÇAS - Defeito de fabric./Alta Amperage"/>
    <s v="FUNCIONAL"/>
    <x v="2"/>
    <n v="31587"/>
    <x v="135"/>
    <s v="SP"/>
    <n v="643"/>
    <s v="Elite"/>
    <n v="1350"/>
    <s v="W11396188"/>
    <s v="Placas de Interface"/>
    <x v="1"/>
    <n v="1000"/>
    <n v="5004042"/>
    <s v="BRASIL WEB TRANSPORTES E LOGISTICA"/>
    <n v="113.05"/>
    <d v="2025-04-09T00:00:00"/>
  </r>
  <r>
    <n v="254020436"/>
    <n v="64798140"/>
    <s v="ZRDI"/>
    <n v="10047323"/>
    <n v="208"/>
    <s v="DEV-Atraso entrega- LOGISTICA(Transp)"/>
    <s v="TRANSPORTADORA"/>
    <x v="2"/>
    <n v="52881225"/>
    <x v="1117"/>
    <s v="MA"/>
    <n v="475"/>
    <s v="Site Consul"/>
    <n v="1352"/>
    <s v="W11509387"/>
    <s v="Filtros"/>
    <x v="5"/>
    <n v="1000"/>
    <n v="5002359"/>
    <s v="EMPRESA BRASILEIRA DE CORREIOS E"/>
    <n v="113.03"/>
    <d v="2025-06-25T00:00:00"/>
  </r>
  <r>
    <n v="254039186"/>
    <n v="64817068"/>
    <s v="ZRDI"/>
    <n v="10110870"/>
    <n v="208"/>
    <s v="DEV-Atraso entrega- LOGISTICA(Transp)"/>
    <s v="TRANSPORTADORA"/>
    <x v="2"/>
    <n v="56269979"/>
    <x v="1118"/>
    <s v="MT"/>
    <n v="475"/>
    <s v="Site Consul"/>
    <n v="1352"/>
    <s v="W11509386"/>
    <s v="Filtros"/>
    <x v="5"/>
    <n v="1000"/>
    <n v="5002359"/>
    <s v="EMPRESA BRASILEIRA DE CORREIOS E"/>
    <n v="113.02"/>
    <d v="2025-07-24T00:00:00"/>
  </r>
  <r>
    <n v="254039186"/>
    <n v="64817068"/>
    <s v="ZRDI"/>
    <n v="10110870"/>
    <n v="208"/>
    <s v="DEV-Atraso entrega- LOGISTICA(Transp)"/>
    <s v="TRANSPORTADORA"/>
    <x v="2"/>
    <n v="56269979"/>
    <x v="1118"/>
    <s v="MT"/>
    <n v="475"/>
    <s v="Site Consul"/>
    <n v="1352"/>
    <s v="W11509386"/>
    <s v="Filtros"/>
    <x v="5"/>
    <n v="1000"/>
    <n v="5002359"/>
    <s v="EMPRESA BRASILEIRA DE CORREIOS E"/>
    <n v="113.02"/>
    <d v="2025-07-24T00:00:00"/>
  </r>
  <r>
    <n v="254020436"/>
    <n v="64798140"/>
    <s v="ZRDI"/>
    <n v="10047323"/>
    <n v="208"/>
    <s v="DEV-Atraso entrega- LOGISTICA(Transp)"/>
    <s v="TRANSPORTADORA"/>
    <x v="2"/>
    <n v="52881225"/>
    <x v="1117"/>
    <s v="MA"/>
    <n v="475"/>
    <s v="Site Consul"/>
    <n v="1352"/>
    <s v="W11509387"/>
    <s v="Filtros"/>
    <x v="5"/>
    <n v="1000"/>
    <n v="5002359"/>
    <s v="EMPRESA BRASILEIRA DE CORREIOS E"/>
    <n v="113.01"/>
    <d v="2025-06-25T00:00:00"/>
  </r>
  <r>
    <n v="254003853"/>
    <n v="64778077"/>
    <s v="REB"/>
    <n v="9786238"/>
    <n v="176"/>
    <s v="PEÇAS - Defeito de fabric./Interrompido"/>
    <s v="FUNCIONAL"/>
    <x v="2"/>
    <n v="3506"/>
    <x v="46"/>
    <s v="SP"/>
    <n v="931"/>
    <s v="Ats Off"/>
    <n v="1350"/>
    <s v="W10842342"/>
    <s v="Filtros"/>
    <x v="5"/>
    <n v="1000"/>
    <n v="5004042"/>
    <s v="BRASIL WEB TRANSPORTES E LOGISTICA"/>
    <n v="112.93"/>
    <d v="2025-05-26T00:00:00"/>
  </r>
  <r>
    <n v="254018016"/>
    <n v="64795768"/>
    <s v="ZRDI"/>
    <n v="10067927"/>
    <n v="208"/>
    <s v="DEV-Atraso entrega- LOGISTICA(Transp)"/>
    <s v="TRANSPORTADORA"/>
    <x v="2"/>
    <n v="57612173"/>
    <x v="1119"/>
    <s v="PE"/>
    <n v="475"/>
    <s v="Site Consul"/>
    <n v="1352"/>
    <s v="W11509386"/>
    <s v="Filtros"/>
    <x v="5"/>
    <n v="1000"/>
    <n v="5002359"/>
    <s v="EMPRESA BRASILEIRA DE CORREIOS E"/>
    <n v="112.92"/>
    <d v="2025-06-23T00:00:00"/>
  </r>
  <r>
    <n v="254033949"/>
    <n v="64812498"/>
    <s v="ZRDI"/>
    <n v="10098430"/>
    <n v="208"/>
    <s v="DEV-Atraso entrega- LOGISTICA(Transp)"/>
    <s v="TRANSPORTADORA"/>
    <x v="2"/>
    <n v="51327905"/>
    <x v="1120"/>
    <s v="PE"/>
    <n v="475"/>
    <s v="Site Consul"/>
    <n v="1352"/>
    <s v="W11509386"/>
    <s v="Filtros"/>
    <x v="5"/>
    <n v="1000"/>
    <n v="5002359"/>
    <s v="EMPRESA BRASILEIRA DE CORREIOS E"/>
    <n v="112.92"/>
    <d v="2025-07-17T00:00:00"/>
  </r>
  <r>
    <n v="254012597"/>
    <n v="64789316"/>
    <s v="REB"/>
    <n v="10018016"/>
    <n v="173"/>
    <s v="PEÇAS - Defeito de fabric./Alta Amperage"/>
    <s v="FUNCIONAL"/>
    <x v="2"/>
    <n v="67948"/>
    <x v="15"/>
    <s v="SC"/>
    <n v="713"/>
    <s v="Key Account"/>
    <n v="1350"/>
    <s v="W11300816"/>
    <s v="Mecanismos"/>
    <x v="2"/>
    <n v="1000"/>
    <n v="5003024"/>
    <s v="RODOBRAS TRANSPORTES RODOVIARIOS LT"/>
    <n v="112.85"/>
    <d v="2025-06-10T00:00:00"/>
  </r>
  <r>
    <n v="254012599"/>
    <n v="64789424"/>
    <s v="REB"/>
    <n v="10018016"/>
    <n v="173"/>
    <s v="PEÇAS - Defeito de fabric./Alta Amperage"/>
    <s v="FUNCIONAL"/>
    <x v="2"/>
    <n v="67948"/>
    <x v="15"/>
    <s v="SC"/>
    <n v="713"/>
    <s v="Key Account"/>
    <n v="1350"/>
    <s v="W11300816"/>
    <s v="Mecanismos"/>
    <x v="2"/>
    <n v="1000"/>
    <n v="5003024"/>
    <s v="RODOBRAS TRANSPORTES RODOVIARIOS LT"/>
    <n v="112.85"/>
    <d v="2025-06-10T00:00:00"/>
  </r>
  <r>
    <s v="Sem TR"/>
    <n v="64819095"/>
    <s v="ZRDI"/>
    <n v="10145139"/>
    <s v="D10"/>
    <s v="DEV D2C - Comprou modelo errado"/>
    <s v="COMERCIAL"/>
    <x v="1"/>
    <n v="58138298"/>
    <x v="1121"/>
    <s v="DF"/>
    <n v="474"/>
    <s v="Site Brastemp"/>
    <n v="1352"/>
    <s v="W11115537"/>
    <s v="Prateleiras"/>
    <x v="9"/>
    <n v="1000"/>
    <n v="5002359"/>
    <s v="EMPRESA BRASILEIRA DE CORREIOS E"/>
    <n v="112.82"/>
    <d v="2025-07-29T00:00:00"/>
  </r>
  <r>
    <n v="254018225"/>
    <n v="64793369"/>
    <s v="REB"/>
    <n v="9953811"/>
    <n v="176"/>
    <s v="PEÇAS - Defeito de fabric./Interrompido"/>
    <s v="FUNCIONAL"/>
    <x v="1"/>
    <n v="13757"/>
    <x v="14"/>
    <s v="SP"/>
    <n v="713"/>
    <s v="Key Account"/>
    <n v="1350"/>
    <s v="W11123830"/>
    <s v="Placas de Controle"/>
    <x v="1"/>
    <n v="1000"/>
    <n v="5004042"/>
    <s v="BRASIL WEB TRANSPORTES E LOGISTICA"/>
    <n v="112.72"/>
    <d v="2025-06-17T00:00:00"/>
  </r>
  <r>
    <s v="Sem TR"/>
    <n v="64814779"/>
    <s v="REB"/>
    <n v="10124327"/>
    <n v="168"/>
    <s v="PEÇAS-Def.Fabric.Empenamento/Abaulamento"/>
    <s v="FUNCIONAL"/>
    <x v="1"/>
    <n v="29801"/>
    <x v="341"/>
    <s v="MG"/>
    <n v="644"/>
    <s v="Plus"/>
    <n v="1350"/>
    <s v="W10882241"/>
    <s v="Agitadores"/>
    <x v="2"/>
    <n v="2000"/>
    <n v="5004215"/>
    <s v="BRASIL WEB TRANSPORTES E LOGISTICA"/>
    <n v="112.67"/>
    <d v="2025-07-22T00:00:00"/>
  </r>
  <r>
    <n v="254028660"/>
    <n v="64808411"/>
    <s v="ZRDI"/>
    <n v="10100874"/>
    <s v="D25"/>
    <s v="DEV D2C - Prob na entrega (Não recebi)"/>
    <s v="TRANSPORTADORA"/>
    <x v="2"/>
    <n v="58110709"/>
    <x v="1122"/>
    <s v="RJ"/>
    <n v="475"/>
    <s v="Site Consul"/>
    <n v="1352"/>
    <s v="W11601003"/>
    <s v="Filtros"/>
    <x v="5"/>
    <n v="1000"/>
    <n v="5003972"/>
    <s v="ICARO EXPRESS LOGISTICA LTDA"/>
    <n v="112.63"/>
    <d v="2025-07-10T00:00:00"/>
  </r>
  <r>
    <n v="254032631"/>
    <n v="64811539"/>
    <s v="ZRDI"/>
    <n v="10130340"/>
    <n v="208"/>
    <s v="DEV-Atraso entrega- LOGISTICA(Transp)"/>
    <s v="TRANSPORTADORA"/>
    <x v="2"/>
    <n v="58146678"/>
    <x v="1123"/>
    <s v="RJ"/>
    <n v="475"/>
    <s v="Site Consul"/>
    <n v="1352"/>
    <s v="W11601003"/>
    <s v="Filtros"/>
    <x v="5"/>
    <n v="1000"/>
    <n v="5002359"/>
    <s v="EMPRESA BRASILEIRA DE CORREIOS E"/>
    <n v="112.63"/>
    <d v="2025-07-16T00:00:00"/>
  </r>
  <r>
    <n v="254032631"/>
    <n v="64811539"/>
    <s v="ZRDI"/>
    <n v="10130340"/>
    <n v="208"/>
    <s v="DEV-Atraso entrega- LOGISTICA(Transp)"/>
    <s v="TRANSPORTADORA"/>
    <x v="2"/>
    <n v="58146678"/>
    <x v="1123"/>
    <s v="RJ"/>
    <n v="475"/>
    <s v="Site Consul"/>
    <n v="1352"/>
    <s v="W11601003"/>
    <s v="Filtros"/>
    <x v="5"/>
    <n v="1000"/>
    <n v="5002359"/>
    <s v="EMPRESA BRASILEIRA DE CORREIOS E"/>
    <n v="112.63"/>
    <d v="2025-07-16T00:00:00"/>
  </r>
  <r>
    <n v="254003930"/>
    <n v="64776252"/>
    <s v="REB"/>
    <n v="9852024"/>
    <n v="173"/>
    <s v="PEÇAS - Defeito de fabric./Alta Amperage"/>
    <s v="FUNCIONAL"/>
    <x v="1"/>
    <n v="29164"/>
    <x v="32"/>
    <s v="BA"/>
    <n v="648"/>
    <s v="Ultra"/>
    <n v="1350"/>
    <s v="W11300816"/>
    <s v="Mecanismos"/>
    <x v="2"/>
    <n v="1000"/>
    <n v="5004101"/>
    <s v="UNIDOCK'S ASSESSORIA E LOGISTICA DE"/>
    <n v="112.47"/>
    <d v="2025-05-26T00:00:00"/>
  </r>
  <r>
    <n v="254012505"/>
    <n v="64789446"/>
    <s v="REB"/>
    <n v="9852024"/>
    <n v="173"/>
    <s v="PEÇAS - Defeito de fabric./Alta Amperage"/>
    <s v="FUNCIONAL"/>
    <x v="1"/>
    <n v="29164"/>
    <x v="32"/>
    <s v="BA"/>
    <n v="648"/>
    <s v="Ultra"/>
    <n v="1350"/>
    <s v="W11300816"/>
    <s v="Mecanismos"/>
    <x v="2"/>
    <n v="1000"/>
    <n v="5004101"/>
    <s v="UNIDOCK'S ASSESSORIA E LOGISTICA DE"/>
    <n v="112.47"/>
    <d v="2025-06-10T00:00:00"/>
  </r>
  <r>
    <n v="254032492"/>
    <n v="64811454"/>
    <s v="ZRDI"/>
    <n v="10112547"/>
    <n v="208"/>
    <s v="DEV-Atraso entrega- LOGISTICA(Transp)"/>
    <s v="TRANSPORTADORA"/>
    <x v="2"/>
    <n v="53359268"/>
    <x v="1124"/>
    <s v="RS"/>
    <n v="348"/>
    <s v="Midia"/>
    <n v="1352"/>
    <s v="W11199342"/>
    <s v="Filtros"/>
    <x v="5"/>
    <n v="1000"/>
    <n v="5002359"/>
    <s v="EMPRESA BRASILEIRA DE CORREIOS E"/>
    <n v="112.27"/>
    <d v="2025-07-16T00:00:00"/>
  </r>
  <r>
    <s v="Sem TR"/>
    <n v="64725741"/>
    <s v="ROB"/>
    <n v="9817143"/>
    <n v="221"/>
    <s v="DEV-Sinistro - SEGURO"/>
    <s v="TRANSPORTADORA"/>
    <x v="0"/>
    <n v="4687"/>
    <x v="685"/>
    <s v="SC"/>
    <n v="350"/>
    <s v="Ats On"/>
    <n v="1350"/>
    <s v="W10849470"/>
    <s v="Bombas"/>
    <x v="1"/>
    <n v="4000"/>
    <n v="5003024"/>
    <s v="RODOBRAS TRANSPORTES RODOVIARIOS LT"/>
    <n v="112.17"/>
    <d v="2025-03-06T00:00:00"/>
  </r>
  <r>
    <n v="254007596"/>
    <n v="64783424"/>
    <s v="REB"/>
    <n v="10048243"/>
    <n v="178"/>
    <s v="PEÇAS -Defeito de fabric./Sem Compressão"/>
    <s v="FUNCIONAL"/>
    <x v="1"/>
    <n v="56043"/>
    <x v="48"/>
    <s v="PR"/>
    <n v="963"/>
    <s v="Ats Distribuidoras"/>
    <n v="1350"/>
    <s v="W11387305"/>
    <s v="Gases Refrigerantes"/>
    <x v="0"/>
    <n v="1000"/>
    <n v="5003024"/>
    <s v="RODOBRAS TRANSPORTES RODOVIARIOS LT"/>
    <n v="112.16"/>
    <d v="2025-06-02T00:00:00"/>
  </r>
  <r>
    <n v="254012796"/>
    <n v="64790613"/>
    <s v="REB"/>
    <n v="10045706"/>
    <n v="220"/>
    <s v="DEV-Avaria 1 trecho transp - Produto"/>
    <s v="QUALIDADE"/>
    <x v="2"/>
    <n v="32263"/>
    <x v="157"/>
    <s v="PA"/>
    <n v="641"/>
    <s v="CDP Diamante"/>
    <n v="1350"/>
    <s v="W10576312"/>
    <s v="Parafusos e afins"/>
    <x v="10"/>
    <n v="1000"/>
    <n v="5002858"/>
    <s v="FAVORITA TRANSPORTES LTDA"/>
    <n v="112.14"/>
    <d v="2025-06-12T00:00:00"/>
  </r>
  <r>
    <n v="254031858"/>
    <n v="64796939"/>
    <s v="REB"/>
    <n v="9887522"/>
    <n v="176"/>
    <s v="PEÇAS - Defeito de fabric./Interrompido"/>
    <s v="FUNCIONAL"/>
    <x v="1"/>
    <n v="3506"/>
    <x v="46"/>
    <s v="SP"/>
    <n v="931"/>
    <s v="Ats Off"/>
    <n v="1350"/>
    <s v="W11352538"/>
    <s v="Placas de Controle"/>
    <x v="1"/>
    <n v="1000"/>
    <n v="5004042"/>
    <s v="BRASIL WEB TRANSPORTES E LOGISTICA"/>
    <n v="112.13"/>
    <d v="2025-06-24T00:00:00"/>
  </r>
  <r>
    <s v="Sem TR"/>
    <n v="64799440"/>
    <s v="ZRDI"/>
    <n v="10076057"/>
    <s v="D13"/>
    <s v="DEV D2C - Comprou prod qtde errada"/>
    <s v="COMERCIAL"/>
    <x v="2"/>
    <n v="55189323"/>
    <x v="1125"/>
    <s v="AL"/>
    <n v="475"/>
    <s v="Site Consul"/>
    <n v="1352"/>
    <s v="W11509387"/>
    <s v="Filtros"/>
    <x v="5"/>
    <n v="1000"/>
    <n v="5002359"/>
    <s v="EMPRESA BRASILEIRA DE CORREIOS E"/>
    <n v="112.07"/>
    <d v="2025-06-30T00:00:00"/>
  </r>
  <r>
    <s v="Sem TR"/>
    <n v="64799440"/>
    <s v="ZRDI"/>
    <n v="10076057"/>
    <s v="D13"/>
    <s v="DEV D2C - Comprou prod qtde errada"/>
    <s v="COMERCIAL"/>
    <x v="2"/>
    <n v="55189323"/>
    <x v="1125"/>
    <s v="AL"/>
    <n v="475"/>
    <s v="Site Consul"/>
    <n v="1352"/>
    <s v="W11509387"/>
    <s v="Filtros"/>
    <x v="5"/>
    <n v="1000"/>
    <n v="5002359"/>
    <s v="EMPRESA BRASILEIRA DE CORREIOS E"/>
    <n v="112.07"/>
    <d v="2025-06-30T00:00:00"/>
  </r>
  <r>
    <n v="253931084"/>
    <n v="64703929"/>
    <s v="REB"/>
    <n v="9538386"/>
    <n v="176"/>
    <s v="PEÇAS - Defeito de fabric./Interrompido"/>
    <s v="FUNCIONAL"/>
    <x v="2"/>
    <n v="24089"/>
    <x v="134"/>
    <s v="RJ"/>
    <n v="931"/>
    <s v="Ats Off"/>
    <n v="1350"/>
    <s v="W10505774"/>
    <s v="Redes Elétricas"/>
    <x v="1"/>
    <n v="2000"/>
    <n v="5003176"/>
    <s v="J C THEDIN TRANSPORTES LTDA"/>
    <n v="112.01"/>
    <d v="2025-01-31T00:00:00"/>
  </r>
  <r>
    <s v="Sem TR"/>
    <n v="64808412"/>
    <s v="REB"/>
    <n v="10074773"/>
    <n v="411"/>
    <s v="DEV-Extravio de PEÇAS (Transportadora)"/>
    <s v="TRANSPORTADORA"/>
    <x v="0"/>
    <n v="30000"/>
    <x v="457"/>
    <s v="SC"/>
    <n v="350"/>
    <s v="Ats On"/>
    <n v="1350"/>
    <s v="W10666547"/>
    <s v="Gaxetas"/>
    <x v="4"/>
    <n v="1000"/>
    <n v="5003024"/>
    <s v="RODOBRAS TRANSPORTES RODOVIARIOS LT"/>
    <n v="111.88"/>
    <d v="2025-07-10T00:00:00"/>
  </r>
  <r>
    <n v="253953793"/>
    <n v="64732147"/>
    <s v="REB"/>
    <n v="9384503"/>
    <n v="671"/>
    <s v="DEV-ENVIADO PARA GESTÃO DE CONSEQUENCIA"/>
    <s v="TRANSPORTADORA"/>
    <x v="1"/>
    <n v="30742"/>
    <x v="428"/>
    <s v="SC"/>
    <n v="643"/>
    <s v="Elite"/>
    <n v="1350"/>
    <s v="W10446925"/>
    <s v="Placas de Controle"/>
    <x v="1"/>
    <n v="1000"/>
    <n v="5003024"/>
    <s v="RODOBRAS TRANSPORTES RODOVIARIOS LT"/>
    <n v="111.87"/>
    <d v="2025-03-14T00:00:00"/>
  </r>
  <r>
    <n v="254012545"/>
    <n v="64786435"/>
    <s v="REB"/>
    <n v="10048243"/>
    <n v="167"/>
    <s v="PEÇAS - Avaria - Quebrada/Depósito"/>
    <s v="LOGÍSTICA"/>
    <x v="1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n v="254012545"/>
    <n v="64788631"/>
    <s v="REB"/>
    <n v="10048243"/>
    <n v="167"/>
    <s v="PEÇAS - Avaria - Quebrada/Depósito"/>
    <s v="LOGÍSTICA"/>
    <x v="1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n v="254012548"/>
    <n v="64779853"/>
    <s v="REB"/>
    <n v="10048243"/>
    <n v="167"/>
    <s v="PEÇAS - Avaria - Quebrada/Depósito"/>
    <s v="LOGÍSTICA"/>
    <x v="2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n v="254012543"/>
    <n v="64780283"/>
    <s v="REB"/>
    <n v="10048243"/>
    <n v="167"/>
    <s v="PEÇAS - Avaria - Quebrada/Depósito"/>
    <s v="LOGÍSTICA"/>
    <x v="2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n v="254012542"/>
    <n v="64788632"/>
    <s v="REB"/>
    <n v="10048243"/>
    <n v="167"/>
    <s v="PEÇAS - Avaria - Quebrada/Depósito"/>
    <s v="LOGÍSTICA"/>
    <x v="2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n v="254012540"/>
    <n v="64789084"/>
    <s v="REB"/>
    <n v="10048243"/>
    <n v="167"/>
    <s v="PEÇAS - Avaria - Quebrada/Depósito"/>
    <s v="LOGÍSTICA"/>
    <x v="2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n v="254012541"/>
    <n v="64789085"/>
    <s v="REB"/>
    <n v="10048243"/>
    <n v="167"/>
    <s v="PEÇAS - Avaria - Quebrada/Depósito"/>
    <s v="LOGÍSTICA"/>
    <x v="2"/>
    <n v="56043"/>
    <x v="48"/>
    <s v="PR"/>
    <n v="963"/>
    <s v="Ats Distribuidoras"/>
    <n v="1350"/>
    <s v="W11298039"/>
    <s v="Gavetas"/>
    <x v="9"/>
    <n v="1000"/>
    <n v="5003024"/>
    <s v="RODOBRAS TRANSPORTES RODOVIARIOS LT"/>
    <n v="111.83"/>
    <d v="2025-06-10T00:00:00"/>
  </r>
  <r>
    <s v="Sem TR"/>
    <n v="64759651"/>
    <s v="ZDVP"/>
    <n v="9907438"/>
    <n v="177"/>
    <s v="PEÇAS - Defeito de fabric./Ruído"/>
    <s v="FUNCIONAL"/>
    <x v="1"/>
    <n v="30180"/>
    <x v="1050"/>
    <s v="MG"/>
    <n v="644"/>
    <s v="Plus"/>
    <n v="1350"/>
    <s v="W11300675"/>
    <s v="Mecanismos"/>
    <x v="2"/>
    <n v="1000"/>
    <n v="5004215"/>
    <s v="BRASIL WEB TRANSPORTES E LOGISTICA"/>
    <n v="111.78"/>
    <d v="2025-05-05T00:00:00"/>
  </r>
  <r>
    <s v="Sem TR"/>
    <n v="64765975"/>
    <s v="ZDVP"/>
    <n v="9907438"/>
    <n v="177"/>
    <s v="PEÇAS - Defeito de fabric./Ruído"/>
    <s v="FUNCIONAL"/>
    <x v="1"/>
    <n v="30180"/>
    <x v="1050"/>
    <s v="MG"/>
    <n v="644"/>
    <s v="Plus"/>
    <n v="1350"/>
    <s v="W11300675"/>
    <s v="Mecanismos"/>
    <x v="2"/>
    <n v="1000"/>
    <n v="5004215"/>
    <s v="BRASIL WEB TRANSPORTES E LOGISTICA"/>
    <n v="111.78"/>
    <d v="2025-05-07T00:00:00"/>
  </r>
  <r>
    <n v="254022260"/>
    <n v="64799870"/>
    <s v="ZRDI"/>
    <n v="10036257"/>
    <n v="208"/>
    <s v="DEV-Atraso entrega- LOGISTICA(Transp)"/>
    <s v="TRANSPORTADORA"/>
    <x v="2"/>
    <n v="55573583"/>
    <x v="1126"/>
    <s v="PA"/>
    <n v="475"/>
    <s v="Site Consul"/>
    <n v="1352"/>
    <s v="W11199342"/>
    <s v="Filtros"/>
    <x v="5"/>
    <n v="1000"/>
    <n v="5002359"/>
    <s v="EMPRESA BRASILEIRA DE CORREIOS E"/>
    <n v="111.78"/>
    <d v="2025-06-27T00:00:00"/>
  </r>
  <r>
    <n v="254024097"/>
    <n v="64803604"/>
    <s v="ZRDI"/>
    <n v="10014574"/>
    <n v="208"/>
    <s v="DEV-Atraso entrega- LOGISTICA(Transp)"/>
    <s v="TRANSPORTADORA"/>
    <x v="2"/>
    <n v="58000414"/>
    <x v="1127"/>
    <s v="PA"/>
    <n v="475"/>
    <s v="Site Consul"/>
    <n v="1352"/>
    <s v="W11199342"/>
    <s v="Filtros"/>
    <x v="5"/>
    <n v="1000"/>
    <n v="5002359"/>
    <s v="EMPRESA BRASILEIRA DE CORREIOS E"/>
    <n v="111.78"/>
    <d v="2025-07-01T00:00:00"/>
  </r>
  <r>
    <n v="254022260"/>
    <n v="64799870"/>
    <s v="ZRDI"/>
    <n v="10036257"/>
    <n v="208"/>
    <s v="DEV-Atraso entrega- LOGISTICA(Transp)"/>
    <s v="TRANSPORTADORA"/>
    <x v="2"/>
    <n v="55573583"/>
    <x v="1126"/>
    <s v="PA"/>
    <n v="475"/>
    <s v="Site Consul"/>
    <n v="1352"/>
    <s v="W11199342"/>
    <s v="Filtros"/>
    <x v="5"/>
    <n v="1000"/>
    <n v="5002359"/>
    <s v="EMPRESA BRASILEIRA DE CORREIOS E"/>
    <n v="111.78"/>
    <d v="2025-06-27T00:00:00"/>
  </r>
  <r>
    <n v="254024097"/>
    <n v="64803604"/>
    <s v="ZRDI"/>
    <n v="10014574"/>
    <n v="208"/>
    <s v="DEV-Atraso entrega- LOGISTICA(Transp)"/>
    <s v="TRANSPORTADORA"/>
    <x v="2"/>
    <n v="58000414"/>
    <x v="1127"/>
    <s v="PA"/>
    <n v="475"/>
    <s v="Site Consul"/>
    <n v="1352"/>
    <s v="W11199342"/>
    <s v="Filtros"/>
    <x v="5"/>
    <n v="1000"/>
    <n v="5002359"/>
    <s v="EMPRESA BRASILEIRA DE CORREIOS E"/>
    <n v="111.78"/>
    <d v="2025-07-01T00:00:00"/>
  </r>
  <r>
    <n v="254019490"/>
    <n v="64797502"/>
    <s v="REB"/>
    <n v="10100057"/>
    <n v="170"/>
    <s v="PEÇAS - Avaria - Riscada/Depósito"/>
    <s v="LOGÍSTICA"/>
    <x v="1"/>
    <n v="30742"/>
    <x v="428"/>
    <s v="SC"/>
    <n v="643"/>
    <s v="Elite"/>
    <n v="1350"/>
    <s v="W11435825"/>
    <s v="Tampas Móveis"/>
    <x v="6"/>
    <n v="1000"/>
    <n v="5003024"/>
    <s v="RODOBRAS TRANSPORTES RODOVIARIOS LT"/>
    <n v="111.51"/>
    <d v="2025-06-24T00:00:00"/>
  </r>
  <r>
    <n v="253967881"/>
    <n v="64745421"/>
    <s v="REB"/>
    <n v="9957686"/>
    <n v="167"/>
    <s v="PEÇAS - Avaria - Quebrada/Depósito"/>
    <s v="LOGÍSTICA"/>
    <x v="1"/>
    <n v="85599"/>
    <x v="124"/>
    <s v="SP"/>
    <n v="934"/>
    <s v="CDP Ouro"/>
    <n v="1350"/>
    <s v="W10624070"/>
    <s v="Gavetas"/>
    <x v="9"/>
    <n v="1000"/>
    <n v="5004042"/>
    <s v="BRASIL WEB TRANSPORTES E LOGISTICA"/>
    <n v="111.43"/>
    <d v="2025-04-04T00:00:00"/>
  </r>
  <r>
    <n v="254012631"/>
    <n v="64786228"/>
    <s v="REB"/>
    <n v="10041932"/>
    <n v="167"/>
    <s v="PEÇAS - Avaria - Quebrada/Depósito"/>
    <s v="LOGÍSTICA"/>
    <x v="2"/>
    <n v="85599"/>
    <x v="124"/>
    <s v="SP"/>
    <n v="934"/>
    <s v="CDP Ouro"/>
    <n v="1350"/>
    <s v="W10624070"/>
    <s v="Gavetas"/>
    <x v="9"/>
    <n v="1000"/>
    <n v="5004042"/>
    <s v="BRASIL WEB TRANSPORTES E LOGISTICA"/>
    <n v="111.43"/>
    <d v="2025-06-09T00:00:00"/>
  </r>
  <r>
    <n v="254003848"/>
    <n v="64776112"/>
    <s v="REB"/>
    <n v="9992573"/>
    <n v="176"/>
    <s v="PEÇAS - Defeito de fabric./Interrompido"/>
    <s v="FUNCIONAL"/>
    <x v="2"/>
    <n v="3506"/>
    <x v="46"/>
    <s v="SP"/>
    <n v="931"/>
    <s v="Ats Off"/>
    <n v="1350"/>
    <n v="326076091"/>
    <s v="Resistências"/>
    <x v="1"/>
    <n v="1000"/>
    <n v="5004042"/>
    <s v="BRASIL WEB TRANSPORTES E LOGISTICA"/>
    <n v="111.37"/>
    <d v="2025-05-26T00:00:00"/>
  </r>
  <r>
    <n v="253970698"/>
    <n v="64748212"/>
    <s v="REB"/>
    <n v="9353151"/>
    <n v="176"/>
    <s v="PEÇAS - Defeito de fabric./Interrompido"/>
    <s v="FUNCIONAL"/>
    <x v="2"/>
    <n v="3506"/>
    <x v="46"/>
    <s v="SP"/>
    <n v="931"/>
    <s v="Ats Off"/>
    <n v="1350"/>
    <s v="W11508048"/>
    <s v="Placas de Interface"/>
    <x v="1"/>
    <n v="1000"/>
    <n v="5004042"/>
    <s v="BRASIL WEB TRANSPORTES E LOGISTICA"/>
    <n v="111.34"/>
    <d v="2025-04-09T00:00:00"/>
  </r>
  <r>
    <s v="Sem TR"/>
    <n v="64802498"/>
    <s v="ZRDI"/>
    <n v="10065633"/>
    <s v="D25"/>
    <s v="DEV D2C - Prob na entrega (Não recebi)"/>
    <s v="TRANSPORTADORA"/>
    <x v="2"/>
    <n v="58060658"/>
    <x v="1128"/>
    <s v="PE"/>
    <n v="475"/>
    <s v="Site Consul"/>
    <n v="1352"/>
    <s v="W10803845"/>
    <s v="Lâmpadas"/>
    <x v="1"/>
    <n v="1000"/>
    <n v="5002359"/>
    <s v="EMPRESA BRASILEIRA DE CORREIOS E"/>
    <n v="111.34"/>
    <d v="2025-07-01T00:00:00"/>
  </r>
  <r>
    <s v="Sem TR"/>
    <n v="64802498"/>
    <s v="ZRDI"/>
    <n v="10065633"/>
    <s v="D25"/>
    <s v="DEV D2C - Prob na entrega (Não recebi)"/>
    <s v="TRANSPORTADORA"/>
    <x v="2"/>
    <n v="58060658"/>
    <x v="1128"/>
    <s v="PE"/>
    <n v="475"/>
    <s v="Site Consul"/>
    <n v="1352"/>
    <s v="W10803845"/>
    <s v="Lâmpadas"/>
    <x v="1"/>
    <n v="1000"/>
    <n v="5002359"/>
    <s v="EMPRESA BRASILEIRA DE CORREIOS E"/>
    <n v="111.34"/>
    <d v="2025-07-01T00:00:00"/>
  </r>
  <r>
    <n v="253961276"/>
    <n v="64739244"/>
    <s v="REB"/>
    <n v="9914822"/>
    <n v="176"/>
    <s v="PEÇAS - Defeito de fabric./Interrompido"/>
    <s v="FUNCIONAL"/>
    <x v="2"/>
    <n v="24089"/>
    <x v="134"/>
    <s v="RJ"/>
    <n v="931"/>
    <s v="Ats Off"/>
    <n v="1350"/>
    <s v="W11396188"/>
    <s v="Placas de Interface"/>
    <x v="1"/>
    <n v="1000"/>
    <n v="5003176"/>
    <s v="J C THEDIN TRANSPORTES LTDA"/>
    <n v="111.31"/>
    <d v="2025-03-26T00:00:00"/>
  </r>
  <r>
    <n v="254038369"/>
    <n v="64814594"/>
    <s v="REB"/>
    <n v="10131580"/>
    <n v="176"/>
    <s v="PEÇAS - Defeito de fabric./Interrompido"/>
    <s v="FUNCIONAL"/>
    <x v="0"/>
    <n v="31587"/>
    <x v="135"/>
    <s v="SP"/>
    <n v="643"/>
    <s v="Elite"/>
    <n v="1350"/>
    <s v="W11113071"/>
    <s v="Termostatos"/>
    <x v="3"/>
    <n v="1000"/>
    <n v="5004042"/>
    <s v="BRASIL WEB TRANSPORTES E LOGISTICA"/>
    <n v="111.21"/>
    <d v="2025-07-22T00:00:00"/>
  </r>
  <r>
    <n v="253970684"/>
    <n v="64745903"/>
    <s v="REB"/>
    <n v="9870155"/>
    <n v="177"/>
    <s v="PEÇAS - Defeito de fabric./Ruído"/>
    <s v="FUNCIONAL"/>
    <x v="2"/>
    <n v="3389"/>
    <x v="327"/>
    <s v="SP"/>
    <n v="350"/>
    <s v="Ats On"/>
    <n v="1350"/>
    <s v="W11299803"/>
    <s v="Mecanismos"/>
    <x v="2"/>
    <n v="1000"/>
    <n v="5004042"/>
    <s v="BRASIL WEB TRANSPORTES E LOGISTICA"/>
    <n v="111.17"/>
    <d v="2025-04-09T00:00:00"/>
  </r>
  <r>
    <n v="253888839"/>
    <n v="64649891"/>
    <s v="ZDVP"/>
    <n v="9506552"/>
    <n v="671"/>
    <s v="DEV-ENVIADO PARA GESTÃO DE CONSEQUENCIA"/>
    <s v="TRANSPORTADORA"/>
    <x v="1"/>
    <n v="38442"/>
    <x v="943"/>
    <s v="RS"/>
    <n v="644"/>
    <s v="Plus"/>
    <n v="1350"/>
    <s v="W11300816"/>
    <s v="Mecanismos"/>
    <x v="2"/>
    <n v="1000"/>
    <n v="5003024"/>
    <s v="RODOBRAS TRANSPORTES RODOVIARIOS LT"/>
    <n v="111.12"/>
    <d v="2024-11-21T00:00:00"/>
  </r>
  <r>
    <n v="254035317"/>
    <n v="64810111"/>
    <s v="REB"/>
    <n v="10036947"/>
    <n v="173"/>
    <s v="PEÇAS - Defeito de fabric./Alta Amperage"/>
    <s v="FUNCIONAL"/>
    <x v="2"/>
    <n v="66"/>
    <x v="73"/>
    <s v="GO"/>
    <n v="931"/>
    <s v="Ats Off"/>
    <n v="1350"/>
    <n v="326073243"/>
    <s v="Placas de Controle"/>
    <x v="1"/>
    <n v="1000"/>
    <n v="5002858"/>
    <s v="FAVORITA TRANSPORTES LTDA"/>
    <n v="111.11"/>
    <d v="2025-07-17T00:00:00"/>
  </r>
  <r>
    <n v="254035317"/>
    <n v="64812370"/>
    <s v="REB"/>
    <n v="10029446"/>
    <n v="173"/>
    <s v="PEÇAS - Defeito de fabric./Alta Amperage"/>
    <s v="FUNCIONAL"/>
    <x v="2"/>
    <n v="66"/>
    <x v="73"/>
    <s v="GO"/>
    <n v="931"/>
    <s v="Ats Off"/>
    <n v="1350"/>
    <n v="326073243"/>
    <s v="Placas de Controle"/>
    <x v="1"/>
    <n v="1000"/>
    <n v="5002858"/>
    <s v="FAVORITA TRANSPORTES LTDA"/>
    <n v="111.11"/>
    <d v="2025-07-17T00:00:00"/>
  </r>
  <r>
    <n v="254035317"/>
    <n v="64812423"/>
    <s v="REB"/>
    <n v="10031563"/>
    <n v="173"/>
    <s v="PEÇAS - Defeito de fabric./Alta Amperage"/>
    <s v="FUNCIONAL"/>
    <x v="2"/>
    <n v="66"/>
    <x v="73"/>
    <s v="GO"/>
    <n v="931"/>
    <s v="Ats Off"/>
    <n v="1350"/>
    <n v="326073243"/>
    <s v="Placas de Controle"/>
    <x v="1"/>
    <n v="1000"/>
    <n v="5002858"/>
    <s v="FAVORITA TRANSPORTES LTDA"/>
    <n v="111.11"/>
    <d v="2025-07-17T00:00:00"/>
  </r>
  <r>
    <n v="254035317"/>
    <n v="64812489"/>
    <s v="REB"/>
    <n v="10029460"/>
    <n v="173"/>
    <s v="PEÇAS - Defeito de fabric./Alta Amperage"/>
    <s v="FUNCIONAL"/>
    <x v="2"/>
    <n v="66"/>
    <x v="73"/>
    <s v="GO"/>
    <n v="931"/>
    <s v="Ats Off"/>
    <n v="1350"/>
    <n v="326073243"/>
    <s v="Placas de Controle"/>
    <x v="1"/>
    <n v="1000"/>
    <n v="5002858"/>
    <s v="FAVORITA TRANSPORTES LTDA"/>
    <n v="111.11"/>
    <d v="2025-07-17T00:00:00"/>
  </r>
  <r>
    <n v="254033978"/>
    <n v="64812543"/>
    <s v="ZRDI"/>
    <n v="10112314"/>
    <n v="208"/>
    <s v="DEV-Atraso entrega- LOGISTICA(Transp)"/>
    <s v="TRANSPORTADORA"/>
    <x v="2"/>
    <n v="57771602"/>
    <x v="1129"/>
    <s v="BA"/>
    <n v="475"/>
    <s v="Site Consul"/>
    <n v="1352"/>
    <s v="W11509386"/>
    <s v="Filtros"/>
    <x v="5"/>
    <n v="1000"/>
    <n v="5002359"/>
    <s v="EMPRESA BRASILEIRA DE CORREIOS E"/>
    <n v="111.04"/>
    <d v="2025-07-17T00:00:00"/>
  </r>
  <r>
    <n v="253995098"/>
    <n v="64771170"/>
    <s v="REB"/>
    <n v="9817647"/>
    <n v="173"/>
    <s v="PEÇAS - Defeito de fabric./Alta Amperage"/>
    <s v="FUNCIONAL"/>
    <x v="1"/>
    <n v="21594"/>
    <x v="97"/>
    <s v="SP"/>
    <n v="931"/>
    <s v="Ats Off"/>
    <n v="1350"/>
    <s v="W11573092"/>
    <s v="Resistências"/>
    <x v="1"/>
    <n v="1000"/>
    <n v="5004042"/>
    <s v="BRASIL WEB TRANSPORTES E LOGISTICA"/>
    <n v="110.96"/>
    <d v="2025-05-15T00:00:00"/>
  </r>
  <r>
    <n v="254039178"/>
    <n v="64817059"/>
    <s v="ZRDI"/>
    <n v="10086096"/>
    <n v="208"/>
    <s v="DEV-Atraso entrega- LOGISTICA(Transp)"/>
    <s v="TRANSPORTADORA"/>
    <x v="2"/>
    <n v="54517689"/>
    <x v="1130"/>
    <s v="RN"/>
    <n v="475"/>
    <s v="Site Consul"/>
    <n v="1352"/>
    <s v="W10301562"/>
    <s v="Filtros"/>
    <x v="5"/>
    <n v="1000"/>
    <n v="5002359"/>
    <s v="EMPRESA BRASILEIRA DE CORREIOS E"/>
    <n v="110.91"/>
    <d v="2025-07-24T00:00:00"/>
  </r>
  <r>
    <n v="254039178"/>
    <n v="64817059"/>
    <s v="ZRDI"/>
    <n v="10086096"/>
    <n v="208"/>
    <s v="DEV-Atraso entrega- LOGISTICA(Transp)"/>
    <s v="TRANSPORTADORA"/>
    <x v="2"/>
    <n v="54517689"/>
    <x v="1130"/>
    <s v="RN"/>
    <n v="475"/>
    <s v="Site Consul"/>
    <n v="1352"/>
    <s v="W10301562"/>
    <s v="Filtros"/>
    <x v="5"/>
    <n v="1000"/>
    <n v="5002359"/>
    <s v="EMPRESA BRASILEIRA DE CORREIOS E"/>
    <n v="110.91"/>
    <d v="2025-07-24T00:00:00"/>
  </r>
  <r>
    <s v="Sem TR"/>
    <n v="64802848"/>
    <s v="ZRDI"/>
    <n v="10151007"/>
    <s v="D10"/>
    <s v="DEV D2C - Comprou modelo errado"/>
    <s v="COMERCIAL"/>
    <x v="1"/>
    <n v="51237326"/>
    <x v="612"/>
    <s v="PR"/>
    <n v="474"/>
    <s v="Site Brastemp"/>
    <n v="1352"/>
    <s v="W11372415"/>
    <s v="Painéis Decorativos"/>
    <x v="6"/>
    <n v="1000"/>
    <n v="5002359"/>
    <s v="EMPRESA BRASILEIRA DE CORREIOS E"/>
    <n v="110.91"/>
    <d v="2025-07-30T00:00:00"/>
  </r>
  <r>
    <n v="254029810"/>
    <n v="64809361"/>
    <s v="ZRDI"/>
    <n v="10083200"/>
    <s v="D25"/>
    <s v="DEV D2C - Prob na entrega (Não recebi)"/>
    <s v="TRANSPORTADORA"/>
    <x v="2"/>
    <n v="54427748"/>
    <x v="1131"/>
    <s v="RJ"/>
    <n v="466"/>
    <s v="Sup ML Marketplace"/>
    <n v="1352"/>
    <s v="W10907728"/>
    <s v="Acessórios"/>
    <x v="7"/>
    <n v="1000"/>
    <n v="5003972"/>
    <s v="ICARO EXPRESS LOGISTICA LTDA"/>
    <n v="110.88"/>
    <d v="2025-07-11T00:00:00"/>
  </r>
  <r>
    <n v="254018184"/>
    <n v="64789907"/>
    <s v="REB"/>
    <n v="9982965"/>
    <n v="176"/>
    <s v="PEÇAS - Defeito de fabric./Interrompido"/>
    <s v="FUNCIONAL"/>
    <x v="1"/>
    <n v="4318"/>
    <x v="89"/>
    <s v="SC"/>
    <n v="931"/>
    <s v="Ats Off"/>
    <n v="1350"/>
    <s v="W11634906"/>
    <s v="Sensores"/>
    <x v="3"/>
    <n v="1000"/>
    <n v="5003024"/>
    <s v="RODOBRAS TRANSPORTES RODOVIARIOS LT"/>
    <n v="110.79"/>
    <d v="2025-06-17T00:00:00"/>
  </r>
  <r>
    <n v="254038338"/>
    <n v="64814464"/>
    <s v="REB"/>
    <n v="10119800"/>
    <n v="167"/>
    <s v="PEÇAS - Avaria - Quebrada/Depósito"/>
    <s v="LOGÍSTICA"/>
    <x v="1"/>
    <n v="27511"/>
    <x v="470"/>
    <s v="SP"/>
    <n v="641"/>
    <s v="CDP Diamante"/>
    <n v="1350"/>
    <s v="W11299803"/>
    <s v="Mecanismos"/>
    <x v="2"/>
    <n v="1000"/>
    <n v="5004042"/>
    <s v="BRASIL WEB TRANSPORTES E LOGISTICA"/>
    <n v="110.77"/>
    <d v="2025-07-22T00:00:00"/>
  </r>
  <r>
    <n v="253988837"/>
    <n v="64763752"/>
    <s v="REB"/>
    <n v="9999457"/>
    <n v="167"/>
    <s v="PEÇAS - Avaria - Quebrada/Depósito"/>
    <s v="LOGÍSTICA"/>
    <x v="1"/>
    <n v="25656"/>
    <x v="173"/>
    <s v="SP"/>
    <n v="931"/>
    <s v="Ats Off"/>
    <n v="1350"/>
    <s v="W10581058"/>
    <s v="Gavetas"/>
    <x v="9"/>
    <n v="1000"/>
    <n v="5004042"/>
    <s v="BRASIL WEB TRANSPORTES E LOGISTICA"/>
    <n v="110.76"/>
    <d v="2025-05-05T00:00:00"/>
  </r>
  <r>
    <n v="254018179"/>
    <n v="64793143"/>
    <s v="REB"/>
    <n v="10006035"/>
    <n v="176"/>
    <s v="PEÇAS - Defeito de fabric./Interrompido"/>
    <s v="FUNCIONAL"/>
    <x v="1"/>
    <n v="3506"/>
    <x v="46"/>
    <s v="SP"/>
    <n v="931"/>
    <s v="Ats Off"/>
    <n v="1350"/>
    <s v="W11201322"/>
    <s v="Prateleiras"/>
    <x v="9"/>
    <n v="1000"/>
    <n v="5004042"/>
    <s v="BRASIL WEB TRANSPORTES E LOGISTICA"/>
    <n v="110.76"/>
    <d v="2025-06-17T00:00:00"/>
  </r>
  <r>
    <n v="254038294"/>
    <n v="64810318"/>
    <s v="REB"/>
    <n v="9767809"/>
    <n v="176"/>
    <s v="PEÇAS - Defeito de fabric./Interrompido"/>
    <s v="FUNCIONAL"/>
    <x v="1"/>
    <n v="4318"/>
    <x v="89"/>
    <s v="SC"/>
    <n v="931"/>
    <s v="Ats Off"/>
    <n v="1350"/>
    <n v="326073243"/>
    <s v="Placas de Controle"/>
    <x v="1"/>
    <n v="1000"/>
    <n v="5003024"/>
    <s v="RODOBRAS TRANSPORTES RODOVIARIOS LT"/>
    <n v="110.73"/>
    <d v="2025-07-22T00:00:00"/>
  </r>
  <r>
    <n v="254018188"/>
    <n v="64790646"/>
    <s v="REB"/>
    <n v="9767811"/>
    <n v="176"/>
    <s v="PEÇAS - Defeito de fabric./Interrompido"/>
    <s v="FUNCIONAL"/>
    <x v="1"/>
    <n v="4318"/>
    <x v="89"/>
    <s v="SC"/>
    <n v="931"/>
    <s v="Ats Off"/>
    <n v="1350"/>
    <n v="326073243"/>
    <s v="Placas de Controle"/>
    <x v="1"/>
    <n v="1000"/>
    <n v="5003024"/>
    <s v="RODOBRAS TRANSPORTES RODOVIARIOS LT"/>
    <n v="110.73"/>
    <d v="2025-06-17T00:00:00"/>
  </r>
  <r>
    <n v="254035336"/>
    <n v="64812500"/>
    <s v="REB"/>
    <n v="9767810"/>
    <n v="176"/>
    <s v="PEÇAS - Defeito de fabric./Interrompido"/>
    <s v="FUNCIONAL"/>
    <x v="1"/>
    <n v="4318"/>
    <x v="89"/>
    <s v="SC"/>
    <n v="931"/>
    <s v="Ats Off"/>
    <n v="1350"/>
    <n v="326073243"/>
    <s v="Placas de Controle"/>
    <x v="1"/>
    <n v="1000"/>
    <n v="5003024"/>
    <s v="RODOBRAS TRANSPORTES RODOVIARIOS LT"/>
    <n v="110.73"/>
    <d v="2025-07-17T00:00:00"/>
  </r>
  <r>
    <n v="253872401"/>
    <n v="64642055"/>
    <s v="REB"/>
    <n v="8677488"/>
    <n v="176"/>
    <s v="PEÇAS - Defeito de fabric./Interrompido"/>
    <s v="FUNCIONAL"/>
    <x v="1"/>
    <n v="30292"/>
    <x v="1132"/>
    <s v="SP"/>
    <n v="932"/>
    <s v="CDP Prata"/>
    <n v="1350"/>
    <s v="W11378520"/>
    <s v="Placas de Controle"/>
    <x v="1"/>
    <n v="1000"/>
    <n v="5003482"/>
    <s v="TMA TRANSPORTE LOTACAO E LOGISTICA"/>
    <n v="110.66"/>
    <d v="2024-11-11T00:00:00"/>
  </r>
  <r>
    <n v="254024112"/>
    <n v="64803659"/>
    <s v="ZRDI"/>
    <n v="10040449"/>
    <n v="208"/>
    <s v="DEV-Atraso entrega- LOGISTICA(Transp)"/>
    <s v="TRANSPORTADORA"/>
    <x v="2"/>
    <n v="54891796"/>
    <x v="1133"/>
    <s v="MT"/>
    <n v="475"/>
    <s v="Site Consul"/>
    <n v="1352"/>
    <s v="W10301562"/>
    <s v="Filtros"/>
    <x v="5"/>
    <n v="1000"/>
    <n v="5002359"/>
    <s v="EMPRESA BRASILEIRA DE CORREIOS E"/>
    <n v="110.51"/>
    <d v="2025-07-01T00:00:00"/>
  </r>
  <r>
    <n v="253989797"/>
    <n v="64766019"/>
    <s v="REB"/>
    <n v="9917582"/>
    <n v="173"/>
    <s v="PEÇAS - Defeito de fabric./Alta Amperage"/>
    <s v="FUNCIONAL"/>
    <x v="1"/>
    <n v="13757"/>
    <x v="14"/>
    <s v="SP"/>
    <n v="713"/>
    <s v="Key Account"/>
    <n v="1350"/>
    <s v="W11299803"/>
    <s v="Mecanismos"/>
    <x v="2"/>
    <n v="1000"/>
    <n v="5004042"/>
    <s v="BRASIL WEB TRANSPORTES E LOGISTICA"/>
    <n v="110.49"/>
    <d v="2025-05-07T00:00:00"/>
  </r>
  <r>
    <n v="254000445"/>
    <n v="64762476"/>
    <s v="REB"/>
    <n v="9993763"/>
    <n v="109"/>
    <s v="PEÇAS-Erro de catálogo/BT"/>
    <s v="ENGENHARIA"/>
    <x v="1"/>
    <n v="92025"/>
    <x v="452"/>
    <s v="MG"/>
    <n v="932"/>
    <s v="CDP Prata"/>
    <n v="1350"/>
    <s v="W10640570"/>
    <s v="Cordões de Alimentação"/>
    <x v="1"/>
    <n v="1000"/>
    <n v="5004215"/>
    <s v="BRASIL WEB TRANSPORTES E LOGISTICA"/>
    <n v="110.38"/>
    <d v="2025-05-07T00:00:00"/>
  </r>
  <r>
    <s v="Sem TR"/>
    <n v="64743032"/>
    <s v="ROB"/>
    <n v="48999"/>
    <n v="671"/>
    <s v="DEV-ENVIADO PARA GESTÃO DE CONSEQUENCIA"/>
    <s v="TRANSPORTADORA"/>
    <x v="2"/>
    <n v="31596"/>
    <x v="386"/>
    <s v="CE"/>
    <n v="648"/>
    <s v="Ultra"/>
    <n v="1550"/>
    <s v="W10647949"/>
    <s v="Suportes"/>
    <x v="6"/>
    <n v="20000"/>
    <n v="5004391"/>
    <s v="JEONCEL TRANSPORTES LTDA"/>
    <n v="110.29"/>
    <d v="2025-03-31T00:00:00"/>
  </r>
  <r>
    <n v="253970763"/>
    <n v="64748164"/>
    <s v="REB"/>
    <n v="9909355"/>
    <n v="173"/>
    <s v="PEÇAS - Defeito de fabric./Alta Amperage"/>
    <s v="FUNCIONAL"/>
    <x v="2"/>
    <n v="28178"/>
    <x v="127"/>
    <s v="SP"/>
    <n v="644"/>
    <s v="Plus"/>
    <n v="1350"/>
    <s v="W11299803"/>
    <s v="Mecanismos"/>
    <x v="2"/>
    <n v="1000"/>
    <n v="5004042"/>
    <s v="BRASIL WEB TRANSPORTES E LOGISTICA"/>
    <n v="110.19"/>
    <d v="2025-04-09T00:00:00"/>
  </r>
  <r>
    <n v="254006563"/>
    <n v="64780962"/>
    <s v="REB"/>
    <n v="10065089"/>
    <n v="240"/>
    <s v="DEV-Avaria - 2 trecho transp - Produto"/>
    <s v="QUALIDADE"/>
    <x v="1"/>
    <n v="9991"/>
    <x v="86"/>
    <s v="DF"/>
    <n v="648"/>
    <s v="Ultra"/>
    <n v="1350"/>
    <s v="W11185123"/>
    <s v="Tampas Móveis"/>
    <x v="6"/>
    <n v="1000"/>
    <n v="5002858"/>
    <s v="FAVORITA TRANSPORTES LTDA"/>
    <n v="110.02"/>
    <d v="2025-06-03T00:00:00"/>
  </r>
  <r>
    <s v="Sem TR"/>
    <n v="64796946"/>
    <s v="ZRDI"/>
    <n v="10088293"/>
    <s v="D10"/>
    <s v="DEV D2C - Comprou modelo errado"/>
    <s v="COMERCIAL"/>
    <x v="2"/>
    <n v="53200777"/>
    <x v="1134"/>
    <s v="MG"/>
    <n v="475"/>
    <s v="Site Consul"/>
    <n v="1352"/>
    <s v="W10212150"/>
    <s v="Gavetas"/>
    <x v="9"/>
    <n v="1000"/>
    <n v="5002359"/>
    <s v="EMPRESA BRASILEIRA DE CORREIOS E"/>
    <n v="109.99"/>
    <d v="2025-07-01T00:00:00"/>
  </r>
  <r>
    <s v="Sem TR"/>
    <n v="64799220"/>
    <s v="ZRDI"/>
    <n v="10088967"/>
    <s v="D10"/>
    <s v="DEV D2C - Comprou modelo errado"/>
    <s v="COMERCIAL"/>
    <x v="2"/>
    <n v="57330857"/>
    <x v="967"/>
    <s v="MG"/>
    <n v="475"/>
    <s v="Site Consul"/>
    <n v="1352"/>
    <s v="W10212150"/>
    <s v="Gavetas"/>
    <x v="9"/>
    <n v="1000"/>
    <n v="5002359"/>
    <s v="EMPRESA BRASILEIRA DE CORREIOS E"/>
    <n v="109.99"/>
    <d v="2025-06-27T00:00:00"/>
  </r>
  <r>
    <s v="Sem TR"/>
    <n v="64802384"/>
    <s v="ZRDI"/>
    <n v="10082657"/>
    <s v="D10"/>
    <s v="DEV D2C - Comprou modelo errado"/>
    <s v="COMERCIAL"/>
    <x v="2"/>
    <n v="51203300"/>
    <x v="1135"/>
    <s v="MG"/>
    <n v="475"/>
    <s v="Site Consul"/>
    <n v="1352"/>
    <s v="W10212150"/>
    <s v="Gavetas"/>
    <x v="9"/>
    <n v="1000"/>
    <n v="5002359"/>
    <s v="EMPRESA BRASILEIRA DE CORREIOS E"/>
    <n v="109.99"/>
    <d v="2025-07-01T00:00:00"/>
  </r>
  <r>
    <s v="Sem TR"/>
    <n v="64815255"/>
    <s v="ZRDI"/>
    <n v="10132626"/>
    <s v="D35"/>
    <s v="DEV D2C - Prod difere do comprado"/>
    <s v="COMERCIAL"/>
    <x v="2"/>
    <n v="58151485"/>
    <x v="461"/>
    <s v="SP"/>
    <n v="474"/>
    <s v="Site Brastemp"/>
    <n v="1352"/>
    <s v="W11100357"/>
    <s v="Tubos Queima"/>
    <x v="12"/>
    <n v="1000"/>
    <n v="5002359"/>
    <s v="EMPRESA BRASILEIRA DE CORREIOS E"/>
    <n v="109.99"/>
    <d v="2025-07-24T00:00:00"/>
  </r>
  <r>
    <s v="Sem TR"/>
    <n v="64802384"/>
    <s v="ZRDI"/>
    <n v="10082657"/>
    <s v="D10"/>
    <s v="DEV D2C - Comprou modelo errado"/>
    <s v="COMERCIAL"/>
    <x v="2"/>
    <n v="51203300"/>
    <x v="1135"/>
    <s v="MG"/>
    <n v="475"/>
    <s v="Site Consul"/>
    <n v="1352"/>
    <s v="W10212150"/>
    <s v="Gavetas"/>
    <x v="9"/>
    <n v="1000"/>
    <n v="5002359"/>
    <s v="EMPRESA BRASILEIRA DE CORREIOS E"/>
    <n v="109.99"/>
    <d v="2025-07-01T00:00:00"/>
  </r>
  <r>
    <s v="Sem TR"/>
    <n v="64815255"/>
    <s v="ZRDI"/>
    <n v="10132626"/>
    <s v="D35"/>
    <s v="DEV D2C - Prod difere do comprado"/>
    <s v="COMERCIAL"/>
    <x v="2"/>
    <n v="58151485"/>
    <x v="461"/>
    <s v="SP"/>
    <n v="474"/>
    <s v="Site Brastemp"/>
    <n v="1352"/>
    <s v="W11100357"/>
    <s v="Tubos Queima"/>
    <x v="12"/>
    <n v="1000"/>
    <n v="5002359"/>
    <s v="EMPRESA BRASILEIRA DE CORREIOS E"/>
    <n v="109.99"/>
    <d v="2025-07-24T00:00:00"/>
  </r>
  <r>
    <n v="254027324"/>
    <n v="64806737"/>
    <s v="ZRDI"/>
    <n v="10044982"/>
    <n v="208"/>
    <s v="DEV-Atraso entrega- LOGISTICA(Transp)"/>
    <s v="TRANSPORTADORA"/>
    <x v="2"/>
    <n v="58036644"/>
    <x v="1136"/>
    <s v="GO"/>
    <n v="475"/>
    <s v="Site Consul"/>
    <n v="1352"/>
    <s v="W11509386"/>
    <s v="Filtros"/>
    <x v="5"/>
    <n v="1000"/>
    <n v="5002359"/>
    <s v="EMPRESA BRASILEIRA DE CORREIOS E"/>
    <n v="109.95"/>
    <d v="2025-07-07T00:00:00"/>
  </r>
  <r>
    <n v="254040400"/>
    <n v="64818304"/>
    <s v="ZRDI"/>
    <n v="10099944"/>
    <n v="208"/>
    <s v="DEV-Atraso entrega- LOGISTICA(Transp)"/>
    <s v="TRANSPORTADORA"/>
    <x v="2"/>
    <n v="56846511"/>
    <x v="1137"/>
    <s v="GO"/>
    <n v="475"/>
    <s v="Site Consul"/>
    <n v="1352"/>
    <s v="W11509386"/>
    <s v="Filtros"/>
    <x v="5"/>
    <n v="1000"/>
    <n v="5002359"/>
    <s v="EMPRESA BRASILEIRA DE CORREIOS E"/>
    <n v="109.95"/>
    <d v="2025-07-26T00:00:00"/>
  </r>
  <r>
    <n v="254040407"/>
    <n v="64818311"/>
    <s v="ZRDI"/>
    <n v="10115667"/>
    <n v="208"/>
    <s v="DEV-Atraso entrega- LOGISTICA(Transp)"/>
    <s v="TRANSPORTADORA"/>
    <x v="2"/>
    <n v="58125821"/>
    <x v="1138"/>
    <s v="GO"/>
    <n v="475"/>
    <s v="Site Consul"/>
    <n v="1352"/>
    <s v="W11509386"/>
    <s v="Filtros"/>
    <x v="5"/>
    <n v="1000"/>
    <n v="5002359"/>
    <s v="EMPRESA BRASILEIRA DE CORREIOS E"/>
    <n v="109.95"/>
    <d v="2025-07-26T00:00:00"/>
  </r>
  <r>
    <n v="254040408"/>
    <n v="64818312"/>
    <s v="ZRDI"/>
    <n v="10118519"/>
    <n v="208"/>
    <s v="DEV-Atraso entrega- LOGISTICA(Transp)"/>
    <s v="TRANSPORTADORA"/>
    <x v="2"/>
    <n v="58128905"/>
    <x v="1139"/>
    <s v="GO"/>
    <n v="475"/>
    <s v="Site Consul"/>
    <n v="1352"/>
    <s v="W11509386"/>
    <s v="Filtros"/>
    <x v="5"/>
    <n v="1000"/>
    <n v="5002359"/>
    <s v="EMPRESA BRASILEIRA DE CORREIOS E"/>
    <n v="109.95"/>
    <d v="2025-07-26T00:00:00"/>
  </r>
  <r>
    <n v="254040400"/>
    <n v="64818304"/>
    <s v="ZRDI"/>
    <n v="10099944"/>
    <n v="208"/>
    <s v="DEV-Atraso entrega- LOGISTICA(Transp)"/>
    <s v="TRANSPORTADORA"/>
    <x v="2"/>
    <n v="56846511"/>
    <x v="1137"/>
    <s v="GO"/>
    <n v="475"/>
    <s v="Site Consul"/>
    <n v="1352"/>
    <s v="W11509386"/>
    <s v="Filtros"/>
    <x v="5"/>
    <n v="1000"/>
    <n v="5002359"/>
    <s v="EMPRESA BRASILEIRA DE CORREIOS E"/>
    <n v="109.95"/>
    <d v="2025-07-26T00:00:00"/>
  </r>
  <r>
    <n v="254040407"/>
    <n v="64818311"/>
    <s v="ZRDI"/>
    <n v="10115667"/>
    <n v="208"/>
    <s v="DEV-Atraso entrega- LOGISTICA(Transp)"/>
    <s v="TRANSPORTADORA"/>
    <x v="2"/>
    <n v="58125821"/>
    <x v="1138"/>
    <s v="GO"/>
    <n v="475"/>
    <s v="Site Consul"/>
    <n v="1352"/>
    <s v="W11509386"/>
    <s v="Filtros"/>
    <x v="5"/>
    <n v="1000"/>
    <n v="5002359"/>
    <s v="EMPRESA BRASILEIRA DE CORREIOS E"/>
    <n v="109.95"/>
    <d v="2025-07-26T00:00:00"/>
  </r>
  <r>
    <n v="254040408"/>
    <n v="64818312"/>
    <s v="ZRDI"/>
    <n v="10118519"/>
    <n v="208"/>
    <s v="DEV-Atraso entrega- LOGISTICA(Transp)"/>
    <s v="TRANSPORTADORA"/>
    <x v="2"/>
    <n v="58128905"/>
    <x v="1139"/>
    <s v="GO"/>
    <n v="475"/>
    <s v="Site Consul"/>
    <n v="1352"/>
    <s v="W11509386"/>
    <s v="Filtros"/>
    <x v="5"/>
    <n v="1000"/>
    <n v="5002359"/>
    <s v="EMPRESA BRASILEIRA DE CORREIOS E"/>
    <n v="109.95"/>
    <d v="2025-07-26T00:00:00"/>
  </r>
  <r>
    <n v="253948451"/>
    <n v="64727224"/>
    <s v="REB"/>
    <n v="9861291"/>
    <n v="671"/>
    <s v="DEV-ENVIADO PARA GESTÃO DE CONSEQUENCIA"/>
    <s v="TRANSPORTADORA"/>
    <x v="1"/>
    <n v="4585"/>
    <x v="555"/>
    <s v="SC"/>
    <n v="350"/>
    <s v="Ats On"/>
    <n v="1350"/>
    <s v="W11300816"/>
    <s v="Mecanismos"/>
    <x v="2"/>
    <n v="1000"/>
    <n v="5003024"/>
    <s v="RODOBRAS TRANSPORTES RODOVIARIOS LT"/>
    <n v="109.89"/>
    <d v="2025-03-07T00:00:00"/>
  </r>
  <r>
    <s v="Sem TR"/>
    <n v="64809297"/>
    <s v="ZRDI"/>
    <n v="10132328"/>
    <s v="D10"/>
    <s v="DEV D2C - Comprou modelo errado"/>
    <s v="COMERCIAL"/>
    <x v="2"/>
    <n v="51955487"/>
    <x v="1140"/>
    <s v="SP"/>
    <n v="474"/>
    <s v="Site Brastemp"/>
    <n v="1352"/>
    <s v="W11115537"/>
    <s v="Prateleiras"/>
    <x v="9"/>
    <n v="1000"/>
    <n v="5002359"/>
    <s v="EMPRESA BRASILEIRA DE CORREIOS E"/>
    <n v="109.84"/>
    <d v="2025-07-16T00:00:00"/>
  </r>
  <r>
    <s v="Sem TR"/>
    <n v="64812070"/>
    <s v="ZRDI"/>
    <n v="10138911"/>
    <s v="D10"/>
    <s v="DEV D2C - Comprou modelo errado"/>
    <s v="COMERCIAL"/>
    <x v="2"/>
    <n v="58068257"/>
    <x v="1141"/>
    <s v="SP"/>
    <n v="474"/>
    <s v="Site Brastemp"/>
    <n v="1352"/>
    <s v="W11115537"/>
    <s v="Prateleiras"/>
    <x v="9"/>
    <n v="1000"/>
    <n v="5002359"/>
    <s v="EMPRESA BRASILEIRA DE CORREIOS E"/>
    <n v="109.84"/>
    <d v="2025-07-17T00:00:00"/>
  </r>
  <r>
    <s v="Sem TR"/>
    <n v="64813964"/>
    <s v="ZRDI"/>
    <n v="10148853"/>
    <s v="D18"/>
    <s v="DEV D2C - Arrependimento não quero mais"/>
    <s v="COMERCIAL"/>
    <x v="2"/>
    <n v="57612493"/>
    <x v="1142"/>
    <s v="SP"/>
    <n v="474"/>
    <s v="Site Brastemp"/>
    <n v="1352"/>
    <s v="W11115537"/>
    <s v="Prateleiras"/>
    <x v="9"/>
    <n v="1000"/>
    <n v="5002359"/>
    <s v="EMPRESA BRASILEIRA DE CORREIOS E"/>
    <n v="109.84"/>
    <d v="2025-07-21T00:00:00"/>
  </r>
  <r>
    <s v="Sem TR"/>
    <n v="64809297"/>
    <s v="ZRDI"/>
    <n v="10132328"/>
    <s v="D10"/>
    <s v="DEV D2C - Comprou modelo errado"/>
    <s v="COMERCIAL"/>
    <x v="2"/>
    <n v="51955487"/>
    <x v="1140"/>
    <s v="SP"/>
    <n v="474"/>
    <s v="Site Brastemp"/>
    <n v="1352"/>
    <s v="W11115537"/>
    <s v="Prateleiras"/>
    <x v="9"/>
    <n v="1000"/>
    <n v="5002359"/>
    <s v="EMPRESA BRASILEIRA DE CORREIOS E"/>
    <n v="109.84"/>
    <d v="2025-07-16T00:00:00"/>
  </r>
  <r>
    <s v="Sem TR"/>
    <n v="64813964"/>
    <s v="ZRDI"/>
    <n v="10148853"/>
    <s v="D18"/>
    <s v="DEV D2C - Arrependimento não quero mais"/>
    <s v="COMERCIAL"/>
    <x v="2"/>
    <n v="57612493"/>
    <x v="1142"/>
    <s v="SP"/>
    <n v="474"/>
    <s v="Site Brastemp"/>
    <n v="1352"/>
    <s v="W11115537"/>
    <s v="Prateleiras"/>
    <x v="9"/>
    <n v="1000"/>
    <n v="5002359"/>
    <s v="EMPRESA BRASILEIRA DE CORREIOS E"/>
    <n v="109.84"/>
    <d v="2025-07-21T00:00:00"/>
  </r>
  <r>
    <n v="254032500"/>
    <n v="64811463"/>
    <s v="ZRDI"/>
    <n v="10060790"/>
    <n v="208"/>
    <s v="DEV-Atraso entrega- LOGISTICA(Transp)"/>
    <s v="TRANSPORTADORA"/>
    <x v="2"/>
    <n v="5976489"/>
    <x v="462"/>
    <s v="PE"/>
    <n v="474"/>
    <s v="Site Brastemp"/>
    <n v="1352"/>
    <s v="W11100357"/>
    <s v="Tubos Queima"/>
    <x v="12"/>
    <n v="1000"/>
    <n v="5002359"/>
    <s v="EMPRESA BRASILEIRA DE CORREIOS E"/>
    <n v="109.69"/>
    <d v="2025-07-16T00:00:00"/>
  </r>
  <r>
    <s v="Sem TR"/>
    <n v="64787458"/>
    <s v="REB"/>
    <n v="10056062"/>
    <n v="509"/>
    <s v="Qtd de peças a Menor dentro do Volume"/>
    <s v="LOGÍSTICA"/>
    <x v="1"/>
    <n v="83304"/>
    <x v="726"/>
    <s v="SP"/>
    <n v="932"/>
    <s v="CDP Prata"/>
    <n v="1350"/>
    <s v="W11510292"/>
    <s v="Interruptores"/>
    <x v="3"/>
    <n v="3000"/>
    <n v="5002359"/>
    <s v="EMPRESA BRASILEIRA DE CORREIOS E"/>
    <n v="109.68"/>
    <d v="2025-06-10T00:00:00"/>
  </r>
  <r>
    <n v="254018300"/>
    <n v="64790801"/>
    <s v="REB"/>
    <n v="10053475"/>
    <n v="167"/>
    <s v="PEÇAS - Avaria - Quebrada/Depósito"/>
    <s v="LOGÍSTICA"/>
    <x v="2"/>
    <n v="47026"/>
    <x v="16"/>
    <s v="BA"/>
    <n v="643"/>
    <s v="Elite"/>
    <n v="1350"/>
    <s v="W10287527"/>
    <s v="Prateleiras"/>
    <x v="9"/>
    <n v="1000"/>
    <n v="5004101"/>
    <s v="UNIDOCK'S ASSESSORIA E LOGISTICA DE"/>
    <n v="109.66"/>
    <d v="2025-06-16T00:00:00"/>
  </r>
  <r>
    <n v="254018299"/>
    <n v="64792277"/>
    <s v="REB"/>
    <n v="10053475"/>
    <n v="167"/>
    <s v="PEÇAS - Avaria - Quebrada/Depósito"/>
    <s v="LOGÍSTICA"/>
    <x v="2"/>
    <n v="47026"/>
    <x v="16"/>
    <s v="BA"/>
    <n v="643"/>
    <s v="Elite"/>
    <n v="1350"/>
    <s v="W10287527"/>
    <s v="Prateleiras"/>
    <x v="9"/>
    <n v="1000"/>
    <n v="5004101"/>
    <s v="UNIDOCK'S ASSESSORIA E LOGISTICA DE"/>
    <n v="109.66"/>
    <d v="2025-06-16T00:00:00"/>
  </r>
  <r>
    <s v="Sem TR"/>
    <n v="64788410"/>
    <s v="ZRDI"/>
    <n v="10065387"/>
    <s v="D10"/>
    <s v="DEV D2C - Comprou modelo errado"/>
    <s v="COMERCIAL"/>
    <x v="2"/>
    <n v="52184779"/>
    <x v="603"/>
    <s v="SP"/>
    <n v="475"/>
    <s v="Site Consul"/>
    <n v="1352"/>
    <s v="W11601003"/>
    <s v="Filtros"/>
    <x v="5"/>
    <n v="1000"/>
    <n v="5002359"/>
    <s v="EMPRESA BRASILEIRA DE CORREIOS E"/>
    <n v="109.56"/>
    <d v="2025-06-09T00:00:00"/>
  </r>
  <r>
    <s v="Sem TR"/>
    <n v="64801458"/>
    <s v="ZRDI"/>
    <n v="10113904"/>
    <n v="509"/>
    <s v="Qtd de peças a Menor dentro do Volume"/>
    <s v="LOGÍSTICA"/>
    <x v="2"/>
    <n v="50069736"/>
    <x v="1143"/>
    <s v="SP"/>
    <n v="475"/>
    <s v="Site Consul"/>
    <n v="1352"/>
    <s v="W11601003"/>
    <s v="Filtros"/>
    <x v="5"/>
    <n v="1000"/>
    <n v="5002359"/>
    <s v="EMPRESA BRASILEIRA DE CORREIOS E"/>
    <n v="109.56"/>
    <d v="2025-07-16T00:00:00"/>
  </r>
  <r>
    <n v="254024142"/>
    <n v="64803794"/>
    <s v="ZRDI"/>
    <n v="10078942"/>
    <n v="208"/>
    <s v="DEV-Atraso entrega- LOGISTICA(Transp)"/>
    <s v="TRANSPORTADORA"/>
    <x v="2"/>
    <n v="5982659"/>
    <x v="1144"/>
    <s v="SP"/>
    <n v="475"/>
    <s v="Site Consul"/>
    <n v="1352"/>
    <s v="W11601003"/>
    <s v="Filtros"/>
    <x v="5"/>
    <n v="1000"/>
    <n v="5002359"/>
    <s v="EMPRESA BRASILEIRA DE CORREIOS E"/>
    <n v="109.56"/>
    <d v="2025-07-01T00:00:00"/>
  </r>
  <r>
    <s v="Sem TR"/>
    <n v="64806302"/>
    <s v="ZRDI"/>
    <n v="10114429"/>
    <s v="D14"/>
    <s v="DEV D2C - Comprou prod cor errada"/>
    <s v="COMERCIAL"/>
    <x v="2"/>
    <n v="58127168"/>
    <x v="1145"/>
    <s v="SP"/>
    <n v="475"/>
    <s v="Site Consul"/>
    <n v="1352"/>
    <s v="W11601003"/>
    <s v="Filtros"/>
    <x v="5"/>
    <n v="1000"/>
    <n v="5002359"/>
    <s v="EMPRESA BRASILEIRA DE CORREIOS E"/>
    <n v="109.56"/>
    <d v="2025-07-08T00:00:00"/>
  </r>
  <r>
    <s v="Sem TR"/>
    <n v="64807612"/>
    <s v="ZRDI"/>
    <n v="10113929"/>
    <s v="D35"/>
    <s v="DEV D2C - Prod difere do comprado"/>
    <s v="COMERCIAL"/>
    <x v="2"/>
    <n v="51574638"/>
    <x v="1146"/>
    <s v="SP"/>
    <n v="475"/>
    <s v="Site Consul"/>
    <n v="1352"/>
    <s v="W11601003"/>
    <s v="Filtros"/>
    <x v="5"/>
    <n v="1000"/>
    <n v="5002359"/>
    <s v="EMPRESA BRASILEIRA DE CORREIOS E"/>
    <n v="109.56"/>
    <d v="2025-07-09T00:00:00"/>
  </r>
  <r>
    <s v="Sem TR"/>
    <n v="64808767"/>
    <s v="ZRDI"/>
    <n v="10105932"/>
    <n v="208"/>
    <s v="DEV-Atraso entrega- LOGISTICA(Transp)"/>
    <s v="TRANSPORTADORA"/>
    <x v="2"/>
    <n v="56859393"/>
    <x v="1147"/>
    <s v="SP"/>
    <n v="475"/>
    <s v="Site Consul"/>
    <n v="1352"/>
    <s v="W11601003"/>
    <s v="Filtros"/>
    <x v="5"/>
    <n v="1000"/>
    <n v="5002359"/>
    <s v="EMPRESA BRASILEIRA DE CORREIOS E"/>
    <n v="109.56"/>
    <d v="2025-07-10T00:00:00"/>
  </r>
  <r>
    <s v="Sem TR"/>
    <n v="64809276"/>
    <s v="ZRDI"/>
    <n v="10126026"/>
    <s v="D35"/>
    <s v="DEV D2C - Prod difere do comprado"/>
    <s v="COMERCIAL"/>
    <x v="2"/>
    <n v="53981229"/>
    <x v="1148"/>
    <s v="SP"/>
    <n v="475"/>
    <s v="Site Consul"/>
    <n v="1352"/>
    <s v="W11601003"/>
    <s v="Filtros"/>
    <x v="5"/>
    <n v="1000"/>
    <n v="5002359"/>
    <s v="EMPRESA BRASILEIRA DE CORREIOS E"/>
    <n v="109.56"/>
    <d v="2025-07-16T00:00:00"/>
  </r>
  <r>
    <n v="254032629"/>
    <n v="64811537"/>
    <s v="ZRDI"/>
    <n v="10127250"/>
    <n v="208"/>
    <s v="DEV-Atraso entrega- LOGISTICA(Transp)"/>
    <s v="TRANSPORTADORA"/>
    <x v="2"/>
    <n v="55168237"/>
    <x v="1149"/>
    <s v="SP"/>
    <n v="475"/>
    <s v="Site Consul"/>
    <n v="1352"/>
    <s v="W11601003"/>
    <s v="Filtros"/>
    <x v="5"/>
    <n v="1000"/>
    <n v="5002359"/>
    <s v="EMPRESA BRASILEIRA DE CORREIOS E"/>
    <n v="109.56"/>
    <d v="2025-07-16T00:00:00"/>
  </r>
  <r>
    <n v="254034002"/>
    <n v="64812601"/>
    <s v="ZRDI"/>
    <n v="10130033"/>
    <n v="208"/>
    <s v="DEV-Atraso entrega- LOGISTICA(Transp)"/>
    <s v="TRANSPORTADORA"/>
    <x v="2"/>
    <n v="52468901"/>
    <x v="1150"/>
    <s v="SP"/>
    <n v="475"/>
    <s v="Site Consul"/>
    <n v="1352"/>
    <s v="W11601003"/>
    <s v="Filtros"/>
    <x v="5"/>
    <n v="1000"/>
    <n v="5002359"/>
    <s v="EMPRESA BRASILEIRA DE CORREIOS E"/>
    <n v="109.56"/>
    <d v="2025-07-17T00:00:00"/>
  </r>
  <r>
    <s v="Sem TR"/>
    <n v="64812701"/>
    <s v="ZRDI"/>
    <n v="10142098"/>
    <s v="D10"/>
    <s v="DEV D2C - Comprou modelo errado"/>
    <s v="COMERCIAL"/>
    <x v="2"/>
    <n v="58117099"/>
    <x v="1098"/>
    <s v="SP"/>
    <n v="475"/>
    <s v="Site Consul"/>
    <n v="1352"/>
    <s v="W11601003"/>
    <s v="Filtros"/>
    <x v="5"/>
    <n v="1000"/>
    <n v="5002359"/>
    <s v="EMPRESA BRASILEIRA DE CORREIOS E"/>
    <n v="109.56"/>
    <d v="2025-07-21T00:00:00"/>
  </r>
  <r>
    <n v="254035955"/>
    <n v="64814050"/>
    <s v="ZRDI"/>
    <n v="10138839"/>
    <n v="208"/>
    <s v="DEV-Atraso entrega- LOGISTICA(Transp)"/>
    <s v="TRANSPORTADORA"/>
    <x v="2"/>
    <n v="58161355"/>
    <x v="1151"/>
    <s v="SP"/>
    <n v="475"/>
    <s v="Site Consul"/>
    <n v="1352"/>
    <s v="W11601003"/>
    <s v="Filtros"/>
    <x v="5"/>
    <n v="1000"/>
    <n v="5002359"/>
    <s v="EMPRESA BRASILEIRA DE CORREIOS E"/>
    <n v="109.56"/>
    <d v="2025-07-21T00:00:00"/>
  </r>
  <r>
    <s v="Sem TR"/>
    <n v="64815136"/>
    <s v="ZRDI"/>
    <n v="10144600"/>
    <s v="D35"/>
    <s v="DEV D2C - Prod difere do comprado"/>
    <s v="COMERCIAL"/>
    <x v="2"/>
    <n v="51912368"/>
    <x v="1152"/>
    <s v="SP"/>
    <n v="475"/>
    <s v="Site Consul"/>
    <n v="1352"/>
    <s v="W11601003"/>
    <s v="Filtros"/>
    <x v="5"/>
    <n v="1000"/>
    <n v="5002359"/>
    <s v="EMPRESA BRASILEIRA DE CORREIOS E"/>
    <n v="109.56"/>
    <d v="2025-07-25T00:00:00"/>
  </r>
  <r>
    <s v="Sem TR"/>
    <n v="64801458"/>
    <s v="ZRDI"/>
    <n v="10113904"/>
    <n v="509"/>
    <s v="Qtd de peças a Menor dentro do Volume"/>
    <s v="LOGÍSTICA"/>
    <x v="2"/>
    <n v="50069736"/>
    <x v="1143"/>
    <s v="SP"/>
    <n v="475"/>
    <s v="Site Consul"/>
    <n v="1352"/>
    <s v="W11601003"/>
    <s v="Filtros"/>
    <x v="5"/>
    <n v="1000"/>
    <n v="5002359"/>
    <s v="EMPRESA BRASILEIRA DE CORREIOS E"/>
    <n v="109.56"/>
    <d v="2025-07-16T00:00:00"/>
  </r>
  <r>
    <s v="Sem TR"/>
    <n v="64806302"/>
    <s v="ZRDI"/>
    <n v="10114429"/>
    <s v="D14"/>
    <s v="DEV D2C - Comprou prod cor errada"/>
    <s v="COMERCIAL"/>
    <x v="2"/>
    <n v="58127168"/>
    <x v="1145"/>
    <s v="SP"/>
    <n v="475"/>
    <s v="Site Consul"/>
    <n v="1352"/>
    <s v="W11601003"/>
    <s v="Filtros"/>
    <x v="5"/>
    <n v="1000"/>
    <n v="5002359"/>
    <s v="EMPRESA BRASILEIRA DE CORREIOS E"/>
    <n v="109.56"/>
    <d v="2025-07-08T00:00:00"/>
  </r>
  <r>
    <s v="Sem TR"/>
    <n v="64807612"/>
    <s v="ZRDI"/>
    <n v="10113929"/>
    <s v="D35"/>
    <s v="DEV D2C - Prod difere do comprado"/>
    <s v="COMERCIAL"/>
    <x v="2"/>
    <n v="51574638"/>
    <x v="1146"/>
    <s v="SP"/>
    <n v="475"/>
    <s v="Site Consul"/>
    <n v="1352"/>
    <s v="W11601003"/>
    <s v="Filtros"/>
    <x v="5"/>
    <n v="1000"/>
    <n v="5002359"/>
    <s v="EMPRESA BRASILEIRA DE CORREIOS E"/>
    <n v="109.56"/>
    <d v="2025-07-09T00:00:00"/>
  </r>
  <r>
    <s v="Sem TR"/>
    <n v="64809276"/>
    <s v="ZRDI"/>
    <n v="10126026"/>
    <s v="D35"/>
    <s v="DEV D2C - Prod difere do comprado"/>
    <s v="COMERCIAL"/>
    <x v="2"/>
    <n v="53981229"/>
    <x v="1148"/>
    <s v="SP"/>
    <n v="475"/>
    <s v="Site Consul"/>
    <n v="1352"/>
    <s v="W11601003"/>
    <s v="Filtros"/>
    <x v="5"/>
    <n v="1000"/>
    <n v="5002359"/>
    <s v="EMPRESA BRASILEIRA DE CORREIOS E"/>
    <n v="109.56"/>
    <d v="2025-07-16T00:00:00"/>
  </r>
  <r>
    <n v="254032629"/>
    <n v="64811537"/>
    <s v="ZRDI"/>
    <n v="10127250"/>
    <n v="208"/>
    <s v="DEV-Atraso entrega- LOGISTICA(Transp)"/>
    <s v="TRANSPORTADORA"/>
    <x v="2"/>
    <n v="55168237"/>
    <x v="1149"/>
    <s v="SP"/>
    <n v="475"/>
    <s v="Site Consul"/>
    <n v="1352"/>
    <s v="W11601003"/>
    <s v="Filtros"/>
    <x v="5"/>
    <n v="1000"/>
    <n v="5002359"/>
    <s v="EMPRESA BRASILEIRA DE CORREIOS E"/>
    <n v="109.56"/>
    <d v="2025-07-16T00:00:00"/>
  </r>
  <r>
    <n v="254034002"/>
    <n v="64812601"/>
    <s v="ZRDI"/>
    <n v="10130033"/>
    <n v="208"/>
    <s v="DEV-Atraso entrega- LOGISTICA(Transp)"/>
    <s v="TRANSPORTADORA"/>
    <x v="2"/>
    <n v="52468901"/>
    <x v="1150"/>
    <s v="SP"/>
    <n v="475"/>
    <s v="Site Consul"/>
    <n v="1352"/>
    <s v="W11601003"/>
    <s v="Filtros"/>
    <x v="5"/>
    <n v="1000"/>
    <n v="5002359"/>
    <s v="EMPRESA BRASILEIRA DE CORREIOS E"/>
    <n v="109.56"/>
    <d v="2025-07-17T00:00:00"/>
  </r>
  <r>
    <s v="Sem TR"/>
    <n v="64812701"/>
    <s v="ZRDI"/>
    <n v="10142098"/>
    <s v="D10"/>
    <s v="DEV D2C - Comprou modelo errado"/>
    <s v="COMERCIAL"/>
    <x v="2"/>
    <n v="58117099"/>
    <x v="1098"/>
    <s v="SP"/>
    <n v="475"/>
    <s v="Site Consul"/>
    <n v="1352"/>
    <s v="W11601003"/>
    <s v="Filtros"/>
    <x v="5"/>
    <n v="1000"/>
    <n v="5002359"/>
    <s v="EMPRESA BRASILEIRA DE CORREIOS E"/>
    <n v="109.56"/>
    <d v="2025-07-21T00:00:00"/>
  </r>
  <r>
    <n v="254035955"/>
    <n v="64814050"/>
    <s v="ZRDI"/>
    <n v="10138839"/>
    <n v="208"/>
    <s v="DEV-Atraso entrega- LOGISTICA(Transp)"/>
    <s v="TRANSPORTADORA"/>
    <x v="2"/>
    <n v="58161355"/>
    <x v="1151"/>
    <s v="SP"/>
    <n v="475"/>
    <s v="Site Consul"/>
    <n v="1352"/>
    <s v="W11601003"/>
    <s v="Filtros"/>
    <x v="5"/>
    <n v="1000"/>
    <n v="5002359"/>
    <s v="EMPRESA BRASILEIRA DE CORREIOS E"/>
    <n v="109.56"/>
    <d v="2025-07-21T00:00:00"/>
  </r>
  <r>
    <s v="Sem TR"/>
    <n v="64815136"/>
    <s v="ZRDI"/>
    <n v="10144600"/>
    <s v="D35"/>
    <s v="DEV D2C - Prod difere do comprado"/>
    <s v="COMERCIAL"/>
    <x v="2"/>
    <n v="51912368"/>
    <x v="1152"/>
    <s v="SP"/>
    <n v="475"/>
    <s v="Site Consul"/>
    <n v="1352"/>
    <s v="W11601003"/>
    <s v="Filtros"/>
    <x v="5"/>
    <n v="1000"/>
    <n v="5002359"/>
    <s v="EMPRESA BRASILEIRA DE CORREIOS E"/>
    <n v="109.56"/>
    <d v="2025-07-25T00:00:00"/>
  </r>
  <r>
    <s v="Sem TR"/>
    <n v="64788410"/>
    <s v="ZRDI"/>
    <n v="10065387"/>
    <s v="D10"/>
    <s v="DEV D2C - Comprou modelo errado"/>
    <s v="COMERCIAL"/>
    <x v="2"/>
    <n v="52184779"/>
    <x v="603"/>
    <s v="SP"/>
    <n v="475"/>
    <s v="Site Consul"/>
    <n v="1352"/>
    <s v="W11601003"/>
    <s v="Filtros"/>
    <x v="5"/>
    <n v="1000"/>
    <n v="5002359"/>
    <s v="EMPRESA BRASILEIRA DE CORREIOS E"/>
    <n v="109.55"/>
    <d v="2025-06-09T00:00:00"/>
  </r>
  <r>
    <s v="Sem TR"/>
    <n v="64801458"/>
    <s v="ZRDI"/>
    <n v="10113904"/>
    <n v="509"/>
    <s v="Qtd de peças a Menor dentro do Volume"/>
    <s v="LOGÍSTICA"/>
    <x v="2"/>
    <n v="50069736"/>
    <x v="1143"/>
    <s v="SP"/>
    <n v="475"/>
    <s v="Site Consul"/>
    <n v="1352"/>
    <s v="W11601003"/>
    <s v="Filtros"/>
    <x v="5"/>
    <n v="1000"/>
    <n v="5002359"/>
    <s v="EMPRESA BRASILEIRA DE CORREIOS E"/>
    <n v="109.55"/>
    <d v="2025-07-16T00:00:00"/>
  </r>
  <r>
    <n v="254024142"/>
    <n v="64803794"/>
    <s v="ZRDI"/>
    <n v="10078942"/>
    <n v="208"/>
    <s v="DEV-Atraso entrega- LOGISTICA(Transp)"/>
    <s v="TRANSPORTADORA"/>
    <x v="2"/>
    <n v="5982659"/>
    <x v="1144"/>
    <s v="SP"/>
    <n v="475"/>
    <s v="Site Consul"/>
    <n v="1352"/>
    <s v="W11601003"/>
    <s v="Filtros"/>
    <x v="5"/>
    <n v="1000"/>
    <n v="5002359"/>
    <s v="EMPRESA BRASILEIRA DE CORREIOS E"/>
    <n v="109.55"/>
    <d v="2025-07-01T00:00:00"/>
  </r>
  <r>
    <s v="Sem TR"/>
    <n v="64806302"/>
    <s v="ZRDI"/>
    <n v="10114429"/>
    <s v="D14"/>
    <s v="DEV D2C - Comprou prod cor errada"/>
    <s v="COMERCIAL"/>
    <x v="2"/>
    <n v="58127168"/>
    <x v="1145"/>
    <s v="SP"/>
    <n v="475"/>
    <s v="Site Consul"/>
    <n v="1352"/>
    <s v="W11601003"/>
    <s v="Filtros"/>
    <x v="5"/>
    <n v="1000"/>
    <n v="5002359"/>
    <s v="EMPRESA BRASILEIRA DE CORREIOS E"/>
    <n v="109.55"/>
    <d v="2025-07-08T00:00:00"/>
  </r>
  <r>
    <s v="Sem TR"/>
    <n v="64815136"/>
    <s v="ZRDI"/>
    <n v="10144600"/>
    <s v="D35"/>
    <s v="DEV D2C - Prod difere do comprado"/>
    <s v="COMERCIAL"/>
    <x v="2"/>
    <n v="51912368"/>
    <x v="1152"/>
    <s v="SP"/>
    <n v="475"/>
    <s v="Site Consul"/>
    <n v="1352"/>
    <s v="W11601003"/>
    <s v="Filtros"/>
    <x v="5"/>
    <n v="1000"/>
    <n v="5002359"/>
    <s v="EMPRESA BRASILEIRA DE CORREIOS E"/>
    <n v="109.55"/>
    <d v="2025-07-25T00:00:00"/>
  </r>
  <r>
    <s v="Sem TR"/>
    <n v="64801458"/>
    <s v="ZRDI"/>
    <n v="10113904"/>
    <n v="509"/>
    <s v="Qtd de peças a Menor dentro do Volume"/>
    <s v="LOGÍSTICA"/>
    <x v="2"/>
    <n v="50069736"/>
    <x v="1143"/>
    <s v="SP"/>
    <n v="475"/>
    <s v="Site Consul"/>
    <n v="1352"/>
    <s v="W11601003"/>
    <s v="Filtros"/>
    <x v="5"/>
    <n v="1000"/>
    <n v="5002359"/>
    <s v="EMPRESA BRASILEIRA DE CORREIOS E"/>
    <n v="109.55"/>
    <d v="2025-07-16T00:00:00"/>
  </r>
  <r>
    <s v="Sem TR"/>
    <n v="64806302"/>
    <s v="ZRDI"/>
    <n v="10114429"/>
    <s v="D14"/>
    <s v="DEV D2C - Comprou prod cor errada"/>
    <s v="COMERCIAL"/>
    <x v="2"/>
    <n v="58127168"/>
    <x v="1145"/>
    <s v="SP"/>
    <n v="475"/>
    <s v="Site Consul"/>
    <n v="1352"/>
    <s v="W11601003"/>
    <s v="Filtros"/>
    <x v="5"/>
    <n v="1000"/>
    <n v="5002359"/>
    <s v="EMPRESA BRASILEIRA DE CORREIOS E"/>
    <n v="109.55"/>
    <d v="2025-07-08T00:00:00"/>
  </r>
  <r>
    <s v="Sem TR"/>
    <n v="64815136"/>
    <s v="ZRDI"/>
    <n v="10144600"/>
    <s v="D35"/>
    <s v="DEV D2C - Prod difere do comprado"/>
    <s v="COMERCIAL"/>
    <x v="2"/>
    <n v="51912368"/>
    <x v="1152"/>
    <s v="SP"/>
    <n v="475"/>
    <s v="Site Consul"/>
    <n v="1352"/>
    <s v="W11601003"/>
    <s v="Filtros"/>
    <x v="5"/>
    <n v="1000"/>
    <n v="5002359"/>
    <s v="EMPRESA BRASILEIRA DE CORREIOS E"/>
    <n v="109.55"/>
    <d v="2025-07-25T00:00:00"/>
  </r>
  <r>
    <s v="Sem TR"/>
    <n v="64815013"/>
    <s v="ZRDI"/>
    <n v="10134625"/>
    <s v="D10"/>
    <s v="DEV D2C - Comprou modelo errado"/>
    <s v="COMERCIAL"/>
    <x v="1"/>
    <n v="58151785"/>
    <x v="1153"/>
    <s v="SP"/>
    <n v="466"/>
    <s v="Sup ML Marketplace"/>
    <n v="1352"/>
    <s v="W10212150"/>
    <s v="Gavetas"/>
    <x v="9"/>
    <n v="1000"/>
    <n v="5002359"/>
    <s v="EMPRESA BRASILEIRA DE CORREIOS E"/>
    <n v="109.53"/>
    <d v="2025-07-30T00:00:00"/>
  </r>
  <r>
    <s v="Sem TR"/>
    <n v="64759612"/>
    <s v="REB"/>
    <n v="9864425"/>
    <n v="160"/>
    <s v="OI Cancelada - Ver motivo no texto"/>
    <s v="OUTROS"/>
    <x v="1"/>
    <n v="9452"/>
    <x v="42"/>
    <s v="SP"/>
    <n v="931"/>
    <s v="Ats Off"/>
    <n v="1350"/>
    <s v="W10276227"/>
    <s v="Molduras"/>
    <x v="6"/>
    <n v="1000"/>
    <n v="5004042"/>
    <s v="BRASIL WEB TRANSPORTES E LOGISTICA"/>
    <n v="109.44"/>
    <d v="2025-04-28T00:00:00"/>
  </r>
  <r>
    <n v="254030459"/>
    <n v="64800021"/>
    <s v="REB"/>
    <n v="10006871"/>
    <n v="176"/>
    <s v="PEÇAS - Defeito de fabric./Interrompido"/>
    <s v="FUNCIONAL"/>
    <x v="1"/>
    <n v="13757"/>
    <x v="14"/>
    <s v="SP"/>
    <n v="713"/>
    <s v="Key Account"/>
    <n v="1350"/>
    <s v="W11300675"/>
    <s v="Mecanismos"/>
    <x v="2"/>
    <n v="1000"/>
    <n v="5004042"/>
    <s v="BRASIL WEB TRANSPORTES E LOGISTICA"/>
    <n v="109.2"/>
    <d v="2025-07-01T00:00:00"/>
  </r>
  <r>
    <n v="254012576"/>
    <n v="64789505"/>
    <s v="REB"/>
    <n v="9972475"/>
    <n v="173"/>
    <s v="PEÇAS - Defeito de fabric./Alta Amperage"/>
    <s v="FUNCIONAL"/>
    <x v="1"/>
    <n v="63620"/>
    <x v="328"/>
    <s v="MG"/>
    <n v="934"/>
    <s v="CDP Ouro"/>
    <n v="1350"/>
    <s v="W11299803"/>
    <s v="Mecanismos"/>
    <x v="2"/>
    <n v="1000"/>
    <n v="5004215"/>
    <s v="BRASIL WEB TRANSPORTES E LOGISTICA"/>
    <n v="109.17"/>
    <d v="2025-06-10T00:00:00"/>
  </r>
  <r>
    <n v="254012577"/>
    <n v="64789504"/>
    <s v="REB"/>
    <n v="9972475"/>
    <n v="173"/>
    <s v="PEÇAS - Defeito de fabric./Alta Amperage"/>
    <s v="FUNCIONAL"/>
    <x v="2"/>
    <n v="63620"/>
    <x v="328"/>
    <s v="MG"/>
    <n v="934"/>
    <s v="CDP Ouro"/>
    <n v="1350"/>
    <s v="W11299803"/>
    <s v="Mecanismos"/>
    <x v="2"/>
    <n v="1000"/>
    <n v="5004215"/>
    <s v="BRASIL WEB TRANSPORTES E LOGISTICA"/>
    <n v="109.17"/>
    <d v="2025-06-10T00:00:00"/>
  </r>
  <r>
    <n v="254038301"/>
    <n v="64814036"/>
    <s v="REB"/>
    <n v="10114024"/>
    <n v="173"/>
    <s v="PEÇAS - Defeito de fabric./Alta Amperage"/>
    <s v="FUNCIONAL"/>
    <x v="1"/>
    <n v="18805"/>
    <x v="307"/>
    <s v="PR"/>
    <n v="648"/>
    <s v="Ultra"/>
    <n v="1350"/>
    <s v="W11300675"/>
    <s v="Mecanismos"/>
    <x v="2"/>
    <n v="1000"/>
    <n v="5003024"/>
    <s v="RODOBRAS TRANSPORTES RODOVIARIOS LT"/>
    <n v="109.03"/>
    <d v="2025-07-22T00:00:00"/>
  </r>
  <r>
    <n v="254024102"/>
    <n v="64803624"/>
    <s v="ZRDI"/>
    <n v="10030972"/>
    <n v="208"/>
    <s v="DEV-Atraso entrega- LOGISTICA(Transp)"/>
    <s v="TRANSPORTADORA"/>
    <x v="2"/>
    <n v="54585856"/>
    <x v="1154"/>
    <s v="SE"/>
    <n v="475"/>
    <s v="Site Consul"/>
    <n v="1352"/>
    <s v="W11199342"/>
    <s v="Filtros"/>
    <x v="5"/>
    <n v="1000"/>
    <n v="5002359"/>
    <s v="EMPRESA BRASILEIRA DE CORREIOS E"/>
    <n v="108.91"/>
    <d v="2025-07-01T00:00:00"/>
  </r>
  <r>
    <n v="254035351"/>
    <n v="64812390"/>
    <s v="REB"/>
    <n v="10008061"/>
    <n v="176"/>
    <s v="PEÇAS - Defeito de fabric./Interrompido"/>
    <s v="FUNCIONAL"/>
    <x v="1"/>
    <n v="21594"/>
    <x v="97"/>
    <s v="SP"/>
    <n v="931"/>
    <s v="Ats Off"/>
    <n v="1350"/>
    <s v="W11113071"/>
    <s v="Termostatos"/>
    <x v="3"/>
    <n v="1000"/>
    <n v="5004042"/>
    <s v="BRASIL WEB TRANSPORTES E LOGISTICA"/>
    <n v="108.9"/>
    <d v="2025-07-17T00:00:00"/>
  </r>
  <r>
    <n v="253981400"/>
    <n v="64758272"/>
    <s v="REB"/>
    <n v="9836207"/>
    <n v="173"/>
    <s v="PEÇAS - Defeito de fabric./Alta Amperage"/>
    <s v="FUNCIONAL"/>
    <x v="2"/>
    <n v="21295"/>
    <x v="2"/>
    <s v="SP"/>
    <n v="648"/>
    <s v="Ultra"/>
    <n v="1350"/>
    <s v="W11300675"/>
    <s v="Mecanismos"/>
    <x v="2"/>
    <n v="1000"/>
    <n v="5004042"/>
    <s v="BRASIL WEB TRANSPORTES E LOGISTICA"/>
    <n v="108.81"/>
    <d v="2025-04-25T00:00:00"/>
  </r>
  <r>
    <n v="253995096"/>
    <n v="64772596"/>
    <s v="REB"/>
    <n v="9836207"/>
    <n v="173"/>
    <s v="PEÇAS - Defeito de fabric./Alta Amperage"/>
    <s v="FUNCIONAL"/>
    <x v="2"/>
    <n v="21295"/>
    <x v="2"/>
    <s v="SP"/>
    <n v="648"/>
    <s v="Ultra"/>
    <n v="1350"/>
    <s v="W11300675"/>
    <s v="Mecanismos"/>
    <x v="2"/>
    <n v="1000"/>
    <n v="5004042"/>
    <s v="BRASIL WEB TRANSPORTES E LOGISTICA"/>
    <n v="108.81"/>
    <d v="2025-05-16T00:00:00"/>
  </r>
  <r>
    <n v="254018224"/>
    <n v="64792375"/>
    <s v="REB"/>
    <n v="9953372"/>
    <n v="176"/>
    <s v="PEÇAS - Defeito de fabric./Interrompido"/>
    <s v="FUNCIONAL"/>
    <x v="1"/>
    <n v="13757"/>
    <x v="14"/>
    <s v="SP"/>
    <n v="713"/>
    <s v="Key Account"/>
    <n v="1350"/>
    <s v="W11300675"/>
    <s v="Mecanismos"/>
    <x v="2"/>
    <n v="1000"/>
    <n v="5004042"/>
    <s v="BRASIL WEB TRANSPORTES E LOGISTICA"/>
    <n v="108.8"/>
    <d v="2025-06-16T00:00:00"/>
  </r>
  <r>
    <n v="253988929"/>
    <n v="64764255"/>
    <s v="REB"/>
    <n v="9992051"/>
    <n v="176"/>
    <s v="PEÇAS - Defeito de fabric./Interrompido"/>
    <s v="FUNCIONAL"/>
    <x v="1"/>
    <n v="80834"/>
    <x v="346"/>
    <s v="RO"/>
    <n v="934"/>
    <s v="CDP Ouro"/>
    <n v="1350"/>
    <s v="W11299803"/>
    <s v="Mecanismos"/>
    <x v="2"/>
    <n v="1000"/>
    <n v="5002858"/>
    <s v="FAVORITA TRANSPORTES LTDA"/>
    <n v="108.79"/>
    <d v="2025-05-05T00:00:00"/>
  </r>
  <r>
    <n v="254027351"/>
    <n v="64806754"/>
    <s v="ZRDI"/>
    <n v="10093681"/>
    <n v="208"/>
    <s v="DEV-Atraso entrega- LOGISTICA(Transp)"/>
    <s v="TRANSPORTADORA"/>
    <x v="2"/>
    <n v="50002927"/>
    <x v="1155"/>
    <s v="BA"/>
    <n v="475"/>
    <s v="Site Consul"/>
    <n v="1352"/>
    <s v="W10301562"/>
    <s v="Filtros"/>
    <x v="5"/>
    <n v="1000"/>
    <n v="5002359"/>
    <s v="EMPRESA BRASILEIRA DE CORREIOS E"/>
    <n v="108.53"/>
    <d v="2025-07-07T00:00:00"/>
  </r>
  <r>
    <n v="253992717"/>
    <n v="64768456"/>
    <s v="REB"/>
    <n v="9933718"/>
    <n v="177"/>
    <s v="PEÇAS - Defeito de fabric./Ruído"/>
    <s v="FUNCIONAL"/>
    <x v="1"/>
    <n v="26337"/>
    <x v="378"/>
    <s v="SP"/>
    <n v="350"/>
    <s v="Ats On"/>
    <n v="1350"/>
    <s v="W11299803"/>
    <s v="Mecanismos"/>
    <x v="2"/>
    <n v="1000"/>
    <n v="5004042"/>
    <s v="BRASIL WEB TRANSPORTES E LOGISTICA"/>
    <n v="108.5"/>
    <d v="2025-05-12T00:00:00"/>
  </r>
  <r>
    <n v="254003860"/>
    <n v="64777910"/>
    <s v="REB"/>
    <n v="9959643"/>
    <n v="177"/>
    <s v="PEÇAS - Defeito de fabric./Ruído"/>
    <s v="FUNCIONAL"/>
    <x v="1"/>
    <n v="3648"/>
    <x v="130"/>
    <s v="SP"/>
    <n v="350"/>
    <s v="Ats On"/>
    <n v="1350"/>
    <s v="W11299803"/>
    <s v="Mecanismos"/>
    <x v="2"/>
    <n v="1000"/>
    <n v="5004042"/>
    <s v="BRASIL WEB TRANSPORTES E LOGISTICA"/>
    <n v="108.5"/>
    <d v="2025-05-26T00:00:00"/>
  </r>
  <r>
    <n v="254018261"/>
    <n v="64785648"/>
    <s v="REB"/>
    <n v="9968389"/>
    <n v="173"/>
    <s v="PEÇAS - Defeito de fabric./Alta Amperage"/>
    <s v="FUNCIONAL"/>
    <x v="2"/>
    <n v="29731"/>
    <x v="14"/>
    <s v="RS"/>
    <n v="713"/>
    <s v="Key Account"/>
    <n v="1350"/>
    <s v="W11300816"/>
    <s v="Mecanismos"/>
    <x v="2"/>
    <n v="1000"/>
    <n v="5003024"/>
    <s v="RODOBRAS TRANSPORTES RODOVIARIOS LT"/>
    <n v="108.42"/>
    <d v="2025-06-17T00:00:00"/>
  </r>
  <r>
    <n v="254032516"/>
    <n v="64811480"/>
    <s v="ZRDI"/>
    <n v="10093385"/>
    <n v="208"/>
    <s v="DEV-Atraso entrega- LOGISTICA(Transp)"/>
    <s v="TRANSPORTADORA"/>
    <x v="2"/>
    <n v="56333114"/>
    <x v="1156"/>
    <s v="PE"/>
    <n v="475"/>
    <s v="Site Consul"/>
    <n v="1352"/>
    <s v="W11199342"/>
    <s v="Filtros"/>
    <x v="5"/>
    <n v="1000"/>
    <n v="5002359"/>
    <s v="EMPRESA BRASILEIRA DE CORREIOS E"/>
    <n v="108.41"/>
    <d v="2025-07-16T00:00:00"/>
  </r>
  <r>
    <n v="254032519"/>
    <n v="64811483"/>
    <s v="ZRDI"/>
    <n v="10094241"/>
    <n v="208"/>
    <s v="DEV-Atraso entrega- LOGISTICA(Transp)"/>
    <s v="TRANSPORTADORA"/>
    <x v="2"/>
    <n v="56918525"/>
    <x v="1157"/>
    <s v="RJ"/>
    <n v="475"/>
    <s v="Site Consul"/>
    <n v="1352"/>
    <s v="W11199342"/>
    <s v="Filtros"/>
    <x v="5"/>
    <n v="1000"/>
    <n v="5002359"/>
    <s v="EMPRESA BRASILEIRA DE CORREIOS E"/>
    <n v="108.41"/>
    <d v="2025-07-16T00:00:00"/>
  </r>
  <r>
    <n v="254032623"/>
    <n v="64810007"/>
    <s v="ZRDI"/>
    <n v="10119350"/>
    <n v="208"/>
    <s v="DEV-Atraso entrega- LOGISTICA(Transp)"/>
    <s v="TRANSPORTADORA"/>
    <x v="2"/>
    <n v="53514598"/>
    <x v="469"/>
    <s v="SP"/>
    <n v="746"/>
    <s v="Marketplace B2W"/>
    <n v="1352"/>
    <s v="W11100357"/>
    <s v="Tubos Queima"/>
    <x v="12"/>
    <n v="1000"/>
    <n v="5002359"/>
    <s v="EMPRESA BRASILEIRA DE CORREIOS E"/>
    <n v="108.34"/>
    <d v="2025-07-16T00:00:00"/>
  </r>
  <r>
    <n v="254032623"/>
    <n v="64810007"/>
    <s v="ZRDI"/>
    <n v="10119350"/>
    <n v="208"/>
    <s v="DEV-Atraso entrega- LOGISTICA(Transp)"/>
    <s v="TRANSPORTADORA"/>
    <x v="2"/>
    <n v="53514598"/>
    <x v="469"/>
    <s v="SP"/>
    <n v="746"/>
    <s v="Marketplace B2W"/>
    <n v="1352"/>
    <s v="W11100357"/>
    <s v="Tubos Queima"/>
    <x v="12"/>
    <n v="1000"/>
    <n v="5002359"/>
    <s v="EMPRESA BRASILEIRA DE CORREIOS E"/>
    <n v="108.34"/>
    <d v="2025-07-16T00:00:00"/>
  </r>
  <r>
    <n v="254024153"/>
    <n v="64803820"/>
    <s v="ZRDI"/>
    <n v="10097995"/>
    <n v="208"/>
    <s v="DEV-Atraso entrega- LOGISTICA(Transp)"/>
    <s v="TRANSPORTADORA"/>
    <x v="2"/>
    <n v="53102492"/>
    <x v="1158"/>
    <s v="MG"/>
    <n v="475"/>
    <s v="Site Consul"/>
    <n v="1352"/>
    <s v="W10301562"/>
    <s v="Filtros"/>
    <x v="5"/>
    <n v="1000"/>
    <n v="5002359"/>
    <s v="EMPRESA BRASILEIRA DE CORREIOS E"/>
    <n v="108.33"/>
    <d v="2025-07-01T00:00:00"/>
  </r>
  <r>
    <s v="Sem TR"/>
    <n v="64760190"/>
    <s v="ROB"/>
    <n v="9961933"/>
    <n v="25"/>
    <s v="OC. 80 - EXTRAVIO TOTAL"/>
    <s v="TRANSPORTADORA"/>
    <x v="0"/>
    <n v="1953"/>
    <x v="1159"/>
    <s v="MG"/>
    <n v="350"/>
    <s v="Ats On"/>
    <n v="1350"/>
    <s v="W10833267"/>
    <s v="Parafusos e afins"/>
    <x v="10"/>
    <n v="1000"/>
    <n v="5004101"/>
    <s v="UNIDOCK'S ASSESSORIA E LOGISTICA DE"/>
    <n v="108.25"/>
    <d v="2025-04-28T00:00:00"/>
  </r>
  <r>
    <s v="Sem TR"/>
    <n v="64815693"/>
    <s v="ZRDI"/>
    <n v="10140116"/>
    <s v="D10"/>
    <s v="DEV D2C - Comprou modelo errado"/>
    <s v="COMERCIAL"/>
    <x v="1"/>
    <n v="54667355"/>
    <x v="1160"/>
    <s v="MG"/>
    <n v="474"/>
    <s v="Site Brastemp"/>
    <n v="1352"/>
    <s v="W10622820"/>
    <s v="Painéis de Controle"/>
    <x v="6"/>
    <n v="1000"/>
    <n v="5002359"/>
    <s v="EMPRESA BRASILEIRA DE CORREIOS E"/>
    <n v="108.18"/>
    <d v="2025-07-28T00:00:00"/>
  </r>
  <r>
    <n v="254012439"/>
    <n v="64782287"/>
    <s v="REB"/>
    <n v="9688270"/>
    <n v="176"/>
    <s v="PEÇAS - Defeito de fabric./Interrompido"/>
    <s v="FUNCIONAL"/>
    <x v="1"/>
    <n v="3506"/>
    <x v="46"/>
    <s v="SP"/>
    <n v="931"/>
    <s v="Ats Off"/>
    <n v="1350"/>
    <s v="W10257451"/>
    <s v="Termostatos"/>
    <x v="3"/>
    <n v="1000"/>
    <n v="5004042"/>
    <s v="BRASIL WEB TRANSPORTES E LOGISTICA"/>
    <n v="108.14"/>
    <d v="2025-06-10T00:00:00"/>
  </r>
  <r>
    <s v="Sem TR"/>
    <n v="64802287"/>
    <s v="ZRDI"/>
    <n v="10082811"/>
    <s v="D10"/>
    <s v="DEV D2C - Comprou modelo errado"/>
    <s v="COMERCIAL"/>
    <x v="2"/>
    <n v="58078950"/>
    <x v="1161"/>
    <s v="PR"/>
    <n v="475"/>
    <s v="Site Consul"/>
    <n v="1352"/>
    <s v="W10212150"/>
    <s v="Gavetas"/>
    <x v="9"/>
    <n v="1000"/>
    <n v="5002359"/>
    <s v="EMPRESA BRASILEIRA DE CORREIOS E"/>
    <n v="108.06"/>
    <d v="2025-07-02T00:00:00"/>
  </r>
  <r>
    <n v="253970679"/>
    <n v="64748741"/>
    <s v="REB"/>
    <n v="9961953"/>
    <n v="167"/>
    <s v="PEÇAS - Avaria - Quebrada/Depósito"/>
    <s v="LOGÍSTICA"/>
    <x v="2"/>
    <n v="2159"/>
    <x v="156"/>
    <s v="MG"/>
    <n v="350"/>
    <s v="Ats On"/>
    <n v="1350"/>
    <s v="W11298039"/>
    <s v="Gavetas"/>
    <x v="9"/>
    <n v="1000"/>
    <n v="5004215"/>
    <s v="BRASIL WEB TRANSPORTES E LOGISTICA"/>
    <n v="107.93"/>
    <d v="2025-04-09T00:00:00"/>
  </r>
  <r>
    <n v="254033417"/>
    <n v="64802549"/>
    <s v="REB"/>
    <n v="10045061"/>
    <n v="173"/>
    <s v="PEÇAS - Defeito de fabric./Alta Amperage"/>
    <s v="FUNCIONAL"/>
    <x v="0"/>
    <n v="51613"/>
    <x v="34"/>
    <s v="MG"/>
    <n v="643"/>
    <s v="Elite"/>
    <n v="1350"/>
    <s v="W11364875"/>
    <s v="Válvulas de Água"/>
    <x v="5"/>
    <n v="4000"/>
    <n v="5004215"/>
    <s v="BRASIL WEB TRANSPORTES E LOGISTICA"/>
    <n v="107.88"/>
    <d v="2025-07-01T00:00:00"/>
  </r>
  <r>
    <s v="Sem TR"/>
    <n v="64731947"/>
    <s v="REB"/>
    <n v="46649"/>
    <n v="90"/>
    <s v="CLIENTE-não solicitou"/>
    <s v="COMERCIAL"/>
    <x v="2"/>
    <n v="33403"/>
    <x v="260"/>
    <s v="RN"/>
    <n v="648"/>
    <s v="Ultra"/>
    <n v="1550"/>
    <s v="W10754676"/>
    <s v="Suportes"/>
    <x v="6"/>
    <n v="3000"/>
    <n v="5004391"/>
    <s v="JEONCEL TRANSPORTES LTDA"/>
    <n v="107.87"/>
    <d v="2025-03-14T00:00:00"/>
  </r>
  <r>
    <s v="Sem TR"/>
    <n v="64746110"/>
    <s v="REB"/>
    <n v="9940200"/>
    <n v="509"/>
    <s v="Qtd de peças a Menor dentro do Volume"/>
    <s v="LOGÍSTICA"/>
    <x v="1"/>
    <n v="14474"/>
    <x v="25"/>
    <s v="RN"/>
    <n v="648"/>
    <s v="Ultra"/>
    <n v="1350"/>
    <s v="W10531315"/>
    <s v="Sensores"/>
    <x v="3"/>
    <n v="16000"/>
    <n v="5002359"/>
    <s v="EMPRESA BRASILEIRA DE CORREIOS E"/>
    <n v="107.86"/>
    <d v="2025-04-04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1100357"/>
    <s v="Tubos Queima"/>
    <x v="12"/>
    <n v="1000"/>
    <n v="5002359"/>
    <s v="EMPRESA BRASILEIRA DE CORREIOS E"/>
    <n v="107.77"/>
    <d v="2025-07-16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1100357"/>
    <s v="Tubos Queima"/>
    <x v="12"/>
    <n v="1000"/>
    <n v="5002359"/>
    <s v="EMPRESA BRASILEIRA DE CORREIOS E"/>
    <n v="107.77"/>
    <d v="2025-07-16T00:00:00"/>
  </r>
  <r>
    <s v="Sem TR"/>
    <n v="64814396"/>
    <s v="ZRDI"/>
    <n v="10134300"/>
    <s v="D31"/>
    <s v="DEV D2C - Defeito estético manufatura"/>
    <s v="MANUFATURA"/>
    <x v="2"/>
    <n v="57287182"/>
    <x v="1162"/>
    <s v="SC"/>
    <n v="475"/>
    <s v="Site Consul"/>
    <n v="1352"/>
    <s v="W11509386"/>
    <s v="Filtros"/>
    <x v="5"/>
    <n v="1000"/>
    <n v="5002359"/>
    <s v="EMPRESA BRASILEIRA DE CORREIOS E"/>
    <n v="107.68"/>
    <d v="2025-07-25T00:00:00"/>
  </r>
  <r>
    <s v="Sem TR"/>
    <n v="64814396"/>
    <s v="ZRDI"/>
    <n v="10134300"/>
    <s v="D31"/>
    <s v="DEV D2C - Defeito estético manufatura"/>
    <s v="MANUFATURA"/>
    <x v="2"/>
    <n v="57287182"/>
    <x v="1162"/>
    <s v="SC"/>
    <n v="475"/>
    <s v="Site Consul"/>
    <n v="1352"/>
    <s v="W11509386"/>
    <s v="Filtros"/>
    <x v="5"/>
    <n v="1000"/>
    <n v="5002359"/>
    <s v="EMPRESA BRASILEIRA DE CORREIOS E"/>
    <n v="107.68"/>
    <d v="2025-07-25T00:00:00"/>
  </r>
  <r>
    <n v="254037098"/>
    <n v="64815006"/>
    <s v="ZRDI"/>
    <n v="10128165"/>
    <n v="208"/>
    <s v="DEV-Atraso entrega- LOGISTICA(Transp)"/>
    <s v="TRANSPORTADORA"/>
    <x v="2"/>
    <n v="58144633"/>
    <x v="1163"/>
    <s v="PI"/>
    <n v="475"/>
    <s v="Site Consul"/>
    <n v="1352"/>
    <s v="W11601002"/>
    <s v="Filtros"/>
    <x v="5"/>
    <n v="1000"/>
    <n v="5002359"/>
    <s v="EMPRESA BRASILEIRA DE CORREIOS E"/>
    <n v="107.58"/>
    <d v="2025-07-22T00:00:00"/>
  </r>
  <r>
    <n v="254037098"/>
    <n v="64815006"/>
    <s v="ZRDI"/>
    <n v="10128165"/>
    <n v="208"/>
    <s v="DEV-Atraso entrega- LOGISTICA(Transp)"/>
    <s v="TRANSPORTADORA"/>
    <x v="2"/>
    <n v="58144633"/>
    <x v="1163"/>
    <s v="PI"/>
    <n v="475"/>
    <s v="Site Consul"/>
    <n v="1352"/>
    <s v="W11601002"/>
    <s v="Filtros"/>
    <x v="5"/>
    <n v="1000"/>
    <n v="5002359"/>
    <s v="EMPRESA BRASILEIRA DE CORREIOS E"/>
    <n v="107.58"/>
    <d v="2025-07-22T00:00:00"/>
  </r>
  <r>
    <n v="254033403"/>
    <n v="64800116"/>
    <s v="REB"/>
    <n v="10015525"/>
    <n v="173"/>
    <s v="PEÇAS - Defeito de fabric./Alta Amperage"/>
    <s v="FUNCIONAL"/>
    <x v="1"/>
    <n v="37434"/>
    <x v="95"/>
    <s v="GO"/>
    <n v="931"/>
    <s v="Ats Off"/>
    <n v="1350"/>
    <s v="W11650068"/>
    <s v="Outros"/>
    <x v="7"/>
    <n v="1000"/>
    <n v="5002858"/>
    <s v="FAVORITA TRANSPORTES LTDA"/>
    <n v="107.54"/>
    <d v="2025-07-01T00:00:00"/>
  </r>
  <r>
    <s v="Sem TR"/>
    <n v="64813761"/>
    <s v="ZRDI"/>
    <n v="10142147"/>
    <s v="D10"/>
    <s v="DEV D2C - Comprou modelo errado"/>
    <s v="COMERCIAL"/>
    <x v="2"/>
    <n v="58165151"/>
    <x v="1164"/>
    <s v="MG"/>
    <n v="474"/>
    <s v="Site Brastemp"/>
    <n v="1352"/>
    <s v="W11209044"/>
    <s v="Prateleiras"/>
    <x v="9"/>
    <n v="1000"/>
    <n v="5002359"/>
    <s v="EMPRESA BRASILEIRA DE CORREIOS E"/>
    <n v="107.46"/>
    <d v="2025-07-21T00:00:00"/>
  </r>
  <r>
    <s v="Sem TR"/>
    <n v="64813761"/>
    <s v="ZRDI"/>
    <n v="10142147"/>
    <s v="D10"/>
    <s v="DEV D2C - Comprou modelo errado"/>
    <s v="COMERCIAL"/>
    <x v="2"/>
    <n v="58165151"/>
    <x v="1164"/>
    <s v="MG"/>
    <n v="474"/>
    <s v="Site Brastemp"/>
    <n v="1352"/>
    <s v="W11209044"/>
    <s v="Prateleiras"/>
    <x v="9"/>
    <n v="1000"/>
    <n v="5002359"/>
    <s v="EMPRESA BRASILEIRA DE CORREIOS E"/>
    <n v="107.46"/>
    <d v="2025-07-21T00:00:00"/>
  </r>
  <r>
    <s v="Sem TR"/>
    <n v="64808307"/>
    <s v="ZRDI"/>
    <n v="10116403"/>
    <s v="D18"/>
    <s v="DEV D2C - Arrependimento não quero mais"/>
    <s v="COMERCIAL"/>
    <x v="2"/>
    <n v="58125883"/>
    <x v="1165"/>
    <s v="RJ"/>
    <n v="475"/>
    <s v="Site Consul"/>
    <n v="1352"/>
    <s v="W11509386"/>
    <s v="Filtros"/>
    <x v="5"/>
    <n v="1000"/>
    <n v="5002359"/>
    <s v="EMPRESA BRASILEIRA DE CORREIOS E"/>
    <n v="107.38"/>
    <d v="2025-07-16T00:00:00"/>
  </r>
  <r>
    <s v="Sem TR"/>
    <n v="64808307"/>
    <s v="ZRDI"/>
    <n v="10116403"/>
    <s v="D18"/>
    <s v="DEV D2C - Arrependimento não quero mais"/>
    <s v="COMERCIAL"/>
    <x v="2"/>
    <n v="58125883"/>
    <x v="1165"/>
    <s v="RJ"/>
    <n v="475"/>
    <s v="Site Consul"/>
    <n v="1352"/>
    <s v="W11509386"/>
    <s v="Filtros"/>
    <x v="5"/>
    <n v="1000"/>
    <n v="5002359"/>
    <s v="EMPRESA BRASILEIRA DE CORREIOS E"/>
    <n v="107.38"/>
    <d v="2025-07-16T00:00:00"/>
  </r>
  <r>
    <n v="254012512"/>
    <n v="64787902"/>
    <s v="REB"/>
    <n v="10050976"/>
    <n v="167"/>
    <s v="PEÇAS - Avaria - Quebrada/Depósito"/>
    <s v="LOGÍSTICA"/>
    <x v="1"/>
    <n v="31537"/>
    <x v="523"/>
    <s v="RS"/>
    <n v="641"/>
    <s v="CDP Diamante"/>
    <n v="1350"/>
    <s v="W10287547"/>
    <s v="Gavetas"/>
    <x v="9"/>
    <n v="1000"/>
    <n v="5003024"/>
    <s v="RODOBRAS TRANSPORTES RODOVIARIOS LT"/>
    <n v="107.3"/>
    <d v="2025-06-10T00:00:00"/>
  </r>
  <r>
    <n v="254035375"/>
    <n v="64802573"/>
    <s v="REB"/>
    <n v="10106777"/>
    <n v="167"/>
    <s v="PEÇAS - Avaria - Quebrada/Depósito"/>
    <s v="LOGÍSTICA"/>
    <x v="0"/>
    <n v="31537"/>
    <x v="523"/>
    <s v="RS"/>
    <n v="641"/>
    <s v="CDP Diamante"/>
    <n v="1350"/>
    <s v="W10287547"/>
    <s v="Gavetas"/>
    <x v="9"/>
    <n v="1000"/>
    <n v="5003024"/>
    <s v="RODOBRAS TRANSPORTES RODOVIARIOS LT"/>
    <n v="107.3"/>
    <d v="2025-07-17T00:00:00"/>
  </r>
  <r>
    <n v="253964074"/>
    <n v="64743035"/>
    <s v="ROB"/>
    <n v="48888"/>
    <n v="115"/>
    <s v="PEÇAS-Recusa do cliente"/>
    <s v="COMERCIAL"/>
    <x v="2"/>
    <n v="93416"/>
    <x v="1166"/>
    <s v="PE"/>
    <n v="698"/>
    <s v="CDP Bronze"/>
    <n v="1550"/>
    <s v="W11300675"/>
    <s v="Mecanismos"/>
    <x v="2"/>
    <n v="1000"/>
    <n v="5000253"/>
    <s v="TRANSPORTADOR GENERICO"/>
    <n v="107.24"/>
    <d v="2025-03-31T00:00:00"/>
  </r>
  <r>
    <n v="253872364"/>
    <n v="64641872"/>
    <s v="REB"/>
    <n v="9645680"/>
    <n v="176"/>
    <s v="PEÇAS - Defeito de fabric./Interrompido"/>
    <s v="FUNCIONAL"/>
    <x v="1"/>
    <n v="21594"/>
    <x v="97"/>
    <s v="SP"/>
    <n v="931"/>
    <s v="Ats Off"/>
    <n v="1350"/>
    <s v="W11113071"/>
    <s v="Termostatos"/>
    <x v="3"/>
    <n v="1000"/>
    <n v="5003254"/>
    <s v="TMA TRANSPORTE LOTACAO E LOGISTICA"/>
    <n v="107.22"/>
    <d v="2024-11-11T00:00:00"/>
  </r>
  <r>
    <n v="253944066"/>
    <n v="64714841"/>
    <s v="REB"/>
    <n v="9846739"/>
    <n v="167"/>
    <s v="PEÇAS - Avaria - Quebrada/Depósito"/>
    <s v="LOGÍSTICA"/>
    <x v="1"/>
    <n v="56043"/>
    <x v="48"/>
    <s v="PR"/>
    <n v="963"/>
    <s v="Ats Distribuidoras"/>
    <n v="1350"/>
    <s v="W10581058"/>
    <s v="Gavetas"/>
    <x v="9"/>
    <n v="1000"/>
    <n v="5003024"/>
    <s v="RODOBRAS TRANSPORTES RODOVIARIOS LT"/>
    <n v="107.12"/>
    <d v="2025-02-17T00:00:00"/>
  </r>
  <r>
    <n v="253944062"/>
    <n v="64714098"/>
    <s v="REB"/>
    <n v="9846739"/>
    <n v="671"/>
    <s v="DEV-ENVIADO PARA GESTÃO DE CONSEQUENCIA"/>
    <s v="TRANSPORTADORA"/>
    <x v="1"/>
    <n v="56043"/>
    <x v="48"/>
    <s v="PR"/>
    <n v="963"/>
    <s v="Ats Distribuidoras"/>
    <n v="1350"/>
    <s v="W10581058"/>
    <s v="Gavetas"/>
    <x v="9"/>
    <n v="1000"/>
    <n v="5003024"/>
    <s v="RODOBRAS TRANSPORTES RODOVIARIOS LT"/>
    <n v="107.12"/>
    <d v="2025-02-17T00:00:00"/>
  </r>
  <r>
    <n v="253944063"/>
    <n v="64714773"/>
    <s v="REB"/>
    <n v="9846739"/>
    <n v="671"/>
    <s v="DEV-ENVIADO PARA GESTÃO DE CONSEQUENCIA"/>
    <s v="TRANSPORTADORA"/>
    <x v="1"/>
    <n v="56043"/>
    <x v="48"/>
    <s v="PR"/>
    <n v="963"/>
    <s v="Ats Distribuidoras"/>
    <n v="1350"/>
    <s v="W10581058"/>
    <s v="Gavetas"/>
    <x v="9"/>
    <n v="1000"/>
    <n v="5003024"/>
    <s v="RODOBRAS TRANSPORTES RODOVIARIOS LT"/>
    <n v="107.12"/>
    <d v="2025-02-17T00:00:00"/>
  </r>
  <r>
    <n v="253944065"/>
    <n v="64714840"/>
    <s v="REB"/>
    <n v="9846739"/>
    <n v="671"/>
    <s v="DEV-ENVIADO PARA GESTÃO DE CONSEQUENCIA"/>
    <s v="TRANSPORTADORA"/>
    <x v="1"/>
    <n v="56043"/>
    <x v="48"/>
    <s v="PR"/>
    <n v="963"/>
    <s v="Ats Distribuidoras"/>
    <n v="1350"/>
    <s v="W10581058"/>
    <s v="Gavetas"/>
    <x v="9"/>
    <n v="1000"/>
    <n v="5003024"/>
    <s v="RODOBRAS TRANSPORTES RODOVIARIOS LT"/>
    <n v="107.12"/>
    <d v="2025-02-17T00:00:00"/>
  </r>
  <r>
    <n v="253944064"/>
    <n v="64714844"/>
    <s v="REB"/>
    <n v="9846739"/>
    <n v="671"/>
    <s v="DEV-ENVIADO PARA GESTÃO DE CONSEQUENCIA"/>
    <s v="TRANSPORTADORA"/>
    <x v="1"/>
    <n v="56043"/>
    <x v="48"/>
    <s v="PR"/>
    <n v="963"/>
    <s v="Ats Distribuidoras"/>
    <n v="1350"/>
    <s v="W10581058"/>
    <s v="Gavetas"/>
    <x v="9"/>
    <n v="1000"/>
    <n v="5003024"/>
    <s v="RODOBRAS TRANSPORTES RODOVIARIOS LT"/>
    <n v="107.12"/>
    <d v="2025-02-17T00:00:00"/>
  </r>
  <r>
    <s v="Sem TR"/>
    <n v="64766729"/>
    <s v="ROB"/>
    <n v="50548"/>
    <n v="671"/>
    <s v="DEV-ENVIADO PARA GESTÃO DE CONSEQUENCIA"/>
    <s v="TRANSPORTADORA"/>
    <x v="2"/>
    <n v="65630"/>
    <x v="1167"/>
    <s v="BA"/>
    <n v="350"/>
    <s v="Ats On"/>
    <n v="1550"/>
    <s v="W11082462"/>
    <s v="Termostatos"/>
    <x v="3"/>
    <n v="2000"/>
    <n v="5004391"/>
    <s v="JEONCEL TRANSPORTES LTDA"/>
    <n v="107.03"/>
    <d v="2025-05-08T00:00:00"/>
  </r>
  <r>
    <n v="254018392"/>
    <n v="64791522"/>
    <s v="REB"/>
    <n v="10018122"/>
    <n v="90"/>
    <s v="CLIENTE-não solicitou"/>
    <s v="COMERCIAL"/>
    <x v="2"/>
    <n v="88026"/>
    <x v="9"/>
    <s v="MS"/>
    <n v="713"/>
    <s v="Key Account"/>
    <n v="1350"/>
    <s v="W10710769"/>
    <s v="Termostatos"/>
    <x v="3"/>
    <n v="2000"/>
    <n v="5002573"/>
    <s v="CARVALIMA TRANSPORTES LTDA"/>
    <n v="107.01"/>
    <d v="2025-06-16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0460618"/>
    <s v="Tampas Móveis"/>
    <x v="6"/>
    <n v="1000"/>
    <n v="5003024"/>
    <s v="RODOBRAS TRANSPORTES RODOVIARIOS LT"/>
    <n v="106.99"/>
    <d v="2024-10-08T00:00:00"/>
  </r>
  <r>
    <n v="254012486"/>
    <n v="64789183"/>
    <s v="REB"/>
    <n v="9916392"/>
    <n v="167"/>
    <s v="PEÇAS - Avaria - Quebrada/Depósito"/>
    <s v="LOGÍSTICA"/>
    <x v="2"/>
    <n v="25727"/>
    <x v="275"/>
    <s v="GO"/>
    <n v="644"/>
    <s v="Plus"/>
    <n v="1350"/>
    <s v="W11300675"/>
    <s v="Mecanismos"/>
    <x v="2"/>
    <n v="1000"/>
    <n v="5002858"/>
    <s v="FAVORITA TRANSPORTES LTDA"/>
    <n v="106.93"/>
    <d v="2025-06-10T00:00:00"/>
  </r>
  <r>
    <n v="253989798"/>
    <n v="64765040"/>
    <s v="REB"/>
    <n v="9994702"/>
    <n v="167"/>
    <s v="PEÇAS - Avaria - Quebrada/Depósito"/>
    <s v="LOGÍSTICA"/>
    <x v="1"/>
    <n v="14474"/>
    <x v="25"/>
    <s v="RN"/>
    <n v="648"/>
    <s v="Ultra"/>
    <n v="1350"/>
    <s v="W10287534"/>
    <s v="Prateleiras"/>
    <x v="9"/>
    <n v="4000"/>
    <n v="5004101"/>
    <s v="UNIDOCK'S ASSESSORIA E LOGISTICA DE"/>
    <n v="106.9"/>
    <d v="2025-05-07T00:00:00"/>
  </r>
  <r>
    <n v="254012546"/>
    <n v="64788975"/>
    <s v="REB"/>
    <n v="10048243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6.87"/>
    <d v="2025-06-10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n v="326062041"/>
    <s v="Recipientes de Evaporação"/>
    <x v="9"/>
    <n v="9000"/>
    <n v="5003024"/>
    <s v="RODOBRAS TRANSPORTES RODOVIARIOS LT"/>
    <n v="106.87"/>
    <d v="2025-01-16T00:00:00"/>
  </r>
  <r>
    <n v="254012433"/>
    <n v="64788497"/>
    <s v="REB"/>
    <n v="10015455"/>
    <n v="176"/>
    <s v="PEÇAS - Defeito de fabric./Interrompido"/>
    <s v="FUNCIONAL"/>
    <x v="2"/>
    <n v="66"/>
    <x v="73"/>
    <s v="GO"/>
    <n v="931"/>
    <s v="Ats Off"/>
    <n v="1350"/>
    <s v="W10806088"/>
    <s v="Dobradiças"/>
    <x v="10"/>
    <n v="2000"/>
    <n v="5002858"/>
    <s v="FAVORITA TRANSPORTES LTDA"/>
    <n v="106.78"/>
    <d v="2025-06-10T00:00:00"/>
  </r>
  <r>
    <s v="Sem TR"/>
    <n v="64815761"/>
    <s v="ZRDI"/>
    <n v="10126754"/>
    <s v="D10"/>
    <s v="DEV D2C - Comprou modelo errado"/>
    <s v="COMERCIAL"/>
    <x v="2"/>
    <n v="58143092"/>
    <x v="1168"/>
    <s v="SP"/>
    <n v="474"/>
    <s v="Site Brastemp"/>
    <n v="1352"/>
    <s v="W10347201"/>
    <s v="Prateleiras"/>
    <x v="9"/>
    <n v="1000"/>
    <n v="5002359"/>
    <s v="EMPRESA BRASILEIRA DE CORREIOS E"/>
    <n v="106.78"/>
    <d v="2025-07-23T00:00:00"/>
  </r>
  <r>
    <s v="Sem TR"/>
    <n v="64815761"/>
    <s v="ZRDI"/>
    <n v="10126754"/>
    <s v="D10"/>
    <s v="DEV D2C - Comprou modelo errado"/>
    <s v="COMERCIAL"/>
    <x v="2"/>
    <n v="58143092"/>
    <x v="1168"/>
    <s v="SP"/>
    <n v="474"/>
    <s v="Site Brastemp"/>
    <n v="1352"/>
    <s v="W10347201"/>
    <s v="Prateleiras"/>
    <x v="9"/>
    <n v="1000"/>
    <n v="5002359"/>
    <s v="EMPRESA BRASILEIRA DE CORREIOS E"/>
    <n v="106.78"/>
    <d v="2025-07-23T00:00:00"/>
  </r>
  <r>
    <s v="Sem TR"/>
    <n v="64806534"/>
    <s v="ZRDI"/>
    <n v="10099858"/>
    <s v="D18"/>
    <s v="DEV D2C - Arrependimento não quero mais"/>
    <s v="COMERCIAL"/>
    <x v="2"/>
    <n v="4411132"/>
    <x v="1169"/>
    <s v="PR"/>
    <n v="475"/>
    <s v="Site Consul"/>
    <n v="1352"/>
    <s v="W11509386"/>
    <s v="Filtros"/>
    <x v="5"/>
    <n v="1000"/>
    <n v="5002359"/>
    <s v="EMPRESA BRASILEIRA DE CORREIOS E"/>
    <n v="106.69"/>
    <d v="2025-07-07T00:00:00"/>
  </r>
  <r>
    <s v="Sem TR"/>
    <n v="64806534"/>
    <s v="ZRDI"/>
    <n v="10099858"/>
    <s v="D18"/>
    <s v="DEV D2C - Arrependimento não quero mais"/>
    <s v="COMERCIAL"/>
    <x v="2"/>
    <n v="4411132"/>
    <x v="1169"/>
    <s v="PR"/>
    <n v="475"/>
    <s v="Site Consul"/>
    <n v="1352"/>
    <s v="W11509386"/>
    <s v="Filtros"/>
    <x v="5"/>
    <n v="1000"/>
    <n v="5002359"/>
    <s v="EMPRESA BRASILEIRA DE CORREIOS E"/>
    <n v="106.68"/>
    <d v="2025-07-07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0207206"/>
    <s v="Micro Chaves/Reed Switches"/>
    <x v="3"/>
    <n v="10000"/>
    <n v="5004101"/>
    <s v="UNIDOCK'S ASSESSORIA E LOGISTICA DE"/>
    <n v="106.68"/>
    <d v="2025-07-16T00:00:00"/>
  </r>
  <r>
    <n v="254018387"/>
    <n v="64792359"/>
    <s v="REB"/>
    <n v="8160343"/>
    <n v="173"/>
    <s v="PEÇAS - Defeito de fabric./Alta Amperage"/>
    <s v="FUNCIONAL"/>
    <x v="2"/>
    <n v="81988"/>
    <x v="38"/>
    <s v="MG"/>
    <n v="648"/>
    <s v="Ultra"/>
    <n v="1350"/>
    <s v="W10269366"/>
    <s v="Placas de Controle"/>
    <x v="1"/>
    <n v="1000"/>
    <n v="5004215"/>
    <s v="BRASIL WEB TRANSPORTES E LOGISTICA"/>
    <n v="106.58"/>
    <d v="2025-06-16T00:00:00"/>
  </r>
  <r>
    <n v="254023971"/>
    <n v="64802722"/>
    <s v="ZRDI"/>
    <n v="10047829"/>
    <s v="D25"/>
    <s v="DEV D2C - Prob na entrega (Não recebi)"/>
    <s v="TRANSPORTADORA"/>
    <x v="2"/>
    <n v="57354622"/>
    <x v="1170"/>
    <s v="MA"/>
    <n v="475"/>
    <s v="Site Consul"/>
    <n v="1352"/>
    <s v="W11199342"/>
    <s v="Filtros"/>
    <x v="5"/>
    <n v="1000"/>
    <n v="5002359"/>
    <s v="EMPRESA BRASILEIRA DE CORREIOS E"/>
    <n v="106.56"/>
    <d v="2025-07-01T00:00:00"/>
  </r>
  <r>
    <n v="254036086"/>
    <n v="64810752"/>
    <s v="ZRDI"/>
    <n v="10072758"/>
    <s v="D25"/>
    <s v="DEV D2C - Prob na entrega (Não recebi)"/>
    <s v="TRANSPORTADORA"/>
    <x v="2"/>
    <n v="56874172"/>
    <x v="1171"/>
    <s v="RS"/>
    <n v="475"/>
    <s v="Site Consul"/>
    <n v="1352"/>
    <s v="W11509386"/>
    <s v="Filtros"/>
    <x v="5"/>
    <n v="1000"/>
    <n v="5002359"/>
    <s v="EMPRESA BRASILEIRA DE CORREIOS E"/>
    <n v="106.54"/>
    <d v="2025-07-18T00:00:00"/>
  </r>
  <r>
    <n v="254036086"/>
    <n v="64810752"/>
    <s v="ZRDI"/>
    <n v="10072758"/>
    <s v="D25"/>
    <s v="DEV D2C - Prob na entrega (Não recebi)"/>
    <s v="TRANSPORTADORA"/>
    <x v="2"/>
    <n v="56874172"/>
    <x v="1171"/>
    <s v="RS"/>
    <n v="475"/>
    <s v="Site Consul"/>
    <n v="1352"/>
    <s v="W11509386"/>
    <s v="Filtros"/>
    <x v="5"/>
    <n v="1000"/>
    <n v="5002359"/>
    <s v="EMPRESA BRASILEIRA DE CORREIOS E"/>
    <n v="106.54"/>
    <d v="2025-07-18T00:00:00"/>
  </r>
  <r>
    <n v="254022028"/>
    <n v="64799689"/>
    <s v="ZRDI"/>
    <n v="10036096"/>
    <s v="D25"/>
    <s v="DEV D2C - Prob na entrega (Não recebi)"/>
    <s v="TRANSPORTADORA"/>
    <x v="2"/>
    <n v="54033358"/>
    <x v="1172"/>
    <s v="BA"/>
    <n v="475"/>
    <s v="Site Consul"/>
    <n v="1352"/>
    <s v="W11199342"/>
    <s v="Filtros"/>
    <x v="5"/>
    <n v="1000"/>
    <n v="5002359"/>
    <s v="EMPRESA BRASILEIRA DE CORREIOS E"/>
    <n v="106.53"/>
    <d v="2025-06-27T00:00:00"/>
  </r>
  <r>
    <n v="254027693"/>
    <n v="64807246"/>
    <s v="ZRDI"/>
    <n v="10086668"/>
    <n v="208"/>
    <s v="DEV-Atraso entrega- LOGISTICA(Transp)"/>
    <s v="TRANSPORTADORA"/>
    <x v="2"/>
    <n v="58088970"/>
    <x v="1173"/>
    <s v="BA"/>
    <n v="475"/>
    <s v="Site Consul"/>
    <n v="1352"/>
    <s v="W11199342"/>
    <s v="Filtros"/>
    <x v="5"/>
    <n v="1000"/>
    <n v="5002359"/>
    <s v="EMPRESA BRASILEIRA DE CORREIOS E"/>
    <n v="106.53"/>
    <d v="2025-07-08T00:00:00"/>
  </r>
  <r>
    <n v="254036086"/>
    <n v="64810752"/>
    <s v="ZRDI"/>
    <n v="10072758"/>
    <s v="D25"/>
    <s v="DEV D2C - Prob na entrega (Não recebi)"/>
    <s v="TRANSPORTADORA"/>
    <x v="2"/>
    <n v="56874172"/>
    <x v="1171"/>
    <s v="RS"/>
    <n v="475"/>
    <s v="Site Consul"/>
    <n v="1352"/>
    <s v="W11509386"/>
    <s v="Filtros"/>
    <x v="5"/>
    <n v="1000"/>
    <n v="5002359"/>
    <s v="EMPRESA BRASILEIRA DE CORREIOS E"/>
    <n v="106.53"/>
    <d v="2025-07-18T00:00:00"/>
  </r>
  <r>
    <n v="254039177"/>
    <n v="64817058"/>
    <s v="ZRDI"/>
    <n v="10082679"/>
    <n v="208"/>
    <s v="DEV-Atraso entrega- LOGISTICA(Transp)"/>
    <s v="TRANSPORTADORA"/>
    <x v="2"/>
    <n v="51644410"/>
    <x v="1174"/>
    <s v="BA"/>
    <n v="475"/>
    <s v="Site Consul"/>
    <n v="1352"/>
    <s v="W11199342"/>
    <s v="Filtros"/>
    <x v="5"/>
    <n v="1000"/>
    <n v="5002359"/>
    <s v="EMPRESA BRASILEIRA DE CORREIOS E"/>
    <n v="106.53"/>
    <d v="2025-07-24T00:00:00"/>
  </r>
  <r>
    <n v="254040398"/>
    <n v="64818302"/>
    <s v="ZRDI"/>
    <n v="10095732"/>
    <n v="208"/>
    <s v="DEV-Atraso entrega- LOGISTICA(Transp)"/>
    <s v="TRANSPORTADORA"/>
    <x v="2"/>
    <n v="58102243"/>
    <x v="1175"/>
    <s v="BA"/>
    <n v="475"/>
    <s v="Site Consul"/>
    <n v="1352"/>
    <s v="W11199342"/>
    <s v="Filtros"/>
    <x v="5"/>
    <n v="1000"/>
    <n v="5002359"/>
    <s v="EMPRESA BRASILEIRA DE CORREIOS E"/>
    <n v="106.53"/>
    <d v="2025-07-26T00:00:00"/>
  </r>
  <r>
    <n v="254036086"/>
    <n v="64810752"/>
    <s v="ZRDI"/>
    <n v="10072758"/>
    <s v="D25"/>
    <s v="DEV D2C - Prob na entrega (Não recebi)"/>
    <s v="TRANSPORTADORA"/>
    <x v="2"/>
    <n v="56874172"/>
    <x v="1171"/>
    <s v="RS"/>
    <n v="475"/>
    <s v="Site Consul"/>
    <n v="1352"/>
    <s v="W11509386"/>
    <s v="Filtros"/>
    <x v="5"/>
    <n v="1000"/>
    <n v="5002359"/>
    <s v="EMPRESA BRASILEIRA DE CORREIOS E"/>
    <n v="106.53"/>
    <d v="2025-07-18T00:00:00"/>
  </r>
  <r>
    <n v="254039177"/>
    <n v="64817058"/>
    <s v="ZRDI"/>
    <n v="10082679"/>
    <n v="208"/>
    <s v="DEV-Atraso entrega- LOGISTICA(Transp)"/>
    <s v="TRANSPORTADORA"/>
    <x v="2"/>
    <n v="51644410"/>
    <x v="1174"/>
    <s v="BA"/>
    <n v="475"/>
    <s v="Site Consul"/>
    <n v="1352"/>
    <s v="W11199342"/>
    <s v="Filtros"/>
    <x v="5"/>
    <n v="1000"/>
    <n v="5002359"/>
    <s v="EMPRESA BRASILEIRA DE CORREIOS E"/>
    <n v="106.53"/>
    <d v="2025-07-24T00:00:00"/>
  </r>
  <r>
    <n v="254040398"/>
    <n v="64818302"/>
    <s v="ZRDI"/>
    <n v="10095732"/>
    <n v="208"/>
    <s v="DEV-Atraso entrega- LOGISTICA(Transp)"/>
    <s v="TRANSPORTADORA"/>
    <x v="2"/>
    <n v="58102243"/>
    <x v="1175"/>
    <s v="BA"/>
    <n v="475"/>
    <s v="Site Consul"/>
    <n v="1352"/>
    <s v="W11199342"/>
    <s v="Filtros"/>
    <x v="5"/>
    <n v="1000"/>
    <n v="5002359"/>
    <s v="EMPRESA BRASILEIRA DE CORREIOS E"/>
    <n v="106.53"/>
    <d v="2025-07-26T00:00:00"/>
  </r>
  <r>
    <n v="254042146"/>
    <n v="64795678"/>
    <s v="REB"/>
    <n v="10071928"/>
    <n v="168"/>
    <s v="PEÇAS-Def.Fabric.Empenamento/Abaulamento"/>
    <s v="FUNCIONAL"/>
    <x v="0"/>
    <n v="34532"/>
    <x v="220"/>
    <s v="SC"/>
    <n v="350"/>
    <s v="Ats On"/>
    <n v="1350"/>
    <s v="W11299803"/>
    <s v="Mecanismos"/>
    <x v="2"/>
    <n v="1000"/>
    <n v="5003024"/>
    <s v="RODOBRAS TRANSPORTES RODOVIARIOS LT"/>
    <n v="106.45"/>
    <d v="2025-06-23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292562"/>
    <s v="Capas"/>
    <x v="6"/>
    <n v="4000"/>
    <n v="5004101"/>
    <s v="UNIDOCK'S ASSESSORIA E LOGISTICA DE"/>
    <n v="106.43"/>
    <d v="2025-07-29T00:00:00"/>
  </r>
  <r>
    <s v="Sem TR"/>
    <n v="64814948"/>
    <s v="REB"/>
    <n v="9629199"/>
    <n v="173"/>
    <s v="PEÇAS - Defeito de fabric./Alta Amperage"/>
    <s v="FUNCIONAL"/>
    <x v="1"/>
    <n v="27770"/>
    <x v="37"/>
    <s v="AL"/>
    <n v="641"/>
    <s v="CDP Diamante"/>
    <n v="1350"/>
    <s v="W11396188"/>
    <s v="Placas de Interface"/>
    <x v="1"/>
    <n v="1000"/>
    <n v="5004101"/>
    <s v="UNIDOCK'S ASSESSORIA E LOGISTICA DE"/>
    <n v="106.41"/>
    <d v="2025-07-25T00:00:00"/>
  </r>
  <r>
    <n v="254003906"/>
    <n v="64778704"/>
    <s v="REB"/>
    <n v="9629199"/>
    <n v="173"/>
    <s v="PEÇAS - Defeito de fabric./Alta Amperage"/>
    <s v="FUNCIONAL"/>
    <x v="1"/>
    <n v="27770"/>
    <x v="37"/>
    <s v="AL"/>
    <n v="641"/>
    <s v="CDP Diamante"/>
    <n v="1350"/>
    <s v="W11396188"/>
    <s v="Placas de Interface"/>
    <x v="1"/>
    <n v="1000"/>
    <n v="5004101"/>
    <s v="UNIDOCK'S ASSESSORIA E LOGISTICA DE"/>
    <n v="106.41"/>
    <d v="2025-05-26T00:00:00"/>
  </r>
  <r>
    <n v="254012501"/>
    <n v="64789491"/>
    <s v="REB"/>
    <n v="9661382"/>
    <n v="173"/>
    <s v="PEÇAS - Defeito de fabric./Alta Amperage"/>
    <s v="FUNCIONAL"/>
    <x v="2"/>
    <n v="28991"/>
    <x v="65"/>
    <s v="MG"/>
    <n v="643"/>
    <s v="Elite"/>
    <n v="1350"/>
    <s v="W11125635"/>
    <s v="Placas de Controle"/>
    <x v="1"/>
    <n v="1000"/>
    <n v="5004215"/>
    <s v="BRASIL WEB TRANSPORTES E LOGISTICA"/>
    <n v="106.35"/>
    <d v="2025-06-10T00:00:00"/>
  </r>
  <r>
    <n v="254024640"/>
    <n v="64804740"/>
    <s v="ZRDI"/>
    <n v="10093266"/>
    <n v="208"/>
    <s v="DEV-Atraso entrega- LOGISTICA(Transp)"/>
    <s v="TRANSPORTADORA"/>
    <x v="2"/>
    <n v="58099090"/>
    <x v="1176"/>
    <s v="MG"/>
    <n v="475"/>
    <s v="Site Consul"/>
    <n v="1352"/>
    <s v="W11199342"/>
    <s v="Filtros"/>
    <x v="5"/>
    <n v="1000"/>
    <n v="5002359"/>
    <s v="EMPRESA BRASILEIRA DE CORREIOS E"/>
    <n v="106.33"/>
    <d v="2025-07-02T00:00:00"/>
  </r>
  <r>
    <n v="254027344"/>
    <n v="64806747"/>
    <s v="ZRDI"/>
    <n v="10076321"/>
    <n v="208"/>
    <s v="DEV-Atraso entrega- LOGISTICA(Transp)"/>
    <s v="TRANSPORTADORA"/>
    <x v="2"/>
    <n v="56512451"/>
    <x v="1177"/>
    <s v="MG"/>
    <n v="475"/>
    <s v="Site Consul"/>
    <n v="1352"/>
    <s v="W11199342"/>
    <s v="Filtros"/>
    <x v="5"/>
    <n v="1000"/>
    <n v="5002359"/>
    <s v="EMPRESA BRASILEIRA DE CORREIOS E"/>
    <n v="106.33"/>
    <d v="2025-07-07T00:00:00"/>
  </r>
  <r>
    <s v="Sem TR"/>
    <n v="64815341"/>
    <s v="ZRDI"/>
    <n v="10112493"/>
    <s v="D35"/>
    <s v="DEV D2C - Prod difere do comprado"/>
    <s v="COMERCIAL"/>
    <x v="2"/>
    <n v="51812867"/>
    <x v="1178"/>
    <s v="SC"/>
    <n v="475"/>
    <s v="Site Consul"/>
    <n v="1352"/>
    <s v="W11509386"/>
    <s v="Filtros"/>
    <x v="5"/>
    <n v="1000"/>
    <n v="5002359"/>
    <s v="EMPRESA BRASILEIRA DE CORREIOS E"/>
    <n v="106.3"/>
    <d v="2025-07-23T00:00:00"/>
  </r>
  <r>
    <n v="254039187"/>
    <n v="64817069"/>
    <s v="ZRDI"/>
    <n v="10110974"/>
    <n v="208"/>
    <s v="DEV-Atraso entrega- LOGISTICA(Transp)"/>
    <s v="TRANSPORTADORA"/>
    <x v="2"/>
    <n v="58121679"/>
    <x v="1179"/>
    <s v="SC"/>
    <n v="475"/>
    <s v="Site Consul"/>
    <n v="1352"/>
    <s v="W11509386"/>
    <s v="Filtros"/>
    <x v="5"/>
    <n v="1000"/>
    <n v="5002359"/>
    <s v="EMPRESA BRASILEIRA DE CORREIOS E"/>
    <n v="106.3"/>
    <d v="2025-07-24T00:00:00"/>
  </r>
  <r>
    <s v="Sem TR"/>
    <n v="64815341"/>
    <s v="ZRDI"/>
    <n v="10112493"/>
    <s v="D35"/>
    <s v="DEV D2C - Prod difere do comprado"/>
    <s v="COMERCIAL"/>
    <x v="2"/>
    <n v="51812867"/>
    <x v="1178"/>
    <s v="SC"/>
    <n v="475"/>
    <s v="Site Consul"/>
    <n v="1352"/>
    <s v="W11509386"/>
    <s v="Filtros"/>
    <x v="5"/>
    <n v="1000"/>
    <n v="5002359"/>
    <s v="EMPRESA BRASILEIRA DE CORREIOS E"/>
    <n v="106.3"/>
    <d v="2025-07-23T00:00:00"/>
  </r>
  <r>
    <n v="254039187"/>
    <n v="64817069"/>
    <s v="ZRDI"/>
    <n v="10110974"/>
    <n v="208"/>
    <s v="DEV-Atraso entrega- LOGISTICA(Transp)"/>
    <s v="TRANSPORTADORA"/>
    <x v="2"/>
    <n v="58121679"/>
    <x v="1179"/>
    <s v="SC"/>
    <n v="475"/>
    <s v="Site Consul"/>
    <n v="1352"/>
    <s v="W11509386"/>
    <s v="Filtros"/>
    <x v="5"/>
    <n v="1000"/>
    <n v="5002359"/>
    <s v="EMPRESA BRASILEIRA DE CORREIOS E"/>
    <n v="106.3"/>
    <d v="2025-07-24T00:00:00"/>
  </r>
  <r>
    <s v="Sem TR"/>
    <n v="64815341"/>
    <s v="ZRDI"/>
    <n v="10112493"/>
    <s v="D35"/>
    <s v="DEV D2C - Prod difere do comprado"/>
    <s v="COMERCIAL"/>
    <x v="2"/>
    <n v="51812867"/>
    <x v="1178"/>
    <s v="SC"/>
    <n v="475"/>
    <s v="Site Consul"/>
    <n v="1352"/>
    <s v="W11509386"/>
    <s v="Filtros"/>
    <x v="5"/>
    <n v="1000"/>
    <n v="5002359"/>
    <s v="EMPRESA BRASILEIRA DE CORREIOS E"/>
    <n v="106.28"/>
    <d v="2025-07-23T00:00:00"/>
  </r>
  <r>
    <n v="254039187"/>
    <n v="64817069"/>
    <s v="ZRDI"/>
    <n v="10110974"/>
    <n v="208"/>
    <s v="DEV-Atraso entrega- LOGISTICA(Transp)"/>
    <s v="TRANSPORTADORA"/>
    <x v="2"/>
    <n v="58121679"/>
    <x v="1179"/>
    <s v="SC"/>
    <n v="475"/>
    <s v="Site Consul"/>
    <n v="1352"/>
    <s v="W11509386"/>
    <s v="Filtros"/>
    <x v="5"/>
    <n v="1000"/>
    <n v="5002359"/>
    <s v="EMPRESA BRASILEIRA DE CORREIOS E"/>
    <n v="106.28"/>
    <d v="2025-07-24T00:00:00"/>
  </r>
  <r>
    <s v="Sem TR"/>
    <n v="64815341"/>
    <s v="ZRDI"/>
    <n v="10112493"/>
    <s v="D35"/>
    <s v="DEV D2C - Prod difere do comprado"/>
    <s v="COMERCIAL"/>
    <x v="2"/>
    <n v="51812867"/>
    <x v="1178"/>
    <s v="SC"/>
    <n v="475"/>
    <s v="Site Consul"/>
    <n v="1352"/>
    <s v="W11509386"/>
    <s v="Filtros"/>
    <x v="5"/>
    <n v="1000"/>
    <n v="5002359"/>
    <s v="EMPRESA BRASILEIRA DE CORREIOS E"/>
    <n v="106.28"/>
    <d v="2025-07-23T00:00:00"/>
  </r>
  <r>
    <n v="254039187"/>
    <n v="64817069"/>
    <s v="ZRDI"/>
    <n v="10110974"/>
    <n v="208"/>
    <s v="DEV-Atraso entrega- LOGISTICA(Transp)"/>
    <s v="TRANSPORTADORA"/>
    <x v="2"/>
    <n v="58121679"/>
    <x v="1179"/>
    <s v="SC"/>
    <n v="475"/>
    <s v="Site Consul"/>
    <n v="1352"/>
    <s v="W11509386"/>
    <s v="Filtros"/>
    <x v="5"/>
    <n v="1000"/>
    <n v="5002359"/>
    <s v="EMPRESA BRASILEIRA DE CORREIOS E"/>
    <n v="106.28"/>
    <d v="2025-07-24T00:00:00"/>
  </r>
  <r>
    <n v="253931084"/>
    <n v="64703816"/>
    <s v="REB"/>
    <n v="9766578"/>
    <n v="176"/>
    <s v="PEÇAS - Defeito de fabric./Interrompido"/>
    <s v="FUNCIONAL"/>
    <x v="2"/>
    <n v="24089"/>
    <x v="134"/>
    <s v="RJ"/>
    <n v="931"/>
    <s v="Ats Off"/>
    <n v="1350"/>
    <s v="W11022993"/>
    <s v="Defletores/Difusores"/>
    <x v="5"/>
    <n v="1000"/>
    <n v="5003176"/>
    <s v="J C THEDIN TRANSPORTES LTDA"/>
    <n v="106.23"/>
    <d v="2025-01-31T00:00:00"/>
  </r>
  <r>
    <n v="254038698"/>
    <n v="64816629"/>
    <s v="ZRDI"/>
    <n v="10052724"/>
    <s v="D25"/>
    <s v="DEV D2C - Prob na entrega (Não recebi)"/>
    <s v="TRANSPORTADORA"/>
    <x v="2"/>
    <n v="57139148"/>
    <x v="1180"/>
    <s v="RJ"/>
    <n v="475"/>
    <s v="Site Consul"/>
    <n v="1352"/>
    <s v="W11509387"/>
    <s v="Filtros"/>
    <x v="5"/>
    <n v="1000"/>
    <n v="5003972"/>
    <s v="ICARO EXPRESS LOGISTICA LTDA"/>
    <n v="106.15"/>
    <d v="2025-07-24T00:00:00"/>
  </r>
  <r>
    <n v="254038698"/>
    <n v="64816629"/>
    <s v="ZRDI"/>
    <n v="10052724"/>
    <s v="D25"/>
    <s v="DEV D2C - Prob na entrega (Não recebi)"/>
    <s v="TRANSPORTADORA"/>
    <x v="2"/>
    <n v="57139148"/>
    <x v="1180"/>
    <s v="RJ"/>
    <n v="475"/>
    <s v="Site Consul"/>
    <n v="1352"/>
    <s v="W11509387"/>
    <s v="Filtros"/>
    <x v="5"/>
    <n v="1000"/>
    <n v="5003972"/>
    <s v="ICARO EXPRESS LOGISTICA LTDA"/>
    <n v="106.15"/>
    <d v="2025-07-24T00:00:00"/>
  </r>
  <r>
    <n v="254041057"/>
    <n v="64818828"/>
    <s v="ZRDI"/>
    <n v="10093738"/>
    <n v="208"/>
    <s v="DEV-Atraso entrega- LOGISTICA(Transp)"/>
    <s v="TRANSPORTADORA"/>
    <x v="1"/>
    <n v="52134282"/>
    <x v="1181"/>
    <s v="TO"/>
    <n v="466"/>
    <s v="Sup ML Marketplace"/>
    <n v="1352"/>
    <s v="W10907728"/>
    <s v="Acessórios"/>
    <x v="7"/>
    <n v="1000"/>
    <n v="5002359"/>
    <s v="EMPRESA BRASILEIRA DE CORREIOS E"/>
    <n v="106.15"/>
    <d v="2025-07-28T00:00:00"/>
  </r>
  <r>
    <n v="254038698"/>
    <n v="64816629"/>
    <s v="ZRDI"/>
    <n v="10052724"/>
    <s v="D25"/>
    <s v="DEV D2C - Prob na entrega (Não recebi)"/>
    <s v="TRANSPORTADORA"/>
    <x v="2"/>
    <n v="57139148"/>
    <x v="1180"/>
    <s v="RJ"/>
    <n v="475"/>
    <s v="Site Consul"/>
    <n v="1352"/>
    <s v="W11509387"/>
    <s v="Filtros"/>
    <x v="5"/>
    <n v="1000"/>
    <n v="5003972"/>
    <s v="ICARO EXPRESS LOGISTICA LTDA"/>
    <n v="106.13"/>
    <d v="2025-07-24T00:00:00"/>
  </r>
  <r>
    <n v="254038698"/>
    <n v="64816629"/>
    <s v="ZRDI"/>
    <n v="10052724"/>
    <s v="D25"/>
    <s v="DEV D2C - Prob na entrega (Não recebi)"/>
    <s v="TRANSPORTADORA"/>
    <x v="2"/>
    <n v="57139148"/>
    <x v="1180"/>
    <s v="RJ"/>
    <n v="475"/>
    <s v="Site Consul"/>
    <n v="1352"/>
    <s v="W11509387"/>
    <s v="Filtros"/>
    <x v="5"/>
    <n v="1000"/>
    <n v="5003972"/>
    <s v="ICARO EXPRESS LOGISTICA LTDA"/>
    <n v="106.13"/>
    <d v="2025-07-24T00:00:00"/>
  </r>
  <r>
    <s v="Sem TR"/>
    <n v="64811423"/>
    <s v="REB"/>
    <n v="10091808"/>
    <n v="173"/>
    <s v="PEÇAS - Defeito de fabric./Alta Amperage"/>
    <s v="FUNCIONAL"/>
    <x v="1"/>
    <n v="2374"/>
    <x v="242"/>
    <s v="MG"/>
    <n v="350"/>
    <s v="Ats On"/>
    <n v="1350"/>
    <s v="W11299803"/>
    <s v="Mecanismos"/>
    <x v="2"/>
    <n v="1000"/>
    <n v="5004215"/>
    <s v="BRASIL WEB TRANSPORTES E LOGISTICA"/>
    <n v="106.1"/>
    <d v="2025-07-22T00:00:00"/>
  </r>
  <r>
    <n v="254035006"/>
    <n v="64813405"/>
    <s v="ZRDI"/>
    <n v="10103262"/>
    <n v="208"/>
    <s v="DEV-Atraso entrega- LOGISTICA(Transp)"/>
    <s v="TRANSPORTADORA"/>
    <x v="2"/>
    <n v="51194075"/>
    <x v="1182"/>
    <s v="PR"/>
    <n v="475"/>
    <s v="Site Consul"/>
    <n v="1352"/>
    <s v="W10301562"/>
    <s v="Filtros"/>
    <x v="5"/>
    <n v="1000"/>
    <n v="5002359"/>
    <s v="EMPRESA BRASILEIRA DE CORREIOS E"/>
    <n v="105.96"/>
    <d v="2025-07-18T00:00:00"/>
  </r>
  <r>
    <s v="Sem TR"/>
    <n v="64819170"/>
    <s v="ZRDI"/>
    <n v="10115529"/>
    <s v="D35"/>
    <s v="DEV D2C - Prod difere do comprado"/>
    <s v="COMERCIAL"/>
    <x v="1"/>
    <n v="52323692"/>
    <x v="647"/>
    <s v="CE"/>
    <n v="475"/>
    <s v="Site Consul"/>
    <n v="1352"/>
    <s v="W11509386"/>
    <s v="Filtros"/>
    <x v="5"/>
    <n v="1000"/>
    <n v="5002359"/>
    <s v="EMPRESA BRASILEIRA DE CORREIOS E"/>
    <n v="105.94"/>
    <d v="2025-07-29T00:00:00"/>
  </r>
  <r>
    <n v="254034007"/>
    <n v="64812617"/>
    <s v="ZRDI"/>
    <n v="10135625"/>
    <n v="208"/>
    <s v="DEV-Atraso entrega- LOGISTICA(Transp)"/>
    <s v="TRANSPORTADORA"/>
    <x v="2"/>
    <n v="58156870"/>
    <x v="1183"/>
    <s v="SP"/>
    <n v="475"/>
    <s v="Site Consul"/>
    <n v="1352"/>
    <s v="W11360276"/>
    <s v="Filtros"/>
    <x v="5"/>
    <n v="3000"/>
    <n v="5002359"/>
    <s v="EMPRESA BRASILEIRA DE CORREIOS E"/>
    <n v="105.9"/>
    <d v="2025-07-17T00:00:00"/>
  </r>
  <r>
    <n v="254034007"/>
    <n v="64812617"/>
    <s v="ZRDI"/>
    <n v="10135625"/>
    <n v="208"/>
    <s v="DEV-Atraso entrega- LOGISTICA(Transp)"/>
    <s v="TRANSPORTADORA"/>
    <x v="2"/>
    <n v="58156870"/>
    <x v="1183"/>
    <s v="SP"/>
    <n v="475"/>
    <s v="Site Consul"/>
    <n v="1352"/>
    <s v="W11360276"/>
    <s v="Filtros"/>
    <x v="5"/>
    <n v="3000"/>
    <n v="5002359"/>
    <s v="EMPRESA BRASILEIRA DE CORREIOS E"/>
    <n v="105.9"/>
    <d v="2025-07-17T00:00:00"/>
  </r>
  <r>
    <s v="Sem TR"/>
    <n v="64726661"/>
    <s v="REB"/>
    <n v="9851913"/>
    <n v="160"/>
    <s v="OI Cancelada - Ver motivo no texto"/>
    <s v="OUTROS"/>
    <x v="1"/>
    <n v="56043"/>
    <x v="48"/>
    <s v="PR"/>
    <n v="963"/>
    <s v="Ats Distribuidoras"/>
    <n v="1350"/>
    <s v="W10476183"/>
    <s v="Prateleiras"/>
    <x v="9"/>
    <n v="4000"/>
    <n v="5003024"/>
    <s v="RODOBRAS TRANSPORTES RODOVIARIOS LT"/>
    <n v="105.85"/>
    <d v="2025-03-07T00:00:00"/>
  </r>
  <r>
    <n v="254033942"/>
    <n v="64812475"/>
    <s v="ZRDI"/>
    <n v="10093627"/>
    <n v="208"/>
    <s v="DEV-Atraso entrega- LOGISTICA(Transp)"/>
    <s v="TRANSPORTADORA"/>
    <x v="2"/>
    <n v="57764801"/>
    <x v="1184"/>
    <s v="BA"/>
    <n v="475"/>
    <s v="Site Consul"/>
    <n v="1352"/>
    <s v="W11601003"/>
    <s v="Filtros"/>
    <x v="5"/>
    <n v="1000"/>
    <n v="5002359"/>
    <s v="EMPRESA BRASILEIRA DE CORREIOS E"/>
    <n v="105.79"/>
    <d v="2025-07-17T00:00:00"/>
  </r>
  <r>
    <n v="253882992"/>
    <n v="64652497"/>
    <s v="REB"/>
    <n v="9715912"/>
    <n v="671"/>
    <s v="DEV-ENVIADO PARA GESTÃO DE CONSEQUENCIA"/>
    <s v="TRANSPORTADORA"/>
    <x v="1"/>
    <n v="5129"/>
    <x v="1185"/>
    <s v="RS"/>
    <n v="932"/>
    <s v="CDP Prata"/>
    <n v="1350"/>
    <s v="W10576312"/>
    <s v="Parafusos e afins"/>
    <x v="10"/>
    <n v="1000"/>
    <n v="5003024"/>
    <s v="RODOBRAS TRANSPORTES RODOVIARIOS LT"/>
    <n v="105.78"/>
    <d v="2024-11-27T00:00:00"/>
  </r>
  <r>
    <s v="Sem TR"/>
    <n v="64730867"/>
    <s v="REB"/>
    <n v="9891246"/>
    <n v="671"/>
    <s v="DEV-ENVIADO PARA GESTÃO DE CONSEQUENCIA"/>
    <s v="TRANSPORTADORA"/>
    <x v="1"/>
    <n v="75930"/>
    <x v="111"/>
    <s v="SC"/>
    <n v="648"/>
    <s v="Ultra"/>
    <n v="1350"/>
    <s v="W11299803"/>
    <s v="Mecanismos"/>
    <x v="2"/>
    <n v="1000"/>
    <n v="5003024"/>
    <s v="RODOBRAS TRANSPORTES RODOVIARIOS LT"/>
    <n v="105.78"/>
    <d v="2025-03-12T00:00:00"/>
  </r>
  <r>
    <n v="253966203"/>
    <n v="64742939"/>
    <s v="REB"/>
    <n v="9942707"/>
    <n v="104"/>
    <s v="PEÇAS-Código trocado(embalag X conteúdo)"/>
    <s v="LOGÍSTICA"/>
    <x v="1"/>
    <n v="30990"/>
    <x v="26"/>
    <s v="ES"/>
    <n v="713"/>
    <s v="Key Account"/>
    <n v="1350"/>
    <s v="W11300816"/>
    <s v="Mecanismos"/>
    <x v="2"/>
    <n v="1000"/>
    <n v="5004042"/>
    <s v="BRASIL WEB TRANSPORTES E LOGISTICA"/>
    <n v="105.74"/>
    <d v="2025-03-31T00:00:00"/>
  </r>
  <r>
    <n v="253981411"/>
    <n v="64757205"/>
    <s v="REB"/>
    <n v="9977862"/>
    <n v="176"/>
    <s v="PEÇAS - Defeito de fabric./Interrompido"/>
    <s v="FUNCIONAL"/>
    <x v="2"/>
    <n v="25656"/>
    <x v="173"/>
    <s v="SP"/>
    <n v="931"/>
    <s v="Ats Off"/>
    <n v="1350"/>
    <s v="W11299803"/>
    <s v="Mecanismos"/>
    <x v="2"/>
    <n v="1000"/>
    <n v="5004042"/>
    <s v="BRASIL WEB TRANSPORTES E LOGISTICA"/>
    <n v="105.69"/>
    <d v="2025-04-25T00:00:00"/>
  </r>
  <r>
    <n v="254024655"/>
    <n v="64804758"/>
    <s v="ZRDI"/>
    <n v="10098068"/>
    <n v="208"/>
    <s v="DEV-Atraso entrega- LOGISTICA(Transp)"/>
    <s v="TRANSPORTADORA"/>
    <x v="2"/>
    <n v="56920913"/>
    <x v="1186"/>
    <s v="RS"/>
    <n v="475"/>
    <s v="Site Consul"/>
    <n v="1352"/>
    <s v="W10301562"/>
    <s v="Filtros"/>
    <x v="5"/>
    <n v="1000"/>
    <n v="5002359"/>
    <s v="EMPRESA BRASILEIRA DE CORREIOS E"/>
    <n v="105.66"/>
    <d v="2025-07-02T00:00:00"/>
  </r>
  <r>
    <n v="254032554"/>
    <n v="64811498"/>
    <s v="ZRDI"/>
    <n v="10103308"/>
    <n v="208"/>
    <s v="DEV-Atraso entrega- LOGISTICA(Transp)"/>
    <s v="TRANSPORTADORA"/>
    <x v="2"/>
    <n v="51749973"/>
    <x v="1187"/>
    <s v="SC"/>
    <n v="475"/>
    <s v="Site Consul"/>
    <n v="1352"/>
    <s v="W10301562"/>
    <s v="Filtros"/>
    <x v="5"/>
    <n v="1000"/>
    <n v="5002359"/>
    <s v="EMPRESA BRASILEIRA DE CORREIOS E"/>
    <n v="105.66"/>
    <d v="2025-07-16T00:00:00"/>
  </r>
  <r>
    <n v="254033478"/>
    <n v="64808291"/>
    <s v="ZDVP"/>
    <n v="10111072"/>
    <n v="173"/>
    <s v="PEÇAS - Defeito de fabric./Alta Amperage"/>
    <s v="FUNCIONAL"/>
    <x v="1"/>
    <n v="26939"/>
    <x v="126"/>
    <s v="PR"/>
    <n v="643"/>
    <s v="Elite"/>
    <n v="1350"/>
    <s v="W11300675"/>
    <s v="Mecanismos"/>
    <x v="2"/>
    <n v="1000"/>
    <n v="5003024"/>
    <s v="RODOBRAS TRANSPORTES RODOVIARIOS LT"/>
    <n v="105.62"/>
    <d v="2025-07-10T00:00:00"/>
  </r>
  <r>
    <n v="254033278"/>
    <n v="64805645"/>
    <s v="REB"/>
    <n v="10090277"/>
    <n v="167"/>
    <s v="PEÇAS - Avaria - Quebrada/Depósito"/>
    <s v="LOGÍSTICA"/>
    <x v="2"/>
    <n v="9991"/>
    <x v="86"/>
    <s v="DF"/>
    <n v="648"/>
    <s v="Ultra"/>
    <n v="1350"/>
    <n v="326066852"/>
    <s v="Prateleiras"/>
    <x v="9"/>
    <n v="3000"/>
    <n v="5002858"/>
    <s v="FAVORITA TRANSPORTES LTDA"/>
    <n v="105.52"/>
    <d v="2025-07-08T00:00:00"/>
  </r>
  <r>
    <s v="Sem TR"/>
    <n v="64799639"/>
    <s v="ZRDI"/>
    <n v="10082761"/>
    <s v="D18"/>
    <s v="DEV D2C - Arrependimento não quero mais"/>
    <s v="COMERCIAL"/>
    <x v="2"/>
    <n v="58039080"/>
    <x v="1188"/>
    <s v="MG"/>
    <n v="474"/>
    <s v="Site Brastemp"/>
    <n v="1352"/>
    <s v="W10882241"/>
    <s v="Agitadores"/>
    <x v="2"/>
    <n v="1000"/>
    <n v="5002359"/>
    <s v="EMPRESA BRASILEIRA DE CORREIOS E"/>
    <n v="105.51"/>
    <d v="2025-06-27T00:00:00"/>
  </r>
  <r>
    <s v="Sem TR"/>
    <n v="64808300"/>
    <s v="ZRDI"/>
    <n v="10117822"/>
    <s v="D18"/>
    <s v="DEV D2C - Arrependimento não quero mais"/>
    <s v="COMERCIAL"/>
    <x v="2"/>
    <n v="53866837"/>
    <x v="1189"/>
    <s v="MG"/>
    <n v="474"/>
    <s v="Site Brastemp"/>
    <n v="1352"/>
    <s v="W10882241"/>
    <s v="Agitadores"/>
    <x v="2"/>
    <n v="1000"/>
    <n v="5002359"/>
    <s v="EMPRESA BRASILEIRA DE CORREIOS E"/>
    <n v="105.51"/>
    <d v="2025-07-11T00:00:00"/>
  </r>
  <r>
    <s v="Sem TR"/>
    <n v="64808300"/>
    <s v="ZRDI"/>
    <n v="10117822"/>
    <s v="D18"/>
    <s v="DEV D2C - Arrependimento não quero mais"/>
    <s v="COMERCIAL"/>
    <x v="2"/>
    <n v="53866837"/>
    <x v="1189"/>
    <s v="MG"/>
    <n v="474"/>
    <s v="Site Brastemp"/>
    <n v="1352"/>
    <s v="W10882241"/>
    <s v="Agitadores"/>
    <x v="2"/>
    <n v="1000"/>
    <n v="5002359"/>
    <s v="EMPRESA BRASILEIRA DE CORREIOS E"/>
    <n v="105.51"/>
    <d v="2025-07-11T00:00:00"/>
  </r>
  <r>
    <s v="Sem TR"/>
    <n v="64798536"/>
    <s v="ZRDI"/>
    <n v="10052584"/>
    <s v="D10"/>
    <s v="DEV D2C - Comprou modelo errado"/>
    <s v="COMERCIAL"/>
    <x v="2"/>
    <n v="58044648"/>
    <x v="1190"/>
    <s v="RS"/>
    <n v="474"/>
    <s v="Site Brastemp"/>
    <n v="1352"/>
    <s v="W11209044"/>
    <s v="Prateleiras"/>
    <x v="9"/>
    <n v="1000"/>
    <n v="5002359"/>
    <s v="EMPRESA BRASILEIRA DE CORREIOS E"/>
    <n v="105.42"/>
    <d v="2025-06-30T00:00:00"/>
  </r>
  <r>
    <s v="Sem TR"/>
    <n v="64798536"/>
    <s v="ZRDI"/>
    <n v="10052584"/>
    <s v="D10"/>
    <s v="DEV D2C - Comprou modelo errado"/>
    <s v="COMERCIAL"/>
    <x v="2"/>
    <n v="58044648"/>
    <x v="1190"/>
    <s v="RS"/>
    <n v="474"/>
    <s v="Site Brastemp"/>
    <n v="1352"/>
    <s v="W11209044"/>
    <s v="Prateleiras"/>
    <x v="9"/>
    <n v="1000"/>
    <n v="5002359"/>
    <s v="EMPRESA BRASILEIRA DE CORREIOS E"/>
    <n v="105.42"/>
    <d v="2025-06-30T00:00:00"/>
  </r>
  <r>
    <n v="254003852"/>
    <n v="64778139"/>
    <s v="REB"/>
    <n v="9409073"/>
    <n v="176"/>
    <s v="PEÇAS - Defeito de fabric./Interrompido"/>
    <s v="FUNCIONAL"/>
    <x v="2"/>
    <n v="3506"/>
    <x v="46"/>
    <s v="SP"/>
    <n v="931"/>
    <s v="Ats Off"/>
    <n v="1350"/>
    <s v="W10344076"/>
    <s v="Usinas"/>
    <x v="12"/>
    <n v="3000"/>
    <n v="5004042"/>
    <s v="BRASIL WEB TRANSPORTES E LOGISTICA"/>
    <n v="105.36"/>
    <d v="2025-05-26T00:00:00"/>
  </r>
  <r>
    <n v="253952377"/>
    <n v="64725883"/>
    <s v="REB"/>
    <n v="9858243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5.32"/>
    <d v="2025-03-10T00:00:00"/>
  </r>
  <r>
    <n v="253952374"/>
    <n v="64728432"/>
    <s v="REB"/>
    <n v="9858243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5.32"/>
    <d v="2025-03-10T00:00:00"/>
  </r>
  <r>
    <n v="253952376"/>
    <n v="64728453"/>
    <s v="REB"/>
    <n v="9858243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5.32"/>
    <d v="2025-03-10T00:00:00"/>
  </r>
  <r>
    <n v="254031848"/>
    <n v="64796886"/>
    <s v="REB"/>
    <n v="10087985"/>
    <n v="176"/>
    <s v="PEÇAS - Defeito de fabric./Interrompido"/>
    <s v="FUNCIONAL"/>
    <x v="1"/>
    <n v="3506"/>
    <x v="46"/>
    <s v="SP"/>
    <n v="931"/>
    <s v="Ats Off"/>
    <n v="1350"/>
    <s v="W10624070"/>
    <s v="Gavetas"/>
    <x v="9"/>
    <n v="1000"/>
    <n v="5004042"/>
    <s v="BRASIL WEB TRANSPORTES E LOGISTICA"/>
    <n v="105.21"/>
    <d v="2025-06-24T00:00:00"/>
  </r>
  <r>
    <n v="254022275"/>
    <n v="64799888"/>
    <s v="ZRDI"/>
    <n v="10093863"/>
    <n v="208"/>
    <s v="DEV-Atraso entrega- LOGISTICA(Transp)"/>
    <s v="TRANSPORTADORA"/>
    <x v="2"/>
    <n v="58098738"/>
    <x v="496"/>
    <s v="SC"/>
    <n v="474"/>
    <s v="Site Brastemp"/>
    <n v="1352"/>
    <s v="W10437111"/>
    <s v="Gavetas"/>
    <x v="9"/>
    <n v="1000"/>
    <n v="5002359"/>
    <s v="EMPRESA BRASILEIRA DE CORREIOS E"/>
    <n v="105.16"/>
    <d v="2025-06-27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1209044"/>
    <s v="Prateleiras"/>
    <x v="9"/>
    <n v="1000"/>
    <n v="5002359"/>
    <s v="EMPRESA BRASILEIRA DE CORREIOS E"/>
    <n v="105.04"/>
    <d v="2025-07-23T00:00:00"/>
  </r>
  <r>
    <s v="Sem TR"/>
    <n v="64814858"/>
    <s v="ZRDI"/>
    <n v="10112861"/>
    <s v="D10"/>
    <s v="DEV D2C - Comprou modelo errado"/>
    <s v="COMERCIAL"/>
    <x v="2"/>
    <n v="56225130"/>
    <x v="792"/>
    <s v="MS"/>
    <n v="474"/>
    <s v="Site Brastemp"/>
    <n v="1352"/>
    <s v="W11209044"/>
    <s v="Prateleiras"/>
    <x v="9"/>
    <n v="1000"/>
    <n v="5002359"/>
    <s v="EMPRESA BRASILEIRA DE CORREIOS E"/>
    <n v="105.04"/>
    <d v="2025-07-23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1209044"/>
    <s v="Prateleiras"/>
    <x v="9"/>
    <n v="1000"/>
    <n v="5002359"/>
    <s v="EMPRESA BRASILEIRA DE CORREIOS E"/>
    <n v="105.04"/>
    <d v="2025-07-23T00:00:00"/>
  </r>
  <r>
    <n v="254041063"/>
    <n v="64818844"/>
    <s v="ZRDI"/>
    <n v="10106171"/>
    <n v="208"/>
    <s v="DEV-Atraso entrega- LOGISTICA(Transp)"/>
    <s v="TRANSPORTADORA"/>
    <x v="1"/>
    <n v="58116179"/>
    <x v="1191"/>
    <s v="TO"/>
    <n v="475"/>
    <s v="Site Consul"/>
    <n v="1352"/>
    <s v="W11199342"/>
    <s v="Filtros"/>
    <x v="5"/>
    <n v="1000"/>
    <n v="5002359"/>
    <s v="EMPRESA BRASILEIRA DE CORREIOS E"/>
    <n v="105.01"/>
    <d v="2025-07-28T00:00:00"/>
  </r>
  <r>
    <n v="254041063"/>
    <n v="64818844"/>
    <s v="ZRDI"/>
    <n v="10106171"/>
    <n v="208"/>
    <s v="DEV-Atraso entrega- LOGISTICA(Transp)"/>
    <s v="TRANSPORTADORA"/>
    <x v="1"/>
    <n v="58116179"/>
    <x v="1191"/>
    <s v="TO"/>
    <n v="475"/>
    <s v="Site Consul"/>
    <n v="1352"/>
    <s v="W11199342"/>
    <s v="Filtros"/>
    <x v="5"/>
    <n v="1000"/>
    <n v="5002359"/>
    <s v="EMPRESA BRASILEIRA DE CORREIOS E"/>
    <n v="105"/>
    <d v="2025-07-28T00:00:00"/>
  </r>
  <r>
    <s v="Sem TR"/>
    <n v="64802148"/>
    <s v="ZRDI"/>
    <n v="10082702"/>
    <s v="D35"/>
    <s v="DEV D2C - Prod difere do comprado"/>
    <s v="COMERCIAL"/>
    <x v="2"/>
    <n v="57500639"/>
    <x v="1192"/>
    <s v="PE"/>
    <n v="474"/>
    <s v="Site Brastemp"/>
    <n v="1352"/>
    <s v="W10328198"/>
    <s v="Capas Queimadores"/>
    <x v="12"/>
    <n v="1000"/>
    <n v="5002359"/>
    <s v="EMPRESA BRASILEIRA DE CORREIOS E"/>
    <n v="104.9"/>
    <d v="2025-07-01T00:00:00"/>
  </r>
  <r>
    <n v="254007553"/>
    <n v="64782141"/>
    <s v="REB"/>
    <n v="10017845"/>
    <n v="90"/>
    <s v="CLIENTE-não solicitou"/>
    <s v="COMERCIAL"/>
    <x v="1"/>
    <n v="23098"/>
    <x v="14"/>
    <s v="PR"/>
    <n v="713"/>
    <s v="Key Account"/>
    <n v="1350"/>
    <s v="W10710769"/>
    <s v="Termostatos"/>
    <x v="3"/>
    <n v="2000"/>
    <n v="5003024"/>
    <s v="RODOBRAS TRANSPORTES RODOVIARIOS LT"/>
    <n v="104.77"/>
    <d v="2025-06-02T00:00:00"/>
  </r>
  <r>
    <n v="254007553"/>
    <n v="64782224"/>
    <s v="REB"/>
    <n v="10017846"/>
    <n v="90"/>
    <s v="CLIENTE-não solicitou"/>
    <s v="COMERCIAL"/>
    <x v="1"/>
    <n v="23098"/>
    <x v="14"/>
    <s v="PR"/>
    <n v="713"/>
    <s v="Key Account"/>
    <n v="1350"/>
    <s v="W10710769"/>
    <s v="Termostatos"/>
    <x v="3"/>
    <n v="2000"/>
    <n v="5003024"/>
    <s v="RODOBRAS TRANSPORTES RODOVIARIOS LT"/>
    <n v="104.72"/>
    <d v="2025-06-02T00:00:00"/>
  </r>
  <r>
    <s v="Sem TR"/>
    <n v="64795993"/>
    <s v="ZRDI"/>
    <n v="10135689"/>
    <s v="D10"/>
    <s v="DEV D2C - Comprou modelo errado"/>
    <s v="COMERCIAL"/>
    <x v="2"/>
    <n v="58156220"/>
    <x v="1193"/>
    <s v="SP"/>
    <n v="475"/>
    <s v="Site Consul"/>
    <n v="1352"/>
    <s v="W10212150"/>
    <s v="Gavetas"/>
    <x v="9"/>
    <n v="1000"/>
    <n v="5002359"/>
    <s v="EMPRESA BRASILEIRA DE CORREIOS E"/>
    <n v="104.7"/>
    <d v="2025-07-17T00:00:00"/>
  </r>
  <r>
    <s v="Sem TR"/>
    <n v="64802244"/>
    <s v="ZRDI"/>
    <n v="10098115"/>
    <s v="D10"/>
    <s v="DEV D2C - Comprou modelo errado"/>
    <s v="COMERCIAL"/>
    <x v="2"/>
    <n v="58108038"/>
    <x v="1194"/>
    <s v="SP"/>
    <n v="475"/>
    <s v="Site Consul"/>
    <n v="1352"/>
    <s v="W10212150"/>
    <s v="Gavetas"/>
    <x v="9"/>
    <n v="1000"/>
    <n v="5002359"/>
    <s v="EMPRESA BRASILEIRA DE CORREIOS E"/>
    <n v="104.7"/>
    <d v="2025-07-01T00:00:00"/>
  </r>
  <r>
    <s v="Sem TR"/>
    <n v="64802245"/>
    <s v="ZRDI"/>
    <n v="10098115"/>
    <s v="D10"/>
    <s v="DEV D2C - Comprou modelo errado"/>
    <s v="COMERCIAL"/>
    <x v="2"/>
    <n v="58108038"/>
    <x v="1194"/>
    <s v="SP"/>
    <n v="475"/>
    <s v="Site Consul"/>
    <n v="1352"/>
    <s v="W10212150"/>
    <s v="Gavetas"/>
    <x v="9"/>
    <n v="1000"/>
    <n v="5002359"/>
    <s v="EMPRESA BRASILEIRA DE CORREIOS E"/>
    <n v="104.7"/>
    <d v="2025-07-01T00:00:00"/>
  </r>
  <r>
    <s v="Sem TR"/>
    <n v="64812736"/>
    <s v="ZRDI"/>
    <n v="10139208"/>
    <s v="D10"/>
    <s v="DEV D2C - Comprou modelo errado"/>
    <s v="COMERCIAL"/>
    <x v="2"/>
    <n v="52929493"/>
    <x v="1195"/>
    <s v="SP"/>
    <n v="475"/>
    <s v="Site Consul"/>
    <n v="1352"/>
    <s v="W10212150"/>
    <s v="Gavetas"/>
    <x v="9"/>
    <n v="1000"/>
    <n v="5002359"/>
    <s v="EMPRESA BRASILEIRA DE CORREIOS E"/>
    <n v="104.7"/>
    <d v="2025-07-21T00:00:00"/>
  </r>
  <r>
    <s v="Sem TR"/>
    <n v="64812981"/>
    <s v="ZRDI"/>
    <n v="10120323"/>
    <s v="D10"/>
    <s v="DEV D2C - Comprou modelo errado"/>
    <s v="COMERCIAL"/>
    <x v="2"/>
    <n v="58132223"/>
    <x v="1196"/>
    <s v="SP"/>
    <n v="475"/>
    <s v="Site Consul"/>
    <n v="1352"/>
    <s v="W10212150"/>
    <s v="Gavetas"/>
    <x v="9"/>
    <n v="1000"/>
    <n v="5002359"/>
    <s v="EMPRESA BRASILEIRA DE CORREIOS E"/>
    <n v="104.7"/>
    <d v="2025-07-22T00:00:00"/>
  </r>
  <r>
    <s v="Sem TR"/>
    <n v="64814024"/>
    <s v="ZRDI"/>
    <n v="10103526"/>
    <n v="208"/>
    <s v="DEV-Atraso entrega- LOGISTICA(Transp)"/>
    <s v="TRANSPORTADORA"/>
    <x v="2"/>
    <n v="51806303"/>
    <x v="1197"/>
    <s v="SP"/>
    <n v="475"/>
    <s v="Site Consul"/>
    <n v="1352"/>
    <s v="W10212150"/>
    <s v="Gavetas"/>
    <x v="9"/>
    <n v="1000"/>
    <n v="5002359"/>
    <s v="EMPRESA BRASILEIRA DE CORREIOS E"/>
    <n v="104.7"/>
    <d v="2025-07-21T00:00:00"/>
  </r>
  <r>
    <s v="Sem TR"/>
    <n v="64817046"/>
    <s v="ZRDI"/>
    <n v="10134575"/>
    <s v="D10"/>
    <s v="DEV D2C - Comprou modelo errado"/>
    <s v="COMERCIAL"/>
    <x v="2"/>
    <n v="58149391"/>
    <x v="1198"/>
    <s v="SP"/>
    <n v="475"/>
    <s v="Site Consul"/>
    <n v="1352"/>
    <s v="W10212150"/>
    <s v="Gavetas"/>
    <x v="9"/>
    <n v="1000"/>
    <n v="5002359"/>
    <s v="EMPRESA BRASILEIRA DE CORREIOS E"/>
    <n v="104.7"/>
    <d v="2025-07-25T00:00:00"/>
  </r>
  <r>
    <s v="Sem TR"/>
    <n v="64795993"/>
    <s v="ZRDI"/>
    <n v="10135689"/>
    <s v="D10"/>
    <s v="DEV D2C - Comprou modelo errado"/>
    <s v="COMERCIAL"/>
    <x v="2"/>
    <n v="58156220"/>
    <x v="1193"/>
    <s v="SP"/>
    <n v="475"/>
    <s v="Site Consul"/>
    <n v="1352"/>
    <s v="W10212150"/>
    <s v="Gavetas"/>
    <x v="9"/>
    <n v="1000"/>
    <n v="5002359"/>
    <s v="EMPRESA BRASILEIRA DE CORREIOS E"/>
    <n v="104.7"/>
    <d v="2025-07-17T00:00:00"/>
  </r>
  <r>
    <s v="Sem TR"/>
    <n v="64802245"/>
    <s v="ZRDI"/>
    <n v="10098115"/>
    <s v="D10"/>
    <s v="DEV D2C - Comprou modelo errado"/>
    <s v="COMERCIAL"/>
    <x v="2"/>
    <n v="58108038"/>
    <x v="1194"/>
    <s v="SP"/>
    <n v="475"/>
    <s v="Site Consul"/>
    <n v="1352"/>
    <s v="W10212150"/>
    <s v="Gavetas"/>
    <x v="9"/>
    <n v="1000"/>
    <n v="5002359"/>
    <s v="EMPRESA BRASILEIRA DE CORREIOS E"/>
    <n v="104.7"/>
    <d v="2025-07-01T00:00:00"/>
  </r>
  <r>
    <s v="Sem TR"/>
    <n v="64812736"/>
    <s v="ZRDI"/>
    <n v="10139208"/>
    <s v="D10"/>
    <s v="DEV D2C - Comprou modelo errado"/>
    <s v="COMERCIAL"/>
    <x v="2"/>
    <n v="52929493"/>
    <x v="1195"/>
    <s v="SP"/>
    <n v="475"/>
    <s v="Site Consul"/>
    <n v="1352"/>
    <s v="W10212150"/>
    <s v="Gavetas"/>
    <x v="9"/>
    <n v="1000"/>
    <n v="5002359"/>
    <s v="EMPRESA BRASILEIRA DE CORREIOS E"/>
    <n v="104.7"/>
    <d v="2025-07-21T00:00:00"/>
  </r>
  <r>
    <s v="Sem TR"/>
    <n v="64812981"/>
    <s v="ZRDI"/>
    <n v="10120323"/>
    <s v="D10"/>
    <s v="DEV D2C - Comprou modelo errado"/>
    <s v="COMERCIAL"/>
    <x v="2"/>
    <n v="58132223"/>
    <x v="1196"/>
    <s v="SP"/>
    <n v="475"/>
    <s v="Site Consul"/>
    <n v="1352"/>
    <s v="W10212150"/>
    <s v="Gavetas"/>
    <x v="9"/>
    <n v="1000"/>
    <n v="5002359"/>
    <s v="EMPRESA BRASILEIRA DE CORREIOS E"/>
    <n v="104.7"/>
    <d v="2025-07-22T00:00:00"/>
  </r>
  <r>
    <s v="Sem TR"/>
    <n v="64817046"/>
    <s v="ZRDI"/>
    <n v="10134575"/>
    <s v="D10"/>
    <s v="DEV D2C - Comprou modelo errado"/>
    <s v="COMERCIAL"/>
    <x v="2"/>
    <n v="58149391"/>
    <x v="1198"/>
    <s v="SP"/>
    <n v="475"/>
    <s v="Site Consul"/>
    <n v="1352"/>
    <s v="W10212150"/>
    <s v="Gavetas"/>
    <x v="9"/>
    <n v="1000"/>
    <n v="5002359"/>
    <s v="EMPRESA BRASILEIRA DE CORREIOS E"/>
    <n v="104.7"/>
    <d v="2025-07-25T00:00:00"/>
  </r>
  <r>
    <s v="Sem TR"/>
    <n v="64819749"/>
    <s v="ZRDI"/>
    <n v="10153031"/>
    <s v="D10"/>
    <s v="DEV D2C - Comprou modelo errado"/>
    <s v="COMERCIAL"/>
    <x v="1"/>
    <n v="55826161"/>
    <x v="1199"/>
    <s v="SP"/>
    <n v="475"/>
    <s v="Site Consul"/>
    <n v="1352"/>
    <s v="W10212150"/>
    <s v="Gavetas"/>
    <x v="9"/>
    <n v="1000"/>
    <n v="5002359"/>
    <s v="EMPRESA BRASILEIRA DE CORREIOS E"/>
    <n v="104.7"/>
    <d v="2025-07-29T00:00:00"/>
  </r>
  <r>
    <n v="254012525"/>
    <n v="64789182"/>
    <s v="REB"/>
    <n v="10015391"/>
    <n v="173"/>
    <s v="PEÇAS - Defeito de fabric./Alta Amperage"/>
    <s v="FUNCIONAL"/>
    <x v="2"/>
    <n v="40998"/>
    <x v="8"/>
    <s v="GO"/>
    <n v="648"/>
    <s v="Ultra"/>
    <n v="1350"/>
    <s v="W11300675"/>
    <s v="Mecanismos"/>
    <x v="2"/>
    <n v="1000"/>
    <n v="5002858"/>
    <s v="FAVORITA TRANSPORTES LTDA"/>
    <n v="104.69"/>
    <d v="2025-06-10T00:00:00"/>
  </r>
  <r>
    <s v="Sem TR"/>
    <n v="64810922"/>
    <s v="ZRDI"/>
    <n v="10118548"/>
    <s v="D10"/>
    <s v="DEV D2C - Comprou modelo errado"/>
    <s v="COMERCIAL"/>
    <x v="2"/>
    <n v="58129754"/>
    <x v="1200"/>
    <s v="MG"/>
    <n v="474"/>
    <s v="Site Brastemp"/>
    <n v="1352"/>
    <s v="W10555135"/>
    <s v="Resistências"/>
    <x v="1"/>
    <n v="1000"/>
    <n v="5002359"/>
    <s v="EMPRESA BRASILEIRA DE CORREIOS E"/>
    <n v="104.69"/>
    <d v="2025-07-16T00:00:00"/>
  </r>
  <r>
    <s v="Sem TR"/>
    <n v="64782269"/>
    <s v="REB"/>
    <n v="10045112"/>
    <n v="509"/>
    <s v="Qtd de peças a Menor dentro do Volume"/>
    <s v="LOGÍSTICA"/>
    <x v="1"/>
    <n v="92053"/>
    <x v="17"/>
    <s v="MG"/>
    <n v="643"/>
    <s v="Elite"/>
    <n v="1350"/>
    <s v="W10606115"/>
    <s v="Polias/Roldanas"/>
    <x v="2"/>
    <n v="9000"/>
    <n v="5002359"/>
    <s v="EMPRESA BRASILEIRA DE CORREIOS E"/>
    <n v="104.68"/>
    <d v="2025-06-02T00:00:00"/>
  </r>
  <r>
    <n v="253870815"/>
    <n v="64637938"/>
    <s v="REB"/>
    <n v="9654070"/>
    <n v="176"/>
    <s v="PEÇAS - Defeito de fabric./Interrompido"/>
    <s v="FUNCIONAL"/>
    <x v="1"/>
    <n v="3236"/>
    <x v="45"/>
    <s v="SP"/>
    <n v="931"/>
    <s v="Ats Off"/>
    <n v="1350"/>
    <n v="326075880"/>
    <s v="Redes Elétricas"/>
    <x v="1"/>
    <n v="1000"/>
    <n v="5003254"/>
    <s v="TMA TRANSPORTE LOTACAO E LOGISTICA"/>
    <n v="104.65"/>
    <d v="2024-11-05T00:00:00"/>
  </r>
  <r>
    <n v="254022270"/>
    <n v="64799881"/>
    <s v="ZRDI"/>
    <n v="10079083"/>
    <n v="208"/>
    <s v="DEV-Atraso entrega- LOGISTICA(Transp)"/>
    <s v="TRANSPORTADORA"/>
    <x v="2"/>
    <n v="57567168"/>
    <x v="1201"/>
    <s v="SP"/>
    <n v="475"/>
    <s v="Site Consul"/>
    <n v="1352"/>
    <s v="W11509386"/>
    <s v="Filtros"/>
    <x v="5"/>
    <n v="1000"/>
    <n v="5002359"/>
    <s v="EMPRESA BRASILEIRA DE CORREIOS E"/>
    <n v="104.61"/>
    <d v="2025-06-27T00:00:00"/>
  </r>
  <r>
    <n v="254024651"/>
    <n v="64804753"/>
    <s v="ZRDI"/>
    <n v="10094954"/>
    <n v="208"/>
    <s v="DEV-Atraso entrega- LOGISTICA(Transp)"/>
    <s v="TRANSPORTADORA"/>
    <x v="2"/>
    <n v="5588893"/>
    <x v="1202"/>
    <s v="RJ"/>
    <n v="475"/>
    <s v="Site Consul"/>
    <n v="1352"/>
    <s v="W11509386"/>
    <s v="Filtros"/>
    <x v="5"/>
    <n v="1000"/>
    <n v="5002359"/>
    <s v="EMPRESA BRASILEIRA DE CORREIOS E"/>
    <n v="104.61"/>
    <d v="2025-07-02T00:00:00"/>
  </r>
  <r>
    <s v="Sem TR"/>
    <n v="64813914"/>
    <s v="ZRDI"/>
    <n v="10075814"/>
    <n v="25"/>
    <s v="OC. 80 - EXTRAVIO TOTAL"/>
    <s v="TRANSPORTADORA"/>
    <x v="2"/>
    <n v="4495714"/>
    <x v="1203"/>
    <s v="SP"/>
    <n v="475"/>
    <s v="Site Consul"/>
    <n v="1352"/>
    <s v="W11509387"/>
    <s v="Filtros"/>
    <x v="5"/>
    <n v="1000"/>
    <n v="5002359"/>
    <s v="EMPRESA BRASILEIRA DE CORREIOS E"/>
    <n v="104.61"/>
    <d v="2025-07-21T00:00:00"/>
  </r>
  <r>
    <s v="Sem TR"/>
    <n v="64813914"/>
    <s v="ZRDI"/>
    <n v="10075814"/>
    <n v="25"/>
    <s v="OC. 80 - EXTRAVIO TOTAL"/>
    <s v="TRANSPORTADORA"/>
    <x v="2"/>
    <n v="4495714"/>
    <x v="1203"/>
    <s v="SP"/>
    <n v="475"/>
    <s v="Site Consul"/>
    <n v="1352"/>
    <s v="W11509387"/>
    <s v="Filtros"/>
    <x v="5"/>
    <n v="1000"/>
    <n v="5002359"/>
    <s v="EMPRESA BRASILEIRA DE CORREIOS E"/>
    <n v="104.61"/>
    <d v="2025-07-21T00:00:00"/>
  </r>
  <r>
    <n v="254022270"/>
    <n v="64799881"/>
    <s v="ZRDI"/>
    <n v="10079083"/>
    <n v="208"/>
    <s v="DEV-Atraso entrega- LOGISTICA(Transp)"/>
    <s v="TRANSPORTADORA"/>
    <x v="2"/>
    <n v="57567168"/>
    <x v="1201"/>
    <s v="SP"/>
    <n v="475"/>
    <s v="Site Consul"/>
    <n v="1352"/>
    <s v="W11509386"/>
    <s v="Filtros"/>
    <x v="5"/>
    <n v="1000"/>
    <n v="5002359"/>
    <s v="EMPRESA BRASILEIRA DE CORREIOS E"/>
    <n v="104.6"/>
    <d v="2025-06-27T00:00:00"/>
  </r>
  <r>
    <n v="254024651"/>
    <n v="64804753"/>
    <s v="ZRDI"/>
    <n v="10094954"/>
    <n v="208"/>
    <s v="DEV-Atraso entrega- LOGISTICA(Transp)"/>
    <s v="TRANSPORTADORA"/>
    <x v="2"/>
    <n v="5588893"/>
    <x v="1202"/>
    <s v="RJ"/>
    <n v="475"/>
    <s v="Site Consul"/>
    <n v="1352"/>
    <s v="W11509386"/>
    <s v="Filtros"/>
    <x v="5"/>
    <n v="1000"/>
    <n v="5002359"/>
    <s v="EMPRESA BRASILEIRA DE CORREIOS E"/>
    <n v="104.6"/>
    <d v="2025-07-02T00:00:00"/>
  </r>
  <r>
    <s v="Sem TR"/>
    <n v="64813914"/>
    <s v="ZRDI"/>
    <n v="10075814"/>
    <n v="25"/>
    <s v="OC. 80 - EXTRAVIO TOTAL"/>
    <s v="TRANSPORTADORA"/>
    <x v="2"/>
    <n v="4495714"/>
    <x v="1203"/>
    <s v="SP"/>
    <n v="475"/>
    <s v="Site Consul"/>
    <n v="1352"/>
    <s v="W11509387"/>
    <s v="Filtros"/>
    <x v="5"/>
    <n v="1000"/>
    <n v="5002359"/>
    <s v="EMPRESA BRASILEIRA DE CORREIOS E"/>
    <n v="104.6"/>
    <d v="2025-07-21T00:00:00"/>
  </r>
  <r>
    <s v="Sem TR"/>
    <n v="64813914"/>
    <s v="ZRDI"/>
    <n v="10075814"/>
    <n v="25"/>
    <s v="OC. 80 - EXTRAVIO TOTAL"/>
    <s v="TRANSPORTADORA"/>
    <x v="2"/>
    <n v="4495714"/>
    <x v="1203"/>
    <s v="SP"/>
    <n v="475"/>
    <s v="Site Consul"/>
    <n v="1352"/>
    <s v="W11509387"/>
    <s v="Filtros"/>
    <x v="5"/>
    <n v="1000"/>
    <n v="5002359"/>
    <s v="EMPRESA BRASILEIRA DE CORREIOS E"/>
    <n v="104.6"/>
    <d v="2025-07-21T00:00:00"/>
  </r>
  <r>
    <n v="253952271"/>
    <n v="64727022"/>
    <s v="REB"/>
    <n v="9819953"/>
    <n v="173"/>
    <s v="PEÇAS - Defeito de fabric./Alta Amperage"/>
    <s v="FUNCIONAL"/>
    <x v="2"/>
    <n v="31587"/>
    <x v="135"/>
    <s v="SP"/>
    <n v="643"/>
    <s v="Elite"/>
    <n v="1350"/>
    <s v="W11300676"/>
    <s v="Mecanismos"/>
    <x v="2"/>
    <n v="1000"/>
    <n v="5004042"/>
    <s v="BRASIL WEB TRANSPORTES E LOGISTICA"/>
    <n v="104.56"/>
    <d v="2025-03-10T00:00:00"/>
  </r>
  <r>
    <n v="253922432"/>
    <n v="64695356"/>
    <s v="REB"/>
    <n v="9340743"/>
    <n v="176"/>
    <s v="PEÇAS - Defeito de fabric./Interrompido"/>
    <s v="FUNCIONAL"/>
    <x v="1"/>
    <n v="66"/>
    <x v="73"/>
    <s v="GO"/>
    <n v="931"/>
    <s v="Ats Off"/>
    <n v="1350"/>
    <s v="W10446925"/>
    <s v="Placas de Controle"/>
    <x v="1"/>
    <n v="1000"/>
    <n v="5002858"/>
    <s v="FAVORITA TRANSPORTES LTDA"/>
    <n v="104.56"/>
    <d v="2025-01-20T00:00:00"/>
  </r>
  <r>
    <n v="254038387"/>
    <n v="64814783"/>
    <s v="REB"/>
    <n v="10090173"/>
    <n v="173"/>
    <s v="PEÇAS - Defeito de fabric./Alta Amperage"/>
    <s v="FUNCIONAL"/>
    <x v="1"/>
    <n v="67948"/>
    <x v="15"/>
    <s v="SC"/>
    <n v="713"/>
    <s v="Key Account"/>
    <n v="1350"/>
    <s v="W11300675"/>
    <s v="Mecanismos"/>
    <x v="2"/>
    <n v="1000"/>
    <n v="5003024"/>
    <s v="RODOBRAS TRANSPORTES RODOVIARIOS LT"/>
    <n v="104.55"/>
    <d v="2025-07-22T00:00:00"/>
  </r>
  <r>
    <n v="254035368"/>
    <n v="64802967"/>
    <s v="REB"/>
    <n v="10096722"/>
    <n v="167"/>
    <s v="PEÇAS - Avaria - Quebrada/Depósito"/>
    <s v="LOGÍSTICA"/>
    <x v="0"/>
    <n v="29706"/>
    <x v="149"/>
    <s v="RN"/>
    <n v="644"/>
    <s v="Plus"/>
    <n v="1350"/>
    <n v="326064410"/>
    <s v="Gavetas"/>
    <x v="9"/>
    <n v="2000"/>
    <n v="5004101"/>
    <s v="UNIDOCK'S ASSESSORIA E LOGISTICA DE"/>
    <n v="104.53"/>
    <d v="2025-07-17T00:00:00"/>
  </r>
  <r>
    <n v="254018225"/>
    <n v="64793151"/>
    <s v="REB"/>
    <n v="9953372"/>
    <n v="176"/>
    <s v="PEÇAS - Defeito de fabric./Interrompido"/>
    <s v="FUNCIONAL"/>
    <x v="1"/>
    <n v="13757"/>
    <x v="14"/>
    <s v="SP"/>
    <n v="713"/>
    <s v="Key Account"/>
    <n v="1350"/>
    <s v="W11299803"/>
    <s v="Mecanismos"/>
    <x v="2"/>
    <n v="1000"/>
    <n v="5004042"/>
    <s v="BRASIL WEB TRANSPORTES E LOGISTICA"/>
    <n v="104.5"/>
    <d v="2025-06-17T00:00:00"/>
  </r>
  <r>
    <n v="254032514"/>
    <n v="64811478"/>
    <s v="ZRDI"/>
    <n v="10091723"/>
    <n v="208"/>
    <s v="DEV-Atraso entrega- LOGISTICA(Transp)"/>
    <s v="TRANSPORTADORA"/>
    <x v="2"/>
    <n v="58005097"/>
    <x v="905"/>
    <s v="SC"/>
    <n v="475"/>
    <s v="Site Consul"/>
    <n v="1352"/>
    <s v="W10200101"/>
    <s v="Prateleiras"/>
    <x v="9"/>
    <n v="1000"/>
    <n v="5002359"/>
    <s v="EMPRESA BRASILEIRA DE CORREIOS E"/>
    <n v="104.5"/>
    <d v="2025-07-16T00:00:00"/>
  </r>
  <r>
    <n v="254018224"/>
    <n v="64792375"/>
    <s v="REB"/>
    <n v="9953372"/>
    <n v="176"/>
    <s v="PEÇAS - Defeito de fabric./Interrompido"/>
    <s v="FUNCIONAL"/>
    <x v="1"/>
    <n v="13757"/>
    <x v="14"/>
    <s v="SP"/>
    <n v="713"/>
    <s v="Key Account"/>
    <n v="1350"/>
    <s v="W11299803"/>
    <s v="Mecanismos"/>
    <x v="2"/>
    <n v="1000"/>
    <n v="5004042"/>
    <s v="BRASIL WEB TRANSPORTES E LOGISTICA"/>
    <n v="104.5"/>
    <d v="2025-06-16T00:00:00"/>
  </r>
  <r>
    <n v="254039197"/>
    <n v="64817079"/>
    <s v="ZRDI"/>
    <n v="10130294"/>
    <n v="208"/>
    <s v="DEV-Atraso entrega- LOGISTICA(Transp)"/>
    <s v="TRANSPORTADORA"/>
    <x v="2"/>
    <n v="58145734"/>
    <x v="1204"/>
    <s v="PB"/>
    <n v="475"/>
    <s v="Site Consul"/>
    <n v="1352"/>
    <s v="W11199342"/>
    <s v="Filtros"/>
    <x v="5"/>
    <n v="1000"/>
    <n v="5002359"/>
    <s v="EMPRESA BRASILEIRA DE CORREIOS E"/>
    <n v="104.45"/>
    <d v="2025-07-24T00:00:00"/>
  </r>
  <r>
    <n v="254039197"/>
    <n v="64817079"/>
    <s v="ZRDI"/>
    <n v="10130294"/>
    <n v="208"/>
    <s v="DEV-Atraso entrega- LOGISTICA(Transp)"/>
    <s v="TRANSPORTADORA"/>
    <x v="2"/>
    <n v="58145734"/>
    <x v="1204"/>
    <s v="PB"/>
    <n v="475"/>
    <s v="Site Consul"/>
    <n v="1352"/>
    <s v="W11199342"/>
    <s v="Filtros"/>
    <x v="5"/>
    <n v="1000"/>
    <n v="5002359"/>
    <s v="EMPRESA BRASILEIRA DE CORREIOS E"/>
    <n v="104.45"/>
    <d v="2025-07-24T00:00:00"/>
  </r>
  <r>
    <n v="254022277"/>
    <n v="64799892"/>
    <s v="ZRDI"/>
    <n v="10102465"/>
    <n v="208"/>
    <s v="DEV-Atraso entrega- LOGISTICA(Transp)"/>
    <s v="TRANSPORTADORA"/>
    <x v="2"/>
    <n v="4300434"/>
    <x v="1205"/>
    <s v="SP"/>
    <n v="475"/>
    <s v="Site Consul"/>
    <n v="1352"/>
    <s v="W10301562"/>
    <s v="Filtros"/>
    <x v="5"/>
    <n v="1000"/>
    <n v="5002359"/>
    <s v="EMPRESA BRASILEIRA DE CORREIOS E"/>
    <n v="104.36"/>
    <d v="2025-06-27T00:00:00"/>
  </r>
  <r>
    <n v="254044336"/>
    <n v="64723897"/>
    <s v="REB"/>
    <n v="9917341"/>
    <n v="104"/>
    <s v="PEÇAS-Código trocado(embalag X conteúdo)"/>
    <s v="LOGÍSTICA"/>
    <x v="0"/>
    <n v="22041"/>
    <x v="70"/>
    <s v="SP"/>
    <n v="931"/>
    <s v="Ats Off"/>
    <n v="1350"/>
    <s v="W10710769"/>
    <s v="Termostatos"/>
    <x v="3"/>
    <n v="1000"/>
    <n v="5004042"/>
    <s v="BRASIL WEB TRANSPORTES E LOGISTICA"/>
    <n v="104.36"/>
    <d v="2025-03-18T00:00:00"/>
  </r>
  <r>
    <s v="Sem TR"/>
    <n v="64796621"/>
    <s v="ZRDI"/>
    <n v="10103947"/>
    <s v="D10"/>
    <s v="DEV D2C - Comprou modelo errado"/>
    <s v="COMERCIAL"/>
    <x v="2"/>
    <n v="57578271"/>
    <x v="1206"/>
    <s v="SP"/>
    <n v="475"/>
    <s v="Site Consul"/>
    <n v="1352"/>
    <s v="W11509386"/>
    <s v="Filtros"/>
    <x v="5"/>
    <n v="1000"/>
    <n v="5002359"/>
    <s v="EMPRESA BRASILEIRA DE CORREIOS E"/>
    <n v="104.31"/>
    <d v="2025-06-27T00:00:00"/>
  </r>
  <r>
    <n v="254024160"/>
    <n v="64803862"/>
    <s v="ZRDI"/>
    <n v="10102606"/>
    <n v="208"/>
    <s v="DEV-Atraso entrega- LOGISTICA(Transp)"/>
    <s v="TRANSPORTADORA"/>
    <x v="2"/>
    <n v="57746058"/>
    <x v="1207"/>
    <s v="SP"/>
    <n v="475"/>
    <s v="Site Consul"/>
    <n v="1352"/>
    <s v="W11509386"/>
    <s v="Filtros"/>
    <x v="5"/>
    <n v="1000"/>
    <n v="5002359"/>
    <s v="EMPRESA BRASILEIRA DE CORREIOS E"/>
    <n v="104.31"/>
    <d v="2025-07-01T00:00:00"/>
  </r>
  <r>
    <n v="254024161"/>
    <n v="64803879"/>
    <s v="ZRDI"/>
    <n v="10105919"/>
    <n v="208"/>
    <s v="DEV-Atraso entrega- LOGISTICA(Transp)"/>
    <s v="TRANSPORTADORA"/>
    <x v="2"/>
    <n v="56354277"/>
    <x v="1208"/>
    <s v="SP"/>
    <n v="475"/>
    <s v="Site Consul"/>
    <n v="1352"/>
    <s v="W11509386"/>
    <s v="Filtros"/>
    <x v="5"/>
    <n v="1000"/>
    <n v="5002359"/>
    <s v="EMPRESA BRASILEIRA DE CORREIOS E"/>
    <n v="104.31"/>
    <d v="2025-07-01T00:00:00"/>
  </r>
  <r>
    <s v="Sem TR"/>
    <n v="64804274"/>
    <s v="ZRDI"/>
    <n v="10103933"/>
    <s v="D10"/>
    <s v="DEV D2C - Comprou modelo errado"/>
    <s v="COMERCIAL"/>
    <x v="2"/>
    <n v="55445473"/>
    <x v="1209"/>
    <s v="SP"/>
    <n v="475"/>
    <s v="Site Consul"/>
    <n v="1352"/>
    <s v="W11509386"/>
    <s v="Filtros"/>
    <x v="5"/>
    <n v="1000"/>
    <n v="5002359"/>
    <s v="EMPRESA BRASILEIRA DE CORREIOS E"/>
    <n v="104.31"/>
    <d v="2025-07-02T00:00:00"/>
  </r>
  <r>
    <s v="Sem TR"/>
    <n v="64805566"/>
    <s v="ZRDI"/>
    <n v="10109523"/>
    <s v="D14"/>
    <s v="DEV D2C - Comprou prod cor errada"/>
    <s v="COMERCIAL"/>
    <x v="2"/>
    <n v="58119900"/>
    <x v="1210"/>
    <s v="SP"/>
    <n v="475"/>
    <s v="Site Consul"/>
    <n v="1352"/>
    <s v="W11509386"/>
    <s v="Filtros"/>
    <x v="5"/>
    <n v="1000"/>
    <n v="5002359"/>
    <s v="EMPRESA BRASILEIRA DE CORREIOS E"/>
    <n v="104.31"/>
    <d v="2025-07-05T00:00:00"/>
  </r>
  <r>
    <s v="Sem TR"/>
    <n v="64807252"/>
    <s v="ZRDI"/>
    <n v="10097101"/>
    <n v="208"/>
    <s v="DEV-Atraso entrega- LOGISTICA(Transp)"/>
    <s v="TRANSPORTADORA"/>
    <x v="2"/>
    <n v="57520553"/>
    <x v="1211"/>
    <s v="SP"/>
    <n v="475"/>
    <s v="Site Consul"/>
    <n v="1352"/>
    <s v="W11509386"/>
    <s v="Filtros"/>
    <x v="5"/>
    <n v="1000"/>
    <n v="5002359"/>
    <s v="EMPRESA BRASILEIRA DE CORREIOS E"/>
    <n v="104.31"/>
    <d v="2025-07-08T00:00:00"/>
  </r>
  <r>
    <n v="254030023"/>
    <n v="64809500"/>
    <s v="ZRDI"/>
    <n v="10107985"/>
    <n v="208"/>
    <s v="DEV-Atraso entrega- LOGISTICA(Transp)"/>
    <s v="TRANSPORTADORA"/>
    <x v="2"/>
    <n v="58119085"/>
    <x v="1212"/>
    <s v="SP"/>
    <n v="475"/>
    <s v="Site Consul"/>
    <n v="1352"/>
    <s v="W11509386"/>
    <s v="Filtros"/>
    <x v="5"/>
    <n v="1000"/>
    <n v="5002359"/>
    <s v="EMPRESA BRASILEIRA DE CORREIOS E"/>
    <n v="104.31"/>
    <d v="2025-07-11T00:00:00"/>
  </r>
  <r>
    <n v="254032542"/>
    <n v="64811496"/>
    <s v="ZRDI"/>
    <n v="10102593"/>
    <n v="208"/>
    <s v="DEV-Atraso entrega- LOGISTICA(Transp)"/>
    <s v="TRANSPORTADORA"/>
    <x v="2"/>
    <n v="57580683"/>
    <x v="1213"/>
    <s v="SP"/>
    <n v="475"/>
    <s v="Site Consul"/>
    <n v="1352"/>
    <s v="W11509386"/>
    <s v="Filtros"/>
    <x v="5"/>
    <n v="1000"/>
    <n v="5002359"/>
    <s v="EMPRESA BRASILEIRA DE CORREIOS E"/>
    <n v="104.31"/>
    <d v="2025-07-16T00:00:00"/>
  </r>
  <r>
    <s v="Sem TR"/>
    <n v="64812539"/>
    <s v="ZRDI"/>
    <n v="10109689"/>
    <n v="208"/>
    <s v="DEV-Atraso entrega- LOGISTICA(Transp)"/>
    <s v="TRANSPORTADORA"/>
    <x v="2"/>
    <n v="57259417"/>
    <x v="1214"/>
    <s v="SP"/>
    <n v="475"/>
    <s v="Site Consul"/>
    <n v="1352"/>
    <s v="W11509386"/>
    <s v="Filtros"/>
    <x v="5"/>
    <n v="1000"/>
    <n v="5002359"/>
    <s v="EMPRESA BRASILEIRA DE CORREIOS E"/>
    <n v="104.31"/>
    <d v="2025-07-17T00:00:00"/>
  </r>
  <r>
    <s v="Sem TR"/>
    <n v="64812653"/>
    <s v="ZRDI"/>
    <n v="10135352"/>
    <s v="D10"/>
    <s v="DEV D2C - Comprou modelo errado"/>
    <s v="COMERCIAL"/>
    <x v="2"/>
    <n v="54046438"/>
    <x v="1215"/>
    <s v="SP"/>
    <n v="475"/>
    <s v="Site Consul"/>
    <n v="1352"/>
    <s v="W11509386"/>
    <s v="Filtros"/>
    <x v="5"/>
    <n v="1000"/>
    <n v="5002359"/>
    <s v="EMPRESA BRASILEIRA DE CORREIOS E"/>
    <n v="104.31"/>
    <d v="2025-07-22T00:00:00"/>
  </r>
  <r>
    <s v="Sem TR"/>
    <n v="64814997"/>
    <s v="ZRDI"/>
    <n v="10127035"/>
    <n v="208"/>
    <s v="DEV-Atraso entrega- LOGISTICA(Transp)"/>
    <s v="TRANSPORTADORA"/>
    <x v="2"/>
    <n v="52741641"/>
    <x v="1216"/>
    <s v="SP"/>
    <n v="475"/>
    <s v="Site Consul"/>
    <n v="1352"/>
    <s v="W11509386"/>
    <s v="Filtros"/>
    <x v="5"/>
    <n v="1000"/>
    <n v="5002359"/>
    <s v="EMPRESA BRASILEIRA DE CORREIOS E"/>
    <n v="104.31"/>
    <d v="2025-07-22T00:00:00"/>
  </r>
  <r>
    <n v="254039199"/>
    <n v="64817081"/>
    <s v="ZRDI"/>
    <n v="10132644"/>
    <n v="208"/>
    <s v="DEV-Atraso entrega- LOGISTICA(Transp)"/>
    <s v="TRANSPORTADORA"/>
    <x v="2"/>
    <n v="58152140"/>
    <x v="1217"/>
    <s v="SP"/>
    <n v="475"/>
    <s v="Site Consul"/>
    <n v="1352"/>
    <s v="W11509386"/>
    <s v="Filtros"/>
    <x v="5"/>
    <n v="1000"/>
    <n v="5002359"/>
    <s v="EMPRESA BRASILEIRA DE CORREIOS E"/>
    <n v="104.31"/>
    <d v="2025-07-24T00:00:00"/>
  </r>
  <r>
    <s v="Sem TR"/>
    <n v="64817681"/>
    <s v="ZRDI"/>
    <n v="10144491"/>
    <s v="D10"/>
    <s v="DEV D2C - Comprou modelo errado"/>
    <s v="COMERCIAL"/>
    <x v="2"/>
    <n v="4052742"/>
    <x v="1218"/>
    <s v="SP"/>
    <n v="475"/>
    <s v="Site Consul"/>
    <n v="1352"/>
    <s v="W11509386"/>
    <s v="Filtros"/>
    <x v="5"/>
    <n v="1000"/>
    <n v="5002359"/>
    <s v="EMPRESA BRASILEIRA DE CORREIOS E"/>
    <n v="104.31"/>
    <d v="2025-07-26T00:00:00"/>
  </r>
  <r>
    <n v="254040426"/>
    <n v="64818330"/>
    <s v="ZRDI"/>
    <n v="10144100"/>
    <n v="208"/>
    <s v="DEV-Atraso entrega- LOGISTICA(Transp)"/>
    <s v="TRANSPORTADORA"/>
    <x v="2"/>
    <n v="56314869"/>
    <x v="1219"/>
    <s v="SP"/>
    <n v="475"/>
    <s v="Site Consul"/>
    <n v="1352"/>
    <s v="W11509386"/>
    <s v="Filtros"/>
    <x v="5"/>
    <n v="1000"/>
    <n v="5002359"/>
    <s v="EMPRESA BRASILEIRA DE CORREIOS E"/>
    <n v="104.31"/>
    <d v="2025-07-26T00:00:00"/>
  </r>
  <r>
    <s v="Sem TR"/>
    <n v="64812653"/>
    <s v="ZRDI"/>
    <n v="10135352"/>
    <s v="D10"/>
    <s v="DEV D2C - Comprou modelo errado"/>
    <s v="COMERCIAL"/>
    <x v="2"/>
    <n v="54046438"/>
    <x v="1215"/>
    <s v="SP"/>
    <n v="475"/>
    <s v="Site Consul"/>
    <n v="1352"/>
    <s v="W11509386"/>
    <s v="Filtros"/>
    <x v="5"/>
    <n v="1000"/>
    <n v="5002359"/>
    <s v="EMPRESA BRASILEIRA DE CORREIOS E"/>
    <n v="104.31"/>
    <d v="2025-07-22T00:00:00"/>
  </r>
  <r>
    <s v="Sem TR"/>
    <n v="64814997"/>
    <s v="ZRDI"/>
    <n v="10127035"/>
    <n v="208"/>
    <s v="DEV-Atraso entrega- LOGISTICA(Transp)"/>
    <s v="TRANSPORTADORA"/>
    <x v="2"/>
    <n v="52741641"/>
    <x v="1216"/>
    <s v="SP"/>
    <n v="475"/>
    <s v="Site Consul"/>
    <n v="1352"/>
    <s v="W11509386"/>
    <s v="Filtros"/>
    <x v="5"/>
    <n v="1000"/>
    <n v="5002359"/>
    <s v="EMPRESA BRASILEIRA DE CORREIOS E"/>
    <n v="104.31"/>
    <d v="2025-07-22T00:00:00"/>
  </r>
  <r>
    <n v="254039199"/>
    <n v="64817081"/>
    <s v="ZRDI"/>
    <n v="10132644"/>
    <n v="208"/>
    <s v="DEV-Atraso entrega- LOGISTICA(Transp)"/>
    <s v="TRANSPORTADORA"/>
    <x v="2"/>
    <n v="58152140"/>
    <x v="1217"/>
    <s v="SP"/>
    <n v="475"/>
    <s v="Site Consul"/>
    <n v="1352"/>
    <s v="W11509386"/>
    <s v="Filtros"/>
    <x v="5"/>
    <n v="1000"/>
    <n v="5002359"/>
    <s v="EMPRESA BRASILEIRA DE CORREIOS E"/>
    <n v="104.31"/>
    <d v="2025-07-24T00:00:00"/>
  </r>
  <r>
    <s v="Sem TR"/>
    <n v="64817681"/>
    <s v="ZRDI"/>
    <n v="10144491"/>
    <s v="D10"/>
    <s v="DEV D2C - Comprou modelo errado"/>
    <s v="COMERCIAL"/>
    <x v="2"/>
    <n v="4052742"/>
    <x v="1218"/>
    <s v="SP"/>
    <n v="475"/>
    <s v="Site Consul"/>
    <n v="1352"/>
    <s v="W11509386"/>
    <s v="Filtros"/>
    <x v="5"/>
    <n v="1000"/>
    <n v="5002359"/>
    <s v="EMPRESA BRASILEIRA DE CORREIOS E"/>
    <n v="104.31"/>
    <d v="2025-07-26T00:00:00"/>
  </r>
  <r>
    <n v="254040426"/>
    <n v="64818330"/>
    <s v="ZRDI"/>
    <n v="10144100"/>
    <n v="208"/>
    <s v="DEV-Atraso entrega- LOGISTICA(Transp)"/>
    <s v="TRANSPORTADORA"/>
    <x v="2"/>
    <n v="56314869"/>
    <x v="1219"/>
    <s v="SP"/>
    <n v="475"/>
    <s v="Site Consul"/>
    <n v="1352"/>
    <s v="W11509386"/>
    <s v="Filtros"/>
    <x v="5"/>
    <n v="1000"/>
    <n v="5002359"/>
    <s v="EMPRESA BRASILEIRA DE CORREIOS E"/>
    <n v="104.31"/>
    <d v="2025-07-26T00:00:00"/>
  </r>
  <r>
    <s v="Sem TR"/>
    <n v="64752879"/>
    <s v="REB"/>
    <n v="9974214"/>
    <n v="160"/>
    <s v="OI Cancelada - Ver motivo no texto"/>
    <s v="OUTROS"/>
    <x v="1"/>
    <n v="5129"/>
    <x v="1185"/>
    <s v="RS"/>
    <n v="934"/>
    <s v="CDP Ouro"/>
    <n v="1350"/>
    <s v="W10287547"/>
    <s v="Gavetas"/>
    <x v="9"/>
    <n v="1000"/>
    <n v="5003024"/>
    <s v="RODOBRAS TRANSPORTES RODOVIARIOS LT"/>
    <n v="104.28"/>
    <d v="2025-04-16T00:00:00"/>
  </r>
  <r>
    <s v="Sem TR"/>
    <n v="64813916"/>
    <s v="ZRDI"/>
    <n v="10094950"/>
    <n v="25"/>
    <s v="OC. 80 - EXTRAVIO TOTAL"/>
    <s v="TRANSPORTADORA"/>
    <x v="2"/>
    <n v="4070901"/>
    <x v="486"/>
    <s v="SP"/>
    <n v="475"/>
    <s v="Site Consul"/>
    <n v="1352"/>
    <s v="W11100357"/>
    <s v="Tubos Queima"/>
    <x v="12"/>
    <n v="1000"/>
    <n v="5002359"/>
    <s v="EMPRESA BRASILEIRA DE CORREIOS E"/>
    <n v="104.23"/>
    <d v="2025-07-21T00:00:00"/>
  </r>
  <r>
    <s v="Sem TR"/>
    <n v="64813916"/>
    <s v="ZRDI"/>
    <n v="10094950"/>
    <n v="25"/>
    <s v="OC. 80 - EXTRAVIO TOTAL"/>
    <s v="TRANSPORTADORA"/>
    <x v="2"/>
    <n v="4070901"/>
    <x v="486"/>
    <s v="SP"/>
    <n v="475"/>
    <s v="Site Consul"/>
    <n v="1352"/>
    <s v="W11100357"/>
    <s v="Tubos Queima"/>
    <x v="12"/>
    <n v="1000"/>
    <n v="5002359"/>
    <s v="EMPRESA BRASILEIRA DE CORREIOS E"/>
    <n v="104.23"/>
    <d v="2025-07-21T00:00:00"/>
  </r>
  <r>
    <n v="253961341"/>
    <n v="64737879"/>
    <s v="REB"/>
    <n v="9747687"/>
    <n v="176"/>
    <s v="PEÇAS - Defeito de fabric./Interrompido"/>
    <s v="FUNCIONAL"/>
    <x v="1"/>
    <n v="46272"/>
    <x v="194"/>
    <s v="CE"/>
    <n v="713"/>
    <s v="Key Account"/>
    <n v="1350"/>
    <s v="W11300816"/>
    <s v="Mecanismos"/>
    <x v="2"/>
    <n v="1000"/>
    <n v="5004101"/>
    <s v="UNIDOCK'S ASSESSORIA E LOGISTICA DE"/>
    <n v="104.19"/>
    <d v="2025-03-25T00:00:00"/>
  </r>
  <r>
    <n v="254025850"/>
    <n v="64805649"/>
    <s v="ZRDI"/>
    <n v="10073095"/>
    <s v="D25"/>
    <s v="DEV D2C - Prob na entrega (Não recebi)"/>
    <s v="TRANSPORTADORA"/>
    <x v="2"/>
    <n v="50038496"/>
    <x v="674"/>
    <s v="SC"/>
    <n v="475"/>
    <s v="Site Consul"/>
    <n v="1352"/>
    <s v="W11509386"/>
    <s v="Filtros"/>
    <x v="5"/>
    <n v="1000"/>
    <n v="5002359"/>
    <s v="EMPRESA BRASILEIRA DE CORREIOS E"/>
    <n v="104.09"/>
    <d v="2025-07-04T00:00:00"/>
  </r>
  <r>
    <n v="254033256"/>
    <n v="64796703"/>
    <s v="REB"/>
    <n v="10105538"/>
    <n v="176"/>
    <s v="PEÇAS - Defeito de fabric./Interrompido"/>
    <s v="FUNCIONAL"/>
    <x v="1"/>
    <n v="2424"/>
    <x v="338"/>
    <s v="RJ"/>
    <n v="350"/>
    <s v="Ats On"/>
    <n v="1350"/>
    <s v="W10301562"/>
    <s v="Filtros"/>
    <x v="5"/>
    <n v="1000"/>
    <n v="5003176"/>
    <s v="J C THEDIN TRANSPORTES LTDA"/>
    <n v="104.08"/>
    <d v="2025-07-08T00:00:00"/>
  </r>
  <r>
    <n v="254032534"/>
    <n v="64811488"/>
    <s v="ZRDI"/>
    <n v="10097822"/>
    <n v="208"/>
    <s v="DEV-Atraso entrega- LOGISTICA(Transp)"/>
    <s v="TRANSPORTADORA"/>
    <x v="2"/>
    <n v="58105962"/>
    <x v="1220"/>
    <s v="RJ"/>
    <n v="746"/>
    <s v="Marketplace B2W"/>
    <n v="1352"/>
    <s v="W10751783"/>
    <s v="Dispensers"/>
    <x v="9"/>
    <n v="1000"/>
    <n v="5002359"/>
    <s v="EMPRESA BRASILEIRA DE CORREIOS E"/>
    <n v="104.02"/>
    <d v="2025-07-16T00:00:00"/>
  </r>
  <r>
    <n v="254039195"/>
    <n v="64817077"/>
    <s v="ZRDI"/>
    <n v="10127497"/>
    <n v="208"/>
    <s v="DEV-Atraso entrega- LOGISTICA(Transp)"/>
    <s v="TRANSPORTADORA"/>
    <x v="2"/>
    <n v="56972689"/>
    <x v="675"/>
    <s v="RJ"/>
    <n v="475"/>
    <s v="Site Consul"/>
    <n v="1352"/>
    <s v="W11509386"/>
    <s v="Filtros"/>
    <x v="5"/>
    <n v="1000"/>
    <n v="5002359"/>
    <s v="EMPRESA BRASILEIRA DE CORREIOS E"/>
    <n v="103.99"/>
    <d v="2025-07-24T00:00:00"/>
  </r>
  <r>
    <n v="254039195"/>
    <n v="64817077"/>
    <s v="ZRDI"/>
    <n v="10127497"/>
    <n v="208"/>
    <s v="DEV-Atraso entrega- LOGISTICA(Transp)"/>
    <s v="TRANSPORTADORA"/>
    <x v="2"/>
    <n v="56972689"/>
    <x v="675"/>
    <s v="RJ"/>
    <n v="475"/>
    <s v="Site Consul"/>
    <n v="1352"/>
    <s v="W11509386"/>
    <s v="Filtros"/>
    <x v="5"/>
    <n v="1000"/>
    <n v="5002359"/>
    <s v="EMPRESA BRASILEIRA DE CORREIOS E"/>
    <n v="103.99"/>
    <d v="2025-07-24T00:00:00"/>
  </r>
  <r>
    <n v="254018295"/>
    <n v="64792386"/>
    <s v="REB"/>
    <n v="10031579"/>
    <n v="176"/>
    <s v="PEÇAS - Defeito de fabric./Interrompido"/>
    <s v="FUNCIONAL"/>
    <x v="2"/>
    <n v="42244"/>
    <x v="1011"/>
    <s v="GO"/>
    <n v="932"/>
    <s v="CDP Prata"/>
    <n v="1350"/>
    <s v="W11299803"/>
    <s v="Mecanismos"/>
    <x v="2"/>
    <n v="1000"/>
    <n v="5002858"/>
    <s v="FAVORITA TRANSPORTES LTDA"/>
    <n v="103.97"/>
    <d v="2025-06-16T00:00:00"/>
  </r>
  <r>
    <n v="254027697"/>
    <n v="64807250"/>
    <s v="ZRDI"/>
    <n v="10093903"/>
    <n v="208"/>
    <s v="DEV-Atraso entrega- LOGISTICA(Transp)"/>
    <s v="TRANSPORTADORA"/>
    <x v="2"/>
    <n v="58100174"/>
    <x v="1221"/>
    <s v="PR"/>
    <n v="475"/>
    <s v="Site Consul"/>
    <n v="1352"/>
    <s v="W11199342"/>
    <s v="Filtros"/>
    <x v="5"/>
    <n v="1000"/>
    <n v="5002359"/>
    <s v="EMPRESA BRASILEIRA DE CORREIOS E"/>
    <n v="103.96"/>
    <d v="2025-07-08T00:00:00"/>
  </r>
  <r>
    <n v="253988921"/>
    <n v="64764417"/>
    <s v="REB"/>
    <n v="9841199"/>
    <n v="173"/>
    <s v="PEÇAS - Defeito de fabric./Alta Amperage"/>
    <s v="FUNCIONAL"/>
    <x v="1"/>
    <n v="77746"/>
    <x v="119"/>
    <s v="GO"/>
    <n v="933"/>
    <s v="Top"/>
    <n v="1350"/>
    <s v="W10310999"/>
    <s v="Motores Ventiladores"/>
    <x v="1"/>
    <n v="2000"/>
    <n v="5002858"/>
    <s v="FAVORITA TRANSPORTES LTDA"/>
    <n v="103.93"/>
    <d v="2025-05-05T00:00:00"/>
  </r>
  <r>
    <n v="254003944"/>
    <n v="64778213"/>
    <s v="REB"/>
    <n v="9991990"/>
    <n v="177"/>
    <s v="PEÇAS - Defeito de fabric./Ruído"/>
    <s v="FUNCIONAL"/>
    <x v="2"/>
    <n v="30416"/>
    <x v="136"/>
    <s v="AM"/>
    <n v="648"/>
    <s v="Ultra"/>
    <n v="1350"/>
    <s v="W11300816"/>
    <s v="Mecanismos"/>
    <x v="2"/>
    <n v="1000"/>
    <n v="5002858"/>
    <s v="FAVORITA TRANSPORTES LTDA"/>
    <n v="103.83"/>
    <d v="2025-05-26T00:00:00"/>
  </r>
  <r>
    <n v="253961449"/>
    <n v="64739199"/>
    <s v="ZDVP"/>
    <n v="9541971"/>
    <n v="177"/>
    <s v="PEÇAS - Defeito de fabric./Ruído"/>
    <s v="FUNCIONAL"/>
    <x v="1"/>
    <n v="56605"/>
    <x v="268"/>
    <s v="AL"/>
    <n v="934"/>
    <s v="CDP Ouro"/>
    <n v="1350"/>
    <s v="W11396188"/>
    <s v="Placas de Interface"/>
    <x v="1"/>
    <n v="1000"/>
    <n v="5004101"/>
    <s v="UNIDOCK'S ASSESSORIA E LOGISTICA DE"/>
    <n v="103.82"/>
    <d v="2025-03-26T00:00:00"/>
  </r>
  <r>
    <n v="253998133"/>
    <n v="64729250"/>
    <s v="REB"/>
    <n v="9727628"/>
    <n v="173"/>
    <s v="PEÇAS - Defeito de fabric./Alta Amperage"/>
    <s v="FUNCIONAL"/>
    <x v="2"/>
    <n v="81093"/>
    <x v="53"/>
    <s v="ES"/>
    <n v="713"/>
    <s v="Key Account"/>
    <n v="1350"/>
    <s v="W11300816"/>
    <s v="Mecanismos"/>
    <x v="2"/>
    <n v="1000"/>
    <n v="5004042"/>
    <s v="BRASIL WEB TRANSPORTES E LOGISTICA"/>
    <n v="103.77"/>
    <d v="2025-03-10T00:00:00"/>
  </r>
  <r>
    <s v="Sem TR"/>
    <n v="64812296"/>
    <s v="REB"/>
    <n v="10050991"/>
    <n v="176"/>
    <s v="PEÇAS - Defeito de fabric./Interrompido"/>
    <s v="FUNCIONAL"/>
    <x v="1"/>
    <n v="72497"/>
    <x v="356"/>
    <s v="SC"/>
    <n v="933"/>
    <s v="Top"/>
    <n v="1350"/>
    <s v="W11299803"/>
    <s v="Mecanismos"/>
    <x v="2"/>
    <n v="1000"/>
    <n v="5003024"/>
    <s v="RODOBRAS TRANSPORTES RODOVIARIOS LT"/>
    <n v="103.74"/>
    <d v="2025-07-17T00:00:00"/>
  </r>
  <r>
    <s v="Sem TR"/>
    <n v="64733841"/>
    <s v="REB"/>
    <n v="9904715"/>
    <n v="671"/>
    <s v="DEV-ENVIADO PARA GESTÃO DE CONSEQUENCIA"/>
    <s v="TRANSPORTADORA"/>
    <x v="1"/>
    <n v="72497"/>
    <x v="356"/>
    <s v="SC"/>
    <n v="933"/>
    <s v="Top"/>
    <n v="1350"/>
    <s v="W11299803"/>
    <s v="Mecanismos"/>
    <x v="2"/>
    <n v="1000"/>
    <n v="5003024"/>
    <s v="RODOBRAS TRANSPORTES RODOVIARIOS LT"/>
    <n v="103.74"/>
    <d v="2025-03-18T00:00:00"/>
  </r>
  <r>
    <s v="Sem TR"/>
    <n v="64733842"/>
    <s v="REB"/>
    <n v="9904715"/>
    <n v="671"/>
    <s v="DEV-ENVIADO PARA GESTÃO DE CONSEQUENCIA"/>
    <s v="TRANSPORTADORA"/>
    <x v="1"/>
    <n v="72497"/>
    <x v="356"/>
    <s v="SC"/>
    <n v="933"/>
    <s v="Top"/>
    <n v="1350"/>
    <s v="W11299803"/>
    <s v="Mecanismos"/>
    <x v="2"/>
    <n v="1000"/>
    <n v="5003024"/>
    <s v="RODOBRAS TRANSPORTES RODOVIARIOS LT"/>
    <n v="103.74"/>
    <d v="2025-03-18T00:00:00"/>
  </r>
  <r>
    <s v="Sem TR"/>
    <n v="64777674"/>
    <s v="REB"/>
    <n v="10029204"/>
    <n v="671"/>
    <s v="DEV-ENVIADO PARA GESTÃO DE CONSEQUENCIA"/>
    <s v="TRANSPORTADORA"/>
    <x v="1"/>
    <n v="57940"/>
    <x v="1222"/>
    <s v="SC"/>
    <n v="698"/>
    <s v="CDP Bronze"/>
    <n v="1350"/>
    <s v="W11634491"/>
    <s v="Placas de Controle"/>
    <x v="1"/>
    <n v="1000"/>
    <n v="5003024"/>
    <s v="RODOBRAS TRANSPORTES RODOVIARIOS LT"/>
    <n v="103.71"/>
    <d v="2025-05-26T00:00:00"/>
  </r>
  <r>
    <n v="253952548"/>
    <n v="64728370"/>
    <s v="REB"/>
    <n v="9874499"/>
    <n v="173"/>
    <s v="PEÇAS - Defeito de fabric./Alta Amperage"/>
    <s v="FUNCIONAL"/>
    <x v="1"/>
    <n v="85461"/>
    <x v="180"/>
    <s v="MG"/>
    <n v="641"/>
    <s v="CDP Diamante"/>
    <n v="1350"/>
    <n v="326073242"/>
    <s v="Placas de Controle"/>
    <x v="1"/>
    <n v="1000"/>
    <n v="5004215"/>
    <s v="BRASIL WEB TRANSPORTES E LOGISTICA"/>
    <n v="103.67"/>
    <d v="2025-03-10T00:00:00"/>
  </r>
  <r>
    <n v="253952548"/>
    <n v="64728968"/>
    <s v="REB"/>
    <n v="9886555"/>
    <n v="173"/>
    <s v="PEÇAS - Defeito de fabric./Alta Amperage"/>
    <s v="FUNCIONAL"/>
    <x v="1"/>
    <n v="85461"/>
    <x v="180"/>
    <s v="MG"/>
    <n v="641"/>
    <s v="CDP Diamante"/>
    <n v="1350"/>
    <n v="326073242"/>
    <s v="Placas de Controle"/>
    <x v="1"/>
    <n v="1000"/>
    <n v="5004215"/>
    <s v="BRASIL WEB TRANSPORTES E LOGISTICA"/>
    <n v="103.67"/>
    <d v="2025-03-10T00:00:00"/>
  </r>
  <r>
    <n v="253998020"/>
    <n v="64772612"/>
    <s v="ZDVP"/>
    <n v="9907438"/>
    <n v="177"/>
    <s v="PEÇAS - Defeito de fabric./Ruído"/>
    <s v="FUNCIONAL"/>
    <x v="1"/>
    <n v="30180"/>
    <x v="1050"/>
    <s v="MG"/>
    <n v="644"/>
    <s v="Plus"/>
    <n v="1350"/>
    <s v="W11299803"/>
    <s v="Mecanismos"/>
    <x v="2"/>
    <n v="1000"/>
    <n v="5004215"/>
    <s v="BRASIL WEB TRANSPORTES E LOGISTICA"/>
    <n v="103.67"/>
    <d v="2025-05-16T00:00:00"/>
  </r>
  <r>
    <n v="253988943"/>
    <n v="64764373"/>
    <s v="REB"/>
    <n v="9990204"/>
    <n v="173"/>
    <s v="PEÇAS - Defeito de fabric./Alta Amperage"/>
    <s v="FUNCIONAL"/>
    <x v="2"/>
    <n v="85461"/>
    <x v="180"/>
    <s v="MG"/>
    <n v="641"/>
    <s v="CDP Diamante"/>
    <n v="1350"/>
    <n v="326073242"/>
    <s v="Placas de Controle"/>
    <x v="1"/>
    <n v="1000"/>
    <n v="5004215"/>
    <s v="BRASIL WEB TRANSPORTES E LOGISTICA"/>
    <n v="103.67"/>
    <d v="2025-05-05T00:00:00"/>
  </r>
  <r>
    <n v="254024626"/>
    <n v="64804721"/>
    <s v="ZRDI"/>
    <n v="10079443"/>
    <n v="208"/>
    <s v="DEV-Atraso entrega- LOGISTICA(Transp)"/>
    <s v="TRANSPORTADORA"/>
    <x v="2"/>
    <n v="57481337"/>
    <x v="1223"/>
    <s v="RS"/>
    <n v="475"/>
    <s v="Site Consul"/>
    <n v="1352"/>
    <s v="W11199342"/>
    <s v="Filtros"/>
    <x v="5"/>
    <n v="1000"/>
    <n v="5002359"/>
    <s v="EMPRESA BRASILEIRA DE CORREIOS E"/>
    <n v="103.66"/>
    <d v="2025-07-02T00:00:00"/>
  </r>
  <r>
    <n v="254027348"/>
    <n v="64806751"/>
    <s v="ZRDI"/>
    <n v="10084572"/>
    <n v="208"/>
    <s v="DEV-Atraso entrega- LOGISTICA(Transp)"/>
    <s v="TRANSPORTADORA"/>
    <x v="2"/>
    <n v="52674004"/>
    <x v="1224"/>
    <s v="CE"/>
    <n v="475"/>
    <s v="Site Consul"/>
    <n v="1352"/>
    <s v="W11199342"/>
    <s v="Filtros"/>
    <x v="5"/>
    <n v="1000"/>
    <n v="5002359"/>
    <s v="EMPRESA BRASILEIRA DE CORREIOS E"/>
    <n v="103.66"/>
    <d v="2025-07-07T00:00:00"/>
  </r>
  <r>
    <n v="254036536"/>
    <n v="64814369"/>
    <s v="ZRDI"/>
    <n v="10088697"/>
    <n v="208"/>
    <s v="DEV-Atraso entrega- LOGISTICA(Transp)"/>
    <s v="TRANSPORTADORA"/>
    <x v="2"/>
    <n v="57049481"/>
    <x v="1225"/>
    <s v="RS"/>
    <n v="475"/>
    <s v="Site Consul"/>
    <n v="1352"/>
    <s v="W11199342"/>
    <s v="Filtros"/>
    <x v="5"/>
    <n v="1000"/>
    <n v="5002359"/>
    <s v="EMPRESA BRASILEIRA DE CORREIOS E"/>
    <n v="103.66"/>
    <d v="2025-07-22T00:00:00"/>
  </r>
  <r>
    <s v="Sem TR"/>
    <n v="64808768"/>
    <s v="ZRDI"/>
    <n v="10105319"/>
    <n v="208"/>
    <s v="DEV-Atraso entrega- LOGISTICA(Transp)"/>
    <s v="TRANSPORTADORA"/>
    <x v="2"/>
    <n v="58116203"/>
    <x v="1226"/>
    <s v="SP"/>
    <n v="466"/>
    <s v="Sup ML Marketplace"/>
    <n v="1352"/>
    <s v="W10866789"/>
    <s v="Kits Instalação"/>
    <x v="7"/>
    <n v="1000"/>
    <n v="5002359"/>
    <s v="EMPRESA BRASILEIRA DE CORREIOS E"/>
    <n v="103.64"/>
    <d v="2025-07-10T00:00:00"/>
  </r>
  <r>
    <s v="Sem TR"/>
    <n v="64817396"/>
    <s v="ZRDI"/>
    <n v="10129228"/>
    <s v="D10"/>
    <s v="DEV D2C - Comprou modelo errado"/>
    <s v="COMERCIAL"/>
    <x v="1"/>
    <n v="58148215"/>
    <x v="1227"/>
    <s v="RJ"/>
    <n v="474"/>
    <s v="Site Brastemp"/>
    <n v="1352"/>
    <s v="W10287534"/>
    <s v="Prateleiras"/>
    <x v="9"/>
    <n v="1000"/>
    <n v="5002359"/>
    <s v="EMPRESA BRASILEIRA DE CORREIOS E"/>
    <n v="103.6"/>
    <d v="2025-07-29T00:00:00"/>
  </r>
  <r>
    <s v="Sem TR"/>
    <n v="64802373"/>
    <s v="ZRDI"/>
    <n v="10069162"/>
    <s v="D11"/>
    <s v="DEV D2C - Comprou prod dimensão errada"/>
    <s v="COMERCIAL"/>
    <x v="2"/>
    <n v="57996005"/>
    <x v="1228"/>
    <s v="SP"/>
    <n v="474"/>
    <s v="Site Brastemp"/>
    <n v="1352"/>
    <s v="W10803845"/>
    <s v="Lâmpadas"/>
    <x v="1"/>
    <n v="1000"/>
    <n v="5002359"/>
    <s v="EMPRESA BRASILEIRA DE CORREIOS E"/>
    <n v="103.59"/>
    <d v="2025-07-09T00:00:00"/>
  </r>
  <r>
    <s v="Sem TR"/>
    <n v="64814674"/>
    <s v="ZRDI"/>
    <n v="10126711"/>
    <s v="D18"/>
    <s v="DEV D2C - Arrependimento não quero mais"/>
    <s v="COMERCIAL"/>
    <x v="2"/>
    <n v="58140532"/>
    <x v="1229"/>
    <s v="RJ"/>
    <n v="475"/>
    <s v="Site Consul"/>
    <n v="1352"/>
    <s v="W10301562"/>
    <s v="Filtros"/>
    <x v="5"/>
    <n v="1000"/>
    <n v="5002359"/>
    <s v="EMPRESA BRASILEIRA DE CORREIOS E"/>
    <n v="103.56"/>
    <d v="2025-07-22T00:00:00"/>
  </r>
  <r>
    <s v="Sem TR"/>
    <n v="64814674"/>
    <s v="ZRDI"/>
    <n v="10126711"/>
    <s v="D18"/>
    <s v="DEV D2C - Arrependimento não quero mais"/>
    <s v="COMERCIAL"/>
    <x v="2"/>
    <n v="58140532"/>
    <x v="1229"/>
    <s v="RJ"/>
    <n v="475"/>
    <s v="Site Consul"/>
    <n v="1352"/>
    <s v="W10301562"/>
    <s v="Filtros"/>
    <x v="5"/>
    <n v="1000"/>
    <n v="5002359"/>
    <s v="EMPRESA BRASILEIRA DE CORREIOS E"/>
    <n v="103.56"/>
    <d v="2025-07-22T00:00:00"/>
  </r>
  <r>
    <s v="Sem TR"/>
    <n v="64802793"/>
    <s v="ZRDI"/>
    <n v="10116390"/>
    <s v="D25"/>
    <s v="DEV D2C - Prob na entrega (Não recebi)"/>
    <s v="TRANSPORTADORA"/>
    <x v="2"/>
    <n v="56981262"/>
    <x v="1122"/>
    <s v="RJ"/>
    <n v="475"/>
    <s v="Site Consul"/>
    <n v="1352"/>
    <s v="W10301562"/>
    <s v="Filtros"/>
    <x v="5"/>
    <n v="1000"/>
    <n v="5002359"/>
    <s v="EMPRESA BRASILEIRA DE CORREIOS E"/>
    <n v="103.55"/>
    <d v="2025-07-24T00:00:00"/>
  </r>
  <r>
    <s v="Sem TR"/>
    <n v="64802793"/>
    <s v="ZRDI"/>
    <n v="10116390"/>
    <s v="D25"/>
    <s v="DEV D2C - Prob na entrega (Não recebi)"/>
    <s v="TRANSPORTADORA"/>
    <x v="2"/>
    <n v="56981262"/>
    <x v="1122"/>
    <s v="RJ"/>
    <n v="475"/>
    <s v="Site Consul"/>
    <n v="1352"/>
    <s v="W10301562"/>
    <s v="Filtros"/>
    <x v="5"/>
    <n v="1000"/>
    <n v="5002359"/>
    <s v="EMPRESA BRASILEIRA DE CORREIOS E"/>
    <n v="103.55"/>
    <d v="2025-07-24T00:00:00"/>
  </r>
  <r>
    <n v="254022393"/>
    <n v="64800005"/>
    <s v="ZRDI"/>
    <n v="10071842"/>
    <s v="D25"/>
    <s v="DEV D2C - Prob na entrega (Não recebi)"/>
    <s v="TRANSPORTADORA"/>
    <x v="2"/>
    <n v="58066816"/>
    <x v="490"/>
    <s v="RJ"/>
    <n v="474"/>
    <s v="Site Brastemp"/>
    <n v="1352"/>
    <s v="W11100357"/>
    <s v="Tubos Queima"/>
    <x v="12"/>
    <n v="1000"/>
    <n v="5003972"/>
    <s v="ICARO EXPRESS LOGISTICA LTDA"/>
    <n v="103.52"/>
    <d v="2025-06-28T00:00:00"/>
  </r>
  <r>
    <n v="253927817"/>
    <n v="64703702"/>
    <s v="ROB"/>
    <n v="9854170"/>
    <n v="671"/>
    <s v="DEV-ENVIADO PARA GESTÃO DE CONSEQUENCIA"/>
    <s v="TRANSPORTADORA"/>
    <x v="1"/>
    <n v="4585"/>
    <x v="555"/>
    <s v="SC"/>
    <n v="350"/>
    <s v="Ats On"/>
    <n v="1350"/>
    <s v="W11050131"/>
    <s v="Placas de Controle"/>
    <x v="1"/>
    <n v="1000"/>
    <n v="5003024"/>
    <s v="RODOBRAS TRANSPORTES RODOVIARIOS LT"/>
    <n v="103.49"/>
    <d v="2025-01-31T00:00:00"/>
  </r>
  <r>
    <s v="Sem TR"/>
    <n v="64739617"/>
    <s v="REB"/>
    <n v="9876385"/>
    <n v="671"/>
    <s v="DEV-ENVIADO PARA GESTÃO DE CONSEQUENCIA"/>
    <s v="TRANSPORTADORA"/>
    <x v="1"/>
    <n v="22211"/>
    <x v="146"/>
    <s v="SC"/>
    <n v="644"/>
    <s v="Plus"/>
    <n v="1350"/>
    <s v="W11552572"/>
    <s v="Outros"/>
    <x v="7"/>
    <n v="1000"/>
    <n v="5003024"/>
    <s v="RODOBRAS TRANSPORTES RODOVIARIOS LT"/>
    <n v="103.43"/>
    <d v="2025-03-26T00:00:00"/>
  </r>
  <r>
    <s v="Sem TR"/>
    <n v="64817596"/>
    <s v="REB"/>
    <n v="10067329"/>
    <n v="173"/>
    <s v="PEÇAS - Defeito de fabric./Alta Amperage"/>
    <s v="FUNCIONAL"/>
    <x v="1"/>
    <n v="73003"/>
    <x v="294"/>
    <s v="SC"/>
    <n v="931"/>
    <s v="Ats Off"/>
    <n v="1350"/>
    <s v="W11299803"/>
    <s v="Mecanismos"/>
    <x v="2"/>
    <n v="1000"/>
    <n v="5003024"/>
    <s v="RODOBRAS TRANSPORTES RODOVIARIOS LT"/>
    <n v="103.4"/>
    <d v="2025-07-25T00:00:00"/>
  </r>
  <r>
    <n v="254035353"/>
    <n v="64805548"/>
    <s v="REB"/>
    <n v="10107389"/>
    <n v="167"/>
    <s v="PEÇAS - Avaria - Quebrada/Depósito"/>
    <s v="LOGÍSTICA"/>
    <x v="1"/>
    <n v="21594"/>
    <x v="97"/>
    <s v="SP"/>
    <n v="931"/>
    <s v="Ats Off"/>
    <n v="1350"/>
    <s v="W10347206"/>
    <s v="Prateleiras"/>
    <x v="9"/>
    <n v="1000"/>
    <n v="5004042"/>
    <s v="BRASIL WEB TRANSPORTES E LOGISTICA"/>
    <n v="103.39"/>
    <d v="2025-07-17T00:00:00"/>
  </r>
  <r>
    <n v="254033558"/>
    <n v="64812024"/>
    <s v="ZRDI"/>
    <n v="10109765"/>
    <s v="D25"/>
    <s v="DEV D2C - Prob na entrega (Não recebi)"/>
    <s v="TRANSPORTADORA"/>
    <x v="2"/>
    <n v="58120672"/>
    <x v="493"/>
    <s v="SE"/>
    <n v="475"/>
    <s v="Site Consul"/>
    <n v="1352"/>
    <s v="W11100357"/>
    <s v="Tubos Queima"/>
    <x v="12"/>
    <n v="1000"/>
    <n v="5002359"/>
    <s v="EMPRESA BRASILEIRA DE CORREIOS E"/>
    <n v="103.38"/>
    <d v="2025-07-17T00:00:00"/>
  </r>
  <r>
    <n v="254033558"/>
    <n v="64812024"/>
    <s v="ZRDI"/>
    <n v="10109765"/>
    <s v="D25"/>
    <s v="DEV D2C - Prob na entrega (Não recebi)"/>
    <s v="TRANSPORTADORA"/>
    <x v="2"/>
    <n v="58120672"/>
    <x v="493"/>
    <s v="SE"/>
    <n v="475"/>
    <s v="Site Consul"/>
    <n v="1352"/>
    <s v="W11100357"/>
    <s v="Tubos Queima"/>
    <x v="12"/>
    <n v="1000"/>
    <n v="5002359"/>
    <s v="EMPRESA BRASILEIRA DE CORREIOS E"/>
    <n v="103.38"/>
    <d v="2025-07-17T00:00:00"/>
  </r>
  <r>
    <n v="254027323"/>
    <n v="64806736"/>
    <s v="ZRDI"/>
    <n v="10038478"/>
    <n v="208"/>
    <s v="DEV-Atraso entrega- LOGISTICA(Transp)"/>
    <s v="TRANSPORTADORA"/>
    <x v="2"/>
    <n v="58031752"/>
    <x v="1230"/>
    <s v="PA"/>
    <n v="466"/>
    <s v="Sup ML Marketplace"/>
    <n v="1352"/>
    <n v="326043145"/>
    <s v="Filtros"/>
    <x v="5"/>
    <n v="1000"/>
    <n v="5002359"/>
    <s v="EMPRESA BRASILEIRA DE CORREIOS E"/>
    <n v="103.35"/>
    <d v="2025-07-07T00:00:00"/>
  </r>
  <r>
    <s v="Sem TR"/>
    <n v="64802699"/>
    <s v="ZRDI"/>
    <n v="10095727"/>
    <s v="D18"/>
    <s v="DEV D2C - Arrependimento não quero mais"/>
    <s v="COMERCIAL"/>
    <x v="2"/>
    <n v="50456457"/>
    <x v="494"/>
    <s v="BA"/>
    <n v="475"/>
    <s v="Site Consul"/>
    <n v="1352"/>
    <s v="W11100357"/>
    <s v="Tubos Queima"/>
    <x v="12"/>
    <n v="1000"/>
    <n v="5002359"/>
    <s v="EMPRESA BRASILEIRA DE CORREIOS E"/>
    <n v="103.33"/>
    <d v="2025-07-01T00:00:00"/>
  </r>
  <r>
    <n v="254003983"/>
    <n v="64777848"/>
    <s v="REB"/>
    <n v="9687536"/>
    <n v="173"/>
    <s v="PEÇAS - Defeito de fabric./Alta Amperage"/>
    <s v="FUNCIONAL"/>
    <x v="2"/>
    <n v="38014"/>
    <x v="791"/>
    <s v="PA"/>
    <n v="641"/>
    <s v="CDP Diamante"/>
    <n v="1350"/>
    <s v="W11564674"/>
    <s v="Placas de Controle"/>
    <x v="1"/>
    <n v="1000"/>
    <n v="5002858"/>
    <s v="FAVORITA TRANSPORTES LTDA"/>
    <n v="103.3"/>
    <d v="2025-05-26T00:00:00"/>
  </r>
  <r>
    <s v="Sem TR"/>
    <n v="64789196"/>
    <s v="REB"/>
    <n v="50935"/>
    <n v="509"/>
    <s v="Qtd de peças a Menor dentro do Volume"/>
    <s v="LOGÍSTICA"/>
    <x v="2"/>
    <n v="23101"/>
    <x v="14"/>
    <s v="PB"/>
    <n v="713"/>
    <s v="Key Account"/>
    <n v="1550"/>
    <s v="W10169464"/>
    <s v="Defletores/Difusores"/>
    <x v="5"/>
    <n v="4000"/>
    <n v="5002359"/>
    <s v="EMPRESA BRASILEIRA DE CORREIOS E"/>
    <n v="103.3"/>
    <d v="2025-06-10T00:00:00"/>
  </r>
  <r>
    <n v="253825622"/>
    <n v="64598762"/>
    <s v="REB"/>
    <n v="9442981"/>
    <n v="176"/>
    <s v="PEÇAS - Defeito de fabric./Interrompido"/>
    <s v="FUNCIONAL"/>
    <x v="1"/>
    <n v="81075"/>
    <x v="223"/>
    <s v="BA"/>
    <n v="934"/>
    <s v="CDP Ouro"/>
    <n v="1350"/>
    <s v="W11240384"/>
    <s v="Placas de Controle"/>
    <x v="1"/>
    <n v="1000"/>
    <n v="5004101"/>
    <s v="UNIDOCK'S ASSESSORIA E LOGISTICA DE"/>
    <n v="103.27"/>
    <d v="2024-08-27T00:00:00"/>
  </r>
  <r>
    <n v="254024111"/>
    <n v="64803643"/>
    <s v="ZRDI"/>
    <n v="10038596"/>
    <n v="208"/>
    <s v="DEV-Atraso entrega- LOGISTICA(Transp)"/>
    <s v="TRANSPORTADORA"/>
    <x v="2"/>
    <n v="58031844"/>
    <x v="1231"/>
    <s v="SC"/>
    <n v="475"/>
    <s v="Site Consul"/>
    <n v="1352"/>
    <s v="W11199342"/>
    <s v="Filtros"/>
    <x v="5"/>
    <n v="1000"/>
    <n v="5002359"/>
    <s v="EMPRESA BRASILEIRA DE CORREIOS E"/>
    <n v="103.17"/>
    <d v="2025-07-01T00:00:00"/>
  </r>
  <r>
    <s v="Sem TR"/>
    <n v="64806770"/>
    <s v="ZRDI"/>
    <n v="10079417"/>
    <n v="25"/>
    <s v="OC. 80 - EXTRAVIO TOTAL"/>
    <s v="TRANSPORTADORA"/>
    <x v="2"/>
    <n v="55869502"/>
    <x v="1232"/>
    <s v="SC"/>
    <n v="475"/>
    <s v="Site Consul"/>
    <n v="1352"/>
    <s v="W11199342"/>
    <s v="Filtros"/>
    <x v="5"/>
    <n v="1000"/>
    <n v="5002359"/>
    <s v="EMPRESA BRASILEIRA DE CORREIOS E"/>
    <n v="103.17"/>
    <d v="2025-07-07T00:00:00"/>
  </r>
  <r>
    <n v="254024111"/>
    <n v="64803643"/>
    <s v="ZRDI"/>
    <n v="10038596"/>
    <n v="208"/>
    <s v="DEV-Atraso entrega- LOGISTICA(Transp)"/>
    <s v="TRANSPORTADORA"/>
    <x v="2"/>
    <n v="58031844"/>
    <x v="1231"/>
    <s v="SC"/>
    <n v="475"/>
    <s v="Site Consul"/>
    <n v="1352"/>
    <s v="W11199342"/>
    <s v="Filtros"/>
    <x v="5"/>
    <n v="1000"/>
    <n v="5002359"/>
    <s v="EMPRESA BRASILEIRA DE CORREIOS E"/>
    <n v="103.17"/>
    <d v="2025-07-01T00:00:00"/>
  </r>
  <r>
    <s v="Sem TR"/>
    <n v="64806770"/>
    <s v="ZRDI"/>
    <n v="10079417"/>
    <n v="25"/>
    <s v="OC. 80 - EXTRAVIO TOTAL"/>
    <s v="TRANSPORTADORA"/>
    <x v="2"/>
    <n v="55869502"/>
    <x v="1232"/>
    <s v="SC"/>
    <n v="475"/>
    <s v="Site Consul"/>
    <n v="1352"/>
    <s v="W11199342"/>
    <s v="Filtros"/>
    <x v="5"/>
    <n v="1000"/>
    <n v="5002359"/>
    <s v="EMPRESA BRASILEIRA DE CORREIOS E"/>
    <n v="103.17"/>
    <d v="2025-07-07T00:00:00"/>
  </r>
  <r>
    <n v="254041819"/>
    <n v="64792810"/>
    <s v="REB"/>
    <n v="10084999"/>
    <n v="104"/>
    <s v="PEÇAS-Código trocado(embalag X conteúdo)"/>
    <s v="LOGÍSTICA"/>
    <x v="0"/>
    <n v="4531"/>
    <x v="1233"/>
    <s v="SC"/>
    <n v="932"/>
    <s v="CDP Prata"/>
    <n v="1350"/>
    <s v="W10666554"/>
    <s v="Gaxetas"/>
    <x v="4"/>
    <n v="1000"/>
    <n v="5003024"/>
    <s v="RODOBRAS TRANSPORTES RODOVIARIOS LT"/>
    <n v="103.13"/>
    <d v="2025-06-23T00:00:00"/>
  </r>
  <r>
    <n v="254018181"/>
    <n v="64793239"/>
    <s v="REB"/>
    <n v="9522712"/>
    <n v="176"/>
    <s v="PEÇAS - Defeito de fabric./Interrompido"/>
    <s v="FUNCIONAL"/>
    <x v="1"/>
    <n v="3506"/>
    <x v="46"/>
    <s v="SP"/>
    <n v="931"/>
    <s v="Ats Off"/>
    <n v="1350"/>
    <s v="W10859342"/>
    <s v="Placas de Controle"/>
    <x v="1"/>
    <n v="1000"/>
    <n v="5004042"/>
    <s v="BRASIL WEB TRANSPORTES E LOGISTICA"/>
    <n v="103.08"/>
    <d v="2025-06-17T00:00:00"/>
  </r>
  <r>
    <n v="254029251"/>
    <n v="64808765"/>
    <s v="ZRDI"/>
    <n v="10102471"/>
    <n v="208"/>
    <s v="DEV-Atraso entrega- LOGISTICA(Transp)"/>
    <s v="TRANSPORTADORA"/>
    <x v="2"/>
    <n v="52393734"/>
    <x v="1234"/>
    <s v="SP"/>
    <n v="475"/>
    <s v="Site Consul"/>
    <n v="1352"/>
    <s v="W11601002"/>
    <s v="Filtros"/>
    <x v="5"/>
    <n v="1000"/>
    <n v="5002359"/>
    <s v="EMPRESA BRASILEIRA DE CORREIOS E"/>
    <n v="103.02"/>
    <d v="2025-07-10T00:00:00"/>
  </r>
  <r>
    <n v="254037054"/>
    <n v="64814970"/>
    <s v="ZRDI"/>
    <n v="10097889"/>
    <n v="208"/>
    <s v="DEV-Atraso entrega- LOGISTICA(Transp)"/>
    <s v="TRANSPORTADORA"/>
    <x v="2"/>
    <n v="58105292"/>
    <x v="1235"/>
    <s v="MT"/>
    <n v="475"/>
    <s v="Site Consul"/>
    <n v="1352"/>
    <s v="W10515645"/>
    <s v="Filtros"/>
    <x v="5"/>
    <n v="2000"/>
    <n v="5002359"/>
    <s v="EMPRESA BRASILEIRA DE CORREIOS E"/>
    <n v="103.02"/>
    <d v="2025-07-22T00:00:00"/>
  </r>
  <r>
    <n v="254037054"/>
    <n v="64814970"/>
    <s v="ZRDI"/>
    <n v="10097889"/>
    <n v="208"/>
    <s v="DEV-Atraso entrega- LOGISTICA(Transp)"/>
    <s v="TRANSPORTADORA"/>
    <x v="2"/>
    <n v="58105292"/>
    <x v="1235"/>
    <s v="MT"/>
    <n v="475"/>
    <s v="Site Consul"/>
    <n v="1352"/>
    <s v="W10515645"/>
    <s v="Filtros"/>
    <x v="5"/>
    <n v="2000"/>
    <n v="5002359"/>
    <s v="EMPRESA BRASILEIRA DE CORREIOS E"/>
    <n v="103.02"/>
    <d v="2025-07-22T00:00:00"/>
  </r>
  <r>
    <n v="253913119"/>
    <n v="64684565"/>
    <s v="REB"/>
    <n v="9749877"/>
    <n v="173"/>
    <s v="PEÇAS - Defeito de fabric./Alta Amperage"/>
    <s v="FUNCIONAL"/>
    <x v="1"/>
    <n v="30345"/>
    <x v="330"/>
    <s v="SP"/>
    <n v="644"/>
    <s v="Plus"/>
    <n v="1350"/>
    <s v="W11396188"/>
    <s v="Placas de Interface"/>
    <x v="1"/>
    <n v="1000"/>
    <n v="5003482"/>
    <s v="TMA TRANSPORTE LOTACAO E LOGISTICA"/>
    <n v="102.88"/>
    <d v="2025-01-06T00:00:00"/>
  </r>
  <r>
    <n v="254023987"/>
    <n v="64802764"/>
    <s v="ZRDI"/>
    <n v="10074443"/>
    <s v="D25"/>
    <s v="DEV D2C - Prob na entrega (Não recebi)"/>
    <s v="TRANSPORTADORA"/>
    <x v="2"/>
    <n v="58070162"/>
    <x v="1236"/>
    <s v="RJ"/>
    <n v="475"/>
    <s v="Site Consul"/>
    <n v="1352"/>
    <s v="W11199342"/>
    <s v="Filtros"/>
    <x v="5"/>
    <n v="1000"/>
    <n v="5003972"/>
    <s v="ICARO EXPRESS LOGISTICA LTDA"/>
    <n v="102.87"/>
    <d v="2025-07-01T00:00:00"/>
  </r>
  <r>
    <n v="254024634"/>
    <n v="64804731"/>
    <s v="ZRDI"/>
    <n v="10088278"/>
    <n v="208"/>
    <s v="DEV-Atraso entrega- LOGISTICA(Transp)"/>
    <s v="TRANSPORTADORA"/>
    <x v="2"/>
    <n v="51490600"/>
    <x v="1237"/>
    <s v="RJ"/>
    <n v="475"/>
    <s v="Site Consul"/>
    <n v="1352"/>
    <s v="W11199342"/>
    <s v="Filtros"/>
    <x v="5"/>
    <n v="1000"/>
    <n v="5002359"/>
    <s v="EMPRESA BRASILEIRA DE CORREIOS E"/>
    <n v="102.87"/>
    <d v="2025-07-02T00:00:00"/>
  </r>
  <r>
    <n v="254029250"/>
    <n v="64808764"/>
    <s v="ZRDI"/>
    <n v="10093812"/>
    <n v="208"/>
    <s v="DEV-Atraso entrega- LOGISTICA(Transp)"/>
    <s v="TRANSPORTADORA"/>
    <x v="2"/>
    <n v="58096746"/>
    <x v="1238"/>
    <s v="RJ"/>
    <n v="475"/>
    <s v="Site Consul"/>
    <n v="1352"/>
    <s v="W11199342"/>
    <s v="Filtros"/>
    <x v="5"/>
    <n v="1000"/>
    <n v="5002359"/>
    <s v="EMPRESA BRASILEIRA DE CORREIOS E"/>
    <n v="102.87"/>
    <d v="2025-07-10T00:00:00"/>
  </r>
  <r>
    <n v="254042838"/>
    <n v="64819934"/>
    <s v="ZRDI"/>
    <n v="10071634"/>
    <s v="D25"/>
    <s v="DEV D2C - Prob na entrega (Não recebi)"/>
    <s v="TRANSPORTADORA"/>
    <x v="0"/>
    <n v="5947529"/>
    <x v="1239"/>
    <s v="RJ"/>
    <n v="475"/>
    <s v="Site Consul"/>
    <n v="1352"/>
    <s v="W11199342"/>
    <s v="Filtros"/>
    <x v="5"/>
    <n v="1000"/>
    <n v="5003972"/>
    <s v="ICARO EXPRESS LOGISTICA LTDA"/>
    <n v="102.87"/>
    <d v="2025-07-29T00:00:00"/>
  </r>
  <r>
    <n v="254003847"/>
    <n v="64778119"/>
    <s v="REB"/>
    <n v="9938301"/>
    <n v="176"/>
    <s v="PEÇAS - Defeito de fabric./Interrompido"/>
    <s v="FUNCIONAL"/>
    <x v="2"/>
    <n v="3506"/>
    <x v="46"/>
    <s v="SP"/>
    <n v="931"/>
    <s v="Ats Off"/>
    <n v="1350"/>
    <s v="W10390643"/>
    <s v="Sensores"/>
    <x v="3"/>
    <n v="1000"/>
    <n v="5004042"/>
    <s v="BRASIL WEB TRANSPORTES E LOGISTICA"/>
    <n v="102.86"/>
    <d v="2025-05-26T00:00:00"/>
  </r>
  <r>
    <s v="Sem TR"/>
    <n v="64811746"/>
    <s v="ZDVP"/>
    <n v="10130762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2.82"/>
    <d v="2025-07-22T00:00:00"/>
  </r>
  <r>
    <s v="Sem TR"/>
    <n v="64813278"/>
    <s v="ZDVP"/>
    <n v="10130762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2.82"/>
    <d v="2025-07-22T00:00:00"/>
  </r>
  <r>
    <s v="Sem TR"/>
    <n v="64813852"/>
    <s v="ZDVP"/>
    <n v="10130762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2.82"/>
    <d v="2025-07-22T00:00:00"/>
  </r>
  <r>
    <s v="Sem TR"/>
    <n v="64813853"/>
    <s v="ZDVP"/>
    <n v="10130762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2.82"/>
    <d v="2025-07-22T00:00:00"/>
  </r>
  <r>
    <s v="Sem TR"/>
    <n v="64814509"/>
    <s v="ZDVP"/>
    <n v="10130762"/>
    <n v="167"/>
    <s v="PEÇAS - Avaria - Quebrada/Depósito"/>
    <s v="LOGÍSTICA"/>
    <x v="1"/>
    <n v="56043"/>
    <x v="48"/>
    <s v="PR"/>
    <n v="963"/>
    <s v="Ats Distribuidoras"/>
    <n v="1350"/>
    <s v="W10624070"/>
    <s v="Gavetas"/>
    <x v="9"/>
    <n v="1000"/>
    <n v="5003024"/>
    <s v="RODOBRAS TRANSPORTES RODOVIARIOS LT"/>
    <n v="102.82"/>
    <d v="2025-07-22T00:00:00"/>
  </r>
  <r>
    <n v="253981484"/>
    <n v="64758034"/>
    <s v="REB"/>
    <n v="7512273"/>
    <n v="173"/>
    <s v="PEÇAS - Defeito de fabric./Alta Amperage"/>
    <s v="FUNCIONAL"/>
    <x v="2"/>
    <n v="29164"/>
    <x v="32"/>
    <s v="BA"/>
    <n v="648"/>
    <s v="Ultra"/>
    <n v="1350"/>
    <s v="W11300816"/>
    <s v="Mecanismos"/>
    <x v="2"/>
    <n v="1000"/>
    <n v="5004101"/>
    <s v="UNIDOCK'S ASSESSORIA E LOGISTICA DE"/>
    <n v="102.57"/>
    <d v="2025-04-25T00:00:00"/>
  </r>
  <r>
    <n v="254035288"/>
    <n v="64799796"/>
    <s v="REB"/>
    <n v="10106832"/>
    <n v="165"/>
    <s v="PEÇAS - Defeito de fabric./Incompleta"/>
    <s v="FUNCIONAL"/>
    <x v="2"/>
    <n v="66"/>
    <x v="73"/>
    <s v="GO"/>
    <n v="931"/>
    <s v="Ats Off"/>
    <n v="1350"/>
    <s v="W11634906"/>
    <s v="Sensores"/>
    <x v="3"/>
    <n v="1000"/>
    <n v="5002858"/>
    <s v="FAVORITA TRANSPORTES LTDA"/>
    <n v="102.55"/>
    <d v="2025-07-17T00:00:00"/>
  </r>
  <r>
    <s v="Sem TR"/>
    <n v="64812376"/>
    <s v="REB"/>
    <n v="10122754"/>
    <n v="167"/>
    <s v="PEÇAS - Avaria - Quebrada/Depósito"/>
    <s v="LOGÍSTICA"/>
    <x v="1"/>
    <n v="22985"/>
    <x v="247"/>
    <s v="SC"/>
    <n v="641"/>
    <s v="CDP Diamante"/>
    <n v="1350"/>
    <s v="W10287547"/>
    <s v="Gavetas"/>
    <x v="9"/>
    <n v="1000"/>
    <n v="5003024"/>
    <s v="RODOBRAS TRANSPORTES RODOVIARIOS LT"/>
    <n v="102.5"/>
    <d v="2025-07-17T00:00:00"/>
  </r>
  <r>
    <n v="254038293"/>
    <n v="64814881"/>
    <s v="REB"/>
    <n v="10129337"/>
    <n v="177"/>
    <s v="PEÇAS - Defeito de fabric./Ruído"/>
    <s v="FUNCIONAL"/>
    <x v="1"/>
    <n v="4318"/>
    <x v="89"/>
    <s v="SC"/>
    <n v="931"/>
    <s v="Ats Off"/>
    <n v="1350"/>
    <s v="W11299803"/>
    <s v="Mecanismos"/>
    <x v="2"/>
    <n v="1000"/>
    <n v="5003024"/>
    <s v="RODOBRAS TRANSPORTES RODOVIARIOS LT"/>
    <n v="102.44"/>
    <d v="2025-07-22T00:00:00"/>
  </r>
  <r>
    <s v="Sem TR"/>
    <n v="64802376"/>
    <s v="ZRDI"/>
    <n v="10094326"/>
    <s v="D31"/>
    <s v="DEV D2C - Defeito estético manufatura"/>
    <s v="MANUFATURA"/>
    <x v="2"/>
    <n v="56655398"/>
    <x v="1240"/>
    <s v="MG"/>
    <n v="475"/>
    <s v="Site Consul"/>
    <n v="1352"/>
    <n v="326047714"/>
    <s v="Prateleiras"/>
    <x v="9"/>
    <n v="1000"/>
    <n v="5002359"/>
    <s v="EMPRESA BRASILEIRA DE CORREIOS E"/>
    <n v="102.42"/>
    <d v="2025-07-05T00:00:00"/>
  </r>
  <r>
    <s v="Sem TR"/>
    <n v="64811954"/>
    <s v="ZRDI"/>
    <n v="10105514"/>
    <s v="D10"/>
    <s v="DEV D2C - Comprou modelo errado"/>
    <s v="COMERCIAL"/>
    <x v="2"/>
    <n v="58111927"/>
    <x v="1241"/>
    <s v="SP"/>
    <n v="466"/>
    <s v="Sup ML Marketplace"/>
    <n v="1352"/>
    <s v="W10212150"/>
    <s v="Gavetas"/>
    <x v="9"/>
    <n v="1000"/>
    <n v="5002359"/>
    <s v="EMPRESA BRASILEIRA DE CORREIOS E"/>
    <n v="102.42"/>
    <d v="2025-07-17T00:00:00"/>
  </r>
  <r>
    <s v="Sem TR"/>
    <n v="64802376"/>
    <s v="ZRDI"/>
    <n v="10094326"/>
    <s v="D31"/>
    <s v="DEV D2C - Defeito estético manufatura"/>
    <s v="MANUFATURA"/>
    <x v="2"/>
    <n v="56655398"/>
    <x v="1240"/>
    <s v="MG"/>
    <n v="475"/>
    <s v="Site Consul"/>
    <n v="1352"/>
    <n v="326047714"/>
    <s v="Prateleiras"/>
    <x v="9"/>
    <n v="1000"/>
    <n v="5002359"/>
    <s v="EMPRESA BRASILEIRA DE CORREIOS E"/>
    <n v="102.42"/>
    <d v="2025-07-05T00:00:00"/>
  </r>
  <r>
    <s v="Sem TR"/>
    <n v="64811954"/>
    <s v="ZRDI"/>
    <n v="10105514"/>
    <s v="D10"/>
    <s v="DEV D2C - Comprou modelo errado"/>
    <s v="COMERCIAL"/>
    <x v="2"/>
    <n v="58111927"/>
    <x v="1241"/>
    <s v="SP"/>
    <n v="466"/>
    <s v="Sup ML Marketplace"/>
    <n v="1352"/>
    <s v="W10212150"/>
    <s v="Gavetas"/>
    <x v="9"/>
    <n v="1000"/>
    <n v="5002359"/>
    <s v="EMPRESA BRASILEIRA DE CORREIOS E"/>
    <n v="102.42"/>
    <d v="2025-07-17T00:00:00"/>
  </r>
  <r>
    <s v="Sem TR"/>
    <n v="64820364"/>
    <s v="ZRDI"/>
    <n v="10116370"/>
    <s v="D10"/>
    <s v="DEV D2C - Comprou modelo errado"/>
    <s v="COMERCIAL"/>
    <x v="1"/>
    <n v="58126348"/>
    <x v="1242"/>
    <s v="SP"/>
    <n v="466"/>
    <s v="Sup ML Marketplace"/>
    <n v="1352"/>
    <s v="W10212150"/>
    <s v="Gavetas"/>
    <x v="9"/>
    <n v="1000"/>
    <n v="5002359"/>
    <s v="EMPRESA BRASILEIRA DE CORREIOS E"/>
    <n v="102.42"/>
    <d v="2025-07-30T00:00:00"/>
  </r>
  <r>
    <n v="254035336"/>
    <n v="64812499"/>
    <s v="REB"/>
    <n v="10105716"/>
    <n v="176"/>
    <s v="PEÇAS - Defeito de fabric./Interrompido"/>
    <s v="FUNCIONAL"/>
    <x v="1"/>
    <n v="4318"/>
    <x v="89"/>
    <s v="SC"/>
    <n v="931"/>
    <s v="Ats Off"/>
    <n v="1350"/>
    <s v="W11299803"/>
    <s v="Mecanismos"/>
    <x v="2"/>
    <n v="1000"/>
    <n v="5003024"/>
    <s v="RODOBRAS TRANSPORTES RODOVIARIOS LT"/>
    <n v="102.36"/>
    <d v="2025-07-17T00:00:00"/>
  </r>
  <r>
    <n v="254038132"/>
    <n v="64816098"/>
    <s v="ZRDI"/>
    <n v="10050252"/>
    <n v="208"/>
    <s v="DEV-Atraso entrega- LOGISTICA(Transp)"/>
    <s v="TRANSPORTADORA"/>
    <x v="2"/>
    <n v="58043169"/>
    <x v="499"/>
    <s v="DF"/>
    <n v="474"/>
    <s v="Site Brastemp"/>
    <n v="1352"/>
    <s v="W11100357"/>
    <s v="Tubos Queima"/>
    <x v="12"/>
    <n v="1000"/>
    <n v="5002359"/>
    <s v="EMPRESA BRASILEIRA DE CORREIOS E"/>
    <n v="102.31"/>
    <d v="2025-07-23T00:00:00"/>
  </r>
  <r>
    <n v="254038132"/>
    <n v="64816098"/>
    <s v="ZRDI"/>
    <n v="10050252"/>
    <n v="208"/>
    <s v="DEV-Atraso entrega- LOGISTICA(Transp)"/>
    <s v="TRANSPORTADORA"/>
    <x v="2"/>
    <n v="58043169"/>
    <x v="499"/>
    <s v="DF"/>
    <n v="474"/>
    <s v="Site Brastemp"/>
    <n v="1352"/>
    <s v="W11100357"/>
    <s v="Tubos Queima"/>
    <x v="12"/>
    <n v="1000"/>
    <n v="5002359"/>
    <s v="EMPRESA BRASILEIRA DE CORREIOS E"/>
    <n v="102.31"/>
    <d v="2025-07-23T00:00:00"/>
  </r>
  <r>
    <n v="254033374"/>
    <n v="64807620"/>
    <s v="REB"/>
    <n v="10076937"/>
    <n v="173"/>
    <s v="PEÇAS - Defeito de fabric./Alta Amperage"/>
    <s v="FUNCIONAL"/>
    <x v="1"/>
    <n v="29985"/>
    <x v="266"/>
    <s v="GO"/>
    <n v="350"/>
    <s v="Ats On"/>
    <n v="1350"/>
    <s v="W11299803"/>
    <s v="Mecanismos"/>
    <x v="2"/>
    <n v="1000"/>
    <n v="5002858"/>
    <s v="FAVORITA TRANSPORTES LTDA"/>
    <n v="102.14"/>
    <d v="2025-07-08T00:00:00"/>
  </r>
  <r>
    <s v="Sem TR"/>
    <n v="64811979"/>
    <s v="ZRDI"/>
    <n v="10106505"/>
    <s v="D10"/>
    <s v="DEV D2C - Comprou modelo errado"/>
    <s v="COMERCIAL"/>
    <x v="2"/>
    <n v="54825185"/>
    <x v="1243"/>
    <s v="RJ"/>
    <n v="475"/>
    <s v="Site Consul"/>
    <n v="1352"/>
    <s v="W11601002"/>
    <s v="Filtros"/>
    <x v="5"/>
    <n v="1000"/>
    <n v="5002359"/>
    <s v="EMPRESA BRASILEIRA DE CORREIOS E"/>
    <n v="102.13"/>
    <d v="2025-07-17T00:00:00"/>
  </r>
  <r>
    <n v="254039285"/>
    <n v="64817224"/>
    <s v="ZRDI"/>
    <n v="10138682"/>
    <n v="208"/>
    <s v="DEV-Atraso entrega- LOGISTICA(Transp)"/>
    <s v="TRANSPORTADORA"/>
    <x v="2"/>
    <n v="57286457"/>
    <x v="1244"/>
    <s v="RJ"/>
    <n v="475"/>
    <s v="Site Consul"/>
    <n v="1352"/>
    <s v="W11509386"/>
    <s v="Filtros"/>
    <x v="5"/>
    <n v="1000"/>
    <n v="5002359"/>
    <s v="EMPRESA BRASILEIRA DE CORREIOS E"/>
    <n v="102.13"/>
    <d v="2025-07-24T00:00:00"/>
  </r>
  <r>
    <s v="Sem TR"/>
    <n v="64811979"/>
    <s v="ZRDI"/>
    <n v="10106505"/>
    <s v="D10"/>
    <s v="DEV D2C - Comprou modelo errado"/>
    <s v="COMERCIAL"/>
    <x v="2"/>
    <n v="54825185"/>
    <x v="1243"/>
    <s v="RJ"/>
    <n v="475"/>
    <s v="Site Consul"/>
    <n v="1352"/>
    <s v="W11601002"/>
    <s v="Filtros"/>
    <x v="5"/>
    <n v="1000"/>
    <n v="5002359"/>
    <s v="EMPRESA BRASILEIRA DE CORREIOS E"/>
    <n v="102.13"/>
    <d v="2025-07-17T00:00:00"/>
  </r>
  <r>
    <n v="254039285"/>
    <n v="64817224"/>
    <s v="ZRDI"/>
    <n v="10138682"/>
    <n v="208"/>
    <s v="DEV-Atraso entrega- LOGISTICA(Transp)"/>
    <s v="TRANSPORTADORA"/>
    <x v="2"/>
    <n v="57286457"/>
    <x v="1244"/>
    <s v="RJ"/>
    <n v="475"/>
    <s v="Site Consul"/>
    <n v="1352"/>
    <s v="W11509386"/>
    <s v="Filtros"/>
    <x v="5"/>
    <n v="1000"/>
    <n v="5002359"/>
    <s v="EMPRESA BRASILEIRA DE CORREIOS E"/>
    <n v="102.13"/>
    <d v="2025-07-24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0581058"/>
    <s v="Gavetas"/>
    <x v="9"/>
    <n v="1000"/>
    <n v="5004101"/>
    <s v="UNIDOCK'S ASSESSORIA E LOGISTICA DE"/>
    <n v="102.13"/>
    <d v="2025-03-13T00:00:00"/>
  </r>
  <r>
    <n v="253988784"/>
    <n v="64761657"/>
    <s v="REB"/>
    <n v="9938302"/>
    <n v="176"/>
    <s v="PEÇAS - Defeito de fabric./Interrompido"/>
    <s v="FUNCIONAL"/>
    <x v="1"/>
    <n v="3506"/>
    <x v="46"/>
    <s v="SP"/>
    <n v="931"/>
    <s v="Ats Off"/>
    <n v="1350"/>
    <s v="W10563664"/>
    <s v="Membranas Eletrônicas"/>
    <x v="1"/>
    <n v="1000"/>
    <n v="5004042"/>
    <s v="BRASIL WEB TRANSPORTES E LOGISTICA"/>
    <n v="102.09"/>
    <d v="2025-05-05T00:00:00"/>
  </r>
  <r>
    <s v="Sem TR"/>
    <n v="64792613"/>
    <s v="ZRDI"/>
    <n v="10071193"/>
    <s v="D35"/>
    <s v="DEV D2C - Prod difere do comprado"/>
    <s v="COMERCIAL"/>
    <x v="2"/>
    <n v="58032515"/>
    <x v="1245"/>
    <s v="PR"/>
    <n v="474"/>
    <s v="Site Brastemp"/>
    <n v="1352"/>
    <s v="W10526166"/>
    <s v="Cordões de Alimentação"/>
    <x v="1"/>
    <n v="1000"/>
    <n v="5002359"/>
    <s v="EMPRESA BRASILEIRA DE CORREIOS E"/>
    <n v="102.04"/>
    <d v="2025-06-27T00:00:00"/>
  </r>
  <r>
    <n v="254038163"/>
    <n v="64816133"/>
    <s v="ZRDI"/>
    <n v="10125910"/>
    <n v="208"/>
    <s v="DEV-Atraso entrega- LOGISTICA(Transp)"/>
    <s v="TRANSPORTADORA"/>
    <x v="2"/>
    <n v="58096792"/>
    <x v="1246"/>
    <s v="RN"/>
    <n v="475"/>
    <s v="Site Consul"/>
    <n v="1352"/>
    <s v="W11199342"/>
    <s v="Filtros"/>
    <x v="5"/>
    <n v="1000"/>
    <n v="5002359"/>
    <s v="EMPRESA BRASILEIRA DE CORREIOS E"/>
    <n v="102.04"/>
    <d v="2025-07-23T00:00:00"/>
  </r>
  <r>
    <n v="254038163"/>
    <n v="64816133"/>
    <s v="ZRDI"/>
    <n v="10125910"/>
    <n v="208"/>
    <s v="DEV-Atraso entrega- LOGISTICA(Transp)"/>
    <s v="TRANSPORTADORA"/>
    <x v="2"/>
    <n v="58096792"/>
    <x v="1246"/>
    <s v="RN"/>
    <n v="475"/>
    <s v="Site Consul"/>
    <n v="1352"/>
    <s v="W11199342"/>
    <s v="Filtros"/>
    <x v="5"/>
    <n v="1000"/>
    <n v="5002359"/>
    <s v="EMPRESA BRASILEIRA DE CORREIOS E"/>
    <n v="102.04"/>
    <d v="2025-07-23T00:00:00"/>
  </r>
  <r>
    <s v="Sem TR"/>
    <n v="64792297"/>
    <s v="ZRDI"/>
    <n v="10106050"/>
    <s v="D10"/>
    <s v="DEV D2C - Comprou modelo errado"/>
    <s v="COMERCIAL"/>
    <x v="2"/>
    <n v="52487864"/>
    <x v="1247"/>
    <s v="ES"/>
    <n v="475"/>
    <s v="Site Consul"/>
    <n v="1352"/>
    <s v="W10301562"/>
    <s v="Filtros"/>
    <x v="5"/>
    <n v="1000"/>
    <n v="5002359"/>
    <s v="EMPRESA BRASILEIRA DE CORREIOS E"/>
    <n v="101.96"/>
    <d v="2025-06-30T00:00:00"/>
  </r>
  <r>
    <s v="Sem TR"/>
    <n v="64803552"/>
    <s v="ZRDI"/>
    <n v="10063744"/>
    <s v="D10"/>
    <s v="DEV D2C - Comprou modelo errado"/>
    <s v="COMERCIAL"/>
    <x v="2"/>
    <n v="53668171"/>
    <x v="1248"/>
    <s v="BA"/>
    <n v="474"/>
    <s v="Site Brastemp"/>
    <n v="1352"/>
    <n v="326030631"/>
    <s v="Prateleiras"/>
    <x v="9"/>
    <n v="1000"/>
    <n v="5002359"/>
    <s v="EMPRESA BRASILEIRA DE CORREIOS E"/>
    <n v="101.89"/>
    <d v="2025-07-03T00:00:00"/>
  </r>
  <r>
    <n v="253952165"/>
    <n v="64725303"/>
    <s v="REB"/>
    <n v="9840914"/>
    <n v="173"/>
    <s v="PEÇAS - Defeito de fabric./Alta Amperage"/>
    <s v="FUNCIONAL"/>
    <x v="1"/>
    <n v="8975"/>
    <x v="90"/>
    <s v="MA"/>
    <n v="931"/>
    <s v="Ats Off"/>
    <n v="1350"/>
    <n v="326047714"/>
    <s v="Prateleiras"/>
    <x v="9"/>
    <n v="3000"/>
    <n v="5004101"/>
    <s v="UNIDOCK'S ASSESSORIA E LOGISTICA DE"/>
    <n v="101.87"/>
    <d v="2025-03-08T00:00:00"/>
  </r>
  <r>
    <n v="254012455"/>
    <n v="64782015"/>
    <s v="REB"/>
    <n v="9983768"/>
    <n v="177"/>
    <s v="PEÇAS - Defeito de fabric./Ruído"/>
    <s v="FUNCIONAL"/>
    <x v="2"/>
    <n v="5118"/>
    <x v="514"/>
    <s v="RS"/>
    <n v="350"/>
    <s v="Ats On"/>
    <n v="1350"/>
    <s v="W11299803"/>
    <s v="Mecanismos"/>
    <x v="2"/>
    <n v="1000"/>
    <n v="5003024"/>
    <s v="RODOBRAS TRANSPORTES RODOVIARIOS LT"/>
    <n v="101.83"/>
    <d v="2025-06-10T00:00:00"/>
  </r>
  <r>
    <n v="254024658"/>
    <n v="64804761"/>
    <s v="ZRDI"/>
    <n v="10100506"/>
    <n v="208"/>
    <s v="DEV-Atraso entrega- LOGISTICA(Transp)"/>
    <s v="TRANSPORTADORA"/>
    <x v="2"/>
    <n v="57134290"/>
    <x v="1249"/>
    <s v="MG"/>
    <n v="475"/>
    <s v="Site Consul"/>
    <n v="1352"/>
    <s v="W11199342"/>
    <s v="Filtros"/>
    <x v="5"/>
    <n v="1000"/>
    <n v="5002359"/>
    <s v="EMPRESA BRASILEIRA DE CORREIOS E"/>
    <n v="101.83"/>
    <d v="2025-07-02T00:00:00"/>
  </r>
  <r>
    <n v="254024658"/>
    <n v="64804761"/>
    <s v="ZRDI"/>
    <n v="10100506"/>
    <n v="208"/>
    <s v="DEV-Atraso entrega- LOGISTICA(Transp)"/>
    <s v="TRANSPORTADORA"/>
    <x v="2"/>
    <n v="57134290"/>
    <x v="1249"/>
    <s v="MG"/>
    <n v="475"/>
    <s v="Site Consul"/>
    <n v="1352"/>
    <s v="W11199342"/>
    <s v="Filtros"/>
    <x v="5"/>
    <n v="1000"/>
    <n v="5002359"/>
    <s v="EMPRESA BRASILEIRA DE CORREIOS E"/>
    <n v="101.83"/>
    <d v="2025-07-02T00:00:00"/>
  </r>
  <r>
    <n v="254033274"/>
    <n v="64807152"/>
    <s v="REB"/>
    <n v="10071843"/>
    <n v="177"/>
    <s v="PEÇAS - Defeito de fabric./Ruído"/>
    <s v="FUNCIONAL"/>
    <x v="0"/>
    <n v="5118"/>
    <x v="514"/>
    <s v="RS"/>
    <n v="350"/>
    <s v="Ats On"/>
    <n v="1350"/>
    <s v="W11299803"/>
    <s v="Mecanismos"/>
    <x v="2"/>
    <n v="1000"/>
    <n v="5003024"/>
    <s v="RODOBRAS TRANSPORTES RODOVIARIOS LT"/>
    <n v="101.83"/>
    <d v="2025-07-08T00:00:00"/>
  </r>
  <r>
    <s v="Sem TR"/>
    <n v="64804727"/>
    <s v="ZRDI"/>
    <n v="10084282"/>
    <n v="208"/>
    <s v="DEV-Atraso entrega- LOGISTICA(Transp)"/>
    <s v="TRANSPORTADORA"/>
    <x v="2"/>
    <n v="56083732"/>
    <x v="1250"/>
    <s v="SP"/>
    <n v="475"/>
    <s v="Site Consul"/>
    <n v="1352"/>
    <s v="W10301562"/>
    <s v="Filtros"/>
    <x v="5"/>
    <n v="1000"/>
    <n v="5002359"/>
    <s v="EMPRESA BRASILEIRA DE CORREIOS E"/>
    <n v="101.8"/>
    <d v="2025-07-02T00:00:00"/>
  </r>
  <r>
    <n v="254024633"/>
    <n v="64804729"/>
    <s v="ZRDI"/>
    <n v="10088011"/>
    <n v="208"/>
    <s v="DEV-Atraso entrega- LOGISTICA(Transp)"/>
    <s v="TRANSPORTADORA"/>
    <x v="2"/>
    <n v="55239686"/>
    <x v="1251"/>
    <s v="SP"/>
    <n v="475"/>
    <s v="Site Consul"/>
    <n v="1352"/>
    <s v="W10301562"/>
    <s v="Filtros"/>
    <x v="5"/>
    <n v="1000"/>
    <n v="5002359"/>
    <s v="EMPRESA BRASILEIRA DE CORREIOS E"/>
    <n v="101.8"/>
    <d v="2025-07-02T00:00:00"/>
  </r>
  <r>
    <s v="Sem TR"/>
    <n v="64808418"/>
    <s v="ZRDI"/>
    <n v="10103954"/>
    <n v="25"/>
    <s v="OC. 80 - EXTRAVIO TOTAL"/>
    <s v="TRANSPORTADORA"/>
    <x v="2"/>
    <n v="58115765"/>
    <x v="1252"/>
    <s v="SP"/>
    <n v="475"/>
    <s v="Site Consul"/>
    <n v="1352"/>
    <s v="W10301562"/>
    <s v="Filtros"/>
    <x v="5"/>
    <n v="1000"/>
    <n v="5002359"/>
    <s v="EMPRESA BRASILEIRA DE CORREIOS E"/>
    <n v="101.8"/>
    <d v="2025-07-10T00:00:00"/>
  </r>
  <r>
    <n v="254034239"/>
    <n v="64812833"/>
    <s v="ZRDI"/>
    <n v="10076705"/>
    <s v="D25"/>
    <s v="DEV D2C - Prob na entrega (Não recebi)"/>
    <s v="TRANSPORTADORA"/>
    <x v="2"/>
    <n v="58072587"/>
    <x v="1253"/>
    <s v="SP"/>
    <n v="475"/>
    <s v="Site Consul"/>
    <n v="1352"/>
    <s v="W10301562"/>
    <s v="Filtros"/>
    <x v="5"/>
    <n v="1000"/>
    <n v="5003972"/>
    <s v="ICARO EXPRESS LOGISTICA LTDA"/>
    <n v="101.8"/>
    <d v="2025-07-17T00:00:00"/>
  </r>
  <r>
    <n v="254034819"/>
    <n v="64813328"/>
    <s v="ZRDI"/>
    <n v="10081950"/>
    <n v="208"/>
    <s v="DEV-Atraso entrega- LOGISTICA(Transp)"/>
    <s v="TRANSPORTADORA"/>
    <x v="2"/>
    <n v="58054714"/>
    <x v="1254"/>
    <s v="SP"/>
    <n v="475"/>
    <s v="Site Consul"/>
    <n v="1352"/>
    <s v="W10301562"/>
    <s v="Filtros"/>
    <x v="5"/>
    <n v="1000"/>
    <n v="5002359"/>
    <s v="EMPRESA BRASILEIRA DE CORREIOS E"/>
    <n v="101.8"/>
    <d v="2025-07-18T00:00:00"/>
  </r>
  <r>
    <n v="254024633"/>
    <n v="64804729"/>
    <s v="ZRDI"/>
    <n v="10088011"/>
    <n v="208"/>
    <s v="DEV-Atraso entrega- LOGISTICA(Transp)"/>
    <s v="TRANSPORTADORA"/>
    <x v="2"/>
    <n v="55239686"/>
    <x v="1251"/>
    <s v="SP"/>
    <n v="475"/>
    <s v="Site Consul"/>
    <n v="1352"/>
    <s v="W10301562"/>
    <s v="Filtros"/>
    <x v="5"/>
    <n v="1000"/>
    <n v="5002359"/>
    <s v="EMPRESA BRASILEIRA DE CORREIOS E"/>
    <n v="101.8"/>
    <d v="2025-07-02T00:00:00"/>
  </r>
  <r>
    <s v="Sem TR"/>
    <n v="64808418"/>
    <s v="ZRDI"/>
    <n v="10103954"/>
    <n v="25"/>
    <s v="OC. 80 - EXTRAVIO TOTAL"/>
    <s v="TRANSPORTADORA"/>
    <x v="2"/>
    <n v="58115765"/>
    <x v="1252"/>
    <s v="SP"/>
    <n v="475"/>
    <s v="Site Consul"/>
    <n v="1352"/>
    <s v="W10301562"/>
    <s v="Filtros"/>
    <x v="5"/>
    <n v="1000"/>
    <n v="5002359"/>
    <s v="EMPRESA BRASILEIRA DE CORREIOS E"/>
    <n v="101.8"/>
    <d v="2025-07-10T00:00:00"/>
  </r>
  <r>
    <n v="254036808"/>
    <n v="64814722"/>
    <s v="ZRDI"/>
    <n v="10093858"/>
    <n v="208"/>
    <s v="DEV-Atraso entrega- LOGISTICA(Transp)"/>
    <s v="TRANSPORTADORA"/>
    <x v="2"/>
    <n v="58098594"/>
    <x v="1255"/>
    <s v="DF"/>
    <n v="475"/>
    <s v="Site Consul"/>
    <n v="1352"/>
    <s v="W11199342"/>
    <s v="Filtros"/>
    <x v="5"/>
    <n v="1000"/>
    <n v="5002359"/>
    <s v="EMPRESA BRASILEIRA DE CORREIOS E"/>
    <n v="101.78"/>
    <d v="2025-07-22T00:00:00"/>
  </r>
  <r>
    <n v="254003930"/>
    <n v="64778559"/>
    <s v="REB"/>
    <n v="10009026"/>
    <n v="173"/>
    <s v="PEÇAS - Defeito de fabric./Alta Amperage"/>
    <s v="FUNCIONAL"/>
    <x v="1"/>
    <n v="29164"/>
    <x v="32"/>
    <s v="BA"/>
    <n v="648"/>
    <s v="Ultra"/>
    <n v="1350"/>
    <s v="W11160655"/>
    <s v="Placas de Interface"/>
    <x v="1"/>
    <n v="1000"/>
    <n v="5004101"/>
    <s v="UNIDOCK'S ASSESSORIA E LOGISTICA DE"/>
    <n v="101.69"/>
    <d v="2025-05-26T00:00:00"/>
  </r>
  <r>
    <n v="254012505"/>
    <n v="64789376"/>
    <s v="REB"/>
    <n v="10009026"/>
    <n v="173"/>
    <s v="PEÇAS - Defeito de fabric./Alta Amperage"/>
    <s v="FUNCIONAL"/>
    <x v="1"/>
    <n v="29164"/>
    <x v="32"/>
    <s v="BA"/>
    <n v="648"/>
    <s v="Ultra"/>
    <n v="1350"/>
    <s v="W11160655"/>
    <s v="Placas de Interface"/>
    <x v="1"/>
    <n v="1000"/>
    <n v="5004101"/>
    <s v="UNIDOCK'S ASSESSORIA E LOGISTICA DE"/>
    <n v="101.69"/>
    <d v="2025-06-10T00:00:00"/>
  </r>
  <r>
    <n v="253918650"/>
    <n v="64691864"/>
    <s v="REB"/>
    <n v="9811063"/>
    <n v="167"/>
    <s v="PEÇAS - Avaria - Quebrada/Depósito"/>
    <s v="LOGÍSTICA"/>
    <x v="1"/>
    <n v="83115"/>
    <x v="819"/>
    <s v="MG"/>
    <n v="932"/>
    <s v="CDP Prata"/>
    <n v="1350"/>
    <s v="W11298039"/>
    <s v="Gavetas"/>
    <x v="9"/>
    <n v="1000"/>
    <n v="5004215"/>
    <s v="BRASIL WEB TRANSPORTES E LOGISTICA"/>
    <n v="101.67"/>
    <d v="2025-01-15T00:00:00"/>
  </r>
  <r>
    <n v="253953850"/>
    <n v="64731944"/>
    <s v="REB"/>
    <n v="8865972"/>
    <n v="173"/>
    <s v="PEÇAS - Defeito de fabric./Alta Amperage"/>
    <s v="FUNCIONAL"/>
    <x v="2"/>
    <n v="79953"/>
    <x v="309"/>
    <s v="SP"/>
    <n v="932"/>
    <s v="CDP Prata"/>
    <n v="1350"/>
    <s v="W11299803"/>
    <s v="Mecanismos"/>
    <x v="2"/>
    <n v="1000"/>
    <n v="5004042"/>
    <s v="BRASIL WEB TRANSPORTES E LOGISTICA"/>
    <n v="101.62"/>
    <d v="2025-03-14T00:00:00"/>
  </r>
  <r>
    <n v="254024649"/>
    <n v="64804750"/>
    <s v="ZRDI"/>
    <n v="10094024"/>
    <n v="208"/>
    <s v="DEV-Atraso entrega- LOGISTICA(Transp)"/>
    <s v="TRANSPORTADORA"/>
    <x v="2"/>
    <n v="58100378"/>
    <x v="1256"/>
    <s v="RS"/>
    <n v="474"/>
    <s v="Site Brastemp"/>
    <n v="1352"/>
    <s v="W10526166"/>
    <s v="Cordões de Alimentação"/>
    <x v="1"/>
    <n v="1000"/>
    <n v="5002359"/>
    <s v="EMPRESA BRASILEIRA DE CORREIOS E"/>
    <n v="101.59"/>
    <d v="2025-07-02T00:00:00"/>
  </r>
  <r>
    <n v="254012439"/>
    <n v="64789494"/>
    <s v="REB"/>
    <n v="9810194"/>
    <n v="176"/>
    <s v="PEÇAS - Defeito de fabric./Interrompido"/>
    <s v="FUNCIONAL"/>
    <x v="1"/>
    <n v="3506"/>
    <x v="46"/>
    <s v="SP"/>
    <n v="931"/>
    <s v="Ats Off"/>
    <n v="1350"/>
    <s v="W10833448"/>
    <s v="Bombas"/>
    <x v="1"/>
    <n v="1000"/>
    <n v="5004042"/>
    <s v="BRASIL WEB TRANSPORTES E LOGISTICA"/>
    <n v="101.57"/>
    <d v="2025-06-10T00:00:00"/>
  </r>
  <r>
    <n v="254033987"/>
    <n v="64812557"/>
    <s v="ZRDI"/>
    <n v="10117778"/>
    <n v="208"/>
    <s v="DEV-Atraso entrega- LOGISTICA(Transp)"/>
    <s v="TRANSPORTADORA"/>
    <x v="2"/>
    <n v="56462744"/>
    <x v="1257"/>
    <s v="RJ"/>
    <n v="475"/>
    <s v="Site Consul"/>
    <n v="1352"/>
    <s v="W11199342"/>
    <s v="Filtros"/>
    <x v="5"/>
    <n v="1000"/>
    <n v="5002359"/>
    <s v="EMPRESA BRASILEIRA DE CORREIOS E"/>
    <n v="101.56"/>
    <d v="2025-07-17T00:00:00"/>
  </r>
  <r>
    <s v="Sem TR"/>
    <n v="64816393"/>
    <s v="ZRDI"/>
    <n v="10139055"/>
    <s v="D10"/>
    <s v="DEV D2C - Comprou modelo errado"/>
    <s v="COMERCIAL"/>
    <x v="2"/>
    <n v="57161011"/>
    <x v="1258"/>
    <s v="RJ"/>
    <n v="475"/>
    <s v="Site Consul"/>
    <n v="1352"/>
    <s v="W10301562"/>
    <s v="Filtros"/>
    <x v="5"/>
    <n v="1000"/>
    <n v="5002359"/>
    <s v="EMPRESA BRASILEIRA DE CORREIOS E"/>
    <n v="101.56"/>
    <d v="2025-07-25T00:00:00"/>
  </r>
  <r>
    <n v="254039286"/>
    <n v="64817225"/>
    <s v="ZRDI"/>
    <n v="10139104"/>
    <n v="208"/>
    <s v="DEV-Atraso entrega- LOGISTICA(Transp)"/>
    <s v="TRANSPORTADORA"/>
    <x v="2"/>
    <n v="57997610"/>
    <x v="1259"/>
    <s v="RJ"/>
    <n v="475"/>
    <s v="Site Consul"/>
    <n v="1352"/>
    <s v="W10301562"/>
    <s v="Filtros"/>
    <x v="5"/>
    <n v="1000"/>
    <n v="5002359"/>
    <s v="EMPRESA BRASILEIRA DE CORREIOS E"/>
    <n v="101.56"/>
    <d v="2025-07-24T00:00:00"/>
  </r>
  <r>
    <s v="Sem TR"/>
    <n v="64816393"/>
    <s v="ZRDI"/>
    <n v="10139055"/>
    <s v="D10"/>
    <s v="DEV D2C - Comprou modelo errado"/>
    <s v="COMERCIAL"/>
    <x v="2"/>
    <n v="57161011"/>
    <x v="1258"/>
    <s v="RJ"/>
    <n v="475"/>
    <s v="Site Consul"/>
    <n v="1352"/>
    <s v="W10301562"/>
    <s v="Filtros"/>
    <x v="5"/>
    <n v="1000"/>
    <n v="5002359"/>
    <s v="EMPRESA BRASILEIRA DE CORREIOS E"/>
    <n v="101.56"/>
    <d v="2025-07-25T00:00:00"/>
  </r>
  <r>
    <n v="254039286"/>
    <n v="64817225"/>
    <s v="ZRDI"/>
    <n v="10139104"/>
    <n v="208"/>
    <s v="DEV-Atraso entrega- LOGISTICA(Transp)"/>
    <s v="TRANSPORTADORA"/>
    <x v="2"/>
    <n v="57997610"/>
    <x v="1259"/>
    <s v="RJ"/>
    <n v="475"/>
    <s v="Site Consul"/>
    <n v="1352"/>
    <s v="W10301562"/>
    <s v="Filtros"/>
    <x v="5"/>
    <n v="1000"/>
    <n v="5002359"/>
    <s v="EMPRESA BRASILEIRA DE CORREIOS E"/>
    <n v="101.56"/>
    <d v="2025-07-24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n v="326073242"/>
    <s v="Placas de Controle"/>
    <x v="1"/>
    <n v="1000"/>
    <n v="5002858"/>
    <s v="FAVORITA TRANSPORTES LTDA"/>
    <n v="101.51"/>
    <d v="2025-07-15T00:00:00"/>
  </r>
  <r>
    <n v="254004042"/>
    <n v="64778182"/>
    <s v="REB"/>
    <n v="10018018"/>
    <n v="173"/>
    <s v="PEÇAS - Defeito de fabric./Alta Amperage"/>
    <s v="FUNCIONAL"/>
    <x v="1"/>
    <n v="67948"/>
    <x v="15"/>
    <s v="SC"/>
    <n v="713"/>
    <s v="Key Account"/>
    <n v="1350"/>
    <s v="W11300675"/>
    <s v="Mecanismos"/>
    <x v="2"/>
    <n v="1000"/>
    <n v="5003024"/>
    <s v="RODOBRAS TRANSPORTES RODOVIARIOS LT"/>
    <n v="101.25"/>
    <d v="2025-05-26T00:00:00"/>
  </r>
  <r>
    <n v="254012597"/>
    <n v="64789319"/>
    <s v="REB"/>
    <n v="10018018"/>
    <n v="173"/>
    <s v="PEÇAS - Defeito de fabric./Alta Amperage"/>
    <s v="FUNCIONAL"/>
    <x v="2"/>
    <n v="67948"/>
    <x v="15"/>
    <s v="SC"/>
    <n v="713"/>
    <s v="Key Account"/>
    <n v="1350"/>
    <s v="W11300675"/>
    <s v="Mecanismos"/>
    <x v="2"/>
    <n v="1000"/>
    <n v="5003024"/>
    <s v="RODOBRAS TRANSPORTES RODOVIARIOS LT"/>
    <n v="101.25"/>
    <d v="2025-06-10T00:00:00"/>
  </r>
  <r>
    <n v="254004051"/>
    <n v="64775733"/>
    <s v="REB"/>
    <n v="9746602"/>
    <n v="173"/>
    <s v="PEÇAS - Defeito de fabric./Alta Amperage"/>
    <s v="FUNCIONAL"/>
    <x v="2"/>
    <n v="72253"/>
    <x v="349"/>
    <s v="SC"/>
    <n v="933"/>
    <s v="Top"/>
    <n v="1350"/>
    <s v="W11123830"/>
    <s v="Placas de Controle"/>
    <x v="1"/>
    <n v="1000"/>
    <n v="5003024"/>
    <s v="RODOBRAS TRANSPORTES RODOVIARIOS LT"/>
    <n v="101.15"/>
    <d v="2025-05-26T00:00:00"/>
  </r>
  <r>
    <n v="253961256"/>
    <n v="64735043"/>
    <s v="REB"/>
    <n v="9255722"/>
    <n v="173"/>
    <s v="PEÇAS - Defeito de fabric./Alta Amperage"/>
    <s v="FUNCIONAL"/>
    <x v="1"/>
    <n v="14474"/>
    <x v="25"/>
    <s v="RN"/>
    <n v="648"/>
    <s v="Ultra"/>
    <n v="1350"/>
    <s v="W11634491"/>
    <s v="Placas de Controle"/>
    <x v="1"/>
    <n v="1000"/>
    <n v="5004101"/>
    <s v="UNIDOCK'S ASSESSORIA E LOGISTICA DE"/>
    <n v="101.1"/>
    <d v="2025-03-25T00:00:00"/>
  </r>
  <r>
    <n v="254035347"/>
    <n v="64812450"/>
    <s v="REB"/>
    <n v="10114024"/>
    <n v="177"/>
    <s v="PEÇAS - Defeito de fabric./Ruído"/>
    <s v="FUNCIONAL"/>
    <x v="1"/>
    <n v="18805"/>
    <x v="307"/>
    <s v="PR"/>
    <n v="648"/>
    <s v="Ultra"/>
    <n v="1350"/>
    <s v="W11299803"/>
    <s v="Mecanismos"/>
    <x v="2"/>
    <n v="1000"/>
    <n v="5003024"/>
    <s v="RODOBRAS TRANSPORTES RODOVIARIOS LT"/>
    <n v="101.1"/>
    <d v="2025-07-17T00:00:00"/>
  </r>
  <r>
    <n v="253953756"/>
    <n v="64731417"/>
    <s v="REB"/>
    <n v="9255722"/>
    <n v="173"/>
    <s v="PEÇAS - Defeito de fabric./Alta Amperage"/>
    <s v="FUNCIONAL"/>
    <x v="1"/>
    <n v="14474"/>
    <x v="25"/>
    <s v="RN"/>
    <n v="648"/>
    <s v="Ultra"/>
    <n v="1350"/>
    <s v="W11634491"/>
    <s v="Placas de Controle"/>
    <x v="1"/>
    <n v="1000"/>
    <n v="5004101"/>
    <s v="UNIDOCK'S ASSESSORIA E LOGISTICA DE"/>
    <n v="101.1"/>
    <d v="2025-03-14T00:00:00"/>
  </r>
  <r>
    <n v="254033262"/>
    <n v="64802697"/>
    <s v="REB"/>
    <n v="10104101"/>
    <n v="173"/>
    <s v="PEÇAS - Defeito de fabric./Alta Amperage"/>
    <s v="FUNCIONAL"/>
    <x v="0"/>
    <n v="4585"/>
    <x v="555"/>
    <s v="SC"/>
    <n v="350"/>
    <s v="Ats On"/>
    <n v="1350"/>
    <s v="W11299803"/>
    <s v="Mecanismos"/>
    <x v="2"/>
    <n v="1000"/>
    <n v="5003024"/>
    <s v="RODOBRAS TRANSPORTES RODOVIARIOS LT"/>
    <n v="101.1"/>
    <d v="2025-07-01T00:00:00"/>
  </r>
  <r>
    <n v="254033102"/>
    <n v="64807179"/>
    <s v="REB"/>
    <n v="10098190"/>
    <n v="167"/>
    <s v="PEÇAS - Avaria - Quebrada/Depósito"/>
    <s v="LOGÍSTICA"/>
    <x v="1"/>
    <n v="299"/>
    <x v="865"/>
    <s v="SC"/>
    <n v="350"/>
    <s v="Ats On"/>
    <n v="1350"/>
    <s v="W10894133"/>
    <s v="Motores Ventiladores"/>
    <x v="1"/>
    <n v="1000"/>
    <n v="5003024"/>
    <s v="RODOBRAS TRANSPORTES RODOVIARIOS LT"/>
    <n v="101.09"/>
    <d v="2025-07-08T00:00:00"/>
  </r>
  <r>
    <n v="253961314"/>
    <n v="64737249"/>
    <s v="REB"/>
    <n v="9917403"/>
    <n v="167"/>
    <s v="PEÇAS - Avaria - Quebrada/Depósito"/>
    <s v="LOGÍSTICA"/>
    <x v="2"/>
    <n v="30847"/>
    <x v="87"/>
    <s v="SP"/>
    <n v="644"/>
    <s v="Plus"/>
    <n v="1350"/>
    <s v="W11396368"/>
    <s v="Gavetas"/>
    <x v="9"/>
    <n v="1000"/>
    <n v="5004042"/>
    <s v="BRASIL WEB TRANSPORTES E LOGISTICA"/>
    <n v="101.04"/>
    <d v="2025-03-24T00:00:00"/>
  </r>
  <r>
    <n v="254037055"/>
    <n v="64814971"/>
    <s v="ZRDI"/>
    <n v="10104007"/>
    <n v="208"/>
    <s v="DEV-Atraso entrega- LOGISTICA(Transp)"/>
    <s v="TRANSPORTADORA"/>
    <x v="2"/>
    <n v="54766001"/>
    <x v="1260"/>
    <s v="DF"/>
    <n v="475"/>
    <s v="Site Consul"/>
    <n v="1352"/>
    <s v="W11199342"/>
    <s v="Filtros"/>
    <x v="5"/>
    <n v="1000"/>
    <n v="5002359"/>
    <s v="EMPRESA BRASILEIRA DE CORREIOS E"/>
    <n v="100.94"/>
    <d v="2025-07-22T00:00:00"/>
  </r>
  <r>
    <n v="254037055"/>
    <n v="64814971"/>
    <s v="ZRDI"/>
    <n v="10104007"/>
    <n v="208"/>
    <s v="DEV-Atraso entrega- LOGISTICA(Transp)"/>
    <s v="TRANSPORTADORA"/>
    <x v="2"/>
    <n v="54766001"/>
    <x v="1260"/>
    <s v="DF"/>
    <n v="475"/>
    <s v="Site Consul"/>
    <n v="1352"/>
    <s v="W11199342"/>
    <s v="Filtros"/>
    <x v="5"/>
    <n v="1000"/>
    <n v="5002359"/>
    <s v="EMPRESA BRASILEIRA DE CORREIOS E"/>
    <n v="100.94"/>
    <d v="2025-07-22T00:00:00"/>
  </r>
  <r>
    <n v="254033416"/>
    <n v="64799733"/>
    <s v="REB"/>
    <n v="9998755"/>
    <n v="173"/>
    <s v="PEÇAS - Defeito de fabric./Alta Amperage"/>
    <s v="FUNCIONAL"/>
    <x v="0"/>
    <n v="51613"/>
    <x v="34"/>
    <s v="MG"/>
    <n v="643"/>
    <s v="Elite"/>
    <n v="1350"/>
    <s v="W11300675"/>
    <s v="Mecanismos"/>
    <x v="2"/>
    <n v="1000"/>
    <n v="5004215"/>
    <s v="BRASIL WEB TRANSPORTES E LOGISTICA"/>
    <n v="100.9"/>
    <d v="2025-07-01T00:00:00"/>
  </r>
  <r>
    <s v="Sem TR"/>
    <n v="64802361"/>
    <s v="ZRDI"/>
    <n v="10119832"/>
    <s v="D28"/>
    <s v="DEV D2C - Seleção errada da forma pgto"/>
    <s v="COMERCIAL"/>
    <x v="2"/>
    <n v="58132272"/>
    <x v="1261"/>
    <s v="SP"/>
    <n v="475"/>
    <s v="Site Consul"/>
    <n v="1352"/>
    <s v="W10301562"/>
    <s v="Filtros"/>
    <x v="5"/>
    <n v="1000"/>
    <n v="5002359"/>
    <s v="EMPRESA BRASILEIRA DE CORREIOS E"/>
    <n v="100.8"/>
    <d v="2025-07-07T00:00:00"/>
  </r>
  <r>
    <s v="Sem TR"/>
    <n v="64807012"/>
    <s v="ZRDI"/>
    <n v="10114175"/>
    <s v="D10"/>
    <s v="DEV D2C - Comprou modelo errado"/>
    <s v="COMERCIAL"/>
    <x v="2"/>
    <n v="56515281"/>
    <x v="1262"/>
    <s v="SP"/>
    <n v="475"/>
    <s v="Site Consul"/>
    <n v="1352"/>
    <s v="W10301562"/>
    <s v="Filtros"/>
    <x v="5"/>
    <n v="1000"/>
    <n v="5002359"/>
    <s v="EMPRESA BRASILEIRA DE CORREIOS E"/>
    <n v="100.8"/>
    <d v="2025-07-17T00:00:00"/>
  </r>
  <r>
    <s v="Sem TR"/>
    <n v="64807258"/>
    <s v="ZRDI"/>
    <n v="10119378"/>
    <n v="208"/>
    <s v="DEV-Atraso entrega- LOGISTICA(Transp)"/>
    <s v="TRANSPORTADORA"/>
    <x v="2"/>
    <n v="54891879"/>
    <x v="1263"/>
    <s v="SP"/>
    <n v="475"/>
    <s v="Site Consul"/>
    <n v="1352"/>
    <s v="W10301562"/>
    <s v="Filtros"/>
    <x v="5"/>
    <n v="1000"/>
    <n v="5002359"/>
    <s v="EMPRESA BRASILEIRA DE CORREIOS E"/>
    <n v="100.8"/>
    <d v="2025-07-08T00:00:00"/>
  </r>
  <r>
    <s v="Sem TR"/>
    <n v="64810071"/>
    <s v="ZRDI"/>
    <n v="10109448"/>
    <s v="D10"/>
    <s v="DEV D2C - Comprou modelo errado"/>
    <s v="COMERCIAL"/>
    <x v="2"/>
    <n v="58120876"/>
    <x v="1264"/>
    <s v="SP"/>
    <n v="475"/>
    <s v="Site Consul"/>
    <n v="1352"/>
    <s v="W10301562"/>
    <s v="Filtros"/>
    <x v="5"/>
    <n v="1000"/>
    <n v="5002359"/>
    <s v="EMPRESA BRASILEIRA DE CORREIOS E"/>
    <n v="100.8"/>
    <d v="2025-07-15T00:00:00"/>
  </r>
  <r>
    <n v="254031327"/>
    <n v="64810530"/>
    <s v="ZRDI"/>
    <n v="10123307"/>
    <s v="D25"/>
    <s v="DEV D2C - Prob na entrega (Não recebi)"/>
    <s v="TRANSPORTADORA"/>
    <x v="2"/>
    <n v="54509997"/>
    <x v="1265"/>
    <s v="SP"/>
    <n v="475"/>
    <s v="Site Consul"/>
    <n v="1352"/>
    <s v="W10301562"/>
    <s v="Filtros"/>
    <x v="5"/>
    <n v="1000"/>
    <n v="5002359"/>
    <s v="EMPRESA BRASILEIRA DE CORREIOS E"/>
    <n v="100.8"/>
    <d v="2025-07-15T00:00:00"/>
  </r>
  <r>
    <s v="Sem TR"/>
    <n v="64802361"/>
    <s v="ZRDI"/>
    <n v="10119832"/>
    <s v="D28"/>
    <s v="DEV D2C - Seleção errada da forma pgto"/>
    <s v="COMERCIAL"/>
    <x v="2"/>
    <n v="58132272"/>
    <x v="1261"/>
    <s v="SP"/>
    <n v="475"/>
    <s v="Site Consul"/>
    <n v="1352"/>
    <s v="W10301562"/>
    <s v="Filtros"/>
    <x v="5"/>
    <n v="1000"/>
    <n v="5002359"/>
    <s v="EMPRESA BRASILEIRA DE CORREIOS E"/>
    <n v="100.8"/>
    <d v="2025-07-07T00:00:00"/>
  </r>
  <r>
    <s v="Sem TR"/>
    <n v="64807012"/>
    <s v="ZRDI"/>
    <n v="10114175"/>
    <s v="D10"/>
    <s v="DEV D2C - Comprou modelo errado"/>
    <s v="COMERCIAL"/>
    <x v="2"/>
    <n v="56515281"/>
    <x v="1262"/>
    <s v="SP"/>
    <n v="475"/>
    <s v="Site Consul"/>
    <n v="1352"/>
    <s v="W10301562"/>
    <s v="Filtros"/>
    <x v="5"/>
    <n v="1000"/>
    <n v="5002359"/>
    <s v="EMPRESA BRASILEIRA DE CORREIOS E"/>
    <n v="100.8"/>
    <d v="2025-07-17T00:00:00"/>
  </r>
  <r>
    <n v="254042010"/>
    <n v="64796334"/>
    <s v="REB"/>
    <n v="9471535"/>
    <n v="173"/>
    <s v="PEÇAS - Defeito de fabric./Alta Amperage"/>
    <s v="FUNCIONAL"/>
    <x v="0"/>
    <n v="78757"/>
    <x v="50"/>
    <s v="RS"/>
    <n v="643"/>
    <s v="Elite"/>
    <n v="1350"/>
    <s v="W10626365"/>
    <s v="Placas de Interface"/>
    <x v="1"/>
    <n v="1000"/>
    <n v="5003024"/>
    <s v="RODOBRAS TRANSPORTES RODOVIARIOS LT"/>
    <n v="100.8"/>
    <d v="2025-06-23T00:00:00"/>
  </r>
  <r>
    <n v="254018301"/>
    <n v="64793306"/>
    <s v="REB"/>
    <n v="9945191"/>
    <n v="173"/>
    <s v="PEÇAS - Defeito de fabric./Alta Amperage"/>
    <s v="FUNCIONAL"/>
    <x v="2"/>
    <n v="47471"/>
    <x v="424"/>
    <s v="TO"/>
    <n v="643"/>
    <s v="Elite"/>
    <n v="1350"/>
    <s v="W11299803"/>
    <s v="Mecanismos"/>
    <x v="2"/>
    <n v="1000"/>
    <n v="5002858"/>
    <s v="FAVORITA TRANSPORTES LTDA"/>
    <n v="100.79"/>
    <d v="2025-06-17T00:00:00"/>
  </r>
  <r>
    <n v="253992775"/>
    <n v="64767516"/>
    <s v="REB"/>
    <n v="9832554"/>
    <n v="173"/>
    <s v="PEÇAS - Defeito de fabric./Alta Amperage"/>
    <s v="FUNCIONAL"/>
    <x v="2"/>
    <n v="78757"/>
    <x v="50"/>
    <s v="RS"/>
    <n v="643"/>
    <s v="Elite"/>
    <n v="1350"/>
    <s v="W11300676"/>
    <s v="Mecanismos"/>
    <x v="2"/>
    <n v="1000"/>
    <n v="5003024"/>
    <s v="RODOBRAS TRANSPORTES RODOVIARIOS LT"/>
    <n v="100.71"/>
    <d v="2025-05-12T00:00:00"/>
  </r>
  <r>
    <n v="254035935"/>
    <n v="64814040"/>
    <s v="ZRDI"/>
    <n v="10127578"/>
    <n v="208"/>
    <s v="DEV-Atraso entrega- LOGISTICA(Transp)"/>
    <s v="TRANSPORTADORA"/>
    <x v="2"/>
    <n v="58140173"/>
    <x v="1266"/>
    <s v="BA"/>
    <n v="475"/>
    <s v="Site Consul"/>
    <n v="1352"/>
    <s v="W11199342"/>
    <s v="Filtros"/>
    <x v="5"/>
    <n v="1000"/>
    <n v="5002359"/>
    <s v="EMPRESA BRASILEIRA DE CORREIOS E"/>
    <n v="100.35"/>
    <d v="2025-07-21T00:00:00"/>
  </r>
  <r>
    <n v="254035935"/>
    <n v="64814040"/>
    <s v="ZRDI"/>
    <n v="10127578"/>
    <n v="208"/>
    <s v="DEV-Atraso entrega- LOGISTICA(Transp)"/>
    <s v="TRANSPORTADORA"/>
    <x v="2"/>
    <n v="58140173"/>
    <x v="1266"/>
    <s v="BA"/>
    <n v="475"/>
    <s v="Site Consul"/>
    <n v="1352"/>
    <s v="W11199342"/>
    <s v="Filtros"/>
    <x v="5"/>
    <n v="1000"/>
    <n v="5002359"/>
    <s v="EMPRESA BRASILEIRA DE CORREIOS E"/>
    <n v="100.35"/>
    <d v="2025-07-21T00:00:00"/>
  </r>
  <r>
    <n v="254035909"/>
    <n v="64814029"/>
    <s v="ZRDI"/>
    <n v="10117859"/>
    <n v="208"/>
    <s v="DEV-Atraso entrega- LOGISTICA(Transp)"/>
    <s v="TRANSPORTADORA"/>
    <x v="2"/>
    <n v="58129426"/>
    <x v="777"/>
    <s v="RJ"/>
    <n v="475"/>
    <s v="Site Consul"/>
    <n v="1352"/>
    <n v="326047349"/>
    <s v="Portas"/>
    <x v="6"/>
    <n v="1000"/>
    <n v="5002359"/>
    <s v="EMPRESA BRASILEIRA DE CORREIOS E"/>
    <n v="100.33"/>
    <d v="2025-07-21T00:00:00"/>
  </r>
  <r>
    <n v="254042157"/>
    <n v="64791467"/>
    <s v="REB"/>
    <n v="10084130"/>
    <n v="167"/>
    <s v="PEÇAS - Avaria - Quebrada/Depósito"/>
    <s v="LOGÍSTICA"/>
    <x v="0"/>
    <n v="27847"/>
    <x v="1267"/>
    <s v="SP"/>
    <n v="932"/>
    <s v="CDP Prata"/>
    <n v="1350"/>
    <s v="W10347201"/>
    <s v="Prateleiras"/>
    <x v="9"/>
    <n v="1000"/>
    <n v="5004042"/>
    <s v="BRASIL WEB TRANSPORTES E LOGISTICA"/>
    <n v="100.28"/>
    <d v="2025-06-23T00:00:00"/>
  </r>
  <r>
    <n v="253970762"/>
    <n v="64748903"/>
    <s v="REB"/>
    <n v="9922489"/>
    <n v="173"/>
    <s v="PEÇAS - Defeito de fabric./Alta Amperage"/>
    <s v="FUNCIONAL"/>
    <x v="2"/>
    <n v="28162"/>
    <x v="203"/>
    <s v="SP"/>
    <n v="641"/>
    <s v="CDP Diamante"/>
    <n v="1350"/>
    <s v="W10632495"/>
    <s v="Placas de Controle"/>
    <x v="1"/>
    <n v="1000"/>
    <n v="5004042"/>
    <s v="BRASIL WEB TRANSPORTES E LOGISTICA"/>
    <n v="100.26"/>
    <d v="2025-04-09T00:00:00"/>
  </r>
  <r>
    <n v="253988066"/>
    <n v="64739207"/>
    <s v="ZDVP"/>
    <n v="9929274"/>
    <n v="173"/>
    <s v="PEÇAS - Defeito de fabric./Alta Amperage"/>
    <s v="FUNCIONAL"/>
    <x v="1"/>
    <n v="60342"/>
    <x v="31"/>
    <s v="BA"/>
    <n v="648"/>
    <s v="Ultra"/>
    <n v="1350"/>
    <s v="W11299803"/>
    <s v="Mecanismos"/>
    <x v="2"/>
    <n v="1000"/>
    <n v="5004101"/>
    <s v="UNIDOCK'S ASSESSORIA E LOGISTICA DE"/>
    <n v="100.25"/>
    <d v="2025-04-09T00:00:00"/>
  </r>
  <r>
    <n v="253998022"/>
    <n v="64770390"/>
    <s v="ZDVP"/>
    <n v="9929274"/>
    <n v="173"/>
    <s v="PEÇAS - Defeito de fabric./Alta Amperage"/>
    <s v="FUNCIONAL"/>
    <x v="1"/>
    <n v="60342"/>
    <x v="31"/>
    <s v="BA"/>
    <n v="648"/>
    <s v="Ultra"/>
    <n v="1350"/>
    <s v="W11299803"/>
    <s v="Mecanismos"/>
    <x v="2"/>
    <n v="1000"/>
    <n v="5004101"/>
    <s v="UNIDOCK'S ASSESSORIA E LOGISTICA DE"/>
    <n v="100.25"/>
    <d v="2025-05-16T00:00:00"/>
  </r>
  <r>
    <s v="Sem TR"/>
    <n v="64817431"/>
    <s v="ZRDI"/>
    <n v="10136690"/>
    <s v="D10"/>
    <s v="DEV D2C - Comprou modelo errado"/>
    <s v="COMERCIAL"/>
    <x v="1"/>
    <n v="58156829"/>
    <x v="1268"/>
    <s v="MG"/>
    <n v="475"/>
    <s v="Site Consul"/>
    <n v="1352"/>
    <s v="W11316365"/>
    <s v="Gaxetas"/>
    <x v="4"/>
    <n v="1000"/>
    <n v="5002359"/>
    <s v="EMPRESA BRASILEIRA DE CORREIOS E"/>
    <n v="100.12"/>
    <d v="2025-07-28T00:00:00"/>
  </r>
  <r>
    <n v="253952177"/>
    <n v="64727335"/>
    <s v="REB"/>
    <n v="9766055"/>
    <n v="173"/>
    <s v="PEÇAS - Defeito de fabric./Alta Amperage"/>
    <s v="FUNCIONAL"/>
    <x v="2"/>
    <n v="13757"/>
    <x v="14"/>
    <s v="SP"/>
    <n v="713"/>
    <s v="Key Account"/>
    <n v="1350"/>
    <s v="W10700346"/>
    <s v="Placas de Controle"/>
    <x v="1"/>
    <n v="1000"/>
    <n v="5004042"/>
    <s v="BRASIL WEB TRANSPORTES E LOGISTICA"/>
    <n v="100.08"/>
    <d v="2025-03-08T00:00:00"/>
  </r>
  <r>
    <s v="Sem TR"/>
    <n v="64791225"/>
    <s v="REB"/>
    <n v="10033662"/>
    <n v="411"/>
    <s v="DEV-Extravio de PEÇAS (Transportadora)"/>
    <s v="TRANSPORTADORA"/>
    <x v="0"/>
    <n v="5094"/>
    <x v="1269"/>
    <s v="RS"/>
    <n v="350"/>
    <s v="Ats On"/>
    <n v="1350"/>
    <s v="W10313529"/>
    <s v="Motores"/>
    <x v="1"/>
    <n v="4000"/>
    <n v="5003024"/>
    <s v="RODOBRAS TRANSPORTES RODOVIARIOS LT"/>
    <n v="100.07"/>
    <d v="2025-06-13T00:00:00"/>
  </r>
  <r>
    <n v="254042079"/>
    <n v="64795653"/>
    <s v="REB"/>
    <n v="9629627"/>
    <n v="176"/>
    <s v="PEÇAS - Defeito de fabric./Interrompido"/>
    <s v="FUNCIONAL"/>
    <x v="0"/>
    <n v="81988"/>
    <x v="38"/>
    <s v="MG"/>
    <n v="648"/>
    <s v="Ultra"/>
    <n v="1350"/>
    <s v="W11634491"/>
    <s v="Placas de Controle"/>
    <x v="1"/>
    <n v="1000"/>
    <n v="5004215"/>
    <s v="BRASIL WEB TRANSPORTES E LOGISTICA"/>
    <n v="100.02"/>
    <d v="2025-06-23T00:00:00"/>
  </r>
  <r>
    <n v="254031306"/>
    <n v="64800343"/>
    <s v="ZRDI"/>
    <n v="10071066"/>
    <s v="D25"/>
    <s v="DEV D2C - Prob na entrega (Não recebi)"/>
    <s v="TRANSPORTADORA"/>
    <x v="2"/>
    <n v="58026610"/>
    <x v="1270"/>
    <s v="SC"/>
    <n v="466"/>
    <s v="Sup ML Marketplace"/>
    <n v="1352"/>
    <s v="W10444917"/>
    <s v="Gavetas"/>
    <x v="9"/>
    <n v="1000"/>
    <n v="5002359"/>
    <s v="EMPRESA BRASILEIRA DE CORREIOS E"/>
    <n v="100.01"/>
    <d v="2025-07-15T00:00:00"/>
  </r>
  <r>
    <n v="254026371"/>
    <n v="64805837"/>
    <s v="ZRDI"/>
    <n v="10086857"/>
    <n v="208"/>
    <s v="DEV-Atraso entrega- LOGISTICA(Transp)"/>
    <s v="TRANSPORTADORA"/>
    <x v="2"/>
    <n v="4895047"/>
    <x v="1271"/>
    <s v="SC"/>
    <n v="474"/>
    <s v="Site Brastemp"/>
    <n v="1352"/>
    <s v="W10496304"/>
    <s v="Injetores"/>
    <x v="12"/>
    <n v="3000"/>
    <n v="5002359"/>
    <s v="EMPRESA BRASILEIRA DE CORREIOS E"/>
    <n v="99.96"/>
    <d v="2025-07-04T00:00:00"/>
  </r>
  <r>
    <s v="Sem TR"/>
    <n v="64800641"/>
    <s v="ZRDI"/>
    <n v="10095883"/>
    <s v="D10"/>
    <s v="DEV D2C - Comprou modelo errado"/>
    <s v="COMERCIAL"/>
    <x v="2"/>
    <n v="58095403"/>
    <x v="1272"/>
    <s v="SP"/>
    <n v="466"/>
    <s v="Sup ML Marketplace"/>
    <n v="1352"/>
    <n v="326030631"/>
    <s v="Prateleiras"/>
    <x v="9"/>
    <n v="1000"/>
    <n v="5002359"/>
    <s v="EMPRESA BRASILEIRA DE CORREIOS E"/>
    <n v="99.94"/>
    <d v="2025-07-01T00:00:00"/>
  </r>
  <r>
    <n v="254033617"/>
    <n v="64812213"/>
    <s v="ZRDI"/>
    <n v="10073337"/>
    <s v="D25"/>
    <s v="DEV D2C - Prob na entrega (Não recebi)"/>
    <s v="TRANSPORTADORA"/>
    <x v="2"/>
    <n v="51779221"/>
    <x v="1273"/>
    <s v="MG"/>
    <n v="466"/>
    <s v="Sup ML Marketplace"/>
    <n v="1352"/>
    <s v="W10754807"/>
    <s v="Agitadores"/>
    <x v="2"/>
    <n v="1000"/>
    <n v="5002359"/>
    <s v="EMPRESA BRASILEIRA DE CORREIOS E"/>
    <n v="99.94"/>
    <d v="2025-07-17T00:00:00"/>
  </r>
  <r>
    <s v="Sem TR"/>
    <n v="64800641"/>
    <s v="ZRDI"/>
    <n v="10095883"/>
    <s v="D10"/>
    <s v="DEV D2C - Comprou modelo errado"/>
    <s v="COMERCIAL"/>
    <x v="2"/>
    <n v="58095403"/>
    <x v="1272"/>
    <s v="SP"/>
    <n v="466"/>
    <s v="Sup ML Marketplace"/>
    <n v="1352"/>
    <n v="326030631"/>
    <s v="Prateleiras"/>
    <x v="9"/>
    <n v="1000"/>
    <n v="5002359"/>
    <s v="EMPRESA BRASILEIRA DE CORREIOS E"/>
    <n v="99.94"/>
    <d v="2025-07-01T00:00:00"/>
  </r>
  <r>
    <n v="253983864"/>
    <n v="64759524"/>
    <s v="REB"/>
    <n v="9860594"/>
    <n v="173"/>
    <s v="PEÇAS - Defeito de fabric./Alta Amperage"/>
    <s v="FUNCIONAL"/>
    <x v="2"/>
    <n v="13757"/>
    <x v="14"/>
    <s v="SP"/>
    <n v="713"/>
    <s v="Key Account"/>
    <n v="1350"/>
    <s v="W10700346"/>
    <s v="Placas de Controle"/>
    <x v="1"/>
    <n v="1000"/>
    <n v="5004042"/>
    <s v="BRASIL WEB TRANSPORTES E LOGISTICA"/>
    <n v="99.93"/>
    <d v="2025-04-28T00:00:00"/>
  </r>
  <r>
    <n v="254030461"/>
    <n v="64800453"/>
    <s v="REB"/>
    <n v="10074259"/>
    <n v="167"/>
    <s v="PEÇAS - Avaria - Quebrada/Depósito"/>
    <s v="LOGÍSTICA"/>
    <x v="1"/>
    <n v="16459"/>
    <x v="1274"/>
    <s v="MG"/>
    <n v="350"/>
    <s v="Ats On"/>
    <n v="1350"/>
    <n v="326040666"/>
    <s v="Gavetas"/>
    <x v="9"/>
    <n v="1000"/>
    <n v="5004215"/>
    <s v="BRASIL WEB TRANSPORTES E LOGISTICA"/>
    <n v="99.89"/>
    <d v="2025-07-01T00:00:00"/>
  </r>
  <r>
    <n v="254030461"/>
    <n v="64802434"/>
    <s v="REB"/>
    <n v="10079984"/>
    <n v="104"/>
    <s v="PEÇAS-Código trocado(embalag X conteúdo)"/>
    <s v="LOGÍSTICA"/>
    <x v="1"/>
    <n v="16459"/>
    <x v="1274"/>
    <s v="MG"/>
    <n v="350"/>
    <s v="Ats On"/>
    <n v="1350"/>
    <s v="W10581058"/>
    <s v="Gavetas"/>
    <x v="9"/>
    <n v="1000"/>
    <n v="5004215"/>
    <s v="BRASIL WEB TRANSPORTES E LOGISTICA"/>
    <n v="99.89"/>
    <d v="2025-07-01T00:00:00"/>
  </r>
  <r>
    <n v="253870903"/>
    <n v="64638177"/>
    <s v="REB"/>
    <n v="9544703"/>
    <n v="173"/>
    <s v="PEÇAS - Defeito de fabric./Alta Amperage"/>
    <s v="FUNCIONAL"/>
    <x v="1"/>
    <n v="30345"/>
    <x v="330"/>
    <s v="SP"/>
    <n v="644"/>
    <s v="Plus"/>
    <n v="1350"/>
    <s v="W11299803"/>
    <s v="Mecanismos"/>
    <x v="2"/>
    <n v="1000"/>
    <n v="5004042"/>
    <s v="BRASIL WEB TRANSPORTES E LOGISTICA"/>
    <n v="99.86"/>
    <d v="2024-11-04T00:00:00"/>
  </r>
  <r>
    <n v="253948580"/>
    <n v="64727011"/>
    <s v="REB"/>
    <n v="9355328"/>
    <n v="173"/>
    <s v="PEÇAS - Defeito de fabric./Alta Amperage"/>
    <s v="FUNCIONAL"/>
    <x v="1"/>
    <n v="80573"/>
    <x v="186"/>
    <s v="MA"/>
    <n v="643"/>
    <s v="Elite"/>
    <n v="1350"/>
    <s v="W11634491"/>
    <s v="Placas de Controle"/>
    <x v="1"/>
    <n v="1000"/>
    <n v="5004101"/>
    <s v="UNIDOCK'S ASSESSORIA E LOGISTICA DE"/>
    <n v="99.86"/>
    <d v="2025-03-07T00:00:00"/>
  </r>
  <r>
    <n v="254024650"/>
    <n v="64804752"/>
    <s v="ZRDI"/>
    <n v="10094218"/>
    <n v="208"/>
    <s v="DEV-Atraso entrega- LOGISTICA(Transp)"/>
    <s v="TRANSPORTADORA"/>
    <x v="2"/>
    <n v="57899417"/>
    <x v="1275"/>
    <s v="AL"/>
    <n v="474"/>
    <s v="Site Brastemp"/>
    <n v="1352"/>
    <s v="W11109516"/>
    <s v="Prateleiras"/>
    <x v="9"/>
    <n v="1000"/>
    <n v="5002359"/>
    <s v="EMPRESA BRASILEIRA DE CORREIOS E"/>
    <n v="99.85"/>
    <d v="2025-07-02T00:00:00"/>
  </r>
  <r>
    <n v="253952113"/>
    <n v="64729539"/>
    <s v="REB"/>
    <n v="9813050"/>
    <n v="173"/>
    <s v="PEÇAS - Defeito de fabric./Alta Amperage"/>
    <s v="FUNCIONAL"/>
    <x v="1"/>
    <n v="113"/>
    <x v="396"/>
    <s v="AL"/>
    <n v="350"/>
    <s v="Ats On"/>
    <n v="1350"/>
    <s v="W11634491"/>
    <s v="Placas de Controle"/>
    <x v="1"/>
    <n v="1000"/>
    <n v="5004101"/>
    <s v="UNIDOCK'S ASSESSORIA E LOGISTICA DE"/>
    <n v="99.82"/>
    <d v="2025-03-11T00:00:00"/>
  </r>
  <r>
    <s v="Sem TR"/>
    <n v="64795702"/>
    <s v="ZRDI"/>
    <n v="10071474"/>
    <n v="25"/>
    <s v="OC. 80 - EXTRAVIO TOTAL"/>
    <s v="TRANSPORTADORA"/>
    <x v="2"/>
    <n v="57459928"/>
    <x v="1276"/>
    <s v="SP"/>
    <n v="475"/>
    <s v="Site Consul"/>
    <n v="1352"/>
    <s v="W11199342"/>
    <s v="Filtros"/>
    <x v="5"/>
    <n v="1000"/>
    <n v="5003972"/>
    <s v="ICARO EXPRESS LOGISTICA LTDA"/>
    <n v="99.8"/>
    <d v="2025-07-07T00:00:00"/>
  </r>
  <r>
    <s v="Sem TR"/>
    <n v="64804738"/>
    <s v="ZRDI"/>
    <n v="10092883"/>
    <n v="208"/>
    <s v="DEV-Atraso entrega- LOGISTICA(Transp)"/>
    <s v="TRANSPORTADORA"/>
    <x v="2"/>
    <n v="56078803"/>
    <x v="1277"/>
    <s v="SP"/>
    <n v="475"/>
    <s v="Site Consul"/>
    <n v="1352"/>
    <s v="W11199342"/>
    <s v="Filtros"/>
    <x v="5"/>
    <n v="1000"/>
    <n v="5002359"/>
    <s v="EMPRESA BRASILEIRA DE CORREIOS E"/>
    <n v="99.8"/>
    <d v="2025-07-02T00:00:00"/>
  </r>
  <r>
    <n v="254024755"/>
    <n v="64804877"/>
    <s v="ZRDI"/>
    <n v="10076667"/>
    <s v="D23"/>
    <s v="DEV D2C - Falta de previsão de entrega"/>
    <s v="COMERCIAL"/>
    <x v="2"/>
    <n v="57006020"/>
    <x v="1278"/>
    <s v="SP"/>
    <n v="475"/>
    <s v="Site Consul"/>
    <n v="1352"/>
    <s v="W11199342"/>
    <s v="Filtros"/>
    <x v="5"/>
    <n v="1000"/>
    <n v="5003972"/>
    <s v="ICARO EXPRESS LOGISTICA LTDA"/>
    <n v="99.8"/>
    <d v="2025-07-03T00:00:00"/>
  </r>
  <r>
    <s v="Sem TR"/>
    <n v="64808410"/>
    <s v="ZRDI"/>
    <n v="10075118"/>
    <n v="25"/>
    <s v="OC. 80 - EXTRAVIO TOTAL"/>
    <s v="TRANSPORTADORA"/>
    <x v="2"/>
    <n v="57637862"/>
    <x v="1279"/>
    <s v="SP"/>
    <n v="475"/>
    <s v="Site Consul"/>
    <n v="1352"/>
    <s v="W11199342"/>
    <s v="Filtros"/>
    <x v="5"/>
    <n v="1000"/>
    <n v="5002359"/>
    <s v="EMPRESA BRASILEIRA DE CORREIOS E"/>
    <n v="99.8"/>
    <d v="2025-07-10T00:00:00"/>
  </r>
  <r>
    <s v="Sem TR"/>
    <n v="64795702"/>
    <s v="ZRDI"/>
    <n v="10071474"/>
    <n v="25"/>
    <s v="OC. 80 - EXTRAVIO TOTAL"/>
    <s v="TRANSPORTADORA"/>
    <x v="2"/>
    <n v="57459928"/>
    <x v="1276"/>
    <s v="SP"/>
    <n v="475"/>
    <s v="Site Consul"/>
    <n v="1352"/>
    <s v="W11199342"/>
    <s v="Filtros"/>
    <x v="5"/>
    <n v="1000"/>
    <n v="5003972"/>
    <s v="ICARO EXPRESS LOGISTICA LTDA"/>
    <n v="99.8"/>
    <d v="2025-07-07T00:00:00"/>
  </r>
  <r>
    <s v="Sem TR"/>
    <n v="64808410"/>
    <s v="ZRDI"/>
    <n v="10075118"/>
    <n v="25"/>
    <s v="OC. 80 - EXTRAVIO TOTAL"/>
    <s v="TRANSPORTADORA"/>
    <x v="2"/>
    <n v="57637862"/>
    <x v="1279"/>
    <s v="SP"/>
    <n v="475"/>
    <s v="Site Consul"/>
    <n v="1352"/>
    <s v="W11199342"/>
    <s v="Filtros"/>
    <x v="5"/>
    <n v="1000"/>
    <n v="5002359"/>
    <s v="EMPRESA BRASILEIRA DE CORREIOS E"/>
    <n v="99.8"/>
    <d v="2025-07-10T00:00:00"/>
  </r>
  <r>
    <s v="Sem TR"/>
    <n v="64807081"/>
    <s v="ZRDI"/>
    <n v="10103161"/>
    <s v="D10"/>
    <s v="DEV D2C - Comprou modelo errado"/>
    <s v="COMERCIAL"/>
    <x v="2"/>
    <n v="58113242"/>
    <x v="1280"/>
    <s v="SC"/>
    <n v="475"/>
    <s v="Site Consul"/>
    <n v="1352"/>
    <s v="W11550659"/>
    <s v="Motores Ventiladores"/>
    <x v="1"/>
    <n v="1000"/>
    <n v="5002359"/>
    <s v="EMPRESA BRASILEIRA DE CORREIOS E"/>
    <n v="99.79"/>
    <d v="2025-07-08T00:00:00"/>
  </r>
  <r>
    <s v="Sem TR"/>
    <n v="64807081"/>
    <s v="ZRDI"/>
    <n v="10103161"/>
    <s v="D10"/>
    <s v="DEV D2C - Comprou modelo errado"/>
    <s v="COMERCIAL"/>
    <x v="2"/>
    <n v="58113242"/>
    <x v="1280"/>
    <s v="SC"/>
    <n v="475"/>
    <s v="Site Consul"/>
    <n v="1352"/>
    <s v="W11550659"/>
    <s v="Motores Ventiladores"/>
    <x v="1"/>
    <n v="1000"/>
    <n v="5002359"/>
    <s v="EMPRESA BRASILEIRA DE CORREIOS E"/>
    <n v="99.79"/>
    <d v="2025-07-08T00:00:00"/>
  </r>
  <r>
    <n v="254012614"/>
    <n v="64778380"/>
    <s v="REB"/>
    <n v="10011101"/>
    <n v="176"/>
    <s v="PEÇAS - Defeito de fabric./Interrompido"/>
    <s v="FUNCIONAL"/>
    <x v="2"/>
    <n v="75812"/>
    <x v="102"/>
    <s v="SP"/>
    <n v="931"/>
    <s v="Ats Off"/>
    <n v="1350"/>
    <s v="W10396955"/>
    <s v="Motores Ventiladores"/>
    <x v="1"/>
    <n v="1000"/>
    <n v="5004042"/>
    <s v="BRASIL WEB TRANSPORTES E LOGISTICA"/>
    <n v="99.78"/>
    <d v="2025-06-10T00:00:00"/>
  </r>
  <r>
    <n v="253900876"/>
    <n v="64669246"/>
    <s v="ZDVP"/>
    <n v="9506551"/>
    <n v="671"/>
    <s v="DEV-ENVIADO PARA GESTÃO DE CONSEQUENCIA"/>
    <s v="TRANSPORTADORA"/>
    <x v="1"/>
    <n v="38442"/>
    <x v="943"/>
    <s v="RS"/>
    <n v="644"/>
    <s v="Plus"/>
    <n v="1350"/>
    <s v="W11300675"/>
    <s v="Mecanismos"/>
    <x v="2"/>
    <n v="1000"/>
    <n v="5003024"/>
    <s v="RODOBRAS TRANSPORTES RODOVIARIOS LT"/>
    <n v="99.76"/>
    <d v="2024-12-16T00:00:00"/>
  </r>
  <r>
    <s v="Sem TR"/>
    <n v="64811596"/>
    <s v="REB"/>
    <n v="10106365"/>
    <n v="167"/>
    <s v="PEÇAS - Avaria - Quebrada/Depósito"/>
    <s v="LOGÍSTICA"/>
    <x v="1"/>
    <n v="86964"/>
    <x v="345"/>
    <s v="PB"/>
    <n v="713"/>
    <s v="Key Account"/>
    <n v="1350"/>
    <s v="W11363944"/>
    <s v="Capas"/>
    <x v="6"/>
    <n v="4000"/>
    <n v="5004101"/>
    <s v="UNIDOCK'S ASSESSORIA E LOGISTICA DE"/>
    <n v="99.74"/>
    <d v="2025-07-22T00:00:00"/>
  </r>
  <r>
    <n v="254007594"/>
    <n v="64773968"/>
    <s v="REB"/>
    <n v="9885310"/>
    <n v="173"/>
    <s v="PEÇAS - Defeito de fabric./Alta Amperage"/>
    <s v="FUNCIONAL"/>
    <x v="1"/>
    <n v="56043"/>
    <x v="48"/>
    <s v="PR"/>
    <n v="963"/>
    <s v="Ats Distribuidoras"/>
    <n v="1350"/>
    <s v="W11300676"/>
    <s v="Mecanismos"/>
    <x v="2"/>
    <n v="1000"/>
    <n v="5003024"/>
    <s v="RODOBRAS TRANSPORTES RODOVIARIOS LT"/>
    <n v="99.74"/>
    <d v="2025-06-02T00:00:00"/>
  </r>
  <r>
    <n v="254035820"/>
    <n v="64814019"/>
    <s v="ZRDI"/>
    <n v="10057039"/>
    <n v="208"/>
    <s v="DEV-Atraso entrega- LOGISTICA(Transp)"/>
    <s v="TRANSPORTADORA"/>
    <x v="2"/>
    <n v="56529230"/>
    <x v="1281"/>
    <s v="AM"/>
    <n v="475"/>
    <s v="Site Consul"/>
    <n v="1352"/>
    <s v="W11199342"/>
    <s v="Filtros"/>
    <x v="5"/>
    <n v="1000"/>
    <n v="5002359"/>
    <s v="EMPRESA BRASILEIRA DE CORREIOS E"/>
    <n v="99.73"/>
    <d v="2025-07-21T00:00:00"/>
  </r>
  <r>
    <n v="254035820"/>
    <n v="64814019"/>
    <s v="ZRDI"/>
    <n v="10057039"/>
    <n v="208"/>
    <s v="DEV-Atraso entrega- LOGISTICA(Transp)"/>
    <s v="TRANSPORTADORA"/>
    <x v="2"/>
    <n v="56529230"/>
    <x v="1281"/>
    <s v="AM"/>
    <n v="475"/>
    <s v="Site Consul"/>
    <n v="1352"/>
    <s v="W11199342"/>
    <s v="Filtros"/>
    <x v="5"/>
    <n v="1000"/>
    <n v="5002359"/>
    <s v="EMPRESA BRASILEIRA DE CORREIOS E"/>
    <n v="99.73"/>
    <d v="2025-07-21T00:00:00"/>
  </r>
  <r>
    <n v="254033260"/>
    <n v="64807317"/>
    <s v="REB"/>
    <n v="10080666"/>
    <n v="173"/>
    <s v="PEÇAS - Defeito de fabric./Alta Amperage"/>
    <s v="FUNCIONAL"/>
    <x v="1"/>
    <n v="4189"/>
    <x v="426"/>
    <s v="CE"/>
    <n v="931"/>
    <s v="Ats Off"/>
    <n v="1350"/>
    <s v="W11132065"/>
    <s v="Painéis de Controle"/>
    <x v="6"/>
    <n v="1000"/>
    <n v="5004101"/>
    <s v="UNIDOCK'S ASSESSORIA E LOGISTICA DE"/>
    <n v="99.72"/>
    <d v="2025-07-08T00:00:00"/>
  </r>
  <r>
    <n v="254024116"/>
    <n v="64803663"/>
    <s v="ZRDI"/>
    <n v="10044704"/>
    <n v="208"/>
    <s v="DEV-Atraso entrega- LOGISTICA(Transp)"/>
    <s v="TRANSPORTADORA"/>
    <x v="2"/>
    <n v="57977259"/>
    <x v="1282"/>
    <s v="GO"/>
    <n v="474"/>
    <s v="Site Brastemp"/>
    <n v="1352"/>
    <s v="W10610100"/>
    <s v="Gavetas"/>
    <x v="9"/>
    <n v="1000"/>
    <n v="5002359"/>
    <s v="EMPRESA BRASILEIRA DE CORREIOS E"/>
    <n v="99.65"/>
    <d v="2025-07-01T00:00:00"/>
  </r>
  <r>
    <n v="254007619"/>
    <n v="64777777"/>
    <s v="REB"/>
    <n v="9689821"/>
    <n v="176"/>
    <s v="PEÇAS - Defeito de fabric./Interrompido"/>
    <s v="FUNCIONAL"/>
    <x v="2"/>
    <n v="81988"/>
    <x v="38"/>
    <s v="MG"/>
    <n v="648"/>
    <s v="Ultra"/>
    <n v="1350"/>
    <s v="W11634491"/>
    <s v="Placas de Controle"/>
    <x v="1"/>
    <n v="1000"/>
    <n v="5004215"/>
    <s v="BRASIL WEB TRANSPORTES E LOGISTICA"/>
    <n v="99.62"/>
    <d v="2025-06-02T00:00:00"/>
  </r>
  <r>
    <n v="254030539"/>
    <n v="64802449"/>
    <s v="REB"/>
    <n v="9689821"/>
    <n v="176"/>
    <s v="PEÇAS - Defeito de fabric./Interrompido"/>
    <s v="FUNCIONAL"/>
    <x v="1"/>
    <n v="81988"/>
    <x v="38"/>
    <s v="MG"/>
    <n v="648"/>
    <s v="Ultra"/>
    <n v="1350"/>
    <s v="W11634491"/>
    <s v="Placas de Controle"/>
    <x v="1"/>
    <n v="1000"/>
    <n v="5004215"/>
    <s v="BRASIL WEB TRANSPORTES E LOGISTICA"/>
    <n v="99.62"/>
    <d v="2025-07-01T00:00:00"/>
  </r>
  <r>
    <n v="254042467"/>
    <n v="64796970"/>
    <s v="REB"/>
    <n v="9689821"/>
    <n v="176"/>
    <s v="PEÇAS - Defeito de fabric./Interrompido"/>
    <s v="FUNCIONAL"/>
    <x v="0"/>
    <n v="81988"/>
    <x v="38"/>
    <s v="MG"/>
    <n v="648"/>
    <s v="Ultra"/>
    <n v="1350"/>
    <s v="W11634491"/>
    <s v="Placas de Controle"/>
    <x v="1"/>
    <n v="1000"/>
    <n v="5004215"/>
    <s v="BRASIL WEB TRANSPORTES E LOGISTICA"/>
    <n v="99.62"/>
    <d v="2025-06-24T00:00:00"/>
  </r>
  <r>
    <s v="Sem TR"/>
    <n v="64809469"/>
    <s v="ZRDI"/>
    <n v="10103335"/>
    <n v="25"/>
    <s v="OC. 80 - EXTRAVIO TOTAL"/>
    <s v="TRANSPORTADORA"/>
    <x v="2"/>
    <n v="58111178"/>
    <x v="1283"/>
    <s v="CE"/>
    <n v="475"/>
    <s v="Site Consul"/>
    <n v="1352"/>
    <s v="W11172747"/>
    <s v="Controles Remotos"/>
    <x v="3"/>
    <n v="1000"/>
    <n v="5002359"/>
    <s v="EMPRESA BRASILEIRA DE CORREIOS E"/>
    <n v="99.56"/>
    <d v="2025-07-11T00:00:00"/>
  </r>
  <r>
    <s v="Sem TR"/>
    <n v="64809469"/>
    <s v="ZRDI"/>
    <n v="10103335"/>
    <n v="25"/>
    <s v="OC. 80 - EXTRAVIO TOTAL"/>
    <s v="TRANSPORTADORA"/>
    <x v="2"/>
    <n v="58111178"/>
    <x v="1283"/>
    <s v="CE"/>
    <n v="475"/>
    <s v="Site Consul"/>
    <n v="1352"/>
    <s v="W11172747"/>
    <s v="Controles Remotos"/>
    <x v="3"/>
    <n v="1000"/>
    <n v="5002359"/>
    <s v="EMPRESA BRASILEIRA DE CORREIOS E"/>
    <n v="99.56"/>
    <d v="2025-07-11T00:00:00"/>
  </r>
  <r>
    <n v="254040388"/>
    <n v="64818292"/>
    <s v="ZRDI"/>
    <n v="10073481"/>
    <n v="208"/>
    <s v="DEV-Atraso entrega- LOGISTICA(Transp)"/>
    <s v="TRANSPORTADORA"/>
    <x v="2"/>
    <n v="58069358"/>
    <x v="1284"/>
    <s v="DF"/>
    <n v="474"/>
    <s v="Site Brastemp"/>
    <n v="1352"/>
    <n v="326031008"/>
    <s v="Prateleiras"/>
    <x v="9"/>
    <n v="2000"/>
    <n v="5002359"/>
    <s v="EMPRESA BRASILEIRA DE CORREIOS E"/>
    <n v="99.44"/>
    <d v="2025-07-26T00:00:00"/>
  </r>
  <r>
    <n v="254040388"/>
    <n v="64818292"/>
    <s v="ZRDI"/>
    <n v="10073481"/>
    <n v="208"/>
    <s v="DEV-Atraso entrega- LOGISTICA(Transp)"/>
    <s v="TRANSPORTADORA"/>
    <x v="2"/>
    <n v="58069358"/>
    <x v="1284"/>
    <s v="DF"/>
    <n v="474"/>
    <s v="Site Brastemp"/>
    <n v="1352"/>
    <n v="326031008"/>
    <s v="Prateleiras"/>
    <x v="9"/>
    <n v="2000"/>
    <n v="5002359"/>
    <s v="EMPRESA BRASILEIRA DE CORREIOS E"/>
    <n v="99.44"/>
    <d v="2025-07-26T00:00:00"/>
  </r>
  <r>
    <s v="Sem TR"/>
    <n v="64802152"/>
    <s v="ZRDI"/>
    <n v="10099774"/>
    <s v="D18"/>
    <s v="DEV D2C - Arrependimento não quero mais"/>
    <s v="COMERCIAL"/>
    <x v="2"/>
    <n v="58109141"/>
    <x v="512"/>
    <s v="SP"/>
    <n v="474"/>
    <s v="Site Brastemp"/>
    <n v="1352"/>
    <s v="W11100357"/>
    <s v="Tubos Queima"/>
    <x v="12"/>
    <n v="1000"/>
    <n v="5002359"/>
    <s v="EMPRESA BRASILEIRA DE CORREIOS E"/>
    <n v="99.39"/>
    <d v="2025-07-01T00:00:00"/>
  </r>
  <r>
    <s v="Sem TR"/>
    <n v="64802152"/>
    <s v="ZRDI"/>
    <n v="10099774"/>
    <s v="D18"/>
    <s v="DEV D2C - Arrependimento não quero mais"/>
    <s v="COMERCIAL"/>
    <x v="2"/>
    <n v="58109141"/>
    <x v="512"/>
    <s v="SP"/>
    <n v="474"/>
    <s v="Site Brastemp"/>
    <n v="1352"/>
    <s v="W11100357"/>
    <s v="Tubos Queima"/>
    <x v="12"/>
    <n v="1000"/>
    <n v="5002359"/>
    <s v="EMPRESA BRASILEIRA DE CORREIOS E"/>
    <n v="99.39"/>
    <d v="2025-07-01T00:00:00"/>
  </r>
  <r>
    <n v="253952552"/>
    <n v="64728966"/>
    <s v="REB"/>
    <n v="9891251"/>
    <n v="671"/>
    <s v="DEV-ENVIADO PARA GESTÃO DE CONSEQUENCIA"/>
    <s v="TRANSPORTADORA"/>
    <x v="1"/>
    <n v="85591"/>
    <x v="161"/>
    <s v="SC"/>
    <n v="643"/>
    <s v="Elite"/>
    <n v="1350"/>
    <s v="W10287534"/>
    <s v="Prateleiras"/>
    <x v="9"/>
    <n v="4000"/>
    <n v="5003024"/>
    <s v="RODOBRAS TRANSPORTES RODOVIARIOS LT"/>
    <n v="99.39"/>
    <d v="2025-03-10T00:00:00"/>
  </r>
  <r>
    <n v="254024137"/>
    <n v="64803769"/>
    <s v="ZRDI"/>
    <n v="10065808"/>
    <n v="208"/>
    <s v="DEV-Atraso entrega- LOGISTICA(Transp)"/>
    <s v="TRANSPORTADORA"/>
    <x v="2"/>
    <n v="56577817"/>
    <x v="1285"/>
    <s v="CE"/>
    <n v="475"/>
    <s v="Site Consul"/>
    <n v="1352"/>
    <s v="W11199342"/>
    <s v="Filtros"/>
    <x v="5"/>
    <n v="1000"/>
    <n v="5002359"/>
    <s v="EMPRESA BRASILEIRA DE CORREIOS E"/>
    <n v="99.33"/>
    <d v="2025-07-01T00:00:00"/>
  </r>
  <r>
    <n v="253941049"/>
    <n v="64718277"/>
    <s v="ROB"/>
    <n v="9840723"/>
    <n v="671"/>
    <s v="DEV-ENVIADO PARA GESTÃO DE CONSEQUENCIA"/>
    <s v="TRANSPORTADORA"/>
    <x v="1"/>
    <n v="19750"/>
    <x v="165"/>
    <s v="RR"/>
    <n v="648"/>
    <s v="Ultra"/>
    <n v="1350"/>
    <s v="W11136046"/>
    <s v="Cestos"/>
    <x v="9"/>
    <n v="3000"/>
    <n v="5002858"/>
    <s v="FAVORITA TRANSPORTES LTDA"/>
    <n v="99.3"/>
    <d v="2025-02-21T00:00:00"/>
  </r>
  <r>
    <n v="254024137"/>
    <n v="64803769"/>
    <s v="ZRDI"/>
    <n v="10065808"/>
    <n v="208"/>
    <s v="DEV-Atraso entrega- LOGISTICA(Transp)"/>
    <s v="TRANSPORTADORA"/>
    <x v="2"/>
    <n v="56577817"/>
    <x v="1285"/>
    <s v="CE"/>
    <n v="475"/>
    <s v="Site Consul"/>
    <n v="1352"/>
    <s v="W11199342"/>
    <s v="Filtros"/>
    <x v="5"/>
    <n v="1000"/>
    <n v="5002359"/>
    <s v="EMPRESA BRASILEIRA DE CORREIOS E"/>
    <n v="99.29"/>
    <d v="2025-07-01T00:00:00"/>
  </r>
  <r>
    <n v="254004020"/>
    <n v="64776211"/>
    <s v="REB"/>
    <n v="9657698"/>
    <n v="176"/>
    <s v="PEÇAS - Defeito de fabric./Interrompido"/>
    <s v="FUNCIONAL"/>
    <x v="1"/>
    <n v="61371"/>
    <x v="96"/>
    <s v="DF"/>
    <n v="933"/>
    <s v="Top"/>
    <n v="1350"/>
    <s v="W10829873"/>
    <s v="Outros"/>
    <x v="7"/>
    <n v="1000"/>
    <n v="5002858"/>
    <s v="FAVORITA TRANSPORTES LTDA"/>
    <n v="99.25"/>
    <d v="2025-05-26T00:00:00"/>
  </r>
  <r>
    <n v="253886227"/>
    <n v="64655535"/>
    <s v="REB"/>
    <n v="9677341"/>
    <n v="671"/>
    <s v="DEV-ENVIADO PARA GESTÃO DE CONSEQUENCIA"/>
    <s v="TRANSPORTADORA"/>
    <x v="1"/>
    <n v="5129"/>
    <x v="1185"/>
    <s v="RS"/>
    <n v="932"/>
    <s v="CDP Prata"/>
    <n v="1350"/>
    <s v="W11300676"/>
    <s v="Mecanismos"/>
    <x v="2"/>
    <n v="1000"/>
    <n v="5003024"/>
    <s v="RODOBRAS TRANSPORTES RODOVIARIOS LT"/>
    <n v="99.24"/>
    <d v="2024-11-29T00:00:00"/>
  </r>
  <r>
    <n v="253961256"/>
    <n v="64737176"/>
    <s v="REB"/>
    <n v="9877188"/>
    <n v="167"/>
    <s v="PEÇAS - Avaria - Quebrada/Depósito"/>
    <s v="LOGÍSTICA"/>
    <x v="1"/>
    <n v="14474"/>
    <x v="25"/>
    <s v="RN"/>
    <n v="648"/>
    <s v="Ultra"/>
    <n v="1350"/>
    <s v="W10287547"/>
    <s v="Gavetas"/>
    <x v="9"/>
    <n v="1000"/>
    <n v="5004101"/>
    <s v="UNIDOCK'S ASSESSORIA E LOGISTICA DE"/>
    <n v="99.18"/>
    <d v="2025-03-24T00:00:00"/>
  </r>
  <r>
    <n v="254040406"/>
    <n v="64818310"/>
    <s v="ZRDI"/>
    <n v="10112638"/>
    <n v="208"/>
    <s v="DEV-Atraso entrega- LOGISTICA(Transp)"/>
    <s v="TRANSPORTADORA"/>
    <x v="2"/>
    <n v="58124033"/>
    <x v="1286"/>
    <s v="GO"/>
    <n v="466"/>
    <s v="Sup ML Marketplace"/>
    <n v="1352"/>
    <s v="W10754807"/>
    <s v="Agitadores"/>
    <x v="2"/>
    <n v="1000"/>
    <n v="5002359"/>
    <s v="EMPRESA BRASILEIRA DE CORREIOS E"/>
    <n v="99.17"/>
    <d v="2025-07-26T00:00:00"/>
  </r>
  <r>
    <n v="254040406"/>
    <n v="64818310"/>
    <s v="ZRDI"/>
    <n v="10112638"/>
    <n v="208"/>
    <s v="DEV-Atraso entrega- LOGISTICA(Transp)"/>
    <s v="TRANSPORTADORA"/>
    <x v="2"/>
    <n v="58124033"/>
    <x v="1286"/>
    <s v="GO"/>
    <n v="466"/>
    <s v="Sup ML Marketplace"/>
    <n v="1352"/>
    <s v="W10754807"/>
    <s v="Agitadores"/>
    <x v="2"/>
    <n v="1000"/>
    <n v="5002359"/>
    <s v="EMPRESA BRASILEIRA DE CORREIOS E"/>
    <n v="99.17"/>
    <d v="2025-07-26T00:00:00"/>
  </r>
  <r>
    <n v="253988954"/>
    <n v="64764484"/>
    <s v="REB"/>
    <n v="9988824"/>
    <n v="173"/>
    <s v="PEÇAS - Defeito de fabric./Alta Amperage"/>
    <s v="FUNCIONAL"/>
    <x v="2"/>
    <n v="87707"/>
    <x v="143"/>
    <s v="BA"/>
    <n v="648"/>
    <s v="Ultra"/>
    <n v="1350"/>
    <s v="W11123830"/>
    <s v="Placas de Controle"/>
    <x v="1"/>
    <n v="1000"/>
    <n v="5004101"/>
    <s v="UNIDOCK'S ASSESSORIA E LOGISTICA DE"/>
    <n v="99.09"/>
    <d v="2025-05-05T00:00:00"/>
  </r>
  <r>
    <n v="253995247"/>
    <n v="64772344"/>
    <s v="REB"/>
    <n v="9988824"/>
    <n v="173"/>
    <s v="PEÇAS - Defeito de fabric./Alta Amperage"/>
    <s v="FUNCIONAL"/>
    <x v="2"/>
    <n v="87707"/>
    <x v="143"/>
    <s v="BA"/>
    <n v="648"/>
    <s v="Ultra"/>
    <n v="1350"/>
    <s v="W11123830"/>
    <s v="Placas de Controle"/>
    <x v="1"/>
    <n v="1000"/>
    <n v="5004101"/>
    <s v="UNIDOCK'S ASSESSORIA E LOGISTICA DE"/>
    <n v="99.09"/>
    <d v="2025-05-16T00:00:00"/>
  </r>
  <r>
    <n v="254032583"/>
    <n v="64811526"/>
    <s v="ZRDI"/>
    <n v="10113881"/>
    <n v="208"/>
    <s v="DEV-Atraso entrega- LOGISTICA(Transp)"/>
    <s v="TRANSPORTADORA"/>
    <x v="2"/>
    <n v="4045103"/>
    <x v="1287"/>
    <s v="SP"/>
    <n v="475"/>
    <s v="Site Consul"/>
    <n v="1352"/>
    <s v="W11601002"/>
    <s v="Filtros"/>
    <x v="5"/>
    <n v="1000"/>
    <n v="5002359"/>
    <s v="EMPRESA BRASILEIRA DE CORREIOS E"/>
    <n v="99.06"/>
    <d v="2025-07-16T00:00:00"/>
  </r>
  <r>
    <s v="Sem TR"/>
    <n v="64811528"/>
    <s v="ZRDI"/>
    <n v="10113931"/>
    <n v="208"/>
    <s v="DEV-Atraso entrega- LOGISTICA(Transp)"/>
    <s v="TRANSPORTADORA"/>
    <x v="2"/>
    <n v="51647207"/>
    <x v="1288"/>
    <s v="SP"/>
    <n v="475"/>
    <s v="Site Consul"/>
    <n v="1352"/>
    <s v="W11601002"/>
    <s v="Filtros"/>
    <x v="5"/>
    <n v="1000"/>
    <n v="5002359"/>
    <s v="EMPRESA BRASILEIRA DE CORREIOS E"/>
    <n v="99.06"/>
    <d v="2025-07-16T00:00:00"/>
  </r>
  <r>
    <n v="254032583"/>
    <n v="64811526"/>
    <s v="ZRDI"/>
    <n v="10113881"/>
    <n v="208"/>
    <s v="DEV-Atraso entrega- LOGISTICA(Transp)"/>
    <s v="TRANSPORTADORA"/>
    <x v="2"/>
    <n v="4045103"/>
    <x v="1287"/>
    <s v="SP"/>
    <n v="475"/>
    <s v="Site Consul"/>
    <n v="1352"/>
    <s v="W11601002"/>
    <s v="Filtros"/>
    <x v="5"/>
    <n v="1000"/>
    <n v="5002359"/>
    <s v="EMPRESA BRASILEIRA DE CORREIOS E"/>
    <n v="99.06"/>
    <d v="2025-07-16T00:00:00"/>
  </r>
  <r>
    <s v="Sem TR"/>
    <n v="64811528"/>
    <s v="ZRDI"/>
    <n v="10113931"/>
    <n v="208"/>
    <s v="DEV-Atraso entrega- LOGISTICA(Transp)"/>
    <s v="TRANSPORTADORA"/>
    <x v="2"/>
    <n v="51647207"/>
    <x v="1288"/>
    <s v="SP"/>
    <n v="475"/>
    <s v="Site Consul"/>
    <n v="1352"/>
    <s v="W11601002"/>
    <s v="Filtros"/>
    <x v="5"/>
    <n v="1000"/>
    <n v="5002359"/>
    <s v="EMPRESA BRASILEIRA DE CORREIOS E"/>
    <n v="99.06"/>
    <d v="2025-07-16T00:00:00"/>
  </r>
  <r>
    <n v="254003963"/>
    <n v="64778185"/>
    <s v="REB"/>
    <n v="9863866"/>
    <n v="177"/>
    <s v="PEÇAS - Defeito de fabric./Ruído"/>
    <s v="FUNCIONAL"/>
    <x v="2"/>
    <n v="31862"/>
    <x v="342"/>
    <s v="SC"/>
    <n v="933"/>
    <s v="Top"/>
    <n v="1350"/>
    <s v="W11160655"/>
    <s v="Placas de Interface"/>
    <x v="1"/>
    <n v="1000"/>
    <n v="5003024"/>
    <s v="RODOBRAS TRANSPORTES RODOVIARIOS LT"/>
    <n v="99.02"/>
    <d v="2025-05-26T00:00:00"/>
  </r>
  <r>
    <n v="254033438"/>
    <n v="64800611"/>
    <s v="REB"/>
    <n v="10040014"/>
    <n v="173"/>
    <s v="PEÇAS - Defeito de fabric./Alta Amperage"/>
    <s v="FUNCIONAL"/>
    <x v="1"/>
    <n v="68962"/>
    <x v="308"/>
    <s v="RJ"/>
    <n v="644"/>
    <s v="Plus"/>
    <n v="1350"/>
    <s v="W11240384"/>
    <s v="Placas de Controle"/>
    <x v="1"/>
    <n v="1000"/>
    <n v="5003176"/>
    <s v="J C THEDIN TRANSPORTES LTDA"/>
    <n v="98.96"/>
    <d v="2025-07-01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289734"/>
    <s v="Pés"/>
    <x v="6"/>
    <n v="10000"/>
    <n v="5004101"/>
    <s v="UNIDOCK'S ASSESSORIA E LOGISTICA DE"/>
    <n v="98.9"/>
    <d v="2025-02-25T00:00:00"/>
  </r>
  <r>
    <n v="254033417"/>
    <n v="64802478"/>
    <s v="REB"/>
    <n v="10050400"/>
    <n v="173"/>
    <s v="PEÇAS - Defeito de fabric./Alta Amperage"/>
    <s v="FUNCIONAL"/>
    <x v="0"/>
    <n v="51613"/>
    <x v="34"/>
    <s v="MG"/>
    <n v="643"/>
    <s v="Elite"/>
    <n v="1350"/>
    <s v="W11299803"/>
    <s v="Mecanismos"/>
    <x v="2"/>
    <n v="1000"/>
    <n v="5004215"/>
    <s v="BRASIL WEB TRANSPORTES E LOGISTICA"/>
    <n v="98.89"/>
    <d v="2025-07-01T00:00:00"/>
  </r>
  <r>
    <n v="254033358"/>
    <n v="64807354"/>
    <s v="REB"/>
    <n v="10047933"/>
    <n v="173"/>
    <s v="PEÇAS - Defeito de fabric./Alta Amperage"/>
    <s v="FUNCIONAL"/>
    <x v="0"/>
    <n v="28991"/>
    <x v="65"/>
    <s v="MG"/>
    <n v="643"/>
    <s v="Elite"/>
    <n v="1350"/>
    <s v="W11299803"/>
    <s v="Mecanismos"/>
    <x v="2"/>
    <n v="1000"/>
    <n v="5004215"/>
    <s v="BRASIL WEB TRANSPORTES E LOGISTICA"/>
    <n v="98.89"/>
    <d v="2025-07-08T00:00:00"/>
  </r>
  <r>
    <s v="Sem TR"/>
    <n v="64806371"/>
    <s v="REB"/>
    <n v="10106365"/>
    <n v="104"/>
    <s v="PEÇAS-Código trocado(embalag X conteúdo)"/>
    <s v="LOGÍSTICA"/>
    <x v="1"/>
    <n v="86964"/>
    <x v="345"/>
    <s v="PB"/>
    <n v="713"/>
    <s v="Key Account"/>
    <n v="1350"/>
    <s v="W11300675"/>
    <s v="Mecanismos"/>
    <x v="2"/>
    <n v="1000"/>
    <n v="5004101"/>
    <s v="UNIDOCK'S ASSESSORIA E LOGISTICA DE"/>
    <n v="98.82"/>
    <d v="2025-07-22T00:00:00"/>
  </r>
  <r>
    <n v="254038372"/>
    <n v="64814782"/>
    <s v="REB"/>
    <n v="10133769"/>
    <n v="173"/>
    <s v="PEÇAS - Defeito de fabric./Alta Amperage"/>
    <s v="FUNCIONAL"/>
    <x v="1"/>
    <n v="40998"/>
    <x v="8"/>
    <s v="GO"/>
    <n v="648"/>
    <s v="Ultra"/>
    <n v="1350"/>
    <s v="W11300675"/>
    <s v="Mecanismos"/>
    <x v="2"/>
    <n v="1000"/>
    <n v="5002858"/>
    <s v="FAVORITA TRANSPORTES LTDA"/>
    <n v="98.81"/>
    <d v="2025-07-22T00:00:00"/>
  </r>
  <r>
    <s v="Sem TR"/>
    <n v="64811541"/>
    <s v="ZRDI"/>
    <n v="10132828"/>
    <n v="208"/>
    <s v="DEV-Atraso entrega- LOGISTICA(Transp)"/>
    <s v="TRANSPORTADORA"/>
    <x v="2"/>
    <n v="2800000085"/>
    <x v="1289"/>
    <s v="SP"/>
    <n v="475"/>
    <s v="Site Consul"/>
    <n v="1352"/>
    <s v="W10301562"/>
    <s v="Filtros"/>
    <x v="5"/>
    <n v="1000"/>
    <n v="5002359"/>
    <s v="EMPRESA BRASILEIRA DE CORREIOS E"/>
    <n v="98.8"/>
    <d v="2025-07-16T00:00:00"/>
  </r>
  <r>
    <s v="Sem TR"/>
    <n v="64812794"/>
    <s v="ZRDI"/>
    <n v="10132325"/>
    <s v="D10"/>
    <s v="DEV D2C - Comprou modelo errado"/>
    <s v="COMERCIAL"/>
    <x v="2"/>
    <n v="51906134"/>
    <x v="1290"/>
    <s v="MG"/>
    <n v="475"/>
    <s v="Site Consul"/>
    <n v="1352"/>
    <s v="W10301562"/>
    <s v="Filtros"/>
    <x v="5"/>
    <n v="1000"/>
    <n v="5002359"/>
    <s v="EMPRESA BRASILEIRA DE CORREIOS E"/>
    <n v="98.8"/>
    <d v="2025-07-17T00:00:00"/>
  </r>
  <r>
    <s v="Sem TR"/>
    <n v="64813353"/>
    <s v="ZRDI"/>
    <n v="10132241"/>
    <s v="D10"/>
    <s v="DEV D2C - Comprou modelo errado"/>
    <s v="COMERCIAL"/>
    <x v="2"/>
    <n v="58152116"/>
    <x v="1291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s v="Sem TR"/>
    <n v="64814051"/>
    <s v="ZRDI"/>
    <n v="10142166"/>
    <n v="208"/>
    <s v="DEV-Atraso entrega- LOGISTICA(Transp)"/>
    <s v="TRANSPORTADORA"/>
    <x v="2"/>
    <n v="58165603"/>
    <x v="1292"/>
    <s v="SP"/>
    <n v="475"/>
    <s v="Site Consul"/>
    <n v="1352"/>
    <s v="W10301562"/>
    <s v="Filtros"/>
    <x v="5"/>
    <n v="1000"/>
    <n v="5002359"/>
    <s v="EMPRESA BRASILEIRA DE CORREIOS E"/>
    <n v="98.8"/>
    <d v="2025-07-21T00:00:00"/>
  </r>
  <r>
    <s v="Sem TR"/>
    <n v="64814202"/>
    <s v="ZRDI"/>
    <n v="10139736"/>
    <s v="D18"/>
    <s v="DEV D2C - Arrependimento não quero mais"/>
    <s v="COMERCIAL"/>
    <x v="2"/>
    <n v="58163302"/>
    <x v="1293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n v="254036530"/>
    <n v="64814362"/>
    <s v="ZRDI"/>
    <n v="10117789"/>
    <n v="208"/>
    <s v="DEV-Atraso entrega- LOGISTICA(Transp)"/>
    <s v="TRANSPORTADORA"/>
    <x v="2"/>
    <n v="58129540"/>
    <x v="1294"/>
    <s v="SP"/>
    <n v="475"/>
    <s v="Site Consul"/>
    <n v="1352"/>
    <s v="W11199342"/>
    <s v="Filtros"/>
    <x v="5"/>
    <n v="1000"/>
    <n v="5002359"/>
    <s v="EMPRESA BRASILEIRA DE CORREIOS E"/>
    <n v="98.8"/>
    <d v="2025-07-22T00:00:00"/>
  </r>
  <r>
    <n v="254036540"/>
    <n v="64814373"/>
    <s v="ZRDI"/>
    <n v="10119652"/>
    <n v="208"/>
    <s v="DEV-Atraso entrega- LOGISTICA(Transp)"/>
    <s v="TRANSPORTADORA"/>
    <x v="2"/>
    <n v="58131826"/>
    <x v="1295"/>
    <s v="SP"/>
    <n v="475"/>
    <s v="Site Consul"/>
    <n v="1352"/>
    <s v="W11199342"/>
    <s v="Filtros"/>
    <x v="5"/>
    <n v="1000"/>
    <n v="5002359"/>
    <s v="EMPRESA BRASILEIRA DE CORREIOS E"/>
    <n v="98.8"/>
    <d v="2025-07-22T00:00:00"/>
  </r>
  <r>
    <s v="Sem TR"/>
    <n v="64814765"/>
    <s v="ZRDI"/>
    <n v="10143952"/>
    <s v="D10"/>
    <s v="DEV D2C - Comprou modelo errado"/>
    <s v="COMERCIAL"/>
    <x v="2"/>
    <n v="54427776"/>
    <x v="1296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n v="254037102"/>
    <n v="64815016"/>
    <s v="ZRDI"/>
    <n v="10142010"/>
    <n v="208"/>
    <s v="DEV-Atraso entrega- LOGISTICA(Transp)"/>
    <s v="TRANSPORTADORA"/>
    <x v="2"/>
    <n v="55634345"/>
    <x v="1297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n v="254037104"/>
    <n v="64815018"/>
    <s v="ZRDI"/>
    <n v="10144585"/>
    <n v="208"/>
    <s v="DEV-Atraso entrega- LOGISTICA(Transp)"/>
    <s v="TRANSPORTADORA"/>
    <x v="2"/>
    <n v="51668766"/>
    <x v="1298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s v="Sem TR"/>
    <n v="64816426"/>
    <s v="ZRDI"/>
    <n v="10146575"/>
    <s v="D10"/>
    <s v="DEV D2C - Comprou modelo errado"/>
    <s v="COMERCIAL"/>
    <x v="2"/>
    <n v="58170142"/>
    <x v="1299"/>
    <s v="SP"/>
    <n v="475"/>
    <s v="Site Consul"/>
    <n v="1352"/>
    <s v="W10301562"/>
    <s v="Filtros"/>
    <x v="5"/>
    <n v="1000"/>
    <n v="5002359"/>
    <s v="EMPRESA BRASILEIRA DE CORREIOS E"/>
    <n v="98.8"/>
    <d v="2025-07-24T00:00:00"/>
  </r>
  <r>
    <n v="254040428"/>
    <n v="64818333"/>
    <s v="ZRDI"/>
    <n v="10149225"/>
    <n v="208"/>
    <s v="DEV-Atraso entrega- LOGISTICA(Transp)"/>
    <s v="TRANSPORTADORA"/>
    <x v="2"/>
    <n v="58175280"/>
    <x v="1300"/>
    <s v="SP"/>
    <n v="475"/>
    <s v="Site Consul"/>
    <n v="1352"/>
    <s v="W10301562"/>
    <s v="Filtros"/>
    <x v="5"/>
    <n v="1000"/>
    <n v="5002359"/>
    <s v="EMPRESA BRASILEIRA DE CORREIOS E"/>
    <n v="98.8"/>
    <d v="2025-07-26T00:00:00"/>
  </r>
  <r>
    <s v="Sem TR"/>
    <n v="64813353"/>
    <s v="ZRDI"/>
    <n v="10132241"/>
    <s v="D10"/>
    <s v="DEV D2C - Comprou modelo errado"/>
    <s v="COMERCIAL"/>
    <x v="2"/>
    <n v="58152116"/>
    <x v="1291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s v="Sem TR"/>
    <n v="64814051"/>
    <s v="ZRDI"/>
    <n v="10142166"/>
    <n v="208"/>
    <s v="DEV-Atraso entrega- LOGISTICA(Transp)"/>
    <s v="TRANSPORTADORA"/>
    <x v="2"/>
    <n v="58165603"/>
    <x v="1292"/>
    <s v="SP"/>
    <n v="475"/>
    <s v="Site Consul"/>
    <n v="1352"/>
    <s v="W10301562"/>
    <s v="Filtros"/>
    <x v="5"/>
    <n v="1000"/>
    <n v="5002359"/>
    <s v="EMPRESA BRASILEIRA DE CORREIOS E"/>
    <n v="98.8"/>
    <d v="2025-07-21T00:00:00"/>
  </r>
  <r>
    <s v="Sem TR"/>
    <n v="64814202"/>
    <s v="ZRDI"/>
    <n v="10139736"/>
    <s v="D18"/>
    <s v="DEV D2C - Arrependimento não quero mais"/>
    <s v="COMERCIAL"/>
    <x v="2"/>
    <n v="58163302"/>
    <x v="1293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s v="Sem TR"/>
    <n v="64814765"/>
    <s v="ZRDI"/>
    <n v="10143952"/>
    <s v="D10"/>
    <s v="DEV D2C - Comprou modelo errado"/>
    <s v="COMERCIAL"/>
    <x v="2"/>
    <n v="54427776"/>
    <x v="1296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n v="254037104"/>
    <n v="64815018"/>
    <s v="ZRDI"/>
    <n v="10144585"/>
    <n v="208"/>
    <s v="DEV-Atraso entrega- LOGISTICA(Transp)"/>
    <s v="TRANSPORTADORA"/>
    <x v="2"/>
    <n v="51668766"/>
    <x v="1298"/>
    <s v="SP"/>
    <n v="475"/>
    <s v="Site Consul"/>
    <n v="1352"/>
    <s v="W10301562"/>
    <s v="Filtros"/>
    <x v="5"/>
    <n v="1000"/>
    <n v="5002359"/>
    <s v="EMPRESA BRASILEIRA DE CORREIOS E"/>
    <n v="98.8"/>
    <d v="2025-07-22T00:00:00"/>
  </r>
  <r>
    <s v="Sem TR"/>
    <n v="64816426"/>
    <s v="ZRDI"/>
    <n v="10146575"/>
    <s v="D10"/>
    <s v="DEV D2C - Comprou modelo errado"/>
    <s v="COMERCIAL"/>
    <x v="2"/>
    <n v="58170142"/>
    <x v="1299"/>
    <s v="SP"/>
    <n v="475"/>
    <s v="Site Consul"/>
    <n v="1352"/>
    <s v="W10301562"/>
    <s v="Filtros"/>
    <x v="5"/>
    <n v="1000"/>
    <n v="5002359"/>
    <s v="EMPRESA BRASILEIRA DE CORREIOS E"/>
    <n v="98.8"/>
    <d v="2025-07-24T00:00:00"/>
  </r>
  <r>
    <n v="254040428"/>
    <n v="64818333"/>
    <s v="ZRDI"/>
    <n v="10149225"/>
    <n v="208"/>
    <s v="DEV-Atraso entrega- LOGISTICA(Transp)"/>
    <s v="TRANSPORTADORA"/>
    <x v="2"/>
    <n v="58175280"/>
    <x v="1300"/>
    <s v="SP"/>
    <n v="475"/>
    <s v="Site Consul"/>
    <n v="1352"/>
    <s v="W10301562"/>
    <s v="Filtros"/>
    <x v="5"/>
    <n v="1000"/>
    <n v="5002359"/>
    <s v="EMPRESA BRASILEIRA DE CORREIOS E"/>
    <n v="98.8"/>
    <d v="2025-07-26T00:00:00"/>
  </r>
  <r>
    <s v="Sem TR"/>
    <n v="64812800"/>
    <s v="ZRDI"/>
    <n v="10149230"/>
    <s v="D30"/>
    <s v="DEV D2C - Defeito funcional manufatura"/>
    <s v="MANUFATURA"/>
    <x v="1"/>
    <n v="50804722"/>
    <x v="1301"/>
    <s v="SP"/>
    <n v="475"/>
    <s v="Site Consul"/>
    <n v="1352"/>
    <s v="W10301562"/>
    <s v="Filtros"/>
    <x v="5"/>
    <n v="1000"/>
    <n v="5002359"/>
    <s v="EMPRESA BRASILEIRA DE CORREIOS E"/>
    <n v="98.8"/>
    <d v="2025-07-30T00:00:00"/>
  </r>
  <r>
    <n v="254037063"/>
    <n v="64814984"/>
    <s v="ZRDI"/>
    <n v="10116486"/>
    <n v="208"/>
    <s v="DEV-Atraso entrega- LOGISTICA(Transp)"/>
    <s v="TRANSPORTADORA"/>
    <x v="2"/>
    <n v="58127770"/>
    <x v="1302"/>
    <s v="MA"/>
    <n v="475"/>
    <s v="Site Consul"/>
    <n v="1352"/>
    <s v="W11199342"/>
    <s v="Filtros"/>
    <x v="5"/>
    <n v="1000"/>
    <n v="5002359"/>
    <s v="EMPRESA BRASILEIRA DE CORREIOS E"/>
    <n v="98.78"/>
    <d v="2025-07-22T00:00:00"/>
  </r>
  <r>
    <n v="254037063"/>
    <n v="64814984"/>
    <s v="ZRDI"/>
    <n v="10116486"/>
    <n v="208"/>
    <s v="DEV-Atraso entrega- LOGISTICA(Transp)"/>
    <s v="TRANSPORTADORA"/>
    <x v="2"/>
    <n v="58127770"/>
    <x v="1302"/>
    <s v="MA"/>
    <n v="475"/>
    <s v="Site Consul"/>
    <n v="1352"/>
    <s v="W11199342"/>
    <s v="Filtros"/>
    <x v="5"/>
    <n v="1000"/>
    <n v="5002359"/>
    <s v="EMPRESA BRASILEIRA DE CORREIOS E"/>
    <n v="98.78"/>
    <d v="2025-07-22T00:00:00"/>
  </r>
  <r>
    <n v="254012505"/>
    <n v="64789376"/>
    <s v="REB"/>
    <n v="10009026"/>
    <n v="173"/>
    <s v="PEÇAS - Defeito de fabric./Alta Amperage"/>
    <s v="FUNCIONAL"/>
    <x v="1"/>
    <n v="29164"/>
    <x v="32"/>
    <s v="BA"/>
    <n v="648"/>
    <s v="Ultra"/>
    <n v="1350"/>
    <s v="W11132066"/>
    <s v="Painéis de Controle"/>
    <x v="6"/>
    <n v="1000"/>
    <n v="5004101"/>
    <s v="UNIDOCK'S ASSESSORIA E LOGISTICA DE"/>
    <n v="98.76"/>
    <d v="2025-06-10T00:00:00"/>
  </r>
  <r>
    <n v="254037063"/>
    <n v="64814984"/>
    <s v="ZRDI"/>
    <n v="10116486"/>
    <n v="208"/>
    <s v="DEV-Atraso entrega- LOGISTICA(Transp)"/>
    <s v="TRANSPORTADORA"/>
    <x v="2"/>
    <n v="58127770"/>
    <x v="1302"/>
    <s v="MA"/>
    <n v="475"/>
    <s v="Site Consul"/>
    <n v="1352"/>
    <s v="W11199342"/>
    <s v="Filtros"/>
    <x v="5"/>
    <n v="1000"/>
    <n v="5002359"/>
    <s v="EMPRESA BRASILEIRA DE CORREIOS E"/>
    <n v="98.76"/>
    <d v="2025-07-22T00:00:00"/>
  </r>
  <r>
    <n v="254037063"/>
    <n v="64814984"/>
    <s v="ZRDI"/>
    <n v="10116486"/>
    <n v="208"/>
    <s v="DEV-Atraso entrega- LOGISTICA(Transp)"/>
    <s v="TRANSPORTADORA"/>
    <x v="2"/>
    <n v="58127770"/>
    <x v="1302"/>
    <s v="MA"/>
    <n v="475"/>
    <s v="Site Consul"/>
    <n v="1352"/>
    <s v="W11199342"/>
    <s v="Filtros"/>
    <x v="5"/>
    <n v="1000"/>
    <n v="5002359"/>
    <s v="EMPRESA BRASILEIRA DE CORREIOS E"/>
    <n v="98.76"/>
    <d v="2025-07-22T00:00:00"/>
  </r>
  <r>
    <n v="253944075"/>
    <n v="64714874"/>
    <s v="REB"/>
    <n v="9506993"/>
    <n v="173"/>
    <s v="PEÇAS - Defeito de fabric./Alta Amperage"/>
    <s v="FUNCIONAL"/>
    <x v="1"/>
    <n v="80573"/>
    <x v="186"/>
    <s v="MA"/>
    <n v="643"/>
    <s v="Elite"/>
    <n v="1350"/>
    <s v="W11300675"/>
    <s v="Mecanismos"/>
    <x v="2"/>
    <n v="1000"/>
    <n v="5004101"/>
    <s v="UNIDOCK'S ASSESSORIA E LOGISTICA DE"/>
    <n v="98.72"/>
    <d v="2025-02-17T00:00:00"/>
  </r>
  <r>
    <n v="253948580"/>
    <n v="64719373"/>
    <s v="REB"/>
    <n v="9506993"/>
    <n v="173"/>
    <s v="PEÇAS - Defeito de fabric./Alta Amperage"/>
    <s v="FUNCIONAL"/>
    <x v="1"/>
    <n v="80573"/>
    <x v="186"/>
    <s v="MA"/>
    <n v="643"/>
    <s v="Elite"/>
    <n v="1350"/>
    <s v="W11300675"/>
    <s v="Mecanismos"/>
    <x v="2"/>
    <n v="1000"/>
    <n v="5004101"/>
    <s v="UNIDOCK'S ASSESSORIA E LOGISTICA DE"/>
    <n v="98.72"/>
    <d v="2025-03-07T00:00:00"/>
  </r>
  <r>
    <n v="254020441"/>
    <n v="64798145"/>
    <s v="ZRDI"/>
    <n v="10050373"/>
    <n v="208"/>
    <s v="DEV-Atraso entrega- LOGISTICA(Transp)"/>
    <s v="TRANSPORTADORA"/>
    <x v="2"/>
    <n v="58044440"/>
    <x v="1303"/>
    <s v="CE"/>
    <n v="475"/>
    <s v="Site Consul"/>
    <n v="1352"/>
    <s v="W10301562"/>
    <s v="Filtros"/>
    <x v="5"/>
    <n v="1000"/>
    <n v="5002359"/>
    <s v="EMPRESA BRASILEIRA DE CORREIOS E"/>
    <n v="98.67"/>
    <d v="2025-06-25T00:00:00"/>
  </r>
  <r>
    <n v="254037056"/>
    <n v="64814972"/>
    <s v="ZRDI"/>
    <n v="10104050"/>
    <n v="208"/>
    <s v="DEV-Atraso entrega- LOGISTICA(Transp)"/>
    <s v="TRANSPORTADORA"/>
    <x v="2"/>
    <n v="56163245"/>
    <x v="1304"/>
    <s v="SC"/>
    <n v="475"/>
    <s v="Site Consul"/>
    <n v="1352"/>
    <s v="W11199342"/>
    <s v="Filtros"/>
    <x v="5"/>
    <n v="1000"/>
    <n v="5002359"/>
    <s v="EMPRESA BRASILEIRA DE CORREIOS E"/>
    <n v="98.67"/>
    <d v="2025-07-22T00:00:00"/>
  </r>
  <r>
    <n v="254037056"/>
    <n v="64814972"/>
    <s v="ZRDI"/>
    <n v="10104050"/>
    <n v="208"/>
    <s v="DEV-Atraso entrega- LOGISTICA(Transp)"/>
    <s v="TRANSPORTADORA"/>
    <x v="2"/>
    <n v="56163245"/>
    <x v="1304"/>
    <s v="SC"/>
    <n v="475"/>
    <s v="Site Consul"/>
    <n v="1352"/>
    <s v="W11199342"/>
    <s v="Filtros"/>
    <x v="5"/>
    <n v="1000"/>
    <n v="5002359"/>
    <s v="EMPRESA BRASILEIRA DE CORREIOS E"/>
    <n v="98.67"/>
    <d v="2025-07-22T00:00:00"/>
  </r>
  <r>
    <n v="254021259"/>
    <n v="64798914"/>
    <s v="ZRDI"/>
    <n v="10052261"/>
    <n v="208"/>
    <s v="DEV-Atraso entrega- LOGISTICA(Transp)"/>
    <s v="TRANSPORTADORA"/>
    <x v="2"/>
    <n v="55822940"/>
    <x v="1305"/>
    <s v="CE"/>
    <n v="475"/>
    <s v="Site Consul"/>
    <n v="1352"/>
    <s v="W11199342"/>
    <s v="Filtros"/>
    <x v="5"/>
    <n v="1000"/>
    <n v="5002359"/>
    <s v="EMPRESA BRASILEIRA DE CORREIOS E"/>
    <n v="98.64"/>
    <d v="2025-06-26T00:00:00"/>
  </r>
  <r>
    <n v="253998000"/>
    <n v="64773031"/>
    <s v="REB"/>
    <n v="10033424"/>
    <n v="167"/>
    <s v="PEÇAS - Avaria - Quebrada/Depósito"/>
    <s v="LOGÍSTICA"/>
    <x v="1"/>
    <n v="63300"/>
    <x v="17"/>
    <s v="MG"/>
    <n v="643"/>
    <s v="Elite"/>
    <n v="1350"/>
    <s v="W10169464"/>
    <s v="Defletores/Difusores"/>
    <x v="5"/>
    <n v="4000"/>
    <n v="5004215"/>
    <s v="BRASIL WEB TRANSPORTES E LOGISTICA"/>
    <n v="98.63"/>
    <d v="2025-05-20T00:00:00"/>
  </r>
  <r>
    <n v="253952259"/>
    <n v="64729157"/>
    <s v="REB"/>
    <n v="9816610"/>
    <n v="176"/>
    <s v="PEÇAS - Defeito de fabric./Interrompido"/>
    <s v="FUNCIONAL"/>
    <x v="1"/>
    <n v="30684"/>
    <x v="332"/>
    <s v="RS"/>
    <n v="641"/>
    <s v="CDP Diamante"/>
    <n v="1350"/>
    <s v="W11564674"/>
    <s v="Placas de Controle"/>
    <x v="1"/>
    <n v="1000"/>
    <n v="5003024"/>
    <s v="RODOBRAS TRANSPORTES RODOVIARIOS LT"/>
    <n v="98.57"/>
    <d v="2025-03-10T00:00:00"/>
  </r>
  <r>
    <n v="254037051"/>
    <n v="64814967"/>
    <s v="ZRDI"/>
    <n v="10091678"/>
    <n v="208"/>
    <s v="DEV-Atraso entrega- LOGISTICA(Transp)"/>
    <s v="TRANSPORTADORA"/>
    <x v="2"/>
    <n v="51551064"/>
    <x v="1306"/>
    <s v="MG"/>
    <n v="474"/>
    <s v="Site Brastemp"/>
    <n v="1352"/>
    <s v="W10920084"/>
    <s v="Prateleiras"/>
    <x v="9"/>
    <n v="1000"/>
    <n v="5002359"/>
    <s v="EMPRESA BRASILEIRA DE CORREIOS E"/>
    <n v="98.54"/>
    <d v="2025-07-22T00:00:00"/>
  </r>
  <r>
    <n v="254037051"/>
    <n v="64814967"/>
    <s v="ZRDI"/>
    <n v="10091678"/>
    <n v="208"/>
    <s v="DEV-Atraso entrega- LOGISTICA(Transp)"/>
    <s v="TRANSPORTADORA"/>
    <x v="2"/>
    <n v="51551064"/>
    <x v="1306"/>
    <s v="MG"/>
    <n v="474"/>
    <s v="Site Brastemp"/>
    <n v="1352"/>
    <s v="W10920084"/>
    <s v="Prateleiras"/>
    <x v="9"/>
    <n v="1000"/>
    <n v="5002359"/>
    <s v="EMPRESA BRASILEIRA DE CORREIOS E"/>
    <n v="98.54"/>
    <d v="2025-07-22T00:00:00"/>
  </r>
  <r>
    <n v="253988788"/>
    <n v="64764314"/>
    <s v="REB"/>
    <n v="9864338"/>
    <n v="176"/>
    <s v="PEÇAS - Defeito de fabric./Interrompido"/>
    <s v="FUNCIONAL"/>
    <x v="1"/>
    <n v="3506"/>
    <x v="46"/>
    <s v="SP"/>
    <n v="931"/>
    <s v="Ats Off"/>
    <n v="1350"/>
    <s v="W11525616"/>
    <s v="Outros"/>
    <x v="7"/>
    <n v="1000"/>
    <n v="5004042"/>
    <s v="BRASIL WEB TRANSPORTES E LOGISTICA"/>
    <n v="98.48"/>
    <d v="2025-05-05T00:00:00"/>
  </r>
  <r>
    <n v="254033395"/>
    <n v="64802694"/>
    <s v="REB"/>
    <n v="10055628"/>
    <n v="173"/>
    <s v="PEÇAS - Defeito de fabric./Alta Amperage"/>
    <s v="FUNCIONAL"/>
    <x v="1"/>
    <n v="37434"/>
    <x v="95"/>
    <s v="GO"/>
    <n v="931"/>
    <s v="Ats Off"/>
    <n v="1350"/>
    <s v="W11299803"/>
    <s v="Mecanismos"/>
    <x v="2"/>
    <n v="1000"/>
    <n v="5002858"/>
    <s v="FAVORITA TRANSPORTES LTDA"/>
    <n v="98.48"/>
    <d v="2025-07-01T00:00:00"/>
  </r>
  <r>
    <n v="254024660"/>
    <n v="64804763"/>
    <s v="ZRDI"/>
    <n v="10103415"/>
    <n v="208"/>
    <s v="DEV-Atraso entrega- LOGISTICA(Transp)"/>
    <s v="TRANSPORTADORA"/>
    <x v="2"/>
    <n v="58114169"/>
    <x v="1307"/>
    <s v="RJ"/>
    <n v="475"/>
    <s v="Site Consul"/>
    <n v="1352"/>
    <s v="W11199342"/>
    <s v="Filtros"/>
    <x v="5"/>
    <n v="1000"/>
    <n v="5002359"/>
    <s v="EMPRESA BRASILEIRA DE CORREIOS E"/>
    <n v="98.37"/>
    <d v="2025-07-02T00:00:00"/>
  </r>
  <r>
    <n v="254024660"/>
    <n v="64804763"/>
    <s v="ZRDI"/>
    <n v="10103415"/>
    <n v="208"/>
    <s v="DEV-Atraso entrega- LOGISTICA(Transp)"/>
    <s v="TRANSPORTADORA"/>
    <x v="2"/>
    <n v="58114169"/>
    <x v="1307"/>
    <s v="RJ"/>
    <n v="475"/>
    <s v="Site Consul"/>
    <n v="1352"/>
    <s v="W11199342"/>
    <s v="Filtros"/>
    <x v="5"/>
    <n v="1000"/>
    <n v="5002359"/>
    <s v="EMPRESA BRASILEIRA DE CORREIOS E"/>
    <n v="98.37"/>
    <d v="2025-07-02T00:00:00"/>
  </r>
  <r>
    <n v="254042081"/>
    <n v="64795827"/>
    <s v="REB"/>
    <n v="10078353"/>
    <n v="173"/>
    <s v="PEÇAS - Defeito de fabric./Alta Amperage"/>
    <s v="FUNCIONAL"/>
    <x v="0"/>
    <n v="4384"/>
    <x v="1058"/>
    <s v="SC"/>
    <n v="644"/>
    <s v="Plus"/>
    <n v="1350"/>
    <s v="W11160655"/>
    <s v="Placas de Interface"/>
    <x v="1"/>
    <n v="1000"/>
    <n v="5003024"/>
    <s v="RODOBRAS TRANSPORTES RODOVIARIOS LT"/>
    <n v="98.28"/>
    <d v="2025-06-23T00:00:00"/>
  </r>
  <r>
    <n v="254018212"/>
    <n v="64793184"/>
    <s v="REB"/>
    <n v="9826030"/>
    <n v="173"/>
    <s v="PEÇAS - Defeito de fabric./Alta Amperage"/>
    <s v="FUNCIONAL"/>
    <x v="2"/>
    <n v="9991"/>
    <x v="86"/>
    <s v="DF"/>
    <n v="648"/>
    <s v="Ultra"/>
    <n v="1350"/>
    <s v="W11240384"/>
    <s v="Placas de Controle"/>
    <x v="1"/>
    <n v="1000"/>
    <n v="5002858"/>
    <s v="FAVORITA TRANSPORTES LTDA"/>
    <n v="98.2"/>
    <d v="2025-06-17T00:00:00"/>
  </r>
  <r>
    <n v="253995174"/>
    <n v="64740900"/>
    <s v="REB"/>
    <n v="9915576"/>
    <n v="176"/>
    <s v="PEÇAS - Defeito de fabric./Interrompido"/>
    <s v="FUNCIONAL"/>
    <x v="1"/>
    <n v="49341"/>
    <x v="1308"/>
    <s v="MG"/>
    <n v="350"/>
    <s v="Ats On"/>
    <n v="1350"/>
    <s v="W11712466"/>
    <s v="Outros"/>
    <x v="7"/>
    <n v="1000"/>
    <n v="5004215"/>
    <s v="BRASIL WEB TRANSPORTES E LOGISTICA"/>
    <n v="98.2"/>
    <d v="2025-03-31T00:00:00"/>
  </r>
  <r>
    <s v="Sem TR"/>
    <n v="64807333"/>
    <s v="ZRDI"/>
    <n v="10109719"/>
    <s v="D18"/>
    <s v="DEV D2C - Arrependimento não quero mais"/>
    <s v="COMERCIAL"/>
    <x v="2"/>
    <n v="57318477"/>
    <x v="1309"/>
    <s v="DF"/>
    <n v="474"/>
    <s v="Site Brastemp"/>
    <n v="1352"/>
    <s v="W10364740"/>
    <s v="Placas de Interface"/>
    <x v="1"/>
    <n v="1000"/>
    <n v="5002359"/>
    <s v="EMPRESA BRASILEIRA DE CORREIOS E"/>
    <n v="98.16"/>
    <d v="2025-07-08T00:00:00"/>
  </r>
  <r>
    <s v="Sem TR"/>
    <n v="64807333"/>
    <s v="ZRDI"/>
    <n v="10109719"/>
    <s v="D18"/>
    <s v="DEV D2C - Arrependimento não quero mais"/>
    <s v="COMERCIAL"/>
    <x v="2"/>
    <n v="57318477"/>
    <x v="1309"/>
    <s v="DF"/>
    <n v="474"/>
    <s v="Site Brastemp"/>
    <n v="1352"/>
    <s v="W10364740"/>
    <s v="Placas de Interface"/>
    <x v="1"/>
    <n v="1000"/>
    <n v="5002359"/>
    <s v="EMPRESA BRASILEIRA DE CORREIOS E"/>
    <n v="98.16"/>
    <d v="2025-07-08T00:00:00"/>
  </r>
  <r>
    <n v="253965864"/>
    <n v="64742914"/>
    <s v="REB"/>
    <n v="9936175"/>
    <n v="167"/>
    <s v="PEÇAS - Avaria - Quebrada/Depósito"/>
    <s v="LOGÍSTICA"/>
    <x v="2"/>
    <n v="30847"/>
    <x v="87"/>
    <s v="SP"/>
    <n v="644"/>
    <s v="Plus"/>
    <n v="1350"/>
    <s v="W11664627"/>
    <s v="Outros"/>
    <x v="7"/>
    <n v="1000"/>
    <n v="5004042"/>
    <s v="BRASIL WEB TRANSPORTES E LOGISTICA"/>
    <n v="98.1"/>
    <d v="2025-03-31T00:00:00"/>
  </r>
  <r>
    <n v="254040393"/>
    <n v="64818297"/>
    <s v="ZRDI"/>
    <n v="10086626"/>
    <n v="208"/>
    <s v="DEV-Atraso entrega- LOGISTICA(Transp)"/>
    <s v="TRANSPORTADORA"/>
    <x v="2"/>
    <n v="54447704"/>
    <x v="1310"/>
    <s v="RJ"/>
    <n v="474"/>
    <s v="Site Brastemp"/>
    <n v="1352"/>
    <s v="W10397805"/>
    <s v="Prateleiras"/>
    <x v="9"/>
    <n v="1000"/>
    <n v="5002359"/>
    <s v="EMPRESA BRASILEIRA DE CORREIOS E"/>
    <n v="98.08"/>
    <d v="2025-07-26T00:00:00"/>
  </r>
  <r>
    <n v="254040393"/>
    <n v="64818297"/>
    <s v="ZRDI"/>
    <n v="10086626"/>
    <n v="208"/>
    <s v="DEV-Atraso entrega- LOGISTICA(Transp)"/>
    <s v="TRANSPORTADORA"/>
    <x v="2"/>
    <n v="54447704"/>
    <x v="1310"/>
    <s v="RJ"/>
    <n v="474"/>
    <s v="Site Brastemp"/>
    <n v="1352"/>
    <s v="W10397805"/>
    <s v="Prateleiras"/>
    <x v="9"/>
    <n v="1000"/>
    <n v="5002359"/>
    <s v="EMPRESA BRASILEIRA DE CORREIOS E"/>
    <n v="98.08"/>
    <d v="2025-07-26T00:00:00"/>
  </r>
  <r>
    <n v="254033478"/>
    <n v="64808291"/>
    <s v="ZDVP"/>
    <n v="10111072"/>
    <n v="173"/>
    <s v="PEÇAS - Defeito de fabric./Alta Amperage"/>
    <s v="FUNCIONAL"/>
    <x v="1"/>
    <n v="26939"/>
    <x v="126"/>
    <s v="PR"/>
    <n v="643"/>
    <s v="Elite"/>
    <n v="1350"/>
    <s v="W11299803"/>
    <s v="Mecanismos"/>
    <x v="2"/>
    <n v="1000"/>
    <n v="5003024"/>
    <s v="RODOBRAS TRANSPORTES RODOVIARIOS LT"/>
    <n v="97.95"/>
    <d v="2025-07-10T00:00:00"/>
  </r>
  <r>
    <n v="254042109"/>
    <n v="64796034"/>
    <s v="REB"/>
    <n v="9996750"/>
    <n v="173"/>
    <s v="PEÇAS - Defeito de fabric./Alta Amperage"/>
    <s v="FUNCIONAL"/>
    <x v="0"/>
    <n v="21330"/>
    <x v="80"/>
    <s v="PR"/>
    <n v="643"/>
    <s v="Elite"/>
    <n v="1350"/>
    <s v="W11299803"/>
    <s v="Mecanismos"/>
    <x v="2"/>
    <n v="1000"/>
    <n v="5003024"/>
    <s v="RODOBRAS TRANSPORTES RODOVIARIOS LT"/>
    <n v="97.95"/>
    <d v="2025-06-23T00:00:00"/>
  </r>
  <r>
    <s v="Sem TR"/>
    <n v="64796518"/>
    <s v="ZRDI"/>
    <n v="10070776"/>
    <s v="D18"/>
    <s v="DEV D2C - Arrependimento não quero mais"/>
    <s v="COMERCIAL"/>
    <x v="2"/>
    <n v="58067770"/>
    <x v="1311"/>
    <s v="MG"/>
    <n v="466"/>
    <s v="Sup ML Marketplace"/>
    <n v="1352"/>
    <s v="W10301562"/>
    <s v="Filtros"/>
    <x v="5"/>
    <n v="1000"/>
    <n v="5002359"/>
    <s v="EMPRESA BRASILEIRA DE CORREIOS E"/>
    <n v="97.9"/>
    <d v="2025-06-26T00:00:00"/>
  </r>
  <r>
    <s v="Sem TR"/>
    <n v="64796518"/>
    <s v="ZRDI"/>
    <n v="10070776"/>
    <s v="D18"/>
    <s v="DEV D2C - Arrependimento não quero mais"/>
    <s v="COMERCIAL"/>
    <x v="2"/>
    <n v="58067770"/>
    <x v="1311"/>
    <s v="MG"/>
    <n v="466"/>
    <s v="Sup ML Marketplace"/>
    <n v="1352"/>
    <s v="W10301562"/>
    <s v="Filtros"/>
    <x v="5"/>
    <n v="1000"/>
    <n v="5002359"/>
    <s v="EMPRESA BRASILEIRA DE CORREIOS E"/>
    <n v="97.9"/>
    <d v="2025-06-26T00:00:00"/>
  </r>
  <r>
    <s v="Sem TR"/>
    <n v="64796518"/>
    <s v="ZRDI"/>
    <n v="10070776"/>
    <s v="D18"/>
    <s v="DEV D2C - Arrependimento não quero mais"/>
    <s v="COMERCIAL"/>
    <x v="2"/>
    <n v="58067770"/>
    <x v="1311"/>
    <s v="MG"/>
    <n v="466"/>
    <s v="Sup ML Marketplace"/>
    <n v="1352"/>
    <s v="W10301562"/>
    <s v="Filtros"/>
    <x v="5"/>
    <n v="1000"/>
    <n v="5002359"/>
    <s v="EMPRESA BRASILEIRA DE CORREIOS E"/>
    <n v="97.88"/>
    <d v="2025-06-26T00:00:00"/>
  </r>
  <r>
    <s v="Sem TR"/>
    <n v="64796518"/>
    <s v="ZRDI"/>
    <n v="10070776"/>
    <s v="D18"/>
    <s v="DEV D2C - Arrependimento não quero mais"/>
    <s v="COMERCIAL"/>
    <x v="2"/>
    <n v="58067770"/>
    <x v="1311"/>
    <s v="MG"/>
    <n v="466"/>
    <s v="Sup ML Marketplace"/>
    <n v="1352"/>
    <s v="W10301562"/>
    <s v="Filtros"/>
    <x v="5"/>
    <n v="1000"/>
    <n v="5002359"/>
    <s v="EMPRESA BRASILEIRA DE CORREIOS E"/>
    <n v="97.88"/>
    <d v="2025-06-26T00:00:00"/>
  </r>
  <r>
    <n v="254033975"/>
    <n v="64812540"/>
    <s v="ZRDI"/>
    <n v="10110858"/>
    <n v="208"/>
    <s v="DEV-Atraso entrega- LOGISTICA(Transp)"/>
    <s v="TRANSPORTADORA"/>
    <x v="2"/>
    <n v="55864777"/>
    <x v="1312"/>
    <s v="AL"/>
    <n v="475"/>
    <s v="Site Consul"/>
    <n v="1352"/>
    <s v="W10301562"/>
    <s v="Filtros"/>
    <x v="5"/>
    <n v="1000"/>
    <n v="5002359"/>
    <s v="EMPRESA BRASILEIRA DE CORREIOS E"/>
    <n v="97.84"/>
    <d v="2025-07-17T00:00:00"/>
  </r>
  <r>
    <n v="254033975"/>
    <n v="64812540"/>
    <s v="ZRDI"/>
    <n v="10110858"/>
    <n v="208"/>
    <s v="DEV-Atraso entrega- LOGISTICA(Transp)"/>
    <s v="TRANSPORTADORA"/>
    <x v="2"/>
    <n v="55864777"/>
    <x v="1312"/>
    <s v="AL"/>
    <n v="475"/>
    <s v="Site Consul"/>
    <n v="1352"/>
    <s v="W10301562"/>
    <s v="Filtros"/>
    <x v="5"/>
    <n v="1000"/>
    <n v="5002359"/>
    <s v="EMPRESA BRASILEIRA DE CORREIOS E"/>
    <n v="97.84"/>
    <d v="2025-07-17T00:00:00"/>
  </r>
  <r>
    <n v="254033975"/>
    <n v="64812540"/>
    <s v="ZRDI"/>
    <n v="10110858"/>
    <n v="208"/>
    <s v="DEV-Atraso entrega- LOGISTICA(Transp)"/>
    <s v="TRANSPORTADORA"/>
    <x v="2"/>
    <n v="55864777"/>
    <x v="1312"/>
    <s v="AL"/>
    <n v="475"/>
    <s v="Site Consul"/>
    <n v="1352"/>
    <s v="W10301562"/>
    <s v="Filtros"/>
    <x v="5"/>
    <n v="1000"/>
    <n v="5002359"/>
    <s v="EMPRESA BRASILEIRA DE CORREIOS E"/>
    <n v="97.82"/>
    <d v="2025-07-17T00:00:00"/>
  </r>
  <r>
    <n v="254033975"/>
    <n v="64812540"/>
    <s v="ZRDI"/>
    <n v="10110858"/>
    <n v="208"/>
    <s v="DEV-Atraso entrega- LOGISTICA(Transp)"/>
    <s v="TRANSPORTADORA"/>
    <x v="2"/>
    <n v="55864777"/>
    <x v="1312"/>
    <s v="AL"/>
    <n v="475"/>
    <s v="Site Consul"/>
    <n v="1352"/>
    <s v="W10301562"/>
    <s v="Filtros"/>
    <x v="5"/>
    <n v="1000"/>
    <n v="5002359"/>
    <s v="EMPRESA BRASILEIRA DE CORREIOS E"/>
    <n v="97.82"/>
    <d v="2025-07-17T00:00:00"/>
  </r>
  <r>
    <n v="253926992"/>
    <n v="64700588"/>
    <s v="REB"/>
    <n v="9788731"/>
    <n v="90"/>
    <s v="CLIENTE-não solicitou"/>
    <s v="COMERCIAL"/>
    <x v="1"/>
    <n v="55007"/>
    <x v="1313"/>
    <s v="PB"/>
    <n v="713"/>
    <s v="Key Account"/>
    <n v="1350"/>
    <s v="W11300675"/>
    <s v="Mecanismos"/>
    <x v="2"/>
    <n v="1000"/>
    <n v="5004101"/>
    <s v="UNIDOCK'S ASSESSORIA E LOGISTICA DE"/>
    <n v="97.78"/>
    <d v="2025-01-27T00:00:00"/>
  </r>
  <r>
    <n v="254024676"/>
    <n v="64804769"/>
    <s v="ZRDI"/>
    <n v="10106143"/>
    <n v="208"/>
    <s v="DEV-Atraso entrega- LOGISTICA(Transp)"/>
    <s v="TRANSPORTADORA"/>
    <x v="2"/>
    <n v="57398954"/>
    <x v="1314"/>
    <s v="RS"/>
    <n v="475"/>
    <s v="Site Consul"/>
    <n v="1352"/>
    <s v="W11199342"/>
    <s v="Filtros"/>
    <x v="5"/>
    <n v="1000"/>
    <n v="5002359"/>
    <s v="EMPRESA BRASILEIRA DE CORREIOS E"/>
    <n v="97.77"/>
    <d v="2025-07-02T00:00:00"/>
  </r>
  <r>
    <n v="254027359"/>
    <n v="64806763"/>
    <s v="ZRDI"/>
    <n v="10106182"/>
    <n v="208"/>
    <s v="DEV-Atraso entrega- LOGISTICA(Transp)"/>
    <s v="TRANSPORTADORA"/>
    <x v="2"/>
    <n v="58116548"/>
    <x v="1315"/>
    <s v="RS"/>
    <n v="475"/>
    <s v="Site Consul"/>
    <n v="1352"/>
    <s v="W11199342"/>
    <s v="Filtros"/>
    <x v="5"/>
    <n v="1000"/>
    <n v="5002359"/>
    <s v="EMPRESA BRASILEIRA DE CORREIOS E"/>
    <n v="97.77"/>
    <d v="2025-07-07T00:00:00"/>
  </r>
  <r>
    <n v="254035936"/>
    <n v="64814041"/>
    <s v="ZRDI"/>
    <n v="10127602"/>
    <n v="208"/>
    <s v="DEV-Atraso entrega- LOGISTICA(Transp)"/>
    <s v="TRANSPORTADORA"/>
    <x v="2"/>
    <n v="58140508"/>
    <x v="1316"/>
    <s v="RS"/>
    <n v="475"/>
    <s v="Site Consul"/>
    <n v="1352"/>
    <s v="W11199342"/>
    <s v="Filtros"/>
    <x v="5"/>
    <n v="1000"/>
    <n v="5002359"/>
    <s v="EMPRESA BRASILEIRA DE CORREIOS E"/>
    <n v="97.77"/>
    <d v="2025-07-21T00:00:00"/>
  </r>
  <r>
    <n v="254040416"/>
    <n v="64818320"/>
    <s v="ZRDI"/>
    <n v="10134188"/>
    <n v="208"/>
    <s v="DEV-Atraso entrega- LOGISTICA(Transp)"/>
    <s v="TRANSPORTADORA"/>
    <x v="2"/>
    <n v="58152820"/>
    <x v="1317"/>
    <s v="RS"/>
    <n v="475"/>
    <s v="Site Consul"/>
    <n v="1352"/>
    <s v="W11199342"/>
    <s v="Filtros"/>
    <x v="5"/>
    <n v="1000"/>
    <n v="5002359"/>
    <s v="EMPRESA BRASILEIRA DE CORREIOS E"/>
    <n v="97.77"/>
    <d v="2025-07-26T00:00:00"/>
  </r>
  <r>
    <n v="254040420"/>
    <n v="64818324"/>
    <s v="ZRDI"/>
    <n v="10135540"/>
    <n v="208"/>
    <s v="DEV-Atraso entrega- LOGISTICA(Transp)"/>
    <s v="TRANSPORTADORA"/>
    <x v="2"/>
    <n v="58155456"/>
    <x v="1318"/>
    <s v="RS"/>
    <n v="475"/>
    <s v="Site Consul"/>
    <n v="1352"/>
    <s v="W11199342"/>
    <s v="Filtros"/>
    <x v="5"/>
    <n v="1000"/>
    <n v="5002359"/>
    <s v="EMPRESA BRASILEIRA DE CORREIOS E"/>
    <n v="97.77"/>
    <d v="2025-07-26T00:00:00"/>
  </r>
  <r>
    <n v="254035936"/>
    <n v="64814041"/>
    <s v="ZRDI"/>
    <n v="10127602"/>
    <n v="208"/>
    <s v="DEV-Atraso entrega- LOGISTICA(Transp)"/>
    <s v="TRANSPORTADORA"/>
    <x v="2"/>
    <n v="58140508"/>
    <x v="1316"/>
    <s v="RS"/>
    <n v="475"/>
    <s v="Site Consul"/>
    <n v="1352"/>
    <s v="W11199342"/>
    <s v="Filtros"/>
    <x v="5"/>
    <n v="1000"/>
    <n v="5002359"/>
    <s v="EMPRESA BRASILEIRA DE CORREIOS E"/>
    <n v="97.77"/>
    <d v="2025-07-21T00:00:00"/>
  </r>
  <r>
    <n v="254040416"/>
    <n v="64818320"/>
    <s v="ZRDI"/>
    <n v="10134188"/>
    <n v="208"/>
    <s v="DEV-Atraso entrega- LOGISTICA(Transp)"/>
    <s v="TRANSPORTADORA"/>
    <x v="2"/>
    <n v="58152820"/>
    <x v="1317"/>
    <s v="RS"/>
    <n v="475"/>
    <s v="Site Consul"/>
    <n v="1352"/>
    <s v="W11199342"/>
    <s v="Filtros"/>
    <x v="5"/>
    <n v="1000"/>
    <n v="5002359"/>
    <s v="EMPRESA BRASILEIRA DE CORREIOS E"/>
    <n v="97.77"/>
    <d v="2025-07-26T00:00:00"/>
  </r>
  <r>
    <n v="254040420"/>
    <n v="64818324"/>
    <s v="ZRDI"/>
    <n v="10135540"/>
    <n v="208"/>
    <s v="DEV-Atraso entrega- LOGISTICA(Transp)"/>
    <s v="TRANSPORTADORA"/>
    <x v="2"/>
    <n v="58155456"/>
    <x v="1318"/>
    <s v="RS"/>
    <n v="475"/>
    <s v="Site Consul"/>
    <n v="1352"/>
    <s v="W11199342"/>
    <s v="Filtros"/>
    <x v="5"/>
    <n v="1000"/>
    <n v="5002359"/>
    <s v="EMPRESA BRASILEIRA DE CORREIOS E"/>
    <n v="97.77"/>
    <d v="2025-07-26T00:00:00"/>
  </r>
  <r>
    <n v="254033101"/>
    <n v="64800502"/>
    <s v="REB"/>
    <n v="9877348"/>
    <n v="173"/>
    <s v="PEÇAS - Defeito de fabric./Alta Amperage"/>
    <s v="FUNCIONAL"/>
    <x v="1"/>
    <n v="113"/>
    <x v="396"/>
    <s v="AL"/>
    <n v="350"/>
    <s v="Ats On"/>
    <n v="1350"/>
    <s v="W11240384"/>
    <s v="Placas de Controle"/>
    <x v="1"/>
    <n v="1000"/>
    <n v="5004101"/>
    <s v="UNIDOCK'S ASSESSORIA E LOGISTICA DE"/>
    <n v="97.69"/>
    <d v="2025-07-01T00:00:00"/>
  </r>
  <r>
    <n v="254022264"/>
    <n v="64799874"/>
    <s v="ZRDI"/>
    <n v="10056826"/>
    <n v="208"/>
    <s v="DEV-Atraso entrega- LOGISTICA(Transp)"/>
    <s v="TRANSPORTADORA"/>
    <x v="2"/>
    <n v="58051219"/>
    <x v="1319"/>
    <s v="BA"/>
    <n v="474"/>
    <s v="Site Brastemp"/>
    <n v="1352"/>
    <s v="W11109180"/>
    <s v="Prateleiras"/>
    <x v="9"/>
    <n v="1000"/>
    <n v="5002359"/>
    <s v="EMPRESA BRASILEIRA DE CORREIOS E"/>
    <n v="97.55"/>
    <d v="2025-06-27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s v="W10470951"/>
    <s v="Correias"/>
    <x v="2"/>
    <n v="10000"/>
    <n v="5004101"/>
    <s v="UNIDOCK'S ASSESSORIA E LOGISTICA DE"/>
    <n v="97.55"/>
    <d v="2025-06-24T00:00:00"/>
  </r>
  <r>
    <n v="254007513"/>
    <n v="64779373"/>
    <s v="REB"/>
    <n v="9803377"/>
    <n v="176"/>
    <s v="PEÇAS - Defeito de fabric./Interrompido"/>
    <s v="FUNCIONAL"/>
    <x v="2"/>
    <n v="3506"/>
    <x v="46"/>
    <s v="SP"/>
    <n v="931"/>
    <s v="Ats Off"/>
    <n v="1350"/>
    <s v="W11396188"/>
    <s v="Placas de Interface"/>
    <x v="1"/>
    <n v="1000"/>
    <n v="5004042"/>
    <s v="BRASIL WEB TRANSPORTES E LOGISTICA"/>
    <n v="97.53"/>
    <d v="2025-06-02T00:00:00"/>
  </r>
  <r>
    <n v="254024123"/>
    <n v="64803695"/>
    <s v="ZRDI"/>
    <n v="10047768"/>
    <n v="208"/>
    <s v="DEV-Atraso entrega- LOGISTICA(Transp)"/>
    <s v="TRANSPORTADORA"/>
    <x v="2"/>
    <n v="58041415"/>
    <x v="1320"/>
    <s v="SE"/>
    <n v="474"/>
    <s v="Site Brastemp"/>
    <n v="1352"/>
    <s v="W11109166"/>
    <s v="Portas"/>
    <x v="6"/>
    <n v="1000"/>
    <n v="5002359"/>
    <s v="EMPRESA BRASILEIRA DE CORREIOS E"/>
    <n v="97.44"/>
    <d v="2025-07-01T00:00:00"/>
  </r>
  <r>
    <n v="254024123"/>
    <n v="64803695"/>
    <s v="ZRDI"/>
    <n v="10047768"/>
    <n v="208"/>
    <s v="DEV-Atraso entrega- LOGISTICA(Transp)"/>
    <s v="TRANSPORTADORA"/>
    <x v="2"/>
    <n v="58041415"/>
    <x v="1320"/>
    <s v="SE"/>
    <n v="474"/>
    <s v="Site Brastemp"/>
    <n v="1352"/>
    <s v="W11109166"/>
    <s v="Portas"/>
    <x v="6"/>
    <n v="1000"/>
    <n v="5002359"/>
    <s v="EMPRESA BRASILEIRA DE CORREIOS E"/>
    <n v="97.44"/>
    <d v="2025-07-01T00:00:00"/>
  </r>
  <r>
    <n v="254030460"/>
    <n v="64802459"/>
    <s v="REB"/>
    <n v="10006871"/>
    <n v="168"/>
    <s v="PEÇAS-Def.Fabric.Empenamento/Abaulamento"/>
    <s v="FUNCIONAL"/>
    <x v="1"/>
    <n v="13757"/>
    <x v="14"/>
    <s v="SP"/>
    <n v="713"/>
    <s v="Key Account"/>
    <n v="1350"/>
    <s v="W10882241"/>
    <s v="Agitadores"/>
    <x v="2"/>
    <n v="2000"/>
    <n v="5004042"/>
    <s v="BRASIL WEB TRANSPORTES E LOGISTICA"/>
    <n v="97.43"/>
    <d v="2025-07-01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302146"/>
    <s v="Placas de Controle"/>
    <x v="1"/>
    <n v="2000"/>
    <n v="5004101"/>
    <s v="UNIDOCK'S ASSESSORIA E LOGISTICA DE"/>
    <n v="97.43"/>
    <d v="2025-06-24T00:00:00"/>
  </r>
  <r>
    <n v="254037099"/>
    <n v="64815007"/>
    <s v="ZRDI"/>
    <n v="10130175"/>
    <n v="208"/>
    <s v="DEV-Atraso entrega- LOGISTICA(Transp)"/>
    <s v="TRANSPORTADORA"/>
    <x v="2"/>
    <n v="56716300"/>
    <x v="1321"/>
    <s v="SC"/>
    <n v="475"/>
    <s v="Site Consul"/>
    <n v="1352"/>
    <s v="W11199342"/>
    <s v="Filtros"/>
    <x v="5"/>
    <n v="1000"/>
    <n v="5002359"/>
    <s v="EMPRESA BRASILEIRA DE CORREIOS E"/>
    <n v="97.33"/>
    <d v="2025-07-22T00:00:00"/>
  </r>
  <r>
    <n v="254039189"/>
    <n v="64817071"/>
    <s v="ZRDI"/>
    <n v="10114184"/>
    <n v="208"/>
    <s v="DEV-Atraso entrega- LOGISTICA(Transp)"/>
    <s v="TRANSPORTADORA"/>
    <x v="2"/>
    <n v="56611797"/>
    <x v="1322"/>
    <s v="SC"/>
    <n v="475"/>
    <s v="Site Consul"/>
    <n v="1352"/>
    <s v="W11199342"/>
    <s v="Filtros"/>
    <x v="5"/>
    <n v="1000"/>
    <n v="5002359"/>
    <s v="EMPRESA BRASILEIRA DE CORREIOS E"/>
    <n v="97.33"/>
    <d v="2025-07-24T00:00:00"/>
  </r>
  <r>
    <n v="254037099"/>
    <n v="64815007"/>
    <s v="ZRDI"/>
    <n v="10130175"/>
    <n v="208"/>
    <s v="DEV-Atraso entrega- LOGISTICA(Transp)"/>
    <s v="TRANSPORTADORA"/>
    <x v="2"/>
    <n v="56716300"/>
    <x v="1321"/>
    <s v="SC"/>
    <n v="475"/>
    <s v="Site Consul"/>
    <n v="1352"/>
    <s v="W11199342"/>
    <s v="Filtros"/>
    <x v="5"/>
    <n v="1000"/>
    <n v="5002359"/>
    <s v="EMPRESA BRASILEIRA DE CORREIOS E"/>
    <n v="97.33"/>
    <d v="2025-07-22T00:00:00"/>
  </r>
  <r>
    <n v="254039189"/>
    <n v="64817071"/>
    <s v="ZRDI"/>
    <n v="10114184"/>
    <n v="208"/>
    <s v="DEV-Atraso entrega- LOGISTICA(Transp)"/>
    <s v="TRANSPORTADORA"/>
    <x v="2"/>
    <n v="56611797"/>
    <x v="1322"/>
    <s v="SC"/>
    <n v="475"/>
    <s v="Site Consul"/>
    <n v="1352"/>
    <s v="W11199342"/>
    <s v="Filtros"/>
    <x v="5"/>
    <n v="1000"/>
    <n v="5002359"/>
    <s v="EMPRESA BRASILEIRA DE CORREIOS E"/>
    <n v="97.33"/>
    <d v="2025-07-24T00:00:00"/>
  </r>
  <r>
    <n v="254024154"/>
    <n v="64803821"/>
    <s v="ZRDI"/>
    <n v="10098458"/>
    <n v="208"/>
    <s v="DEV-Atraso entrega- LOGISTICA(Transp)"/>
    <s v="TRANSPORTADORA"/>
    <x v="2"/>
    <n v="55280637"/>
    <x v="1323"/>
    <s v="DF"/>
    <n v="475"/>
    <s v="Site Consul"/>
    <n v="1352"/>
    <s v="W11199342"/>
    <s v="Filtros"/>
    <x v="5"/>
    <n v="1000"/>
    <n v="5002359"/>
    <s v="EMPRESA BRASILEIRA DE CORREIOS E"/>
    <n v="97.28"/>
    <d v="2025-07-01T00:00:00"/>
  </r>
  <r>
    <n v="254024154"/>
    <n v="64803821"/>
    <s v="ZRDI"/>
    <n v="10098458"/>
    <n v="208"/>
    <s v="DEV-Atraso entrega- LOGISTICA(Transp)"/>
    <s v="TRANSPORTADORA"/>
    <x v="2"/>
    <n v="55280637"/>
    <x v="1323"/>
    <s v="DF"/>
    <n v="475"/>
    <s v="Site Consul"/>
    <n v="1352"/>
    <s v="W11199342"/>
    <s v="Filtros"/>
    <x v="5"/>
    <n v="1000"/>
    <n v="5002359"/>
    <s v="EMPRESA BRASILEIRA DE CORREIOS E"/>
    <n v="97.28"/>
    <d v="2025-07-01T00:00:00"/>
  </r>
  <r>
    <n v="254033943"/>
    <n v="64812476"/>
    <s v="ZRDI"/>
    <n v="10093841"/>
    <n v="208"/>
    <s v="DEV-Atraso entrega- LOGISTICA(Transp)"/>
    <s v="TRANSPORTADORA"/>
    <x v="2"/>
    <n v="58098068"/>
    <x v="1324"/>
    <s v="PI"/>
    <n v="475"/>
    <s v="Site Consul"/>
    <n v="1352"/>
    <s v="W10301562"/>
    <s v="Filtros"/>
    <x v="5"/>
    <n v="1000"/>
    <n v="5002359"/>
    <s v="EMPRESA BRASILEIRA DE CORREIOS E"/>
    <n v="97.24"/>
    <d v="2025-07-17T00:00:00"/>
  </r>
  <r>
    <n v="254033943"/>
    <n v="64812476"/>
    <s v="ZRDI"/>
    <n v="10093841"/>
    <n v="208"/>
    <s v="DEV-Atraso entrega- LOGISTICA(Transp)"/>
    <s v="TRANSPORTADORA"/>
    <x v="2"/>
    <n v="58098068"/>
    <x v="1324"/>
    <s v="PI"/>
    <n v="475"/>
    <s v="Site Consul"/>
    <n v="1352"/>
    <s v="W10301562"/>
    <s v="Filtros"/>
    <x v="5"/>
    <n v="1000"/>
    <n v="5002359"/>
    <s v="EMPRESA BRASILEIRA DE CORREIOS E"/>
    <n v="97.23"/>
    <d v="2025-07-17T00:00:00"/>
  </r>
  <r>
    <n v="253927812"/>
    <n v="64703698"/>
    <s v="REB"/>
    <n v="9760094"/>
    <n v="671"/>
    <s v="DEV-ENVIADO PARA GESTÃO DE CONSEQUENCIA"/>
    <s v="TRANSPORTADORA"/>
    <x v="1"/>
    <n v="33309"/>
    <x v="1325"/>
    <s v="RS"/>
    <n v="350"/>
    <s v="Ats On"/>
    <n v="1350"/>
    <s v="W11185123"/>
    <s v="Tampas Móveis"/>
    <x v="6"/>
    <n v="1000"/>
    <n v="5003024"/>
    <s v="RODOBRAS TRANSPORTES RODOVIARIOS LT"/>
    <n v="97.17"/>
    <d v="2025-01-31T00:00:00"/>
  </r>
  <r>
    <n v="254003850"/>
    <n v="64778179"/>
    <s v="REB"/>
    <n v="10046173"/>
    <n v="177"/>
    <s v="PEÇAS - Defeito de fabric./Ruído"/>
    <s v="FUNCIONAL"/>
    <x v="1"/>
    <n v="3506"/>
    <x v="46"/>
    <s v="SP"/>
    <n v="931"/>
    <s v="Ats Off"/>
    <n v="1350"/>
    <s v="W11311794"/>
    <s v="Placas de Controle"/>
    <x v="1"/>
    <n v="1000"/>
    <n v="5004042"/>
    <s v="BRASIL WEB TRANSPORTES E LOGISTICA"/>
    <n v="97.11"/>
    <d v="2025-05-26T00:00:00"/>
  </r>
  <r>
    <s v="Sem TR"/>
    <n v="64802386"/>
    <s v="ZRDI"/>
    <n v="10106375"/>
    <s v="D32"/>
    <s v="DEV D2C - Embalagem avariada"/>
    <s v="QUALIDADE"/>
    <x v="2"/>
    <n v="5958989"/>
    <x v="1326"/>
    <s v="RJ"/>
    <n v="475"/>
    <s v="Site Consul"/>
    <n v="1352"/>
    <s v="W11199342"/>
    <s v="Filtros"/>
    <x v="5"/>
    <n v="1000"/>
    <n v="5002359"/>
    <s v="EMPRESA BRASILEIRA DE CORREIOS E"/>
    <n v="97.06"/>
    <d v="2025-07-02T00:00:00"/>
  </r>
  <r>
    <n v="254033985"/>
    <n v="64812555"/>
    <s v="ZRDI"/>
    <n v="10117416"/>
    <n v="208"/>
    <s v="DEV-Atraso entrega- LOGISTICA(Transp)"/>
    <s v="TRANSPORTADORA"/>
    <x v="2"/>
    <n v="58129448"/>
    <x v="1327"/>
    <s v="RJ"/>
    <n v="475"/>
    <s v="Site Consul"/>
    <n v="1352"/>
    <s v="W11199342"/>
    <s v="Filtros"/>
    <x v="5"/>
    <n v="1000"/>
    <n v="5002359"/>
    <s v="EMPRESA BRASILEIRA DE CORREIOS E"/>
    <n v="97.06"/>
    <d v="2025-07-17T00:00:00"/>
  </r>
  <r>
    <n v="254034006"/>
    <n v="64812616"/>
    <s v="ZRDI"/>
    <n v="10135618"/>
    <n v="208"/>
    <s v="DEV-Atraso entrega- LOGISTICA(Transp)"/>
    <s v="TRANSPORTADORA"/>
    <x v="2"/>
    <n v="58156806"/>
    <x v="1328"/>
    <s v="RJ"/>
    <n v="475"/>
    <s v="Site Consul"/>
    <n v="1352"/>
    <s v="W11199342"/>
    <s v="Filtros"/>
    <x v="5"/>
    <n v="1000"/>
    <n v="5002359"/>
    <s v="EMPRESA BRASILEIRA DE CORREIOS E"/>
    <n v="97.06"/>
    <d v="2025-07-17T00:00:00"/>
  </r>
  <r>
    <n v="254035009"/>
    <n v="64813408"/>
    <s v="ZRDI"/>
    <n v="10112899"/>
    <n v="208"/>
    <s v="DEV-Atraso entrega- LOGISTICA(Transp)"/>
    <s v="TRANSPORTADORA"/>
    <x v="2"/>
    <n v="58124081"/>
    <x v="1329"/>
    <s v="RJ"/>
    <n v="475"/>
    <s v="Site Consul"/>
    <n v="1352"/>
    <s v="W11199342"/>
    <s v="Filtros"/>
    <x v="5"/>
    <n v="1000"/>
    <n v="5002359"/>
    <s v="EMPRESA BRASILEIRA DE CORREIOS E"/>
    <n v="97.06"/>
    <d v="2025-07-18T00:00:00"/>
  </r>
  <r>
    <n v="254035910"/>
    <n v="64814030"/>
    <s v="ZRDI"/>
    <n v="10119320"/>
    <n v="208"/>
    <s v="DEV-Atraso entrega- LOGISTICA(Transp)"/>
    <s v="TRANSPORTADORA"/>
    <x v="2"/>
    <n v="52422348"/>
    <x v="1330"/>
    <s v="RJ"/>
    <n v="475"/>
    <s v="Site Consul"/>
    <n v="1352"/>
    <s v="W11199342"/>
    <s v="Filtros"/>
    <x v="5"/>
    <n v="1000"/>
    <n v="5002359"/>
    <s v="EMPRESA BRASILEIRA DE CORREIOS E"/>
    <n v="97.06"/>
    <d v="2025-07-21T00:00:00"/>
  </r>
  <r>
    <n v="254038161"/>
    <n v="64816131"/>
    <s v="ZRDI"/>
    <n v="10112454"/>
    <n v="208"/>
    <s v="DEV-Atraso entrega- LOGISTICA(Transp)"/>
    <s v="TRANSPORTADORA"/>
    <x v="2"/>
    <n v="51112867"/>
    <x v="1331"/>
    <s v="RJ"/>
    <n v="475"/>
    <s v="Site Consul"/>
    <n v="1352"/>
    <s v="W11199342"/>
    <s v="Filtros"/>
    <x v="5"/>
    <n v="1000"/>
    <n v="5002359"/>
    <s v="EMPRESA BRASILEIRA DE CORREIOS E"/>
    <n v="97.06"/>
    <d v="2025-07-23T00:00:00"/>
  </r>
  <r>
    <n v="254039198"/>
    <n v="64817080"/>
    <s v="ZRDI"/>
    <n v="10131899"/>
    <n v="208"/>
    <s v="DEV-Atraso entrega- LOGISTICA(Transp)"/>
    <s v="TRANSPORTADORA"/>
    <x v="2"/>
    <n v="54924755"/>
    <x v="1332"/>
    <s v="RJ"/>
    <n v="475"/>
    <s v="Site Consul"/>
    <n v="1352"/>
    <s v="W11199342"/>
    <s v="Filtros"/>
    <x v="5"/>
    <n v="1000"/>
    <n v="5002359"/>
    <s v="EMPRESA BRASILEIRA DE CORREIOS E"/>
    <n v="97.06"/>
    <d v="2025-07-24T00:00:00"/>
  </r>
  <r>
    <n v="254034006"/>
    <n v="64812616"/>
    <s v="ZRDI"/>
    <n v="10135618"/>
    <n v="208"/>
    <s v="DEV-Atraso entrega- LOGISTICA(Transp)"/>
    <s v="TRANSPORTADORA"/>
    <x v="2"/>
    <n v="58156806"/>
    <x v="1328"/>
    <s v="RJ"/>
    <n v="475"/>
    <s v="Site Consul"/>
    <n v="1352"/>
    <s v="W11199342"/>
    <s v="Filtros"/>
    <x v="5"/>
    <n v="1000"/>
    <n v="5002359"/>
    <s v="EMPRESA BRASILEIRA DE CORREIOS E"/>
    <n v="97.06"/>
    <d v="2025-07-17T00:00:00"/>
  </r>
  <r>
    <n v="254038161"/>
    <n v="64816131"/>
    <s v="ZRDI"/>
    <n v="10112454"/>
    <n v="208"/>
    <s v="DEV-Atraso entrega- LOGISTICA(Transp)"/>
    <s v="TRANSPORTADORA"/>
    <x v="2"/>
    <n v="51112867"/>
    <x v="1331"/>
    <s v="RJ"/>
    <n v="475"/>
    <s v="Site Consul"/>
    <n v="1352"/>
    <s v="W11199342"/>
    <s v="Filtros"/>
    <x v="5"/>
    <n v="1000"/>
    <n v="5002359"/>
    <s v="EMPRESA BRASILEIRA DE CORREIOS E"/>
    <n v="97.06"/>
    <d v="2025-07-23T00:00:00"/>
  </r>
  <r>
    <n v="254039198"/>
    <n v="64817080"/>
    <s v="ZRDI"/>
    <n v="10131899"/>
    <n v="208"/>
    <s v="DEV-Atraso entrega- LOGISTICA(Transp)"/>
    <s v="TRANSPORTADORA"/>
    <x v="2"/>
    <n v="54924755"/>
    <x v="1332"/>
    <s v="RJ"/>
    <n v="475"/>
    <s v="Site Consul"/>
    <n v="1352"/>
    <s v="W11199342"/>
    <s v="Filtros"/>
    <x v="5"/>
    <n v="1000"/>
    <n v="5002359"/>
    <s v="EMPRESA BRASILEIRA DE CORREIOS E"/>
    <n v="97.06"/>
    <d v="2025-07-24T00:00:00"/>
  </r>
  <r>
    <s v="Sem TR"/>
    <n v="64808116"/>
    <s v="ZRDI"/>
    <n v="10126011"/>
    <s v="D30"/>
    <s v="DEV D2C - Defeito funcional manufatura"/>
    <s v="MANUFATURA"/>
    <x v="2"/>
    <n v="53415722"/>
    <x v="1333"/>
    <s v="RJ"/>
    <n v="475"/>
    <s v="Site Consul"/>
    <n v="1352"/>
    <s v="W11199342"/>
    <s v="Filtros"/>
    <x v="5"/>
    <n v="1000"/>
    <n v="5002359"/>
    <s v="EMPRESA BRASILEIRA DE CORREIOS E"/>
    <n v="97.05"/>
    <d v="2025-07-12T00:00:00"/>
  </r>
  <r>
    <s v="Sem TR"/>
    <n v="64808116"/>
    <s v="ZRDI"/>
    <n v="10126011"/>
    <s v="D30"/>
    <s v="DEV D2C - Defeito funcional manufatura"/>
    <s v="MANUFATURA"/>
    <x v="2"/>
    <n v="53415722"/>
    <x v="1333"/>
    <s v="RJ"/>
    <n v="475"/>
    <s v="Site Consul"/>
    <n v="1352"/>
    <s v="W11199342"/>
    <s v="Filtros"/>
    <x v="5"/>
    <n v="1000"/>
    <n v="5002359"/>
    <s v="EMPRESA BRASILEIRA DE CORREIOS E"/>
    <n v="97.05"/>
    <d v="2025-07-12T00:00:00"/>
  </r>
  <r>
    <n v="254035384"/>
    <n v="64812610"/>
    <s v="REB"/>
    <n v="10039420"/>
    <n v="173"/>
    <s v="PEÇAS - Defeito de fabric./Alta Amperage"/>
    <s v="FUNCIONAL"/>
    <x v="1"/>
    <n v="47471"/>
    <x v="424"/>
    <s v="TO"/>
    <n v="643"/>
    <s v="Elite"/>
    <n v="1350"/>
    <s v="W11160655"/>
    <s v="Placas de Interface"/>
    <x v="1"/>
    <n v="1000"/>
    <n v="5002858"/>
    <s v="FAVORITA TRANSPORTES LTDA"/>
    <n v="97.04"/>
    <d v="2025-07-17T00:00:00"/>
  </r>
  <r>
    <s v="Sem TR"/>
    <n v="64799273"/>
    <s v="ZRDI"/>
    <n v="10065995"/>
    <s v="D18"/>
    <s v="DEV D2C - Arrependimento não quero mais"/>
    <s v="COMERCIAL"/>
    <x v="2"/>
    <n v="58062296"/>
    <x v="1334"/>
    <s v="MG"/>
    <n v="466"/>
    <s v="Sup ML Marketplace"/>
    <n v="1352"/>
    <s v="W11109166"/>
    <s v="Portas"/>
    <x v="6"/>
    <n v="1000"/>
    <n v="5002359"/>
    <s v="EMPRESA BRASILEIRA DE CORREIOS E"/>
    <n v="97"/>
    <d v="2025-06-27T00:00:00"/>
  </r>
  <r>
    <s v="Sem TR"/>
    <n v="64799273"/>
    <s v="ZRDI"/>
    <n v="10065995"/>
    <s v="D18"/>
    <s v="DEV D2C - Arrependimento não quero mais"/>
    <s v="COMERCIAL"/>
    <x v="2"/>
    <n v="58062296"/>
    <x v="1334"/>
    <s v="MG"/>
    <n v="466"/>
    <s v="Sup ML Marketplace"/>
    <n v="1352"/>
    <s v="W11109166"/>
    <s v="Portas"/>
    <x v="6"/>
    <n v="1000"/>
    <n v="5002359"/>
    <s v="EMPRESA BRASILEIRA DE CORREIOS E"/>
    <n v="97"/>
    <d v="2025-06-27T00:00:00"/>
  </r>
  <r>
    <n v="254033355"/>
    <n v="64807397"/>
    <s v="REB"/>
    <n v="9983539"/>
    <n v="176"/>
    <s v="PEÇAS - Defeito de fabric./Interrompido"/>
    <s v="FUNCIONAL"/>
    <x v="0"/>
    <n v="28563"/>
    <x v="271"/>
    <s v="RS"/>
    <n v="932"/>
    <s v="CDP Prata"/>
    <n v="1350"/>
    <s v="W11396188"/>
    <s v="Placas de Interface"/>
    <x v="1"/>
    <n v="1000"/>
    <n v="5003024"/>
    <s v="RODOBRAS TRANSPORTES RODOVIARIOS LT"/>
    <n v="96.99"/>
    <d v="2025-07-08T00:00:00"/>
  </r>
  <r>
    <n v="254035361"/>
    <n v="64809927"/>
    <s v="REB"/>
    <n v="10105540"/>
    <n v="167"/>
    <s v="PEÇAS - Avaria - Quebrada/Depósito"/>
    <s v="LOGÍSTICA"/>
    <x v="1"/>
    <n v="27337"/>
    <x v="145"/>
    <s v="RJ"/>
    <n v="641"/>
    <s v="CDP Diamante"/>
    <n v="1350"/>
    <s v="W10758992"/>
    <s v="Gavetas"/>
    <x v="9"/>
    <n v="1000"/>
    <n v="5003176"/>
    <s v="J C THEDIN TRANSPORTES LTDA"/>
    <n v="96.98"/>
    <d v="2025-07-17T00:00:00"/>
  </r>
  <r>
    <n v="253988783"/>
    <n v="64763021"/>
    <s v="REB"/>
    <n v="9971536"/>
    <n v="176"/>
    <s v="PEÇAS - Defeito de fabric./Interrompido"/>
    <s v="FUNCIONAL"/>
    <x v="2"/>
    <n v="3506"/>
    <x v="46"/>
    <s v="SP"/>
    <n v="931"/>
    <s v="Ats Off"/>
    <n v="1350"/>
    <n v="326072657"/>
    <s v="Peças Transmissão/Embreagens"/>
    <x v="2"/>
    <n v="1000"/>
    <n v="5004042"/>
    <s v="BRASIL WEB TRANSPORTES E LOGISTICA"/>
    <n v="96.93"/>
    <d v="2025-05-05T00:00:00"/>
  </r>
  <r>
    <n v="253992775"/>
    <n v="64767541"/>
    <s v="REB"/>
    <n v="9893149"/>
    <n v="173"/>
    <s v="PEÇAS - Defeito de fabric./Alta Amperage"/>
    <s v="FUNCIONAL"/>
    <x v="1"/>
    <n v="78757"/>
    <x v="50"/>
    <s v="RS"/>
    <n v="643"/>
    <s v="Elite"/>
    <n v="1350"/>
    <s v="W11123830"/>
    <s v="Placas de Controle"/>
    <x v="1"/>
    <n v="1000"/>
    <n v="5003024"/>
    <s v="RODOBRAS TRANSPORTES RODOVIARIOS LT"/>
    <n v="96.87"/>
    <d v="2025-05-12T00:00:00"/>
  </r>
  <r>
    <n v="254043563"/>
    <n v="64809832"/>
    <s v="REB"/>
    <n v="51141"/>
    <n v="167"/>
    <s v="PEÇAS - Avaria - Quebrada/Depósito"/>
    <s v="LOGÍSTICA"/>
    <x v="0"/>
    <n v="64523"/>
    <x v="21"/>
    <s v="PB"/>
    <n v="713"/>
    <s v="Key Account"/>
    <n v="1550"/>
    <s v="W10169464"/>
    <s v="Defletores/Difusores"/>
    <x v="5"/>
    <n v="4000"/>
    <n v="5004391"/>
    <s v="JEONCEL TRANSPORTES LTDA"/>
    <n v="96.84"/>
    <d v="2025-07-17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738949"/>
    <s v="Atuadores"/>
    <x v="2"/>
    <n v="2000"/>
    <n v="5004101"/>
    <s v="UNIDOCK'S ASSESSORIA E LOGISTICA DE"/>
    <n v="96.81"/>
    <d v="2025-07-29T00:00:00"/>
  </r>
  <r>
    <n v="253922555"/>
    <n v="64695372"/>
    <s v="REB"/>
    <n v="9470124"/>
    <n v="177"/>
    <s v="PEÇAS - Defeito de fabric./Ruído"/>
    <s v="FUNCIONAL"/>
    <x v="1"/>
    <n v="42048"/>
    <x v="11"/>
    <s v="MT"/>
    <n v="933"/>
    <s v="Top"/>
    <n v="1350"/>
    <s v="W11300676"/>
    <s v="Mecanismos"/>
    <x v="2"/>
    <n v="1000"/>
    <n v="5002573"/>
    <s v="CARVALIMA TRANSPORTES LTDA"/>
    <n v="96.81"/>
    <d v="2025-01-20T00:00:00"/>
  </r>
  <r>
    <s v="Sem TR"/>
    <n v="64802674"/>
    <s v="ZRDI"/>
    <n v="10061420"/>
    <s v="D10"/>
    <s v="DEV D2C - Comprou modelo errado"/>
    <s v="COMERCIAL"/>
    <x v="2"/>
    <n v="58056583"/>
    <x v="916"/>
    <s v="PA"/>
    <n v="466"/>
    <s v="Sup ML Marketplace"/>
    <n v="1352"/>
    <s v="W10212144"/>
    <s v="Gavetas"/>
    <x v="9"/>
    <n v="1000"/>
    <n v="5002359"/>
    <s v="EMPRESA BRASILEIRA DE CORREIOS E"/>
    <n v="96.77"/>
    <d v="2025-07-01T00:00:00"/>
  </r>
  <r>
    <s v="Sem TR"/>
    <n v="64802674"/>
    <s v="ZRDI"/>
    <n v="10061420"/>
    <s v="D10"/>
    <s v="DEV D2C - Comprou modelo errado"/>
    <s v="COMERCIAL"/>
    <x v="2"/>
    <n v="58056583"/>
    <x v="916"/>
    <s v="PA"/>
    <n v="466"/>
    <s v="Sup ML Marketplace"/>
    <n v="1352"/>
    <s v="W10212144"/>
    <s v="Gavetas"/>
    <x v="9"/>
    <n v="1000"/>
    <n v="5002359"/>
    <s v="EMPRESA BRASILEIRA DE CORREIOS E"/>
    <n v="96.77"/>
    <d v="2025-07-01T00:00:00"/>
  </r>
  <r>
    <n v="254035953"/>
    <n v="64814048"/>
    <s v="ZRDI"/>
    <n v="10130090"/>
    <n v="208"/>
    <s v="DEV-Atraso entrega- LOGISTICA(Transp)"/>
    <s v="TRANSPORTADORA"/>
    <x v="2"/>
    <n v="51472713"/>
    <x v="1335"/>
    <s v="PE"/>
    <n v="348"/>
    <s v="Midia"/>
    <n v="1352"/>
    <s v="W11199342"/>
    <s v="Filtros"/>
    <x v="5"/>
    <n v="1000"/>
    <n v="5002359"/>
    <s v="EMPRESA BRASILEIRA DE CORREIOS E"/>
    <n v="96.74"/>
    <d v="2025-07-21T00:00:00"/>
  </r>
  <r>
    <n v="254035953"/>
    <n v="64814048"/>
    <s v="ZRDI"/>
    <n v="10130090"/>
    <n v="208"/>
    <s v="DEV-Atraso entrega- LOGISTICA(Transp)"/>
    <s v="TRANSPORTADORA"/>
    <x v="2"/>
    <n v="51472713"/>
    <x v="1335"/>
    <s v="PE"/>
    <n v="348"/>
    <s v="Midia"/>
    <n v="1352"/>
    <s v="W11199342"/>
    <s v="Filtros"/>
    <x v="5"/>
    <n v="1000"/>
    <n v="5002359"/>
    <s v="EMPRESA BRASILEIRA DE CORREIOS E"/>
    <n v="96.74"/>
    <d v="2025-07-21T00:00:00"/>
  </r>
  <r>
    <s v="Sem TR"/>
    <n v="64812746"/>
    <s v="REB"/>
    <n v="10113753"/>
    <n v="411"/>
    <s v="DEV-Extravio de PEÇAS (Transportadora)"/>
    <s v="TRANSPORTADORA"/>
    <x v="0"/>
    <n v="2343"/>
    <x v="438"/>
    <s v="MG"/>
    <n v="350"/>
    <s v="Ats On"/>
    <n v="1350"/>
    <n v="326065618"/>
    <s v="Prateleiras"/>
    <x v="9"/>
    <n v="1000"/>
    <n v="5004215"/>
    <s v="BRASIL WEB TRANSPORTES E LOGISTICA"/>
    <n v="96.74"/>
    <d v="2025-07-25T00:00:00"/>
  </r>
  <r>
    <n v="254040392"/>
    <n v="64818296"/>
    <s v="ZRDI"/>
    <n v="10081684"/>
    <n v="208"/>
    <s v="DEV-Atraso entrega- LOGISTICA(Transp)"/>
    <s v="TRANSPORTADORA"/>
    <x v="2"/>
    <n v="54259520"/>
    <x v="1336"/>
    <s v="PR"/>
    <n v="466"/>
    <s v="Sup ML Marketplace"/>
    <n v="1352"/>
    <s v="W10301562"/>
    <s v="Filtros"/>
    <x v="5"/>
    <n v="1000"/>
    <n v="5002359"/>
    <s v="EMPRESA BRASILEIRA DE CORREIOS E"/>
    <n v="96.71"/>
    <d v="2025-07-26T00:00:00"/>
  </r>
  <r>
    <n v="254040392"/>
    <n v="64818296"/>
    <s v="ZRDI"/>
    <n v="10081684"/>
    <n v="208"/>
    <s v="DEV-Atraso entrega- LOGISTICA(Transp)"/>
    <s v="TRANSPORTADORA"/>
    <x v="2"/>
    <n v="54259520"/>
    <x v="1336"/>
    <s v="PR"/>
    <n v="466"/>
    <s v="Sup ML Marketplace"/>
    <n v="1352"/>
    <s v="W10301562"/>
    <s v="Filtros"/>
    <x v="5"/>
    <n v="1000"/>
    <n v="5002359"/>
    <s v="EMPRESA BRASILEIRA DE CORREIOS E"/>
    <n v="96.71"/>
    <d v="2025-07-26T00:00:00"/>
  </r>
  <r>
    <n v="254040392"/>
    <n v="64818296"/>
    <s v="ZRDI"/>
    <n v="10081684"/>
    <n v="208"/>
    <s v="DEV-Atraso entrega- LOGISTICA(Transp)"/>
    <s v="TRANSPORTADORA"/>
    <x v="2"/>
    <n v="54259520"/>
    <x v="1336"/>
    <s v="PR"/>
    <n v="466"/>
    <s v="Sup ML Marketplace"/>
    <n v="1352"/>
    <s v="W10301562"/>
    <s v="Filtros"/>
    <x v="5"/>
    <n v="1000"/>
    <n v="5002359"/>
    <s v="EMPRESA BRASILEIRA DE CORREIOS E"/>
    <n v="96.7"/>
    <d v="2025-07-26T00:00:00"/>
  </r>
  <r>
    <n v="254040392"/>
    <n v="64818296"/>
    <s v="ZRDI"/>
    <n v="10081684"/>
    <n v="208"/>
    <s v="DEV-Atraso entrega- LOGISTICA(Transp)"/>
    <s v="TRANSPORTADORA"/>
    <x v="2"/>
    <n v="54259520"/>
    <x v="1336"/>
    <s v="PR"/>
    <n v="466"/>
    <s v="Sup ML Marketplace"/>
    <n v="1352"/>
    <s v="W10301562"/>
    <s v="Filtros"/>
    <x v="5"/>
    <n v="1000"/>
    <n v="5002359"/>
    <s v="EMPRESA BRASILEIRA DE CORREIOS E"/>
    <n v="96.7"/>
    <d v="2025-07-26T00:00:00"/>
  </r>
  <r>
    <n v="254030459"/>
    <n v="64800022"/>
    <s v="REB"/>
    <n v="9412028"/>
    <n v="176"/>
    <s v="PEÇAS - Defeito de fabric./Interrompido"/>
    <s v="FUNCIONAL"/>
    <x v="1"/>
    <n v="13757"/>
    <x v="14"/>
    <s v="SP"/>
    <n v="713"/>
    <s v="Key Account"/>
    <n v="1350"/>
    <s v="W11611482"/>
    <s v="Placas de Controle"/>
    <x v="1"/>
    <n v="1000"/>
    <n v="5004042"/>
    <s v="BRASIL WEB TRANSPORTES E LOGISTICA"/>
    <n v="96.62"/>
    <d v="2025-07-01T00:00:00"/>
  </r>
  <r>
    <n v="253981291"/>
    <n v="64758107"/>
    <s v="REB"/>
    <n v="9737312"/>
    <n v="176"/>
    <s v="PEÇAS - Defeito de fabric./Interrompido"/>
    <s v="FUNCIONAL"/>
    <x v="1"/>
    <n v="66"/>
    <x v="73"/>
    <s v="GO"/>
    <n v="931"/>
    <s v="Ats Off"/>
    <n v="1350"/>
    <s v="W11557350"/>
    <s v="Resistências"/>
    <x v="1"/>
    <n v="1000"/>
    <n v="5002858"/>
    <s v="FAVORITA TRANSPORTES LTDA"/>
    <n v="96.48"/>
    <d v="2025-04-25T00:00:00"/>
  </r>
  <r>
    <n v="253981470"/>
    <n v="64757965"/>
    <s v="REB"/>
    <n v="9716169"/>
    <n v="173"/>
    <s v="PEÇAS - Defeito de fabric./Alta Amperage"/>
    <s v="FUNCIONAL"/>
    <x v="2"/>
    <n v="29164"/>
    <x v="32"/>
    <s v="BA"/>
    <n v="648"/>
    <s v="Ultra"/>
    <n v="1350"/>
    <s v="W11132068"/>
    <s v="Painéis de Controle"/>
    <x v="6"/>
    <n v="1000"/>
    <n v="5004101"/>
    <s v="UNIDOCK'S ASSESSORIA E LOGISTICA DE"/>
    <n v="96.48"/>
    <d v="2025-04-25T00:00:00"/>
  </r>
  <r>
    <n v="254033422"/>
    <n v="64807163"/>
    <s v="REB"/>
    <n v="10105652"/>
    <n v="90"/>
    <s v="CLIENTE-não solicitou"/>
    <s v="COMERCIAL"/>
    <x v="1"/>
    <n v="59778"/>
    <x v="1337"/>
    <s v="RJ"/>
    <n v="350"/>
    <s v="Ats On"/>
    <n v="1350"/>
    <s v="W10399715"/>
    <s v="Motores Ventiladores"/>
    <x v="1"/>
    <n v="2000"/>
    <n v="5003176"/>
    <s v="J C THEDIN TRANSPORTES LTDA"/>
    <n v="96.47"/>
    <d v="2025-07-08T00:00:00"/>
  </r>
  <r>
    <n v="253981400"/>
    <n v="64758272"/>
    <s v="REB"/>
    <n v="9836207"/>
    <n v="173"/>
    <s v="PEÇAS - Defeito de fabric./Alta Amperage"/>
    <s v="FUNCIONAL"/>
    <x v="2"/>
    <n v="21295"/>
    <x v="2"/>
    <s v="SP"/>
    <n v="648"/>
    <s v="Ultra"/>
    <n v="1350"/>
    <s v="W11299803"/>
    <s v="Mecanismos"/>
    <x v="2"/>
    <n v="1000"/>
    <n v="5004042"/>
    <s v="BRASIL WEB TRANSPORTES E LOGISTICA"/>
    <n v="96.47"/>
    <d v="2025-04-25T00:00:00"/>
  </r>
  <r>
    <n v="254027582"/>
    <n v="64806977"/>
    <s v="REB"/>
    <n v="10118047"/>
    <n v="170"/>
    <s v="PEÇAS - Avaria - Riscada/Depósito"/>
    <s v="LOGÍSTICA"/>
    <x v="2"/>
    <n v="2666"/>
    <x v="219"/>
    <s v="RJ"/>
    <n v="931"/>
    <s v="Ats Off"/>
    <n v="1350"/>
    <s v="W11411225"/>
    <s v="Vidros"/>
    <x v="6"/>
    <n v="1000"/>
    <n v="5003176"/>
    <s v="J C THEDIN TRANSPORTES LTDA"/>
    <n v="96.47"/>
    <d v="2025-07-08T00:00:00"/>
  </r>
  <r>
    <n v="254024113"/>
    <n v="64803660"/>
    <s v="ZRDI"/>
    <n v="10042648"/>
    <n v="208"/>
    <s v="DEV-Atraso entrega- LOGISTICA(Transp)"/>
    <s v="TRANSPORTADORA"/>
    <x v="2"/>
    <n v="58035481"/>
    <x v="1338"/>
    <s v="BA"/>
    <n v="475"/>
    <s v="Site Consul"/>
    <n v="1352"/>
    <s v="W11199342"/>
    <s v="Filtros"/>
    <x v="5"/>
    <n v="1000"/>
    <n v="5002359"/>
    <s v="EMPRESA BRASILEIRA DE CORREIOS E"/>
    <n v="96.46"/>
    <d v="2025-07-01T00:00:00"/>
  </r>
  <r>
    <n v="253995247"/>
    <n v="64766546"/>
    <s v="REB"/>
    <n v="9900032"/>
    <n v="173"/>
    <s v="PEÇAS - Defeito de fabric./Alta Amperage"/>
    <s v="FUNCIONAL"/>
    <x v="2"/>
    <n v="87707"/>
    <x v="143"/>
    <s v="BA"/>
    <n v="648"/>
    <s v="Ultra"/>
    <n v="1350"/>
    <s v="W11132068"/>
    <s v="Painéis de Controle"/>
    <x v="6"/>
    <n v="1000"/>
    <n v="5004101"/>
    <s v="UNIDOCK'S ASSESSORIA E LOGISTICA DE"/>
    <n v="96.45"/>
    <d v="2025-05-16T00:00:00"/>
  </r>
  <r>
    <n v="253944060"/>
    <n v="64708900"/>
    <s v="REB"/>
    <n v="9819584"/>
    <n v="104"/>
    <s v="PEÇAS-Código trocado(embalag X conteúdo)"/>
    <s v="LOGÍSTICA"/>
    <x v="1"/>
    <n v="42046"/>
    <x v="293"/>
    <s v="PE"/>
    <n v="350"/>
    <s v="Ats On"/>
    <n v="1350"/>
    <s v="W10666547"/>
    <s v="Gaxetas"/>
    <x v="4"/>
    <n v="1000"/>
    <n v="5004101"/>
    <s v="UNIDOCK'S ASSESSORIA E LOGISTICA DE"/>
    <n v="96.43"/>
    <d v="2025-02-08T00:00:00"/>
  </r>
  <r>
    <n v="254038293"/>
    <n v="64813336"/>
    <s v="REB"/>
    <n v="10105719"/>
    <n v="176"/>
    <s v="PEÇAS - Defeito de fabric./Interrompido"/>
    <s v="FUNCIONAL"/>
    <x v="1"/>
    <n v="4318"/>
    <x v="89"/>
    <s v="SC"/>
    <n v="931"/>
    <s v="Ats Off"/>
    <n v="1350"/>
    <s v="W11383843"/>
    <s v="Válvulas de Água"/>
    <x v="5"/>
    <n v="1000"/>
    <n v="5003024"/>
    <s v="RODOBRAS TRANSPORTES RODOVIARIOS LT"/>
    <n v="96.41"/>
    <d v="2025-07-22T00:00:00"/>
  </r>
  <r>
    <n v="253956461"/>
    <n v="64732919"/>
    <s v="REB"/>
    <n v="9857733"/>
    <n v="671"/>
    <s v="DEV-ENVIADO PARA GESTÃO DE CONSEQUENCIA"/>
    <s v="TRANSPORTADORA"/>
    <x v="1"/>
    <n v="32856"/>
    <x v="60"/>
    <s v="PR"/>
    <n v="713"/>
    <s v="Key Account"/>
    <n v="1350"/>
    <s v="W10647948"/>
    <s v="Suportes"/>
    <x v="6"/>
    <n v="11000"/>
    <n v="5003024"/>
    <s v="RODOBRAS TRANSPORTES RODOVIARIOS LT"/>
    <n v="96.33"/>
    <d v="2025-03-17T00:00:00"/>
  </r>
  <r>
    <n v="254032507"/>
    <n v="64811471"/>
    <s v="ZRDI"/>
    <n v="10081810"/>
    <n v="208"/>
    <s v="DEV-Atraso entrega- LOGISTICA(Transp)"/>
    <s v="TRANSPORTADORA"/>
    <x v="2"/>
    <n v="58080843"/>
    <x v="1339"/>
    <s v="SC"/>
    <n v="466"/>
    <s v="Sup ML Marketplace"/>
    <n v="1352"/>
    <s v="W10301562"/>
    <s v="Filtros"/>
    <x v="5"/>
    <n v="1000"/>
    <n v="5002359"/>
    <s v="EMPRESA BRASILEIRA DE CORREIOS E"/>
    <n v="96.32"/>
    <d v="2025-07-16T00:00:00"/>
  </r>
  <r>
    <n v="254040391"/>
    <n v="64818295"/>
    <s v="ZRDI"/>
    <n v="10081619"/>
    <n v="208"/>
    <s v="DEV-Atraso entrega- LOGISTICA(Transp)"/>
    <s v="TRANSPORTADORA"/>
    <x v="2"/>
    <n v="52162234"/>
    <x v="1340"/>
    <s v="RS"/>
    <n v="466"/>
    <s v="Sup ML Marketplace"/>
    <n v="1352"/>
    <s v="W10301562"/>
    <s v="Filtros"/>
    <x v="5"/>
    <n v="1000"/>
    <n v="5002359"/>
    <s v="EMPRESA BRASILEIRA DE CORREIOS E"/>
    <n v="96.32"/>
    <d v="2025-07-26T00:00:00"/>
  </r>
  <r>
    <n v="254040391"/>
    <n v="64818295"/>
    <s v="ZRDI"/>
    <n v="10081619"/>
    <n v="208"/>
    <s v="DEV-Atraso entrega- LOGISTICA(Transp)"/>
    <s v="TRANSPORTADORA"/>
    <x v="2"/>
    <n v="52162234"/>
    <x v="1340"/>
    <s v="RS"/>
    <n v="466"/>
    <s v="Sup ML Marketplace"/>
    <n v="1352"/>
    <s v="W10301562"/>
    <s v="Filtros"/>
    <x v="5"/>
    <n v="1000"/>
    <n v="5002359"/>
    <s v="EMPRESA BRASILEIRA DE CORREIOS E"/>
    <n v="96.32"/>
    <d v="2025-07-26T00:00:00"/>
  </r>
  <r>
    <n v="254007588"/>
    <n v="64777700"/>
    <s v="REB"/>
    <n v="10017734"/>
    <n v="173"/>
    <s v="PEÇAS - Defeito de fabric./Alta Amperage"/>
    <s v="FUNCIONAL"/>
    <x v="2"/>
    <n v="47026"/>
    <x v="16"/>
    <s v="BA"/>
    <n v="643"/>
    <s v="Elite"/>
    <n v="1350"/>
    <s v="W11634491"/>
    <s v="Placas de Controle"/>
    <x v="1"/>
    <n v="1000"/>
    <n v="5004101"/>
    <s v="UNIDOCK'S ASSESSORIA E LOGISTICA DE"/>
    <n v="96.31"/>
    <d v="2025-06-02T00:00:00"/>
  </r>
  <r>
    <n v="254018176"/>
    <n v="64793255"/>
    <s v="REB"/>
    <n v="10027634"/>
    <n v="176"/>
    <s v="PEÇAS - Defeito de fabric./Interrompido"/>
    <s v="FUNCIONAL"/>
    <x v="1"/>
    <n v="3506"/>
    <x v="46"/>
    <s v="SP"/>
    <n v="931"/>
    <s v="Ats Off"/>
    <n v="1350"/>
    <s v="W10341871"/>
    <s v="Molduras"/>
    <x v="6"/>
    <n v="1000"/>
    <n v="5004042"/>
    <s v="BRASIL WEB TRANSPORTES E LOGISTICA"/>
    <n v="96.31"/>
    <d v="2025-06-17T00:00:00"/>
  </r>
  <r>
    <n v="254032507"/>
    <n v="64811471"/>
    <s v="ZRDI"/>
    <n v="10081810"/>
    <n v="208"/>
    <s v="DEV-Atraso entrega- LOGISTICA(Transp)"/>
    <s v="TRANSPORTADORA"/>
    <x v="2"/>
    <n v="58080843"/>
    <x v="1339"/>
    <s v="SC"/>
    <n v="466"/>
    <s v="Sup ML Marketplace"/>
    <n v="1352"/>
    <s v="W10301562"/>
    <s v="Filtros"/>
    <x v="5"/>
    <n v="1000"/>
    <n v="5002359"/>
    <s v="EMPRESA BRASILEIRA DE CORREIOS E"/>
    <n v="96.3"/>
    <d v="2025-07-16T00:00:00"/>
  </r>
  <r>
    <n v="254040391"/>
    <n v="64818295"/>
    <s v="ZRDI"/>
    <n v="10081619"/>
    <n v="208"/>
    <s v="DEV-Atraso entrega- LOGISTICA(Transp)"/>
    <s v="TRANSPORTADORA"/>
    <x v="2"/>
    <n v="52162234"/>
    <x v="1340"/>
    <s v="RS"/>
    <n v="466"/>
    <s v="Sup ML Marketplace"/>
    <n v="1352"/>
    <s v="W10301562"/>
    <s v="Filtros"/>
    <x v="5"/>
    <n v="1000"/>
    <n v="5002359"/>
    <s v="EMPRESA BRASILEIRA DE CORREIOS E"/>
    <n v="96.3"/>
    <d v="2025-07-26T00:00:00"/>
  </r>
  <r>
    <n v="254040391"/>
    <n v="64818295"/>
    <s v="ZRDI"/>
    <n v="10081619"/>
    <n v="208"/>
    <s v="DEV-Atraso entrega- LOGISTICA(Transp)"/>
    <s v="TRANSPORTADORA"/>
    <x v="2"/>
    <n v="52162234"/>
    <x v="1340"/>
    <s v="RS"/>
    <n v="466"/>
    <s v="Sup ML Marketplace"/>
    <n v="1352"/>
    <s v="W10301562"/>
    <s v="Filtros"/>
    <x v="5"/>
    <n v="1000"/>
    <n v="5002359"/>
    <s v="EMPRESA BRASILEIRA DE CORREIOS E"/>
    <n v="96.3"/>
    <d v="2025-07-26T00:00:00"/>
  </r>
  <r>
    <n v="254027331"/>
    <n v="64806744"/>
    <s v="ZRDI"/>
    <n v="10071209"/>
    <n v="208"/>
    <s v="DEV-Atraso entrega- LOGISTICA(Transp)"/>
    <s v="TRANSPORTADORA"/>
    <x v="2"/>
    <n v="58068564"/>
    <x v="1341"/>
    <s v="MG"/>
    <n v="475"/>
    <s v="Site Consul"/>
    <n v="1352"/>
    <s v="W11199342"/>
    <s v="Filtros"/>
    <x v="5"/>
    <n v="1000"/>
    <n v="5002359"/>
    <s v="EMPRESA BRASILEIRA DE CORREIOS E"/>
    <n v="96.26"/>
    <d v="2025-07-07T00:00:00"/>
  </r>
  <r>
    <n v="254018324"/>
    <n v="64792409"/>
    <s v="REB"/>
    <n v="10066324"/>
    <n v="170"/>
    <s v="PEÇAS - Avaria - Riscada/Depósito"/>
    <s v="LOGÍSTICA"/>
    <x v="2"/>
    <n v="54465"/>
    <x v="207"/>
    <s v="SP"/>
    <n v="644"/>
    <s v="Plus"/>
    <n v="1350"/>
    <s v="W10758992"/>
    <s v="Gavetas"/>
    <x v="9"/>
    <n v="1000"/>
    <n v="5004042"/>
    <s v="BRASIL WEB TRANSPORTES E LOGISTICA"/>
    <n v="96.25"/>
    <d v="2025-06-16T00:00:00"/>
  </r>
  <r>
    <s v="Sem TR"/>
    <n v="64819648"/>
    <s v="ZRDI"/>
    <n v="10127847"/>
    <s v="D18"/>
    <s v="DEV D2C - Arrependimento não quero mais"/>
    <s v="COMERCIAL"/>
    <x v="1"/>
    <n v="5866596"/>
    <x v="297"/>
    <s v="SP"/>
    <n v="474"/>
    <s v="Site Brastemp"/>
    <n v="1352"/>
    <s v="W10364740"/>
    <s v="Placas de Interface"/>
    <x v="1"/>
    <n v="1000"/>
    <n v="5002359"/>
    <s v="EMPRESA BRASILEIRA DE CORREIOS E"/>
    <n v="96.23"/>
    <d v="2025-07-29T00:00:00"/>
  </r>
  <r>
    <n v="254037100"/>
    <n v="64815008"/>
    <s v="ZRDI"/>
    <n v="10129819"/>
    <n v="208"/>
    <s v="DEV-Atraso entrega- LOGISTICA(Transp)"/>
    <s v="TRANSPORTADORA"/>
    <x v="2"/>
    <n v="52247097"/>
    <x v="874"/>
    <s v="BA"/>
    <n v="475"/>
    <s v="Site Consul"/>
    <n v="1352"/>
    <s v="W11223644"/>
    <s v="Prateleiras"/>
    <x v="9"/>
    <n v="1000"/>
    <n v="5002359"/>
    <s v="EMPRESA BRASILEIRA DE CORREIOS E"/>
    <n v="96.2"/>
    <d v="2025-07-22T00:00:00"/>
  </r>
  <r>
    <n v="254037100"/>
    <n v="64815008"/>
    <s v="ZRDI"/>
    <n v="10129819"/>
    <n v="208"/>
    <s v="DEV-Atraso entrega- LOGISTICA(Transp)"/>
    <s v="TRANSPORTADORA"/>
    <x v="2"/>
    <n v="52247097"/>
    <x v="874"/>
    <s v="BA"/>
    <n v="475"/>
    <s v="Site Consul"/>
    <n v="1352"/>
    <s v="W11223644"/>
    <s v="Prateleiras"/>
    <x v="9"/>
    <n v="1000"/>
    <n v="5002359"/>
    <s v="EMPRESA BRASILEIRA DE CORREIOS E"/>
    <n v="96.2"/>
    <d v="2025-07-22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754676"/>
    <s v="Suportes"/>
    <x v="6"/>
    <n v="2000"/>
    <n v="5004042"/>
    <s v="BRASIL WEB TRANSPORTES E LOGISTICA"/>
    <n v="96.06"/>
    <d v="2025-07-08T00:00:00"/>
  </r>
  <r>
    <n v="254035356"/>
    <n v="64812427"/>
    <s v="REB"/>
    <n v="10061716"/>
    <n v="176"/>
    <s v="PEÇAS - Defeito de fabric./Interrompido"/>
    <s v="FUNCIONAL"/>
    <x v="1"/>
    <n v="22211"/>
    <x v="146"/>
    <s v="SC"/>
    <n v="644"/>
    <s v="Plus"/>
    <n v="1350"/>
    <s v="W11160655"/>
    <s v="Placas de Interface"/>
    <x v="1"/>
    <n v="1000"/>
    <n v="5003024"/>
    <s v="RODOBRAS TRANSPORTES RODOVIARIOS LT"/>
    <n v="96.04"/>
    <d v="2025-07-17T00:00:00"/>
  </r>
  <r>
    <n v="254024488"/>
    <n v="64792258"/>
    <s v="ZRDI"/>
    <n v="10070599"/>
    <n v="208"/>
    <s v="DEV-Atraso entrega- LOGISTICA(Transp)"/>
    <s v="TRANSPORTADORA"/>
    <x v="2"/>
    <n v="58068232"/>
    <x v="1342"/>
    <s v="PB"/>
    <n v="475"/>
    <s v="Site Consul"/>
    <n v="1352"/>
    <s v="W11199342"/>
    <s v="Filtros"/>
    <x v="5"/>
    <n v="1000"/>
    <n v="5002359"/>
    <s v="EMPRESA BRASILEIRA DE CORREIOS E"/>
    <n v="96.01"/>
    <d v="2025-07-02T00:00:00"/>
  </r>
  <r>
    <s v="Sem TR"/>
    <n v="64802570"/>
    <s v="ZRDI"/>
    <n v="10113210"/>
    <s v="D10"/>
    <s v="DEV D2C - Comprou modelo errado"/>
    <s v="COMERCIAL"/>
    <x v="2"/>
    <n v="4077543"/>
    <x v="1343"/>
    <s v="RJ"/>
    <n v="474"/>
    <s v="Site Brastemp"/>
    <n v="1352"/>
    <s v="W10821932"/>
    <s v="Prateleiras"/>
    <x v="9"/>
    <n v="1000"/>
    <n v="5002359"/>
    <s v="EMPRESA BRASILEIRA DE CORREIOS E"/>
    <n v="96.01"/>
    <d v="2025-07-09T00:00:00"/>
  </r>
  <r>
    <s v="Sem TR"/>
    <n v="64802570"/>
    <s v="ZRDI"/>
    <n v="10113210"/>
    <s v="D10"/>
    <s v="DEV D2C - Comprou modelo errado"/>
    <s v="COMERCIAL"/>
    <x v="2"/>
    <n v="4077543"/>
    <x v="1343"/>
    <s v="RJ"/>
    <n v="474"/>
    <s v="Site Brastemp"/>
    <n v="1352"/>
    <s v="W10821932"/>
    <s v="Prateleiras"/>
    <x v="9"/>
    <n v="1000"/>
    <n v="5002359"/>
    <s v="EMPRESA BRASILEIRA DE CORREIOS E"/>
    <n v="96.01"/>
    <d v="2025-07-09T00:00:00"/>
  </r>
  <r>
    <n v="254024488"/>
    <n v="64792258"/>
    <s v="ZRDI"/>
    <n v="10070599"/>
    <n v="208"/>
    <s v="DEV-Atraso entrega- LOGISTICA(Transp)"/>
    <s v="TRANSPORTADORA"/>
    <x v="2"/>
    <n v="58068232"/>
    <x v="1342"/>
    <s v="PB"/>
    <n v="475"/>
    <s v="Site Consul"/>
    <n v="1352"/>
    <s v="W11199342"/>
    <s v="Filtros"/>
    <x v="5"/>
    <n v="1000"/>
    <n v="5002359"/>
    <s v="EMPRESA BRASILEIRA DE CORREIOS E"/>
    <n v="95.99"/>
    <d v="2025-07-02T00:00:00"/>
  </r>
  <r>
    <n v="254004076"/>
    <n v="64777265"/>
    <s v="REB"/>
    <n v="10026325"/>
    <n v="173"/>
    <s v="PEÇAS - Defeito de fabric./Alta Amperage"/>
    <s v="FUNCIONAL"/>
    <x v="1"/>
    <n v="85461"/>
    <x v="180"/>
    <s v="MG"/>
    <n v="641"/>
    <s v="CDP Diamante"/>
    <n v="1350"/>
    <s v="W11160655"/>
    <s v="Placas de Interface"/>
    <x v="1"/>
    <n v="1000"/>
    <n v="5004215"/>
    <s v="BRASIL WEB TRANSPORTES E LOGISTICA"/>
    <n v="95.93"/>
    <d v="2025-05-26T00:00:00"/>
  </r>
  <r>
    <n v="254041626"/>
    <n v="64795879"/>
    <s v="REB"/>
    <n v="10068596"/>
    <n v="104"/>
    <s v="PEÇAS-Código trocado(embalag X conteúdo)"/>
    <s v="LOGÍSTICA"/>
    <x v="0"/>
    <n v="41585"/>
    <x v="54"/>
    <s v="PR"/>
    <n v="350"/>
    <s v="Ats On"/>
    <n v="1350"/>
    <s v="W10644162"/>
    <s v="Tampas Móveis"/>
    <x v="6"/>
    <n v="1000"/>
    <n v="5003024"/>
    <s v="RODOBRAS TRANSPORTES RODOVIARIOS LT"/>
    <n v="95.87"/>
    <d v="2025-06-23T00:00:00"/>
  </r>
  <r>
    <n v="253995122"/>
    <n v="64767017"/>
    <s v="REB"/>
    <n v="10025086"/>
    <n v="167"/>
    <s v="PEÇAS - Avaria - Quebrada/Depósito"/>
    <s v="LOGÍSTICA"/>
    <x v="1"/>
    <n v="27511"/>
    <x v="470"/>
    <s v="SP"/>
    <n v="641"/>
    <s v="CDP Diamante"/>
    <n v="1350"/>
    <s v="W10347201"/>
    <s v="Prateleiras"/>
    <x v="9"/>
    <n v="1000"/>
    <n v="5004042"/>
    <s v="BRASIL WEB TRANSPORTES E LOGISTICA"/>
    <n v="95.79"/>
    <d v="2025-05-16T00:00:00"/>
  </r>
  <r>
    <s v="Sem TR"/>
    <n v="64797428"/>
    <s v="ZRDI"/>
    <n v="10093950"/>
    <s v="D10"/>
    <s v="DEV D2C - Comprou modelo errado"/>
    <s v="COMERCIAL"/>
    <x v="2"/>
    <n v="58095970"/>
    <x v="1344"/>
    <s v="RJ"/>
    <n v="474"/>
    <s v="Site Brastemp"/>
    <n v="1352"/>
    <s v="W10610100"/>
    <s v="Gavetas"/>
    <x v="9"/>
    <n v="1000"/>
    <n v="5002359"/>
    <s v="EMPRESA BRASILEIRA DE CORREIOS E"/>
    <n v="95.78"/>
    <d v="2025-06-26T00:00:00"/>
  </r>
  <r>
    <n v="253952441"/>
    <n v="64729140"/>
    <s v="REB"/>
    <n v="9886483"/>
    <n v="671"/>
    <s v="DEV-ENVIADO PARA GESTÃO DE CONSEQUENCIA"/>
    <s v="TRANSPORTADORA"/>
    <x v="1"/>
    <n v="64321"/>
    <x v="889"/>
    <s v="PR"/>
    <n v="932"/>
    <s v="CDP Prata"/>
    <n v="1350"/>
    <s v="W10347201"/>
    <s v="Prateleiras"/>
    <x v="9"/>
    <n v="1000"/>
    <n v="5003024"/>
    <s v="RODOBRAS TRANSPORTES RODOVIARIOS LT"/>
    <n v="95.74"/>
    <d v="2025-03-10T00:00:00"/>
  </r>
  <r>
    <n v="254018187"/>
    <n v="64793089"/>
    <s v="REB"/>
    <n v="9959940"/>
    <n v="176"/>
    <s v="PEÇAS - Defeito de fabric./Interrompido"/>
    <s v="FUNCIONAL"/>
    <x v="1"/>
    <n v="4318"/>
    <x v="89"/>
    <s v="SC"/>
    <n v="931"/>
    <s v="Ats Off"/>
    <n v="1350"/>
    <s v="W11123830"/>
    <s v="Placas de Controle"/>
    <x v="1"/>
    <n v="1000"/>
    <n v="5003024"/>
    <s v="RODOBRAS TRANSPORTES RODOVIARIOS LT"/>
    <n v="95.5"/>
    <d v="2025-06-17T00:00:00"/>
  </r>
  <r>
    <n v="254035908"/>
    <n v="64814028"/>
    <s v="ZRDI"/>
    <n v="10112866"/>
    <n v="208"/>
    <s v="DEV-Atraso entrega- LOGISTICA(Transp)"/>
    <s v="TRANSPORTADORA"/>
    <x v="2"/>
    <n v="56992040"/>
    <x v="1345"/>
    <s v="PB"/>
    <n v="475"/>
    <s v="Site Consul"/>
    <n v="1352"/>
    <s v="W11199342"/>
    <s v="Filtros"/>
    <x v="5"/>
    <n v="1000"/>
    <n v="5002359"/>
    <s v="EMPRESA BRASILEIRA DE CORREIOS E"/>
    <n v="95.47"/>
    <d v="2025-07-21T00:00:00"/>
  </r>
  <r>
    <n v="254035908"/>
    <n v="64814028"/>
    <s v="ZRDI"/>
    <n v="10112866"/>
    <n v="208"/>
    <s v="DEV-Atraso entrega- LOGISTICA(Transp)"/>
    <s v="TRANSPORTADORA"/>
    <x v="2"/>
    <n v="56992040"/>
    <x v="1345"/>
    <s v="PB"/>
    <n v="475"/>
    <s v="Site Consul"/>
    <n v="1352"/>
    <s v="W11199342"/>
    <s v="Filtros"/>
    <x v="5"/>
    <n v="1000"/>
    <n v="5002359"/>
    <s v="EMPRESA BRASILEIRA DE CORREIOS E"/>
    <n v="95.47"/>
    <d v="2025-07-21T00:00:00"/>
  </r>
  <r>
    <n v="254021258"/>
    <n v="64798913"/>
    <s v="ZRDI"/>
    <n v="10051771"/>
    <n v="208"/>
    <s v="DEV-Atraso entrega- LOGISTICA(Transp)"/>
    <s v="TRANSPORTADORA"/>
    <x v="2"/>
    <n v="52732863"/>
    <x v="1346"/>
    <s v="RJ"/>
    <n v="475"/>
    <s v="Site Consul"/>
    <n v="1352"/>
    <s v="W10301562"/>
    <s v="Filtros"/>
    <x v="5"/>
    <n v="1000"/>
    <n v="5002359"/>
    <s v="EMPRESA BRASILEIRA DE CORREIOS E"/>
    <n v="95.4"/>
    <d v="2025-06-26T00:00:00"/>
  </r>
  <r>
    <n v="254024131"/>
    <n v="64803708"/>
    <s v="ZRDI"/>
    <n v="10054469"/>
    <n v="208"/>
    <s v="DEV-Atraso entrega- LOGISTICA(Transp)"/>
    <s v="TRANSPORTADORA"/>
    <x v="2"/>
    <n v="58048699"/>
    <x v="1347"/>
    <s v="GO"/>
    <n v="475"/>
    <s v="Site Consul"/>
    <n v="1352"/>
    <s v="W11199342"/>
    <s v="Filtros"/>
    <x v="5"/>
    <n v="1000"/>
    <n v="5002359"/>
    <s v="EMPRESA BRASILEIRA DE CORREIOS E"/>
    <n v="95.37"/>
    <d v="2025-07-01T00:00:00"/>
  </r>
  <r>
    <n v="253988916"/>
    <n v="64761985"/>
    <s v="REB"/>
    <n v="9974977"/>
    <n v="104"/>
    <s v="PEÇAS-Código trocado(embalag X conteúdo)"/>
    <s v="LOGÍSTICA"/>
    <x v="2"/>
    <n v="72911"/>
    <x v="61"/>
    <s v="SP"/>
    <n v="931"/>
    <s v="Ats Off"/>
    <n v="1350"/>
    <s v="W11690380"/>
    <s v="Painéis Decorativos"/>
    <x v="6"/>
    <n v="1000"/>
    <n v="5004042"/>
    <s v="BRASIL WEB TRANSPORTES E LOGISTICA"/>
    <n v="95.34"/>
    <d v="2025-05-01T00:00:00"/>
  </r>
  <r>
    <s v="Sem TR"/>
    <n v="64799890"/>
    <s v="ZRDI"/>
    <n v="10096915"/>
    <n v="208"/>
    <s v="DEV-Atraso entrega- LOGISTICA(Transp)"/>
    <s v="TRANSPORTADORA"/>
    <x v="2"/>
    <n v="58105646"/>
    <x v="1348"/>
    <s v="SP"/>
    <n v="475"/>
    <s v="Site Consul"/>
    <n v="1352"/>
    <s v="W11199342"/>
    <s v="Filtros"/>
    <x v="5"/>
    <n v="1000"/>
    <n v="5002359"/>
    <s v="EMPRESA BRASILEIRA DE CORREIOS E"/>
    <n v="95.3"/>
    <d v="2025-06-27T00:00:00"/>
  </r>
  <r>
    <s v="Sem TR"/>
    <n v="64805682"/>
    <s v="ZRDI"/>
    <n v="10097091"/>
    <n v="208"/>
    <s v="DEV-Atraso entrega- LOGISTICA(Transp)"/>
    <s v="TRANSPORTADORA"/>
    <x v="2"/>
    <n v="56966963"/>
    <x v="1349"/>
    <s v="SP"/>
    <n v="475"/>
    <s v="Site Consul"/>
    <n v="1352"/>
    <s v="W11199342"/>
    <s v="Filtros"/>
    <x v="5"/>
    <n v="1000"/>
    <n v="5002359"/>
    <s v="EMPRESA BRASILEIRA DE CORREIOS E"/>
    <n v="95.3"/>
    <d v="2025-07-04T00:00:00"/>
  </r>
  <r>
    <n v="254029252"/>
    <n v="64808766"/>
    <s v="ZRDI"/>
    <n v="10102106"/>
    <n v="208"/>
    <s v="DEV-Atraso entrega- LOGISTICA(Transp)"/>
    <s v="TRANSPORTADORA"/>
    <x v="2"/>
    <n v="51523789"/>
    <x v="826"/>
    <s v="SP"/>
    <n v="475"/>
    <s v="Site Consul"/>
    <n v="1352"/>
    <s v="W11199342"/>
    <s v="Filtros"/>
    <x v="5"/>
    <n v="1000"/>
    <n v="5002359"/>
    <s v="EMPRESA BRASILEIRA DE CORREIOS E"/>
    <n v="95.3"/>
    <d v="2025-07-10T00:00:00"/>
  </r>
  <r>
    <n v="254032539"/>
    <n v="64811493"/>
    <s v="ZRDI"/>
    <n v="10099612"/>
    <n v="208"/>
    <s v="DEV-Atraso entrega- LOGISTICA(Transp)"/>
    <s v="TRANSPORTADORA"/>
    <x v="2"/>
    <n v="52571790"/>
    <x v="1350"/>
    <s v="SP"/>
    <n v="475"/>
    <s v="Site Consul"/>
    <n v="1352"/>
    <s v="W11199342"/>
    <s v="Filtros"/>
    <x v="5"/>
    <n v="1000"/>
    <n v="5002359"/>
    <s v="EMPRESA BRASILEIRA DE CORREIOS E"/>
    <n v="95.3"/>
    <d v="2025-07-16T00:00:00"/>
  </r>
  <r>
    <s v="Sem TR"/>
    <n v="64799890"/>
    <s v="ZRDI"/>
    <n v="10096915"/>
    <n v="208"/>
    <s v="DEV-Atraso entrega- LOGISTICA(Transp)"/>
    <s v="TRANSPORTADORA"/>
    <x v="2"/>
    <n v="58105646"/>
    <x v="1348"/>
    <s v="SP"/>
    <n v="475"/>
    <s v="Site Consul"/>
    <n v="1352"/>
    <s v="W11199342"/>
    <s v="Filtros"/>
    <x v="5"/>
    <n v="1000"/>
    <n v="5002359"/>
    <s v="EMPRESA BRASILEIRA DE CORREIOS E"/>
    <n v="95.3"/>
    <d v="2025-06-27T00:00:00"/>
  </r>
  <r>
    <s v="Sem TR"/>
    <n v="64810529"/>
    <s v="ZRDI"/>
    <n v="10067923"/>
    <n v="25"/>
    <s v="OC. 80 - EXTRAVIO TOTAL"/>
    <s v="TRANSPORTADORA"/>
    <x v="2"/>
    <n v="56957514"/>
    <x v="1351"/>
    <s v="MT"/>
    <n v="475"/>
    <s v="Site Consul"/>
    <n v="1352"/>
    <s v="W10301562"/>
    <s v="Filtros"/>
    <x v="5"/>
    <n v="1000"/>
    <n v="5002359"/>
    <s v="EMPRESA BRASILEIRA DE CORREIOS E"/>
    <n v="95.23"/>
    <d v="2025-07-15T00:00:00"/>
  </r>
  <r>
    <n v="254040385"/>
    <n v="64818289"/>
    <s v="ZRDI"/>
    <n v="10065784"/>
    <n v="208"/>
    <s v="DEV-Atraso entrega- LOGISTICA(Transp)"/>
    <s v="TRANSPORTADORA"/>
    <x v="2"/>
    <n v="53063879"/>
    <x v="740"/>
    <s v="PE"/>
    <n v="466"/>
    <s v="Sup ML Marketplace"/>
    <n v="1352"/>
    <s v="W10301562"/>
    <s v="Filtros"/>
    <x v="5"/>
    <n v="1000"/>
    <n v="5002359"/>
    <s v="EMPRESA BRASILEIRA DE CORREIOS E"/>
    <n v="95.23"/>
    <d v="2025-07-26T00:00:00"/>
  </r>
  <r>
    <s v="Sem TR"/>
    <n v="64810529"/>
    <s v="ZRDI"/>
    <n v="10067923"/>
    <n v="25"/>
    <s v="OC. 80 - EXTRAVIO TOTAL"/>
    <s v="TRANSPORTADORA"/>
    <x v="2"/>
    <n v="56957514"/>
    <x v="1351"/>
    <s v="MT"/>
    <n v="475"/>
    <s v="Site Consul"/>
    <n v="1352"/>
    <s v="W10301562"/>
    <s v="Filtros"/>
    <x v="5"/>
    <n v="1000"/>
    <n v="5002359"/>
    <s v="EMPRESA BRASILEIRA DE CORREIOS E"/>
    <n v="95.23"/>
    <d v="2025-07-15T00:00:00"/>
  </r>
  <r>
    <n v="254040385"/>
    <n v="64818289"/>
    <s v="ZRDI"/>
    <n v="10065784"/>
    <n v="208"/>
    <s v="DEV-Atraso entrega- LOGISTICA(Transp)"/>
    <s v="TRANSPORTADORA"/>
    <x v="2"/>
    <n v="53063879"/>
    <x v="740"/>
    <s v="PE"/>
    <n v="466"/>
    <s v="Sup ML Marketplace"/>
    <n v="1352"/>
    <s v="W10301562"/>
    <s v="Filtros"/>
    <x v="5"/>
    <n v="1000"/>
    <n v="5002359"/>
    <s v="EMPRESA BRASILEIRA DE CORREIOS E"/>
    <n v="95.23"/>
    <d v="2025-07-26T00:00:00"/>
  </r>
  <r>
    <s v="Sem TR"/>
    <n v="64810529"/>
    <s v="ZRDI"/>
    <n v="10067923"/>
    <n v="25"/>
    <s v="OC. 80 - EXTRAVIO TOTAL"/>
    <s v="TRANSPORTADORA"/>
    <x v="2"/>
    <n v="56957514"/>
    <x v="1351"/>
    <s v="MT"/>
    <n v="475"/>
    <s v="Site Consul"/>
    <n v="1352"/>
    <s v="W10301562"/>
    <s v="Filtros"/>
    <x v="5"/>
    <n v="1000"/>
    <n v="5002359"/>
    <s v="EMPRESA BRASILEIRA DE CORREIOS E"/>
    <n v="95.19"/>
    <d v="2025-07-15T00:00:00"/>
  </r>
  <r>
    <s v="Sem TR"/>
    <n v="64810529"/>
    <s v="ZRDI"/>
    <n v="10067923"/>
    <n v="25"/>
    <s v="OC. 80 - EXTRAVIO TOTAL"/>
    <s v="TRANSPORTADORA"/>
    <x v="2"/>
    <n v="56957514"/>
    <x v="1351"/>
    <s v="MT"/>
    <n v="475"/>
    <s v="Site Consul"/>
    <n v="1352"/>
    <s v="W10301562"/>
    <s v="Filtros"/>
    <x v="5"/>
    <n v="1000"/>
    <n v="5002359"/>
    <s v="EMPRESA BRASILEIRA DE CORREIOS E"/>
    <n v="95.19"/>
    <d v="2025-07-15T00:00:00"/>
  </r>
  <r>
    <s v="Sem TR"/>
    <n v="64810529"/>
    <s v="ZRDI"/>
    <n v="10067923"/>
    <n v="25"/>
    <s v="OC. 80 - EXTRAVIO TOTAL"/>
    <s v="TRANSPORTADORA"/>
    <x v="2"/>
    <n v="56957514"/>
    <x v="1351"/>
    <s v="MT"/>
    <n v="475"/>
    <s v="Site Consul"/>
    <n v="1352"/>
    <s v="W10301562"/>
    <s v="Filtros"/>
    <x v="5"/>
    <n v="1000"/>
    <n v="5002359"/>
    <s v="EMPRESA BRASILEIRA DE CORREIOS E"/>
    <n v="95.18"/>
    <d v="2025-07-15T00:00:00"/>
  </r>
  <r>
    <s v="Sem TR"/>
    <n v="64810529"/>
    <s v="ZRDI"/>
    <n v="10067923"/>
    <n v="25"/>
    <s v="OC. 80 - EXTRAVIO TOTAL"/>
    <s v="TRANSPORTADORA"/>
    <x v="2"/>
    <n v="56957514"/>
    <x v="1351"/>
    <s v="MT"/>
    <n v="475"/>
    <s v="Site Consul"/>
    <n v="1352"/>
    <s v="W10301562"/>
    <s v="Filtros"/>
    <x v="5"/>
    <n v="1000"/>
    <n v="5002359"/>
    <s v="EMPRESA BRASILEIRA DE CORREIOS E"/>
    <n v="95.18"/>
    <d v="2025-07-15T00:00:00"/>
  </r>
  <r>
    <s v="Sem TR"/>
    <n v="64800417"/>
    <s v="ZRDI"/>
    <n v="10047397"/>
    <n v="25"/>
    <s v="OC. 80 - EXTRAVIO TOTAL"/>
    <s v="TRANSPORTADORA"/>
    <x v="2"/>
    <n v="56016956"/>
    <x v="741"/>
    <s v="MG"/>
    <n v="466"/>
    <s v="Sup ML Marketplace"/>
    <n v="1352"/>
    <s v="W10301562"/>
    <s v="Filtros"/>
    <x v="5"/>
    <n v="1000"/>
    <n v="5002359"/>
    <s v="EMPRESA BRASILEIRA DE CORREIOS E"/>
    <n v="95.17"/>
    <d v="2025-06-30T00:00:00"/>
  </r>
  <r>
    <s v="Sem TR"/>
    <n v="64800417"/>
    <s v="ZRDI"/>
    <n v="10047397"/>
    <n v="25"/>
    <s v="OC. 80 - EXTRAVIO TOTAL"/>
    <s v="TRANSPORTADORA"/>
    <x v="2"/>
    <n v="56016956"/>
    <x v="741"/>
    <s v="MG"/>
    <n v="466"/>
    <s v="Sup ML Marketplace"/>
    <n v="1352"/>
    <s v="W10301562"/>
    <s v="Filtros"/>
    <x v="5"/>
    <n v="1000"/>
    <n v="5002359"/>
    <s v="EMPRESA BRASILEIRA DE CORREIOS E"/>
    <n v="95.17"/>
    <d v="2025-06-30T00:00:00"/>
  </r>
  <r>
    <n v="253952563"/>
    <n v="64728920"/>
    <s v="REB"/>
    <n v="9885025"/>
    <n v="167"/>
    <s v="PEÇAS - Avaria - Quebrada/Depósito"/>
    <s v="LOGÍSTICA"/>
    <x v="2"/>
    <n v="87407"/>
    <x v="208"/>
    <s v="SP"/>
    <n v="644"/>
    <s v="Plus"/>
    <n v="1350"/>
    <s v="W10347206"/>
    <s v="Prateleiras"/>
    <x v="9"/>
    <n v="1000"/>
    <n v="5004042"/>
    <s v="BRASIL WEB TRANSPORTES E LOGISTICA"/>
    <n v="95.12"/>
    <d v="2025-03-10T00:00:00"/>
  </r>
  <r>
    <n v="254041595"/>
    <n v="64720835"/>
    <s v="ZDVP"/>
    <n v="9878757"/>
    <n v="160"/>
    <s v="OI Cancelada - Ver motivo no texto"/>
    <s v="OUTROS"/>
    <x v="0"/>
    <n v="87407"/>
    <x v="208"/>
    <s v="SP"/>
    <n v="644"/>
    <s v="Plus"/>
    <n v="1350"/>
    <s v="W10347201"/>
    <s v="Prateleiras"/>
    <x v="9"/>
    <n v="1000"/>
    <n v="5004042"/>
    <s v="BRASIL WEB TRANSPORTES E LOGISTICA"/>
    <n v="95.12"/>
    <d v="2025-03-10T00:00:00"/>
  </r>
  <r>
    <n v="253983889"/>
    <n v="64759537"/>
    <s v="REB"/>
    <n v="9907651"/>
    <n v="173"/>
    <s v="PEÇAS - Defeito de fabric./Alta Amperage"/>
    <s v="FUNCIONAL"/>
    <x v="2"/>
    <n v="27396"/>
    <x v="484"/>
    <s v="MT"/>
    <n v="934"/>
    <s v="CDP Ouro"/>
    <n v="1350"/>
    <s v="W10829873"/>
    <s v="Outros"/>
    <x v="7"/>
    <n v="1000"/>
    <n v="5002573"/>
    <s v="CARVALIMA TRANSPORTES LTDA"/>
    <n v="95.07"/>
    <d v="2025-04-28T00:00:00"/>
  </r>
  <r>
    <s v="Sem TR"/>
    <n v="64806766"/>
    <s v="ZRDI"/>
    <n v="10111016"/>
    <n v="208"/>
    <s v="DEV-Atraso entrega- LOGISTICA(Transp)"/>
    <s v="TRANSPORTADORA"/>
    <x v="2"/>
    <n v="58122291"/>
    <x v="1352"/>
    <s v="SP"/>
    <n v="466"/>
    <s v="Sup ML Marketplace"/>
    <n v="1352"/>
    <s v="W11212403"/>
    <s v="Anéis do Tanque"/>
    <x v="6"/>
    <n v="1000"/>
    <n v="5002359"/>
    <s v="EMPRESA BRASILEIRA DE CORREIOS E"/>
    <n v="95.07"/>
    <d v="2025-07-07T00:00:00"/>
  </r>
  <r>
    <n v="254028841"/>
    <n v="64789088"/>
    <s v="REB"/>
    <n v="10090177"/>
    <n v="173"/>
    <s v="PEÇAS - Defeito de fabric./Alta Amperage"/>
    <s v="FUNCIONAL"/>
    <x v="1"/>
    <n v="67948"/>
    <x v="15"/>
    <s v="SC"/>
    <n v="713"/>
    <s v="Key Account"/>
    <n v="1350"/>
    <s v="W11345331"/>
    <s v="Placas de Interface"/>
    <x v="1"/>
    <n v="1000"/>
    <n v="5003024"/>
    <s v="RODOBRAS TRANSPORTES RODOVIARIOS LT"/>
    <n v="95.06"/>
    <d v="2025-07-01T00:00:00"/>
  </r>
  <r>
    <n v="254018178"/>
    <n v="64793279"/>
    <s v="REB"/>
    <n v="10043635"/>
    <n v="176"/>
    <s v="PEÇAS - Defeito de fabric./Interrompido"/>
    <s v="FUNCIONAL"/>
    <x v="1"/>
    <n v="3506"/>
    <x v="46"/>
    <s v="SP"/>
    <n v="931"/>
    <s v="Ats Off"/>
    <n v="1350"/>
    <s v="W10810355"/>
    <s v="Válvulas de Segurança"/>
    <x v="12"/>
    <n v="1000"/>
    <n v="5004042"/>
    <s v="BRASIL WEB TRANSPORTES E LOGISTICA"/>
    <n v="94.99"/>
    <d v="2025-06-17T00:00:00"/>
  </r>
  <r>
    <n v="254032494"/>
    <n v="64811458"/>
    <s v="ZRDI"/>
    <n v="10016171"/>
    <n v="208"/>
    <s v="DEV-Atraso entrega- LOGISTICA(Transp)"/>
    <s v="TRANSPORTADORA"/>
    <x v="2"/>
    <n v="56335215"/>
    <x v="1353"/>
    <s v="SC"/>
    <n v="475"/>
    <s v="Site Consul"/>
    <n v="1352"/>
    <s v="W10301562"/>
    <s v="Filtros"/>
    <x v="5"/>
    <n v="1000"/>
    <n v="5002359"/>
    <s v="EMPRESA BRASILEIRA DE CORREIOS E"/>
    <n v="94.97"/>
    <d v="2025-07-16T00:00:00"/>
  </r>
  <r>
    <s v="Sem TR"/>
    <n v="64811380"/>
    <s v="ZRDI"/>
    <n v="10095784"/>
    <s v="D18"/>
    <s v="DEV D2C - Arrependimento não quero mais"/>
    <s v="COMERCIAL"/>
    <x v="2"/>
    <n v="58103532"/>
    <x v="1354"/>
    <s v="SE"/>
    <n v="475"/>
    <s v="Site Consul"/>
    <n v="1352"/>
    <s v="W11199342"/>
    <s v="Filtros"/>
    <x v="5"/>
    <n v="1000"/>
    <n v="5002359"/>
    <s v="EMPRESA BRASILEIRA DE CORREIOS E"/>
    <n v="94.92"/>
    <d v="2025-07-18T00:00:00"/>
  </r>
  <r>
    <s v="Sem TR"/>
    <n v="64812852"/>
    <s v="ZRDI"/>
    <n v="10093589"/>
    <n v="25"/>
    <s v="OC. 80 - EXTRAVIO TOTAL"/>
    <s v="TRANSPORTADORA"/>
    <x v="2"/>
    <n v="57126108"/>
    <x v="1355"/>
    <s v="SE"/>
    <n v="475"/>
    <s v="Site Consul"/>
    <n v="1352"/>
    <s v="W11199342"/>
    <s v="Filtros"/>
    <x v="5"/>
    <n v="1000"/>
    <n v="5002359"/>
    <s v="EMPRESA BRASILEIRA DE CORREIOS E"/>
    <n v="94.92"/>
    <d v="2025-07-17T00:00:00"/>
  </r>
  <r>
    <s v="Sem TR"/>
    <n v="64811380"/>
    <s v="ZRDI"/>
    <n v="10095784"/>
    <s v="D18"/>
    <s v="DEV D2C - Arrependimento não quero mais"/>
    <s v="COMERCIAL"/>
    <x v="2"/>
    <n v="58103532"/>
    <x v="1354"/>
    <s v="SE"/>
    <n v="475"/>
    <s v="Site Consul"/>
    <n v="1352"/>
    <s v="W11199342"/>
    <s v="Filtros"/>
    <x v="5"/>
    <n v="1000"/>
    <n v="5002359"/>
    <s v="EMPRESA BRASILEIRA DE CORREIOS E"/>
    <n v="94.92"/>
    <d v="2025-07-18T00:00:00"/>
  </r>
  <r>
    <s v="Sem TR"/>
    <n v="64812852"/>
    <s v="ZRDI"/>
    <n v="10093589"/>
    <n v="25"/>
    <s v="OC. 80 - EXTRAVIO TOTAL"/>
    <s v="TRANSPORTADORA"/>
    <x v="2"/>
    <n v="57126108"/>
    <x v="1355"/>
    <s v="SE"/>
    <n v="475"/>
    <s v="Site Consul"/>
    <n v="1352"/>
    <s v="W11199342"/>
    <s v="Filtros"/>
    <x v="5"/>
    <n v="1000"/>
    <n v="5002359"/>
    <s v="EMPRESA BRASILEIRA DE CORREIOS E"/>
    <n v="94.92"/>
    <d v="2025-07-17T00:00:00"/>
  </r>
  <r>
    <s v="Sem TR"/>
    <n v="64811380"/>
    <s v="ZRDI"/>
    <n v="10095784"/>
    <s v="D18"/>
    <s v="DEV D2C - Arrependimento não quero mais"/>
    <s v="COMERCIAL"/>
    <x v="2"/>
    <n v="58103532"/>
    <x v="1354"/>
    <s v="SE"/>
    <n v="475"/>
    <s v="Site Consul"/>
    <n v="1352"/>
    <s v="W11199342"/>
    <s v="Filtros"/>
    <x v="5"/>
    <n v="1000"/>
    <n v="5002359"/>
    <s v="EMPRESA BRASILEIRA DE CORREIOS E"/>
    <n v="94.9"/>
    <d v="2025-07-18T00:00:00"/>
  </r>
  <r>
    <s v="Sem TR"/>
    <n v="64812852"/>
    <s v="ZRDI"/>
    <n v="10093589"/>
    <n v="25"/>
    <s v="OC. 80 - EXTRAVIO TOTAL"/>
    <s v="TRANSPORTADORA"/>
    <x v="2"/>
    <n v="57126108"/>
    <x v="1355"/>
    <s v="SE"/>
    <n v="475"/>
    <s v="Site Consul"/>
    <n v="1352"/>
    <s v="W11199342"/>
    <s v="Filtros"/>
    <x v="5"/>
    <n v="1000"/>
    <n v="5002359"/>
    <s v="EMPRESA BRASILEIRA DE CORREIOS E"/>
    <n v="94.9"/>
    <d v="2025-07-17T00:00:00"/>
  </r>
  <r>
    <s v="Sem TR"/>
    <n v="64811380"/>
    <s v="ZRDI"/>
    <n v="10095784"/>
    <s v="D18"/>
    <s v="DEV D2C - Arrependimento não quero mais"/>
    <s v="COMERCIAL"/>
    <x v="2"/>
    <n v="58103532"/>
    <x v="1354"/>
    <s v="SE"/>
    <n v="475"/>
    <s v="Site Consul"/>
    <n v="1352"/>
    <s v="W11199342"/>
    <s v="Filtros"/>
    <x v="5"/>
    <n v="1000"/>
    <n v="5002359"/>
    <s v="EMPRESA BRASILEIRA DE CORREIOS E"/>
    <n v="94.9"/>
    <d v="2025-07-18T00:00:00"/>
  </r>
  <r>
    <s v="Sem TR"/>
    <n v="64812852"/>
    <s v="ZRDI"/>
    <n v="10093589"/>
    <n v="25"/>
    <s v="OC. 80 - EXTRAVIO TOTAL"/>
    <s v="TRANSPORTADORA"/>
    <x v="2"/>
    <n v="57126108"/>
    <x v="1355"/>
    <s v="SE"/>
    <n v="475"/>
    <s v="Site Consul"/>
    <n v="1352"/>
    <s v="W11199342"/>
    <s v="Filtros"/>
    <x v="5"/>
    <n v="1000"/>
    <n v="5002359"/>
    <s v="EMPRESA BRASILEIRA DE CORREIOS E"/>
    <n v="94.9"/>
    <d v="2025-07-17T00:00:00"/>
  </r>
  <r>
    <n v="254024491"/>
    <n v="64804716"/>
    <s v="ZRDI"/>
    <n v="10075150"/>
    <n v="208"/>
    <s v="DEV-Atraso entrega- LOGISTICA(Transp)"/>
    <s v="TRANSPORTADORA"/>
    <x v="2"/>
    <n v="58070791"/>
    <x v="1356"/>
    <s v="CE"/>
    <n v="475"/>
    <s v="Site Consul"/>
    <n v="1352"/>
    <s v="W11199342"/>
    <s v="Filtros"/>
    <x v="5"/>
    <n v="1000"/>
    <n v="5002359"/>
    <s v="EMPRESA BRASILEIRA DE CORREIOS E"/>
    <n v="94.82"/>
    <d v="2025-07-02T00:00:00"/>
  </r>
  <r>
    <n v="254024491"/>
    <n v="64804716"/>
    <s v="ZRDI"/>
    <n v="10075150"/>
    <n v="208"/>
    <s v="DEV-Atraso entrega- LOGISTICA(Transp)"/>
    <s v="TRANSPORTADORA"/>
    <x v="2"/>
    <n v="58070791"/>
    <x v="1356"/>
    <s v="CE"/>
    <n v="475"/>
    <s v="Site Consul"/>
    <n v="1352"/>
    <s v="W11199342"/>
    <s v="Filtros"/>
    <x v="5"/>
    <n v="1000"/>
    <n v="5002359"/>
    <s v="EMPRESA BRASILEIRA DE CORREIOS E"/>
    <n v="94.8"/>
    <d v="2025-07-02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743620"/>
    <s v="Lâmpadas"/>
    <x v="1"/>
    <n v="3000"/>
    <n v="5004101"/>
    <s v="UNIDOCK'S ASSESSORIA E LOGISTICA DE"/>
    <n v="94.78"/>
    <d v="2025-03-13T00:00:00"/>
  </r>
  <r>
    <n v="254018186"/>
    <n v="64792166"/>
    <s v="REB"/>
    <n v="9964568"/>
    <n v="176"/>
    <s v="PEÇAS - Defeito de fabric./Interrompido"/>
    <s v="FUNCIONAL"/>
    <x v="1"/>
    <n v="4318"/>
    <x v="89"/>
    <s v="SC"/>
    <n v="931"/>
    <s v="Ats Off"/>
    <n v="1350"/>
    <n v="326015416"/>
    <s v="Polias/Roldanas"/>
    <x v="2"/>
    <n v="8000"/>
    <n v="5003024"/>
    <s v="RODOBRAS TRANSPORTES RODOVIARIOS LT"/>
    <n v="94.78"/>
    <d v="2025-06-17T00:00:00"/>
  </r>
  <r>
    <n v="253992764"/>
    <n v="64768125"/>
    <s v="REB"/>
    <n v="9995296"/>
    <n v="176"/>
    <s v="PEÇAS - Defeito de fabric./Interrompido"/>
    <s v="FUNCIONAL"/>
    <x v="1"/>
    <n v="70149"/>
    <x v="147"/>
    <s v="SP"/>
    <n v="963"/>
    <s v="Ats Distribuidoras"/>
    <n v="1350"/>
    <s v="W10224624"/>
    <s v="Queimadores"/>
    <x v="12"/>
    <n v="10000"/>
    <n v="5004042"/>
    <s v="BRASIL WEB TRANSPORTES E LOGISTICA"/>
    <n v="94.68"/>
    <d v="2025-05-12T00:00:00"/>
  </r>
  <r>
    <n v="253995220"/>
    <n v="64772319"/>
    <s v="REB"/>
    <n v="10022599"/>
    <n v="176"/>
    <s v="PEÇAS - Defeito de fabric./Interrompido"/>
    <s v="FUNCIONAL"/>
    <x v="1"/>
    <n v="70149"/>
    <x v="147"/>
    <s v="SP"/>
    <n v="963"/>
    <s v="Ats Distribuidoras"/>
    <n v="1350"/>
    <s v="W10224624"/>
    <s v="Queimadores"/>
    <x v="12"/>
    <n v="10000"/>
    <n v="5004042"/>
    <s v="BRASIL WEB TRANSPORTES E LOGISTICA"/>
    <n v="94.68"/>
    <d v="2025-05-16T00:00:00"/>
  </r>
  <r>
    <n v="254024629"/>
    <n v="64804724"/>
    <s v="ZRDI"/>
    <n v="10082708"/>
    <n v="208"/>
    <s v="DEV-Atraso entrega- LOGISTICA(Transp)"/>
    <s v="TRANSPORTADORA"/>
    <x v="2"/>
    <n v="52435205"/>
    <x v="1357"/>
    <s v="PE"/>
    <n v="475"/>
    <s v="Site Consul"/>
    <n v="1352"/>
    <s v="W11199342"/>
    <s v="Filtros"/>
    <x v="5"/>
    <n v="1000"/>
    <n v="5002359"/>
    <s v="EMPRESA BRASILEIRA DE CORREIOS E"/>
    <n v="94.67"/>
    <d v="2025-07-02T00:00:00"/>
  </r>
  <r>
    <n v="254024629"/>
    <n v="64804724"/>
    <s v="ZRDI"/>
    <n v="10082708"/>
    <n v="208"/>
    <s v="DEV-Atraso entrega- LOGISTICA(Transp)"/>
    <s v="TRANSPORTADORA"/>
    <x v="2"/>
    <n v="52435205"/>
    <x v="1357"/>
    <s v="PE"/>
    <n v="475"/>
    <s v="Site Consul"/>
    <n v="1352"/>
    <s v="W11199342"/>
    <s v="Filtros"/>
    <x v="5"/>
    <n v="1000"/>
    <n v="5002359"/>
    <s v="EMPRESA BRASILEIRA DE CORREIOS E"/>
    <n v="94.67"/>
    <d v="2025-07-02T00:00:00"/>
  </r>
  <r>
    <n v="254024629"/>
    <n v="64804724"/>
    <s v="ZRDI"/>
    <n v="10082708"/>
    <n v="208"/>
    <s v="DEV-Atraso entrega- LOGISTICA(Transp)"/>
    <s v="TRANSPORTADORA"/>
    <x v="2"/>
    <n v="52435205"/>
    <x v="1357"/>
    <s v="PE"/>
    <n v="475"/>
    <s v="Site Consul"/>
    <n v="1352"/>
    <s v="W11199342"/>
    <s v="Filtros"/>
    <x v="5"/>
    <n v="1000"/>
    <n v="5002359"/>
    <s v="EMPRESA BRASILEIRA DE CORREIOS E"/>
    <n v="94.65"/>
    <d v="2025-07-02T00:00:00"/>
  </r>
  <r>
    <s v="Sem TR"/>
    <n v="64817227"/>
    <s v="ZRDI"/>
    <n v="10150410"/>
    <n v="208"/>
    <s v="DEV-Atraso entrega- LOGISTICA(Transp)"/>
    <s v="TRANSPORTADORA"/>
    <x v="2"/>
    <n v="58176491"/>
    <x v="1358"/>
    <s v="GO"/>
    <n v="474"/>
    <s v="Site Brastemp"/>
    <n v="1352"/>
    <s v="W11245250"/>
    <s v="Válvulas de Água"/>
    <x v="5"/>
    <n v="1000"/>
    <n v="5002359"/>
    <s v="EMPRESA BRASILEIRA DE CORREIOS E"/>
    <n v="94.65"/>
    <d v="2025-07-24T00:00:00"/>
  </r>
  <r>
    <n v="254024629"/>
    <n v="64804724"/>
    <s v="ZRDI"/>
    <n v="10082708"/>
    <n v="208"/>
    <s v="DEV-Atraso entrega- LOGISTICA(Transp)"/>
    <s v="TRANSPORTADORA"/>
    <x v="2"/>
    <n v="52435205"/>
    <x v="1357"/>
    <s v="PE"/>
    <n v="475"/>
    <s v="Site Consul"/>
    <n v="1352"/>
    <s v="W11199342"/>
    <s v="Filtros"/>
    <x v="5"/>
    <n v="1000"/>
    <n v="5002359"/>
    <s v="EMPRESA BRASILEIRA DE CORREIOS E"/>
    <n v="94.65"/>
    <d v="2025-07-02T00:00:00"/>
  </r>
  <r>
    <s v="Sem TR"/>
    <n v="64817227"/>
    <s v="ZRDI"/>
    <n v="10150410"/>
    <n v="208"/>
    <s v="DEV-Atraso entrega- LOGISTICA(Transp)"/>
    <s v="TRANSPORTADORA"/>
    <x v="2"/>
    <n v="58176491"/>
    <x v="1358"/>
    <s v="GO"/>
    <n v="474"/>
    <s v="Site Brastemp"/>
    <n v="1352"/>
    <s v="W11245250"/>
    <s v="Válvulas de Água"/>
    <x v="5"/>
    <n v="1000"/>
    <n v="5002359"/>
    <s v="EMPRESA BRASILEIRA DE CORREIOS E"/>
    <n v="94.65"/>
    <d v="2025-07-24T00:00:00"/>
  </r>
  <r>
    <s v="Sem TR"/>
    <n v="64794338"/>
    <s v="ZRDI"/>
    <n v="10071558"/>
    <s v="D10"/>
    <s v="DEV D2C - Comprou modelo errado"/>
    <s v="COMERCIAL"/>
    <x v="2"/>
    <n v="58068261"/>
    <x v="1359"/>
    <s v="SP"/>
    <n v="466"/>
    <s v="Sup ML Marketplace"/>
    <n v="1352"/>
    <s v="W10301562"/>
    <s v="Filtros"/>
    <x v="5"/>
    <n v="1000"/>
    <n v="5002359"/>
    <s v="EMPRESA BRASILEIRA DE CORREIOS E"/>
    <n v="94.63"/>
    <d v="2025-06-24T00:00:00"/>
  </r>
  <r>
    <s v="Sem TR"/>
    <n v="64803863"/>
    <s v="ZRDI"/>
    <n v="10103951"/>
    <n v="208"/>
    <s v="DEV-Atraso entrega- LOGISTICA(Transp)"/>
    <s v="TRANSPORTADORA"/>
    <x v="2"/>
    <n v="58076407"/>
    <x v="1360"/>
    <s v="SP"/>
    <n v="466"/>
    <s v="Sup ML Marketplace"/>
    <n v="1352"/>
    <s v="W10301562"/>
    <s v="Filtros"/>
    <x v="5"/>
    <n v="1000"/>
    <n v="5002359"/>
    <s v="EMPRESA BRASILEIRA DE CORREIOS E"/>
    <n v="94.63"/>
    <d v="2025-07-01T00:00:00"/>
  </r>
  <r>
    <n v="254024625"/>
    <n v="64804720"/>
    <s v="ZRDI"/>
    <n v="10079061"/>
    <n v="208"/>
    <s v="DEV-Atraso entrega- LOGISTICA(Transp)"/>
    <s v="TRANSPORTADORA"/>
    <x v="2"/>
    <n v="56576759"/>
    <x v="1361"/>
    <s v="SP"/>
    <n v="466"/>
    <s v="Sup ML Marketplace"/>
    <n v="1352"/>
    <s v="W10301562"/>
    <s v="Filtros"/>
    <x v="5"/>
    <n v="1000"/>
    <n v="5002359"/>
    <s v="EMPRESA BRASILEIRA DE CORREIOS E"/>
    <n v="94.63"/>
    <d v="2025-07-02T00:00:00"/>
  </r>
  <r>
    <n v="254039848"/>
    <n v="64817970"/>
    <s v="ZRDI"/>
    <n v="10065937"/>
    <s v="D24"/>
    <s v="DEV D2C - Falta de agendamento entrega"/>
    <s v="COMERCIAL"/>
    <x v="2"/>
    <n v="54069064"/>
    <x v="1362"/>
    <s v="SP"/>
    <n v="466"/>
    <s v="Sup ML Marketplace"/>
    <n v="1352"/>
    <s v="W10301562"/>
    <s v="Filtros"/>
    <x v="5"/>
    <n v="1000"/>
    <n v="5003972"/>
    <s v="ICARO EXPRESS LOGISTICA LTDA"/>
    <n v="94.63"/>
    <d v="2025-07-25T00:00:00"/>
  </r>
  <r>
    <n v="254039850"/>
    <n v="64817973"/>
    <s v="ZRDI"/>
    <n v="10071422"/>
    <s v="D25"/>
    <s v="DEV D2C - Prob na entrega (Não recebi)"/>
    <s v="TRANSPORTADORA"/>
    <x v="2"/>
    <n v="52712066"/>
    <x v="1363"/>
    <s v="SP"/>
    <n v="466"/>
    <s v="Sup ML Marketplace"/>
    <n v="1352"/>
    <s v="W10301562"/>
    <s v="Filtros"/>
    <x v="5"/>
    <n v="1000"/>
    <n v="5003972"/>
    <s v="ICARO EXPRESS LOGISTICA LTDA"/>
    <n v="94.63"/>
    <d v="2025-07-25T00:00:00"/>
  </r>
  <r>
    <s v="Sem TR"/>
    <n v="64794338"/>
    <s v="ZRDI"/>
    <n v="10071558"/>
    <s v="D10"/>
    <s v="DEV D2C - Comprou modelo errado"/>
    <s v="COMERCIAL"/>
    <x v="2"/>
    <n v="58068261"/>
    <x v="1359"/>
    <s v="SP"/>
    <n v="466"/>
    <s v="Sup ML Marketplace"/>
    <n v="1352"/>
    <s v="W10301562"/>
    <s v="Filtros"/>
    <x v="5"/>
    <n v="1000"/>
    <n v="5002359"/>
    <s v="EMPRESA BRASILEIRA DE CORREIOS E"/>
    <n v="94.63"/>
    <d v="2025-06-24T00:00:00"/>
  </r>
  <r>
    <n v="254039848"/>
    <n v="64817970"/>
    <s v="ZRDI"/>
    <n v="10065937"/>
    <s v="D24"/>
    <s v="DEV D2C - Falta de agendamento entrega"/>
    <s v="COMERCIAL"/>
    <x v="2"/>
    <n v="54069064"/>
    <x v="1362"/>
    <s v="SP"/>
    <n v="466"/>
    <s v="Sup ML Marketplace"/>
    <n v="1352"/>
    <s v="W10301562"/>
    <s v="Filtros"/>
    <x v="5"/>
    <n v="1000"/>
    <n v="5003972"/>
    <s v="ICARO EXPRESS LOGISTICA LTDA"/>
    <n v="94.63"/>
    <d v="2025-07-25T00:00:00"/>
  </r>
  <r>
    <n v="254039850"/>
    <n v="64817973"/>
    <s v="ZRDI"/>
    <n v="10071422"/>
    <s v="D25"/>
    <s v="DEV D2C - Prob na entrega (Não recebi)"/>
    <s v="TRANSPORTADORA"/>
    <x v="2"/>
    <n v="52712066"/>
    <x v="1363"/>
    <s v="SP"/>
    <n v="466"/>
    <s v="Sup ML Marketplace"/>
    <n v="1352"/>
    <s v="W10301562"/>
    <s v="Filtros"/>
    <x v="5"/>
    <n v="1000"/>
    <n v="5003972"/>
    <s v="ICARO EXPRESS LOGISTICA LTDA"/>
    <n v="94.63"/>
    <d v="2025-07-25T00:00:00"/>
  </r>
  <r>
    <s v="Sem TR"/>
    <n v="64794338"/>
    <s v="ZRDI"/>
    <n v="10071558"/>
    <s v="D10"/>
    <s v="DEV D2C - Comprou modelo errado"/>
    <s v="COMERCIAL"/>
    <x v="2"/>
    <n v="58068261"/>
    <x v="1359"/>
    <s v="SP"/>
    <n v="466"/>
    <s v="Sup ML Marketplace"/>
    <n v="1352"/>
    <s v="W10301562"/>
    <s v="Filtros"/>
    <x v="5"/>
    <n v="1000"/>
    <n v="5002359"/>
    <s v="EMPRESA BRASILEIRA DE CORREIOS E"/>
    <n v="94.62"/>
    <d v="2025-06-24T00:00:00"/>
  </r>
  <r>
    <s v="Sem TR"/>
    <n v="64803863"/>
    <s v="ZRDI"/>
    <n v="10103951"/>
    <n v="208"/>
    <s v="DEV-Atraso entrega- LOGISTICA(Transp)"/>
    <s v="TRANSPORTADORA"/>
    <x v="2"/>
    <n v="58076407"/>
    <x v="1360"/>
    <s v="SP"/>
    <n v="466"/>
    <s v="Sup ML Marketplace"/>
    <n v="1352"/>
    <s v="W10301562"/>
    <s v="Filtros"/>
    <x v="5"/>
    <n v="1000"/>
    <n v="5002359"/>
    <s v="EMPRESA BRASILEIRA DE CORREIOS E"/>
    <n v="94.62"/>
    <d v="2025-07-01T00:00:00"/>
  </r>
  <r>
    <n v="254024625"/>
    <n v="64804720"/>
    <s v="ZRDI"/>
    <n v="10079061"/>
    <n v="208"/>
    <s v="DEV-Atraso entrega- LOGISTICA(Transp)"/>
    <s v="TRANSPORTADORA"/>
    <x v="2"/>
    <n v="56576759"/>
    <x v="1361"/>
    <s v="SP"/>
    <n v="466"/>
    <s v="Sup ML Marketplace"/>
    <n v="1352"/>
    <s v="W10301562"/>
    <s v="Filtros"/>
    <x v="5"/>
    <n v="1000"/>
    <n v="5002359"/>
    <s v="EMPRESA BRASILEIRA DE CORREIOS E"/>
    <n v="94.62"/>
    <d v="2025-07-02T00:00:00"/>
  </r>
  <r>
    <n v="254027700"/>
    <n v="64807254"/>
    <s v="ZRDI"/>
    <n v="10103569"/>
    <n v="208"/>
    <s v="DEV-Atraso entrega- LOGISTICA(Transp)"/>
    <s v="TRANSPORTADORA"/>
    <x v="2"/>
    <n v="56663947"/>
    <x v="1364"/>
    <s v="PE"/>
    <n v="466"/>
    <s v="Sup ML Marketplace"/>
    <n v="1352"/>
    <s v="W11245250"/>
    <s v="Válvulas de Água"/>
    <x v="5"/>
    <n v="1000"/>
    <n v="5002359"/>
    <s v="EMPRESA BRASILEIRA DE CORREIOS E"/>
    <n v="94.62"/>
    <d v="2025-07-08T00:00:00"/>
  </r>
  <r>
    <n v="254039848"/>
    <n v="64817970"/>
    <s v="ZRDI"/>
    <n v="10065937"/>
    <s v="D24"/>
    <s v="DEV D2C - Falta de agendamento entrega"/>
    <s v="COMERCIAL"/>
    <x v="2"/>
    <n v="54069064"/>
    <x v="1362"/>
    <s v="SP"/>
    <n v="466"/>
    <s v="Sup ML Marketplace"/>
    <n v="1352"/>
    <s v="W10301562"/>
    <s v="Filtros"/>
    <x v="5"/>
    <n v="1000"/>
    <n v="5003972"/>
    <s v="ICARO EXPRESS LOGISTICA LTDA"/>
    <n v="94.62"/>
    <d v="2025-07-25T00:00:00"/>
  </r>
  <r>
    <n v="254039850"/>
    <n v="64817973"/>
    <s v="ZRDI"/>
    <n v="10071422"/>
    <s v="D25"/>
    <s v="DEV D2C - Prob na entrega (Não recebi)"/>
    <s v="TRANSPORTADORA"/>
    <x v="2"/>
    <n v="52712066"/>
    <x v="1363"/>
    <s v="SP"/>
    <n v="466"/>
    <s v="Sup ML Marketplace"/>
    <n v="1352"/>
    <s v="W10301562"/>
    <s v="Filtros"/>
    <x v="5"/>
    <n v="1000"/>
    <n v="5003972"/>
    <s v="ICARO EXPRESS LOGISTICA LTDA"/>
    <n v="94.62"/>
    <d v="2025-07-25T00:00:00"/>
  </r>
  <r>
    <s v="Sem TR"/>
    <n v="64794338"/>
    <s v="ZRDI"/>
    <n v="10071558"/>
    <s v="D10"/>
    <s v="DEV D2C - Comprou modelo errado"/>
    <s v="COMERCIAL"/>
    <x v="2"/>
    <n v="58068261"/>
    <x v="1359"/>
    <s v="SP"/>
    <n v="466"/>
    <s v="Sup ML Marketplace"/>
    <n v="1352"/>
    <s v="W10301562"/>
    <s v="Filtros"/>
    <x v="5"/>
    <n v="1000"/>
    <n v="5002359"/>
    <s v="EMPRESA BRASILEIRA DE CORREIOS E"/>
    <n v="94.62"/>
    <d v="2025-06-24T00:00:00"/>
  </r>
  <r>
    <n v="254039848"/>
    <n v="64817970"/>
    <s v="ZRDI"/>
    <n v="10065937"/>
    <s v="D24"/>
    <s v="DEV D2C - Falta de agendamento entrega"/>
    <s v="COMERCIAL"/>
    <x v="2"/>
    <n v="54069064"/>
    <x v="1362"/>
    <s v="SP"/>
    <n v="466"/>
    <s v="Sup ML Marketplace"/>
    <n v="1352"/>
    <s v="W10301562"/>
    <s v="Filtros"/>
    <x v="5"/>
    <n v="1000"/>
    <n v="5003972"/>
    <s v="ICARO EXPRESS LOGISTICA LTDA"/>
    <n v="94.62"/>
    <d v="2025-07-25T00:00:00"/>
  </r>
  <r>
    <n v="254039850"/>
    <n v="64817973"/>
    <s v="ZRDI"/>
    <n v="10071422"/>
    <s v="D25"/>
    <s v="DEV D2C - Prob na entrega (Não recebi)"/>
    <s v="TRANSPORTADORA"/>
    <x v="2"/>
    <n v="52712066"/>
    <x v="1363"/>
    <s v="SP"/>
    <n v="466"/>
    <s v="Sup ML Marketplace"/>
    <n v="1352"/>
    <s v="W10301562"/>
    <s v="Filtros"/>
    <x v="5"/>
    <n v="1000"/>
    <n v="5003972"/>
    <s v="ICARO EXPRESS LOGISTICA LTDA"/>
    <n v="94.62"/>
    <d v="2025-07-25T00:00:00"/>
  </r>
  <r>
    <n v="253961204"/>
    <n v="64735756"/>
    <s v="REB"/>
    <n v="9798680"/>
    <n v="176"/>
    <s v="PEÇAS - Defeito de fabric./Interrompido"/>
    <s v="FUNCIONAL"/>
    <x v="1"/>
    <n v="3389"/>
    <x v="327"/>
    <s v="SP"/>
    <n v="350"/>
    <s v="Ats On"/>
    <n v="1350"/>
    <s v="W10864920"/>
    <s v="Sensores"/>
    <x v="3"/>
    <n v="1000"/>
    <n v="5004042"/>
    <s v="BRASIL WEB TRANSPORTES E LOGISTICA"/>
    <n v="94.48"/>
    <d v="2025-03-25T00:00:00"/>
  </r>
  <r>
    <n v="254035313"/>
    <n v="64812679"/>
    <s v="REB"/>
    <n v="9994417"/>
    <n v="173"/>
    <s v="PEÇAS - Defeito de fabric./Alta Amperage"/>
    <s v="FUNCIONAL"/>
    <x v="2"/>
    <n v="66"/>
    <x v="73"/>
    <s v="GO"/>
    <n v="931"/>
    <s v="Ats Off"/>
    <n v="1350"/>
    <s v="W10833448"/>
    <s v="Bombas"/>
    <x v="1"/>
    <n v="1000"/>
    <n v="5002858"/>
    <s v="FAVORITA TRANSPORTES LTDA"/>
    <n v="94.42"/>
    <d v="2025-07-17T00:00:00"/>
  </r>
  <r>
    <n v="253970951"/>
    <n v="64748523"/>
    <s v="REB"/>
    <n v="9821808"/>
    <n v="173"/>
    <s v="PEÇAS - Defeito de fabric./Alta Amperage"/>
    <s v="FUNCIONAL"/>
    <x v="2"/>
    <n v="77209"/>
    <x v="1365"/>
    <s v="MG"/>
    <n v="934"/>
    <s v="CDP Ouro"/>
    <n v="1350"/>
    <s v="W11299803"/>
    <s v="Mecanismos"/>
    <x v="2"/>
    <n v="1000"/>
    <n v="5004215"/>
    <s v="BRASIL WEB TRANSPORTES E LOGISTICA"/>
    <n v="94.38"/>
    <d v="2025-04-09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364167"/>
    <s v="Atuadores"/>
    <x v="2"/>
    <n v="3000"/>
    <n v="5004101"/>
    <s v="UNIDOCK'S ASSESSORIA E LOGISTICA DE"/>
    <n v="94.38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364167"/>
    <s v="Atuadores"/>
    <x v="2"/>
    <n v="3000"/>
    <n v="5004101"/>
    <s v="UNIDOCK'S ASSESSORIA E LOGISTICA DE"/>
    <n v="94.38"/>
    <d v="2025-06-24T00:00:00"/>
  </r>
  <r>
    <n v="254042332"/>
    <n v="64796289"/>
    <s v="REB"/>
    <n v="10004353"/>
    <n v="173"/>
    <s v="PEÇAS - Defeito de fabric./Alta Amperage"/>
    <s v="FUNCIONAL"/>
    <x v="0"/>
    <n v="78757"/>
    <x v="50"/>
    <s v="RS"/>
    <n v="643"/>
    <s v="Elite"/>
    <n v="1350"/>
    <s v="W11240401"/>
    <s v="Placas de Controle"/>
    <x v="1"/>
    <n v="1000"/>
    <n v="5003024"/>
    <s v="RODOBRAS TRANSPORTES RODOVIARIOS LT"/>
    <n v="94.37"/>
    <d v="2025-06-23T00:00:00"/>
  </r>
  <r>
    <n v="253927007"/>
    <n v="64700464"/>
    <s v="REB"/>
    <n v="9742824"/>
    <n v="173"/>
    <s v="PEÇAS - Defeito de fabric./Alta Amperage"/>
    <s v="FUNCIONAL"/>
    <x v="2"/>
    <n v="67948"/>
    <x v="15"/>
    <s v="SC"/>
    <n v="713"/>
    <s v="Key Account"/>
    <n v="1350"/>
    <s v="W11634491"/>
    <s v="Placas de Controle"/>
    <x v="1"/>
    <n v="1000"/>
    <n v="5003024"/>
    <s v="RODOBRAS TRANSPORTES RODOVIARIOS LT"/>
    <n v="94.36"/>
    <d v="2025-01-27T00:00:00"/>
  </r>
  <r>
    <s v="Sem TR"/>
    <n v="64798670"/>
    <s v="ZRDI"/>
    <n v="10105325"/>
    <s v="D18"/>
    <s v="DEV D2C - Arrependimento não quero mais"/>
    <s v="COMERCIAL"/>
    <x v="2"/>
    <n v="58116440"/>
    <x v="1366"/>
    <s v="SP"/>
    <n v="475"/>
    <s v="Site Consul"/>
    <n v="1352"/>
    <s v="W11199342"/>
    <s v="Filtros"/>
    <x v="5"/>
    <n v="1000"/>
    <n v="5002359"/>
    <s v="EMPRESA BRASILEIRA DE CORREIOS E"/>
    <n v="94.3"/>
    <d v="2025-06-27T00:00:00"/>
  </r>
  <r>
    <s v="Sem TR"/>
    <n v="64801903"/>
    <s v="ZRDI"/>
    <n v="10112559"/>
    <s v="D10"/>
    <s v="DEV D2C - Comprou modelo errado"/>
    <s v="COMERCIAL"/>
    <x v="2"/>
    <n v="53728543"/>
    <x v="1367"/>
    <s v="SP"/>
    <n v="475"/>
    <s v="Site Consul"/>
    <n v="1352"/>
    <s v="W11199342"/>
    <s v="Filtros"/>
    <x v="5"/>
    <n v="1000"/>
    <n v="5002359"/>
    <s v="EMPRESA BRASILEIRA DE CORREIOS E"/>
    <n v="94.3"/>
    <d v="2025-07-04T00:00:00"/>
  </r>
  <r>
    <s v="Sem TR"/>
    <n v="64803855"/>
    <s v="ZRDI"/>
    <n v="10115977"/>
    <s v="D30"/>
    <s v="DEV D2C - Defeito funcional manufatura"/>
    <s v="MANUFATURA"/>
    <x v="2"/>
    <n v="58127711"/>
    <x v="1368"/>
    <s v="SP"/>
    <n v="475"/>
    <s v="Site Consul"/>
    <n v="1352"/>
    <s v="W11199342"/>
    <s v="Filtros"/>
    <x v="5"/>
    <n v="1000"/>
    <n v="5002359"/>
    <s v="EMPRESA BRASILEIRA DE CORREIOS E"/>
    <n v="94.3"/>
    <d v="2025-07-08T00:00:00"/>
  </r>
  <r>
    <n v="254024162"/>
    <n v="64803880"/>
    <s v="ZRDI"/>
    <n v="10105370"/>
    <n v="208"/>
    <s v="DEV-Atraso entrega- LOGISTICA(Transp)"/>
    <s v="TRANSPORTADORA"/>
    <x v="2"/>
    <n v="58117635"/>
    <x v="1369"/>
    <s v="SP"/>
    <n v="475"/>
    <s v="Site Consul"/>
    <n v="1352"/>
    <s v="W11199342"/>
    <s v="Filtros"/>
    <x v="5"/>
    <n v="1000"/>
    <n v="5002359"/>
    <s v="EMPRESA BRASILEIRA DE CORREIOS E"/>
    <n v="94.3"/>
    <d v="2025-07-01T00:00:00"/>
  </r>
  <r>
    <s v="Sem TR"/>
    <n v="64805629"/>
    <s v="ZRDI"/>
    <n v="10112610"/>
    <s v="D32"/>
    <s v="DEV D2C - Embalagem avariada"/>
    <s v="QUALIDADE"/>
    <x v="2"/>
    <n v="54503623"/>
    <x v="1370"/>
    <s v="SP"/>
    <n v="475"/>
    <s v="Site Consul"/>
    <n v="1352"/>
    <s v="W11199342"/>
    <s v="Filtros"/>
    <x v="5"/>
    <n v="1000"/>
    <n v="5002359"/>
    <s v="EMPRESA BRASILEIRA DE CORREIOS E"/>
    <n v="94.3"/>
    <d v="2025-07-04T00:00:00"/>
  </r>
  <r>
    <n v="254027362"/>
    <n v="64806767"/>
    <s v="ZRDI"/>
    <n v="10112283"/>
    <n v="208"/>
    <s v="DEV-Atraso entrega- LOGISTICA(Transp)"/>
    <s v="TRANSPORTADORA"/>
    <x v="2"/>
    <n v="56405443"/>
    <x v="1371"/>
    <s v="SP"/>
    <n v="475"/>
    <s v="Site Consul"/>
    <n v="1352"/>
    <s v="W11199342"/>
    <s v="Filtros"/>
    <x v="5"/>
    <n v="1000"/>
    <n v="5002359"/>
    <s v="EMPRESA BRASILEIRA DE CORREIOS E"/>
    <n v="94.3"/>
    <d v="2025-07-07T00:00:00"/>
  </r>
  <r>
    <s v="Sem TR"/>
    <n v="64807256"/>
    <s v="ZRDI"/>
    <n v="10106113"/>
    <n v="208"/>
    <s v="DEV-Atraso entrega- LOGISTICA(Transp)"/>
    <s v="TRANSPORTADORA"/>
    <x v="2"/>
    <n v="56221973"/>
    <x v="1372"/>
    <s v="SP"/>
    <n v="475"/>
    <s v="Site Consul"/>
    <n v="1352"/>
    <s v="W11199342"/>
    <s v="Filtros"/>
    <x v="5"/>
    <n v="1000"/>
    <n v="5002359"/>
    <s v="EMPRESA BRASILEIRA DE CORREIOS E"/>
    <n v="94.3"/>
    <d v="2025-07-08T00:00:00"/>
  </r>
  <r>
    <n v="254028852"/>
    <n v="64808569"/>
    <s v="ZRDI"/>
    <n v="10121212"/>
    <s v="D25"/>
    <s v="DEV D2C - Prob na entrega (Não recebi)"/>
    <s v="TRANSPORTADORA"/>
    <x v="2"/>
    <n v="52882527"/>
    <x v="1373"/>
    <s v="SP"/>
    <n v="475"/>
    <s v="Site Consul"/>
    <n v="1352"/>
    <s v="W11199342"/>
    <s v="Filtros"/>
    <x v="5"/>
    <n v="1000"/>
    <n v="5002359"/>
    <s v="EMPRESA BRASILEIRA DE CORREIOS E"/>
    <n v="94.3"/>
    <d v="2025-07-10T00:00:00"/>
  </r>
  <r>
    <s v="Sem TR"/>
    <n v="64810935"/>
    <s v="ZRDI"/>
    <n v="10114431"/>
    <s v="D25"/>
    <s v="DEV D2C - Prob na entrega (Não recebi)"/>
    <s v="TRANSPORTADORA"/>
    <x v="2"/>
    <n v="58127219"/>
    <x v="1374"/>
    <s v="SP"/>
    <n v="475"/>
    <s v="Site Consul"/>
    <n v="1352"/>
    <s v="W11199342"/>
    <s v="Filtros"/>
    <x v="5"/>
    <n v="1000"/>
    <n v="5002359"/>
    <s v="EMPRESA BRASILEIRA DE CORREIOS E"/>
    <n v="94.3"/>
    <d v="2025-07-15T00:00:00"/>
  </r>
  <r>
    <s v="Sem TR"/>
    <n v="64811455"/>
    <s v="ZRDI"/>
    <n v="10112914"/>
    <n v="208"/>
    <s v="DEV-Atraso entrega- LOGISTICA(Transp)"/>
    <s v="TRANSPORTADORA"/>
    <x v="2"/>
    <n v="58125105"/>
    <x v="1375"/>
    <s v="SP"/>
    <n v="475"/>
    <s v="Site Consul"/>
    <n v="1352"/>
    <s v="W11199342"/>
    <s v="Filtros"/>
    <x v="5"/>
    <n v="1000"/>
    <n v="5002359"/>
    <s v="EMPRESA BRASILEIRA DE CORREIOS E"/>
    <n v="94.3"/>
    <d v="2025-07-16T00:00:00"/>
  </r>
  <r>
    <s v="Sem TR"/>
    <n v="64811513"/>
    <s v="ZRDI"/>
    <n v="10109515"/>
    <n v="208"/>
    <s v="DEV-Atraso entrega- LOGISTICA(Transp)"/>
    <s v="TRANSPORTADORA"/>
    <x v="2"/>
    <n v="57731234"/>
    <x v="1376"/>
    <s v="SP"/>
    <n v="475"/>
    <s v="Site Consul"/>
    <n v="1352"/>
    <s v="W11199342"/>
    <s v="Filtros"/>
    <x v="5"/>
    <n v="1000"/>
    <n v="5002359"/>
    <s v="EMPRESA BRASILEIRA DE CORREIOS E"/>
    <n v="94.3"/>
    <d v="2025-07-16T00:00:00"/>
  </r>
  <r>
    <n v="254032626"/>
    <n v="64811534"/>
    <s v="ZRDI"/>
    <n v="10119797"/>
    <n v="208"/>
    <s v="DEV-Atraso entrega- LOGISTICA(Transp)"/>
    <s v="TRANSPORTADORA"/>
    <x v="2"/>
    <n v="57098242"/>
    <x v="1377"/>
    <s v="SP"/>
    <n v="475"/>
    <s v="Site Consul"/>
    <n v="1352"/>
    <s v="W11199342"/>
    <s v="Filtros"/>
    <x v="5"/>
    <n v="1000"/>
    <n v="5002359"/>
    <s v="EMPRESA BRASILEIRA DE CORREIOS E"/>
    <n v="94.3"/>
    <d v="2025-07-16T00:00:00"/>
  </r>
  <r>
    <n v="254033996"/>
    <n v="64812590"/>
    <s v="ZRDI"/>
    <n v="10123581"/>
    <n v="208"/>
    <s v="DEV-Atraso entrega- LOGISTICA(Transp)"/>
    <s v="TRANSPORTADORA"/>
    <x v="2"/>
    <n v="58136680"/>
    <x v="1378"/>
    <s v="SP"/>
    <n v="475"/>
    <s v="Site Consul"/>
    <n v="1352"/>
    <s v="W11199342"/>
    <s v="Filtros"/>
    <x v="5"/>
    <n v="1000"/>
    <n v="5002359"/>
    <s v="EMPRESA BRASILEIRA DE CORREIOS E"/>
    <n v="94.3"/>
    <d v="2025-07-17T00:00:00"/>
  </r>
  <r>
    <n v="254034004"/>
    <n v="64812614"/>
    <s v="ZRDI"/>
    <n v="10134412"/>
    <n v="208"/>
    <s v="DEV-Atraso entrega- LOGISTICA(Transp)"/>
    <s v="TRANSPORTADORA"/>
    <x v="2"/>
    <n v="58154408"/>
    <x v="1379"/>
    <s v="SP"/>
    <n v="475"/>
    <s v="Site Consul"/>
    <n v="1352"/>
    <s v="W11199342"/>
    <s v="Filtros"/>
    <x v="5"/>
    <n v="1000"/>
    <n v="5002359"/>
    <s v="EMPRESA BRASILEIRA DE CORREIOS E"/>
    <n v="94.3"/>
    <d v="2025-07-17T00:00:00"/>
  </r>
  <r>
    <n v="254034005"/>
    <n v="64812615"/>
    <s v="ZRDI"/>
    <n v="10135364"/>
    <n v="208"/>
    <s v="DEV-Atraso entrega- LOGISTICA(Transp)"/>
    <s v="TRANSPORTADORA"/>
    <x v="2"/>
    <n v="54571115"/>
    <x v="1380"/>
    <s v="SP"/>
    <n v="475"/>
    <s v="Site Consul"/>
    <n v="1352"/>
    <s v="W11199342"/>
    <s v="Filtros"/>
    <x v="5"/>
    <n v="1000"/>
    <n v="5002359"/>
    <s v="EMPRESA BRASILEIRA DE CORREIOS E"/>
    <n v="94.3"/>
    <d v="2025-07-17T00:00:00"/>
  </r>
  <r>
    <n v="254035012"/>
    <n v="64813411"/>
    <s v="ZRDI"/>
    <n v="10123412"/>
    <n v="208"/>
    <s v="DEV-Atraso entrega- LOGISTICA(Transp)"/>
    <s v="TRANSPORTADORA"/>
    <x v="2"/>
    <n v="57246762"/>
    <x v="1381"/>
    <s v="SP"/>
    <n v="475"/>
    <s v="Site Consul"/>
    <n v="1352"/>
    <s v="W11199342"/>
    <s v="Filtros"/>
    <x v="5"/>
    <n v="1000"/>
    <n v="5002359"/>
    <s v="EMPRESA BRASILEIRA DE CORREIOS E"/>
    <n v="94.3"/>
    <d v="2025-07-18T00:00:00"/>
  </r>
  <r>
    <n v="254036533"/>
    <n v="64814365"/>
    <s v="ZRDI"/>
    <n v="10112309"/>
    <n v="208"/>
    <s v="DEV-Atraso entrega- LOGISTICA(Transp)"/>
    <s v="TRANSPORTADORA"/>
    <x v="2"/>
    <n v="57553675"/>
    <x v="1382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s v="Sem TR"/>
    <n v="64814366"/>
    <s v="ZRDI"/>
    <n v="10114455"/>
    <n v="208"/>
    <s v="DEV-Atraso entrega- LOGISTICA(Transp)"/>
    <s v="TRANSPORTADORA"/>
    <x v="2"/>
    <n v="58127345"/>
    <x v="1383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s v="Sem TR"/>
    <n v="64814956"/>
    <s v="ZRDI"/>
    <n v="10110229"/>
    <n v="25"/>
    <s v="OC. 80 - EXTRAVIO TOTAL"/>
    <s v="TRANSPORTADORA"/>
    <x v="2"/>
    <n v="50908956"/>
    <x v="1384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n v="254037069"/>
    <n v="64814992"/>
    <s v="ZRDI"/>
    <n v="10123582"/>
    <n v="208"/>
    <s v="DEV-Atraso entrega- LOGISTICA(Transp)"/>
    <s v="TRANSPORTADORA"/>
    <x v="2"/>
    <n v="58136685"/>
    <x v="1385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s v="Sem TR"/>
    <n v="64814994"/>
    <s v="ZRDI"/>
    <n v="10125345"/>
    <n v="208"/>
    <s v="DEV-Atraso entrega- LOGISTICA(Transp)"/>
    <s v="TRANSPORTADORA"/>
    <x v="2"/>
    <n v="57184536"/>
    <x v="1386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n v="254037103"/>
    <n v="64815017"/>
    <s v="ZRDI"/>
    <n v="10142088"/>
    <n v="208"/>
    <s v="DEV-Atraso entrega- LOGISTICA(Transp)"/>
    <s v="TRANSPORTADORA"/>
    <x v="2"/>
    <n v="57458074"/>
    <x v="1387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n v="254040425"/>
    <n v="64818329"/>
    <s v="ZRDI"/>
    <n v="10144131"/>
    <n v="208"/>
    <s v="DEV-Atraso entrega- LOGISTICA(Transp)"/>
    <s v="TRANSPORTADORA"/>
    <x v="2"/>
    <n v="56570807"/>
    <x v="1388"/>
    <s v="SP"/>
    <n v="475"/>
    <s v="Site Consul"/>
    <n v="1352"/>
    <s v="W11199342"/>
    <s v="Filtros"/>
    <x v="5"/>
    <n v="1000"/>
    <n v="5002359"/>
    <s v="EMPRESA BRASILEIRA DE CORREIOS E"/>
    <n v="94.3"/>
    <d v="2025-07-26T00:00:00"/>
  </r>
  <r>
    <s v="Sem TR"/>
    <n v="64811455"/>
    <s v="ZRDI"/>
    <n v="10112914"/>
    <n v="208"/>
    <s v="DEV-Atraso entrega- LOGISTICA(Transp)"/>
    <s v="TRANSPORTADORA"/>
    <x v="2"/>
    <n v="58125105"/>
    <x v="1375"/>
    <s v="SP"/>
    <n v="475"/>
    <s v="Site Consul"/>
    <n v="1352"/>
    <s v="W11199342"/>
    <s v="Filtros"/>
    <x v="5"/>
    <n v="1000"/>
    <n v="5002359"/>
    <s v="EMPRESA BRASILEIRA DE CORREIOS E"/>
    <n v="94.3"/>
    <d v="2025-07-16T00:00:00"/>
  </r>
  <r>
    <n v="254032626"/>
    <n v="64811534"/>
    <s v="ZRDI"/>
    <n v="10119797"/>
    <n v="208"/>
    <s v="DEV-Atraso entrega- LOGISTICA(Transp)"/>
    <s v="TRANSPORTADORA"/>
    <x v="2"/>
    <n v="57098242"/>
    <x v="1377"/>
    <s v="SP"/>
    <n v="475"/>
    <s v="Site Consul"/>
    <n v="1352"/>
    <s v="W11199342"/>
    <s v="Filtros"/>
    <x v="5"/>
    <n v="1000"/>
    <n v="5002359"/>
    <s v="EMPRESA BRASILEIRA DE CORREIOS E"/>
    <n v="94.3"/>
    <d v="2025-07-16T00:00:00"/>
  </r>
  <r>
    <n v="254033996"/>
    <n v="64812590"/>
    <s v="ZRDI"/>
    <n v="10123581"/>
    <n v="208"/>
    <s v="DEV-Atraso entrega- LOGISTICA(Transp)"/>
    <s v="TRANSPORTADORA"/>
    <x v="2"/>
    <n v="58136680"/>
    <x v="1378"/>
    <s v="SP"/>
    <n v="475"/>
    <s v="Site Consul"/>
    <n v="1352"/>
    <s v="W11199342"/>
    <s v="Filtros"/>
    <x v="5"/>
    <n v="1000"/>
    <n v="5002359"/>
    <s v="EMPRESA BRASILEIRA DE CORREIOS E"/>
    <n v="94.3"/>
    <d v="2025-07-17T00:00:00"/>
  </r>
  <r>
    <n v="254034004"/>
    <n v="64812614"/>
    <s v="ZRDI"/>
    <n v="10134412"/>
    <n v="208"/>
    <s v="DEV-Atraso entrega- LOGISTICA(Transp)"/>
    <s v="TRANSPORTADORA"/>
    <x v="2"/>
    <n v="58154408"/>
    <x v="1379"/>
    <s v="SP"/>
    <n v="475"/>
    <s v="Site Consul"/>
    <n v="1352"/>
    <s v="W11199342"/>
    <s v="Filtros"/>
    <x v="5"/>
    <n v="1000"/>
    <n v="5002359"/>
    <s v="EMPRESA BRASILEIRA DE CORREIOS E"/>
    <n v="94.3"/>
    <d v="2025-07-17T00:00:00"/>
  </r>
  <r>
    <n v="254034005"/>
    <n v="64812615"/>
    <s v="ZRDI"/>
    <n v="10135364"/>
    <n v="208"/>
    <s v="DEV-Atraso entrega- LOGISTICA(Transp)"/>
    <s v="TRANSPORTADORA"/>
    <x v="2"/>
    <n v="54571115"/>
    <x v="1380"/>
    <s v="SP"/>
    <n v="475"/>
    <s v="Site Consul"/>
    <n v="1352"/>
    <s v="W11199342"/>
    <s v="Filtros"/>
    <x v="5"/>
    <n v="1000"/>
    <n v="5002359"/>
    <s v="EMPRESA BRASILEIRA DE CORREIOS E"/>
    <n v="94.3"/>
    <d v="2025-07-17T00:00:00"/>
  </r>
  <r>
    <n v="254035012"/>
    <n v="64813411"/>
    <s v="ZRDI"/>
    <n v="10123412"/>
    <n v="208"/>
    <s v="DEV-Atraso entrega- LOGISTICA(Transp)"/>
    <s v="TRANSPORTADORA"/>
    <x v="2"/>
    <n v="57246762"/>
    <x v="1381"/>
    <s v="SP"/>
    <n v="475"/>
    <s v="Site Consul"/>
    <n v="1352"/>
    <s v="W11199342"/>
    <s v="Filtros"/>
    <x v="5"/>
    <n v="1000"/>
    <n v="5002359"/>
    <s v="EMPRESA BRASILEIRA DE CORREIOS E"/>
    <n v="94.3"/>
    <d v="2025-07-18T00:00:00"/>
  </r>
  <r>
    <s v="Sem TR"/>
    <n v="64814956"/>
    <s v="ZRDI"/>
    <n v="10110229"/>
    <n v="25"/>
    <s v="OC. 80 - EXTRAVIO TOTAL"/>
    <s v="TRANSPORTADORA"/>
    <x v="2"/>
    <n v="50908956"/>
    <x v="1384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n v="254037069"/>
    <n v="64814992"/>
    <s v="ZRDI"/>
    <n v="10123582"/>
    <n v="208"/>
    <s v="DEV-Atraso entrega- LOGISTICA(Transp)"/>
    <s v="TRANSPORTADORA"/>
    <x v="2"/>
    <n v="58136685"/>
    <x v="1385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s v="Sem TR"/>
    <n v="64814994"/>
    <s v="ZRDI"/>
    <n v="10125345"/>
    <n v="208"/>
    <s v="DEV-Atraso entrega- LOGISTICA(Transp)"/>
    <s v="TRANSPORTADORA"/>
    <x v="2"/>
    <n v="57184536"/>
    <x v="1386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n v="254037103"/>
    <n v="64815017"/>
    <s v="ZRDI"/>
    <n v="10142088"/>
    <n v="208"/>
    <s v="DEV-Atraso entrega- LOGISTICA(Transp)"/>
    <s v="TRANSPORTADORA"/>
    <x v="2"/>
    <n v="57458074"/>
    <x v="1387"/>
    <s v="SP"/>
    <n v="475"/>
    <s v="Site Consul"/>
    <n v="1352"/>
    <s v="W11199342"/>
    <s v="Filtros"/>
    <x v="5"/>
    <n v="1000"/>
    <n v="5002359"/>
    <s v="EMPRESA BRASILEIRA DE CORREIOS E"/>
    <n v="94.3"/>
    <d v="2025-07-22T00:00:00"/>
  </r>
  <r>
    <n v="254040425"/>
    <n v="64818329"/>
    <s v="ZRDI"/>
    <n v="10144131"/>
    <n v="208"/>
    <s v="DEV-Atraso entrega- LOGISTICA(Transp)"/>
    <s v="TRANSPORTADORA"/>
    <x v="2"/>
    <n v="56570807"/>
    <x v="1388"/>
    <s v="SP"/>
    <n v="475"/>
    <s v="Site Consul"/>
    <n v="1352"/>
    <s v="W11199342"/>
    <s v="Filtros"/>
    <x v="5"/>
    <n v="1000"/>
    <n v="5002359"/>
    <s v="EMPRESA BRASILEIRA DE CORREIOS E"/>
    <n v="94.3"/>
    <d v="2025-07-26T00:00:00"/>
  </r>
  <r>
    <s v="Sem TR"/>
    <n v="64816411"/>
    <s v="ZRDI"/>
    <n v="10142784"/>
    <s v="D18"/>
    <s v="DEV D2C - Arrependimento não quero mais"/>
    <s v="COMERCIAL"/>
    <x v="2"/>
    <n v="58166154"/>
    <x v="756"/>
    <s v="RS"/>
    <n v="466"/>
    <s v="Sup ML Marketplace"/>
    <n v="1352"/>
    <s v="W10301562"/>
    <s v="Filtros"/>
    <x v="5"/>
    <n v="1000"/>
    <n v="5002359"/>
    <s v="EMPRESA BRASILEIRA DE CORREIOS E"/>
    <n v="94.28"/>
    <d v="2025-07-24T00:00:00"/>
  </r>
  <r>
    <s v="Sem TR"/>
    <n v="64816411"/>
    <s v="ZRDI"/>
    <n v="10142784"/>
    <s v="D18"/>
    <s v="DEV D2C - Arrependimento não quero mais"/>
    <s v="COMERCIAL"/>
    <x v="2"/>
    <n v="58166154"/>
    <x v="756"/>
    <s v="RS"/>
    <n v="466"/>
    <s v="Sup ML Marketplace"/>
    <n v="1352"/>
    <s v="W10301562"/>
    <s v="Filtros"/>
    <x v="5"/>
    <n v="1000"/>
    <n v="5002359"/>
    <s v="EMPRESA BRASILEIRA DE CORREIOS E"/>
    <n v="94.28"/>
    <d v="2025-07-24T00:00:00"/>
  </r>
  <r>
    <n v="254038293"/>
    <n v="64813337"/>
    <s v="REB"/>
    <n v="10141254"/>
    <n v="176"/>
    <s v="PEÇAS - Defeito de fabric./Interrompido"/>
    <s v="FUNCIONAL"/>
    <x v="1"/>
    <n v="4318"/>
    <x v="89"/>
    <s v="SC"/>
    <n v="931"/>
    <s v="Ats Off"/>
    <n v="1350"/>
    <s v="W10632303"/>
    <s v="Válvulas de Água"/>
    <x v="5"/>
    <n v="3000"/>
    <n v="5003024"/>
    <s v="RODOBRAS TRANSPORTES RODOVIARIOS LT"/>
    <n v="94.26"/>
    <d v="2025-07-22T00:00:00"/>
  </r>
  <r>
    <s v="Sem TR"/>
    <n v="64820224"/>
    <s v="REB"/>
    <n v="10156280"/>
    <n v="220"/>
    <s v="DEV-Avaria 1 trecho transp - Produto"/>
    <s v="QUALIDADE"/>
    <x v="1"/>
    <n v="5136"/>
    <x v="181"/>
    <s v="RS"/>
    <n v="350"/>
    <s v="Ats On"/>
    <n v="1350"/>
    <s v="W11411225"/>
    <s v="Vidros"/>
    <x v="6"/>
    <n v="1000"/>
    <n v="5003024"/>
    <s v="RODOBRAS TRANSPORTES RODOVIARIOS LT"/>
    <n v="94.2"/>
    <d v="2025-07-30T00:00:00"/>
  </r>
  <r>
    <n v="254038146"/>
    <n v="64816106"/>
    <s v="ZRDI"/>
    <n v="10070761"/>
    <n v="208"/>
    <s v="DEV-Atraso entrega- LOGISTICA(Transp)"/>
    <s v="TRANSPORTADORA"/>
    <x v="2"/>
    <n v="58067154"/>
    <x v="1389"/>
    <s v="CE"/>
    <n v="475"/>
    <s v="Site Consul"/>
    <n v="1352"/>
    <s v="W11509386"/>
    <s v="Filtros"/>
    <x v="5"/>
    <n v="1000"/>
    <n v="5002359"/>
    <s v="EMPRESA BRASILEIRA DE CORREIOS E"/>
    <n v="94.12"/>
    <d v="2025-07-23T00:00:00"/>
  </r>
  <r>
    <n v="254038146"/>
    <n v="64816106"/>
    <s v="ZRDI"/>
    <n v="10070761"/>
    <n v="208"/>
    <s v="DEV-Atraso entrega- LOGISTICA(Transp)"/>
    <s v="TRANSPORTADORA"/>
    <x v="2"/>
    <n v="58067154"/>
    <x v="1389"/>
    <s v="CE"/>
    <n v="475"/>
    <s v="Site Consul"/>
    <n v="1352"/>
    <s v="W11509386"/>
    <s v="Filtros"/>
    <x v="5"/>
    <n v="1000"/>
    <n v="5002359"/>
    <s v="EMPRESA BRASILEIRA DE CORREIOS E"/>
    <n v="94.12"/>
    <d v="2025-07-23T00:00:00"/>
  </r>
  <r>
    <s v="Sem TR"/>
    <n v="64809943"/>
    <s v="ZRDI"/>
    <n v="10130126"/>
    <s v="D20"/>
    <s v="DEV D2C - Demora na entrega"/>
    <s v="COMERCIAL"/>
    <x v="2"/>
    <n v="55051056"/>
    <x v="553"/>
    <s v="RJ"/>
    <n v="474"/>
    <s v="Site Brastemp"/>
    <n v="1352"/>
    <s v="W11100357"/>
    <s v="Tubos Queima"/>
    <x v="12"/>
    <n v="1000"/>
    <n v="5002359"/>
    <s v="EMPRESA BRASILEIRA DE CORREIOS E"/>
    <n v="94.11"/>
    <d v="2025-07-16T00:00:00"/>
  </r>
  <r>
    <n v="254041060"/>
    <n v="64818836"/>
    <s v="ZRDI"/>
    <n v="10100807"/>
    <n v="208"/>
    <s v="DEV-Atraso entrega- LOGISTICA(Transp)"/>
    <s v="TRANSPORTADORA"/>
    <x v="1"/>
    <n v="57088221"/>
    <x v="1390"/>
    <s v="GO"/>
    <n v="475"/>
    <s v="Site Consul"/>
    <n v="1352"/>
    <n v="326066852"/>
    <s v="Prateleiras"/>
    <x v="9"/>
    <n v="1000"/>
    <n v="5002359"/>
    <s v="EMPRESA BRASILEIRA DE CORREIOS E"/>
    <n v="94.11"/>
    <d v="2025-07-28T00:00:00"/>
  </r>
  <r>
    <n v="254038146"/>
    <n v="64816106"/>
    <s v="ZRDI"/>
    <n v="10070761"/>
    <n v="208"/>
    <s v="DEV-Atraso entrega- LOGISTICA(Transp)"/>
    <s v="TRANSPORTADORA"/>
    <x v="2"/>
    <n v="58067154"/>
    <x v="1389"/>
    <s v="CE"/>
    <n v="475"/>
    <s v="Site Consul"/>
    <n v="1352"/>
    <s v="W11509386"/>
    <s v="Filtros"/>
    <x v="5"/>
    <n v="1000"/>
    <n v="5002359"/>
    <s v="EMPRESA BRASILEIRA DE CORREIOS E"/>
    <n v="94.1"/>
    <d v="2025-07-23T00:00:00"/>
  </r>
  <r>
    <n v="254038146"/>
    <n v="64816106"/>
    <s v="ZRDI"/>
    <n v="10070761"/>
    <n v="208"/>
    <s v="DEV-Atraso entrega- LOGISTICA(Transp)"/>
    <s v="TRANSPORTADORA"/>
    <x v="2"/>
    <n v="58067154"/>
    <x v="1389"/>
    <s v="CE"/>
    <n v="475"/>
    <s v="Site Consul"/>
    <n v="1352"/>
    <s v="W11509386"/>
    <s v="Filtros"/>
    <x v="5"/>
    <n v="1000"/>
    <n v="5002359"/>
    <s v="EMPRESA BRASILEIRA DE CORREIOS E"/>
    <n v="94.1"/>
    <d v="2025-07-23T00:00:00"/>
  </r>
  <r>
    <s v="Sem TR"/>
    <n v="64814526"/>
    <s v="REB"/>
    <n v="9548914"/>
    <n v="173"/>
    <s v="PEÇAS - Defeito de fabric./Alta Amperage"/>
    <s v="FUNCIONAL"/>
    <x v="1"/>
    <n v="64683"/>
    <x v="56"/>
    <s v="RS"/>
    <n v="648"/>
    <s v="Ultra"/>
    <n v="1350"/>
    <s v="W10626365"/>
    <s v="Placas de Interface"/>
    <x v="1"/>
    <n v="1000"/>
    <n v="5003024"/>
    <s v="RODOBRAS TRANSPORTES RODOVIARIOS LT"/>
    <n v="94.07"/>
    <d v="2025-07-22T00:00:00"/>
  </r>
  <r>
    <n v="253953766"/>
    <n v="64731973"/>
    <s v="REB"/>
    <n v="9898067"/>
    <n v="176"/>
    <s v="PEÇAS - Defeito de fabric./Interrompido"/>
    <s v="FUNCIONAL"/>
    <x v="2"/>
    <n v="24089"/>
    <x v="134"/>
    <s v="RJ"/>
    <n v="931"/>
    <s v="Ats Off"/>
    <n v="1350"/>
    <s v="W11370000"/>
    <s v="Motores Ventiladores"/>
    <x v="1"/>
    <n v="1000"/>
    <n v="5003176"/>
    <s v="J C THEDIN TRANSPORTES LTDA"/>
    <n v="94.05"/>
    <d v="2025-03-14T00:00:00"/>
  </r>
  <r>
    <n v="253983872"/>
    <n v="64759664"/>
    <s v="REB"/>
    <n v="9973415"/>
    <n v="176"/>
    <s v="PEÇAS - Defeito de fabric./Interrompido"/>
    <s v="FUNCIONAL"/>
    <x v="2"/>
    <n v="24089"/>
    <x v="134"/>
    <s v="RJ"/>
    <n v="931"/>
    <s v="Ats Off"/>
    <n v="1350"/>
    <s v="W11370000"/>
    <s v="Motores Ventiladores"/>
    <x v="1"/>
    <n v="1000"/>
    <n v="5003176"/>
    <s v="J C THEDIN TRANSPORTES LTDA"/>
    <n v="94.05"/>
    <d v="2025-04-28T00:00:00"/>
  </r>
  <r>
    <n v="254018238"/>
    <n v="64793229"/>
    <s v="REB"/>
    <n v="10013895"/>
    <n v="176"/>
    <s v="PEÇAS - Defeito de fabric./Interrompido"/>
    <s v="FUNCIONAL"/>
    <x v="1"/>
    <n v="24089"/>
    <x v="134"/>
    <s v="RJ"/>
    <n v="931"/>
    <s v="Ats Off"/>
    <n v="1350"/>
    <s v="W11370000"/>
    <s v="Motores Ventiladores"/>
    <x v="1"/>
    <n v="1000"/>
    <n v="5003176"/>
    <s v="J C THEDIN TRANSPORTES LTDA"/>
    <n v="94.05"/>
    <d v="2025-06-17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1446092"/>
    <s v="Vidros"/>
    <x v="6"/>
    <n v="1000"/>
    <n v="5004101"/>
    <s v="UNIDOCK'S ASSESSORIA E LOGISTICA DE"/>
    <n v="94.04"/>
    <d v="2025-02-2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646480"/>
    <s v="Painéis de Controle"/>
    <x v="6"/>
    <n v="2000"/>
    <n v="5004101"/>
    <s v="UNIDOCK'S ASSESSORIA E LOGISTICA DE"/>
    <n v="93.99"/>
    <d v="2025-03-13T00:00:00"/>
  </r>
  <r>
    <n v="253988044"/>
    <n v="64748365"/>
    <s v="ZDVP"/>
    <n v="9909504"/>
    <n v="176"/>
    <s v="PEÇAS - Defeito de fabric./Interrompido"/>
    <s v="FUNCIONAL"/>
    <x v="2"/>
    <n v="24089"/>
    <x v="134"/>
    <s v="RJ"/>
    <n v="931"/>
    <s v="Ats Off"/>
    <n v="1350"/>
    <s v="W10399715"/>
    <s v="Motores Ventiladores"/>
    <x v="1"/>
    <n v="2000"/>
    <n v="5003176"/>
    <s v="J C THEDIN TRANSPORTES LTDA"/>
    <n v="93.96"/>
    <d v="2025-04-09T00:00:00"/>
  </r>
  <r>
    <n v="254024677"/>
    <n v="64804770"/>
    <s v="ZRDI"/>
    <n v="10106332"/>
    <n v="208"/>
    <s v="DEV-Atraso entrega- LOGISTICA(Transp)"/>
    <s v="TRANSPORTADORA"/>
    <x v="2"/>
    <n v="58116335"/>
    <x v="906"/>
    <s v="RJ"/>
    <n v="475"/>
    <s v="Site Consul"/>
    <n v="1352"/>
    <s v="W10200101"/>
    <s v="Prateleiras"/>
    <x v="9"/>
    <n v="1000"/>
    <n v="5002359"/>
    <s v="EMPRESA BRASILEIRA DE CORREIOS E"/>
    <n v="93.94"/>
    <d v="2025-07-02T00:00:00"/>
  </r>
  <r>
    <n v="254024677"/>
    <n v="64804770"/>
    <s v="ZRDI"/>
    <n v="10106332"/>
    <n v="208"/>
    <s v="DEV-Atraso entrega- LOGISTICA(Transp)"/>
    <s v="TRANSPORTADORA"/>
    <x v="2"/>
    <n v="58116335"/>
    <x v="906"/>
    <s v="RJ"/>
    <n v="475"/>
    <s v="Site Consul"/>
    <n v="1352"/>
    <s v="W10200101"/>
    <s v="Prateleiras"/>
    <x v="9"/>
    <n v="1000"/>
    <n v="5002359"/>
    <s v="EMPRESA BRASILEIRA DE CORREIOS E"/>
    <n v="93.94"/>
    <d v="2025-07-02T00:00:00"/>
  </r>
  <r>
    <n v="253964074"/>
    <n v="64743035"/>
    <s v="ROB"/>
    <n v="48888"/>
    <n v="115"/>
    <s v="PEÇAS-Recusa do cliente"/>
    <s v="COMERCIAL"/>
    <x v="2"/>
    <n v="93416"/>
    <x v="1166"/>
    <s v="PE"/>
    <n v="698"/>
    <s v="CDP Bronze"/>
    <n v="1550"/>
    <s v="W11574386"/>
    <s v="Capacitores"/>
    <x v="1"/>
    <n v="8000"/>
    <n v="5000253"/>
    <s v="TRANSPORTADOR GENERICO"/>
    <n v="93.92"/>
    <d v="2025-03-31T00:00:00"/>
  </r>
  <r>
    <n v="253952297"/>
    <n v="64727819"/>
    <s v="REB"/>
    <n v="9832814"/>
    <n v="173"/>
    <s v="PEÇAS - Defeito de fabric./Alta Amperage"/>
    <s v="FUNCIONAL"/>
    <x v="1"/>
    <n v="32533"/>
    <x v="194"/>
    <s v="PE"/>
    <n v="713"/>
    <s v="Key Account"/>
    <n v="1350"/>
    <s v="W11300676"/>
    <s v="Mecanismos"/>
    <x v="2"/>
    <n v="1000"/>
    <n v="5004101"/>
    <s v="UNIDOCK'S ASSESSORIA E LOGISTICA DE"/>
    <n v="93.87"/>
    <d v="2025-03-08T00:00:00"/>
  </r>
  <r>
    <n v="253952298"/>
    <n v="64728455"/>
    <s v="REB"/>
    <n v="9832814"/>
    <n v="173"/>
    <s v="PEÇAS - Defeito de fabric./Alta Amperage"/>
    <s v="FUNCIONAL"/>
    <x v="2"/>
    <n v="32533"/>
    <x v="194"/>
    <s v="PE"/>
    <n v="713"/>
    <s v="Key Account"/>
    <n v="1350"/>
    <s v="W11300676"/>
    <s v="Mecanismos"/>
    <x v="2"/>
    <n v="1000"/>
    <n v="5004101"/>
    <s v="UNIDOCK'S ASSESSORIA E LOGISTICA DE"/>
    <n v="93.87"/>
    <d v="2025-03-10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n v="326021045"/>
    <s v="Recipientes de Evaporação"/>
    <x v="9"/>
    <n v="15000"/>
    <n v="5004101"/>
    <s v="UNIDOCK'S ASSESSORIA E LOGISTICA DE"/>
    <n v="93.86"/>
    <d v="2025-02-25T00:00:00"/>
  </r>
  <r>
    <n v="254024490"/>
    <n v="64804715"/>
    <s v="ZRDI"/>
    <n v="10072800"/>
    <n v="208"/>
    <s v="DEV-Atraso entrega- LOGISTICA(Transp)"/>
    <s v="TRANSPORTADORA"/>
    <x v="2"/>
    <n v="58069834"/>
    <x v="1391"/>
    <s v="BA"/>
    <n v="475"/>
    <s v="Site Consul"/>
    <n v="1352"/>
    <s v="W11360276"/>
    <s v="Filtros"/>
    <x v="5"/>
    <n v="2000"/>
    <n v="5002359"/>
    <s v="EMPRESA BRASILEIRA DE CORREIOS E"/>
    <n v="93.84"/>
    <d v="2025-07-02T00:00:00"/>
  </r>
  <r>
    <s v="Sem TR"/>
    <n v="64819889"/>
    <s v="ZRDI"/>
    <n v="10136343"/>
    <s v="D25"/>
    <s v="DEV D2C - Prob na entrega (Não recebi)"/>
    <s v="TRANSPORTADORA"/>
    <x v="1"/>
    <n v="58157294"/>
    <x v="1392"/>
    <s v="SP"/>
    <n v="475"/>
    <s v="Site Consul"/>
    <n v="1352"/>
    <s v="W10476183"/>
    <s v="Prateleiras"/>
    <x v="9"/>
    <n v="2000"/>
    <n v="5002359"/>
    <s v="EMPRESA BRASILEIRA DE CORREIOS E"/>
    <n v="93.74"/>
    <d v="2025-07-29T00:00:00"/>
  </r>
  <r>
    <n v="253981557"/>
    <n v="64757175"/>
    <s v="REB"/>
    <n v="9956589"/>
    <n v="90"/>
    <s v="CLIENTE-não solicitou"/>
    <s v="COMERCIAL"/>
    <x v="2"/>
    <n v="63028"/>
    <x v="144"/>
    <s v="SP"/>
    <n v="641"/>
    <s v="CDP Diamante"/>
    <n v="1350"/>
    <s v="W11339268"/>
    <s v="Vidros"/>
    <x v="6"/>
    <n v="1000"/>
    <n v="5004042"/>
    <s v="BRASIL WEB TRANSPORTES E LOGISTICA"/>
    <n v="93.73"/>
    <d v="2025-04-25T00:00:00"/>
  </r>
  <r>
    <n v="254024135"/>
    <n v="64803742"/>
    <s v="ZRDI"/>
    <n v="10060840"/>
    <n v="208"/>
    <s v="DEV-Atraso entrega- LOGISTICA(Transp)"/>
    <s v="TRANSPORTADORA"/>
    <x v="2"/>
    <n v="56114512"/>
    <x v="1393"/>
    <s v="BA"/>
    <n v="475"/>
    <s v="Site Consul"/>
    <n v="1352"/>
    <s v="W10515645"/>
    <s v="Filtros"/>
    <x v="5"/>
    <n v="2000"/>
    <n v="5002359"/>
    <s v="EMPRESA BRASILEIRA DE CORREIOS E"/>
    <n v="93.66"/>
    <d v="2025-07-01T00:00:00"/>
  </r>
  <r>
    <n v="253981465"/>
    <n v="64758045"/>
    <s v="REB"/>
    <n v="9852024"/>
    <n v="173"/>
    <s v="PEÇAS - Defeito de fabric./Alta Amperage"/>
    <s v="FUNCIONAL"/>
    <x v="2"/>
    <n v="29164"/>
    <x v="32"/>
    <s v="BA"/>
    <n v="648"/>
    <s v="Ultra"/>
    <n v="1350"/>
    <s v="W10168510"/>
    <s v="Motores Ventiladores"/>
    <x v="1"/>
    <n v="2000"/>
    <n v="5004101"/>
    <s v="UNIDOCK'S ASSESSORIA E LOGISTICA DE"/>
    <n v="93.65"/>
    <d v="2025-04-25T00:00:00"/>
  </r>
  <r>
    <n v="254024644"/>
    <n v="64804745"/>
    <s v="ZRDI"/>
    <n v="10093324"/>
    <n v="208"/>
    <s v="DEV-Atraso entrega- LOGISTICA(Transp)"/>
    <s v="TRANSPORTADORA"/>
    <x v="2"/>
    <n v="55239009"/>
    <x v="1394"/>
    <s v="MG"/>
    <n v="475"/>
    <s v="Site Consul"/>
    <n v="1352"/>
    <s v="W11199342"/>
    <s v="Filtros"/>
    <x v="5"/>
    <n v="1000"/>
    <n v="5002359"/>
    <s v="EMPRESA BRASILEIRA DE CORREIOS E"/>
    <n v="93.63"/>
    <d v="2025-07-02T00:00:00"/>
  </r>
  <r>
    <s v="Sem TR"/>
    <n v="64817972"/>
    <s v="ZRDI"/>
    <n v="10130210"/>
    <n v="25"/>
    <s v="OC. 80 - EXTRAVIO TOTAL"/>
    <s v="TRANSPORTADORA"/>
    <x v="2"/>
    <n v="57239388"/>
    <x v="1395"/>
    <s v="MG"/>
    <n v="475"/>
    <s v="Site Consul"/>
    <n v="1352"/>
    <s v="W11199342"/>
    <s v="Filtros"/>
    <x v="5"/>
    <n v="1000"/>
    <n v="5002359"/>
    <s v="EMPRESA BRASILEIRA DE CORREIOS E"/>
    <n v="93.63"/>
    <d v="2025-07-25T00:00:00"/>
  </r>
  <r>
    <s v="Sem TR"/>
    <n v="64817972"/>
    <s v="ZRDI"/>
    <n v="10130210"/>
    <n v="25"/>
    <s v="OC. 80 - EXTRAVIO TOTAL"/>
    <s v="TRANSPORTADORA"/>
    <x v="2"/>
    <n v="57239388"/>
    <x v="1395"/>
    <s v="MG"/>
    <n v="475"/>
    <s v="Site Consul"/>
    <n v="1352"/>
    <s v="W11199342"/>
    <s v="Filtros"/>
    <x v="5"/>
    <n v="1000"/>
    <n v="5002359"/>
    <s v="EMPRESA BRASILEIRA DE CORREIOS E"/>
    <n v="93.63"/>
    <d v="2025-07-25T00:00:00"/>
  </r>
  <r>
    <n v="254024644"/>
    <n v="64804745"/>
    <s v="ZRDI"/>
    <n v="10093324"/>
    <n v="208"/>
    <s v="DEV-Atraso entrega- LOGISTICA(Transp)"/>
    <s v="TRANSPORTADORA"/>
    <x v="2"/>
    <n v="55239009"/>
    <x v="1394"/>
    <s v="MG"/>
    <n v="475"/>
    <s v="Site Consul"/>
    <n v="1352"/>
    <s v="W11199342"/>
    <s v="Filtros"/>
    <x v="5"/>
    <n v="1000"/>
    <n v="5002359"/>
    <s v="EMPRESA BRASILEIRA DE CORREIOS E"/>
    <n v="93.61"/>
    <d v="2025-07-02T00:00:00"/>
  </r>
  <r>
    <s v="Sem TR"/>
    <n v="64817972"/>
    <s v="ZRDI"/>
    <n v="10130210"/>
    <n v="25"/>
    <s v="OC. 80 - EXTRAVIO TOTAL"/>
    <s v="TRANSPORTADORA"/>
    <x v="2"/>
    <n v="57239388"/>
    <x v="1395"/>
    <s v="MG"/>
    <n v="475"/>
    <s v="Site Consul"/>
    <n v="1352"/>
    <s v="W11199342"/>
    <s v="Filtros"/>
    <x v="5"/>
    <n v="1000"/>
    <n v="5002359"/>
    <s v="EMPRESA BRASILEIRA DE CORREIOS E"/>
    <n v="93.61"/>
    <d v="2025-07-25T00:00:00"/>
  </r>
  <r>
    <s v="Sem TR"/>
    <n v="64817972"/>
    <s v="ZRDI"/>
    <n v="10130210"/>
    <n v="25"/>
    <s v="OC. 80 - EXTRAVIO TOTAL"/>
    <s v="TRANSPORTADORA"/>
    <x v="2"/>
    <n v="57239388"/>
    <x v="1395"/>
    <s v="MG"/>
    <n v="475"/>
    <s v="Site Consul"/>
    <n v="1352"/>
    <s v="W11199342"/>
    <s v="Filtros"/>
    <x v="5"/>
    <n v="1000"/>
    <n v="5002359"/>
    <s v="EMPRESA BRASILEIRA DE CORREIOS E"/>
    <n v="93.61"/>
    <d v="2025-07-25T00:00:00"/>
  </r>
  <r>
    <n v="254033255"/>
    <n v="64807335"/>
    <s v="REB"/>
    <n v="10017737"/>
    <n v="176"/>
    <s v="PEÇAS - Defeito de fabric./Interrompido"/>
    <s v="FUNCIONAL"/>
    <x v="0"/>
    <n v="2374"/>
    <x v="242"/>
    <s v="MG"/>
    <n v="350"/>
    <s v="Ats On"/>
    <n v="1350"/>
    <s v="W10864920"/>
    <s v="Sensores"/>
    <x v="3"/>
    <n v="1000"/>
    <n v="5004215"/>
    <s v="BRASIL WEB TRANSPORTES E LOGISTICA"/>
    <n v="93.61"/>
    <d v="2025-07-08T00:00:00"/>
  </r>
  <r>
    <n v="254022262"/>
    <n v="64799872"/>
    <s v="ZRDI"/>
    <n v="10054458"/>
    <n v="208"/>
    <s v="DEV-Atraso entrega- LOGISTICA(Transp)"/>
    <s v="TRANSPORTADORA"/>
    <x v="2"/>
    <n v="56326506"/>
    <x v="1396"/>
    <s v="RS"/>
    <n v="475"/>
    <s v="Site Consul"/>
    <n v="1352"/>
    <s v="W11199342"/>
    <s v="Filtros"/>
    <x v="5"/>
    <n v="1000"/>
    <n v="5002359"/>
    <s v="EMPRESA BRASILEIRA DE CORREIOS E"/>
    <n v="93.59"/>
    <d v="2025-06-27T00:00:00"/>
  </r>
  <r>
    <s v="Sem TR"/>
    <n v="64812483"/>
    <s v="REB"/>
    <n v="10106365"/>
    <n v="167"/>
    <s v="PEÇAS - Avaria - Quebrada/Depósito"/>
    <s v="LOGÍSTICA"/>
    <x v="1"/>
    <n v="86964"/>
    <x v="345"/>
    <s v="PB"/>
    <n v="713"/>
    <s v="Key Account"/>
    <n v="1350"/>
    <s v="W10856154"/>
    <s v="Capas"/>
    <x v="6"/>
    <n v="5000"/>
    <n v="5004101"/>
    <s v="UNIDOCK'S ASSESSORIA E LOGISTICA DE"/>
    <n v="93.51"/>
    <d v="2025-07-21T00:00:00"/>
  </r>
  <r>
    <n v="253961208"/>
    <n v="64739180"/>
    <s v="REB"/>
    <n v="9938304"/>
    <n v="176"/>
    <s v="PEÇAS - Defeito de fabric./Interrompido"/>
    <s v="FUNCIONAL"/>
    <x v="2"/>
    <n v="3506"/>
    <x v="46"/>
    <s v="SP"/>
    <n v="931"/>
    <s v="Ats Off"/>
    <n v="1350"/>
    <s v="W11311794"/>
    <s v="Placas de Controle"/>
    <x v="1"/>
    <n v="1000"/>
    <n v="5004042"/>
    <s v="BRASIL WEB TRANSPORTES E LOGISTICA"/>
    <n v="93.43"/>
    <d v="2025-03-26T00:00:00"/>
  </r>
  <r>
    <n v="254024641"/>
    <n v="64804742"/>
    <s v="ZRDI"/>
    <n v="10093675"/>
    <n v="208"/>
    <s v="DEV-Atraso entrega- LOGISTICA(Transp)"/>
    <s v="TRANSPORTADORA"/>
    <x v="2"/>
    <n v="5706128"/>
    <x v="557"/>
    <s v="RN"/>
    <n v="474"/>
    <s v="Site Brastemp"/>
    <n v="1352"/>
    <s v="W11100357"/>
    <s v="Tubos Queima"/>
    <x v="12"/>
    <n v="1000"/>
    <n v="5002359"/>
    <s v="EMPRESA BRASILEIRA DE CORREIOS E"/>
    <n v="93.43"/>
    <d v="2025-07-02T00:00:00"/>
  </r>
  <r>
    <n v="254033259"/>
    <n v="64805068"/>
    <s v="REB"/>
    <n v="10107363"/>
    <n v="176"/>
    <s v="PEÇAS - Defeito de fabric./Interrompido"/>
    <s v="FUNCIONAL"/>
    <x v="1"/>
    <n v="3652"/>
    <x v="51"/>
    <s v="SP"/>
    <n v="350"/>
    <s v="Ats On"/>
    <n v="1350"/>
    <s v="W10829873"/>
    <s v="Outros"/>
    <x v="7"/>
    <n v="1000"/>
    <n v="5004042"/>
    <s v="BRASIL WEB TRANSPORTES E LOGISTICA"/>
    <n v="93.42"/>
    <d v="2025-07-08T00:00:00"/>
  </r>
  <r>
    <n v="254003853"/>
    <n v="64773260"/>
    <s v="REB"/>
    <n v="9841272"/>
    <n v="176"/>
    <s v="PEÇAS - Defeito de fabric./Interrompido"/>
    <s v="FUNCIONAL"/>
    <x v="2"/>
    <n v="3506"/>
    <x v="46"/>
    <s v="SP"/>
    <n v="931"/>
    <s v="Ats Off"/>
    <n v="1350"/>
    <s v="W11509387"/>
    <s v="Filtros"/>
    <x v="5"/>
    <n v="1000"/>
    <n v="5004042"/>
    <s v="BRASIL WEB TRANSPORTES E LOGISTICA"/>
    <n v="93.41"/>
    <d v="2025-05-26T00:00:00"/>
  </r>
  <r>
    <s v="Sem TR"/>
    <n v="64805778"/>
    <s v="ZRDI"/>
    <n v="10096005"/>
    <s v="D19"/>
    <s v="DEV D2C - Entrega atrasada"/>
    <s v="COMERCIAL"/>
    <x v="2"/>
    <n v="5833997"/>
    <x v="1397"/>
    <s v="RJ"/>
    <n v="474"/>
    <s v="Site Brastemp"/>
    <n v="1352"/>
    <n v="326014696"/>
    <s v="Outros"/>
    <x v="7"/>
    <n v="1000"/>
    <n v="5002359"/>
    <s v="EMPRESA BRASILEIRA DE CORREIOS E"/>
    <n v="93.41"/>
    <d v="2025-07-16T00:00:00"/>
  </r>
  <r>
    <s v="Sem TR"/>
    <n v="64805778"/>
    <s v="ZRDI"/>
    <n v="10096005"/>
    <s v="D19"/>
    <s v="DEV D2C - Entrega atrasada"/>
    <s v="COMERCIAL"/>
    <x v="2"/>
    <n v="5833997"/>
    <x v="1397"/>
    <s v="RJ"/>
    <n v="474"/>
    <s v="Site Brastemp"/>
    <n v="1352"/>
    <n v="326014696"/>
    <s v="Outros"/>
    <x v="7"/>
    <n v="1000"/>
    <n v="5002359"/>
    <s v="EMPRESA BRASILEIRA DE CORREIOS E"/>
    <n v="93.41"/>
    <d v="2025-07-16T00:00:00"/>
  </r>
  <r>
    <n v="254016289"/>
    <n v="64794462"/>
    <s v="ROB"/>
    <n v="10038955"/>
    <n v="182"/>
    <s v="PEÇAS - Extravio - Volume a menor"/>
    <s v="TRANSPORTADORA"/>
    <x v="1"/>
    <n v="4523"/>
    <x v="261"/>
    <s v="SC"/>
    <n v="350"/>
    <s v="Ats On"/>
    <n v="1350"/>
    <n v="4258010"/>
    <s v="Parafusos e afins"/>
    <x v="10"/>
    <n v="10000"/>
    <n v="5003024"/>
    <s v="RODOBRAS TRANSPORTES RODOVIARIOS LT"/>
    <n v="93.4"/>
    <d v="2025-06-18T00:00:00"/>
  </r>
  <r>
    <n v="254031305"/>
    <n v="64800342"/>
    <s v="ZRDI"/>
    <n v="10093709"/>
    <s v="D25"/>
    <s v="DEV D2C - Prob na entrega (Não recebi)"/>
    <s v="TRANSPORTADORA"/>
    <x v="2"/>
    <n v="51242263"/>
    <x v="560"/>
    <s v="CE"/>
    <n v="474"/>
    <s v="Site Brastemp"/>
    <n v="1352"/>
    <s v="W11100357"/>
    <s v="Tubos Queima"/>
    <x v="12"/>
    <n v="1000"/>
    <n v="5002359"/>
    <s v="EMPRESA BRASILEIRA DE CORREIOS E"/>
    <n v="93.38"/>
    <d v="2025-07-15T00:00:00"/>
  </r>
  <r>
    <n v="254033995"/>
    <n v="64812589"/>
    <s v="ZRDI"/>
    <n v="10122069"/>
    <n v="208"/>
    <s v="DEV-Atraso entrega- LOGISTICA(Transp)"/>
    <s v="TRANSPORTADORA"/>
    <x v="2"/>
    <n v="53143581"/>
    <x v="564"/>
    <s v="BA"/>
    <n v="474"/>
    <s v="Site Brastemp"/>
    <n v="1352"/>
    <s v="W11100357"/>
    <s v="Tubos Queima"/>
    <x v="12"/>
    <n v="1000"/>
    <n v="5002359"/>
    <s v="EMPRESA BRASILEIRA DE CORREIOS E"/>
    <n v="93.37"/>
    <d v="2025-07-17T00:00:00"/>
  </r>
  <r>
    <n v="254033995"/>
    <n v="64812589"/>
    <s v="ZRDI"/>
    <n v="10122069"/>
    <n v="208"/>
    <s v="DEV-Atraso entrega- LOGISTICA(Transp)"/>
    <s v="TRANSPORTADORA"/>
    <x v="2"/>
    <n v="53143581"/>
    <x v="564"/>
    <s v="BA"/>
    <n v="474"/>
    <s v="Site Brastemp"/>
    <n v="1352"/>
    <s v="W11100357"/>
    <s v="Tubos Queima"/>
    <x v="12"/>
    <n v="1000"/>
    <n v="5002359"/>
    <s v="EMPRESA BRASILEIRA DE CORREIOS E"/>
    <n v="93.37"/>
    <d v="2025-07-17T00:00:00"/>
  </r>
  <r>
    <s v="Sem TR"/>
    <n v="64806233"/>
    <s v="ZRDI"/>
    <n v="10105860"/>
    <s v="D30"/>
    <s v="DEV D2C - Defeito funcional manufatura"/>
    <s v="MANUFATURA"/>
    <x v="2"/>
    <n v="51622244"/>
    <x v="567"/>
    <s v="MG"/>
    <n v="474"/>
    <s v="Site Brastemp"/>
    <n v="1352"/>
    <s v="W11100357"/>
    <s v="Tubos Queima"/>
    <x v="12"/>
    <n v="1000"/>
    <n v="5002359"/>
    <s v="EMPRESA BRASILEIRA DE CORREIOS E"/>
    <n v="93.33"/>
    <d v="2025-07-12T00:00:00"/>
  </r>
  <r>
    <n v="254033988"/>
    <n v="64812558"/>
    <s v="ZRDI"/>
    <n v="10119302"/>
    <n v="208"/>
    <s v="DEV-Atraso entrega- LOGISTICA(Transp)"/>
    <s v="TRANSPORTADORA"/>
    <x v="2"/>
    <n v="51687257"/>
    <x v="568"/>
    <s v="MG"/>
    <n v="474"/>
    <s v="Site Brastemp"/>
    <n v="1352"/>
    <s v="W11100357"/>
    <s v="Tubos Queima"/>
    <x v="12"/>
    <n v="1000"/>
    <n v="5002359"/>
    <s v="EMPRESA BRASILEIRA DE CORREIOS E"/>
    <n v="93.33"/>
    <d v="2025-07-17T00:00:00"/>
  </r>
  <r>
    <s v="Sem TR"/>
    <n v="64811499"/>
    <s v="ZRDI"/>
    <n v="10103333"/>
    <n v="208"/>
    <s v="DEV-Atraso entrega- LOGISTICA(Transp)"/>
    <s v="TRANSPORTADORA"/>
    <x v="2"/>
    <n v="52221358"/>
    <x v="569"/>
    <s v="GO"/>
    <n v="474"/>
    <s v="Site Brastemp"/>
    <n v="1352"/>
    <s v="W11100357"/>
    <s v="Tubos Queima"/>
    <x v="12"/>
    <n v="1000"/>
    <n v="5002359"/>
    <s v="EMPRESA BRASILEIRA DE CORREIOS E"/>
    <n v="93.31"/>
    <d v="2025-07-16T00:00:00"/>
  </r>
  <r>
    <s v="Sem TR"/>
    <n v="64811499"/>
    <s v="ZRDI"/>
    <n v="10103333"/>
    <n v="208"/>
    <s v="DEV-Atraso entrega- LOGISTICA(Transp)"/>
    <s v="TRANSPORTADORA"/>
    <x v="2"/>
    <n v="52221358"/>
    <x v="569"/>
    <s v="GO"/>
    <n v="474"/>
    <s v="Site Brastemp"/>
    <n v="1352"/>
    <s v="W11100357"/>
    <s v="Tubos Queima"/>
    <x v="12"/>
    <n v="1000"/>
    <n v="5002359"/>
    <s v="EMPRESA BRASILEIRA DE CORREIOS E"/>
    <n v="93.31"/>
    <d v="2025-07-16T00:00:00"/>
  </r>
  <r>
    <s v="Sem TR"/>
    <n v="64799420"/>
    <s v="ZRDI"/>
    <n v="10102479"/>
    <s v="D10"/>
    <s v="DEV D2C - Comprou modelo errado"/>
    <s v="COMERCIAL"/>
    <x v="2"/>
    <n v="58111221"/>
    <x v="570"/>
    <s v="SP"/>
    <n v="474"/>
    <s v="Site Brastemp"/>
    <n v="1352"/>
    <s v="W11100357"/>
    <s v="Tubos Queima"/>
    <x v="12"/>
    <n v="1000"/>
    <n v="5002359"/>
    <s v="EMPRESA BRASILEIRA DE CORREIOS E"/>
    <n v="93.28"/>
    <d v="2025-06-27T00:00:00"/>
  </r>
  <r>
    <n v="254018208"/>
    <n v="64792269"/>
    <s v="REB"/>
    <n v="10042331"/>
    <n v="90"/>
    <s v="CLIENTE-não solicitou"/>
    <s v="COMERCIAL"/>
    <x v="2"/>
    <n v="9015"/>
    <x v="72"/>
    <s v="SC"/>
    <n v="350"/>
    <s v="Ats On"/>
    <n v="1350"/>
    <s v="W10563579"/>
    <s v="Trilhos"/>
    <x v="6"/>
    <n v="3000"/>
    <n v="5003024"/>
    <s v="RODOBRAS TRANSPORTES RODOVIARIOS LT"/>
    <n v="93.26"/>
    <d v="2025-06-16T00:00:00"/>
  </r>
  <r>
    <n v="254035912"/>
    <n v="64814032"/>
    <s v="ZRDI"/>
    <n v="10123259"/>
    <n v="208"/>
    <s v="DEV-Atraso entrega- LOGISTICA(Transp)"/>
    <s v="TRANSPORTADORA"/>
    <x v="2"/>
    <n v="53169629"/>
    <x v="572"/>
    <s v="RJ"/>
    <n v="474"/>
    <s v="Site Brastemp"/>
    <n v="1352"/>
    <s v="W11100357"/>
    <s v="Tubos Queima"/>
    <x v="12"/>
    <n v="1000"/>
    <n v="5002359"/>
    <s v="EMPRESA BRASILEIRA DE CORREIOS E"/>
    <n v="93.26"/>
    <d v="2025-07-21T00:00:00"/>
  </r>
  <r>
    <n v="254036561"/>
    <n v="64814530"/>
    <s v="ZRDI"/>
    <n v="10091484"/>
    <n v="208"/>
    <s v="DEV-Atraso entrega- LOGISTICA(Transp)"/>
    <s v="TRANSPORTADORA"/>
    <x v="2"/>
    <n v="58094840"/>
    <x v="571"/>
    <s v="SC"/>
    <n v="474"/>
    <s v="Site Brastemp"/>
    <n v="1352"/>
    <s v="W11100357"/>
    <s v="Tubos Queima"/>
    <x v="12"/>
    <n v="1000"/>
    <n v="5002359"/>
    <s v="EMPRESA BRASILEIRA DE CORREIOS E"/>
    <n v="93.26"/>
    <d v="2025-07-22T00:00:00"/>
  </r>
  <r>
    <s v="Sem TR"/>
    <n v="64779147"/>
    <s v="ZRDI"/>
    <n v="10102302"/>
    <s v="D20"/>
    <s v="DEV D2C - Demora na entrega"/>
    <s v="COMERCIAL"/>
    <x v="2"/>
    <n v="58115421"/>
    <x v="576"/>
    <s v="SP"/>
    <n v="474"/>
    <s v="Site Brastemp"/>
    <n v="1352"/>
    <s v="W11100357"/>
    <s v="Tubos Queima"/>
    <x v="12"/>
    <n v="1000"/>
    <n v="5002359"/>
    <s v="EMPRESA BRASILEIRA DE CORREIOS E"/>
    <n v="93.19"/>
    <d v="2025-07-10T00:00:00"/>
  </r>
  <r>
    <n v="254021291"/>
    <n v="64798937"/>
    <s v="ZRDI"/>
    <n v="10102309"/>
    <n v="208"/>
    <s v="DEV-Atraso entrega- LOGISTICA(Transp)"/>
    <s v="TRANSPORTADORA"/>
    <x v="2"/>
    <n v="58115495"/>
    <x v="577"/>
    <s v="SP"/>
    <n v="474"/>
    <s v="Site Brastemp"/>
    <n v="1352"/>
    <s v="W11100357"/>
    <s v="Tubos Queima"/>
    <x v="12"/>
    <n v="1000"/>
    <n v="5002359"/>
    <s v="EMPRESA BRASILEIRA DE CORREIOS E"/>
    <n v="93.19"/>
    <d v="2025-06-26T00:00:00"/>
  </r>
  <r>
    <s v="Sem TR"/>
    <n v="64779147"/>
    <s v="ZRDI"/>
    <n v="10102302"/>
    <s v="D20"/>
    <s v="DEV D2C - Demora na entrega"/>
    <s v="COMERCIAL"/>
    <x v="2"/>
    <n v="58115421"/>
    <x v="576"/>
    <s v="SP"/>
    <n v="474"/>
    <s v="Site Brastemp"/>
    <n v="1352"/>
    <s v="W11100357"/>
    <s v="Tubos Queima"/>
    <x v="12"/>
    <n v="1000"/>
    <n v="5002359"/>
    <s v="EMPRESA BRASILEIRA DE CORREIOS E"/>
    <n v="93.19"/>
    <d v="2025-07-10T00:00:00"/>
  </r>
  <r>
    <n v="254021291"/>
    <n v="64798937"/>
    <s v="ZRDI"/>
    <n v="10102309"/>
    <n v="208"/>
    <s v="DEV-Atraso entrega- LOGISTICA(Transp)"/>
    <s v="TRANSPORTADORA"/>
    <x v="2"/>
    <n v="58115495"/>
    <x v="577"/>
    <s v="SP"/>
    <n v="474"/>
    <s v="Site Brastemp"/>
    <n v="1352"/>
    <s v="W11100357"/>
    <s v="Tubos Queima"/>
    <x v="12"/>
    <n v="1000"/>
    <n v="5002359"/>
    <s v="EMPRESA BRASILEIRA DE CORREIOS E"/>
    <n v="93.19"/>
    <d v="2025-06-26T00:00:00"/>
  </r>
  <r>
    <n v="254040413"/>
    <n v="64818317"/>
    <s v="ZRDI"/>
    <n v="10128885"/>
    <n v="208"/>
    <s v="DEV-Atraso entrega- LOGISTICA(Transp)"/>
    <s v="TRANSPORTADORA"/>
    <x v="2"/>
    <n v="56265605"/>
    <x v="1398"/>
    <s v="SC"/>
    <n v="474"/>
    <s v="Site Brastemp"/>
    <n v="1352"/>
    <s v="W11245250"/>
    <s v="Válvulas de Água"/>
    <x v="5"/>
    <n v="1000"/>
    <n v="5002359"/>
    <s v="EMPRESA BRASILEIRA DE CORREIOS E"/>
    <n v="93.16"/>
    <d v="2025-07-26T00:00:00"/>
  </r>
  <r>
    <n v="254040413"/>
    <n v="64818317"/>
    <s v="ZRDI"/>
    <n v="10128885"/>
    <n v="208"/>
    <s v="DEV-Atraso entrega- LOGISTICA(Transp)"/>
    <s v="TRANSPORTADORA"/>
    <x v="2"/>
    <n v="56265605"/>
    <x v="1398"/>
    <s v="SC"/>
    <n v="474"/>
    <s v="Site Brastemp"/>
    <n v="1352"/>
    <s v="W11245250"/>
    <s v="Válvulas de Água"/>
    <x v="5"/>
    <n v="1000"/>
    <n v="5002359"/>
    <s v="EMPRESA BRASILEIRA DE CORREIOS E"/>
    <n v="93.16"/>
    <d v="2025-07-26T00:00:00"/>
  </r>
  <r>
    <s v="Sem TR"/>
    <n v="64816548"/>
    <s v="ZRDI"/>
    <n v="10134609"/>
    <s v="D10"/>
    <s v="DEV D2C - Comprou modelo errado"/>
    <s v="COMERCIAL"/>
    <x v="2"/>
    <n v="58150193"/>
    <x v="1399"/>
    <s v="SP"/>
    <n v="475"/>
    <s v="Site Consul"/>
    <n v="1352"/>
    <s v="W10851317"/>
    <s v="Queimadores"/>
    <x v="12"/>
    <n v="4000"/>
    <n v="5002359"/>
    <s v="EMPRESA BRASILEIRA DE CORREIOS E"/>
    <n v="93.12"/>
    <d v="2025-07-26T00:00:00"/>
  </r>
  <r>
    <s v="Sem TR"/>
    <n v="64816548"/>
    <s v="ZRDI"/>
    <n v="10134609"/>
    <s v="D10"/>
    <s v="DEV D2C - Comprou modelo errado"/>
    <s v="COMERCIAL"/>
    <x v="2"/>
    <n v="58150193"/>
    <x v="1399"/>
    <s v="SP"/>
    <n v="475"/>
    <s v="Site Consul"/>
    <n v="1352"/>
    <s v="W10851317"/>
    <s v="Queimadores"/>
    <x v="12"/>
    <n v="4000"/>
    <n v="5002359"/>
    <s v="EMPRESA BRASILEIRA DE CORREIOS E"/>
    <n v="93.12"/>
    <d v="2025-07-26T00:00:00"/>
  </r>
  <r>
    <n v="254035325"/>
    <n v="64812345"/>
    <s v="REB"/>
    <n v="10041592"/>
    <n v="176"/>
    <s v="PEÇAS - Defeito de fabric./Interrompido"/>
    <s v="FUNCIONAL"/>
    <x v="0"/>
    <n v="3506"/>
    <x v="46"/>
    <s v="SP"/>
    <n v="931"/>
    <s v="Ats Off"/>
    <n v="1350"/>
    <s v="W10563076"/>
    <s v="Gaxetas"/>
    <x v="4"/>
    <n v="1000"/>
    <n v="5004042"/>
    <s v="BRASIL WEB TRANSPORTES E LOGISTICA"/>
    <n v="93.04"/>
    <d v="2025-07-17T00:00:00"/>
  </r>
  <r>
    <s v="Sem TR"/>
    <n v="64805759"/>
    <s v="ZRDI"/>
    <n v="10040792"/>
    <s v="D10"/>
    <s v="DEV D2C - Comprou modelo errado"/>
    <s v="COMERCIAL"/>
    <x v="2"/>
    <n v="53029347"/>
    <x v="1400"/>
    <s v="MT"/>
    <n v="474"/>
    <s v="Site Brastemp"/>
    <n v="1352"/>
    <s v="W11316366"/>
    <s v="Gaxetas"/>
    <x v="4"/>
    <n v="1000"/>
    <n v="5002359"/>
    <s v="EMPRESA BRASILEIRA DE CORREIOS E"/>
    <n v="93.02"/>
    <d v="2025-07-04T00:00:00"/>
  </r>
  <r>
    <n v="253995100"/>
    <n v="64772276"/>
    <s v="REB"/>
    <n v="9682483"/>
    <n v="173"/>
    <s v="PEÇAS - Defeito de fabric./Alta Amperage"/>
    <s v="FUNCIONAL"/>
    <x v="2"/>
    <n v="22985"/>
    <x v="247"/>
    <s v="SC"/>
    <n v="641"/>
    <s v="CDP Diamante"/>
    <n v="1350"/>
    <s v="W11160655"/>
    <s v="Placas de Interface"/>
    <x v="1"/>
    <n v="1000"/>
    <n v="5003024"/>
    <s v="RODOBRAS TRANSPORTES RODOVIARIOS LT"/>
    <n v="92.97"/>
    <d v="2025-05-16T00:00:00"/>
  </r>
  <r>
    <s v="Sem TR"/>
    <n v="64800379"/>
    <s v="ZRDI"/>
    <n v="10091656"/>
    <s v="D10"/>
    <s v="DEV D2C - Comprou modelo errado"/>
    <s v="COMERCIAL"/>
    <x v="2"/>
    <n v="58094093"/>
    <x v="1401"/>
    <s v="RJ"/>
    <n v="474"/>
    <s v="Site Brastemp"/>
    <n v="1352"/>
    <s v="W11245250"/>
    <s v="Válvulas de Água"/>
    <x v="5"/>
    <n v="1000"/>
    <n v="5002359"/>
    <s v="EMPRESA BRASILEIRA DE CORREIOS E"/>
    <n v="92.97"/>
    <d v="2025-06-30T00:00:00"/>
  </r>
  <r>
    <n v="254030022"/>
    <n v="64809499"/>
    <s v="ZRDI"/>
    <n v="10107593"/>
    <n v="208"/>
    <s v="DEV-Atraso entrega- LOGISTICA(Transp)"/>
    <s v="TRANSPORTADORA"/>
    <x v="2"/>
    <n v="56527064"/>
    <x v="580"/>
    <s v="SP"/>
    <n v="474"/>
    <s v="Site Brastemp"/>
    <n v="1352"/>
    <s v="W11100357"/>
    <s v="Tubos Queima"/>
    <x v="12"/>
    <n v="1000"/>
    <n v="5002359"/>
    <s v="EMPRESA BRASILEIRA DE CORREIOS E"/>
    <n v="92.92"/>
    <d v="2025-07-11T00:00:00"/>
  </r>
  <r>
    <n v="253952363"/>
    <n v="64728999"/>
    <s v="REB"/>
    <n v="9900084"/>
    <n v="167"/>
    <s v="PEÇAS - Avaria - Quebrada/Depósito"/>
    <s v="LOGÍSTICA"/>
    <x v="1"/>
    <n v="55093"/>
    <x v="231"/>
    <s v="SP"/>
    <n v="648"/>
    <s v="Ultra"/>
    <n v="1350"/>
    <s v="W10169464"/>
    <s v="Defletores/Difusores"/>
    <x v="5"/>
    <n v="3000"/>
    <n v="5004042"/>
    <s v="BRASIL WEB TRANSPORTES E LOGISTICA"/>
    <n v="92.9"/>
    <d v="2025-03-10T00:00:00"/>
  </r>
  <r>
    <n v="254023991"/>
    <n v="64802779"/>
    <s v="ZRDI"/>
    <n v="10068940"/>
    <s v="D25"/>
    <s v="DEV D2C - Prob na entrega (Não recebi)"/>
    <s v="TRANSPORTADORA"/>
    <x v="2"/>
    <n v="56477213"/>
    <x v="1402"/>
    <s v="RJ"/>
    <n v="475"/>
    <s v="Site Consul"/>
    <n v="1352"/>
    <s v="W11199342"/>
    <s v="Filtros"/>
    <x v="5"/>
    <n v="1000"/>
    <n v="5003972"/>
    <s v="ICARO EXPRESS LOGISTICA LTDA"/>
    <n v="92.8"/>
    <d v="2025-07-01T00:00:00"/>
  </r>
  <r>
    <n v="254038397"/>
    <n v="64799368"/>
    <s v="REB"/>
    <n v="10101123"/>
    <n v="177"/>
    <s v="PEÇAS - Defeito de fabric./Ruído"/>
    <s v="FUNCIONAL"/>
    <x v="0"/>
    <n v="80432"/>
    <x v="3"/>
    <s v="ES"/>
    <n v="713"/>
    <s v="Key Account"/>
    <n v="1350"/>
    <s v="W10399715"/>
    <s v="Motores Ventiladores"/>
    <x v="1"/>
    <n v="2000"/>
    <n v="5004042"/>
    <s v="BRASIL WEB TRANSPORTES E LOGISTICA"/>
    <n v="92.66"/>
    <d v="2025-07-22T00:00:00"/>
  </r>
  <r>
    <s v="Sem TR"/>
    <n v="64814775"/>
    <s v="ZRDI"/>
    <n v="10116199"/>
    <s v="D18"/>
    <s v="DEV D2C - Arrependimento não quero mais"/>
    <s v="COMERCIAL"/>
    <x v="2"/>
    <n v="58126137"/>
    <x v="1403"/>
    <s v="PR"/>
    <n v="475"/>
    <s v="Site Consul"/>
    <n v="1352"/>
    <n v="326066852"/>
    <s v="Prateleiras"/>
    <x v="9"/>
    <n v="1000"/>
    <n v="5002359"/>
    <s v="EMPRESA BRASILEIRA DE CORREIOS E"/>
    <n v="92.63"/>
    <d v="2025-07-23T00:00:00"/>
  </r>
  <r>
    <s v="Sem TR"/>
    <n v="64814775"/>
    <s v="ZRDI"/>
    <n v="10116199"/>
    <s v="D18"/>
    <s v="DEV D2C - Arrependimento não quero mais"/>
    <s v="COMERCIAL"/>
    <x v="2"/>
    <n v="58126137"/>
    <x v="1403"/>
    <s v="PR"/>
    <n v="475"/>
    <s v="Site Consul"/>
    <n v="1352"/>
    <n v="326066852"/>
    <s v="Prateleiras"/>
    <x v="9"/>
    <n v="1000"/>
    <n v="5002359"/>
    <s v="EMPRESA BRASILEIRA DE CORREIOS E"/>
    <n v="92.63"/>
    <d v="2025-07-23T00:00:00"/>
  </r>
  <r>
    <n v="253944066"/>
    <n v="64714861"/>
    <s v="REB"/>
    <n v="9842802"/>
    <n v="167"/>
    <s v="PEÇAS - Avaria - Quebrada/Depósito"/>
    <s v="LOGÍSTICA"/>
    <x v="1"/>
    <n v="56043"/>
    <x v="48"/>
    <s v="PR"/>
    <n v="963"/>
    <s v="Ats Distribuidoras"/>
    <n v="1350"/>
    <n v="326061558"/>
    <s v="Gavetas"/>
    <x v="9"/>
    <n v="1000"/>
    <n v="5003024"/>
    <s v="RODOBRAS TRANSPORTES RODOVIARIOS LT"/>
    <n v="92.6"/>
    <d v="2025-02-17T00:00:00"/>
  </r>
  <r>
    <n v="253903206"/>
    <n v="64671624"/>
    <s v="REB"/>
    <n v="9650807"/>
    <n v="176"/>
    <s v="PEÇAS - Defeito de fabric./Interrompido"/>
    <s v="FUNCIONAL"/>
    <x v="1"/>
    <n v="42048"/>
    <x v="11"/>
    <s v="MT"/>
    <n v="933"/>
    <s v="Top"/>
    <n v="1350"/>
    <s v="W10882241"/>
    <s v="Agitadores"/>
    <x v="2"/>
    <n v="2000"/>
    <n v="5002573"/>
    <s v="CARVALIMA TRANSPORTES LTDA"/>
    <n v="92.48"/>
    <d v="2024-12-18T00:00:00"/>
  </r>
  <r>
    <n v="254026129"/>
    <n v="64805681"/>
    <s v="ZRDI"/>
    <n v="10090947"/>
    <n v="208"/>
    <s v="DEV-Atraso entrega- LOGISTICA(Transp)"/>
    <s v="TRANSPORTADORA"/>
    <x v="2"/>
    <n v="57555182"/>
    <x v="1404"/>
    <s v="PR"/>
    <n v="475"/>
    <s v="Site Consul"/>
    <n v="1352"/>
    <s v="W11199342"/>
    <s v="Filtros"/>
    <x v="5"/>
    <n v="1000"/>
    <n v="5002359"/>
    <s v="EMPRESA BRASILEIRA DE CORREIOS E"/>
    <n v="92.44"/>
    <d v="2025-07-04T00:00:00"/>
  </r>
  <r>
    <n v="254028682"/>
    <n v="64808444"/>
    <s v="ZRDI"/>
    <n v="10112674"/>
    <s v="D25"/>
    <s v="DEV D2C - Prob na entrega (Não recebi)"/>
    <s v="TRANSPORTADORA"/>
    <x v="2"/>
    <n v="55560743"/>
    <x v="1405"/>
    <s v="PR"/>
    <n v="475"/>
    <s v="Site Consul"/>
    <n v="1352"/>
    <s v="W10301562"/>
    <s v="Filtros"/>
    <x v="5"/>
    <n v="1000"/>
    <n v="5002359"/>
    <s v="EMPRESA BRASILEIRA DE CORREIOS E"/>
    <n v="92.44"/>
    <d v="2025-07-10T00:00:00"/>
  </r>
  <r>
    <s v="Sem TR"/>
    <n v="64812218"/>
    <s v="ZRDI"/>
    <n v="10093247"/>
    <n v="25"/>
    <s v="OC. 80 - EXTRAVIO TOTAL"/>
    <s v="TRANSPORTADORA"/>
    <x v="2"/>
    <n v="53448233"/>
    <x v="1406"/>
    <s v="PR"/>
    <n v="475"/>
    <s v="Site Consul"/>
    <n v="1352"/>
    <s v="W10301562"/>
    <s v="Filtros"/>
    <x v="5"/>
    <n v="1000"/>
    <n v="5002359"/>
    <s v="EMPRESA BRASILEIRA DE CORREIOS E"/>
    <n v="92.44"/>
    <d v="2025-07-17T00:00:00"/>
  </r>
  <r>
    <s v="Sem TR"/>
    <n v="64812495"/>
    <s v="ZRDI"/>
    <n v="10094264"/>
    <n v="25"/>
    <s v="OC. 80 - EXTRAVIO TOTAL"/>
    <s v="TRANSPORTADORA"/>
    <x v="2"/>
    <n v="58101103"/>
    <x v="1407"/>
    <s v="PR"/>
    <n v="475"/>
    <s v="Site Consul"/>
    <n v="1352"/>
    <s v="W11199342"/>
    <s v="Filtros"/>
    <x v="5"/>
    <n v="1000"/>
    <n v="5002359"/>
    <s v="EMPRESA BRASILEIRA DE CORREIOS E"/>
    <n v="92.44"/>
    <d v="2025-07-17T00:00:00"/>
  </r>
  <r>
    <n v="254035937"/>
    <n v="64814042"/>
    <s v="ZRDI"/>
    <n v="10127720"/>
    <n v="208"/>
    <s v="DEV-Atraso entrega- LOGISTICA(Transp)"/>
    <s v="TRANSPORTADORA"/>
    <x v="2"/>
    <n v="58142447"/>
    <x v="1408"/>
    <s v="PR"/>
    <n v="475"/>
    <s v="Site Consul"/>
    <n v="1352"/>
    <s v="W10301562"/>
    <s v="Filtros"/>
    <x v="5"/>
    <n v="1000"/>
    <n v="5002359"/>
    <s v="EMPRESA BRASILEIRA DE CORREIOS E"/>
    <n v="92.44"/>
    <d v="2025-07-21T00:00:00"/>
  </r>
  <r>
    <s v="Sem TR"/>
    <n v="64812218"/>
    <s v="ZRDI"/>
    <n v="10093247"/>
    <n v="25"/>
    <s v="OC. 80 - EXTRAVIO TOTAL"/>
    <s v="TRANSPORTADORA"/>
    <x v="2"/>
    <n v="53448233"/>
    <x v="1406"/>
    <s v="PR"/>
    <n v="475"/>
    <s v="Site Consul"/>
    <n v="1352"/>
    <s v="W10301562"/>
    <s v="Filtros"/>
    <x v="5"/>
    <n v="1000"/>
    <n v="5002359"/>
    <s v="EMPRESA BRASILEIRA DE CORREIOS E"/>
    <n v="92.44"/>
    <d v="2025-07-17T00:00:00"/>
  </r>
  <r>
    <s v="Sem TR"/>
    <n v="64812495"/>
    <s v="ZRDI"/>
    <n v="10094264"/>
    <n v="25"/>
    <s v="OC. 80 - EXTRAVIO TOTAL"/>
    <s v="TRANSPORTADORA"/>
    <x v="2"/>
    <n v="58101103"/>
    <x v="1407"/>
    <s v="PR"/>
    <n v="475"/>
    <s v="Site Consul"/>
    <n v="1352"/>
    <s v="W11199342"/>
    <s v="Filtros"/>
    <x v="5"/>
    <n v="1000"/>
    <n v="5002359"/>
    <s v="EMPRESA BRASILEIRA DE CORREIOS E"/>
    <n v="92.44"/>
    <d v="2025-07-17T00:00:00"/>
  </r>
  <r>
    <n v="254035937"/>
    <n v="64814042"/>
    <s v="ZRDI"/>
    <n v="10127720"/>
    <n v="208"/>
    <s v="DEV-Atraso entrega- LOGISTICA(Transp)"/>
    <s v="TRANSPORTADORA"/>
    <x v="2"/>
    <n v="58142447"/>
    <x v="1408"/>
    <s v="PR"/>
    <n v="475"/>
    <s v="Site Consul"/>
    <n v="1352"/>
    <s v="W10301562"/>
    <s v="Filtros"/>
    <x v="5"/>
    <n v="1000"/>
    <n v="5002359"/>
    <s v="EMPRESA BRASILEIRA DE CORREIOS E"/>
    <n v="92.44"/>
    <d v="2025-07-21T00:00:00"/>
  </r>
  <r>
    <n v="254026129"/>
    <n v="64805681"/>
    <s v="ZRDI"/>
    <n v="10090947"/>
    <n v="208"/>
    <s v="DEV-Atraso entrega- LOGISTICA(Transp)"/>
    <s v="TRANSPORTADORA"/>
    <x v="2"/>
    <n v="57555182"/>
    <x v="1404"/>
    <s v="PR"/>
    <n v="475"/>
    <s v="Site Consul"/>
    <n v="1352"/>
    <s v="W11199342"/>
    <s v="Filtros"/>
    <x v="5"/>
    <n v="1000"/>
    <n v="5002359"/>
    <s v="EMPRESA BRASILEIRA DE CORREIOS E"/>
    <n v="92.43"/>
    <d v="2025-07-04T00:00:00"/>
  </r>
  <r>
    <n v="254028682"/>
    <n v="64808444"/>
    <s v="ZRDI"/>
    <n v="10112674"/>
    <s v="D25"/>
    <s v="DEV D2C - Prob na entrega (Não recebi)"/>
    <s v="TRANSPORTADORA"/>
    <x v="2"/>
    <n v="55560743"/>
    <x v="1405"/>
    <s v="PR"/>
    <n v="475"/>
    <s v="Site Consul"/>
    <n v="1352"/>
    <s v="W10301562"/>
    <s v="Filtros"/>
    <x v="5"/>
    <n v="1000"/>
    <n v="5002359"/>
    <s v="EMPRESA BRASILEIRA DE CORREIOS E"/>
    <n v="92.43"/>
    <d v="2025-07-10T00:00:00"/>
  </r>
  <r>
    <s v="Sem TR"/>
    <n v="64812218"/>
    <s v="ZRDI"/>
    <n v="10093247"/>
    <n v="25"/>
    <s v="OC. 80 - EXTRAVIO TOTAL"/>
    <s v="TRANSPORTADORA"/>
    <x v="2"/>
    <n v="53448233"/>
    <x v="1406"/>
    <s v="PR"/>
    <n v="475"/>
    <s v="Site Consul"/>
    <n v="1352"/>
    <s v="W10301562"/>
    <s v="Filtros"/>
    <x v="5"/>
    <n v="1000"/>
    <n v="5002359"/>
    <s v="EMPRESA BRASILEIRA DE CORREIOS E"/>
    <n v="92.43"/>
    <d v="2025-07-17T00:00:00"/>
  </r>
  <r>
    <s v="Sem TR"/>
    <n v="64812495"/>
    <s v="ZRDI"/>
    <n v="10094264"/>
    <n v="25"/>
    <s v="OC. 80 - EXTRAVIO TOTAL"/>
    <s v="TRANSPORTADORA"/>
    <x v="2"/>
    <n v="58101103"/>
    <x v="1407"/>
    <s v="PR"/>
    <n v="475"/>
    <s v="Site Consul"/>
    <n v="1352"/>
    <s v="W11199342"/>
    <s v="Filtros"/>
    <x v="5"/>
    <n v="1000"/>
    <n v="5002359"/>
    <s v="EMPRESA BRASILEIRA DE CORREIOS E"/>
    <n v="92.43"/>
    <d v="2025-07-17T00:00:00"/>
  </r>
  <r>
    <n v="254035937"/>
    <n v="64814042"/>
    <s v="ZRDI"/>
    <n v="10127720"/>
    <n v="208"/>
    <s v="DEV-Atraso entrega- LOGISTICA(Transp)"/>
    <s v="TRANSPORTADORA"/>
    <x v="2"/>
    <n v="58142447"/>
    <x v="1408"/>
    <s v="PR"/>
    <n v="475"/>
    <s v="Site Consul"/>
    <n v="1352"/>
    <s v="W10301562"/>
    <s v="Filtros"/>
    <x v="5"/>
    <n v="1000"/>
    <n v="5002359"/>
    <s v="EMPRESA BRASILEIRA DE CORREIOS E"/>
    <n v="92.43"/>
    <d v="2025-07-21T00:00:00"/>
  </r>
  <r>
    <s v="Sem TR"/>
    <n v="64812218"/>
    <s v="ZRDI"/>
    <n v="10093247"/>
    <n v="25"/>
    <s v="OC. 80 - EXTRAVIO TOTAL"/>
    <s v="TRANSPORTADORA"/>
    <x v="2"/>
    <n v="53448233"/>
    <x v="1406"/>
    <s v="PR"/>
    <n v="475"/>
    <s v="Site Consul"/>
    <n v="1352"/>
    <s v="W10301562"/>
    <s v="Filtros"/>
    <x v="5"/>
    <n v="1000"/>
    <n v="5002359"/>
    <s v="EMPRESA BRASILEIRA DE CORREIOS E"/>
    <n v="92.43"/>
    <d v="2025-07-17T00:00:00"/>
  </r>
  <r>
    <s v="Sem TR"/>
    <n v="64812495"/>
    <s v="ZRDI"/>
    <n v="10094264"/>
    <n v="25"/>
    <s v="OC. 80 - EXTRAVIO TOTAL"/>
    <s v="TRANSPORTADORA"/>
    <x v="2"/>
    <n v="58101103"/>
    <x v="1407"/>
    <s v="PR"/>
    <n v="475"/>
    <s v="Site Consul"/>
    <n v="1352"/>
    <s v="W11199342"/>
    <s v="Filtros"/>
    <x v="5"/>
    <n v="1000"/>
    <n v="5002359"/>
    <s v="EMPRESA BRASILEIRA DE CORREIOS E"/>
    <n v="92.43"/>
    <d v="2025-07-17T00:00:00"/>
  </r>
  <r>
    <n v="254035937"/>
    <n v="64814042"/>
    <s v="ZRDI"/>
    <n v="10127720"/>
    <n v="208"/>
    <s v="DEV-Atraso entrega- LOGISTICA(Transp)"/>
    <s v="TRANSPORTADORA"/>
    <x v="2"/>
    <n v="58142447"/>
    <x v="1408"/>
    <s v="PR"/>
    <n v="475"/>
    <s v="Site Consul"/>
    <n v="1352"/>
    <s v="W10301562"/>
    <s v="Filtros"/>
    <x v="5"/>
    <n v="1000"/>
    <n v="5002359"/>
    <s v="EMPRESA BRASILEIRA DE CORREIOS E"/>
    <n v="92.43"/>
    <d v="2025-07-21T00:00:00"/>
  </r>
  <r>
    <s v="Sem TR"/>
    <n v="64818270"/>
    <s v="ZRDI"/>
    <n v="10112546"/>
    <s v="D10"/>
    <s v="DEV D2C - Comprou modelo errado"/>
    <s v="COMERCIAL"/>
    <x v="1"/>
    <n v="58122848"/>
    <x v="1409"/>
    <s v="PI"/>
    <n v="474"/>
    <s v="Site Brastemp"/>
    <n v="1352"/>
    <s v="W11113069"/>
    <s v="Prateleiras"/>
    <x v="9"/>
    <n v="1000"/>
    <n v="5002359"/>
    <s v="EMPRESA BRASILEIRA DE CORREIOS E"/>
    <n v="92.43"/>
    <d v="2025-07-28T00:00:00"/>
  </r>
  <r>
    <n v="254033982"/>
    <n v="64812547"/>
    <s v="ZRDI"/>
    <n v="10116078"/>
    <n v="208"/>
    <s v="DEV-Atraso entrega- LOGISTICA(Transp)"/>
    <s v="TRANSPORTADORA"/>
    <x v="2"/>
    <n v="50382494"/>
    <x v="1410"/>
    <s v="RS"/>
    <n v="475"/>
    <s v="Site Consul"/>
    <n v="1352"/>
    <n v="326066852"/>
    <s v="Prateleiras"/>
    <x v="9"/>
    <n v="1000"/>
    <n v="5002359"/>
    <s v="EMPRESA BRASILEIRA DE CORREIOS E"/>
    <n v="92.33"/>
    <d v="2025-07-17T00:00:00"/>
  </r>
  <r>
    <s v="Sem TR"/>
    <n v="64813277"/>
    <s v="REB"/>
    <n v="10121820"/>
    <n v="167"/>
    <s v="PEÇAS - Avaria - Quebrada/Depósito"/>
    <s v="LOGÍSTICA"/>
    <x v="1"/>
    <n v="25656"/>
    <x v="173"/>
    <s v="SP"/>
    <n v="931"/>
    <s v="Ats Off"/>
    <n v="1350"/>
    <s v="W10391596"/>
    <s v="Gavetas"/>
    <x v="9"/>
    <n v="1000"/>
    <n v="5004042"/>
    <s v="BRASIL WEB TRANSPORTES E LOGISTICA"/>
    <n v="92.32"/>
    <d v="2025-07-22T00:00:00"/>
  </r>
  <r>
    <n v="254018364"/>
    <n v="64791698"/>
    <s v="REB"/>
    <n v="10079172"/>
    <n v="167"/>
    <s v="PEÇAS - Avaria - Quebrada/Depósito"/>
    <s v="LOGÍSTICA"/>
    <x v="2"/>
    <n v="70149"/>
    <x v="147"/>
    <s v="SP"/>
    <n v="963"/>
    <s v="Ats Distribuidoras"/>
    <n v="1350"/>
    <n v="326061558"/>
    <s v="Gavetas"/>
    <x v="9"/>
    <n v="1000"/>
    <n v="5004042"/>
    <s v="BRASIL WEB TRANSPORTES E LOGISTICA"/>
    <n v="92.32"/>
    <d v="2025-06-16T00:00:00"/>
  </r>
  <r>
    <n v="254033101"/>
    <n v="64794963"/>
    <s v="REB"/>
    <n v="10053448"/>
    <n v="173"/>
    <s v="PEÇAS - Defeito de fabric./Alta Amperage"/>
    <s v="FUNCIONAL"/>
    <x v="1"/>
    <n v="113"/>
    <x v="396"/>
    <s v="AL"/>
    <n v="350"/>
    <s v="Ats On"/>
    <n v="1350"/>
    <s v="W10810088"/>
    <s v="Motores Ventiladores"/>
    <x v="1"/>
    <n v="1000"/>
    <n v="5004101"/>
    <s v="UNIDOCK'S ASSESSORIA E LOGISTICA DE"/>
    <n v="92.29"/>
    <d v="2025-07-01T00:00:00"/>
  </r>
  <r>
    <n v="254032538"/>
    <n v="64811492"/>
    <s v="ZRDI"/>
    <n v="10099873"/>
    <n v="208"/>
    <s v="DEV-Atraso entrega- LOGISTICA(Transp)"/>
    <s v="TRANSPORTADORA"/>
    <x v="2"/>
    <n v="51232790"/>
    <x v="1411"/>
    <s v="RS"/>
    <n v="475"/>
    <s v="Site Consul"/>
    <n v="1352"/>
    <s v="W11199342"/>
    <s v="Filtros"/>
    <x v="5"/>
    <n v="1000"/>
    <n v="5002359"/>
    <s v="EMPRESA BRASILEIRA DE CORREIOS E"/>
    <n v="92.29"/>
    <d v="2025-07-16T00:00:00"/>
  </r>
  <r>
    <n v="254032562"/>
    <n v="64811506"/>
    <s v="ZRDI"/>
    <n v="10103902"/>
    <n v="208"/>
    <s v="DEV-Atraso entrega- LOGISTICA(Transp)"/>
    <s v="TRANSPORTADORA"/>
    <x v="2"/>
    <n v="58116053"/>
    <x v="1412"/>
    <s v="RS"/>
    <n v="475"/>
    <s v="Site Consul"/>
    <n v="1352"/>
    <s v="W10301562"/>
    <s v="Filtros"/>
    <x v="5"/>
    <n v="1000"/>
    <n v="5002359"/>
    <s v="EMPRESA BRASILEIRA DE CORREIOS E"/>
    <n v="92.29"/>
    <d v="2025-07-16T00:00:00"/>
  </r>
  <r>
    <s v="Sem TR"/>
    <n v="64818841"/>
    <s v="ZRDI"/>
    <n v="10119206"/>
    <s v="D35"/>
    <s v="DEV D2C - Prod difere do comprado"/>
    <s v="COMERCIAL"/>
    <x v="1"/>
    <n v="4076597"/>
    <x v="1413"/>
    <s v="RS"/>
    <n v="475"/>
    <s v="Site Consul"/>
    <n v="1352"/>
    <s v="W11199342"/>
    <s v="Filtros"/>
    <x v="5"/>
    <n v="1000"/>
    <n v="5002359"/>
    <s v="EMPRESA BRASILEIRA DE CORREIOS E"/>
    <n v="92.29"/>
    <d v="2025-07-29T00:00:00"/>
  </r>
  <r>
    <n v="254032538"/>
    <n v="64811492"/>
    <s v="ZRDI"/>
    <n v="10099873"/>
    <n v="208"/>
    <s v="DEV-Atraso entrega- LOGISTICA(Transp)"/>
    <s v="TRANSPORTADORA"/>
    <x v="2"/>
    <n v="51232790"/>
    <x v="1411"/>
    <s v="RS"/>
    <n v="475"/>
    <s v="Site Consul"/>
    <n v="1352"/>
    <s v="W11199342"/>
    <s v="Filtros"/>
    <x v="5"/>
    <n v="1000"/>
    <n v="5002359"/>
    <s v="EMPRESA BRASILEIRA DE CORREIOS E"/>
    <n v="92.28"/>
    <d v="2025-07-16T00:00:00"/>
  </r>
  <r>
    <n v="254032562"/>
    <n v="64811506"/>
    <s v="ZRDI"/>
    <n v="10103902"/>
    <n v="208"/>
    <s v="DEV-Atraso entrega- LOGISTICA(Transp)"/>
    <s v="TRANSPORTADORA"/>
    <x v="2"/>
    <n v="58116053"/>
    <x v="1412"/>
    <s v="RS"/>
    <n v="475"/>
    <s v="Site Consul"/>
    <n v="1352"/>
    <s v="W10301562"/>
    <s v="Filtros"/>
    <x v="5"/>
    <n v="1000"/>
    <n v="5002359"/>
    <s v="EMPRESA BRASILEIRA DE CORREIOS E"/>
    <n v="92.28"/>
    <d v="2025-07-16T00:00:00"/>
  </r>
  <r>
    <s v="Sem TR"/>
    <n v="64818841"/>
    <s v="ZRDI"/>
    <n v="10119206"/>
    <s v="D35"/>
    <s v="DEV D2C - Prod difere do comprado"/>
    <s v="COMERCIAL"/>
    <x v="1"/>
    <n v="4076597"/>
    <x v="1413"/>
    <s v="RS"/>
    <n v="475"/>
    <s v="Site Consul"/>
    <n v="1352"/>
    <s v="W11199342"/>
    <s v="Filtros"/>
    <x v="5"/>
    <n v="1000"/>
    <n v="5002359"/>
    <s v="EMPRESA BRASILEIRA DE CORREIOS E"/>
    <n v="92.28"/>
    <d v="2025-07-29T00:00:00"/>
  </r>
  <r>
    <n v="254037097"/>
    <n v="64815005"/>
    <s v="ZRDI"/>
    <n v="10127014"/>
    <n v="208"/>
    <s v="DEV-Atraso entrega- LOGISTICA(Transp)"/>
    <s v="TRANSPORTADORA"/>
    <x v="2"/>
    <n v="51839781"/>
    <x v="1414"/>
    <s v="GO"/>
    <n v="474"/>
    <s v="Site Brastemp"/>
    <n v="1352"/>
    <s v="W10436958"/>
    <s v="Portas"/>
    <x v="6"/>
    <n v="1000"/>
    <n v="5002359"/>
    <s v="EMPRESA BRASILEIRA DE CORREIOS E"/>
    <n v="92.22"/>
    <d v="2025-07-22T00:00:00"/>
  </r>
  <r>
    <n v="254037097"/>
    <n v="64815005"/>
    <s v="ZRDI"/>
    <n v="10127014"/>
    <n v="208"/>
    <s v="DEV-Atraso entrega- LOGISTICA(Transp)"/>
    <s v="TRANSPORTADORA"/>
    <x v="2"/>
    <n v="51839781"/>
    <x v="1414"/>
    <s v="GO"/>
    <n v="474"/>
    <s v="Site Brastemp"/>
    <n v="1352"/>
    <s v="W10436958"/>
    <s v="Portas"/>
    <x v="6"/>
    <n v="1000"/>
    <n v="5002359"/>
    <s v="EMPRESA BRASILEIRA DE CORREIOS E"/>
    <n v="92.22"/>
    <d v="2025-07-22T00:00:00"/>
  </r>
  <r>
    <n v="254012540"/>
    <n v="64787526"/>
    <s v="REB"/>
    <n v="10052107"/>
    <n v="167"/>
    <s v="PEÇAS - Avaria - Quebrada/Depósito"/>
    <s v="LOGÍSTICA"/>
    <x v="2"/>
    <n v="56043"/>
    <x v="48"/>
    <s v="PR"/>
    <n v="963"/>
    <s v="Ats Distribuidoras"/>
    <n v="1350"/>
    <s v="W10347201"/>
    <s v="Prateleiras"/>
    <x v="9"/>
    <n v="1000"/>
    <n v="5003024"/>
    <s v="RODOBRAS TRANSPORTES RODOVIARIOS LT"/>
    <n v="92.07"/>
    <d v="2025-06-10T00:00:00"/>
  </r>
  <r>
    <n v="253995220"/>
    <n v="64769760"/>
    <s v="REB"/>
    <n v="10024974"/>
    <n v="168"/>
    <s v="PEÇAS-Def.Fabric.Empenamento/Abaulamento"/>
    <s v="FUNCIONAL"/>
    <x v="1"/>
    <n v="70149"/>
    <x v="147"/>
    <s v="SP"/>
    <n v="963"/>
    <s v="Ats Distribuidoras"/>
    <n v="1350"/>
    <s v="W10221096"/>
    <s v="Portas"/>
    <x v="6"/>
    <n v="1000"/>
    <n v="5004042"/>
    <s v="BRASIL WEB TRANSPORTES E LOGISTICA"/>
    <n v="92.07"/>
    <d v="2025-05-15T00:00:00"/>
  </r>
  <r>
    <s v="Sem TR"/>
    <n v="64750056"/>
    <s v="REB"/>
    <n v="9876389"/>
    <n v="671"/>
    <s v="DEV-ENVIADO PARA GESTÃO DE CONSEQUENCIA"/>
    <s v="TRANSPORTADORA"/>
    <x v="1"/>
    <n v="22211"/>
    <x v="146"/>
    <s v="SC"/>
    <n v="644"/>
    <s v="Plus"/>
    <n v="1350"/>
    <s v="W11298039"/>
    <s v="Gavetas"/>
    <x v="9"/>
    <n v="1000"/>
    <n v="5003024"/>
    <s v="RODOBRAS TRANSPORTES RODOVIARIOS LT"/>
    <n v="92.07"/>
    <d v="2025-04-11T00:00:00"/>
  </r>
  <r>
    <n v="254023777"/>
    <n v="64802486"/>
    <s v="ZRDI"/>
    <n v="10078232"/>
    <s v="D25"/>
    <s v="DEV D2C - Prob na entrega (Não recebi)"/>
    <s v="TRANSPORTADORA"/>
    <x v="2"/>
    <n v="55702469"/>
    <x v="1415"/>
    <s v="SC"/>
    <n v="475"/>
    <s v="Site Consul"/>
    <n v="1352"/>
    <s v="W11199342"/>
    <s v="Filtros"/>
    <x v="5"/>
    <n v="1000"/>
    <n v="5002359"/>
    <s v="EMPRESA BRASILEIRA DE CORREIOS E"/>
    <n v="92.05"/>
    <d v="2025-07-01T00:00:00"/>
  </r>
  <r>
    <n v="254028680"/>
    <n v="64808432"/>
    <s v="ZRDI"/>
    <n v="10081679"/>
    <s v="D25"/>
    <s v="DEV D2C - Prob na entrega (Não recebi)"/>
    <s v="TRANSPORTADORA"/>
    <x v="2"/>
    <n v="53895028"/>
    <x v="1416"/>
    <s v="MT"/>
    <n v="475"/>
    <s v="Site Consul"/>
    <n v="1352"/>
    <s v="W10301562"/>
    <s v="Filtros"/>
    <x v="5"/>
    <n v="1000"/>
    <n v="5002359"/>
    <s v="EMPRESA BRASILEIRA DE CORREIOS E"/>
    <n v="92.05"/>
    <d v="2025-07-10T00:00:00"/>
  </r>
  <r>
    <n v="254029244"/>
    <n v="64808751"/>
    <s v="ZRDI"/>
    <n v="10076042"/>
    <n v="208"/>
    <s v="DEV-Atraso entrega- LOGISTICA(Transp)"/>
    <s v="TRANSPORTADORA"/>
    <x v="2"/>
    <n v="58072146"/>
    <x v="1417"/>
    <s v="SC"/>
    <n v="475"/>
    <s v="Site Consul"/>
    <n v="1352"/>
    <s v="W11199342"/>
    <s v="Filtros"/>
    <x v="5"/>
    <n v="1000"/>
    <n v="5002359"/>
    <s v="EMPRESA BRASILEIRA DE CORREIOS E"/>
    <n v="92.05"/>
    <d v="2025-07-10T00:00:00"/>
  </r>
  <r>
    <n v="254032555"/>
    <n v="64811500"/>
    <s v="ZRDI"/>
    <n v="10104060"/>
    <n v="208"/>
    <s v="DEV-Atraso entrega- LOGISTICA(Transp)"/>
    <s v="TRANSPORTADORA"/>
    <x v="2"/>
    <n v="56455212"/>
    <x v="1418"/>
    <s v="SC"/>
    <n v="475"/>
    <s v="Site Consul"/>
    <n v="1352"/>
    <s v="W11199342"/>
    <s v="Filtros"/>
    <x v="5"/>
    <n v="1000"/>
    <n v="5002359"/>
    <s v="EMPRESA BRASILEIRA DE CORREIOS E"/>
    <n v="92.05"/>
    <d v="2025-07-16T00:00:00"/>
  </r>
  <r>
    <s v="Sem TR"/>
    <n v="64812050"/>
    <s v="ZRDI"/>
    <n v="10125513"/>
    <s v="D10"/>
    <s v="DEV D2C - Comprou modelo errado"/>
    <s v="COMERCIAL"/>
    <x v="2"/>
    <n v="52322266"/>
    <x v="1419"/>
    <s v="SC"/>
    <n v="475"/>
    <s v="Site Consul"/>
    <n v="1352"/>
    <s v="W11199342"/>
    <s v="Filtros"/>
    <x v="5"/>
    <n v="1000"/>
    <n v="5002359"/>
    <s v="EMPRESA BRASILEIRA DE CORREIOS E"/>
    <n v="92.05"/>
    <d v="2025-07-21T00:00:00"/>
  </r>
  <r>
    <s v="Sem TR"/>
    <n v="64812216"/>
    <s v="ZRDI"/>
    <n v="10082597"/>
    <n v="25"/>
    <s v="OC. 80 - EXTRAVIO TOTAL"/>
    <s v="TRANSPORTADORA"/>
    <x v="2"/>
    <n v="5837643"/>
    <x v="1420"/>
    <s v="RJ"/>
    <n v="475"/>
    <s v="Site Consul"/>
    <n v="1352"/>
    <s v="W11199342"/>
    <s v="Filtros"/>
    <x v="5"/>
    <n v="1000"/>
    <n v="5002359"/>
    <s v="EMPRESA BRASILEIRA DE CORREIOS E"/>
    <n v="92.05"/>
    <d v="2025-07-17T00:00:00"/>
  </r>
  <r>
    <n v="254036805"/>
    <n v="64814719"/>
    <s v="ZRDI"/>
    <n v="10100469"/>
    <n v="208"/>
    <s v="DEV-Atraso entrega- LOGISTICA(Transp)"/>
    <s v="TRANSPORTADORA"/>
    <x v="2"/>
    <n v="51512407"/>
    <x v="1421"/>
    <s v="SC"/>
    <n v="475"/>
    <s v="Site Consul"/>
    <n v="1352"/>
    <s v="W11199342"/>
    <s v="Filtros"/>
    <x v="5"/>
    <n v="1000"/>
    <n v="5002359"/>
    <s v="EMPRESA BRASILEIRA DE CORREIOS E"/>
    <n v="92.05"/>
    <d v="2025-07-22T00:00:00"/>
  </r>
  <r>
    <n v="254038162"/>
    <n v="64816132"/>
    <s v="ZRDI"/>
    <n v="10112901"/>
    <n v="208"/>
    <s v="DEV-Atraso entrega- LOGISTICA(Transp)"/>
    <s v="TRANSPORTADORA"/>
    <x v="2"/>
    <n v="58124250"/>
    <x v="1422"/>
    <s v="SC"/>
    <n v="475"/>
    <s v="Site Consul"/>
    <n v="1352"/>
    <s v="W10301562"/>
    <s v="Filtros"/>
    <x v="5"/>
    <n v="1000"/>
    <n v="5002359"/>
    <s v="EMPRESA BRASILEIRA DE CORREIOS E"/>
    <n v="92.05"/>
    <d v="2025-07-23T00:00:00"/>
  </r>
  <r>
    <s v="Sem TR"/>
    <n v="64812050"/>
    <s v="ZRDI"/>
    <n v="10125513"/>
    <s v="D10"/>
    <s v="DEV D2C - Comprou modelo errado"/>
    <s v="COMERCIAL"/>
    <x v="2"/>
    <n v="52322266"/>
    <x v="1419"/>
    <s v="SC"/>
    <n v="475"/>
    <s v="Site Consul"/>
    <n v="1352"/>
    <s v="W11199342"/>
    <s v="Filtros"/>
    <x v="5"/>
    <n v="1000"/>
    <n v="5002359"/>
    <s v="EMPRESA BRASILEIRA DE CORREIOS E"/>
    <n v="92.05"/>
    <d v="2025-07-21T00:00:00"/>
  </r>
  <r>
    <s v="Sem TR"/>
    <n v="64812216"/>
    <s v="ZRDI"/>
    <n v="10082597"/>
    <n v="25"/>
    <s v="OC. 80 - EXTRAVIO TOTAL"/>
    <s v="TRANSPORTADORA"/>
    <x v="2"/>
    <n v="5837643"/>
    <x v="1420"/>
    <s v="RJ"/>
    <n v="475"/>
    <s v="Site Consul"/>
    <n v="1352"/>
    <s v="W11199342"/>
    <s v="Filtros"/>
    <x v="5"/>
    <n v="1000"/>
    <n v="5002359"/>
    <s v="EMPRESA BRASILEIRA DE CORREIOS E"/>
    <n v="92.05"/>
    <d v="2025-07-17T00:00:00"/>
  </r>
  <r>
    <n v="254038162"/>
    <n v="64816132"/>
    <s v="ZRDI"/>
    <n v="10112901"/>
    <n v="208"/>
    <s v="DEV-Atraso entrega- LOGISTICA(Transp)"/>
    <s v="TRANSPORTADORA"/>
    <x v="2"/>
    <n v="58124250"/>
    <x v="1422"/>
    <s v="SC"/>
    <n v="475"/>
    <s v="Site Consul"/>
    <n v="1352"/>
    <s v="W10301562"/>
    <s v="Filtros"/>
    <x v="5"/>
    <n v="1000"/>
    <n v="5002359"/>
    <s v="EMPRESA BRASILEIRA DE CORREIOS E"/>
    <n v="92.05"/>
    <d v="2025-07-23T00:00:00"/>
  </r>
  <r>
    <s v="Sem TR"/>
    <n v="64768032"/>
    <s v="ROB"/>
    <n v="9978262"/>
    <n v="671"/>
    <s v="DEV-ENVIADO PARA GESTÃO DE CONSEQUENCIA"/>
    <s v="TRANSPORTADORA"/>
    <x v="1"/>
    <n v="28888"/>
    <x v="1423"/>
    <s v="SC"/>
    <n v="350"/>
    <s v="Ats On"/>
    <n v="1350"/>
    <s v="W11123831"/>
    <s v="Placas de Controle"/>
    <x v="1"/>
    <n v="1000"/>
    <n v="5003024"/>
    <s v="RODOBRAS TRANSPORTES RODOVIARIOS LT"/>
    <n v="92.04"/>
    <d v="2025-05-29T00:00:00"/>
  </r>
  <r>
    <n v="254023777"/>
    <n v="64802486"/>
    <s v="ZRDI"/>
    <n v="10078232"/>
    <s v="D25"/>
    <s v="DEV D2C - Prob na entrega (Não recebi)"/>
    <s v="TRANSPORTADORA"/>
    <x v="2"/>
    <n v="55702469"/>
    <x v="1415"/>
    <s v="SC"/>
    <n v="475"/>
    <s v="Site Consul"/>
    <n v="1352"/>
    <s v="W11199342"/>
    <s v="Filtros"/>
    <x v="5"/>
    <n v="1000"/>
    <n v="5002359"/>
    <s v="EMPRESA BRASILEIRA DE CORREIOS E"/>
    <n v="92.03"/>
    <d v="2025-07-01T00:00:00"/>
  </r>
  <r>
    <n v="254028680"/>
    <n v="64808432"/>
    <s v="ZRDI"/>
    <n v="10081679"/>
    <s v="D25"/>
    <s v="DEV D2C - Prob na entrega (Não recebi)"/>
    <s v="TRANSPORTADORA"/>
    <x v="2"/>
    <n v="53895028"/>
    <x v="1416"/>
    <s v="MT"/>
    <n v="475"/>
    <s v="Site Consul"/>
    <n v="1352"/>
    <s v="W10301562"/>
    <s v="Filtros"/>
    <x v="5"/>
    <n v="1000"/>
    <n v="5002359"/>
    <s v="EMPRESA BRASILEIRA DE CORREIOS E"/>
    <n v="92.03"/>
    <d v="2025-07-10T00:00:00"/>
  </r>
  <r>
    <n v="254029244"/>
    <n v="64808751"/>
    <s v="ZRDI"/>
    <n v="10076042"/>
    <n v="208"/>
    <s v="DEV-Atraso entrega- LOGISTICA(Transp)"/>
    <s v="TRANSPORTADORA"/>
    <x v="2"/>
    <n v="58072146"/>
    <x v="1417"/>
    <s v="SC"/>
    <n v="475"/>
    <s v="Site Consul"/>
    <n v="1352"/>
    <s v="W11199342"/>
    <s v="Filtros"/>
    <x v="5"/>
    <n v="1000"/>
    <n v="5002359"/>
    <s v="EMPRESA BRASILEIRA DE CORREIOS E"/>
    <n v="92.03"/>
    <d v="2025-07-10T00:00:00"/>
  </r>
  <r>
    <n v="254032555"/>
    <n v="64811500"/>
    <s v="ZRDI"/>
    <n v="10104060"/>
    <n v="208"/>
    <s v="DEV-Atraso entrega- LOGISTICA(Transp)"/>
    <s v="TRANSPORTADORA"/>
    <x v="2"/>
    <n v="56455212"/>
    <x v="1418"/>
    <s v="SC"/>
    <n v="475"/>
    <s v="Site Consul"/>
    <n v="1352"/>
    <s v="W11199342"/>
    <s v="Filtros"/>
    <x v="5"/>
    <n v="1000"/>
    <n v="5002359"/>
    <s v="EMPRESA BRASILEIRA DE CORREIOS E"/>
    <n v="92.03"/>
    <d v="2025-07-16T00:00:00"/>
  </r>
  <r>
    <s v="Sem TR"/>
    <n v="64812050"/>
    <s v="ZRDI"/>
    <n v="10125513"/>
    <s v="D10"/>
    <s v="DEV D2C - Comprou modelo errado"/>
    <s v="COMERCIAL"/>
    <x v="2"/>
    <n v="52322266"/>
    <x v="1419"/>
    <s v="SC"/>
    <n v="475"/>
    <s v="Site Consul"/>
    <n v="1352"/>
    <s v="W11199342"/>
    <s v="Filtros"/>
    <x v="5"/>
    <n v="1000"/>
    <n v="5002359"/>
    <s v="EMPRESA BRASILEIRA DE CORREIOS E"/>
    <n v="92.03"/>
    <d v="2025-07-21T00:00:00"/>
  </r>
  <r>
    <s v="Sem TR"/>
    <n v="64812216"/>
    <s v="ZRDI"/>
    <n v="10082597"/>
    <n v="25"/>
    <s v="OC. 80 - EXTRAVIO TOTAL"/>
    <s v="TRANSPORTADORA"/>
    <x v="2"/>
    <n v="5837643"/>
    <x v="1420"/>
    <s v="RJ"/>
    <n v="475"/>
    <s v="Site Consul"/>
    <n v="1352"/>
    <s v="W11199342"/>
    <s v="Filtros"/>
    <x v="5"/>
    <n v="1000"/>
    <n v="5002359"/>
    <s v="EMPRESA BRASILEIRA DE CORREIOS E"/>
    <n v="92.03"/>
    <d v="2025-07-17T00:00:00"/>
  </r>
  <r>
    <n v="254036805"/>
    <n v="64814719"/>
    <s v="ZRDI"/>
    <n v="10100469"/>
    <n v="208"/>
    <s v="DEV-Atraso entrega- LOGISTICA(Transp)"/>
    <s v="TRANSPORTADORA"/>
    <x v="2"/>
    <n v="51512407"/>
    <x v="1421"/>
    <s v="SC"/>
    <n v="475"/>
    <s v="Site Consul"/>
    <n v="1352"/>
    <s v="W11199342"/>
    <s v="Filtros"/>
    <x v="5"/>
    <n v="1000"/>
    <n v="5002359"/>
    <s v="EMPRESA BRASILEIRA DE CORREIOS E"/>
    <n v="92.03"/>
    <d v="2025-07-22T00:00:00"/>
  </r>
  <r>
    <n v="254038162"/>
    <n v="64816132"/>
    <s v="ZRDI"/>
    <n v="10112901"/>
    <n v="208"/>
    <s v="DEV-Atraso entrega- LOGISTICA(Transp)"/>
    <s v="TRANSPORTADORA"/>
    <x v="2"/>
    <n v="58124250"/>
    <x v="1422"/>
    <s v="SC"/>
    <n v="475"/>
    <s v="Site Consul"/>
    <n v="1352"/>
    <s v="W10301562"/>
    <s v="Filtros"/>
    <x v="5"/>
    <n v="1000"/>
    <n v="5002359"/>
    <s v="EMPRESA BRASILEIRA DE CORREIOS E"/>
    <n v="92.03"/>
    <d v="2025-07-23T00:00:00"/>
  </r>
  <r>
    <s v="Sem TR"/>
    <n v="64817680"/>
    <s v="ZRDI"/>
    <n v="10112764"/>
    <s v="D10"/>
    <s v="DEV D2C - Comprou modelo errado"/>
    <s v="COMERCIAL"/>
    <x v="2"/>
    <n v="57750677"/>
    <x v="1424"/>
    <s v="SC"/>
    <n v="475"/>
    <s v="Site Consul"/>
    <n v="1352"/>
    <s v="W11199342"/>
    <s v="Filtros"/>
    <x v="5"/>
    <n v="1000"/>
    <n v="5002359"/>
    <s v="EMPRESA BRASILEIRA DE CORREIOS E"/>
    <n v="92.03"/>
    <d v="2025-07-25T00:00:00"/>
  </r>
  <r>
    <s v="Sem TR"/>
    <n v="64812050"/>
    <s v="ZRDI"/>
    <n v="10125513"/>
    <s v="D10"/>
    <s v="DEV D2C - Comprou modelo errado"/>
    <s v="COMERCIAL"/>
    <x v="2"/>
    <n v="52322266"/>
    <x v="1419"/>
    <s v="SC"/>
    <n v="475"/>
    <s v="Site Consul"/>
    <n v="1352"/>
    <s v="W11199342"/>
    <s v="Filtros"/>
    <x v="5"/>
    <n v="1000"/>
    <n v="5002359"/>
    <s v="EMPRESA BRASILEIRA DE CORREIOS E"/>
    <n v="92.03"/>
    <d v="2025-07-21T00:00:00"/>
  </r>
  <r>
    <s v="Sem TR"/>
    <n v="64812216"/>
    <s v="ZRDI"/>
    <n v="10082597"/>
    <n v="25"/>
    <s v="OC. 80 - EXTRAVIO TOTAL"/>
    <s v="TRANSPORTADORA"/>
    <x v="2"/>
    <n v="5837643"/>
    <x v="1420"/>
    <s v="RJ"/>
    <n v="475"/>
    <s v="Site Consul"/>
    <n v="1352"/>
    <s v="W11199342"/>
    <s v="Filtros"/>
    <x v="5"/>
    <n v="1000"/>
    <n v="5002359"/>
    <s v="EMPRESA BRASILEIRA DE CORREIOS E"/>
    <n v="92.03"/>
    <d v="2025-07-17T00:00:00"/>
  </r>
  <r>
    <n v="254038162"/>
    <n v="64816132"/>
    <s v="ZRDI"/>
    <n v="10112901"/>
    <n v="208"/>
    <s v="DEV-Atraso entrega- LOGISTICA(Transp)"/>
    <s v="TRANSPORTADORA"/>
    <x v="2"/>
    <n v="58124250"/>
    <x v="1422"/>
    <s v="SC"/>
    <n v="475"/>
    <s v="Site Consul"/>
    <n v="1352"/>
    <s v="W10301562"/>
    <s v="Filtros"/>
    <x v="5"/>
    <n v="1000"/>
    <n v="5002359"/>
    <s v="EMPRESA BRASILEIRA DE CORREIOS E"/>
    <n v="92.03"/>
    <d v="2025-07-23T00:00:00"/>
  </r>
  <r>
    <s v="Sem TR"/>
    <n v="64817680"/>
    <s v="ZRDI"/>
    <n v="10112764"/>
    <s v="D10"/>
    <s v="DEV D2C - Comprou modelo errado"/>
    <s v="COMERCIAL"/>
    <x v="2"/>
    <n v="57750677"/>
    <x v="1424"/>
    <s v="SC"/>
    <n v="475"/>
    <s v="Site Consul"/>
    <n v="1352"/>
    <s v="W11199342"/>
    <s v="Filtros"/>
    <x v="5"/>
    <n v="1000"/>
    <n v="5002359"/>
    <s v="EMPRESA BRASILEIRA DE CORREIOS E"/>
    <n v="92.03"/>
    <d v="2025-07-25T00:00:00"/>
  </r>
  <r>
    <n v="253995098"/>
    <n v="64772309"/>
    <s v="REB"/>
    <n v="10003143"/>
    <n v="173"/>
    <s v="PEÇAS - Defeito de fabric./Alta Amperage"/>
    <s v="FUNCIONAL"/>
    <x v="1"/>
    <n v="21594"/>
    <x v="97"/>
    <s v="SP"/>
    <n v="931"/>
    <s v="Ats Off"/>
    <n v="1350"/>
    <s v="W11266866"/>
    <s v="Sensores"/>
    <x v="3"/>
    <n v="2000"/>
    <n v="5004042"/>
    <s v="BRASIL WEB TRANSPORTES E LOGISTICA"/>
    <n v="92.01"/>
    <d v="2025-05-16T00:00:00"/>
  </r>
  <r>
    <n v="254018235"/>
    <n v="64792272"/>
    <s v="REB"/>
    <n v="10058904"/>
    <n v="90"/>
    <s v="CLIENTE-não solicitou"/>
    <s v="COMERCIAL"/>
    <x v="1"/>
    <n v="21621"/>
    <x v="325"/>
    <s v="SP"/>
    <n v="350"/>
    <s v="Ats On"/>
    <n v="1350"/>
    <s v="W10810920"/>
    <s v="Prateleiras"/>
    <x v="9"/>
    <n v="1000"/>
    <n v="5004042"/>
    <s v="BRASIL WEB TRANSPORTES E LOGISTICA"/>
    <n v="91.95"/>
    <d v="2025-06-16T00:00:00"/>
  </r>
  <r>
    <n v="254004044"/>
    <n v="64777821"/>
    <s v="REB"/>
    <n v="10032843"/>
    <n v="167"/>
    <s v="PEÇAS - Avaria - Quebrada/Depósito"/>
    <s v="LOGÍSTICA"/>
    <x v="2"/>
    <n v="68962"/>
    <x v="308"/>
    <s v="RJ"/>
    <n v="644"/>
    <s v="Plus"/>
    <n v="1350"/>
    <s v="W10169464"/>
    <s v="Defletores/Difusores"/>
    <x v="5"/>
    <n v="3000"/>
    <n v="5003176"/>
    <s v="J C THEDIN TRANSPORTES LTDA"/>
    <n v="91.92"/>
    <d v="2025-05-26T00:00:00"/>
  </r>
  <r>
    <n v="254007541"/>
    <n v="64782095"/>
    <s v="REB"/>
    <n v="9998585"/>
    <n v="173"/>
    <s v="PEÇAS - Defeito de fabric./Alta Amperage"/>
    <s v="FUNCIONAL"/>
    <x v="1"/>
    <n v="21330"/>
    <x v="80"/>
    <s v="PR"/>
    <n v="643"/>
    <s v="Elite"/>
    <n v="1350"/>
    <s v="W11634491"/>
    <s v="Placas de Controle"/>
    <x v="1"/>
    <n v="1000"/>
    <n v="5003024"/>
    <s v="RODOBRAS TRANSPORTES RODOVIARIOS LT"/>
    <n v="91.9"/>
    <d v="2025-06-02T00:00:00"/>
  </r>
  <r>
    <n v="254023994"/>
    <n v="64802782"/>
    <s v="ZRDI"/>
    <n v="10083206"/>
    <s v="D25"/>
    <s v="DEV D2C - Prob na entrega (Não recebi)"/>
    <s v="TRANSPORTADORA"/>
    <x v="2"/>
    <n v="55009696"/>
    <x v="1425"/>
    <s v="RJ"/>
    <n v="475"/>
    <s v="Site Consul"/>
    <n v="1352"/>
    <s v="W11199342"/>
    <s v="Filtros"/>
    <x v="5"/>
    <n v="1000"/>
    <n v="5003972"/>
    <s v="ICARO EXPRESS LOGISTICA LTDA"/>
    <n v="91.9"/>
    <d v="2025-07-01T00:00:00"/>
  </r>
  <r>
    <n v="254024156"/>
    <n v="64803823"/>
    <s v="ZRDI"/>
    <n v="10098415"/>
    <n v="208"/>
    <s v="DEV-Atraso entrega- LOGISTICA(Transp)"/>
    <s v="TRANSPORTADORA"/>
    <x v="2"/>
    <n v="4551406"/>
    <x v="1426"/>
    <s v="RJ"/>
    <n v="475"/>
    <s v="Site Consul"/>
    <n v="1352"/>
    <s v="W11199342"/>
    <s v="Filtros"/>
    <x v="5"/>
    <n v="1000"/>
    <n v="5002359"/>
    <s v="EMPRESA BRASILEIRA DE CORREIOS E"/>
    <n v="91.9"/>
    <d v="2025-07-01T00:00:00"/>
  </r>
  <r>
    <n v="254024657"/>
    <n v="64804760"/>
    <s v="ZRDI"/>
    <n v="10100466"/>
    <n v="208"/>
    <s v="DEV-Atraso entrega- LOGISTICA(Transp)"/>
    <s v="TRANSPORTADORA"/>
    <x v="2"/>
    <n v="51450877"/>
    <x v="1427"/>
    <s v="SP"/>
    <n v="475"/>
    <s v="Site Consul"/>
    <n v="1352"/>
    <s v="W11199342"/>
    <s v="Filtros"/>
    <x v="5"/>
    <n v="1000"/>
    <n v="5002359"/>
    <s v="EMPRESA BRASILEIRA DE CORREIOS E"/>
    <n v="91.9"/>
    <d v="2025-07-02T00:00:00"/>
  </r>
  <r>
    <s v="Sem TR"/>
    <n v="64809134"/>
    <s v="ZRDI"/>
    <n v="10126878"/>
    <s v="D10"/>
    <s v="DEV D2C - Comprou modelo errado"/>
    <s v="COMERCIAL"/>
    <x v="2"/>
    <n v="50846560"/>
    <x v="1428"/>
    <s v="RJ"/>
    <n v="475"/>
    <s v="Site Consul"/>
    <n v="1352"/>
    <s v="W11199342"/>
    <s v="Filtros"/>
    <x v="5"/>
    <n v="1000"/>
    <n v="5002359"/>
    <s v="EMPRESA BRASILEIRA DE CORREIOS E"/>
    <n v="91.9"/>
    <d v="2025-07-11T00:00:00"/>
  </r>
  <r>
    <n v="254032624"/>
    <n v="64810008"/>
    <s v="ZRDI"/>
    <n v="10119420"/>
    <n v="208"/>
    <s v="DEV-Atraso entrega- LOGISTICA(Transp)"/>
    <s v="TRANSPORTADORA"/>
    <x v="2"/>
    <n v="56400500"/>
    <x v="1429"/>
    <s v="RJ"/>
    <n v="475"/>
    <s v="Site Consul"/>
    <n v="1352"/>
    <s v="W11199342"/>
    <s v="Filtros"/>
    <x v="5"/>
    <n v="1000"/>
    <n v="5002359"/>
    <s v="EMPRESA BRASILEIRA DE CORREIOS E"/>
    <n v="91.9"/>
    <d v="2025-07-16T00:00:00"/>
  </r>
  <r>
    <n v="254032515"/>
    <n v="64811479"/>
    <s v="ZRDI"/>
    <n v="10093277"/>
    <n v="208"/>
    <s v="DEV-Atraso entrega- LOGISTICA(Transp)"/>
    <s v="TRANSPORTADORA"/>
    <x v="2"/>
    <n v="54167143"/>
    <x v="1430"/>
    <s v="RJ"/>
    <n v="475"/>
    <s v="Site Consul"/>
    <n v="1352"/>
    <s v="W11199342"/>
    <s v="Filtros"/>
    <x v="5"/>
    <n v="1000"/>
    <n v="5002359"/>
    <s v="EMPRESA BRASILEIRA DE CORREIOS E"/>
    <n v="91.9"/>
    <d v="2025-07-16T00:00:00"/>
  </r>
  <r>
    <n v="254034700"/>
    <n v="64813314"/>
    <s v="ZRDI"/>
    <n v="10095949"/>
    <s v="D25"/>
    <s v="DEV D2C - Prob na entrega (Não recebi)"/>
    <s v="TRANSPORTADORA"/>
    <x v="2"/>
    <n v="50551027"/>
    <x v="1431"/>
    <s v="RJ"/>
    <n v="475"/>
    <s v="Site Consul"/>
    <n v="1352"/>
    <s v="W10301562"/>
    <s v="Filtros"/>
    <x v="5"/>
    <n v="1000"/>
    <n v="5003972"/>
    <s v="ICARO EXPRESS LOGISTICA LTDA"/>
    <n v="91.9"/>
    <d v="2025-07-18T00:00:00"/>
  </r>
  <r>
    <n v="254035010"/>
    <n v="64813409"/>
    <s v="ZRDI"/>
    <n v="10112444"/>
    <n v="208"/>
    <s v="DEV-Atraso entrega- LOGISTICA(Transp)"/>
    <s v="TRANSPORTADORA"/>
    <x v="2"/>
    <n v="50751150"/>
    <x v="1432"/>
    <s v="RJ"/>
    <n v="475"/>
    <s v="Site Consul"/>
    <n v="1352"/>
    <s v="W10301562"/>
    <s v="Filtros"/>
    <x v="5"/>
    <n v="1000"/>
    <n v="5002359"/>
    <s v="EMPRESA BRASILEIRA DE CORREIOS E"/>
    <n v="91.9"/>
    <d v="2025-07-18T00:00:00"/>
  </r>
  <r>
    <n v="254038154"/>
    <n v="64816119"/>
    <s v="ZRDI"/>
    <n v="10082008"/>
    <n v="208"/>
    <s v="DEV-Atraso entrega- LOGISTICA(Transp)"/>
    <s v="TRANSPORTADORA"/>
    <x v="2"/>
    <n v="50022636"/>
    <x v="1433"/>
    <s v="RJ"/>
    <n v="475"/>
    <s v="Site Consul"/>
    <n v="1352"/>
    <s v="W10301562"/>
    <s v="Filtros"/>
    <x v="5"/>
    <n v="1000"/>
    <n v="5002359"/>
    <s v="EMPRESA BRASILEIRA DE CORREIOS E"/>
    <n v="91.9"/>
    <d v="2025-07-23T00:00:00"/>
  </r>
  <r>
    <n v="254024156"/>
    <n v="64803823"/>
    <s v="ZRDI"/>
    <n v="10098415"/>
    <n v="208"/>
    <s v="DEV-Atraso entrega- LOGISTICA(Transp)"/>
    <s v="TRANSPORTADORA"/>
    <x v="2"/>
    <n v="4551406"/>
    <x v="1426"/>
    <s v="RJ"/>
    <n v="475"/>
    <s v="Site Consul"/>
    <n v="1352"/>
    <s v="W11199342"/>
    <s v="Filtros"/>
    <x v="5"/>
    <n v="1000"/>
    <n v="5002359"/>
    <s v="EMPRESA BRASILEIRA DE CORREIOS E"/>
    <n v="91.9"/>
    <d v="2025-07-01T00:00:00"/>
  </r>
  <r>
    <n v="254032515"/>
    <n v="64811479"/>
    <s v="ZRDI"/>
    <n v="10093277"/>
    <n v="208"/>
    <s v="DEV-Atraso entrega- LOGISTICA(Transp)"/>
    <s v="TRANSPORTADORA"/>
    <x v="2"/>
    <n v="54167143"/>
    <x v="1430"/>
    <s v="RJ"/>
    <n v="475"/>
    <s v="Site Consul"/>
    <n v="1352"/>
    <s v="W11199342"/>
    <s v="Filtros"/>
    <x v="5"/>
    <n v="1000"/>
    <n v="5002359"/>
    <s v="EMPRESA BRASILEIRA DE CORREIOS E"/>
    <n v="91.9"/>
    <d v="2025-07-16T00:00:00"/>
  </r>
  <r>
    <n v="254034700"/>
    <n v="64813314"/>
    <s v="ZRDI"/>
    <n v="10095949"/>
    <s v="D25"/>
    <s v="DEV D2C - Prob na entrega (Não recebi)"/>
    <s v="TRANSPORTADORA"/>
    <x v="2"/>
    <n v="50551027"/>
    <x v="1431"/>
    <s v="RJ"/>
    <n v="475"/>
    <s v="Site Consul"/>
    <n v="1352"/>
    <s v="W10301562"/>
    <s v="Filtros"/>
    <x v="5"/>
    <n v="1000"/>
    <n v="5003972"/>
    <s v="ICARO EXPRESS LOGISTICA LTDA"/>
    <n v="91.9"/>
    <d v="2025-07-18T00:00:00"/>
  </r>
  <r>
    <n v="254038154"/>
    <n v="64816119"/>
    <s v="ZRDI"/>
    <n v="10082008"/>
    <n v="208"/>
    <s v="DEV-Atraso entrega- LOGISTICA(Transp)"/>
    <s v="TRANSPORTADORA"/>
    <x v="2"/>
    <n v="50022636"/>
    <x v="1433"/>
    <s v="RJ"/>
    <n v="475"/>
    <s v="Site Consul"/>
    <n v="1352"/>
    <s v="W10301562"/>
    <s v="Filtros"/>
    <x v="5"/>
    <n v="1000"/>
    <n v="5002359"/>
    <s v="EMPRESA BRASILEIRA DE CORREIOS E"/>
    <n v="91.9"/>
    <d v="2025-07-23T00:00:00"/>
  </r>
  <r>
    <n v="254023994"/>
    <n v="64802782"/>
    <s v="ZRDI"/>
    <n v="10083206"/>
    <s v="D25"/>
    <s v="DEV D2C - Prob na entrega (Não recebi)"/>
    <s v="TRANSPORTADORA"/>
    <x v="2"/>
    <n v="55009696"/>
    <x v="1425"/>
    <s v="RJ"/>
    <n v="475"/>
    <s v="Site Consul"/>
    <n v="1352"/>
    <s v="W11199342"/>
    <s v="Filtros"/>
    <x v="5"/>
    <n v="1000"/>
    <n v="5003972"/>
    <s v="ICARO EXPRESS LOGISTICA LTDA"/>
    <n v="91.88"/>
    <d v="2025-07-01T00:00:00"/>
  </r>
  <r>
    <n v="254024156"/>
    <n v="64803823"/>
    <s v="ZRDI"/>
    <n v="10098415"/>
    <n v="208"/>
    <s v="DEV-Atraso entrega- LOGISTICA(Transp)"/>
    <s v="TRANSPORTADORA"/>
    <x v="2"/>
    <n v="4551406"/>
    <x v="1426"/>
    <s v="RJ"/>
    <n v="475"/>
    <s v="Site Consul"/>
    <n v="1352"/>
    <s v="W11199342"/>
    <s v="Filtros"/>
    <x v="5"/>
    <n v="1000"/>
    <n v="5002359"/>
    <s v="EMPRESA BRASILEIRA DE CORREIOS E"/>
    <n v="91.88"/>
    <d v="2025-07-01T00:00:00"/>
  </r>
  <r>
    <n v="254024657"/>
    <n v="64804760"/>
    <s v="ZRDI"/>
    <n v="10100466"/>
    <n v="208"/>
    <s v="DEV-Atraso entrega- LOGISTICA(Transp)"/>
    <s v="TRANSPORTADORA"/>
    <x v="2"/>
    <n v="51450877"/>
    <x v="1427"/>
    <s v="SP"/>
    <n v="475"/>
    <s v="Site Consul"/>
    <n v="1352"/>
    <s v="W11199342"/>
    <s v="Filtros"/>
    <x v="5"/>
    <n v="1000"/>
    <n v="5002359"/>
    <s v="EMPRESA BRASILEIRA DE CORREIOS E"/>
    <n v="91.88"/>
    <d v="2025-07-02T00:00:00"/>
  </r>
  <r>
    <s v="Sem TR"/>
    <n v="64805774"/>
    <s v="ZRDI"/>
    <n v="10111065"/>
    <s v="D13"/>
    <s v="DEV D2C - Comprou prod qtde errada"/>
    <s v="COMERCIAL"/>
    <x v="2"/>
    <n v="58122600"/>
    <x v="1434"/>
    <s v="RJ"/>
    <n v="475"/>
    <s v="Site Consul"/>
    <n v="1352"/>
    <s v="W11199342"/>
    <s v="Filtros"/>
    <x v="5"/>
    <n v="1000"/>
    <n v="5002359"/>
    <s v="EMPRESA BRASILEIRA DE CORREIOS E"/>
    <n v="91.88"/>
    <d v="2025-07-04T00:00:00"/>
  </r>
  <r>
    <s v="Sem TR"/>
    <n v="64809134"/>
    <s v="ZRDI"/>
    <n v="10126878"/>
    <s v="D10"/>
    <s v="DEV D2C - Comprou modelo errado"/>
    <s v="COMERCIAL"/>
    <x v="2"/>
    <n v="50846560"/>
    <x v="1428"/>
    <s v="RJ"/>
    <n v="475"/>
    <s v="Site Consul"/>
    <n v="1352"/>
    <s v="W11199342"/>
    <s v="Filtros"/>
    <x v="5"/>
    <n v="1000"/>
    <n v="5002359"/>
    <s v="EMPRESA BRASILEIRA DE CORREIOS E"/>
    <n v="91.88"/>
    <d v="2025-07-11T00:00:00"/>
  </r>
  <r>
    <n v="254032624"/>
    <n v="64810008"/>
    <s v="ZRDI"/>
    <n v="10119420"/>
    <n v="208"/>
    <s v="DEV-Atraso entrega- LOGISTICA(Transp)"/>
    <s v="TRANSPORTADORA"/>
    <x v="2"/>
    <n v="56400500"/>
    <x v="1429"/>
    <s v="RJ"/>
    <n v="475"/>
    <s v="Site Consul"/>
    <n v="1352"/>
    <s v="W11199342"/>
    <s v="Filtros"/>
    <x v="5"/>
    <n v="1000"/>
    <n v="5002359"/>
    <s v="EMPRESA BRASILEIRA DE CORREIOS E"/>
    <n v="91.88"/>
    <d v="2025-07-16T00:00:00"/>
  </r>
  <r>
    <n v="254032515"/>
    <n v="64811479"/>
    <s v="ZRDI"/>
    <n v="10093277"/>
    <n v="208"/>
    <s v="DEV-Atraso entrega- LOGISTICA(Transp)"/>
    <s v="TRANSPORTADORA"/>
    <x v="2"/>
    <n v="54167143"/>
    <x v="1430"/>
    <s v="RJ"/>
    <n v="475"/>
    <s v="Site Consul"/>
    <n v="1352"/>
    <s v="W11199342"/>
    <s v="Filtros"/>
    <x v="5"/>
    <n v="1000"/>
    <n v="5002359"/>
    <s v="EMPRESA BRASILEIRA DE CORREIOS E"/>
    <n v="91.88"/>
    <d v="2025-07-16T00:00:00"/>
  </r>
  <r>
    <n v="254034700"/>
    <n v="64813314"/>
    <s v="ZRDI"/>
    <n v="10095949"/>
    <s v="D25"/>
    <s v="DEV D2C - Prob na entrega (Não recebi)"/>
    <s v="TRANSPORTADORA"/>
    <x v="2"/>
    <n v="50551027"/>
    <x v="1431"/>
    <s v="RJ"/>
    <n v="475"/>
    <s v="Site Consul"/>
    <n v="1352"/>
    <s v="W10301562"/>
    <s v="Filtros"/>
    <x v="5"/>
    <n v="1000"/>
    <n v="5003972"/>
    <s v="ICARO EXPRESS LOGISTICA LTDA"/>
    <n v="91.88"/>
    <d v="2025-07-18T00:00:00"/>
  </r>
  <r>
    <n v="254035010"/>
    <n v="64813409"/>
    <s v="ZRDI"/>
    <n v="10112444"/>
    <n v="208"/>
    <s v="DEV-Atraso entrega- LOGISTICA(Transp)"/>
    <s v="TRANSPORTADORA"/>
    <x v="2"/>
    <n v="50751150"/>
    <x v="1432"/>
    <s v="RJ"/>
    <n v="475"/>
    <s v="Site Consul"/>
    <n v="1352"/>
    <s v="W10301562"/>
    <s v="Filtros"/>
    <x v="5"/>
    <n v="1000"/>
    <n v="5002359"/>
    <s v="EMPRESA BRASILEIRA DE CORREIOS E"/>
    <n v="91.88"/>
    <d v="2025-07-18T00:00:00"/>
  </r>
  <r>
    <n v="254038154"/>
    <n v="64816119"/>
    <s v="ZRDI"/>
    <n v="10082008"/>
    <n v="208"/>
    <s v="DEV-Atraso entrega- LOGISTICA(Transp)"/>
    <s v="TRANSPORTADORA"/>
    <x v="2"/>
    <n v="50022636"/>
    <x v="1433"/>
    <s v="RJ"/>
    <n v="475"/>
    <s v="Site Consul"/>
    <n v="1352"/>
    <s v="W10301562"/>
    <s v="Filtros"/>
    <x v="5"/>
    <n v="1000"/>
    <n v="5002359"/>
    <s v="EMPRESA BRASILEIRA DE CORREIOS E"/>
    <n v="91.88"/>
    <d v="2025-07-23T00:00:00"/>
  </r>
  <r>
    <n v="254024156"/>
    <n v="64803823"/>
    <s v="ZRDI"/>
    <n v="10098415"/>
    <n v="208"/>
    <s v="DEV-Atraso entrega- LOGISTICA(Transp)"/>
    <s v="TRANSPORTADORA"/>
    <x v="2"/>
    <n v="4551406"/>
    <x v="1426"/>
    <s v="RJ"/>
    <n v="475"/>
    <s v="Site Consul"/>
    <n v="1352"/>
    <s v="W11199342"/>
    <s v="Filtros"/>
    <x v="5"/>
    <n v="1000"/>
    <n v="5002359"/>
    <s v="EMPRESA BRASILEIRA DE CORREIOS E"/>
    <n v="91.88"/>
    <d v="2025-07-01T00:00:00"/>
  </r>
  <r>
    <s v="Sem TR"/>
    <n v="64805774"/>
    <s v="ZRDI"/>
    <n v="10111065"/>
    <s v="D13"/>
    <s v="DEV D2C - Comprou prod qtde errada"/>
    <s v="COMERCIAL"/>
    <x v="2"/>
    <n v="58122600"/>
    <x v="1434"/>
    <s v="RJ"/>
    <n v="475"/>
    <s v="Site Consul"/>
    <n v="1352"/>
    <s v="W11199342"/>
    <s v="Filtros"/>
    <x v="5"/>
    <n v="1000"/>
    <n v="5002359"/>
    <s v="EMPRESA BRASILEIRA DE CORREIOS E"/>
    <n v="91.88"/>
    <d v="2025-07-04T00:00:00"/>
  </r>
  <r>
    <n v="254032515"/>
    <n v="64811479"/>
    <s v="ZRDI"/>
    <n v="10093277"/>
    <n v="208"/>
    <s v="DEV-Atraso entrega- LOGISTICA(Transp)"/>
    <s v="TRANSPORTADORA"/>
    <x v="2"/>
    <n v="54167143"/>
    <x v="1430"/>
    <s v="RJ"/>
    <n v="475"/>
    <s v="Site Consul"/>
    <n v="1352"/>
    <s v="W11199342"/>
    <s v="Filtros"/>
    <x v="5"/>
    <n v="1000"/>
    <n v="5002359"/>
    <s v="EMPRESA BRASILEIRA DE CORREIOS E"/>
    <n v="91.88"/>
    <d v="2025-07-16T00:00:00"/>
  </r>
  <r>
    <n v="254034700"/>
    <n v="64813314"/>
    <s v="ZRDI"/>
    <n v="10095949"/>
    <s v="D25"/>
    <s v="DEV D2C - Prob na entrega (Não recebi)"/>
    <s v="TRANSPORTADORA"/>
    <x v="2"/>
    <n v="50551027"/>
    <x v="1431"/>
    <s v="RJ"/>
    <n v="475"/>
    <s v="Site Consul"/>
    <n v="1352"/>
    <s v="W10301562"/>
    <s v="Filtros"/>
    <x v="5"/>
    <n v="1000"/>
    <n v="5003972"/>
    <s v="ICARO EXPRESS LOGISTICA LTDA"/>
    <n v="91.88"/>
    <d v="2025-07-18T00:00:00"/>
  </r>
  <r>
    <n v="254038154"/>
    <n v="64816119"/>
    <s v="ZRDI"/>
    <n v="10082008"/>
    <n v="208"/>
    <s v="DEV-Atraso entrega- LOGISTICA(Transp)"/>
    <s v="TRANSPORTADORA"/>
    <x v="2"/>
    <n v="50022636"/>
    <x v="1433"/>
    <s v="RJ"/>
    <n v="475"/>
    <s v="Site Consul"/>
    <n v="1352"/>
    <s v="W10301562"/>
    <s v="Filtros"/>
    <x v="5"/>
    <n v="1000"/>
    <n v="5002359"/>
    <s v="EMPRESA BRASILEIRA DE CORREIOS E"/>
    <n v="91.88"/>
    <d v="2025-07-23T00:00:00"/>
  </r>
  <r>
    <n v="254012501"/>
    <n v="64789490"/>
    <s v="REB"/>
    <n v="9950694"/>
    <n v="173"/>
    <s v="PEÇAS - Defeito de fabric./Alta Amperage"/>
    <s v="FUNCIONAL"/>
    <x v="2"/>
    <n v="28991"/>
    <x v="65"/>
    <s v="MG"/>
    <n v="643"/>
    <s v="Elite"/>
    <n v="1350"/>
    <s v="W10849469"/>
    <s v="Bombas"/>
    <x v="1"/>
    <n v="3000"/>
    <n v="5004215"/>
    <s v="BRASIL WEB TRANSPORTES E LOGISTICA"/>
    <n v="91.87"/>
    <d v="2025-06-10T00:00:00"/>
  </r>
  <r>
    <s v="Sem TR"/>
    <n v="64818749"/>
    <s v="ZRDI"/>
    <n v="10089026"/>
    <s v="D10"/>
    <s v="DEV D2C - Comprou modelo errado"/>
    <s v="COMERCIAL"/>
    <x v="1"/>
    <n v="50738932"/>
    <x v="1435"/>
    <s v="SE"/>
    <n v="478"/>
    <s v="Corporativo"/>
    <n v="1352"/>
    <s v="W10523808"/>
    <s v="Prateleiras"/>
    <x v="9"/>
    <n v="2000"/>
    <n v="5002359"/>
    <s v="EMPRESA BRASILEIRA DE CORREIOS E"/>
    <n v="91.78"/>
    <d v="2025-07-28T00:00:00"/>
  </r>
  <r>
    <n v="254042295"/>
    <n v="64796190"/>
    <s v="REB"/>
    <n v="9619506"/>
    <n v="176"/>
    <s v="PEÇAS - Defeito de fabric./Interrompido"/>
    <s v="FUNCIONAL"/>
    <x v="0"/>
    <n v="81988"/>
    <x v="38"/>
    <s v="MG"/>
    <n v="648"/>
    <s v="Ultra"/>
    <n v="1350"/>
    <s v="W11396188"/>
    <s v="Placas de Interface"/>
    <x v="1"/>
    <n v="1000"/>
    <n v="5004215"/>
    <s v="BRASIL WEB TRANSPORTES E LOGISTICA"/>
    <n v="91.7"/>
    <d v="2025-06-23T00:00:00"/>
  </r>
  <r>
    <n v="254018363"/>
    <n v="64773437"/>
    <s v="REB"/>
    <n v="10079172"/>
    <n v="177"/>
    <s v="PEÇAS - Defeito de fabric./Ruído"/>
    <s v="FUNCIONAL"/>
    <x v="2"/>
    <n v="70149"/>
    <x v="147"/>
    <s v="SP"/>
    <n v="963"/>
    <s v="Ats Distribuidoras"/>
    <n v="1350"/>
    <s v="W10807957"/>
    <s v="Conjunto Varetas"/>
    <x v="8"/>
    <n v="1000"/>
    <n v="5004042"/>
    <s v="BRASIL WEB TRANSPORTES E LOGISTICA"/>
    <n v="91.67"/>
    <d v="2025-06-16T00:00:00"/>
  </r>
  <r>
    <s v="Sem TR"/>
    <n v="64816919"/>
    <s v="ZRDI"/>
    <n v="10140106"/>
    <s v="D10"/>
    <s v="DEV D2C - Comprou modelo errado"/>
    <s v="COMERCIAL"/>
    <x v="2"/>
    <n v="50359315"/>
    <x v="1436"/>
    <s v="RJ"/>
    <n v="466"/>
    <s v="Sup ML Marketplace"/>
    <n v="1352"/>
    <s v="W10754152"/>
    <s v="Gavetas"/>
    <x v="9"/>
    <n v="1000"/>
    <n v="5002359"/>
    <s v="EMPRESA BRASILEIRA DE CORREIOS E"/>
    <n v="91.67"/>
    <d v="2025-07-24T00:00:00"/>
  </r>
  <r>
    <s v="Sem TR"/>
    <n v="64816919"/>
    <s v="ZRDI"/>
    <n v="10140106"/>
    <s v="D10"/>
    <s v="DEV D2C - Comprou modelo errado"/>
    <s v="COMERCIAL"/>
    <x v="2"/>
    <n v="50359315"/>
    <x v="1436"/>
    <s v="RJ"/>
    <n v="466"/>
    <s v="Sup ML Marketplace"/>
    <n v="1352"/>
    <s v="W10754152"/>
    <s v="Gavetas"/>
    <x v="9"/>
    <n v="1000"/>
    <n v="5002359"/>
    <s v="EMPRESA BRASILEIRA DE CORREIOS E"/>
    <n v="91.67"/>
    <d v="2025-07-24T00:00:00"/>
  </r>
  <r>
    <n v="253952403"/>
    <n v="64728486"/>
    <s v="REB"/>
    <n v="9839652"/>
    <n v="167"/>
    <s v="PEÇAS - Avaria - Quebrada/Depósito"/>
    <s v="LOGÍSTICA"/>
    <x v="1"/>
    <n v="56043"/>
    <x v="48"/>
    <s v="PR"/>
    <n v="963"/>
    <s v="Ats Distribuidoras"/>
    <n v="1350"/>
    <s v="W10347201"/>
    <s v="Prateleiras"/>
    <x v="9"/>
    <n v="1000"/>
    <n v="5003024"/>
    <s v="RODOBRAS TRANSPORTES RODOVIARIOS LT"/>
    <n v="91.66"/>
    <d v="2025-03-10T00:00:00"/>
  </r>
  <r>
    <n v="253992775"/>
    <n v="64768445"/>
    <s v="REB"/>
    <n v="9837433"/>
    <n v="173"/>
    <s v="PEÇAS - Defeito de fabric./Alta Amperage"/>
    <s v="FUNCIONAL"/>
    <x v="2"/>
    <n v="78757"/>
    <x v="50"/>
    <s v="RS"/>
    <n v="643"/>
    <s v="Elite"/>
    <n v="1350"/>
    <s v="W11132065"/>
    <s v="Painéis de Controle"/>
    <x v="6"/>
    <n v="1000"/>
    <n v="5003024"/>
    <s v="RODOBRAS TRANSPORTES RODOVIARIOS LT"/>
    <n v="91.59"/>
    <d v="2025-05-1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279005"/>
    <s v="Parafusos e afins"/>
    <x v="10"/>
    <n v="20000"/>
    <n v="5004101"/>
    <s v="UNIDOCK'S ASSESSORIA E LOGISTICA DE"/>
    <n v="91.53"/>
    <d v="2025-06-24T00:00:00"/>
  </r>
  <r>
    <n v="254033386"/>
    <n v="64805111"/>
    <s v="REB"/>
    <n v="9992278"/>
    <n v="176"/>
    <s v="PEÇAS - Defeito de fabric./Interrompido"/>
    <s v="FUNCIONAL"/>
    <x v="1"/>
    <n v="32263"/>
    <x v="157"/>
    <s v="PA"/>
    <n v="641"/>
    <s v="CDP Diamante"/>
    <n v="1350"/>
    <s v="W11307524"/>
    <s v="Placas de Interface"/>
    <x v="1"/>
    <n v="1000"/>
    <n v="5002858"/>
    <s v="FAVORITA TRANSPORTES LTDA"/>
    <n v="91.51"/>
    <d v="2025-07-08T00:00:00"/>
  </r>
  <r>
    <n v="254032505"/>
    <n v="64811468"/>
    <s v="ZRDI"/>
    <n v="10071182"/>
    <n v="208"/>
    <s v="DEV-Atraso entrega- LOGISTICA(Transp)"/>
    <s v="TRANSPORTADORA"/>
    <x v="2"/>
    <n v="56320170"/>
    <x v="1437"/>
    <s v="MG"/>
    <n v="466"/>
    <s v="Sup ML Marketplace"/>
    <n v="1352"/>
    <s v="W10907631"/>
    <s v="Suportes"/>
    <x v="6"/>
    <n v="1000"/>
    <n v="5002359"/>
    <s v="EMPRESA BRASILEIRA DE CORREIOS E"/>
    <n v="91.49"/>
    <d v="2025-07-16T00:00:00"/>
  </r>
  <r>
    <n v="253988957"/>
    <n v="64764151"/>
    <s v="REB"/>
    <n v="9935991"/>
    <n v="173"/>
    <s v="PEÇAS - Defeito de fabric./Alta Amperage"/>
    <s v="FUNCIONAL"/>
    <x v="1"/>
    <n v="92337"/>
    <x v="1438"/>
    <s v="SP"/>
    <n v="932"/>
    <s v="CDP Prata"/>
    <n v="1350"/>
    <s v="W11370000"/>
    <s v="Motores Ventiladores"/>
    <x v="1"/>
    <n v="1000"/>
    <n v="5004042"/>
    <s v="BRASIL WEB TRANSPORTES E LOGISTICA"/>
    <n v="91.47"/>
    <d v="2025-05-05T00:00:00"/>
  </r>
  <r>
    <s v="Sem TR"/>
    <n v="64810494"/>
    <s v="ZRDI"/>
    <n v="10103121"/>
    <s v="D31"/>
    <s v="DEV D2C - Defeito estético manufatura"/>
    <s v="MANUFATURA"/>
    <x v="2"/>
    <n v="58112534"/>
    <x v="1439"/>
    <s v="PR"/>
    <n v="475"/>
    <s v="Site Consul"/>
    <n v="1352"/>
    <n v="326047714"/>
    <s v="Prateleiras"/>
    <x v="9"/>
    <n v="1000"/>
    <n v="5002359"/>
    <s v="EMPRESA BRASILEIRA DE CORREIOS E"/>
    <n v="91.45"/>
    <d v="2025-07-15T00:00:00"/>
  </r>
  <r>
    <n v="254032632"/>
    <n v="64811540"/>
    <s v="ZRDI"/>
    <n v="10129063"/>
    <n v="208"/>
    <s v="DEV-Atraso entrega- LOGISTICA(Transp)"/>
    <s v="TRANSPORTADORA"/>
    <x v="2"/>
    <n v="52966572"/>
    <x v="1440"/>
    <s v="MG"/>
    <n v="474"/>
    <s v="Site Brastemp"/>
    <n v="1352"/>
    <s v="W11109516"/>
    <s v="Prateleiras"/>
    <x v="9"/>
    <n v="1000"/>
    <n v="5002359"/>
    <s v="EMPRESA BRASILEIRA DE CORREIOS E"/>
    <n v="91.43"/>
    <d v="2025-07-16T00:00:00"/>
  </r>
  <r>
    <n v="254032632"/>
    <n v="64811540"/>
    <s v="ZRDI"/>
    <n v="10129063"/>
    <n v="208"/>
    <s v="DEV-Atraso entrega- LOGISTICA(Transp)"/>
    <s v="TRANSPORTADORA"/>
    <x v="2"/>
    <n v="52966572"/>
    <x v="1440"/>
    <s v="MG"/>
    <n v="474"/>
    <s v="Site Brastemp"/>
    <n v="1352"/>
    <s v="W11109516"/>
    <s v="Prateleiras"/>
    <x v="9"/>
    <n v="1000"/>
    <n v="5002359"/>
    <s v="EMPRESA BRASILEIRA DE CORREIOS E"/>
    <n v="91.43"/>
    <d v="2025-07-16T00:00:00"/>
  </r>
  <r>
    <n v="254003967"/>
    <n v="64777924"/>
    <s v="REB"/>
    <n v="9737171"/>
    <n v="173"/>
    <s v="PEÇAS - Defeito de fabric./Alta Amperage"/>
    <s v="FUNCIONAL"/>
    <x v="1"/>
    <n v="32533"/>
    <x v="194"/>
    <s v="PE"/>
    <n v="713"/>
    <s v="Key Account"/>
    <n v="1350"/>
    <s v="W11300675"/>
    <s v="Mecanismos"/>
    <x v="2"/>
    <n v="1000"/>
    <n v="5004101"/>
    <s v="UNIDOCK'S ASSESSORIA E LOGISTICA DE"/>
    <n v="91.41"/>
    <d v="2025-05-26T00:00:00"/>
  </r>
  <r>
    <n v="254004041"/>
    <n v="64778379"/>
    <s v="REB"/>
    <n v="9965623"/>
    <n v="173"/>
    <s v="PEÇAS - Defeito de fabric./Alta Amperage"/>
    <s v="FUNCIONAL"/>
    <x v="2"/>
    <n v="67948"/>
    <x v="15"/>
    <s v="SC"/>
    <n v="713"/>
    <s v="Key Account"/>
    <n v="1350"/>
    <s v="W11634491"/>
    <s v="Placas de Controle"/>
    <x v="1"/>
    <n v="1000"/>
    <n v="5003024"/>
    <s v="RODOBRAS TRANSPORTES RODOVIARIOS LT"/>
    <n v="91.39"/>
    <d v="2025-05-26T00:00:00"/>
  </r>
  <r>
    <n v="254041056"/>
    <n v="64818827"/>
    <s v="ZRDI"/>
    <n v="10091681"/>
    <n v="208"/>
    <s v="DEV-Atraso entrega- LOGISTICA(Transp)"/>
    <s v="TRANSPORTADORA"/>
    <x v="1"/>
    <n v="53080630"/>
    <x v="1441"/>
    <s v="GO"/>
    <n v="474"/>
    <s v="Site Brastemp"/>
    <n v="1352"/>
    <s v="W10657521"/>
    <s v="Portas"/>
    <x v="6"/>
    <n v="1000"/>
    <n v="5002359"/>
    <s v="EMPRESA BRASILEIRA DE CORREIOS E"/>
    <n v="91.39"/>
    <d v="2025-07-28T00:00:00"/>
  </r>
  <r>
    <n v="254035940"/>
    <n v="64814045"/>
    <s v="ZRDI"/>
    <n v="10129821"/>
    <n v="208"/>
    <s v="DEV-Atraso entrega- LOGISTICA(Transp)"/>
    <s v="TRANSPORTADORA"/>
    <x v="2"/>
    <n v="58148326"/>
    <x v="1442"/>
    <s v="DF"/>
    <n v="475"/>
    <s v="Site Consul"/>
    <n v="1352"/>
    <s v="W11199342"/>
    <s v="Filtros"/>
    <x v="5"/>
    <n v="1000"/>
    <n v="5002359"/>
    <s v="EMPRESA BRASILEIRA DE CORREIOS E"/>
    <n v="91.35"/>
    <d v="2025-07-21T00:00:00"/>
  </r>
  <r>
    <n v="254035940"/>
    <n v="64814045"/>
    <s v="ZRDI"/>
    <n v="10129821"/>
    <n v="208"/>
    <s v="DEV-Atraso entrega- LOGISTICA(Transp)"/>
    <s v="TRANSPORTADORA"/>
    <x v="2"/>
    <n v="58148326"/>
    <x v="1442"/>
    <s v="DF"/>
    <n v="475"/>
    <s v="Site Consul"/>
    <n v="1352"/>
    <s v="W11199342"/>
    <s v="Filtros"/>
    <x v="5"/>
    <n v="1000"/>
    <n v="5002359"/>
    <s v="EMPRESA BRASILEIRA DE CORREIOS E"/>
    <n v="91.35"/>
    <d v="2025-07-21T00:00:00"/>
  </r>
  <r>
    <n v="254035940"/>
    <n v="64814045"/>
    <s v="ZRDI"/>
    <n v="10129821"/>
    <n v="208"/>
    <s v="DEV-Atraso entrega- LOGISTICA(Transp)"/>
    <s v="TRANSPORTADORA"/>
    <x v="2"/>
    <n v="58148326"/>
    <x v="1442"/>
    <s v="DF"/>
    <n v="475"/>
    <s v="Site Consul"/>
    <n v="1352"/>
    <s v="W11199342"/>
    <s v="Filtros"/>
    <x v="5"/>
    <n v="1000"/>
    <n v="5002359"/>
    <s v="EMPRESA BRASILEIRA DE CORREIOS E"/>
    <n v="91.34"/>
    <d v="2025-07-21T00:00:00"/>
  </r>
  <r>
    <n v="254035940"/>
    <n v="64814045"/>
    <s v="ZRDI"/>
    <n v="10129821"/>
    <n v="208"/>
    <s v="DEV-Atraso entrega- LOGISTICA(Transp)"/>
    <s v="TRANSPORTADORA"/>
    <x v="2"/>
    <n v="58148326"/>
    <x v="1442"/>
    <s v="DF"/>
    <n v="475"/>
    <s v="Site Consul"/>
    <n v="1352"/>
    <s v="W11199342"/>
    <s v="Filtros"/>
    <x v="5"/>
    <n v="1000"/>
    <n v="5002359"/>
    <s v="EMPRESA BRASILEIRA DE CORREIOS E"/>
    <n v="91.34"/>
    <d v="2025-07-21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470951"/>
    <s v="Correias"/>
    <x v="2"/>
    <n v="10000"/>
    <n v="5002359"/>
    <s v="EMPRESA BRASILEIRA DE CORREIOS E"/>
    <n v="91.27"/>
    <d v="2025-07-08T00:00:00"/>
  </r>
  <r>
    <s v="Sem TR"/>
    <n v="64816348"/>
    <s v="REB"/>
    <n v="10043140"/>
    <n v="176"/>
    <s v="PEÇAS - Defeito de fabric./Interrompido"/>
    <s v="FUNCIONAL"/>
    <x v="1"/>
    <n v="66"/>
    <x v="73"/>
    <s v="GO"/>
    <n v="931"/>
    <s v="Ats Off"/>
    <n v="1350"/>
    <s v="W11045006"/>
    <s v="Interruptores"/>
    <x v="3"/>
    <n v="1000"/>
    <n v="5002858"/>
    <s v="FAVORITA TRANSPORTES LTDA"/>
    <n v="91.25"/>
    <d v="2025-07-25T00:00:00"/>
  </r>
  <r>
    <n v="253930940"/>
    <n v="64703720"/>
    <s v="REB"/>
    <n v="9841672"/>
    <n v="167"/>
    <s v="PEÇAS - Avaria - Quebrada/Depósito"/>
    <s v="LOGÍSTICA"/>
    <x v="1"/>
    <n v="2424"/>
    <x v="338"/>
    <s v="RJ"/>
    <n v="931"/>
    <s v="Ats Off"/>
    <n v="1350"/>
    <s v="W10347201"/>
    <s v="Prateleiras"/>
    <x v="9"/>
    <n v="1000"/>
    <n v="5003176"/>
    <s v="J C THEDIN TRANSPORTES LTDA"/>
    <n v="91.16"/>
    <d v="2025-01-31T00:00:00"/>
  </r>
  <r>
    <n v="254040411"/>
    <n v="64818315"/>
    <s v="ZRDI"/>
    <n v="10127923"/>
    <n v="208"/>
    <s v="DEV-Atraso entrega- LOGISTICA(Transp)"/>
    <s v="TRANSPORTADORA"/>
    <x v="2"/>
    <n v="58144877"/>
    <x v="1443"/>
    <s v="RS"/>
    <n v="475"/>
    <s v="Site Consul"/>
    <n v="1352"/>
    <n v="326047714"/>
    <s v="Prateleiras"/>
    <x v="9"/>
    <n v="1000"/>
    <n v="5002359"/>
    <s v="EMPRESA BRASILEIRA DE CORREIOS E"/>
    <n v="91.15"/>
    <d v="2025-07-26T00:00:00"/>
  </r>
  <r>
    <n v="254040411"/>
    <n v="64818315"/>
    <s v="ZRDI"/>
    <n v="10127923"/>
    <n v="208"/>
    <s v="DEV-Atraso entrega- LOGISTICA(Transp)"/>
    <s v="TRANSPORTADORA"/>
    <x v="2"/>
    <n v="58144877"/>
    <x v="1443"/>
    <s v="RS"/>
    <n v="475"/>
    <s v="Site Consul"/>
    <n v="1352"/>
    <n v="326047714"/>
    <s v="Prateleiras"/>
    <x v="9"/>
    <n v="1000"/>
    <n v="5002359"/>
    <s v="EMPRESA BRASILEIRA DE CORREIOS E"/>
    <n v="91.15"/>
    <d v="2025-07-26T00:00:00"/>
  </r>
  <r>
    <s v="Sem TR"/>
    <n v="64800200"/>
    <s v="ZRDI"/>
    <n v="10097674"/>
    <s v="D10"/>
    <s v="DEV D2C - Comprou modelo errado"/>
    <s v="COMERCIAL"/>
    <x v="2"/>
    <n v="58105228"/>
    <x v="1444"/>
    <s v="MG"/>
    <n v="474"/>
    <s v="Site Brastemp"/>
    <n v="1352"/>
    <s v="W10754152"/>
    <s v="Gavetas"/>
    <x v="9"/>
    <n v="1000"/>
    <n v="5002359"/>
    <s v="EMPRESA BRASILEIRA DE CORREIOS E"/>
    <n v="91.07"/>
    <d v="2025-06-30T00:00:00"/>
  </r>
  <r>
    <n v="254027821"/>
    <n v="64807491"/>
    <s v="ZRDI"/>
    <n v="10108125"/>
    <s v="D25"/>
    <s v="DEV D2C - Prob na entrega (Não recebi)"/>
    <s v="TRANSPORTADORA"/>
    <x v="2"/>
    <n v="57688344"/>
    <x v="788"/>
    <s v="BA"/>
    <n v="475"/>
    <s v="Site Consul"/>
    <n v="1352"/>
    <s v="W11199342"/>
    <s v="Filtros"/>
    <x v="5"/>
    <n v="1000"/>
    <n v="5002359"/>
    <s v="EMPRESA BRASILEIRA DE CORREIOS E"/>
    <n v="90.96"/>
    <d v="2025-07-08T00:00:00"/>
  </r>
  <r>
    <n v="253913155"/>
    <n v="64684095"/>
    <s v="REB"/>
    <n v="9541970"/>
    <n v="176"/>
    <s v="PEÇAS - Defeito de fabric./Interrompido"/>
    <s v="FUNCIONAL"/>
    <x v="1"/>
    <n v="56605"/>
    <x v="268"/>
    <s v="AL"/>
    <n v="644"/>
    <s v="Plus"/>
    <n v="1350"/>
    <s v="W11396188"/>
    <s v="Placas de Interface"/>
    <x v="1"/>
    <n v="1000"/>
    <n v="5004101"/>
    <s v="UNIDOCK'S ASSESSORIA E LOGISTICA DE"/>
    <n v="90.9"/>
    <d v="2025-01-06T00:00:00"/>
  </r>
  <r>
    <n v="253964074"/>
    <n v="64743035"/>
    <s v="ROB"/>
    <n v="48888"/>
    <n v="115"/>
    <s v="PEÇAS-Recusa do cliente"/>
    <s v="COMERCIAL"/>
    <x v="2"/>
    <n v="93416"/>
    <x v="1166"/>
    <s v="PE"/>
    <n v="698"/>
    <s v="CDP Bronze"/>
    <n v="1550"/>
    <s v="W10897149"/>
    <s v="Rolamentos"/>
    <x v="2"/>
    <n v="10000"/>
    <n v="5000253"/>
    <s v="TRANSPORTADOR GENERICO"/>
    <n v="90.55"/>
    <d v="2025-03-31T00:00:00"/>
  </r>
  <r>
    <n v="254032559"/>
    <n v="64811504"/>
    <s v="ZRDI"/>
    <n v="10103092"/>
    <n v="208"/>
    <s v="DEV-Atraso entrega- LOGISTICA(Transp)"/>
    <s v="TRANSPORTADORA"/>
    <x v="2"/>
    <n v="4546062"/>
    <x v="1445"/>
    <s v="RS"/>
    <n v="475"/>
    <s v="Site Consul"/>
    <n v="1352"/>
    <n v="326067736"/>
    <s v="Prateleiras"/>
    <x v="9"/>
    <n v="2000"/>
    <n v="5002359"/>
    <s v="EMPRESA BRASILEIRA DE CORREIOS E"/>
    <n v="90.52"/>
    <d v="2025-07-16T00:00:00"/>
  </r>
  <r>
    <n v="253926838"/>
    <n v="64700020"/>
    <s v="REB"/>
    <n v="9820301"/>
    <n v="104"/>
    <s v="PEÇAS-Código trocado(embalag X conteúdo)"/>
    <s v="LOGÍSTICA"/>
    <x v="1"/>
    <n v="3236"/>
    <x v="45"/>
    <s v="SP"/>
    <n v="931"/>
    <s v="Ats Off"/>
    <n v="1350"/>
    <s v="W10666549"/>
    <s v="Gaxetas"/>
    <x v="4"/>
    <n v="1000"/>
    <n v="5003254"/>
    <s v="TMA TRANSPORTE LOTACAO E LOGISTICA"/>
    <n v="90.47"/>
    <d v="2025-01-27T00:00:00"/>
  </r>
  <r>
    <n v="254021287"/>
    <n v="64798933"/>
    <s v="ZRDI"/>
    <n v="10091516"/>
    <n v="208"/>
    <s v="DEV-Atraso entrega- LOGISTICA(Transp)"/>
    <s v="TRANSPORTADORA"/>
    <x v="2"/>
    <n v="56621544"/>
    <x v="1446"/>
    <s v="SP"/>
    <n v="475"/>
    <s v="Site Consul"/>
    <n v="1352"/>
    <s v="W11199342"/>
    <s v="Filtros"/>
    <x v="5"/>
    <n v="1000"/>
    <n v="5002359"/>
    <s v="EMPRESA BRASILEIRA DE CORREIOS E"/>
    <n v="90.36"/>
    <d v="2025-06-26T00:00:00"/>
  </r>
  <r>
    <n v="254022273"/>
    <n v="64799884"/>
    <s v="ZRDI"/>
    <n v="10084372"/>
    <n v="208"/>
    <s v="DEV-Atraso entrega- LOGISTICA(Transp)"/>
    <s v="TRANSPORTADORA"/>
    <x v="2"/>
    <n v="58079754"/>
    <x v="1447"/>
    <s v="SP"/>
    <n v="475"/>
    <s v="Site Consul"/>
    <n v="1352"/>
    <s v="W11199342"/>
    <s v="Filtros"/>
    <x v="5"/>
    <n v="1000"/>
    <n v="5002359"/>
    <s v="EMPRESA BRASILEIRA DE CORREIOS E"/>
    <n v="90.36"/>
    <d v="2025-06-27T00:00:00"/>
  </r>
  <r>
    <s v="Sem TR"/>
    <n v="64802499"/>
    <s v="ZRDI"/>
    <n v="10092793"/>
    <s v="D25"/>
    <s v="DEV D2C - Prob na entrega (Não recebi)"/>
    <s v="TRANSPORTADORA"/>
    <x v="2"/>
    <n v="52232919"/>
    <x v="1448"/>
    <s v="SP"/>
    <n v="475"/>
    <s v="Site Consul"/>
    <n v="1352"/>
    <s v="W10301562"/>
    <s v="Filtros"/>
    <x v="5"/>
    <n v="1000"/>
    <n v="5002359"/>
    <s v="EMPRESA BRASILEIRA DE CORREIOS E"/>
    <n v="90.36"/>
    <d v="2025-07-01T00:00:00"/>
  </r>
  <r>
    <s v="Sem TR"/>
    <n v="64802847"/>
    <s v="ZRDI"/>
    <n v="10123439"/>
    <s v="D31"/>
    <s v="DEV D2C - Defeito estético manufatura"/>
    <s v="MANUFATURA"/>
    <x v="2"/>
    <n v="57652644"/>
    <x v="989"/>
    <s v="RJ"/>
    <n v="475"/>
    <s v="Site Consul"/>
    <n v="1352"/>
    <n v="326047714"/>
    <s v="Prateleiras"/>
    <x v="9"/>
    <n v="1000"/>
    <n v="5002359"/>
    <s v="EMPRESA BRASILEIRA DE CORREIOS E"/>
    <n v="90.36"/>
    <d v="2025-07-15T00:00:00"/>
  </r>
  <r>
    <s v="Sem TR"/>
    <n v="64803856"/>
    <s v="ZRDI"/>
    <n v="10114213"/>
    <s v="D13"/>
    <s v="DEV D2C - Comprou prod qtde errada"/>
    <s v="COMERCIAL"/>
    <x v="2"/>
    <n v="57750881"/>
    <x v="1449"/>
    <s v="SP"/>
    <n v="475"/>
    <s v="Site Consul"/>
    <n v="1352"/>
    <s v="W11199342"/>
    <s v="Filtros"/>
    <x v="5"/>
    <n v="1000"/>
    <n v="5002359"/>
    <s v="EMPRESA BRASILEIRA DE CORREIOS E"/>
    <n v="90.36"/>
    <d v="2025-07-23T00:00:00"/>
  </r>
  <r>
    <n v="254024250"/>
    <n v="64804157"/>
    <s v="ZRDI"/>
    <n v="10094152"/>
    <s v="D25"/>
    <s v="DEV D2C - Prob na entrega (Não recebi)"/>
    <s v="TRANSPORTADORA"/>
    <x v="2"/>
    <n v="55001816"/>
    <x v="1450"/>
    <s v="SP"/>
    <n v="475"/>
    <s v="Site Consul"/>
    <n v="1352"/>
    <s v="W11199342"/>
    <s v="Filtros"/>
    <x v="5"/>
    <n v="1000"/>
    <n v="5002359"/>
    <s v="EMPRESA BRASILEIRA DE CORREIOS E"/>
    <n v="90.36"/>
    <d v="2025-07-02T00:00:00"/>
  </r>
  <r>
    <s v="Sem TR"/>
    <n v="64804173"/>
    <s v="ZRDI"/>
    <n v="10090891"/>
    <s v="D25"/>
    <s v="DEV D2C - Prob na entrega (Não recebi)"/>
    <s v="TRANSPORTADORA"/>
    <x v="2"/>
    <n v="58093282"/>
    <x v="1451"/>
    <s v="SP"/>
    <n v="475"/>
    <s v="Site Consul"/>
    <n v="1352"/>
    <s v="W11199342"/>
    <s v="Filtros"/>
    <x v="5"/>
    <n v="1000"/>
    <n v="5002359"/>
    <s v="EMPRESA BRASILEIRA DE CORREIOS E"/>
    <n v="90.36"/>
    <d v="2025-07-02T00:00:00"/>
  </r>
  <r>
    <s v="Sem TR"/>
    <n v="64804730"/>
    <s v="ZRDI"/>
    <n v="10088160"/>
    <n v="208"/>
    <s v="DEV-Atraso entrega- LOGISTICA(Transp)"/>
    <s v="TRANSPORTADORA"/>
    <x v="2"/>
    <n v="58091214"/>
    <x v="1452"/>
    <s v="SP"/>
    <n v="475"/>
    <s v="Site Consul"/>
    <n v="1352"/>
    <s v="W10301562"/>
    <s v="Filtros"/>
    <x v="5"/>
    <n v="1000"/>
    <n v="5002359"/>
    <s v="EMPRESA BRASILEIRA DE CORREIOS E"/>
    <n v="90.36"/>
    <d v="2025-07-02T00:00:00"/>
  </r>
  <r>
    <s v="Sem TR"/>
    <n v="64804757"/>
    <s v="ZRDI"/>
    <n v="10096920"/>
    <n v="208"/>
    <s v="DEV-Atraso entrega- LOGISTICA(Transp)"/>
    <s v="TRANSPORTADORA"/>
    <x v="2"/>
    <n v="58105719"/>
    <x v="1453"/>
    <s v="SP"/>
    <n v="475"/>
    <s v="Site Consul"/>
    <n v="1352"/>
    <s v="W11199342"/>
    <s v="Filtros"/>
    <x v="5"/>
    <n v="1000"/>
    <n v="5002359"/>
    <s v="EMPRESA BRASILEIRA DE CORREIOS E"/>
    <n v="90.36"/>
    <d v="2025-07-02T00:00:00"/>
  </r>
  <r>
    <n v="254027694"/>
    <n v="64807247"/>
    <s v="ZRDI"/>
    <n v="10093080"/>
    <n v="208"/>
    <s v="DEV-Atraso entrega- LOGISTICA(Transp)"/>
    <s v="TRANSPORTADORA"/>
    <x v="2"/>
    <n v="58095676"/>
    <x v="1454"/>
    <s v="SP"/>
    <n v="475"/>
    <s v="Site Consul"/>
    <n v="1352"/>
    <s v="W11199342"/>
    <s v="Filtros"/>
    <x v="5"/>
    <n v="1000"/>
    <n v="5002359"/>
    <s v="EMPRESA BRASILEIRA DE CORREIOS E"/>
    <n v="90.36"/>
    <d v="2025-07-08T00:00:00"/>
  </r>
  <r>
    <s v="Sem TR"/>
    <n v="64808762"/>
    <s v="ZRDI"/>
    <n v="10088732"/>
    <n v="208"/>
    <s v="DEV-Atraso entrega- LOGISTICA(Transp)"/>
    <s v="TRANSPORTADORA"/>
    <x v="2"/>
    <n v="50120296"/>
    <x v="1455"/>
    <s v="SP"/>
    <n v="475"/>
    <s v="Site Consul"/>
    <n v="1352"/>
    <s v="W11199342"/>
    <s v="Filtros"/>
    <x v="5"/>
    <n v="1000"/>
    <n v="5002359"/>
    <s v="EMPRESA BRASILEIRA DE CORREIOS E"/>
    <n v="90.36"/>
    <d v="2025-07-10T00:00:00"/>
  </r>
  <r>
    <n v="254029264"/>
    <n v="64808770"/>
    <s v="ZRDI"/>
    <n v="10107585"/>
    <n v="208"/>
    <s v="DEV-Atraso entrega- LOGISTICA(Transp)"/>
    <s v="TRANSPORTADORA"/>
    <x v="2"/>
    <n v="56238972"/>
    <x v="1456"/>
    <s v="SP"/>
    <n v="475"/>
    <s v="Site Consul"/>
    <n v="1352"/>
    <s v="W11199342"/>
    <s v="Filtros"/>
    <x v="5"/>
    <n v="1000"/>
    <n v="5002359"/>
    <s v="EMPRESA BRASILEIRA DE CORREIOS E"/>
    <n v="90.36"/>
    <d v="2025-07-10T00:00:00"/>
  </r>
  <r>
    <s v="Sem TR"/>
    <n v="64810326"/>
    <s v="ZRDI"/>
    <n v="10126746"/>
    <s v="D35"/>
    <s v="DEV D2C - Prod difere do comprado"/>
    <s v="COMERCIAL"/>
    <x v="2"/>
    <n v="58141130"/>
    <x v="1457"/>
    <s v="RJ"/>
    <n v="475"/>
    <s v="Site Consul"/>
    <n v="1352"/>
    <n v="326047714"/>
    <s v="Prateleiras"/>
    <x v="9"/>
    <n v="1000"/>
    <n v="5002359"/>
    <s v="EMPRESA BRASILEIRA DE CORREIOS E"/>
    <n v="90.36"/>
    <d v="2025-07-16T00:00:00"/>
  </r>
  <r>
    <s v="Sem TR"/>
    <n v="64810933"/>
    <s v="ZRDI"/>
    <n v="10132283"/>
    <s v="D31"/>
    <s v="DEV D2C - Defeito estético manufatura"/>
    <s v="MANUFATURA"/>
    <x v="2"/>
    <n v="50039134"/>
    <x v="1458"/>
    <s v="SP"/>
    <n v="475"/>
    <s v="Site Consul"/>
    <n v="1352"/>
    <s v="W11199342"/>
    <s v="Filtros"/>
    <x v="5"/>
    <n v="1000"/>
    <n v="5002359"/>
    <s v="EMPRESA BRASILEIRA DE CORREIOS E"/>
    <n v="90.36"/>
    <d v="2025-07-16T00:00:00"/>
  </r>
  <r>
    <s v="Sem TR"/>
    <n v="64811469"/>
    <s v="ZRDI"/>
    <n v="10081989"/>
    <n v="208"/>
    <s v="DEV-Atraso entrega- LOGISTICA(Transp)"/>
    <s v="TRANSPORTADORA"/>
    <x v="2"/>
    <n v="58080019"/>
    <x v="1459"/>
    <s v="SP"/>
    <n v="475"/>
    <s v="Site Consul"/>
    <n v="1352"/>
    <s v="W11199342"/>
    <s v="Filtros"/>
    <x v="5"/>
    <n v="1000"/>
    <n v="5002359"/>
    <s v="EMPRESA BRASILEIRA DE CORREIOS E"/>
    <n v="90.36"/>
    <d v="2025-07-16T00:00:00"/>
  </r>
  <r>
    <n v="254032541"/>
    <n v="64811495"/>
    <s v="ZRDI"/>
    <n v="10102097"/>
    <n v="208"/>
    <s v="DEV-Atraso entrega- LOGISTICA(Transp)"/>
    <s v="TRANSPORTADORA"/>
    <x v="2"/>
    <n v="51097937"/>
    <x v="1460"/>
    <s v="SP"/>
    <n v="475"/>
    <s v="Site Consul"/>
    <n v="1352"/>
    <s v="W11199342"/>
    <s v="Filtros"/>
    <x v="5"/>
    <n v="1000"/>
    <n v="5002359"/>
    <s v="EMPRESA BRASILEIRA DE CORREIOS E"/>
    <n v="90.36"/>
    <d v="2025-07-16T00:00:00"/>
  </r>
  <r>
    <n v="254032578"/>
    <n v="64811519"/>
    <s v="ZRDI"/>
    <n v="10109464"/>
    <n v="208"/>
    <s v="DEV-Atraso entrega- LOGISTICA(Transp)"/>
    <s v="TRANSPORTADORA"/>
    <x v="2"/>
    <n v="51439458"/>
    <x v="1461"/>
    <s v="SP"/>
    <n v="475"/>
    <s v="Site Consul"/>
    <n v="1352"/>
    <s v="W11199342"/>
    <s v="Filtros"/>
    <x v="5"/>
    <n v="1000"/>
    <n v="5002359"/>
    <s v="EMPRESA BRASILEIRA DE CORREIOS E"/>
    <n v="90.36"/>
    <d v="2025-07-16T00:00:00"/>
  </r>
  <r>
    <s v="Sem TR"/>
    <n v="64811529"/>
    <s v="ZRDI"/>
    <n v="10117288"/>
    <n v="208"/>
    <s v="DEV-Atraso entrega- LOGISTICA(Transp)"/>
    <s v="TRANSPORTADORA"/>
    <x v="2"/>
    <n v="55062073"/>
    <x v="1462"/>
    <s v="SP"/>
    <n v="475"/>
    <s v="Site Consul"/>
    <n v="1352"/>
    <s v="W10301562"/>
    <s v="Filtros"/>
    <x v="5"/>
    <n v="1000"/>
    <n v="5002359"/>
    <s v="EMPRESA BRASILEIRA DE CORREIOS E"/>
    <n v="90.36"/>
    <d v="2025-07-16T00:00:00"/>
  </r>
  <r>
    <s v="Sem TR"/>
    <n v="64812199"/>
    <s v="ZRDI"/>
    <n v="10108004"/>
    <s v="D35"/>
    <s v="DEV D2C - Prod difere do comprado"/>
    <s v="COMERCIAL"/>
    <x v="2"/>
    <n v="58119419"/>
    <x v="1463"/>
    <s v="SP"/>
    <n v="475"/>
    <s v="Site Consul"/>
    <n v="1352"/>
    <s v="W11199342"/>
    <s v="Filtros"/>
    <x v="5"/>
    <n v="1000"/>
    <n v="5002359"/>
    <s v="EMPRESA BRASILEIRA DE CORREIOS E"/>
    <n v="90.36"/>
    <d v="2025-07-17T00:00:00"/>
  </r>
  <r>
    <n v="254033990"/>
    <n v="64812575"/>
    <s v="ZRDI"/>
    <n v="10121370"/>
    <n v="208"/>
    <s v="DEV-Atraso entrega- LOGISTICA(Transp)"/>
    <s v="TRANSPORTADORA"/>
    <x v="2"/>
    <n v="57777848"/>
    <x v="1464"/>
    <s v="SP"/>
    <n v="475"/>
    <s v="Site Consul"/>
    <n v="1352"/>
    <s v="W11199342"/>
    <s v="Filtros"/>
    <x v="5"/>
    <n v="1000"/>
    <n v="5002359"/>
    <s v="EMPRESA BRASILEIRA DE CORREIOS E"/>
    <n v="90.36"/>
    <d v="2025-07-17T00:00:00"/>
  </r>
  <r>
    <n v="254036638"/>
    <n v="64814534"/>
    <s v="ZRDI"/>
    <n v="10115941"/>
    <n v="208"/>
    <s v="DEV-Atraso entrega- LOGISTICA(Transp)"/>
    <s v="TRANSPORTADORA"/>
    <x v="2"/>
    <n v="55121798"/>
    <x v="1465"/>
    <s v="SP"/>
    <n v="475"/>
    <s v="Site Consul"/>
    <n v="1352"/>
    <s v="W11199342"/>
    <s v="Filtros"/>
    <x v="5"/>
    <n v="1000"/>
    <n v="5002359"/>
    <s v="EMPRESA BRASILEIRA DE CORREIOS E"/>
    <n v="90.36"/>
    <d v="2025-07-22T00:00:00"/>
  </r>
  <r>
    <n v="254037101"/>
    <n v="64815014"/>
    <s v="ZRDI"/>
    <n v="10141725"/>
    <n v="208"/>
    <s v="DEV-Atraso entrega- LOGISTICA(Transp)"/>
    <s v="TRANSPORTADORA"/>
    <x v="2"/>
    <n v="4339008"/>
    <x v="1466"/>
    <s v="SP"/>
    <n v="475"/>
    <s v="Site Consul"/>
    <n v="1352"/>
    <s v="W10301562"/>
    <s v="Filtros"/>
    <x v="5"/>
    <n v="1000"/>
    <n v="5002359"/>
    <s v="EMPRESA BRASILEIRA DE CORREIOS E"/>
    <n v="90.36"/>
    <d v="2025-07-22T00:00:00"/>
  </r>
  <r>
    <s v="Sem TR"/>
    <n v="64817569"/>
    <s v="ZRDI"/>
    <n v="10150758"/>
    <s v="D10"/>
    <s v="DEV D2C - Comprou modelo errado"/>
    <s v="COMERCIAL"/>
    <x v="2"/>
    <n v="58178829"/>
    <x v="1467"/>
    <s v="SP"/>
    <n v="475"/>
    <s v="Site Consul"/>
    <n v="1352"/>
    <s v="W10301562"/>
    <s v="Filtros"/>
    <x v="5"/>
    <n v="1000"/>
    <n v="5002359"/>
    <s v="EMPRESA BRASILEIRA DE CORREIOS E"/>
    <n v="90.36"/>
    <d v="2025-07-25T00:00:00"/>
  </r>
  <r>
    <s v="Sem TR"/>
    <n v="64803856"/>
    <s v="ZRDI"/>
    <n v="10114213"/>
    <s v="D13"/>
    <s v="DEV D2C - Comprou prod qtde errada"/>
    <s v="COMERCIAL"/>
    <x v="2"/>
    <n v="57750881"/>
    <x v="1449"/>
    <s v="SP"/>
    <n v="475"/>
    <s v="Site Consul"/>
    <n v="1352"/>
    <s v="W11199342"/>
    <s v="Filtros"/>
    <x v="5"/>
    <n v="1000"/>
    <n v="5002359"/>
    <s v="EMPRESA BRASILEIRA DE CORREIOS E"/>
    <n v="90.36"/>
    <d v="2025-07-23T00:00:00"/>
  </r>
  <r>
    <s v="Sem TR"/>
    <n v="64810326"/>
    <s v="ZRDI"/>
    <n v="10126746"/>
    <s v="D35"/>
    <s v="DEV D2C - Prod difere do comprado"/>
    <s v="COMERCIAL"/>
    <x v="2"/>
    <n v="58141130"/>
    <x v="1457"/>
    <s v="RJ"/>
    <n v="475"/>
    <s v="Site Consul"/>
    <n v="1352"/>
    <n v="326047714"/>
    <s v="Prateleiras"/>
    <x v="9"/>
    <n v="1000"/>
    <n v="5002359"/>
    <s v="EMPRESA BRASILEIRA DE CORREIOS E"/>
    <n v="90.36"/>
    <d v="2025-07-16T00:00:00"/>
  </r>
  <r>
    <s v="Sem TR"/>
    <n v="64810933"/>
    <s v="ZRDI"/>
    <n v="10132283"/>
    <s v="D31"/>
    <s v="DEV D2C - Defeito estético manufatura"/>
    <s v="MANUFATURA"/>
    <x v="2"/>
    <n v="50039134"/>
    <x v="1458"/>
    <s v="SP"/>
    <n v="475"/>
    <s v="Site Consul"/>
    <n v="1352"/>
    <s v="W11199342"/>
    <s v="Filtros"/>
    <x v="5"/>
    <n v="1000"/>
    <n v="5002359"/>
    <s v="EMPRESA BRASILEIRA DE CORREIOS E"/>
    <n v="90.36"/>
    <d v="2025-07-16T00:00:00"/>
  </r>
  <r>
    <s v="Sem TR"/>
    <n v="64812199"/>
    <s v="ZRDI"/>
    <n v="10108004"/>
    <s v="D35"/>
    <s v="DEV D2C - Prod difere do comprado"/>
    <s v="COMERCIAL"/>
    <x v="2"/>
    <n v="58119419"/>
    <x v="1463"/>
    <s v="SP"/>
    <n v="475"/>
    <s v="Site Consul"/>
    <n v="1352"/>
    <s v="W11199342"/>
    <s v="Filtros"/>
    <x v="5"/>
    <n v="1000"/>
    <n v="5002359"/>
    <s v="EMPRESA BRASILEIRA DE CORREIOS E"/>
    <n v="90.36"/>
    <d v="2025-07-17T00:00:00"/>
  </r>
  <r>
    <n v="254037101"/>
    <n v="64815014"/>
    <s v="ZRDI"/>
    <n v="10141725"/>
    <n v="208"/>
    <s v="DEV-Atraso entrega- LOGISTICA(Transp)"/>
    <s v="TRANSPORTADORA"/>
    <x v="2"/>
    <n v="4339008"/>
    <x v="1466"/>
    <s v="SP"/>
    <n v="475"/>
    <s v="Site Consul"/>
    <n v="1352"/>
    <s v="W10301562"/>
    <s v="Filtros"/>
    <x v="5"/>
    <n v="1000"/>
    <n v="5002359"/>
    <s v="EMPRESA BRASILEIRA DE CORREIOS E"/>
    <n v="90.36"/>
    <d v="2025-07-22T00:00:00"/>
  </r>
  <r>
    <s v="Sem TR"/>
    <n v="64817569"/>
    <s v="ZRDI"/>
    <n v="10150758"/>
    <s v="D10"/>
    <s v="DEV D2C - Comprou modelo errado"/>
    <s v="COMERCIAL"/>
    <x v="2"/>
    <n v="58178829"/>
    <x v="1467"/>
    <s v="SP"/>
    <n v="475"/>
    <s v="Site Consul"/>
    <n v="1352"/>
    <s v="W10301562"/>
    <s v="Filtros"/>
    <x v="5"/>
    <n v="1000"/>
    <n v="5002359"/>
    <s v="EMPRESA BRASILEIRA DE CORREIOS E"/>
    <n v="90.36"/>
    <d v="2025-07-25T00:00:00"/>
  </r>
  <r>
    <s v="Sem TR"/>
    <n v="64819073"/>
    <s v="ZRDI"/>
    <n v="10152301"/>
    <s v="D18"/>
    <s v="DEV D2C - Arrependimento não quero mais"/>
    <s v="COMERCIAL"/>
    <x v="1"/>
    <n v="55643367"/>
    <x v="1468"/>
    <s v="SP"/>
    <n v="475"/>
    <s v="Site Consul"/>
    <n v="1352"/>
    <s v="W11199342"/>
    <s v="Filtros"/>
    <x v="5"/>
    <n v="1000"/>
    <n v="5002359"/>
    <s v="EMPRESA BRASILEIRA DE CORREIOS E"/>
    <n v="90.36"/>
    <d v="2025-07-29T00:00:00"/>
  </r>
  <r>
    <n v="254021287"/>
    <n v="64798933"/>
    <s v="ZRDI"/>
    <n v="10091516"/>
    <n v="208"/>
    <s v="DEV-Atraso entrega- LOGISTICA(Transp)"/>
    <s v="TRANSPORTADORA"/>
    <x v="2"/>
    <n v="56621544"/>
    <x v="1446"/>
    <s v="SP"/>
    <n v="475"/>
    <s v="Site Consul"/>
    <n v="1352"/>
    <s v="W11199342"/>
    <s v="Filtros"/>
    <x v="5"/>
    <n v="1000"/>
    <n v="5002359"/>
    <s v="EMPRESA BRASILEIRA DE CORREIOS E"/>
    <n v="90.35"/>
    <d v="2025-06-26T00:00:00"/>
  </r>
  <r>
    <n v="254022273"/>
    <n v="64799884"/>
    <s v="ZRDI"/>
    <n v="10084372"/>
    <n v="208"/>
    <s v="DEV-Atraso entrega- LOGISTICA(Transp)"/>
    <s v="TRANSPORTADORA"/>
    <x v="2"/>
    <n v="58079754"/>
    <x v="1447"/>
    <s v="SP"/>
    <n v="475"/>
    <s v="Site Consul"/>
    <n v="1352"/>
    <s v="W11199342"/>
    <s v="Filtros"/>
    <x v="5"/>
    <n v="1000"/>
    <n v="5002359"/>
    <s v="EMPRESA BRASILEIRA DE CORREIOS E"/>
    <n v="90.35"/>
    <d v="2025-06-27T00:00:00"/>
  </r>
  <r>
    <s v="Sem TR"/>
    <n v="64802499"/>
    <s v="ZRDI"/>
    <n v="10092793"/>
    <s v="D25"/>
    <s v="DEV D2C - Prob na entrega (Não recebi)"/>
    <s v="TRANSPORTADORA"/>
    <x v="2"/>
    <n v="52232919"/>
    <x v="1448"/>
    <s v="SP"/>
    <n v="475"/>
    <s v="Site Consul"/>
    <n v="1352"/>
    <s v="W10301562"/>
    <s v="Filtros"/>
    <x v="5"/>
    <n v="1000"/>
    <n v="5002359"/>
    <s v="EMPRESA BRASILEIRA DE CORREIOS E"/>
    <n v="90.35"/>
    <d v="2025-07-01T00:00:00"/>
  </r>
  <r>
    <s v="Sem TR"/>
    <n v="64803856"/>
    <s v="ZRDI"/>
    <n v="10114213"/>
    <s v="D13"/>
    <s v="DEV D2C - Comprou prod qtde errada"/>
    <s v="COMERCIAL"/>
    <x v="2"/>
    <n v="57750881"/>
    <x v="1449"/>
    <s v="SP"/>
    <n v="475"/>
    <s v="Site Consul"/>
    <n v="1352"/>
    <s v="W11199342"/>
    <s v="Filtros"/>
    <x v="5"/>
    <n v="1000"/>
    <n v="5002359"/>
    <s v="EMPRESA BRASILEIRA DE CORREIOS E"/>
    <n v="90.35"/>
    <d v="2025-07-23T00:00:00"/>
  </r>
  <r>
    <n v="254024250"/>
    <n v="64804157"/>
    <s v="ZRDI"/>
    <n v="10094152"/>
    <s v="D25"/>
    <s v="DEV D2C - Prob na entrega (Não recebi)"/>
    <s v="TRANSPORTADORA"/>
    <x v="2"/>
    <n v="55001816"/>
    <x v="1450"/>
    <s v="SP"/>
    <n v="475"/>
    <s v="Site Consul"/>
    <n v="1352"/>
    <s v="W11199342"/>
    <s v="Filtros"/>
    <x v="5"/>
    <n v="1000"/>
    <n v="5002359"/>
    <s v="EMPRESA BRASILEIRA DE CORREIOS E"/>
    <n v="90.35"/>
    <d v="2025-07-02T00:00:00"/>
  </r>
  <r>
    <s v="Sem TR"/>
    <n v="64804173"/>
    <s v="ZRDI"/>
    <n v="10090891"/>
    <s v="D25"/>
    <s v="DEV D2C - Prob na entrega (Não recebi)"/>
    <s v="TRANSPORTADORA"/>
    <x v="2"/>
    <n v="58093282"/>
    <x v="1451"/>
    <s v="SP"/>
    <n v="475"/>
    <s v="Site Consul"/>
    <n v="1352"/>
    <s v="W11199342"/>
    <s v="Filtros"/>
    <x v="5"/>
    <n v="1000"/>
    <n v="5002359"/>
    <s v="EMPRESA BRASILEIRA DE CORREIOS E"/>
    <n v="90.35"/>
    <d v="2025-07-02T00:00:00"/>
  </r>
  <r>
    <s v="Sem TR"/>
    <n v="64804730"/>
    <s v="ZRDI"/>
    <n v="10088160"/>
    <n v="208"/>
    <s v="DEV-Atraso entrega- LOGISTICA(Transp)"/>
    <s v="TRANSPORTADORA"/>
    <x v="2"/>
    <n v="58091214"/>
    <x v="1452"/>
    <s v="SP"/>
    <n v="475"/>
    <s v="Site Consul"/>
    <n v="1352"/>
    <s v="W10301562"/>
    <s v="Filtros"/>
    <x v="5"/>
    <n v="1000"/>
    <n v="5002359"/>
    <s v="EMPRESA BRASILEIRA DE CORREIOS E"/>
    <n v="90.35"/>
    <d v="2025-07-02T00:00:00"/>
  </r>
  <r>
    <s v="Sem TR"/>
    <n v="64804757"/>
    <s v="ZRDI"/>
    <n v="10096920"/>
    <n v="208"/>
    <s v="DEV-Atraso entrega- LOGISTICA(Transp)"/>
    <s v="TRANSPORTADORA"/>
    <x v="2"/>
    <n v="58105719"/>
    <x v="1453"/>
    <s v="SP"/>
    <n v="475"/>
    <s v="Site Consul"/>
    <n v="1352"/>
    <s v="W11199342"/>
    <s v="Filtros"/>
    <x v="5"/>
    <n v="1000"/>
    <n v="5002359"/>
    <s v="EMPRESA BRASILEIRA DE CORREIOS E"/>
    <n v="90.35"/>
    <d v="2025-07-02T00:00:00"/>
  </r>
  <r>
    <n v="254027694"/>
    <n v="64807247"/>
    <s v="ZRDI"/>
    <n v="10093080"/>
    <n v="208"/>
    <s v="DEV-Atraso entrega- LOGISTICA(Transp)"/>
    <s v="TRANSPORTADORA"/>
    <x v="2"/>
    <n v="58095676"/>
    <x v="1454"/>
    <s v="SP"/>
    <n v="475"/>
    <s v="Site Consul"/>
    <n v="1352"/>
    <s v="W11199342"/>
    <s v="Filtros"/>
    <x v="5"/>
    <n v="1000"/>
    <n v="5002359"/>
    <s v="EMPRESA BRASILEIRA DE CORREIOS E"/>
    <n v="90.35"/>
    <d v="2025-07-08T00:00:00"/>
  </r>
  <r>
    <s v="Sem TR"/>
    <n v="64808762"/>
    <s v="ZRDI"/>
    <n v="10088732"/>
    <n v="208"/>
    <s v="DEV-Atraso entrega- LOGISTICA(Transp)"/>
    <s v="TRANSPORTADORA"/>
    <x v="2"/>
    <n v="50120296"/>
    <x v="1455"/>
    <s v="SP"/>
    <n v="475"/>
    <s v="Site Consul"/>
    <n v="1352"/>
    <s v="W11199342"/>
    <s v="Filtros"/>
    <x v="5"/>
    <n v="1000"/>
    <n v="5002359"/>
    <s v="EMPRESA BRASILEIRA DE CORREIOS E"/>
    <n v="90.35"/>
    <d v="2025-07-10T00:00:00"/>
  </r>
  <r>
    <n v="254029264"/>
    <n v="64808770"/>
    <s v="ZRDI"/>
    <n v="10107585"/>
    <n v="208"/>
    <s v="DEV-Atraso entrega- LOGISTICA(Transp)"/>
    <s v="TRANSPORTADORA"/>
    <x v="2"/>
    <n v="56238972"/>
    <x v="1456"/>
    <s v="SP"/>
    <n v="475"/>
    <s v="Site Consul"/>
    <n v="1352"/>
    <s v="W11199342"/>
    <s v="Filtros"/>
    <x v="5"/>
    <n v="1000"/>
    <n v="5002359"/>
    <s v="EMPRESA BRASILEIRA DE CORREIOS E"/>
    <n v="90.35"/>
    <d v="2025-07-10T00:00:00"/>
  </r>
  <r>
    <s v="Sem TR"/>
    <n v="64810933"/>
    <s v="ZRDI"/>
    <n v="10132283"/>
    <s v="D31"/>
    <s v="DEV D2C - Defeito estético manufatura"/>
    <s v="MANUFATURA"/>
    <x v="2"/>
    <n v="50039134"/>
    <x v="1458"/>
    <s v="SP"/>
    <n v="475"/>
    <s v="Site Consul"/>
    <n v="1352"/>
    <s v="W11199342"/>
    <s v="Filtros"/>
    <x v="5"/>
    <n v="1000"/>
    <n v="5002359"/>
    <s v="EMPRESA BRASILEIRA DE CORREIOS E"/>
    <n v="90.35"/>
    <d v="2025-07-16T00:00:00"/>
  </r>
  <r>
    <s v="Sem TR"/>
    <n v="64811469"/>
    <s v="ZRDI"/>
    <n v="10081989"/>
    <n v="208"/>
    <s v="DEV-Atraso entrega- LOGISTICA(Transp)"/>
    <s v="TRANSPORTADORA"/>
    <x v="2"/>
    <n v="58080019"/>
    <x v="1459"/>
    <s v="SP"/>
    <n v="475"/>
    <s v="Site Consul"/>
    <n v="1352"/>
    <s v="W11199342"/>
    <s v="Filtros"/>
    <x v="5"/>
    <n v="1000"/>
    <n v="5002359"/>
    <s v="EMPRESA BRASILEIRA DE CORREIOS E"/>
    <n v="90.35"/>
    <d v="2025-07-16T00:00:00"/>
  </r>
  <r>
    <n v="254032541"/>
    <n v="64811495"/>
    <s v="ZRDI"/>
    <n v="10102097"/>
    <n v="208"/>
    <s v="DEV-Atraso entrega- LOGISTICA(Transp)"/>
    <s v="TRANSPORTADORA"/>
    <x v="2"/>
    <n v="51097937"/>
    <x v="1460"/>
    <s v="SP"/>
    <n v="475"/>
    <s v="Site Consul"/>
    <n v="1352"/>
    <s v="W11199342"/>
    <s v="Filtros"/>
    <x v="5"/>
    <n v="1000"/>
    <n v="5002359"/>
    <s v="EMPRESA BRASILEIRA DE CORREIOS E"/>
    <n v="90.35"/>
    <d v="2025-07-16T00:00:00"/>
  </r>
  <r>
    <n v="254032578"/>
    <n v="64811519"/>
    <s v="ZRDI"/>
    <n v="10109464"/>
    <n v="208"/>
    <s v="DEV-Atraso entrega- LOGISTICA(Transp)"/>
    <s v="TRANSPORTADORA"/>
    <x v="2"/>
    <n v="51439458"/>
    <x v="1461"/>
    <s v="SP"/>
    <n v="475"/>
    <s v="Site Consul"/>
    <n v="1352"/>
    <s v="W11199342"/>
    <s v="Filtros"/>
    <x v="5"/>
    <n v="1000"/>
    <n v="5002359"/>
    <s v="EMPRESA BRASILEIRA DE CORREIOS E"/>
    <n v="90.35"/>
    <d v="2025-07-16T00:00:00"/>
  </r>
  <r>
    <s v="Sem TR"/>
    <n v="64811529"/>
    <s v="ZRDI"/>
    <n v="10117288"/>
    <n v="208"/>
    <s v="DEV-Atraso entrega- LOGISTICA(Transp)"/>
    <s v="TRANSPORTADORA"/>
    <x v="2"/>
    <n v="55062073"/>
    <x v="1462"/>
    <s v="SP"/>
    <n v="475"/>
    <s v="Site Consul"/>
    <n v="1352"/>
    <s v="W10301562"/>
    <s v="Filtros"/>
    <x v="5"/>
    <n v="1000"/>
    <n v="5002359"/>
    <s v="EMPRESA BRASILEIRA DE CORREIOS E"/>
    <n v="90.35"/>
    <d v="2025-07-16T00:00:00"/>
  </r>
  <r>
    <n v="254033990"/>
    <n v="64812575"/>
    <s v="ZRDI"/>
    <n v="10121370"/>
    <n v="208"/>
    <s v="DEV-Atraso entrega- LOGISTICA(Transp)"/>
    <s v="TRANSPORTADORA"/>
    <x v="2"/>
    <n v="57777848"/>
    <x v="1464"/>
    <s v="SP"/>
    <n v="475"/>
    <s v="Site Consul"/>
    <n v="1352"/>
    <s v="W11199342"/>
    <s v="Filtros"/>
    <x v="5"/>
    <n v="1000"/>
    <n v="5002359"/>
    <s v="EMPRESA BRASILEIRA DE CORREIOS E"/>
    <n v="90.35"/>
    <d v="2025-07-17T00:00:00"/>
  </r>
  <r>
    <n v="254036638"/>
    <n v="64814534"/>
    <s v="ZRDI"/>
    <n v="10115941"/>
    <n v="208"/>
    <s v="DEV-Atraso entrega- LOGISTICA(Transp)"/>
    <s v="TRANSPORTADORA"/>
    <x v="2"/>
    <n v="55121798"/>
    <x v="1465"/>
    <s v="SP"/>
    <n v="475"/>
    <s v="Site Consul"/>
    <n v="1352"/>
    <s v="W11199342"/>
    <s v="Filtros"/>
    <x v="5"/>
    <n v="1000"/>
    <n v="5002359"/>
    <s v="EMPRESA BRASILEIRA DE CORREIOS E"/>
    <n v="90.35"/>
    <d v="2025-07-22T00:00:00"/>
  </r>
  <r>
    <n v="254037101"/>
    <n v="64815014"/>
    <s v="ZRDI"/>
    <n v="10141725"/>
    <n v="208"/>
    <s v="DEV-Atraso entrega- LOGISTICA(Transp)"/>
    <s v="TRANSPORTADORA"/>
    <x v="2"/>
    <n v="4339008"/>
    <x v="1466"/>
    <s v="SP"/>
    <n v="475"/>
    <s v="Site Consul"/>
    <n v="1352"/>
    <s v="W10301562"/>
    <s v="Filtros"/>
    <x v="5"/>
    <n v="1000"/>
    <n v="5002359"/>
    <s v="EMPRESA BRASILEIRA DE CORREIOS E"/>
    <n v="90.35"/>
    <d v="2025-07-22T00:00:00"/>
  </r>
  <r>
    <s v="Sem TR"/>
    <n v="64816398"/>
    <s v="ZRDI"/>
    <n v="10130144"/>
    <s v="D35"/>
    <s v="DEV D2C - Prod difere do comprado"/>
    <s v="COMERCIAL"/>
    <x v="2"/>
    <n v="55777010"/>
    <x v="1469"/>
    <s v="SP"/>
    <n v="475"/>
    <s v="Site Consul"/>
    <n v="1352"/>
    <s v="W11199342"/>
    <s v="Filtros"/>
    <x v="5"/>
    <n v="1000"/>
    <n v="5002359"/>
    <s v="EMPRESA BRASILEIRA DE CORREIOS E"/>
    <n v="90.35"/>
    <d v="2025-07-24T00:00:00"/>
  </r>
  <r>
    <s v="Sem TR"/>
    <n v="64817569"/>
    <s v="ZRDI"/>
    <n v="10150758"/>
    <s v="D10"/>
    <s v="DEV D2C - Comprou modelo errado"/>
    <s v="COMERCIAL"/>
    <x v="2"/>
    <n v="58178829"/>
    <x v="1467"/>
    <s v="SP"/>
    <n v="475"/>
    <s v="Site Consul"/>
    <n v="1352"/>
    <s v="W10301562"/>
    <s v="Filtros"/>
    <x v="5"/>
    <n v="1000"/>
    <n v="5002359"/>
    <s v="EMPRESA BRASILEIRA DE CORREIOS E"/>
    <n v="90.35"/>
    <d v="2025-07-25T00:00:00"/>
  </r>
  <r>
    <s v="Sem TR"/>
    <n v="64803856"/>
    <s v="ZRDI"/>
    <n v="10114213"/>
    <s v="D13"/>
    <s v="DEV D2C - Comprou prod qtde errada"/>
    <s v="COMERCIAL"/>
    <x v="2"/>
    <n v="57750881"/>
    <x v="1449"/>
    <s v="SP"/>
    <n v="475"/>
    <s v="Site Consul"/>
    <n v="1352"/>
    <s v="W11199342"/>
    <s v="Filtros"/>
    <x v="5"/>
    <n v="1000"/>
    <n v="5002359"/>
    <s v="EMPRESA BRASILEIRA DE CORREIOS E"/>
    <n v="90.35"/>
    <d v="2025-07-23T00:00:00"/>
  </r>
  <r>
    <s v="Sem TR"/>
    <n v="64810933"/>
    <s v="ZRDI"/>
    <n v="10132283"/>
    <s v="D31"/>
    <s v="DEV D2C - Defeito estético manufatura"/>
    <s v="MANUFATURA"/>
    <x v="2"/>
    <n v="50039134"/>
    <x v="1458"/>
    <s v="SP"/>
    <n v="475"/>
    <s v="Site Consul"/>
    <n v="1352"/>
    <s v="W11199342"/>
    <s v="Filtros"/>
    <x v="5"/>
    <n v="1000"/>
    <n v="5002359"/>
    <s v="EMPRESA BRASILEIRA DE CORREIOS E"/>
    <n v="90.35"/>
    <d v="2025-07-16T00:00:00"/>
  </r>
  <r>
    <n v="254037101"/>
    <n v="64815014"/>
    <s v="ZRDI"/>
    <n v="10141725"/>
    <n v="208"/>
    <s v="DEV-Atraso entrega- LOGISTICA(Transp)"/>
    <s v="TRANSPORTADORA"/>
    <x v="2"/>
    <n v="4339008"/>
    <x v="1466"/>
    <s v="SP"/>
    <n v="475"/>
    <s v="Site Consul"/>
    <n v="1352"/>
    <s v="W10301562"/>
    <s v="Filtros"/>
    <x v="5"/>
    <n v="1000"/>
    <n v="5002359"/>
    <s v="EMPRESA BRASILEIRA DE CORREIOS E"/>
    <n v="90.35"/>
    <d v="2025-07-22T00:00:00"/>
  </r>
  <r>
    <s v="Sem TR"/>
    <n v="64816398"/>
    <s v="ZRDI"/>
    <n v="10130144"/>
    <s v="D35"/>
    <s v="DEV D2C - Prod difere do comprado"/>
    <s v="COMERCIAL"/>
    <x v="2"/>
    <n v="55777010"/>
    <x v="1469"/>
    <s v="SP"/>
    <n v="475"/>
    <s v="Site Consul"/>
    <n v="1352"/>
    <s v="W11199342"/>
    <s v="Filtros"/>
    <x v="5"/>
    <n v="1000"/>
    <n v="5002359"/>
    <s v="EMPRESA BRASILEIRA DE CORREIOS E"/>
    <n v="90.35"/>
    <d v="2025-07-24T00:00:00"/>
  </r>
  <r>
    <s v="Sem TR"/>
    <n v="64817569"/>
    <s v="ZRDI"/>
    <n v="10150758"/>
    <s v="D10"/>
    <s v="DEV D2C - Comprou modelo errado"/>
    <s v="COMERCIAL"/>
    <x v="2"/>
    <n v="58178829"/>
    <x v="1467"/>
    <s v="SP"/>
    <n v="475"/>
    <s v="Site Consul"/>
    <n v="1352"/>
    <s v="W10301562"/>
    <s v="Filtros"/>
    <x v="5"/>
    <n v="1000"/>
    <n v="5002359"/>
    <s v="EMPRESA BRASILEIRA DE CORREIOS E"/>
    <n v="90.35"/>
    <d v="2025-07-25T00:00:00"/>
  </r>
  <r>
    <s v="Sem TR"/>
    <n v="64819073"/>
    <s v="ZRDI"/>
    <n v="10152301"/>
    <s v="D18"/>
    <s v="DEV D2C - Arrependimento não quero mais"/>
    <s v="COMERCIAL"/>
    <x v="1"/>
    <n v="55643367"/>
    <x v="1468"/>
    <s v="SP"/>
    <n v="475"/>
    <s v="Site Consul"/>
    <n v="1352"/>
    <s v="W11199342"/>
    <s v="Filtros"/>
    <x v="5"/>
    <n v="1000"/>
    <n v="5002359"/>
    <s v="EMPRESA BRASILEIRA DE CORREIOS E"/>
    <n v="90.35"/>
    <d v="2025-07-29T00:00:00"/>
  </r>
  <r>
    <n v="253882974"/>
    <n v="64649909"/>
    <s v="REB"/>
    <n v="9667277"/>
    <n v="173"/>
    <s v="PEÇAS - Defeito de fabric./Alta Amperage"/>
    <s v="FUNCIONAL"/>
    <x v="1"/>
    <n v="3236"/>
    <x v="45"/>
    <s v="SP"/>
    <n v="931"/>
    <s v="Ats Off"/>
    <n v="1350"/>
    <s v="W10810355"/>
    <s v="Válvulas de Segurança"/>
    <x v="12"/>
    <n v="1000"/>
    <n v="5003254"/>
    <s v="TMA TRANSPORTE LOTACAO E LOGISTICA"/>
    <n v="90.34"/>
    <d v="2024-11-21T00:00:00"/>
  </r>
  <r>
    <n v="254029247"/>
    <n v="64808760"/>
    <s v="ZRDI"/>
    <n v="10082014"/>
    <n v="208"/>
    <s v="DEV-Atraso entrega- LOGISTICA(Transp)"/>
    <s v="TRANSPORTADORA"/>
    <x v="2"/>
    <n v="50606764"/>
    <x v="1470"/>
    <s v="ES"/>
    <n v="475"/>
    <s v="Site Consul"/>
    <n v="1352"/>
    <s v="W11509386"/>
    <s v="Filtros"/>
    <x v="5"/>
    <n v="1000"/>
    <n v="5002359"/>
    <s v="EMPRESA BRASILEIRA DE CORREIOS E"/>
    <n v="90.31"/>
    <d v="2025-07-10T00:00:00"/>
  </r>
  <r>
    <n v="254029247"/>
    <n v="64808760"/>
    <s v="ZRDI"/>
    <n v="10082014"/>
    <n v="208"/>
    <s v="DEV-Atraso entrega- LOGISTICA(Transp)"/>
    <s v="TRANSPORTADORA"/>
    <x v="2"/>
    <n v="50606764"/>
    <x v="1470"/>
    <s v="ES"/>
    <n v="475"/>
    <s v="Site Consul"/>
    <n v="1352"/>
    <s v="W11509386"/>
    <s v="Filtros"/>
    <x v="5"/>
    <n v="1000"/>
    <n v="5002359"/>
    <s v="EMPRESA BRASILEIRA DE CORREIOS E"/>
    <n v="90.29"/>
    <d v="2025-07-10T00:00:00"/>
  </r>
  <r>
    <n v="254032535"/>
    <n v="64811489"/>
    <s v="ZRDI"/>
    <n v="10098444"/>
    <n v="208"/>
    <s v="DEV-Atraso entrega- LOGISTICA(Transp)"/>
    <s v="TRANSPORTADORA"/>
    <x v="2"/>
    <n v="53618827"/>
    <x v="1471"/>
    <s v="PR"/>
    <n v="475"/>
    <s v="Site Consul"/>
    <n v="1352"/>
    <s v="W10515645"/>
    <s v="Filtros"/>
    <x v="5"/>
    <n v="2000"/>
    <n v="5002359"/>
    <s v="EMPRESA BRASILEIRA DE CORREIOS E"/>
    <n v="90.28"/>
    <d v="2025-07-16T00:00:00"/>
  </r>
  <r>
    <s v="Sem TR"/>
    <n v="64797130"/>
    <s v="ZRDI"/>
    <n v="10066247"/>
    <s v="D10"/>
    <s v="DEV D2C - Comprou modelo errado"/>
    <s v="COMERCIAL"/>
    <x v="2"/>
    <n v="58061683"/>
    <x v="1035"/>
    <s v="SP"/>
    <n v="474"/>
    <s v="Site Brastemp"/>
    <n v="1352"/>
    <s v="W11107297"/>
    <s v="Termostatos"/>
    <x v="3"/>
    <n v="1000"/>
    <n v="5002359"/>
    <s v="EMPRESA BRASILEIRA DE CORREIOS E"/>
    <n v="90.21"/>
    <d v="2025-06-25T00:00:00"/>
  </r>
  <r>
    <n v="254018351"/>
    <n v="64792404"/>
    <s v="REB"/>
    <n v="9977705"/>
    <n v="173"/>
    <s v="PEÇAS - Defeito de fabric./Alta Amperage"/>
    <s v="FUNCIONAL"/>
    <x v="2"/>
    <n v="69166"/>
    <x v="129"/>
    <s v="RJ"/>
    <n v="931"/>
    <s v="Ats Off"/>
    <n v="1350"/>
    <s v="W10810355"/>
    <s v="Válvulas de Segurança"/>
    <x v="12"/>
    <n v="1000"/>
    <n v="5003176"/>
    <s v="J C THEDIN TRANSPORTES LTDA"/>
    <n v="90.09"/>
    <d v="2025-06-16T00:00:00"/>
  </r>
  <r>
    <s v="Sem TR"/>
    <n v="64806419"/>
    <s v="ZRDI"/>
    <n v="10062841"/>
    <s v="D10"/>
    <s v="DEV D2C - Comprou modelo errado"/>
    <s v="COMERCIAL"/>
    <x v="2"/>
    <n v="52620415"/>
    <x v="1472"/>
    <s v="SP"/>
    <n v="474"/>
    <s v="Site Brastemp"/>
    <n v="1352"/>
    <s v="W10509294"/>
    <s v="Puxadores"/>
    <x v="6"/>
    <n v="1000"/>
    <n v="5002359"/>
    <s v="EMPRESA BRASILEIRA DE CORREIOS E"/>
    <n v="90.07"/>
    <d v="2025-07-07T00:00:00"/>
  </r>
  <r>
    <n v="254042082"/>
    <n v="64795828"/>
    <s v="REB"/>
    <n v="10016726"/>
    <n v="176"/>
    <s v="PEÇAS - Defeito de fabric./Interrompido"/>
    <s v="FUNCIONAL"/>
    <x v="0"/>
    <n v="64522"/>
    <x v="158"/>
    <s v="SP"/>
    <n v="643"/>
    <s v="Elite"/>
    <n v="1350"/>
    <s v="W11023460"/>
    <s v="Placas de Controle"/>
    <x v="1"/>
    <n v="1000"/>
    <n v="5004042"/>
    <s v="BRASIL WEB TRANSPORTES E LOGISTICA"/>
    <n v="90.06"/>
    <d v="2025-06-23T00:00:00"/>
  </r>
  <r>
    <n v="254024158"/>
    <n v="64803860"/>
    <s v="ZRDI"/>
    <n v="10102485"/>
    <n v="208"/>
    <s v="DEV-Atraso entrega- LOGISTICA(Transp)"/>
    <s v="TRANSPORTADORA"/>
    <x v="2"/>
    <n v="58114281"/>
    <x v="803"/>
    <s v="SP"/>
    <n v="475"/>
    <s v="Site Consul"/>
    <n v="1352"/>
    <s v="W11199342"/>
    <s v="Filtros"/>
    <x v="5"/>
    <n v="1000"/>
    <n v="5002359"/>
    <s v="EMPRESA BRASILEIRA DE CORREIOS E"/>
    <n v="90.04"/>
    <d v="2025-07-01T00:00:00"/>
  </r>
  <r>
    <n v="254024158"/>
    <n v="64803860"/>
    <s v="ZRDI"/>
    <n v="10102485"/>
    <n v="208"/>
    <s v="DEV-Atraso entrega- LOGISTICA(Transp)"/>
    <s v="TRANSPORTADORA"/>
    <x v="2"/>
    <n v="58114281"/>
    <x v="803"/>
    <s v="SP"/>
    <n v="475"/>
    <s v="Site Consul"/>
    <n v="1352"/>
    <s v="W11199342"/>
    <s v="Filtros"/>
    <x v="5"/>
    <n v="1000"/>
    <n v="5002359"/>
    <s v="EMPRESA BRASILEIRA DE CORREIOS E"/>
    <n v="90.04"/>
    <d v="2025-07-01T00:00:00"/>
  </r>
  <r>
    <n v="253971452"/>
    <n v="64749878"/>
    <s v="ROB"/>
    <n v="50318"/>
    <n v="205"/>
    <s v="DEV-Desacordo c/pedido-LOGISTICA(Transp)"/>
    <s v="TRANSPORTADORA"/>
    <x v="2"/>
    <n v="26272"/>
    <x v="467"/>
    <s v="MA"/>
    <n v="350"/>
    <s v="Ats On"/>
    <n v="1550"/>
    <s v="W10531315"/>
    <s v="Sensores"/>
    <x v="3"/>
    <n v="10000"/>
    <n v="5000253"/>
    <s v="TRANSPORTADOR GENERICO"/>
    <n v="89.99"/>
    <d v="2025-04-10T00:00:00"/>
  </r>
  <r>
    <n v="253992713"/>
    <n v="64758127"/>
    <s v="REB"/>
    <n v="9993602"/>
    <n v="90"/>
    <s v="CLIENTE-não solicitou"/>
    <s v="COMERCIAL"/>
    <x v="2"/>
    <n v="22985"/>
    <x v="247"/>
    <s v="SC"/>
    <n v="641"/>
    <s v="CDP Diamante"/>
    <n v="1350"/>
    <s v="W10221096"/>
    <s v="Portas"/>
    <x v="6"/>
    <n v="1000"/>
    <n v="5003024"/>
    <s v="RODOBRAS TRANSPORTES RODOVIARIOS LT"/>
    <n v="89.93"/>
    <d v="2025-05-12T00:00:00"/>
  </r>
  <r>
    <s v="Sem TR"/>
    <n v="64799556"/>
    <s v="ZRDI"/>
    <n v="10084244"/>
    <s v="D15"/>
    <s v="DEV D2C - Arrependimento modelo comprado"/>
    <s v="COMERCIAL"/>
    <x v="2"/>
    <n v="58084656"/>
    <x v="1473"/>
    <s v="PR"/>
    <n v="474"/>
    <s v="Site Brastemp"/>
    <n v="1352"/>
    <s v="W10754676"/>
    <s v="Suportes"/>
    <x v="6"/>
    <n v="1000"/>
    <n v="5002359"/>
    <s v="EMPRESA BRASILEIRA DE CORREIOS E"/>
    <n v="89.92"/>
    <d v="2025-06-27T00:00:00"/>
  </r>
  <r>
    <n v="254042294"/>
    <n v="64796189"/>
    <s v="REB"/>
    <n v="10053463"/>
    <n v="176"/>
    <s v="PEÇAS - Defeito de fabric./Interrompido"/>
    <s v="FUNCIONAL"/>
    <x v="0"/>
    <n v="14474"/>
    <x v="25"/>
    <s v="RN"/>
    <n v="648"/>
    <s v="Ultra"/>
    <n v="1350"/>
    <s v="W11396188"/>
    <s v="Placas de Interface"/>
    <x v="1"/>
    <n v="1000"/>
    <n v="5004101"/>
    <s v="UNIDOCK'S ASSESSORIA E LOGISTICA DE"/>
    <n v="89.81"/>
    <d v="2025-06-23T00:00:00"/>
  </r>
  <r>
    <n v="253953815"/>
    <n v="64731929"/>
    <s v="REB"/>
    <n v="9897195"/>
    <n v="90"/>
    <s v="CLIENTE-não solicitou"/>
    <s v="COMERCIAL"/>
    <x v="2"/>
    <n v="44762"/>
    <x v="1474"/>
    <s v="SP"/>
    <n v="641"/>
    <s v="CDP Diamante"/>
    <n v="1350"/>
    <s v="W11340292"/>
    <s v="Embalagens Plásticas"/>
    <x v="11"/>
    <n v="1000"/>
    <n v="5004042"/>
    <s v="BRASIL WEB TRANSPORTES E LOGISTICA"/>
    <n v="89.76"/>
    <d v="2025-03-14T00:00:00"/>
  </r>
  <r>
    <s v="Sem TR"/>
    <n v="64798357"/>
    <s v="ZRDI"/>
    <n v="10067796"/>
    <n v="25"/>
    <s v="OC. 80 - EXTRAVIO TOTAL"/>
    <s v="TRANSPORTADORA"/>
    <x v="2"/>
    <n v="54728860"/>
    <x v="1475"/>
    <s v="SP"/>
    <n v="475"/>
    <s v="Site Consul"/>
    <n v="1352"/>
    <s v="W10301562"/>
    <s v="Filtros"/>
    <x v="5"/>
    <n v="1000"/>
    <n v="5002359"/>
    <s v="EMPRESA BRASILEIRA DE CORREIOS E"/>
    <n v="89.76"/>
    <d v="2025-06-28T00:00:00"/>
  </r>
  <r>
    <n v="254030024"/>
    <n v="64809501"/>
    <s v="ZRDI"/>
    <n v="10117883"/>
    <n v="208"/>
    <s v="DEV-Atraso entrega- LOGISTICA(Transp)"/>
    <s v="TRANSPORTADORA"/>
    <x v="2"/>
    <n v="54217505"/>
    <x v="750"/>
    <s v="MG"/>
    <n v="474"/>
    <s v="Site Brastemp"/>
    <n v="1352"/>
    <s v="W10628498"/>
    <s v="Kits Transformação"/>
    <x v="12"/>
    <n v="1000"/>
    <n v="5002359"/>
    <s v="EMPRESA BRASILEIRA DE CORREIOS E"/>
    <n v="89.76"/>
    <d v="2025-07-11T00:00:00"/>
  </r>
  <r>
    <s v="Sem TR"/>
    <n v="64798357"/>
    <s v="ZRDI"/>
    <n v="10067796"/>
    <n v="25"/>
    <s v="OC. 80 - EXTRAVIO TOTAL"/>
    <s v="TRANSPORTADORA"/>
    <x v="2"/>
    <n v="54728860"/>
    <x v="1475"/>
    <s v="SP"/>
    <n v="475"/>
    <s v="Site Consul"/>
    <n v="1352"/>
    <s v="W10301562"/>
    <s v="Filtros"/>
    <x v="5"/>
    <n v="1000"/>
    <n v="5002359"/>
    <s v="EMPRESA BRASILEIRA DE CORREIOS E"/>
    <n v="89.76"/>
    <d v="2025-06-28T00:00:00"/>
  </r>
  <r>
    <n v="254004052"/>
    <n v="64777823"/>
    <s v="REB"/>
    <n v="10036691"/>
    <n v="167"/>
    <s v="PEÇAS - Avaria - Quebrada/Depósito"/>
    <s v="LOGÍSTICA"/>
    <x v="2"/>
    <n v="76076"/>
    <x v="449"/>
    <s v="RS"/>
    <n v="931"/>
    <s v="Ats Off"/>
    <n v="1350"/>
    <s v="W10160090"/>
    <s v="Pratos Giratórios"/>
    <x v="6"/>
    <n v="1000"/>
    <n v="5003024"/>
    <s v="RODOBRAS TRANSPORTES RODOVIARIOS LT"/>
    <n v="89.75"/>
    <d v="2025-05-26T00:00:00"/>
  </r>
  <r>
    <n v="254032628"/>
    <n v="64811536"/>
    <s v="ZRDI"/>
    <n v="10126043"/>
    <n v="208"/>
    <s v="DEV-Atraso entrega- LOGISTICA(Transp)"/>
    <s v="TRANSPORTADORA"/>
    <x v="2"/>
    <n v="54776501"/>
    <x v="807"/>
    <s v="RJ"/>
    <n v="475"/>
    <s v="Site Consul"/>
    <n v="1352"/>
    <s v="W11199342"/>
    <s v="Filtros"/>
    <x v="5"/>
    <n v="1000"/>
    <n v="5002359"/>
    <s v="EMPRESA BRASILEIRA DE CORREIOS E"/>
    <n v="89.74"/>
    <d v="2025-07-16T00:00:00"/>
  </r>
  <r>
    <n v="254034003"/>
    <n v="64812602"/>
    <s v="ZRDI"/>
    <n v="10130154"/>
    <n v="208"/>
    <s v="DEV-Atraso entrega- LOGISTICA(Transp)"/>
    <s v="TRANSPORTADORA"/>
    <x v="2"/>
    <n v="56072799"/>
    <x v="808"/>
    <s v="RJ"/>
    <n v="475"/>
    <s v="Site Consul"/>
    <n v="1352"/>
    <s v="W11199342"/>
    <s v="Filtros"/>
    <x v="5"/>
    <n v="1000"/>
    <n v="5002359"/>
    <s v="EMPRESA BRASILEIRA DE CORREIOS E"/>
    <n v="89.74"/>
    <d v="2025-07-17T00:00:00"/>
  </r>
  <r>
    <n v="254034003"/>
    <n v="64812602"/>
    <s v="ZRDI"/>
    <n v="10130154"/>
    <n v="208"/>
    <s v="DEV-Atraso entrega- LOGISTICA(Transp)"/>
    <s v="TRANSPORTADORA"/>
    <x v="2"/>
    <n v="56072799"/>
    <x v="808"/>
    <s v="RJ"/>
    <n v="475"/>
    <s v="Site Consul"/>
    <n v="1352"/>
    <s v="W11199342"/>
    <s v="Filtros"/>
    <x v="5"/>
    <n v="1000"/>
    <n v="5002359"/>
    <s v="EMPRESA BRASILEIRA DE CORREIOS E"/>
    <n v="89.74"/>
    <d v="2025-07-17T00:00:00"/>
  </r>
  <r>
    <n v="253851702"/>
    <n v="64624934"/>
    <s v="REB"/>
    <n v="9223892"/>
    <n v="176"/>
    <s v="PEÇAS - Defeito de fabric./Interrompido"/>
    <s v="FUNCIONAL"/>
    <x v="1"/>
    <n v="56605"/>
    <x v="268"/>
    <s v="AL"/>
    <n v="644"/>
    <s v="Plus"/>
    <n v="1350"/>
    <s v="W10632495"/>
    <s v="Placas de Controle"/>
    <x v="1"/>
    <n v="1000"/>
    <n v="5004101"/>
    <s v="UNIDOCK'S ASSESSORIA E LOGISTICA DE"/>
    <n v="89.74"/>
    <d v="2024-10-09T00:00:00"/>
  </r>
  <r>
    <s v="Sem TR"/>
    <n v="64820349"/>
    <s v="ZRDI"/>
    <n v="10152001"/>
    <s v="D10"/>
    <s v="DEV D2C - Comprou modelo errado"/>
    <s v="COMERCIAL"/>
    <x v="1"/>
    <n v="51555498"/>
    <x v="1476"/>
    <s v="SP"/>
    <n v="475"/>
    <s v="Site Consul"/>
    <n v="1352"/>
    <s v="W11509386"/>
    <s v="Filtros"/>
    <x v="5"/>
    <n v="1000"/>
    <n v="5002359"/>
    <s v="EMPRESA BRASILEIRA DE CORREIOS E"/>
    <n v="89.66"/>
    <d v="2025-07-30T00:00:00"/>
  </r>
  <r>
    <s v="Sem TR"/>
    <n v="64820349"/>
    <s v="ZRDI"/>
    <n v="10152001"/>
    <s v="D10"/>
    <s v="DEV D2C - Comprou modelo errado"/>
    <s v="COMERCIAL"/>
    <x v="1"/>
    <n v="51555498"/>
    <x v="1476"/>
    <s v="SP"/>
    <n v="475"/>
    <s v="Site Consul"/>
    <n v="1352"/>
    <s v="W11509386"/>
    <s v="Filtros"/>
    <x v="5"/>
    <n v="1000"/>
    <n v="5002359"/>
    <s v="EMPRESA BRASILEIRA DE CORREIOS E"/>
    <n v="89.65"/>
    <d v="2025-07-30T00:00:00"/>
  </r>
  <r>
    <s v="Sem TR"/>
    <n v="64775180"/>
    <s v="REB"/>
    <n v="10022130"/>
    <n v="509"/>
    <s v="Qtd de peças a Menor dentro do Volume"/>
    <s v="LOGÍSTICA"/>
    <x v="1"/>
    <n v="80834"/>
    <x v="346"/>
    <s v="RO"/>
    <n v="934"/>
    <s v="CDP Ouro"/>
    <n v="1350"/>
    <s v="W10897149"/>
    <s v="Rolamentos"/>
    <x v="2"/>
    <n v="10000"/>
    <n v="5002359"/>
    <s v="EMPRESA BRASILEIRA DE CORREIOS E"/>
    <n v="89.6"/>
    <d v="2025-05-26T00:00:00"/>
  </r>
  <r>
    <n v="254033951"/>
    <n v="64812510"/>
    <s v="ZRDI"/>
    <n v="10099994"/>
    <n v="208"/>
    <s v="DEV-Atraso entrega- LOGISTICA(Transp)"/>
    <s v="TRANSPORTADORA"/>
    <x v="2"/>
    <n v="58103823"/>
    <x v="611"/>
    <s v="RN"/>
    <n v="474"/>
    <s v="Site Brastemp"/>
    <n v="1352"/>
    <s v="W11100357"/>
    <s v="Tubos Queima"/>
    <x v="12"/>
    <n v="1000"/>
    <n v="5002359"/>
    <s v="EMPRESA BRASILEIRA DE CORREIOS E"/>
    <n v="89.58"/>
    <d v="2025-07-17T00:00:00"/>
  </r>
  <r>
    <n v="254033951"/>
    <n v="64812510"/>
    <s v="ZRDI"/>
    <n v="10099994"/>
    <n v="208"/>
    <s v="DEV-Atraso entrega- LOGISTICA(Transp)"/>
    <s v="TRANSPORTADORA"/>
    <x v="2"/>
    <n v="58103823"/>
    <x v="611"/>
    <s v="RN"/>
    <n v="474"/>
    <s v="Site Brastemp"/>
    <n v="1352"/>
    <s v="W11100357"/>
    <s v="Tubos Queima"/>
    <x v="12"/>
    <n v="1000"/>
    <n v="5002359"/>
    <s v="EMPRESA BRASILEIRA DE CORREIOS E"/>
    <n v="89.58"/>
    <d v="2025-07-17T00:00:00"/>
  </r>
  <r>
    <s v="Sem TR"/>
    <n v="64818538"/>
    <s v="ZRDI"/>
    <n v="10153030"/>
    <s v="D10"/>
    <s v="DEV D2C - Comprou modelo errado"/>
    <s v="COMERCIAL"/>
    <x v="1"/>
    <n v="55817239"/>
    <x v="1477"/>
    <s v="SP"/>
    <n v="474"/>
    <s v="Site Brastemp"/>
    <n v="1352"/>
    <s v="W11128951"/>
    <s v="Válvulas de Segurança"/>
    <x v="12"/>
    <n v="1000"/>
    <n v="5002359"/>
    <s v="EMPRESA BRASILEIRA DE CORREIOS E"/>
    <n v="89.52"/>
    <d v="2025-07-29T00:00:00"/>
  </r>
  <r>
    <n v="254003930"/>
    <n v="64776252"/>
    <s v="REB"/>
    <n v="9852024"/>
    <n v="173"/>
    <s v="PEÇAS - Defeito de fabric./Alta Amperage"/>
    <s v="FUNCIONAL"/>
    <x v="1"/>
    <n v="29164"/>
    <x v="32"/>
    <s v="BA"/>
    <n v="648"/>
    <s v="Ultra"/>
    <n v="1350"/>
    <s v="W11299803"/>
    <s v="Mecanismos"/>
    <x v="2"/>
    <n v="1000"/>
    <n v="5004101"/>
    <s v="UNIDOCK'S ASSESSORIA E LOGISTICA DE"/>
    <n v="89.51"/>
    <d v="2025-05-26T00:00:00"/>
  </r>
  <r>
    <n v="253952491"/>
    <n v="64726417"/>
    <s v="REB"/>
    <n v="9841475"/>
    <n v="173"/>
    <s v="PEÇAS - Defeito de fabric./Alta Amperage"/>
    <s v="FUNCIONAL"/>
    <x v="2"/>
    <n v="75812"/>
    <x v="102"/>
    <s v="SP"/>
    <n v="931"/>
    <s v="Ats Off"/>
    <n v="1350"/>
    <s v="W11352536"/>
    <s v="Placas de Controle"/>
    <x v="1"/>
    <n v="1000"/>
    <n v="5004042"/>
    <s v="BRASIL WEB TRANSPORTES E LOGISTICA"/>
    <n v="89.48"/>
    <d v="2025-03-08T00:00:00"/>
  </r>
  <r>
    <s v="Sem TR"/>
    <n v="64813060"/>
    <s v="REB"/>
    <n v="10122625"/>
    <n v="167"/>
    <s v="PEÇAS - Avaria - Quebrada/Depósito"/>
    <s v="LOGÍSTICA"/>
    <x v="1"/>
    <n v="32265"/>
    <x v="519"/>
    <s v="PB"/>
    <n v="934"/>
    <s v="CDP Ouro"/>
    <n v="1350"/>
    <s v="W11201322"/>
    <s v="Prateleiras"/>
    <x v="9"/>
    <n v="1000"/>
    <n v="5004101"/>
    <s v="UNIDOCK'S ASSESSORIA E LOGISTICA DE"/>
    <n v="89.46"/>
    <d v="2025-07-22T00:00:00"/>
  </r>
  <r>
    <n v="253926838"/>
    <n v="64700450"/>
    <s v="REB"/>
    <n v="9838083"/>
    <n v="104"/>
    <s v="PEÇAS-Código trocado(embalag X conteúdo)"/>
    <s v="LOGÍSTICA"/>
    <x v="1"/>
    <n v="3236"/>
    <x v="45"/>
    <s v="SP"/>
    <n v="931"/>
    <s v="Ats Off"/>
    <n v="1350"/>
    <s v="W10666549"/>
    <s v="Gaxetas"/>
    <x v="4"/>
    <n v="1000"/>
    <n v="5003254"/>
    <s v="TMA TRANSPORTE LOTACAO E LOGISTICA"/>
    <n v="89.46"/>
    <d v="2025-01-27T00:00:00"/>
  </r>
  <r>
    <s v="Sem TR"/>
    <n v="64802340"/>
    <s v="ZRDI"/>
    <n v="10082569"/>
    <s v="D31"/>
    <s v="DEV D2C - Defeito estético manufatura"/>
    <s v="MANUFATURA"/>
    <x v="2"/>
    <n v="55283564"/>
    <x v="1034"/>
    <s v="MG"/>
    <n v="475"/>
    <s v="Site Consul"/>
    <n v="1352"/>
    <s v="W10169457"/>
    <s v="Prateleiras"/>
    <x v="9"/>
    <n v="1000"/>
    <n v="5002359"/>
    <s v="EMPRESA BRASILEIRA DE CORREIOS E"/>
    <n v="89.36"/>
    <d v="2025-07-01T00:00:00"/>
  </r>
  <r>
    <s v="Sem TR"/>
    <n v="64768431"/>
    <s v="ROB"/>
    <n v="50605"/>
    <n v="671"/>
    <s v="DEV-ENVIADO PARA GESTÃO DE CONSEQUENCIA"/>
    <s v="TRANSPORTADORA"/>
    <x v="2"/>
    <n v="84691"/>
    <x v="1478"/>
    <s v="PI"/>
    <n v="932"/>
    <s v="CDP Prata"/>
    <n v="1550"/>
    <s v="W10531315"/>
    <s v="Sensores"/>
    <x v="3"/>
    <n v="10000"/>
    <n v="5004391"/>
    <s v="JEONCEL TRANSPORTES LTDA"/>
    <n v="89.35"/>
    <d v="2025-05-12T00:00:00"/>
  </r>
  <r>
    <s v="Sem TR"/>
    <n v="64797820"/>
    <s v="ZRDI"/>
    <n v="10099595"/>
    <s v="D35"/>
    <s v="DEV D2C - Prod difere do comprado"/>
    <s v="COMERCIAL"/>
    <x v="2"/>
    <n v="52011451"/>
    <x v="621"/>
    <s v="SP"/>
    <n v="474"/>
    <s v="Site Brastemp"/>
    <n v="1352"/>
    <s v="W11100357"/>
    <s v="Tubos Queima"/>
    <x v="12"/>
    <n v="1000"/>
    <n v="5002359"/>
    <s v="EMPRESA BRASILEIRA DE CORREIOS E"/>
    <n v="89.28"/>
    <d v="2025-06-26T00:00:00"/>
  </r>
  <r>
    <s v="Sem TR"/>
    <n v="64815710"/>
    <s v="ZRDI"/>
    <n v="10116103"/>
    <s v="D18"/>
    <s v="DEV D2C - Arrependimento não quero mais"/>
    <s v="COMERCIAL"/>
    <x v="2"/>
    <n v="54530108"/>
    <x v="1089"/>
    <s v="RS"/>
    <n v="474"/>
    <s v="Site Brastemp"/>
    <n v="1352"/>
    <s v="W10509297"/>
    <s v="Puxadores"/>
    <x v="6"/>
    <n v="1000"/>
    <n v="5002359"/>
    <s v="EMPRESA BRASILEIRA DE CORREIOS E"/>
    <n v="89.28"/>
    <d v="2025-07-25T00:00:00"/>
  </r>
  <r>
    <s v="Sem TR"/>
    <n v="64815710"/>
    <s v="ZRDI"/>
    <n v="10116103"/>
    <s v="D18"/>
    <s v="DEV D2C - Arrependimento não quero mais"/>
    <s v="COMERCIAL"/>
    <x v="2"/>
    <n v="54530108"/>
    <x v="1089"/>
    <s v="RS"/>
    <n v="474"/>
    <s v="Site Brastemp"/>
    <n v="1352"/>
    <s v="W10509297"/>
    <s v="Puxadores"/>
    <x v="6"/>
    <n v="1000"/>
    <n v="5002359"/>
    <s v="EMPRESA BRASILEIRA DE CORREIOS E"/>
    <n v="89.28"/>
    <d v="2025-07-25T00:00:00"/>
  </r>
  <r>
    <n v="253846718"/>
    <n v="64617499"/>
    <s v="REB"/>
    <n v="8583318"/>
    <n v="173"/>
    <s v="PEÇAS - Defeito de fabric./Alta Amperage"/>
    <s v="FUNCIONAL"/>
    <x v="2"/>
    <n v="80573"/>
    <x v="186"/>
    <s v="MA"/>
    <n v="643"/>
    <s v="Elite"/>
    <n v="1350"/>
    <s v="W10810088"/>
    <s v="Motores Ventiladores"/>
    <x v="1"/>
    <n v="1000"/>
    <n v="5004101"/>
    <s v="UNIDOCK'S ASSESSORIA E LOGISTICA DE"/>
    <n v="89.22"/>
    <d v="2024-09-26T00:00:00"/>
  </r>
  <r>
    <n v="253915560"/>
    <n v="64687662"/>
    <s v="REB"/>
    <n v="9645282"/>
    <n v="176"/>
    <s v="PEÇAS - Defeito de fabric./Interrompido"/>
    <s v="FUNCIONAL"/>
    <x v="1"/>
    <n v="14474"/>
    <x v="25"/>
    <s v="RN"/>
    <n v="643"/>
    <s v="Elite"/>
    <n v="1350"/>
    <s v="W11307524"/>
    <s v="Placas de Interface"/>
    <x v="1"/>
    <n v="1000"/>
    <n v="5004101"/>
    <s v="UNIDOCK'S ASSESSORIA E LOGISTICA DE"/>
    <n v="89.14"/>
    <d v="2025-01-09T00:00:00"/>
  </r>
  <r>
    <n v="254018207"/>
    <n v="64792329"/>
    <s v="REB"/>
    <n v="10066366"/>
    <n v="167"/>
    <s v="PEÇAS - Avaria - Quebrada/Depósito"/>
    <s v="LOGÍSTICA"/>
    <x v="1"/>
    <n v="8975"/>
    <x v="90"/>
    <s v="MA"/>
    <n v="931"/>
    <s v="Ats Off"/>
    <n v="1350"/>
    <s v="W11298039"/>
    <s v="Gavetas"/>
    <x v="9"/>
    <n v="1000"/>
    <n v="5004101"/>
    <s v="UNIDOCK'S ASSESSORIA E LOGISTICA DE"/>
    <n v="89.11"/>
    <d v="2025-06-16T00:00:00"/>
  </r>
  <r>
    <n v="253913161"/>
    <n v="64684598"/>
    <s v="REB"/>
    <n v="9354512"/>
    <n v="173"/>
    <s v="PEÇAS - Defeito de fabric./Alta Amperage"/>
    <s v="FUNCIONAL"/>
    <x v="1"/>
    <n v="63300"/>
    <x v="17"/>
    <s v="MG"/>
    <n v="643"/>
    <s v="Elite"/>
    <n v="1350"/>
    <s v="W10257451"/>
    <s v="Termostatos"/>
    <x v="3"/>
    <n v="1000"/>
    <n v="5004215"/>
    <s v="BRASIL WEB TRANSPORTES E LOGISTICA"/>
    <n v="89.06"/>
    <d v="2025-01-06T00:00:00"/>
  </r>
  <r>
    <n v="253992766"/>
    <n v="64768206"/>
    <s v="REB"/>
    <n v="9650295"/>
    <n v="173"/>
    <s v="PEÇAS - Defeito de fabric./Alta Amperage"/>
    <s v="FUNCIONAL"/>
    <x v="2"/>
    <n v="73003"/>
    <x v="294"/>
    <s v="SC"/>
    <n v="931"/>
    <s v="Ats Off"/>
    <n v="1350"/>
    <s v="W11299803"/>
    <s v="Mecanismos"/>
    <x v="2"/>
    <n v="1000"/>
    <n v="5003024"/>
    <s v="RODOBRAS TRANSPORTES RODOVIARIOS LT"/>
    <n v="88.93"/>
    <d v="2025-05-12T00:00:00"/>
  </r>
  <r>
    <n v="254042327"/>
    <n v="64796118"/>
    <s v="REB"/>
    <n v="10081315"/>
    <n v="176"/>
    <s v="PEÇAS - Defeito de fabric./Interrompido"/>
    <s v="FUNCIONAL"/>
    <x v="0"/>
    <n v="30847"/>
    <x v="87"/>
    <s v="SP"/>
    <n v="644"/>
    <s v="Plus"/>
    <n v="1350"/>
    <s v="W11656030"/>
    <s v="Placas de Controle"/>
    <x v="1"/>
    <n v="1000"/>
    <n v="5004042"/>
    <s v="BRASIL WEB TRANSPORTES E LOGISTICA"/>
    <n v="88.91"/>
    <d v="2025-06-23T00:00:00"/>
  </r>
  <r>
    <s v="Sem TR"/>
    <n v="64815003"/>
    <s v="ZRDI"/>
    <n v="10094338"/>
    <s v="D31"/>
    <s v="DEV D2C - Defeito estético manufatura"/>
    <s v="MANUFATURA"/>
    <x v="1"/>
    <n v="57812540"/>
    <x v="1479"/>
    <s v="GO"/>
    <n v="475"/>
    <s v="Site Consul"/>
    <n v="1352"/>
    <s v="W10169457"/>
    <s v="Prateleiras"/>
    <x v="9"/>
    <n v="1000"/>
    <n v="5002359"/>
    <s v="EMPRESA BRASILEIRA DE CORREIOS E"/>
    <n v="88.77"/>
    <d v="2025-07-29T00:00:00"/>
  </r>
  <r>
    <s v="Sem TR"/>
    <n v="64812666"/>
    <s v="REB"/>
    <n v="9627408"/>
    <n v="173"/>
    <s v="PEÇAS - Defeito de fabric./Alta Amperage"/>
    <s v="FUNCIONAL"/>
    <x v="1"/>
    <n v="67948"/>
    <x v="15"/>
    <s v="SC"/>
    <n v="713"/>
    <s v="Key Account"/>
    <n v="1350"/>
    <s v="W11307524"/>
    <s v="Placas de Interface"/>
    <x v="1"/>
    <n v="1000"/>
    <n v="5003024"/>
    <s v="RODOBRAS TRANSPORTES RODOVIARIOS LT"/>
    <n v="88.76"/>
    <d v="2025-07-25T00:00:00"/>
  </r>
  <r>
    <n v="253952426"/>
    <n v="64727639"/>
    <s v="REB"/>
    <n v="9835458"/>
    <n v="173"/>
    <s v="PEÇAS - Defeito de fabric./Alta Amperage"/>
    <s v="FUNCIONAL"/>
    <x v="1"/>
    <n v="60342"/>
    <x v="31"/>
    <s v="BA"/>
    <n v="648"/>
    <s v="Ultra"/>
    <n v="1350"/>
    <s v="W11299803"/>
    <s v="Mecanismos"/>
    <x v="2"/>
    <n v="1000"/>
    <n v="5004101"/>
    <s v="UNIDOCK'S ASSESSORIA E LOGISTICA DE"/>
    <n v="88.72"/>
    <d v="2025-03-08T00:00:00"/>
  </r>
  <r>
    <n v="253952425"/>
    <n v="64703652"/>
    <s v="REB"/>
    <n v="9835458"/>
    <n v="173"/>
    <s v="PEÇAS - Defeito de fabric./Alta Amperage"/>
    <s v="FUNCIONAL"/>
    <x v="1"/>
    <n v="60342"/>
    <x v="31"/>
    <s v="BA"/>
    <n v="648"/>
    <s v="Ultra"/>
    <n v="1350"/>
    <s v="W11299803"/>
    <s v="Mecanismos"/>
    <x v="2"/>
    <n v="1000"/>
    <n v="5004101"/>
    <s v="UNIDOCK'S ASSESSORIA E LOGISTICA DE"/>
    <n v="88.72"/>
    <d v="2025-03-10T00:00:00"/>
  </r>
  <r>
    <s v="Sem TR"/>
    <n v="64802756"/>
    <s v="ZRDI"/>
    <n v="10106278"/>
    <s v="D35"/>
    <s v="DEV D2C - Prod difere do comprado"/>
    <s v="COMERCIAL"/>
    <x v="2"/>
    <n v="58083552"/>
    <x v="1480"/>
    <s v="SP"/>
    <n v="474"/>
    <s v="Site Brastemp"/>
    <n v="1352"/>
    <s v="W11629967"/>
    <s v="Gaxetas"/>
    <x v="4"/>
    <n v="1000"/>
    <n v="5002359"/>
    <s v="EMPRESA BRASILEIRA DE CORREIOS E"/>
    <n v="88.72"/>
    <d v="2025-07-02T00:00:00"/>
  </r>
  <r>
    <n v="254029252"/>
    <n v="64808766"/>
    <s v="ZRDI"/>
    <n v="10102106"/>
    <n v="208"/>
    <s v="DEV-Atraso entrega- LOGISTICA(Transp)"/>
    <s v="TRANSPORTADORA"/>
    <x v="2"/>
    <n v="51523789"/>
    <x v="826"/>
    <s v="SP"/>
    <n v="475"/>
    <s v="Site Consul"/>
    <n v="1352"/>
    <s v="W11199342"/>
    <s v="Filtros"/>
    <x v="5"/>
    <n v="1000"/>
    <n v="5002359"/>
    <s v="EMPRESA BRASILEIRA DE CORREIOS E"/>
    <n v="88.72"/>
    <d v="2025-07-10T00:00:00"/>
  </r>
  <r>
    <s v="Sem TR"/>
    <n v="64811508"/>
    <s v="ZRDI"/>
    <n v="10105892"/>
    <n v="208"/>
    <s v="DEV-Atraso entrega- LOGISTICA(Transp)"/>
    <s v="TRANSPORTADORA"/>
    <x v="2"/>
    <n v="54164152"/>
    <x v="827"/>
    <s v="SP"/>
    <n v="475"/>
    <s v="Site Consul"/>
    <n v="1352"/>
    <s v="W11199342"/>
    <s v="Filtros"/>
    <x v="5"/>
    <n v="1000"/>
    <n v="5002359"/>
    <s v="EMPRESA BRASILEIRA DE CORREIOS E"/>
    <n v="88.72"/>
    <d v="2025-07-16T00:00:00"/>
  </r>
  <r>
    <n v="254036538"/>
    <n v="64814371"/>
    <s v="ZRDI"/>
    <n v="10112733"/>
    <n v="208"/>
    <s v="DEV-Atraso entrega- LOGISTICA(Transp)"/>
    <s v="TRANSPORTADORA"/>
    <x v="2"/>
    <n v="56401232"/>
    <x v="828"/>
    <s v="SP"/>
    <n v="475"/>
    <s v="Site Consul"/>
    <n v="1352"/>
    <s v="W11199342"/>
    <s v="Filtros"/>
    <x v="5"/>
    <n v="1000"/>
    <n v="5002359"/>
    <s v="EMPRESA BRASILEIRA DE CORREIOS E"/>
    <n v="88.72"/>
    <d v="2025-07-22T00:00:00"/>
  </r>
  <r>
    <n v="254040427"/>
    <n v="64818332"/>
    <s v="ZRDI"/>
    <n v="10148593"/>
    <n v="208"/>
    <s v="DEV-Atraso entrega- LOGISTICA(Transp)"/>
    <s v="TRANSPORTADORA"/>
    <x v="2"/>
    <n v="58172476"/>
    <x v="829"/>
    <s v="SP"/>
    <n v="475"/>
    <s v="Site Consul"/>
    <n v="1352"/>
    <s v="W11199342"/>
    <s v="Filtros"/>
    <x v="5"/>
    <n v="1000"/>
    <n v="5002359"/>
    <s v="EMPRESA BRASILEIRA DE CORREIOS E"/>
    <n v="88.72"/>
    <d v="2025-07-26T00:00:00"/>
  </r>
  <r>
    <n v="254040427"/>
    <n v="64818332"/>
    <s v="ZRDI"/>
    <n v="10148593"/>
    <n v="208"/>
    <s v="DEV-Atraso entrega- LOGISTICA(Transp)"/>
    <s v="TRANSPORTADORA"/>
    <x v="2"/>
    <n v="58172476"/>
    <x v="829"/>
    <s v="SP"/>
    <n v="475"/>
    <s v="Site Consul"/>
    <n v="1352"/>
    <s v="W11199342"/>
    <s v="Filtros"/>
    <x v="5"/>
    <n v="1000"/>
    <n v="5002359"/>
    <s v="EMPRESA BRASILEIRA DE CORREIOS E"/>
    <n v="88.72"/>
    <d v="2025-07-26T00:00:00"/>
  </r>
  <r>
    <n v="253967761"/>
    <n v="64746109"/>
    <s v="REB"/>
    <n v="9950831"/>
    <n v="167"/>
    <s v="PEÇAS - Avaria - Quebrada/Depósito"/>
    <s v="LOGÍSTICA"/>
    <x v="1"/>
    <n v="25727"/>
    <x v="275"/>
    <s v="GO"/>
    <n v="644"/>
    <s v="Plus"/>
    <n v="1350"/>
    <s v="W11298039"/>
    <s v="Gavetas"/>
    <x v="9"/>
    <n v="1000"/>
    <n v="5002858"/>
    <s v="FAVORITA TRANSPORTES LTDA"/>
    <n v="88.72"/>
    <d v="2025-04-04T00:00:00"/>
  </r>
  <r>
    <n v="254031874"/>
    <n v="64805067"/>
    <s v="REB"/>
    <n v="10121198"/>
    <n v="176"/>
    <s v="PEÇAS - Defeito de fabric./Interrompido"/>
    <s v="FUNCIONAL"/>
    <x v="1"/>
    <n v="3506"/>
    <x v="46"/>
    <s v="SP"/>
    <n v="931"/>
    <s v="Ats Off"/>
    <n v="1350"/>
    <s v="W10829873"/>
    <s v="Outros"/>
    <x v="7"/>
    <n v="1000"/>
    <n v="5004042"/>
    <s v="BRASIL WEB TRANSPORTES E LOGISTICA"/>
    <n v="88.67"/>
    <d v="2025-07-08T00:00:00"/>
  </r>
  <r>
    <n v="254031881"/>
    <n v="64807589"/>
    <s v="REB"/>
    <n v="10123025"/>
    <n v="176"/>
    <s v="PEÇAS - Defeito de fabric./Interrompido"/>
    <s v="FUNCIONAL"/>
    <x v="1"/>
    <n v="3506"/>
    <x v="46"/>
    <s v="SP"/>
    <n v="931"/>
    <s v="Ats Off"/>
    <n v="1350"/>
    <s v="W10829873"/>
    <s v="Outros"/>
    <x v="7"/>
    <n v="1000"/>
    <n v="5004042"/>
    <s v="BRASIL WEB TRANSPORTES E LOGISTICA"/>
    <n v="88.67"/>
    <d v="2025-07-08T00:00:00"/>
  </r>
  <r>
    <n v="254019191"/>
    <n v="64796801"/>
    <s v="ROB"/>
    <n v="10052881"/>
    <n v="268"/>
    <s v="DEV-APREENSÃO FISCAL - VENDAS"/>
    <s v="COMERCIAL"/>
    <x v="0"/>
    <n v="87213"/>
    <x v="201"/>
    <s v="CE"/>
    <n v="932"/>
    <s v="CDP Prata"/>
    <n v="1350"/>
    <n v="326000208"/>
    <s v="Peças e Sistema Freio"/>
    <x v="2"/>
    <n v="10000"/>
    <n v="5004101"/>
    <s v="UNIDOCK'S ASSESSORIA E LOGISTICA DE"/>
    <n v="88.59"/>
    <d v="2025-06-24T00:00:00"/>
  </r>
  <r>
    <s v="Sem TR"/>
    <n v="64810946"/>
    <s v="ZRDI"/>
    <n v="10123229"/>
    <s v="D19"/>
    <s v="DEV D2C - Entrega atrasada"/>
    <s v="COMERCIAL"/>
    <x v="2"/>
    <n v="52424267"/>
    <x v="998"/>
    <s v="ES"/>
    <n v="475"/>
    <s v="Site Consul"/>
    <n v="1352"/>
    <n v="326047714"/>
    <s v="Prateleiras"/>
    <x v="9"/>
    <n v="1000"/>
    <n v="5002359"/>
    <s v="EMPRESA BRASILEIRA DE CORREIOS E"/>
    <n v="88.57"/>
    <d v="2025-07-16T00:00:00"/>
  </r>
  <r>
    <s v="Sem TR"/>
    <n v="64810946"/>
    <s v="ZRDI"/>
    <n v="10123229"/>
    <s v="D19"/>
    <s v="DEV D2C - Entrega atrasada"/>
    <s v="COMERCIAL"/>
    <x v="2"/>
    <n v="52424267"/>
    <x v="998"/>
    <s v="ES"/>
    <n v="475"/>
    <s v="Site Consul"/>
    <n v="1352"/>
    <n v="326047714"/>
    <s v="Prateleiras"/>
    <x v="9"/>
    <n v="1000"/>
    <n v="5002359"/>
    <s v="EMPRESA BRASILEIRA DE CORREIOS E"/>
    <n v="88.57"/>
    <d v="2025-07-16T00:00:00"/>
  </r>
  <r>
    <n v="253961276"/>
    <n v="64738571"/>
    <s v="REB"/>
    <n v="9854078"/>
    <n v="176"/>
    <s v="PEÇAS - Defeito de fabric./Interrompido"/>
    <s v="FUNCIONAL"/>
    <x v="2"/>
    <n v="24089"/>
    <x v="134"/>
    <s v="RJ"/>
    <n v="931"/>
    <s v="Ats Off"/>
    <n v="1350"/>
    <s v="W10807957"/>
    <s v="Conjunto Varetas"/>
    <x v="8"/>
    <n v="1000"/>
    <n v="5003176"/>
    <s v="J C THEDIN TRANSPORTES LTDA"/>
    <n v="88.49"/>
    <d v="2025-03-26T00:00:00"/>
  </r>
  <r>
    <n v="254033480"/>
    <n v="64806311"/>
    <s v="ZDVP"/>
    <n v="10048619"/>
    <n v="173"/>
    <s v="PEÇAS - Defeito de fabric./Alta Amperage"/>
    <s v="FUNCIONAL"/>
    <x v="2"/>
    <n v="40998"/>
    <x v="8"/>
    <s v="GO"/>
    <n v="648"/>
    <s v="Ultra"/>
    <n v="1350"/>
    <s v="W10828358"/>
    <s v="Pressostatos"/>
    <x v="3"/>
    <n v="3000"/>
    <n v="5002858"/>
    <s v="FAVORITA TRANSPORTES LTDA"/>
    <n v="88.44"/>
    <d v="2025-07-10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1240384"/>
    <s v="Placas de Controle"/>
    <x v="1"/>
    <n v="1000"/>
    <n v="5003024"/>
    <s v="RODOBRAS TRANSPORTES RODOVIARIOS LT"/>
    <n v="88.38"/>
    <d v="2025-01-16T00:00:00"/>
  </r>
  <r>
    <n v="254027270"/>
    <n v="64795701"/>
    <s v="ZRDI"/>
    <n v="10078040"/>
    <s v="D25"/>
    <s v="DEV D2C - Prob na entrega (Não recebi)"/>
    <s v="TRANSPORTADORA"/>
    <x v="2"/>
    <n v="58073152"/>
    <x v="738"/>
    <s v="RJ"/>
    <n v="474"/>
    <s v="Site Brastemp"/>
    <n v="1352"/>
    <s v="W10436958"/>
    <s v="Portas"/>
    <x v="6"/>
    <n v="1000"/>
    <n v="5003972"/>
    <s v="ICARO EXPRESS LOGISTICA LTDA"/>
    <n v="88.35"/>
    <d v="2025-07-07T00:00:00"/>
  </r>
  <r>
    <n v="254040409"/>
    <n v="64818313"/>
    <s v="ZRDI"/>
    <n v="10127103"/>
    <n v="208"/>
    <s v="DEV-Atraso entrega- LOGISTICA(Transp)"/>
    <s v="TRANSPORTADORA"/>
    <x v="2"/>
    <n v="53032649"/>
    <x v="1481"/>
    <s v="SC"/>
    <n v="475"/>
    <s v="Site Consul"/>
    <n v="1352"/>
    <s v="W11199342"/>
    <s v="Filtros"/>
    <x v="5"/>
    <n v="1000"/>
    <n v="5002359"/>
    <s v="EMPRESA BRASILEIRA DE CORREIOS E"/>
    <n v="88.35"/>
    <d v="2025-07-26T00:00:00"/>
  </r>
  <r>
    <n v="254040409"/>
    <n v="64818313"/>
    <s v="ZRDI"/>
    <n v="10127103"/>
    <n v="208"/>
    <s v="DEV-Atraso entrega- LOGISTICA(Transp)"/>
    <s v="TRANSPORTADORA"/>
    <x v="2"/>
    <n v="53032649"/>
    <x v="1481"/>
    <s v="SC"/>
    <n v="475"/>
    <s v="Site Consul"/>
    <n v="1352"/>
    <s v="W11199342"/>
    <s v="Filtros"/>
    <x v="5"/>
    <n v="1000"/>
    <n v="5002359"/>
    <s v="EMPRESA BRASILEIRA DE CORREIOS E"/>
    <n v="88.35"/>
    <d v="2025-07-26T00:00:00"/>
  </r>
  <r>
    <n v="254022261"/>
    <n v="64799871"/>
    <s v="ZRDI"/>
    <n v="10047340"/>
    <n v="208"/>
    <s v="DEV-Atraso entrega- LOGISTICA(Transp)"/>
    <s v="TRANSPORTADORA"/>
    <x v="2"/>
    <n v="53372042"/>
    <x v="1482"/>
    <s v="RJ"/>
    <n v="474"/>
    <s v="Site Brastemp"/>
    <n v="1352"/>
    <s v="W11245250"/>
    <s v="Válvulas de Água"/>
    <x v="5"/>
    <n v="1000"/>
    <n v="5002359"/>
    <s v="EMPRESA BRASILEIRA DE CORREIOS E"/>
    <n v="88.23"/>
    <d v="2025-06-27T00:00:00"/>
  </r>
  <r>
    <n v="253964074"/>
    <n v="64743035"/>
    <s v="ROB"/>
    <n v="48888"/>
    <n v="115"/>
    <s v="PEÇAS-Recusa do cliente"/>
    <s v="COMERCIAL"/>
    <x v="2"/>
    <n v="93416"/>
    <x v="1166"/>
    <s v="PE"/>
    <n v="698"/>
    <s v="CDP Bronze"/>
    <n v="1550"/>
    <s v="W10849469"/>
    <s v="Bombas"/>
    <x v="1"/>
    <n v="3000"/>
    <n v="5000253"/>
    <s v="TRANSPORTADOR GENERICO"/>
    <n v="88.19"/>
    <d v="2025-03-31T00:00:00"/>
  </r>
  <r>
    <n v="254024108"/>
    <n v="64803640"/>
    <s v="ZRDI"/>
    <n v="10036163"/>
    <n v="208"/>
    <s v="DEV-Atraso entrega- LOGISTICA(Transp)"/>
    <s v="TRANSPORTADORA"/>
    <x v="2"/>
    <n v="58026555"/>
    <x v="1483"/>
    <s v="AP"/>
    <n v="475"/>
    <s v="Site Consul"/>
    <n v="1352"/>
    <s v="W10573277"/>
    <s v="Acessórios"/>
    <x v="7"/>
    <n v="1000"/>
    <n v="5002359"/>
    <s v="EMPRESA BRASILEIRA DE CORREIOS E"/>
    <n v="88.16"/>
    <d v="2025-07-01T00:00:00"/>
  </r>
  <r>
    <n v="254024108"/>
    <n v="64803640"/>
    <s v="ZRDI"/>
    <n v="10036163"/>
    <n v="208"/>
    <s v="DEV-Atraso entrega- LOGISTICA(Transp)"/>
    <s v="TRANSPORTADORA"/>
    <x v="2"/>
    <n v="58026555"/>
    <x v="1483"/>
    <s v="AP"/>
    <n v="475"/>
    <s v="Site Consul"/>
    <n v="1352"/>
    <s v="W10573277"/>
    <s v="Acessórios"/>
    <x v="7"/>
    <n v="1000"/>
    <n v="5002359"/>
    <s v="EMPRESA BRASILEIRA DE CORREIOS E"/>
    <n v="88.16"/>
    <d v="2025-07-01T00:00:00"/>
  </r>
  <r>
    <s v="Sem TR"/>
    <n v="64746111"/>
    <s v="REB"/>
    <n v="9955607"/>
    <n v="509"/>
    <s v="Qtd de peças a Menor dentro do Volume"/>
    <s v="LOGÍSTICA"/>
    <x v="1"/>
    <n v="41585"/>
    <x v="54"/>
    <s v="PR"/>
    <n v="350"/>
    <s v="Ats On"/>
    <n v="1350"/>
    <n v="326072657"/>
    <s v="Peças Transmissão/Embreagens"/>
    <x v="2"/>
    <n v="1000"/>
    <n v="5002359"/>
    <s v="EMPRESA BRASILEIRA DE CORREIOS E"/>
    <n v="88.16"/>
    <d v="2025-04-04T00:00:00"/>
  </r>
  <r>
    <n v="254040421"/>
    <n v="64818325"/>
    <s v="ZRDI"/>
    <n v="10136609"/>
    <n v="208"/>
    <s v="DEV-Atraso entrega- LOGISTICA(Transp)"/>
    <s v="TRANSPORTADORA"/>
    <x v="2"/>
    <n v="55569210"/>
    <x v="1484"/>
    <s v="RJ"/>
    <n v="475"/>
    <s v="Site Consul"/>
    <n v="1352"/>
    <s v="W11199342"/>
    <s v="Filtros"/>
    <x v="5"/>
    <n v="1000"/>
    <n v="5002359"/>
    <s v="EMPRESA BRASILEIRA DE CORREIOS E"/>
    <n v="88.08"/>
    <d v="2025-07-26T00:00:00"/>
  </r>
  <r>
    <n v="254040421"/>
    <n v="64818325"/>
    <s v="ZRDI"/>
    <n v="10136609"/>
    <n v="208"/>
    <s v="DEV-Atraso entrega- LOGISTICA(Transp)"/>
    <s v="TRANSPORTADORA"/>
    <x v="2"/>
    <n v="55569210"/>
    <x v="1484"/>
    <s v="RJ"/>
    <n v="475"/>
    <s v="Site Consul"/>
    <n v="1352"/>
    <s v="W11199342"/>
    <s v="Filtros"/>
    <x v="5"/>
    <n v="1000"/>
    <n v="5002359"/>
    <s v="EMPRESA BRASILEIRA DE CORREIOS E"/>
    <n v="88.08"/>
    <d v="2025-07-26T00:00:00"/>
  </r>
  <r>
    <s v="Sem TR"/>
    <n v="64817443"/>
    <s v="ZRDI"/>
    <n v="10115569"/>
    <s v="D25"/>
    <s v="DEV D2C - Prob na entrega (Não recebi)"/>
    <s v="TRANSPORTADORA"/>
    <x v="1"/>
    <n v="55433470"/>
    <x v="1485"/>
    <s v="RJ"/>
    <n v="475"/>
    <s v="Site Consul"/>
    <n v="1352"/>
    <s v="W11199342"/>
    <s v="Filtros"/>
    <x v="5"/>
    <n v="1000"/>
    <n v="5002359"/>
    <s v="EMPRESA BRASILEIRA DE CORREIOS E"/>
    <n v="88.07"/>
    <d v="2025-07-28T00:00:00"/>
  </r>
  <r>
    <s v="Sem TR"/>
    <n v="64804903"/>
    <s v="ZRDI"/>
    <n v="10115639"/>
    <s v="D18"/>
    <s v="DEV D2C - Arrependimento não quero mais"/>
    <s v="COMERCIAL"/>
    <x v="2"/>
    <n v="58125359"/>
    <x v="1486"/>
    <s v="ES"/>
    <n v="466"/>
    <s v="Sup ML Marketplace"/>
    <n v="1352"/>
    <s v="W10907631"/>
    <s v="Suportes"/>
    <x v="6"/>
    <n v="1000"/>
    <n v="5002359"/>
    <s v="EMPRESA BRASILEIRA DE CORREIOS E"/>
    <n v="88.04"/>
    <d v="2025-07-09T00:00:00"/>
  </r>
  <r>
    <s v="Sem TR"/>
    <n v="64804903"/>
    <s v="ZRDI"/>
    <n v="10115639"/>
    <s v="D18"/>
    <s v="DEV D2C - Arrependimento não quero mais"/>
    <s v="COMERCIAL"/>
    <x v="2"/>
    <n v="58125359"/>
    <x v="1486"/>
    <s v="ES"/>
    <n v="466"/>
    <s v="Sup ML Marketplace"/>
    <n v="1352"/>
    <s v="W10907631"/>
    <s v="Suportes"/>
    <x v="6"/>
    <n v="1000"/>
    <n v="5002359"/>
    <s v="EMPRESA BRASILEIRA DE CORREIOS E"/>
    <n v="88.04"/>
    <d v="2025-07-09T00:00:00"/>
  </r>
  <r>
    <n v="253970917"/>
    <n v="64748393"/>
    <s v="REB"/>
    <n v="9742824"/>
    <n v="173"/>
    <s v="PEÇAS - Defeito de fabric./Alta Amperage"/>
    <s v="FUNCIONAL"/>
    <x v="2"/>
    <n v="67948"/>
    <x v="15"/>
    <s v="SC"/>
    <n v="713"/>
    <s v="Key Account"/>
    <n v="1350"/>
    <s v="W11132068"/>
    <s v="Painéis de Controle"/>
    <x v="6"/>
    <n v="1000"/>
    <n v="5003024"/>
    <s v="RODOBRAS TRANSPORTES RODOVIARIOS LT"/>
    <n v="88"/>
    <d v="2025-04-09T00:00:00"/>
  </r>
  <r>
    <s v="Sem TR"/>
    <n v="64624305"/>
    <s v="ROB"/>
    <n v="9622636"/>
    <n v="221"/>
    <s v="DEV-Sinistro - SEGURO"/>
    <s v="TRANSPORTADORA"/>
    <x v="0"/>
    <n v="4524"/>
    <x v="696"/>
    <s v="SC"/>
    <n v="350"/>
    <s v="Ats On"/>
    <n v="1350"/>
    <s v="W10751204"/>
    <s v="Painéis Decorativos"/>
    <x v="6"/>
    <n v="3000"/>
    <n v="5003024"/>
    <s v="RODOBRAS TRANSPORTES RODOVIARIOS LT"/>
    <n v="87.94"/>
    <d v="2024-10-08T00:00:00"/>
  </r>
  <r>
    <n v="254020521"/>
    <n v="64791817"/>
    <s v="ZDVP"/>
    <n v="9840959"/>
    <n v="176"/>
    <s v="PEÇAS - Defeito de fabric./Interrompido"/>
    <s v="FUNCIONAL"/>
    <x v="1"/>
    <n v="29706"/>
    <x v="149"/>
    <s v="RN"/>
    <n v="644"/>
    <s v="Plus"/>
    <n v="1350"/>
    <s v="W11299803"/>
    <s v="Mecanismos"/>
    <x v="2"/>
    <n v="1000"/>
    <n v="5004101"/>
    <s v="UNIDOCK'S ASSESSORIA E LOGISTICA DE"/>
    <n v="87.91"/>
    <d v="2025-06-17T00:00:00"/>
  </r>
  <r>
    <n v="253918550"/>
    <n v="64691679"/>
    <s v="REB"/>
    <n v="9797760"/>
    <n v="176"/>
    <s v="PEÇAS - Defeito de fabric./Interrompido"/>
    <s v="FUNCIONAL"/>
    <x v="1"/>
    <n v="14474"/>
    <x v="25"/>
    <s v="RN"/>
    <n v="643"/>
    <s v="Elite"/>
    <n v="1350"/>
    <s v="W11299803"/>
    <s v="Mecanismos"/>
    <x v="2"/>
    <n v="1000"/>
    <n v="5004101"/>
    <s v="UNIDOCK'S ASSESSORIA E LOGISTICA DE"/>
    <n v="87.83"/>
    <d v="2025-01-15T00:00:00"/>
  </r>
  <r>
    <s v="Sem TR"/>
    <n v="64802555"/>
    <s v="ZRDI"/>
    <n v="10081702"/>
    <s v="D18"/>
    <s v="DEV D2C - Arrependimento não quero mais"/>
    <s v="COMERCIAL"/>
    <x v="2"/>
    <n v="55442042"/>
    <x v="1487"/>
    <s v="RS"/>
    <n v="474"/>
    <s v="Site Brastemp"/>
    <n v="1352"/>
    <n v="326043145"/>
    <s v="Filtros"/>
    <x v="5"/>
    <n v="1000"/>
    <n v="5002359"/>
    <s v="EMPRESA BRASILEIRA DE CORREIOS E"/>
    <n v="87.77"/>
    <d v="2025-07-01T00:00:00"/>
  </r>
  <r>
    <n v="254004081"/>
    <n v="64777301"/>
    <s v="REB"/>
    <n v="10026248"/>
    <n v="177"/>
    <s v="PEÇAS - Defeito de fabric./Ruído"/>
    <s v="FUNCIONAL"/>
    <x v="1"/>
    <n v="94399"/>
    <x v="1488"/>
    <s v="ES"/>
    <n v="932"/>
    <s v="CDP Prata"/>
    <n v="1350"/>
    <s v="W10882241"/>
    <s v="Agitadores"/>
    <x v="2"/>
    <n v="2000"/>
    <n v="5004042"/>
    <s v="BRASIL WEB TRANSPORTES E LOGISTICA"/>
    <n v="87.76"/>
    <d v="2025-05-26T00:00:00"/>
  </r>
  <r>
    <n v="254018187"/>
    <n v="64789993"/>
    <s v="REB"/>
    <n v="9928136"/>
    <n v="176"/>
    <s v="PEÇAS - Defeito de fabric./Interrompido"/>
    <s v="FUNCIONAL"/>
    <x v="1"/>
    <n v="4318"/>
    <x v="89"/>
    <s v="SC"/>
    <n v="931"/>
    <s v="Ats Off"/>
    <n v="1350"/>
    <s v="W11049118"/>
    <s v="Placas de Controle"/>
    <x v="1"/>
    <n v="1000"/>
    <n v="5003024"/>
    <s v="RODOBRAS TRANSPORTES RODOVIARIOS LT"/>
    <n v="87.7"/>
    <d v="2025-06-17T00:00:00"/>
  </r>
  <r>
    <n v="253995208"/>
    <n v="64771062"/>
    <s v="REB"/>
    <n v="9846792"/>
    <n v="173"/>
    <s v="PEÇAS - Defeito de fabric./Alta Amperage"/>
    <s v="FUNCIONAL"/>
    <x v="2"/>
    <n v="64683"/>
    <x v="56"/>
    <s v="RS"/>
    <n v="648"/>
    <s v="Ultra"/>
    <n v="1350"/>
    <s v="W11299803"/>
    <s v="Mecanismos"/>
    <x v="2"/>
    <n v="1000"/>
    <n v="5003024"/>
    <s v="RODOBRAS TRANSPORTES RODOVIARIOS LT"/>
    <n v="87.67"/>
    <d v="2025-05-16T00:00:00"/>
  </r>
  <r>
    <n v="254033394"/>
    <n v="64807279"/>
    <s v="REB"/>
    <n v="10108654"/>
    <n v="173"/>
    <s v="PEÇAS - Defeito de fabric./Alta Amperage"/>
    <s v="FUNCIONAL"/>
    <x v="1"/>
    <n v="37434"/>
    <x v="95"/>
    <s v="GO"/>
    <n v="931"/>
    <s v="Ats Off"/>
    <n v="1350"/>
    <s v="W10882241"/>
    <s v="Agitadores"/>
    <x v="2"/>
    <n v="2000"/>
    <n v="5002858"/>
    <s v="FAVORITA TRANSPORTES LTDA"/>
    <n v="87.64"/>
    <d v="2025-07-08T00:00:00"/>
  </r>
  <r>
    <s v="Sem TR"/>
    <n v="64766729"/>
    <s v="ROB"/>
    <n v="50548"/>
    <n v="671"/>
    <s v="DEV-ENVIADO PARA GESTÃO DE CONSEQUENCIA"/>
    <s v="TRANSPORTADORA"/>
    <x v="2"/>
    <n v="65630"/>
    <x v="1167"/>
    <s v="BA"/>
    <n v="350"/>
    <s v="Ats On"/>
    <n v="1550"/>
    <s v="W10791633"/>
    <s v="Retentores"/>
    <x v="4"/>
    <n v="10000"/>
    <n v="5004391"/>
    <s v="JEONCEL TRANSPORTES LTDA"/>
    <n v="87.63"/>
    <d v="2025-05-08T00:00:00"/>
  </r>
  <r>
    <s v="Sem TR"/>
    <n v="64806312"/>
    <s v="ZRDI"/>
    <n v="10103361"/>
    <s v="D10"/>
    <s v="DEV D2C - Comprou modelo errado"/>
    <s v="COMERCIAL"/>
    <x v="2"/>
    <n v="52833125"/>
    <x v="1489"/>
    <s v="BA"/>
    <n v="475"/>
    <s v="Site Consul"/>
    <n v="1352"/>
    <s v="W10619463"/>
    <s v="Pressostatos"/>
    <x v="3"/>
    <n v="1000"/>
    <n v="5002359"/>
    <s v="EMPRESA BRASILEIRA DE CORREIOS E"/>
    <n v="87.63"/>
    <d v="2025-07-12T00:00:00"/>
  </r>
  <r>
    <s v="Sem TR"/>
    <n v="64806312"/>
    <s v="ZRDI"/>
    <n v="10103361"/>
    <s v="D10"/>
    <s v="DEV D2C - Comprou modelo errado"/>
    <s v="COMERCIAL"/>
    <x v="2"/>
    <n v="52833125"/>
    <x v="1489"/>
    <s v="BA"/>
    <n v="475"/>
    <s v="Site Consul"/>
    <n v="1352"/>
    <s v="W10619463"/>
    <s v="Pressostatos"/>
    <x v="3"/>
    <n v="1000"/>
    <n v="5002359"/>
    <s v="EMPRESA BRASILEIRA DE CORREIOS E"/>
    <n v="87.63"/>
    <d v="2025-07-12T00:00:00"/>
  </r>
  <r>
    <n v="253927920"/>
    <n v="64704175"/>
    <s v="ROB"/>
    <n v="9830516"/>
    <n v="182"/>
    <s v="PEÇAS - Extravio - Volume a menor"/>
    <s v="TRANSPORTADORA"/>
    <x v="1"/>
    <n v="77737"/>
    <x v="1490"/>
    <s v="SP"/>
    <n v="934"/>
    <s v="CDP Ouro"/>
    <n v="1350"/>
    <s v="W11283283"/>
    <s v="Termostatos"/>
    <x v="3"/>
    <n v="2000"/>
    <n v="5004101"/>
    <s v="UNIDOCK'S ASSESSORIA E LOGISTICA DE"/>
    <n v="87.62"/>
    <d v="2025-01-31T00:00:00"/>
  </r>
  <r>
    <n v="254040394"/>
    <n v="64818298"/>
    <s v="ZRDI"/>
    <n v="10091653"/>
    <n v="208"/>
    <s v="DEV-Atraso entrega- LOGISTICA(Transp)"/>
    <s v="TRANSPORTADORA"/>
    <x v="2"/>
    <n v="58087652"/>
    <x v="1491"/>
    <s v="GO"/>
    <n v="474"/>
    <s v="Site Brastemp"/>
    <n v="1352"/>
    <s v="W11213068"/>
    <s v="Acessórios"/>
    <x v="7"/>
    <n v="2000"/>
    <n v="5002359"/>
    <s v="EMPRESA BRASILEIRA DE CORREIOS E"/>
    <n v="87.58"/>
    <d v="2025-07-26T00:00:00"/>
  </r>
  <r>
    <n v="254040394"/>
    <n v="64818298"/>
    <s v="ZRDI"/>
    <n v="10091653"/>
    <n v="208"/>
    <s v="DEV-Atraso entrega- LOGISTICA(Transp)"/>
    <s v="TRANSPORTADORA"/>
    <x v="2"/>
    <n v="58087652"/>
    <x v="1491"/>
    <s v="GO"/>
    <n v="474"/>
    <s v="Site Brastemp"/>
    <n v="1352"/>
    <s v="W11213068"/>
    <s v="Acessórios"/>
    <x v="7"/>
    <n v="2000"/>
    <n v="5002359"/>
    <s v="EMPRESA BRASILEIRA DE CORREIOS E"/>
    <n v="87.58"/>
    <d v="2025-07-26T00:00:00"/>
  </r>
  <r>
    <n v="254033977"/>
    <n v="64812542"/>
    <s v="ZRDI"/>
    <n v="10112797"/>
    <n v="208"/>
    <s v="DEV-Atraso entrega- LOGISTICA(Transp)"/>
    <s v="TRANSPORTADORA"/>
    <x v="2"/>
    <n v="58122770"/>
    <x v="1492"/>
    <s v="PE"/>
    <n v="466"/>
    <s v="Sup ML Marketplace"/>
    <n v="1352"/>
    <s v="W11132264"/>
    <s v="Trempes"/>
    <x v="6"/>
    <n v="1000"/>
    <n v="5002359"/>
    <s v="EMPRESA BRASILEIRA DE CORREIOS E"/>
    <n v="87.49"/>
    <d v="2025-07-17T00:00:00"/>
  </r>
  <r>
    <n v="254033977"/>
    <n v="64812542"/>
    <s v="ZRDI"/>
    <n v="10112797"/>
    <n v="208"/>
    <s v="DEV-Atraso entrega- LOGISTICA(Transp)"/>
    <s v="TRANSPORTADORA"/>
    <x v="2"/>
    <n v="58122770"/>
    <x v="1492"/>
    <s v="PE"/>
    <n v="466"/>
    <s v="Sup ML Marketplace"/>
    <n v="1352"/>
    <s v="W11132264"/>
    <s v="Trempes"/>
    <x v="6"/>
    <n v="1000"/>
    <n v="5002359"/>
    <s v="EMPRESA BRASILEIRA DE CORREIOS E"/>
    <n v="87.49"/>
    <d v="2025-07-17T00:00:00"/>
  </r>
  <r>
    <n v="254035003"/>
    <n v="64813402"/>
    <s v="ZRDI"/>
    <n v="10078949"/>
    <n v="208"/>
    <s v="DEV-Atraso entrega- LOGISTICA(Transp)"/>
    <s v="TRANSPORTADORA"/>
    <x v="2"/>
    <n v="51021917"/>
    <x v="1493"/>
    <s v="MA"/>
    <n v="474"/>
    <s v="Site Brastemp"/>
    <n v="1352"/>
    <s v="W10866789"/>
    <s v="Kits Instalação"/>
    <x v="7"/>
    <n v="1000"/>
    <n v="5002359"/>
    <s v="EMPRESA BRASILEIRA DE CORREIOS E"/>
    <n v="87.45"/>
    <d v="2025-07-18T00:00:00"/>
  </r>
  <r>
    <n v="254021269"/>
    <n v="64798924"/>
    <s v="ZRDI"/>
    <n v="10072757"/>
    <n v="208"/>
    <s v="DEV-Atraso entrega- LOGISTICA(Transp)"/>
    <s v="TRANSPORTADORA"/>
    <x v="2"/>
    <n v="56824880"/>
    <x v="1494"/>
    <s v="CE"/>
    <n v="475"/>
    <s v="Site Consul"/>
    <n v="1352"/>
    <s v="W11360276"/>
    <s v="Filtros"/>
    <x v="5"/>
    <n v="2000"/>
    <n v="5002359"/>
    <s v="EMPRESA BRASILEIRA DE CORREIOS E"/>
    <n v="87.4"/>
    <d v="2025-06-26T00:00:00"/>
  </r>
  <r>
    <n v="254021269"/>
    <n v="64798924"/>
    <s v="ZRDI"/>
    <n v="10072757"/>
    <n v="208"/>
    <s v="DEV-Atraso entrega- LOGISTICA(Transp)"/>
    <s v="TRANSPORTADORA"/>
    <x v="2"/>
    <n v="56824880"/>
    <x v="1494"/>
    <s v="CE"/>
    <n v="475"/>
    <s v="Site Consul"/>
    <n v="1352"/>
    <s v="W11360276"/>
    <s v="Filtros"/>
    <x v="5"/>
    <n v="2000"/>
    <n v="5002359"/>
    <s v="EMPRESA BRASILEIRA DE CORREIOS E"/>
    <n v="87.4"/>
    <d v="2025-06-26T00:00:00"/>
  </r>
  <r>
    <s v="Sem TR"/>
    <n v="64817064"/>
    <s v="ZRDI"/>
    <n v="10103551"/>
    <n v="208"/>
    <s v="DEV-Atraso entrega- LOGISTICA(Transp)"/>
    <s v="TRANSPORTADORA"/>
    <x v="2"/>
    <n v="57882075"/>
    <x v="1495"/>
    <s v="SP"/>
    <n v="475"/>
    <s v="Site Consul"/>
    <n v="1352"/>
    <n v="326047714"/>
    <s v="Prateleiras"/>
    <x v="9"/>
    <n v="1000"/>
    <n v="5002359"/>
    <s v="EMPRESA BRASILEIRA DE CORREIOS E"/>
    <n v="87.29"/>
    <d v="2025-07-24T00:00:00"/>
  </r>
  <r>
    <s v="Sem TR"/>
    <n v="64817064"/>
    <s v="ZRDI"/>
    <n v="10103551"/>
    <n v="208"/>
    <s v="DEV-Atraso entrega- LOGISTICA(Transp)"/>
    <s v="TRANSPORTADORA"/>
    <x v="2"/>
    <n v="57882075"/>
    <x v="1495"/>
    <s v="SP"/>
    <n v="475"/>
    <s v="Site Consul"/>
    <n v="1352"/>
    <n v="326047714"/>
    <s v="Prateleiras"/>
    <x v="9"/>
    <n v="1000"/>
    <n v="5002359"/>
    <s v="EMPRESA BRASILEIRA DE CORREIOS E"/>
    <n v="87.29"/>
    <d v="2025-07-24T00:00:00"/>
  </r>
  <r>
    <n v="254018368"/>
    <n v="64793130"/>
    <s v="REB"/>
    <n v="10055286"/>
    <n v="90"/>
    <s v="CLIENTE-não solicitou"/>
    <s v="COMERCIAL"/>
    <x v="2"/>
    <n v="72786"/>
    <x v="41"/>
    <s v="SC"/>
    <n v="643"/>
    <s v="Elite"/>
    <n v="1350"/>
    <s v="W11672094"/>
    <s v="Outros"/>
    <x v="7"/>
    <n v="1000"/>
    <n v="5003024"/>
    <s v="RODOBRAS TRANSPORTES RODOVIARIOS LT"/>
    <n v="87.28"/>
    <d v="2025-06-17T00:00:00"/>
  </r>
  <r>
    <n v="254035938"/>
    <n v="64814043"/>
    <s v="ZRDI"/>
    <n v="10126979"/>
    <n v="208"/>
    <s v="DEV-Atraso entrega- LOGISTICA(Transp)"/>
    <s v="TRANSPORTADORA"/>
    <x v="2"/>
    <n v="51305242"/>
    <x v="1496"/>
    <s v="BA"/>
    <n v="475"/>
    <s v="Site Consul"/>
    <n v="1352"/>
    <s v="W10351688"/>
    <s v="Capas Queimadores"/>
    <x v="12"/>
    <n v="3000"/>
    <n v="5002359"/>
    <s v="EMPRESA BRASILEIRA DE CORREIOS E"/>
    <n v="87.27"/>
    <d v="2025-07-21T00:00:00"/>
  </r>
  <r>
    <n v="254035938"/>
    <n v="64814043"/>
    <s v="ZRDI"/>
    <n v="10126979"/>
    <n v="208"/>
    <s v="DEV-Atraso entrega- LOGISTICA(Transp)"/>
    <s v="TRANSPORTADORA"/>
    <x v="2"/>
    <n v="51305242"/>
    <x v="1496"/>
    <s v="BA"/>
    <n v="475"/>
    <s v="Site Consul"/>
    <n v="1352"/>
    <s v="W10351688"/>
    <s v="Capas Queimadores"/>
    <x v="12"/>
    <n v="3000"/>
    <n v="5002359"/>
    <s v="EMPRESA BRASILEIRA DE CORREIOS E"/>
    <n v="87.27"/>
    <d v="2025-07-21T00:00:00"/>
  </r>
  <r>
    <n v="254012596"/>
    <n v="64789411"/>
    <s v="REB"/>
    <n v="10018018"/>
    <n v="173"/>
    <s v="PEÇAS - Defeito de fabric./Alta Amperage"/>
    <s v="FUNCIONAL"/>
    <x v="2"/>
    <n v="67948"/>
    <x v="15"/>
    <s v="SC"/>
    <n v="713"/>
    <s v="Key Account"/>
    <n v="1350"/>
    <s v="W10849470"/>
    <s v="Bombas"/>
    <x v="1"/>
    <n v="3000"/>
    <n v="5003024"/>
    <s v="RODOBRAS TRANSPORTES RODOVIARIOS LT"/>
    <n v="87.23"/>
    <d v="2025-06-10T00:00:00"/>
  </r>
  <r>
    <n v="254004042"/>
    <n v="64778182"/>
    <s v="REB"/>
    <n v="10018018"/>
    <n v="173"/>
    <s v="PEÇAS - Defeito de fabric./Alta Amperage"/>
    <s v="FUNCIONAL"/>
    <x v="1"/>
    <n v="67948"/>
    <x v="15"/>
    <s v="SC"/>
    <n v="713"/>
    <s v="Key Account"/>
    <n v="1350"/>
    <s v="W10849470"/>
    <s v="Bombas"/>
    <x v="1"/>
    <n v="3000"/>
    <n v="5003024"/>
    <s v="RODOBRAS TRANSPORTES RODOVIARIOS LT"/>
    <n v="87.23"/>
    <d v="2025-05-26T00:00:00"/>
  </r>
  <r>
    <n v="254039851"/>
    <n v="64817974"/>
    <s v="ZRDI"/>
    <n v="10076512"/>
    <s v="D25"/>
    <s v="DEV D2C - Prob na entrega (Não recebi)"/>
    <s v="TRANSPORTADORA"/>
    <x v="2"/>
    <n v="53566128"/>
    <x v="1497"/>
    <s v="SP"/>
    <n v="466"/>
    <s v="Sup ML Marketplace"/>
    <n v="1352"/>
    <s v="W10907631"/>
    <s v="Suportes"/>
    <x v="6"/>
    <n v="1000"/>
    <n v="5003972"/>
    <s v="ICARO EXPRESS LOGISTICA LTDA"/>
    <n v="87.2"/>
    <d v="2025-07-25T00:00:00"/>
  </r>
  <r>
    <n v="254039851"/>
    <n v="64817974"/>
    <s v="ZRDI"/>
    <n v="10076512"/>
    <s v="D25"/>
    <s v="DEV D2C - Prob na entrega (Não recebi)"/>
    <s v="TRANSPORTADORA"/>
    <x v="2"/>
    <n v="53566128"/>
    <x v="1497"/>
    <s v="SP"/>
    <n v="466"/>
    <s v="Sup ML Marketplace"/>
    <n v="1352"/>
    <s v="W10907631"/>
    <s v="Suportes"/>
    <x v="6"/>
    <n v="1000"/>
    <n v="5003972"/>
    <s v="ICARO EXPRESS LOGISTICA LTDA"/>
    <n v="87.2"/>
    <d v="2025-07-25T00:00:00"/>
  </r>
  <r>
    <n v="253995247"/>
    <n v="64772135"/>
    <s v="REB"/>
    <n v="9881030"/>
    <n v="173"/>
    <s v="PEÇAS - Defeito de fabric./Alta Amperage"/>
    <s v="FUNCIONAL"/>
    <x v="2"/>
    <n v="87707"/>
    <x v="143"/>
    <s v="BA"/>
    <n v="648"/>
    <s v="Ultra"/>
    <n v="1350"/>
    <s v="W11082463"/>
    <s v="Termostatos"/>
    <x v="3"/>
    <n v="2000"/>
    <n v="5004101"/>
    <s v="UNIDOCK'S ASSESSORIA E LOGISTICA DE"/>
    <n v="87.12"/>
    <d v="2025-05-16T00:00:00"/>
  </r>
  <r>
    <s v="Sem TR"/>
    <n v="64800608"/>
    <s v="ZRDI"/>
    <n v="10098259"/>
    <s v="D31"/>
    <s v="DEV D2C - Defeito estético manufatura"/>
    <s v="MANUFATURA"/>
    <x v="2"/>
    <n v="52052375"/>
    <x v="1498"/>
    <s v="ES"/>
    <n v="474"/>
    <s v="Site Brastemp"/>
    <n v="1352"/>
    <s v="W10657521"/>
    <s v="Portas"/>
    <x v="6"/>
    <n v="1000"/>
    <n v="5002359"/>
    <s v="EMPRESA BRASILEIRA DE CORREIOS E"/>
    <n v="87.06"/>
    <d v="2025-07-03T00:00:00"/>
  </r>
  <r>
    <n v="254038150"/>
    <n v="64816115"/>
    <s v="ZRDI"/>
    <n v="10079087"/>
    <n v="208"/>
    <s v="DEV-Atraso entrega- LOGISTICA(Transp)"/>
    <s v="TRANSPORTADORA"/>
    <x v="2"/>
    <n v="57978733"/>
    <x v="1499"/>
    <s v="SC"/>
    <n v="474"/>
    <s v="Site Brastemp"/>
    <n v="1352"/>
    <n v="326043145"/>
    <s v="Filtros"/>
    <x v="5"/>
    <n v="1000"/>
    <n v="5002359"/>
    <s v="EMPRESA BRASILEIRA DE CORREIOS E"/>
    <n v="87.03"/>
    <d v="2025-07-23T00:00:00"/>
  </r>
  <r>
    <n v="254038150"/>
    <n v="64816115"/>
    <s v="ZRDI"/>
    <n v="10079087"/>
    <n v="208"/>
    <s v="DEV-Atraso entrega- LOGISTICA(Transp)"/>
    <s v="TRANSPORTADORA"/>
    <x v="2"/>
    <n v="57978733"/>
    <x v="1499"/>
    <s v="SC"/>
    <n v="474"/>
    <s v="Site Brastemp"/>
    <n v="1352"/>
    <n v="326043145"/>
    <s v="Filtros"/>
    <x v="5"/>
    <n v="1000"/>
    <n v="5002359"/>
    <s v="EMPRESA BRASILEIRA DE CORREIOS E"/>
    <n v="87.03"/>
    <d v="2025-07-23T00:00:00"/>
  </r>
  <r>
    <n v="253961256"/>
    <n v="64737177"/>
    <s v="REB"/>
    <n v="9889764"/>
    <n v="167"/>
    <s v="PEÇAS - Avaria - Quebrada/Depósito"/>
    <s v="LOGÍSTICA"/>
    <x v="1"/>
    <n v="14474"/>
    <x v="25"/>
    <s v="RN"/>
    <n v="648"/>
    <s v="Ultra"/>
    <n v="1350"/>
    <n v="326051022"/>
    <s v="Capas"/>
    <x v="6"/>
    <n v="2000"/>
    <n v="5004101"/>
    <s v="UNIDOCK'S ASSESSORIA E LOGISTICA DE"/>
    <n v="86.9"/>
    <d v="2025-03-24T00:00:00"/>
  </r>
  <r>
    <n v="253988861"/>
    <n v="64763947"/>
    <s v="REB"/>
    <n v="9798254"/>
    <n v="173"/>
    <s v="PEÇAS - Defeito de fabric./Alta Amperage"/>
    <s v="FUNCIONAL"/>
    <x v="1"/>
    <n v="28707"/>
    <x v="209"/>
    <s v="SP"/>
    <n v="648"/>
    <s v="Ultra"/>
    <n v="1350"/>
    <n v="326060498"/>
    <s v="Motores Ventiladores"/>
    <x v="1"/>
    <n v="1000"/>
    <n v="5004042"/>
    <s v="BRASIL WEB TRANSPORTES E LOGISTICA"/>
    <n v="86.71"/>
    <d v="2025-05-05T00:00:00"/>
  </r>
  <r>
    <n v="254042463"/>
    <n v="64796897"/>
    <s v="REB"/>
    <n v="9500668"/>
    <n v="176"/>
    <s v="PEÇAS - Defeito de fabric./Interrompido"/>
    <s v="FUNCIONAL"/>
    <x v="0"/>
    <n v="12692"/>
    <x v="82"/>
    <s v="BA"/>
    <n v="641"/>
    <s v="CDP Diamante"/>
    <n v="1350"/>
    <s v="W11352536"/>
    <s v="Placas de Controle"/>
    <x v="1"/>
    <n v="1000"/>
    <n v="5004101"/>
    <s v="UNIDOCK'S ASSESSORIA E LOGISTICA DE"/>
    <n v="86.68"/>
    <d v="2025-06-24T00:00:00"/>
  </r>
  <r>
    <n v="254004012"/>
    <n v="64777991"/>
    <s v="REB"/>
    <n v="9571311"/>
    <n v="176"/>
    <s v="PEÇAS - Defeito de fabric./Interrompido"/>
    <s v="FUNCIONAL"/>
    <x v="1"/>
    <n v="56605"/>
    <x v="268"/>
    <s v="AL"/>
    <n v="934"/>
    <s v="CDP Ouro"/>
    <n v="1350"/>
    <s v="W10632497"/>
    <s v="Placas de Controle"/>
    <x v="1"/>
    <n v="1000"/>
    <n v="5004101"/>
    <s v="UNIDOCK'S ASSESSORIA E LOGISTICA DE"/>
    <n v="86.67"/>
    <d v="2025-05-26T00:00:00"/>
  </r>
  <r>
    <n v="254032491"/>
    <n v="64811453"/>
    <s v="REB"/>
    <n v="10075016"/>
    <n v="220"/>
    <s v="DEV-Avaria 1 trecho transp - Produto"/>
    <s v="QUALIDADE"/>
    <x v="1"/>
    <n v="4585"/>
    <x v="555"/>
    <s v="SC"/>
    <n v="350"/>
    <s v="Ats On"/>
    <n v="1350"/>
    <s v="W11298039"/>
    <s v="Gavetas"/>
    <x v="9"/>
    <n v="1000"/>
    <n v="5003024"/>
    <s v="RODOBRAS TRANSPORTES RODOVIARIOS LT"/>
    <n v="86.65"/>
    <d v="2025-07-16T00:00:00"/>
  </r>
  <r>
    <n v="253915633"/>
    <n v="64687622"/>
    <s v="REB"/>
    <n v="9810182"/>
    <n v="167"/>
    <s v="PEÇAS - Avaria - Quebrada/Depósito"/>
    <s v="LOGÍSTICA"/>
    <x v="1"/>
    <n v="83572"/>
    <x v="105"/>
    <s v="SP"/>
    <n v="931"/>
    <s v="Ats Off"/>
    <n v="1350"/>
    <s v="W10856154"/>
    <s v="Capas"/>
    <x v="6"/>
    <n v="3000"/>
    <n v="5003254"/>
    <s v="TMA TRANSPORTE LOTACAO E LOGISTICA"/>
    <n v="86.63"/>
    <d v="2025-01-09T00:00:00"/>
  </r>
  <r>
    <n v="253992748"/>
    <n v="64767312"/>
    <s v="REB"/>
    <n v="10018845"/>
    <n v="167"/>
    <s v="PEÇAS - Avaria - Quebrada/Depósito"/>
    <s v="LOGÍSTICA"/>
    <x v="2"/>
    <n v="54465"/>
    <x v="207"/>
    <s v="SP"/>
    <n v="644"/>
    <s v="Plus"/>
    <n v="1350"/>
    <n v="326047477"/>
    <s v="Gavetas"/>
    <x v="9"/>
    <n v="1000"/>
    <n v="5004042"/>
    <s v="BRASIL WEB TRANSPORTES E LOGISTICA"/>
    <n v="86.61"/>
    <d v="2025-05-12T00:00:00"/>
  </r>
  <r>
    <n v="254024632"/>
    <n v="64804728"/>
    <s v="ZRDI"/>
    <n v="10086627"/>
    <n v="208"/>
    <s v="DEV-Atraso entrega- LOGISTICA(Transp)"/>
    <s v="TRANSPORTADORA"/>
    <x v="2"/>
    <n v="54520055"/>
    <x v="1500"/>
    <s v="SC"/>
    <n v="475"/>
    <s v="Site Consul"/>
    <n v="1352"/>
    <s v="W10301562"/>
    <s v="Filtros"/>
    <x v="5"/>
    <n v="1000"/>
    <n v="5002359"/>
    <s v="EMPRESA BRASILEIRA DE CORREIOS E"/>
    <n v="86.58"/>
    <d v="2025-07-02T00:00:00"/>
  </r>
  <r>
    <n v="254004039"/>
    <n v="64777917"/>
    <s v="REB"/>
    <n v="9700957"/>
    <n v="173"/>
    <s v="PEÇAS - Defeito de fabric./Alta Amperage"/>
    <s v="FUNCIONAL"/>
    <x v="2"/>
    <n v="67948"/>
    <x v="15"/>
    <s v="SC"/>
    <n v="713"/>
    <s v="Key Account"/>
    <n v="1350"/>
    <s v="W11383840"/>
    <s v="Válvulas de Água"/>
    <x v="5"/>
    <n v="1000"/>
    <n v="5003024"/>
    <s v="RODOBRAS TRANSPORTES RODOVIARIOS LT"/>
    <n v="86.55"/>
    <d v="2025-05-26T00:00:00"/>
  </r>
  <r>
    <n v="254024632"/>
    <n v="64804728"/>
    <s v="ZRDI"/>
    <n v="10086627"/>
    <n v="208"/>
    <s v="DEV-Atraso entrega- LOGISTICA(Transp)"/>
    <s v="TRANSPORTADORA"/>
    <x v="2"/>
    <n v="54520055"/>
    <x v="1500"/>
    <s v="SC"/>
    <n v="475"/>
    <s v="Site Consul"/>
    <n v="1352"/>
    <s v="W10301562"/>
    <s v="Filtros"/>
    <x v="5"/>
    <n v="1000"/>
    <n v="5002359"/>
    <s v="EMPRESA BRASILEIRA DE CORREIOS E"/>
    <n v="86.55"/>
    <d v="2025-07-02T00:00:00"/>
  </r>
  <r>
    <n v="254027301"/>
    <n v="64725853"/>
    <s v="ZDVP"/>
    <n v="9558017"/>
    <n v="173"/>
    <s v="PEÇAS - Defeito de fabric./Alta Amperage"/>
    <s v="FUNCIONAL"/>
    <x v="2"/>
    <n v="61868"/>
    <x v="290"/>
    <s v="MA"/>
    <n v="643"/>
    <s v="Elite"/>
    <n v="1350"/>
    <s v="W11299803"/>
    <s v="Mecanismos"/>
    <x v="2"/>
    <n v="1000"/>
    <n v="5004101"/>
    <s v="UNIDOCK'S ASSESSORIA E LOGISTICA DE"/>
    <n v="86.54"/>
    <d v="2025-03-07T00:00:00"/>
  </r>
  <r>
    <n v="254027302"/>
    <n v="64726486"/>
    <s v="ZDVP"/>
    <n v="9558017"/>
    <n v="173"/>
    <s v="PEÇAS - Defeito de fabric./Alta Amperage"/>
    <s v="FUNCIONAL"/>
    <x v="2"/>
    <n v="61868"/>
    <x v="290"/>
    <s v="MA"/>
    <n v="643"/>
    <s v="Elite"/>
    <n v="1350"/>
    <s v="W11299803"/>
    <s v="Mecanismos"/>
    <x v="2"/>
    <n v="1000"/>
    <n v="5004101"/>
    <s v="UNIDOCK'S ASSESSORIA E LOGISTICA DE"/>
    <n v="86.54"/>
    <d v="2025-03-07T00:00:00"/>
  </r>
  <r>
    <n v="254041581"/>
    <n v="64726499"/>
    <s v="ZDVP"/>
    <n v="9558017"/>
    <n v="173"/>
    <s v="PEÇAS - Defeito de fabric./Alta Amperage"/>
    <s v="FUNCIONAL"/>
    <x v="0"/>
    <n v="61868"/>
    <x v="290"/>
    <s v="MA"/>
    <n v="643"/>
    <s v="Elite"/>
    <n v="1350"/>
    <s v="W11299803"/>
    <s v="Mecanismos"/>
    <x v="2"/>
    <n v="1000"/>
    <n v="5004101"/>
    <s v="UNIDOCK'S ASSESSORIA E LOGISTICA DE"/>
    <n v="86.54"/>
    <d v="2025-03-07T00:00:00"/>
  </r>
  <r>
    <n v="254043341"/>
    <n v="64745069"/>
    <s v="REB"/>
    <n v="9916634"/>
    <n v="167"/>
    <s v="PEÇAS - Avaria - Quebrada/Depósito"/>
    <s v="LOGÍSTICA"/>
    <x v="0"/>
    <n v="1255"/>
    <x v="254"/>
    <s v="CE"/>
    <n v="931"/>
    <s v="Ats Off"/>
    <n v="1350"/>
    <s v="W11298039"/>
    <s v="Gavetas"/>
    <x v="9"/>
    <n v="1000"/>
    <n v="5004101"/>
    <s v="UNIDOCK'S ASSESSORIA E LOGISTICA DE"/>
    <n v="86.53"/>
    <d v="2025-04-03T00:00:00"/>
  </r>
  <r>
    <n v="254033394"/>
    <n v="64806360"/>
    <s v="REB"/>
    <n v="10111445"/>
    <n v="173"/>
    <s v="PEÇAS - Defeito de fabric./Alta Amperage"/>
    <s v="FUNCIONAL"/>
    <x v="1"/>
    <n v="37434"/>
    <x v="95"/>
    <s v="GO"/>
    <n v="931"/>
    <s v="Ats Off"/>
    <n v="1350"/>
    <s v="W10882241"/>
    <s v="Agitadores"/>
    <x v="2"/>
    <n v="2000"/>
    <n v="5002858"/>
    <s v="FAVORITA TRANSPORTES LTDA"/>
    <n v="86.51"/>
    <d v="2025-07-08T00:00:00"/>
  </r>
  <r>
    <n v="253970717"/>
    <n v="64748857"/>
    <s v="REB"/>
    <n v="9853586"/>
    <n v="177"/>
    <s v="PEÇAS - Defeito de fabric./Ruído"/>
    <s v="FUNCIONAL"/>
    <x v="1"/>
    <n v="4318"/>
    <x v="89"/>
    <s v="SC"/>
    <n v="931"/>
    <s v="Ats Off"/>
    <n v="1350"/>
    <s v="W10470951"/>
    <s v="Correias"/>
    <x v="2"/>
    <n v="10000"/>
    <n v="5003024"/>
    <s v="RODOBRAS TRANSPORTES RODOVIARIOS LT"/>
    <n v="86.37"/>
    <d v="2025-04-09T00:00:00"/>
  </r>
  <r>
    <n v="254003906"/>
    <n v="64775432"/>
    <s v="REB"/>
    <n v="9840947"/>
    <n v="173"/>
    <s v="PEÇAS - Defeito de fabric./Alta Amperage"/>
    <s v="FUNCIONAL"/>
    <x v="1"/>
    <n v="27770"/>
    <x v="37"/>
    <s v="AL"/>
    <n v="641"/>
    <s v="CDP Diamante"/>
    <n v="1350"/>
    <s v="W10632497"/>
    <s v="Placas de Controle"/>
    <x v="1"/>
    <n v="1000"/>
    <n v="5004101"/>
    <s v="UNIDOCK'S ASSESSORIA E LOGISTICA DE"/>
    <n v="86.26"/>
    <d v="2025-05-26T00:00:00"/>
  </r>
  <r>
    <n v="254033934"/>
    <n v="64812462"/>
    <s v="ZRDI"/>
    <n v="10081756"/>
    <n v="208"/>
    <s v="DEV-Atraso entrega- LOGISTICA(Transp)"/>
    <s v="TRANSPORTADORA"/>
    <x v="2"/>
    <n v="57980159"/>
    <x v="1501"/>
    <s v="AL"/>
    <n v="474"/>
    <s v="Site Brastemp"/>
    <n v="1352"/>
    <s v="W10866789"/>
    <s v="Kits Instalação"/>
    <x v="7"/>
    <n v="1000"/>
    <n v="5002359"/>
    <s v="EMPRESA BRASILEIRA DE CORREIOS E"/>
    <n v="86.22"/>
    <d v="2025-07-17T00:00:00"/>
  </r>
  <r>
    <n v="253870857"/>
    <n v="64627433"/>
    <s v="REB"/>
    <n v="9475931"/>
    <n v="671"/>
    <s v="DEV-ENVIADO PARA GESTÃO DE CONSEQUENCIA"/>
    <s v="TRANSPORTADORA"/>
    <x v="1"/>
    <n v="21330"/>
    <x v="80"/>
    <s v="PR"/>
    <n v="643"/>
    <s v="Elite"/>
    <n v="1350"/>
    <s v="W11299803"/>
    <s v="Mecanismos"/>
    <x v="2"/>
    <n v="1000"/>
    <n v="5003024"/>
    <s v="RODOBRAS TRANSPORTES RODOVIARIOS LT"/>
    <n v="86.19"/>
    <d v="2024-11-04T00:00:00"/>
  </r>
  <r>
    <s v="Sem TR"/>
    <n v="64808439"/>
    <s v="ZRDI"/>
    <n v="10082834"/>
    <s v="D18"/>
    <s v="DEV D2C - Arrependimento não quero mais"/>
    <s v="COMERCIAL"/>
    <x v="2"/>
    <n v="58080054"/>
    <x v="1502"/>
    <s v="ES"/>
    <n v="466"/>
    <s v="Sup ML Marketplace"/>
    <n v="1352"/>
    <s v="W10754152"/>
    <s v="Gavetas"/>
    <x v="9"/>
    <n v="1000"/>
    <n v="5002359"/>
    <s v="EMPRESA BRASILEIRA DE CORREIOS E"/>
    <n v="86.05"/>
    <d v="2025-07-10T00:00:00"/>
  </r>
  <r>
    <s v="Sem TR"/>
    <n v="64808439"/>
    <s v="ZRDI"/>
    <n v="10082834"/>
    <s v="D18"/>
    <s v="DEV D2C - Arrependimento não quero mais"/>
    <s v="COMERCIAL"/>
    <x v="2"/>
    <n v="58080054"/>
    <x v="1502"/>
    <s v="ES"/>
    <n v="466"/>
    <s v="Sup ML Marketplace"/>
    <n v="1352"/>
    <s v="W10754152"/>
    <s v="Gavetas"/>
    <x v="9"/>
    <n v="1000"/>
    <n v="5002359"/>
    <s v="EMPRESA BRASILEIRA DE CORREIOS E"/>
    <n v="86.05"/>
    <d v="2025-07-10T00:00:00"/>
  </r>
  <r>
    <n v="253997977"/>
    <n v="64765237"/>
    <s v="REB"/>
    <n v="9894538"/>
    <n v="173"/>
    <s v="PEÇAS - Defeito de fabric./Alta Amperage"/>
    <s v="FUNCIONAL"/>
    <x v="2"/>
    <n v="49243"/>
    <x v="67"/>
    <s v="MS"/>
    <n v="643"/>
    <s v="Elite"/>
    <n v="1350"/>
    <s v="W10632495"/>
    <s v="Placas de Controle"/>
    <x v="1"/>
    <n v="1000"/>
    <n v="5002573"/>
    <s v="CARVALIMA TRANSPORTES LTDA"/>
    <n v="85.99"/>
    <d v="2025-05-20T00:00:00"/>
  </r>
  <r>
    <n v="253930942"/>
    <n v="64703982"/>
    <s v="REB"/>
    <n v="9760938"/>
    <n v="173"/>
    <s v="PEÇAS - Defeito de fabric./Alta Amperage"/>
    <s v="FUNCIONAL"/>
    <x v="1"/>
    <n v="2898"/>
    <x v="353"/>
    <s v="CE"/>
    <n v="931"/>
    <s v="Ats Off"/>
    <n v="1350"/>
    <s v="W11299803"/>
    <s v="Mecanismos"/>
    <x v="2"/>
    <n v="1000"/>
    <n v="5004101"/>
    <s v="UNIDOCK'S ASSESSORIA E LOGISTICA DE"/>
    <n v="85.92"/>
    <d v="2025-01-31T00:00:00"/>
  </r>
  <r>
    <n v="253995246"/>
    <n v="64772295"/>
    <s v="REB"/>
    <n v="9988824"/>
    <n v="173"/>
    <s v="PEÇAS - Defeito de fabric./Alta Amperage"/>
    <s v="FUNCIONAL"/>
    <x v="2"/>
    <n v="87707"/>
    <x v="143"/>
    <s v="BA"/>
    <n v="648"/>
    <s v="Ultra"/>
    <n v="1350"/>
    <s v="W10632495"/>
    <s v="Placas de Controle"/>
    <x v="1"/>
    <n v="1000"/>
    <n v="5004101"/>
    <s v="UNIDOCK'S ASSESSORIA E LOGISTICA DE"/>
    <n v="85.88"/>
    <d v="2025-05-16T00:00:00"/>
  </r>
  <r>
    <s v="Sem TR"/>
    <n v="64803610"/>
    <s v="ZRDI"/>
    <n v="10099856"/>
    <s v="D10"/>
    <s v="DEV D2C - Comprou modelo errado"/>
    <s v="COMERCIAL"/>
    <x v="2"/>
    <n v="58110975"/>
    <x v="1503"/>
    <s v="SP"/>
    <n v="474"/>
    <s v="Site Brastemp"/>
    <n v="1352"/>
    <s v="W10657521"/>
    <s v="Portas"/>
    <x v="6"/>
    <n v="1000"/>
    <n v="5002359"/>
    <s v="EMPRESA BRASILEIRA DE CORREIOS E"/>
    <n v="85.78"/>
    <d v="2025-07-01T00:00:00"/>
  </r>
  <r>
    <s v="Sem TR"/>
    <n v="64807132"/>
    <s v="ZRDI"/>
    <n v="10103120"/>
    <n v="160"/>
    <s v="OI Cancelada - Ver motivo no texto"/>
    <s v="OUTROS"/>
    <x v="2"/>
    <n v="50680568"/>
    <x v="1504"/>
    <s v="SP"/>
    <n v="474"/>
    <s v="Site Brastemp"/>
    <n v="1352"/>
    <s v="W10397599"/>
    <s v="Prateleiras"/>
    <x v="9"/>
    <n v="1000"/>
    <n v="5002359"/>
    <s v="EMPRESA BRASILEIRA DE CORREIOS E"/>
    <n v="85.65"/>
    <d v="2025-07-11T00:00:00"/>
  </r>
  <r>
    <s v="Sem TR"/>
    <n v="64803977"/>
    <s v="ZRDI"/>
    <n v="10135640"/>
    <s v="D22"/>
    <s v="DEV D2C - Prob na entrega (Atend Transp)"/>
    <s v="TRANSPORTADORA"/>
    <x v="2"/>
    <n v="58155583"/>
    <x v="1505"/>
    <s v="SP"/>
    <n v="474"/>
    <s v="Site Brastemp"/>
    <n v="1352"/>
    <s v="W11245249"/>
    <s v="Válvulas de Água"/>
    <x v="5"/>
    <n v="1000"/>
    <n v="5002359"/>
    <s v="EMPRESA BRASILEIRA DE CORREIOS E"/>
    <n v="85.62"/>
    <d v="2025-07-26T00:00:00"/>
  </r>
  <r>
    <n v="254032558"/>
    <n v="64811503"/>
    <s v="ZRDI"/>
    <n v="10103445"/>
    <n v="208"/>
    <s v="DEV-Atraso entrega- LOGISTICA(Transp)"/>
    <s v="TRANSPORTADORA"/>
    <x v="2"/>
    <n v="58115010"/>
    <x v="1506"/>
    <s v="PR"/>
    <n v="474"/>
    <s v="Site Brastemp"/>
    <n v="1352"/>
    <s v="W11213068"/>
    <s v="Acessórios"/>
    <x v="7"/>
    <n v="2000"/>
    <n v="5002359"/>
    <s v="EMPRESA BRASILEIRA DE CORREIOS E"/>
    <n v="85.62"/>
    <d v="2025-07-16T00:00:00"/>
  </r>
  <r>
    <s v="Sem TR"/>
    <n v="64803977"/>
    <s v="ZRDI"/>
    <n v="10135640"/>
    <s v="D22"/>
    <s v="DEV D2C - Prob na entrega (Atend Transp)"/>
    <s v="TRANSPORTADORA"/>
    <x v="2"/>
    <n v="58155583"/>
    <x v="1505"/>
    <s v="SP"/>
    <n v="474"/>
    <s v="Site Brastemp"/>
    <n v="1352"/>
    <s v="W11245249"/>
    <s v="Válvulas de Água"/>
    <x v="5"/>
    <n v="1000"/>
    <n v="5002359"/>
    <s v="EMPRESA BRASILEIRA DE CORREIOS E"/>
    <n v="85.62"/>
    <d v="2025-07-26T00:00:00"/>
  </r>
  <r>
    <n v="254007589"/>
    <n v="64773967"/>
    <s v="REB"/>
    <n v="9711454"/>
    <n v="173"/>
    <s v="PEÇAS - Defeito de fabric./Alta Amperage"/>
    <s v="FUNCIONAL"/>
    <x v="2"/>
    <n v="47471"/>
    <x v="424"/>
    <s v="TO"/>
    <n v="643"/>
    <s v="Elite"/>
    <n v="1350"/>
    <s v="W10678918"/>
    <s v="Placas de Controle"/>
    <x v="1"/>
    <n v="1000"/>
    <n v="5002858"/>
    <s v="FAVORITA TRANSPORTES LTDA"/>
    <n v="85.59"/>
    <d v="2025-06-02T00:00:00"/>
  </r>
  <r>
    <n v="254012519"/>
    <n v="64786053"/>
    <s v="REB"/>
    <n v="10005714"/>
    <n v="173"/>
    <s v="PEÇAS - Defeito de fabric./Alta Amperage"/>
    <s v="FUNCIONAL"/>
    <x v="2"/>
    <n v="37434"/>
    <x v="95"/>
    <s v="GO"/>
    <n v="931"/>
    <s v="Ats Off"/>
    <n v="1350"/>
    <s v="W11307524"/>
    <s v="Placas de Interface"/>
    <x v="1"/>
    <n v="1000"/>
    <n v="5002858"/>
    <s v="FAVORITA TRANSPORTES LTDA"/>
    <n v="85.55"/>
    <d v="2025-06-10T00:00:00"/>
  </r>
  <r>
    <n v="254041599"/>
    <n v="64728890"/>
    <s v="ZDVP"/>
    <n v="9852479"/>
    <n v="160"/>
    <s v="OI Cancelada - Ver motivo no texto"/>
    <s v="OUTROS"/>
    <x v="0"/>
    <n v="60342"/>
    <x v="31"/>
    <s v="BA"/>
    <n v="648"/>
    <s v="Ultra"/>
    <n v="1350"/>
    <s v="W11299803"/>
    <s v="Mecanismos"/>
    <x v="2"/>
    <n v="1000"/>
    <n v="5004101"/>
    <s v="UNIDOCK'S ASSESSORIA E LOGISTICA DE"/>
    <n v="85.55"/>
    <d v="2025-03-10T00:00:00"/>
  </r>
  <r>
    <n v="254012519"/>
    <n v="64789514"/>
    <s v="REB"/>
    <n v="10048615"/>
    <n v="173"/>
    <s v="PEÇAS - Defeito de fabric./Alta Amperage"/>
    <s v="FUNCIONAL"/>
    <x v="2"/>
    <n v="37434"/>
    <x v="95"/>
    <s v="GO"/>
    <n v="931"/>
    <s v="Ats Off"/>
    <n v="1350"/>
    <s v="W11396188"/>
    <s v="Placas de Interface"/>
    <x v="1"/>
    <n v="1000"/>
    <n v="5002858"/>
    <s v="FAVORITA TRANSPORTES LTDA"/>
    <n v="85.52"/>
    <d v="2025-06-10T00:00:00"/>
  </r>
  <r>
    <n v="253944071"/>
    <n v="64649420"/>
    <s v="REB"/>
    <n v="9708620"/>
    <n v="115"/>
    <s v="PEÇAS-Recusa do cliente"/>
    <s v="COMERCIAL"/>
    <x v="1"/>
    <n v="67852"/>
    <x v="784"/>
    <s v="MT"/>
    <n v="350"/>
    <s v="Ats On"/>
    <n v="1350"/>
    <n v="4258010"/>
    <s v="Parafusos e afins"/>
    <x v="10"/>
    <n v="10000"/>
    <n v="5002573"/>
    <s v="CARVALIMA TRANSPORTES LTDA"/>
    <n v="85.52"/>
    <d v="2024-12-03T00:00:00"/>
  </r>
  <r>
    <s v="Sem TR"/>
    <n v="64777926"/>
    <s v="REB"/>
    <n v="10038231"/>
    <n v="509"/>
    <s v="Qtd de peças a Menor dentro do Volume"/>
    <s v="LOGÍSTICA"/>
    <x v="1"/>
    <n v="85461"/>
    <x v="180"/>
    <s v="MG"/>
    <n v="641"/>
    <s v="CDP Diamante"/>
    <n v="1350"/>
    <s v="W10632495"/>
    <s v="Placas de Controle"/>
    <x v="1"/>
    <n v="1000"/>
    <n v="5002359"/>
    <s v="EMPRESA BRASILEIRA DE CORREIOS E"/>
    <n v="85.47"/>
    <d v="2025-05-26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231316"/>
    <s v="Válvulas de Água"/>
    <x v="5"/>
    <n v="3000"/>
    <n v="5002359"/>
    <s v="EMPRESA BRASILEIRA DE CORREIOS E"/>
    <n v="85.43"/>
    <d v="2025-07-08T00:00:00"/>
  </r>
  <r>
    <n v="254038152"/>
    <n v="64816117"/>
    <s v="ZRDI"/>
    <n v="10081426"/>
    <n v="208"/>
    <s v="DEV-Atraso entrega- LOGISTICA(Transp)"/>
    <s v="TRANSPORTADORA"/>
    <x v="2"/>
    <n v="58081442"/>
    <x v="1507"/>
    <s v="BA"/>
    <n v="475"/>
    <s v="Site Consul"/>
    <n v="1352"/>
    <s v="W10866789"/>
    <s v="Kits Instalação"/>
    <x v="7"/>
    <n v="1000"/>
    <n v="5002359"/>
    <s v="EMPRESA BRASILEIRA DE CORREIOS E"/>
    <n v="85.4"/>
    <d v="2025-07-23T00:00:00"/>
  </r>
  <r>
    <n v="254038152"/>
    <n v="64816117"/>
    <s v="ZRDI"/>
    <n v="10081426"/>
    <n v="208"/>
    <s v="DEV-Atraso entrega- LOGISTICA(Transp)"/>
    <s v="TRANSPORTADORA"/>
    <x v="2"/>
    <n v="58081442"/>
    <x v="1507"/>
    <s v="BA"/>
    <n v="475"/>
    <s v="Site Consul"/>
    <n v="1352"/>
    <s v="W10866789"/>
    <s v="Kits Instalação"/>
    <x v="7"/>
    <n v="1000"/>
    <n v="5002359"/>
    <s v="EMPRESA BRASILEIRA DE CORREIOS E"/>
    <n v="85.4"/>
    <d v="2025-07-23T00:00:00"/>
  </r>
  <r>
    <n v="254021265"/>
    <n v="64798920"/>
    <s v="ZRDI"/>
    <n v="10065887"/>
    <n v="208"/>
    <s v="DEV-Atraso entrega- LOGISTICA(Transp)"/>
    <s v="TRANSPORTADORA"/>
    <x v="2"/>
    <n v="56444572"/>
    <x v="1508"/>
    <s v="CE"/>
    <n v="475"/>
    <s v="Site Consul"/>
    <n v="1352"/>
    <s v="W11199342"/>
    <s v="Filtros"/>
    <x v="5"/>
    <n v="1000"/>
    <n v="5002359"/>
    <s v="EMPRESA BRASILEIRA DE CORREIOS E"/>
    <n v="85.26"/>
    <d v="2025-06-26T00:00:00"/>
  </r>
  <r>
    <s v="Sem TR"/>
    <n v="64815924"/>
    <s v="ZRDI"/>
    <n v="10115538"/>
    <s v="D10"/>
    <s v="DEV D2C - Comprou modelo errado"/>
    <s v="COMERCIAL"/>
    <x v="2"/>
    <n v="52773729"/>
    <x v="1509"/>
    <s v="RS"/>
    <n v="474"/>
    <s v="Site Brastemp"/>
    <n v="1352"/>
    <s v="W11213068"/>
    <s v="Acessórios"/>
    <x v="7"/>
    <n v="2000"/>
    <n v="5002359"/>
    <s v="EMPRESA BRASILEIRA DE CORREIOS E"/>
    <n v="85.24"/>
    <d v="2025-07-23T00:00:00"/>
  </r>
  <r>
    <s v="Sem TR"/>
    <n v="64815924"/>
    <s v="ZRDI"/>
    <n v="10115538"/>
    <s v="D10"/>
    <s v="DEV D2C - Comprou modelo errado"/>
    <s v="COMERCIAL"/>
    <x v="2"/>
    <n v="52773729"/>
    <x v="1509"/>
    <s v="RS"/>
    <n v="474"/>
    <s v="Site Brastemp"/>
    <n v="1352"/>
    <s v="W11213068"/>
    <s v="Acessórios"/>
    <x v="7"/>
    <n v="2000"/>
    <n v="5002359"/>
    <s v="EMPRESA BRASILEIRA DE CORREIOS E"/>
    <n v="85.24"/>
    <d v="2025-07-23T00:00:00"/>
  </r>
  <r>
    <n v="254021265"/>
    <n v="64798920"/>
    <s v="ZRDI"/>
    <n v="10065887"/>
    <n v="208"/>
    <s v="DEV-Atraso entrega- LOGISTICA(Transp)"/>
    <s v="TRANSPORTADORA"/>
    <x v="2"/>
    <n v="56444572"/>
    <x v="1508"/>
    <s v="CE"/>
    <n v="475"/>
    <s v="Site Consul"/>
    <n v="1352"/>
    <s v="W11199342"/>
    <s v="Filtros"/>
    <x v="5"/>
    <n v="1000"/>
    <n v="5002359"/>
    <s v="EMPRESA BRASILEIRA DE CORREIOS E"/>
    <n v="85.23"/>
    <d v="2025-06-26T00:00:00"/>
  </r>
  <r>
    <n v="253988790"/>
    <n v="64764318"/>
    <s v="REB"/>
    <n v="9977986"/>
    <n v="176"/>
    <s v="PEÇAS - Defeito de fabric./Interrompido"/>
    <s v="FUNCIONAL"/>
    <x v="1"/>
    <n v="3652"/>
    <x v="51"/>
    <s v="SP"/>
    <n v="350"/>
    <s v="Ats On"/>
    <n v="1350"/>
    <n v="326076881"/>
    <s v="Resistências"/>
    <x v="1"/>
    <n v="1000"/>
    <n v="5004042"/>
    <s v="BRASIL WEB TRANSPORTES E LOGISTICA"/>
    <n v="85.2"/>
    <d v="2025-05-05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0615565"/>
    <s v="Bandejas"/>
    <x v="9"/>
    <n v="10000"/>
    <n v="5003024"/>
    <s v="RODOBRAS TRANSPORTES RODOVIARIOS LT"/>
    <n v="85.17"/>
    <d v="2025-01-16T00:00:00"/>
  </r>
  <r>
    <n v="254030541"/>
    <n v="64800097"/>
    <s v="REB"/>
    <n v="10089452"/>
    <n v="167"/>
    <s v="PEÇAS - Avaria - Quebrada/Depósito"/>
    <s v="LOGÍSTICA"/>
    <x v="1"/>
    <n v="88969"/>
    <x v="101"/>
    <s v="SC"/>
    <n v="641"/>
    <s v="CDP Diamante"/>
    <n v="1350"/>
    <s v="W10624070"/>
    <s v="Gavetas"/>
    <x v="9"/>
    <n v="1000"/>
    <n v="5003024"/>
    <s v="RODOBRAS TRANSPORTES RODOVIARIOS LT"/>
    <n v="85.07"/>
    <d v="2025-07-01T00:00:00"/>
  </r>
  <r>
    <n v="254030533"/>
    <n v="64802440"/>
    <s v="REB"/>
    <n v="10068300"/>
    <n v="176"/>
    <s v="PEÇAS - Defeito de fabric./Interrompido"/>
    <s v="FUNCIONAL"/>
    <x v="2"/>
    <n v="69166"/>
    <x v="129"/>
    <s v="RJ"/>
    <n v="931"/>
    <s v="Ats Off"/>
    <n v="1350"/>
    <s v="W11655499"/>
    <s v="Dispensers"/>
    <x v="9"/>
    <n v="1000"/>
    <n v="5003176"/>
    <s v="J C THEDIN TRANSPORTES LTDA"/>
    <n v="85.06"/>
    <d v="2025-07-01T00:00:00"/>
  </r>
  <r>
    <s v="Sem TR"/>
    <n v="64810948"/>
    <s v="ZRDI"/>
    <n v="10128450"/>
    <s v="D30"/>
    <s v="DEV D2C - Defeito funcional manufatura"/>
    <s v="MANUFATURA"/>
    <x v="2"/>
    <n v="52503922"/>
    <x v="1510"/>
    <s v="SP"/>
    <n v="474"/>
    <s v="Site Brastemp"/>
    <n v="1352"/>
    <s v="W10754152"/>
    <s v="Gavetas"/>
    <x v="9"/>
    <n v="1000"/>
    <n v="5002359"/>
    <s v="EMPRESA BRASILEIRA DE CORREIOS E"/>
    <n v="85.04"/>
    <d v="2025-07-21T00:00:00"/>
  </r>
  <r>
    <n v="254042121"/>
    <n v="64795904"/>
    <s v="REB"/>
    <n v="10075009"/>
    <n v="165"/>
    <s v="PEÇAS - Defeito de fabric./Incompleta"/>
    <s v="FUNCIONAL"/>
    <x v="0"/>
    <n v="4354"/>
    <x v="871"/>
    <s v="PR"/>
    <n v="350"/>
    <s v="Ats On"/>
    <n v="1350"/>
    <n v="326072657"/>
    <s v="Peças Transmissão/Embreagens"/>
    <x v="2"/>
    <n v="1000"/>
    <n v="5003024"/>
    <s v="RODOBRAS TRANSPORTES RODOVIARIOS LT"/>
    <n v="85.01"/>
    <d v="2025-06-23T00:00:00"/>
  </r>
  <r>
    <n v="254042049"/>
    <n v="64745817"/>
    <s v="REB"/>
    <n v="9941940"/>
    <n v="115"/>
    <s v="PEÇAS-Recusa do cliente"/>
    <s v="COMERCIAL"/>
    <x v="0"/>
    <n v="81258"/>
    <x v="1511"/>
    <s v="PR"/>
    <n v="350"/>
    <s v="Ats On"/>
    <n v="1350"/>
    <n v="326049974"/>
    <s v="Parafusos e afins"/>
    <x v="10"/>
    <n v="30000"/>
    <n v="5003024"/>
    <s v="RODOBRAS TRANSPORTES RODOVIARIOS LT"/>
    <n v="84.99"/>
    <d v="2025-04-04T00:00:00"/>
  </r>
  <r>
    <s v="Sem TR"/>
    <n v="64777078"/>
    <s v="REB"/>
    <n v="10051055"/>
    <n v="509"/>
    <s v="Qtd de peças a Menor dentro do Volume"/>
    <s v="LOGÍSTICA"/>
    <x v="2"/>
    <n v="28434"/>
    <x v="112"/>
    <s v="DF"/>
    <n v="648"/>
    <s v="Ultra"/>
    <n v="1350"/>
    <s v="W10292562"/>
    <s v="Capas"/>
    <x v="6"/>
    <n v="4000"/>
    <n v="5002359"/>
    <s v="EMPRESA BRASILEIRA DE CORREIOS E"/>
    <n v="84.9"/>
    <d v="2025-06-10T00:00:00"/>
  </r>
  <r>
    <s v="Sem TR"/>
    <n v="64798025"/>
    <s v="ZRDI"/>
    <n v="10085311"/>
    <s v="D10"/>
    <s v="DEV D2C - Comprou modelo errado"/>
    <s v="COMERCIAL"/>
    <x v="2"/>
    <n v="52514317"/>
    <x v="1512"/>
    <s v="SP"/>
    <n v="466"/>
    <s v="Sup ML Marketplace"/>
    <n v="1352"/>
    <s v="W10754152"/>
    <s v="Gavetas"/>
    <x v="9"/>
    <n v="1000"/>
    <n v="5002359"/>
    <s v="EMPRESA BRASILEIRA DE CORREIOS E"/>
    <n v="84.86"/>
    <d v="2025-06-27T00:00:00"/>
  </r>
  <r>
    <n v="253967873"/>
    <n v="64746120"/>
    <s v="REB"/>
    <n v="9948623"/>
    <n v="167"/>
    <s v="PEÇAS - Avaria - Quebrada/Depósito"/>
    <s v="LOGÍSTICA"/>
    <x v="1"/>
    <n v="76076"/>
    <x v="449"/>
    <s v="RS"/>
    <n v="931"/>
    <s v="Ats Off"/>
    <n v="1350"/>
    <s v="W11113394"/>
    <s v="Gavetas"/>
    <x v="9"/>
    <n v="1000"/>
    <n v="5003024"/>
    <s v="RODOBRAS TRANSPORTES RODOVIARIOS LT"/>
    <n v="84.84"/>
    <d v="2025-04-04T00:00:00"/>
  </r>
  <r>
    <n v="254004039"/>
    <n v="64758638"/>
    <s v="REB"/>
    <n v="9659560"/>
    <n v="173"/>
    <s v="PEÇAS - Defeito de fabric./Alta Amperage"/>
    <s v="FUNCIONAL"/>
    <x v="2"/>
    <n v="67948"/>
    <x v="15"/>
    <s v="SC"/>
    <n v="713"/>
    <s v="Key Account"/>
    <n v="1350"/>
    <s v="W11508048"/>
    <s v="Placas de Interface"/>
    <x v="1"/>
    <n v="1000"/>
    <n v="5003024"/>
    <s v="RODOBRAS TRANSPORTES RODOVIARIOS LT"/>
    <n v="84.75"/>
    <d v="2025-05-26T00:00:00"/>
  </r>
  <r>
    <n v="254032580"/>
    <n v="64811521"/>
    <s v="ZRDI"/>
    <n v="10112324"/>
    <n v="208"/>
    <s v="DEV-Atraso entrega- LOGISTICA(Transp)"/>
    <s v="TRANSPORTADORA"/>
    <x v="2"/>
    <n v="4302422"/>
    <x v="1513"/>
    <s v="PB"/>
    <n v="475"/>
    <s v="Site Consul"/>
    <n v="1352"/>
    <s v="W10866789"/>
    <s v="Kits Instalação"/>
    <x v="7"/>
    <n v="1000"/>
    <n v="5002359"/>
    <s v="EMPRESA BRASILEIRA DE CORREIOS E"/>
    <n v="84.67"/>
    <d v="2025-07-16T00:00:00"/>
  </r>
  <r>
    <s v="Sem TR"/>
    <n v="64814024"/>
    <s v="ZRDI"/>
    <n v="10103526"/>
    <n v="208"/>
    <s v="DEV-Atraso entrega- LOGISTICA(Transp)"/>
    <s v="TRANSPORTADORA"/>
    <x v="2"/>
    <n v="51806303"/>
    <x v="1197"/>
    <s v="SP"/>
    <n v="475"/>
    <s v="Site Consul"/>
    <n v="1352"/>
    <s v="W10200101"/>
    <s v="Prateleiras"/>
    <x v="9"/>
    <n v="1000"/>
    <n v="5002359"/>
    <s v="EMPRESA BRASILEIRA DE CORREIOS E"/>
    <n v="84.67"/>
    <d v="2025-07-21T00:00:00"/>
  </r>
  <r>
    <n v="254032580"/>
    <n v="64811521"/>
    <s v="ZRDI"/>
    <n v="10112324"/>
    <n v="208"/>
    <s v="DEV-Atraso entrega- LOGISTICA(Transp)"/>
    <s v="TRANSPORTADORA"/>
    <x v="2"/>
    <n v="4302422"/>
    <x v="1513"/>
    <s v="PB"/>
    <n v="475"/>
    <s v="Site Consul"/>
    <n v="1352"/>
    <s v="W10866789"/>
    <s v="Kits Instalação"/>
    <x v="7"/>
    <n v="1000"/>
    <n v="5002359"/>
    <s v="EMPRESA BRASILEIRA DE CORREIOS E"/>
    <n v="84.67"/>
    <d v="2025-07-16T00:00:00"/>
  </r>
  <r>
    <n v="254012521"/>
    <n v="64789107"/>
    <s v="REB"/>
    <n v="10057657"/>
    <n v="167"/>
    <s v="PEÇAS - Avaria - Quebrada/Depósito"/>
    <s v="LOGÍSTICA"/>
    <x v="1"/>
    <n v="38442"/>
    <x v="943"/>
    <s v="RS"/>
    <n v="641"/>
    <s v="CDP Diamante"/>
    <n v="1350"/>
    <s v="W11131780"/>
    <s v="Dispensers"/>
    <x v="9"/>
    <n v="1000"/>
    <n v="5003024"/>
    <s v="RODOBRAS TRANSPORTES RODOVIARIOS LT"/>
    <n v="84.63"/>
    <d v="2025-06-10T00:00:00"/>
  </r>
  <r>
    <n v="254012433"/>
    <n v="64782018"/>
    <s v="REB"/>
    <n v="9634056"/>
    <n v="176"/>
    <s v="PEÇAS - Defeito de fabric./Interrompido"/>
    <s v="FUNCIONAL"/>
    <x v="2"/>
    <n v="66"/>
    <x v="73"/>
    <s v="GO"/>
    <n v="931"/>
    <s v="Ats Off"/>
    <n v="1350"/>
    <s v="W11487588"/>
    <s v="Micro Chaves/Reed Switches"/>
    <x v="3"/>
    <n v="1000"/>
    <n v="5002858"/>
    <s v="FAVORITA TRANSPORTES LTDA"/>
    <n v="84.62"/>
    <d v="2025-06-10T00:00:00"/>
  </r>
  <r>
    <n v="254012491"/>
    <n v="64788500"/>
    <s v="REB"/>
    <n v="10060714"/>
    <n v="167"/>
    <s v="PEÇAS - Avaria - Quebrada/Depósito"/>
    <s v="LOGÍSTICA"/>
    <x v="1"/>
    <n v="27574"/>
    <x v="938"/>
    <s v="SP"/>
    <n v="641"/>
    <s v="CDP Diamante"/>
    <n v="1350"/>
    <s v="W10619463"/>
    <s v="Pressostatos"/>
    <x v="3"/>
    <n v="2000"/>
    <n v="5004042"/>
    <s v="BRASIL WEB TRANSPORTES E LOGISTICA"/>
    <n v="84.57"/>
    <d v="2025-06-10T00:00:00"/>
  </r>
  <r>
    <n v="254024163"/>
    <n v="64803881"/>
    <s v="ZRDI"/>
    <n v="10106263"/>
    <n v="208"/>
    <s v="DEV-Atraso entrega- LOGISTICA(Transp)"/>
    <s v="TRANSPORTADORA"/>
    <x v="2"/>
    <n v="5527297"/>
    <x v="1514"/>
    <s v="RJ"/>
    <n v="474"/>
    <s v="Site Brastemp"/>
    <n v="1352"/>
    <s v="W11316366"/>
    <s v="Gaxetas"/>
    <x v="4"/>
    <n v="1000"/>
    <n v="5002359"/>
    <s v="EMPRESA BRASILEIRA DE CORREIOS E"/>
    <n v="84.53"/>
    <d v="2025-07-01T00:00:00"/>
  </r>
  <r>
    <n v="254024163"/>
    <n v="64803881"/>
    <s v="ZRDI"/>
    <n v="10106263"/>
    <n v="208"/>
    <s v="DEV-Atraso entrega- LOGISTICA(Transp)"/>
    <s v="TRANSPORTADORA"/>
    <x v="2"/>
    <n v="5527297"/>
    <x v="1514"/>
    <s v="RJ"/>
    <n v="474"/>
    <s v="Site Brastemp"/>
    <n v="1352"/>
    <s v="W11316366"/>
    <s v="Gaxetas"/>
    <x v="4"/>
    <n v="1000"/>
    <n v="5002359"/>
    <s v="EMPRESA BRASILEIRA DE CORREIOS E"/>
    <n v="84.53"/>
    <d v="2025-07-01T00:00:00"/>
  </r>
  <r>
    <n v="253992775"/>
    <n v="64768473"/>
    <s v="REB"/>
    <n v="10009352"/>
    <n v="167"/>
    <s v="PEÇAS - Avaria - Quebrada/Depósito"/>
    <s v="LOGÍSTICA"/>
    <x v="2"/>
    <n v="78757"/>
    <x v="50"/>
    <s v="RS"/>
    <n v="643"/>
    <s v="Elite"/>
    <n v="1350"/>
    <n v="326051022"/>
    <s v="Capas"/>
    <x v="6"/>
    <n v="2000"/>
    <n v="5003024"/>
    <s v="RODOBRAS TRANSPORTES RODOVIARIOS LT"/>
    <n v="84.51"/>
    <d v="2025-05-12T00:00:00"/>
  </r>
  <r>
    <n v="254031878"/>
    <n v="64807396"/>
    <s v="REB"/>
    <n v="9969682"/>
    <n v="176"/>
    <s v="PEÇAS - Defeito de fabric./Interrompido"/>
    <s v="FUNCIONAL"/>
    <x v="1"/>
    <n v="3506"/>
    <x v="46"/>
    <s v="SP"/>
    <n v="931"/>
    <s v="Ats Off"/>
    <n v="1350"/>
    <s v="W10405579"/>
    <s v="Bombas"/>
    <x v="1"/>
    <n v="1000"/>
    <n v="5004042"/>
    <s v="BRASIL WEB TRANSPORTES E LOGISTICA"/>
    <n v="84.22"/>
    <d v="2025-07-08T00:00:00"/>
  </r>
  <r>
    <n v="254035313"/>
    <n v="64812318"/>
    <s v="REB"/>
    <n v="10101312"/>
    <n v="173"/>
    <s v="PEÇAS - Defeito de fabric./Alta Amperage"/>
    <s v="FUNCIONAL"/>
    <x v="2"/>
    <n v="66"/>
    <x v="73"/>
    <s v="GO"/>
    <n v="931"/>
    <s v="Ats Off"/>
    <n v="1350"/>
    <n v="326072657"/>
    <s v="Peças Transmissão/Embreagens"/>
    <x v="2"/>
    <n v="1000"/>
    <n v="5002858"/>
    <s v="FAVORITA TRANSPORTES LTDA"/>
    <n v="84.18"/>
    <d v="2025-07-17T00:00:00"/>
  </r>
  <r>
    <n v="254042333"/>
    <n v="64796290"/>
    <s v="REB"/>
    <n v="10004353"/>
    <n v="173"/>
    <s v="PEÇAS - Defeito de fabric./Alta Amperage"/>
    <s v="FUNCIONAL"/>
    <x v="0"/>
    <n v="78757"/>
    <x v="50"/>
    <s v="RS"/>
    <n v="643"/>
    <s v="Elite"/>
    <n v="1350"/>
    <s v="W11611482"/>
    <s v="Placas de Controle"/>
    <x v="1"/>
    <n v="1000"/>
    <n v="5003024"/>
    <s v="RODOBRAS TRANSPORTES RODOVIARIOS LT"/>
    <n v="84.18"/>
    <d v="2025-06-23T00:00:00"/>
  </r>
  <r>
    <n v="254024693"/>
    <n v="64804786"/>
    <s v="ZRDI"/>
    <n v="10065886"/>
    <n v="208"/>
    <s v="DEV-Atraso entrega- LOGISTICA(Transp)"/>
    <s v="TRANSPORTADORA"/>
    <x v="2"/>
    <n v="56217365"/>
    <x v="1515"/>
    <s v="BA"/>
    <n v="475"/>
    <s v="Site Consul"/>
    <n v="1352"/>
    <s v="W11199342"/>
    <s v="Filtros"/>
    <x v="5"/>
    <n v="1000"/>
    <n v="5002359"/>
    <s v="EMPRESA BRASILEIRA DE CORREIOS E"/>
    <n v="84.17"/>
    <d v="2025-07-02T00:00:00"/>
  </r>
  <r>
    <s v="Sem TR"/>
    <n v="64813785"/>
    <s v="ZRDI"/>
    <n v="10123383"/>
    <s v="D31"/>
    <s v="DEV D2C - Defeito estético manufatura"/>
    <s v="MANUFATURA"/>
    <x v="2"/>
    <n v="56576022"/>
    <x v="1516"/>
    <s v="RJ"/>
    <n v="474"/>
    <s v="Site Brastemp"/>
    <n v="1352"/>
    <s v="W10907728"/>
    <s v="Acessórios"/>
    <x v="7"/>
    <n v="1000"/>
    <n v="5002359"/>
    <s v="EMPRESA BRASILEIRA DE CORREIOS E"/>
    <n v="84.16"/>
    <d v="2025-07-21T00:00:00"/>
  </r>
  <r>
    <s v="Sem TR"/>
    <n v="64813785"/>
    <s v="ZRDI"/>
    <n v="10123383"/>
    <s v="D31"/>
    <s v="DEV D2C - Defeito estético manufatura"/>
    <s v="MANUFATURA"/>
    <x v="2"/>
    <n v="56576022"/>
    <x v="1516"/>
    <s v="RJ"/>
    <n v="474"/>
    <s v="Site Brastemp"/>
    <n v="1352"/>
    <s v="W10907728"/>
    <s v="Acessórios"/>
    <x v="7"/>
    <n v="1000"/>
    <n v="5002359"/>
    <s v="EMPRESA BRASILEIRA DE CORREIOS E"/>
    <n v="84.16"/>
    <d v="2025-07-21T00:00:00"/>
  </r>
  <r>
    <n v="254043745"/>
    <n v="64820314"/>
    <s v="ZRDI"/>
    <n v="10146853"/>
    <s v="D25"/>
    <s v="DEV D2C - Prob na entrega (Não recebi)"/>
    <s v="TRANSPORTADORA"/>
    <x v="1"/>
    <n v="58172291"/>
    <x v="1517"/>
    <s v="RJ"/>
    <n v="474"/>
    <s v="Site Brastemp"/>
    <n v="1352"/>
    <s v="W10907728"/>
    <s v="Acessórios"/>
    <x v="7"/>
    <n v="1000"/>
    <n v="5002359"/>
    <s v="EMPRESA BRASILEIRA DE CORREIOS E"/>
    <n v="84.16"/>
    <d v="2025-07-30T00:00:00"/>
  </r>
  <r>
    <n v="254024693"/>
    <n v="64804786"/>
    <s v="ZRDI"/>
    <n v="10065886"/>
    <n v="208"/>
    <s v="DEV-Atraso entrega- LOGISTICA(Transp)"/>
    <s v="TRANSPORTADORA"/>
    <x v="2"/>
    <n v="56217365"/>
    <x v="1515"/>
    <s v="BA"/>
    <n v="475"/>
    <s v="Site Consul"/>
    <n v="1352"/>
    <s v="W11199342"/>
    <s v="Filtros"/>
    <x v="5"/>
    <n v="1000"/>
    <n v="5002359"/>
    <s v="EMPRESA BRASILEIRA DE CORREIOS E"/>
    <n v="84.14"/>
    <d v="2025-07-02T00:00:00"/>
  </r>
  <r>
    <n v="254024683"/>
    <n v="64804776"/>
    <s v="ZRDI"/>
    <n v="10018979"/>
    <n v="208"/>
    <s v="DEV-Atraso entrega- LOGISTICA(Transp)"/>
    <s v="TRANSPORTADORA"/>
    <x v="2"/>
    <n v="58006505"/>
    <x v="1518"/>
    <s v="ES"/>
    <n v="474"/>
    <s v="Site Brastemp"/>
    <n v="1352"/>
    <n v="326043145"/>
    <s v="Filtros"/>
    <x v="5"/>
    <n v="1000"/>
    <n v="5002359"/>
    <s v="EMPRESA BRASILEIRA DE CORREIOS E"/>
    <n v="83.9"/>
    <d v="2025-07-02T00:00:00"/>
  </r>
  <r>
    <n v="253952416"/>
    <n v="64729234"/>
    <s v="REB"/>
    <n v="9862679"/>
    <n v="176"/>
    <s v="PEÇAS - Defeito de fabric./Interrompido"/>
    <s v="FUNCIONAL"/>
    <x v="1"/>
    <n v="59011"/>
    <x v="273"/>
    <s v="SP"/>
    <n v="648"/>
    <s v="Ultra"/>
    <n v="1350"/>
    <s v="W10257457"/>
    <s v="Termostatos"/>
    <x v="3"/>
    <n v="1000"/>
    <n v="5004042"/>
    <s v="BRASIL WEB TRANSPORTES E LOGISTICA"/>
    <n v="83.88"/>
    <d v="2025-03-10T00:00:00"/>
  </r>
  <r>
    <n v="253883069"/>
    <n v="64650091"/>
    <s v="REB"/>
    <n v="9681627"/>
    <n v="173"/>
    <s v="PEÇAS - Defeito de fabric./Alta Amperage"/>
    <s v="FUNCIONAL"/>
    <x v="1"/>
    <n v="55451"/>
    <x v="245"/>
    <s v="SP"/>
    <n v="934"/>
    <s v="CDP Ouro"/>
    <n v="1350"/>
    <s v="W11658521"/>
    <s v="Placas de Interface"/>
    <x v="1"/>
    <n v="1000"/>
    <n v="5003482"/>
    <s v="TMA TRANSPORTE LOTACAO E LOGISTICA"/>
    <n v="83.87"/>
    <d v="2024-11-21T00:00:00"/>
  </r>
  <r>
    <n v="253983863"/>
    <n v="64759459"/>
    <s v="REB"/>
    <n v="9969283"/>
    <n v="167"/>
    <s v="PEÇAS - Avaria - Quebrada/Depósito"/>
    <s v="LOGÍSTICA"/>
    <x v="1"/>
    <n v="12692"/>
    <x v="82"/>
    <s v="BA"/>
    <n v="641"/>
    <s v="CDP Diamante"/>
    <n v="1350"/>
    <s v="W10581058"/>
    <s v="Gavetas"/>
    <x v="9"/>
    <n v="1000"/>
    <n v="5004101"/>
    <s v="UNIDOCK'S ASSESSORIA E LOGISTICA DE"/>
    <n v="83.82"/>
    <d v="2025-04-28T00:00:00"/>
  </r>
  <r>
    <s v="Sem TR"/>
    <n v="64780708"/>
    <s v="ZRDI"/>
    <n v="10098154"/>
    <s v="D31"/>
    <s v="DEV D2C - Defeito estético manufatura"/>
    <s v="MANUFATURA"/>
    <x v="2"/>
    <n v="58108010"/>
    <x v="1519"/>
    <s v="SE"/>
    <n v="474"/>
    <s v="Site Brastemp"/>
    <n v="1352"/>
    <s v="W10907728"/>
    <s v="Acessórios"/>
    <x v="7"/>
    <n v="1000"/>
    <n v="5002359"/>
    <s v="EMPRESA BRASILEIRA DE CORREIOS E"/>
    <n v="83.74"/>
    <d v="2025-07-11T00:00:00"/>
  </r>
  <r>
    <s v="Sem TR"/>
    <n v="64780708"/>
    <s v="ZRDI"/>
    <n v="10098154"/>
    <s v="D31"/>
    <s v="DEV D2C - Defeito estético manufatura"/>
    <s v="MANUFATURA"/>
    <x v="2"/>
    <n v="58108010"/>
    <x v="1519"/>
    <s v="SE"/>
    <n v="474"/>
    <s v="Site Brastemp"/>
    <n v="1352"/>
    <s v="W10907728"/>
    <s v="Acessórios"/>
    <x v="7"/>
    <n v="1000"/>
    <n v="5002359"/>
    <s v="EMPRESA BRASILEIRA DE CORREIOS E"/>
    <n v="83.74"/>
    <d v="2025-07-11T00:00:00"/>
  </r>
  <r>
    <s v="Sem TR"/>
    <n v="64634442"/>
    <s v="REB"/>
    <n v="9597466"/>
    <n v="125"/>
    <s v="DEV-Extravio de produto (Transportadora)"/>
    <s v="TRANSPORTADORA"/>
    <x v="0"/>
    <n v="47026"/>
    <x v="16"/>
    <s v="BA"/>
    <n v="643"/>
    <s v="Elite"/>
    <n v="1350"/>
    <s v="W10816564"/>
    <s v="Capas Queimadores"/>
    <x v="12"/>
    <n v="15000"/>
    <n v="5004101"/>
    <s v="UNIDOCK'S ASSESSORIA E LOGISTICA DE"/>
    <n v="83.72"/>
    <d v="2024-10-29T00:00:00"/>
  </r>
  <r>
    <n v="254024119"/>
    <n v="64803676"/>
    <s v="ZRDI"/>
    <n v="10046588"/>
    <n v="208"/>
    <s v="DEV-Atraso entrega- LOGISTICA(Transp)"/>
    <s v="TRANSPORTADORA"/>
    <x v="2"/>
    <n v="51363330"/>
    <x v="1520"/>
    <s v="SC"/>
    <n v="475"/>
    <s v="Site Consul"/>
    <n v="1352"/>
    <s v="W11199342"/>
    <s v="Filtros"/>
    <x v="5"/>
    <n v="1000"/>
    <n v="5002359"/>
    <s v="EMPRESA BRASILEIRA DE CORREIOS E"/>
    <n v="83.67"/>
    <d v="2025-07-01T00:00:00"/>
  </r>
  <r>
    <n v="254024119"/>
    <n v="64803676"/>
    <s v="ZRDI"/>
    <n v="10046588"/>
    <n v="208"/>
    <s v="DEV-Atraso entrega- LOGISTICA(Transp)"/>
    <s v="TRANSPORTADORA"/>
    <x v="2"/>
    <n v="51363330"/>
    <x v="1520"/>
    <s v="SC"/>
    <n v="475"/>
    <s v="Site Consul"/>
    <n v="1352"/>
    <s v="W11199342"/>
    <s v="Filtros"/>
    <x v="5"/>
    <n v="1000"/>
    <n v="5002359"/>
    <s v="EMPRESA BRASILEIRA DE CORREIOS E"/>
    <n v="83.67"/>
    <d v="2025-07-01T00:00:00"/>
  </r>
  <r>
    <n v="254024119"/>
    <n v="64803676"/>
    <s v="ZRDI"/>
    <n v="10046588"/>
    <n v="208"/>
    <s v="DEV-Atraso entrega- LOGISTICA(Transp)"/>
    <s v="TRANSPORTADORA"/>
    <x v="2"/>
    <n v="51363330"/>
    <x v="1520"/>
    <s v="SC"/>
    <n v="475"/>
    <s v="Site Consul"/>
    <n v="1352"/>
    <s v="W11199342"/>
    <s v="Filtros"/>
    <x v="5"/>
    <n v="1000"/>
    <n v="5002359"/>
    <s v="EMPRESA BRASILEIRA DE CORREIOS E"/>
    <n v="83.65"/>
    <d v="2025-07-01T00:00:00"/>
  </r>
  <r>
    <n v="254024119"/>
    <n v="64803676"/>
    <s v="ZRDI"/>
    <n v="10046588"/>
    <n v="208"/>
    <s v="DEV-Atraso entrega- LOGISTICA(Transp)"/>
    <s v="TRANSPORTADORA"/>
    <x v="2"/>
    <n v="51363330"/>
    <x v="1520"/>
    <s v="SC"/>
    <n v="475"/>
    <s v="Site Consul"/>
    <n v="1352"/>
    <s v="W11199342"/>
    <s v="Filtros"/>
    <x v="5"/>
    <n v="1000"/>
    <n v="5002359"/>
    <s v="EMPRESA BRASILEIRA DE CORREIOS E"/>
    <n v="83.65"/>
    <d v="2025-07-01T00:00:00"/>
  </r>
  <r>
    <n v="253999709"/>
    <n v="64777331"/>
    <s v="REB"/>
    <n v="10015318"/>
    <n v="220"/>
    <s v="DEV-Avaria 1 trecho transp - Produto"/>
    <s v="QUALIDADE"/>
    <x v="1"/>
    <n v="72526"/>
    <x v="678"/>
    <s v="SC"/>
    <n v="932"/>
    <s v="CDP Prata"/>
    <n v="1350"/>
    <s v="W10624070"/>
    <s v="Gavetas"/>
    <x v="9"/>
    <n v="1000"/>
    <n v="5003024"/>
    <s v="RODOBRAS TRANSPORTES RODOVIARIOS LT"/>
    <n v="83.65"/>
    <d v="2025-05-23T00:00:00"/>
  </r>
  <r>
    <s v="Sem TR"/>
    <n v="64817424"/>
    <s v="ZRDI"/>
    <n v="10135667"/>
    <s v="D10"/>
    <s v="DEV D2C - Comprou modelo errado"/>
    <s v="COMERCIAL"/>
    <x v="2"/>
    <n v="55681890"/>
    <x v="1521"/>
    <s v="SP"/>
    <n v="474"/>
    <s v="Site Brastemp"/>
    <n v="1352"/>
    <s v="W10628498"/>
    <s v="Kits Transformação"/>
    <x v="12"/>
    <n v="1000"/>
    <n v="5002359"/>
    <s v="EMPRESA BRASILEIRA DE CORREIOS E"/>
    <n v="83.5"/>
    <d v="2025-07-25T00:00:00"/>
  </r>
  <r>
    <s v="Sem TR"/>
    <n v="64817424"/>
    <s v="ZRDI"/>
    <n v="10135667"/>
    <s v="D10"/>
    <s v="DEV D2C - Comprou modelo errado"/>
    <s v="COMERCIAL"/>
    <x v="2"/>
    <n v="55681890"/>
    <x v="1521"/>
    <s v="SP"/>
    <n v="474"/>
    <s v="Site Brastemp"/>
    <n v="1352"/>
    <s v="W10628498"/>
    <s v="Kits Transformação"/>
    <x v="12"/>
    <n v="1000"/>
    <n v="5002359"/>
    <s v="EMPRESA BRASILEIRA DE CORREIOS E"/>
    <n v="83.5"/>
    <d v="2025-07-25T00:00:00"/>
  </r>
  <r>
    <s v="Sem TR"/>
    <n v="64778217"/>
    <s v="ZRDI"/>
    <n v="10112253"/>
    <s v="D10"/>
    <s v="DEV D2C - Comprou modelo errado"/>
    <s v="COMERCIAL"/>
    <x v="2"/>
    <n v="58069427"/>
    <x v="1522"/>
    <s v="MG"/>
    <n v="474"/>
    <s v="Site Brastemp"/>
    <n v="1352"/>
    <s v="W10754152"/>
    <s v="Gavetas"/>
    <x v="9"/>
    <n v="1000"/>
    <n v="5002359"/>
    <s v="EMPRESA BRASILEIRA DE CORREIOS E"/>
    <n v="83.48"/>
    <d v="2025-07-04T00:00:00"/>
  </r>
  <r>
    <n v="253915693"/>
    <n v="64676125"/>
    <s v="REB"/>
    <n v="9757208"/>
    <n v="109"/>
    <s v="PEÇAS-Erro de catálogo/BT"/>
    <s v="ENGENHARIA"/>
    <x v="1"/>
    <n v="88334"/>
    <x v="1523"/>
    <s v="SC"/>
    <n v="350"/>
    <s v="Ats On"/>
    <n v="1350"/>
    <s v="W10648213"/>
    <s v="Gaxetas"/>
    <x v="4"/>
    <n v="1000"/>
    <n v="5003024"/>
    <s v="RODOBRAS TRANSPORTES RODOVIARIOS LT"/>
    <n v="83.48"/>
    <d v="2025-01-07T00:00:00"/>
  </r>
  <r>
    <n v="253967858"/>
    <n v="64746101"/>
    <s v="REB"/>
    <n v="9950424"/>
    <n v="167"/>
    <s v="PEÇAS - Avaria - Quebrada/Depósito"/>
    <s v="LOGÍSTICA"/>
    <x v="1"/>
    <n v="31537"/>
    <x v="523"/>
    <s v="RS"/>
    <n v="641"/>
    <s v="CDP Diamante"/>
    <n v="1350"/>
    <s v="W10624070"/>
    <s v="Gavetas"/>
    <x v="9"/>
    <n v="1000"/>
    <n v="5003024"/>
    <s v="RODOBRAS TRANSPORTES RODOVIARIOS LT"/>
    <n v="83.46"/>
    <d v="2025-04-04T00:00:00"/>
  </r>
  <r>
    <n v="253961416"/>
    <n v="64738001"/>
    <s v="REB"/>
    <n v="9900004"/>
    <n v="168"/>
    <s v="PEÇAS-Def.Fabric.Empenamento/Abaulamento"/>
    <s v="FUNCIONAL"/>
    <x v="1"/>
    <n v="81075"/>
    <x v="223"/>
    <s v="BA"/>
    <n v="934"/>
    <s v="CDP Ouro"/>
    <n v="1350"/>
    <s v="W10431996"/>
    <s v="Calhas/Canaletas"/>
    <x v="9"/>
    <n v="1000"/>
    <n v="5004101"/>
    <s v="UNIDOCK'S ASSESSORIA E LOGISTICA DE"/>
    <n v="83.36"/>
    <d v="2025-03-26T00:00:00"/>
  </r>
  <r>
    <n v="254012554"/>
    <n v="64788461"/>
    <s v="REB"/>
    <n v="9861831"/>
    <n v="173"/>
    <s v="PEÇAS - Defeito de fabric./Alta Amperage"/>
    <s v="FUNCIONAL"/>
    <x v="2"/>
    <n v="61675"/>
    <x v="12"/>
    <s v="MG"/>
    <n v="643"/>
    <s v="Elite"/>
    <n v="1350"/>
    <s v="W11396188"/>
    <s v="Placas de Interface"/>
    <x v="1"/>
    <n v="1000"/>
    <n v="5004215"/>
    <s v="BRASIL WEB TRANSPORTES E LOGISTICA"/>
    <n v="83.33"/>
    <d v="2025-06-10T00:00:00"/>
  </r>
  <r>
    <s v="Sem TR"/>
    <n v="64818331"/>
    <s v="ZRDI"/>
    <n v="10148594"/>
    <n v="208"/>
    <s v="DEV-Atraso entrega- LOGISTICA(Transp)"/>
    <s v="TRANSPORTADORA"/>
    <x v="2"/>
    <n v="51278886"/>
    <x v="1524"/>
    <s v="SP"/>
    <n v="475"/>
    <s v="Site Consul"/>
    <n v="1352"/>
    <s v="W10301562"/>
    <s v="Filtros"/>
    <x v="5"/>
    <n v="1000"/>
    <n v="5002359"/>
    <s v="EMPRESA BRASILEIRA DE CORREIOS E"/>
    <n v="83.32"/>
    <d v="2025-07-26T00:00:00"/>
  </r>
  <r>
    <s v="Sem TR"/>
    <n v="64818331"/>
    <s v="ZRDI"/>
    <n v="10148594"/>
    <n v="208"/>
    <s v="DEV-Atraso entrega- LOGISTICA(Transp)"/>
    <s v="TRANSPORTADORA"/>
    <x v="2"/>
    <n v="51278886"/>
    <x v="1524"/>
    <s v="SP"/>
    <n v="475"/>
    <s v="Site Consul"/>
    <n v="1352"/>
    <s v="W10301562"/>
    <s v="Filtros"/>
    <x v="5"/>
    <n v="1000"/>
    <n v="5002359"/>
    <s v="EMPRESA BRASILEIRA DE CORREIOS E"/>
    <n v="83.32"/>
    <d v="2025-07-26T00:00:00"/>
  </r>
  <r>
    <n v="253963628"/>
    <n v="64742039"/>
    <s v="ROB"/>
    <n v="9957993"/>
    <n v="671"/>
    <s v="DEV-ENVIADO PARA GESTÃO DE CONSEQUENCIA"/>
    <s v="TRANSPORTADORA"/>
    <x v="1"/>
    <n v="4430"/>
    <x v="250"/>
    <s v="PR"/>
    <n v="350"/>
    <s v="Ats On"/>
    <n v="1350"/>
    <s v="W10791633"/>
    <s v="Retentores"/>
    <x v="4"/>
    <n v="10000"/>
    <n v="5003024"/>
    <s v="RODOBRAS TRANSPORTES RODOVIARIOS LT"/>
    <n v="83.21"/>
    <d v="2025-03-31T00:00:00"/>
  </r>
  <r>
    <n v="254033412"/>
    <n v="64794868"/>
    <s v="REB"/>
    <n v="9645394"/>
    <n v="173"/>
    <s v="PEÇAS - Defeito de fabric./Alta Amperage"/>
    <s v="FUNCIONAL"/>
    <x v="1"/>
    <n v="47471"/>
    <x v="424"/>
    <s v="TO"/>
    <n v="643"/>
    <s v="Elite"/>
    <n v="1350"/>
    <s v="W11123831"/>
    <s v="Placas de Controle"/>
    <x v="1"/>
    <n v="1000"/>
    <n v="5002858"/>
    <s v="FAVORITA TRANSPORTES LTDA"/>
    <n v="83.11"/>
    <d v="2025-07-01T00:00:00"/>
  </r>
  <r>
    <n v="254018241"/>
    <n v="64793480"/>
    <s v="REB"/>
    <n v="10033987"/>
    <n v="173"/>
    <s v="PEÇAS - Defeito de fabric./Alta Amperage"/>
    <s v="FUNCIONAL"/>
    <x v="1"/>
    <n v="27770"/>
    <x v="37"/>
    <s v="AL"/>
    <n v="641"/>
    <s v="CDP Diamante"/>
    <n v="1350"/>
    <s v="W11634491"/>
    <s v="Placas de Controle"/>
    <x v="1"/>
    <n v="1000"/>
    <n v="5004101"/>
    <s v="UNIDOCK'S ASSESSORIA E LOGISTICA DE"/>
    <n v="83.08"/>
    <d v="2025-06-17T00:00:00"/>
  </r>
  <r>
    <n v="253981388"/>
    <n v="64756818"/>
    <s v="REB"/>
    <n v="9982942"/>
    <n v="177"/>
    <s v="PEÇAS - Defeito de fabric./Ruído"/>
    <s v="FUNCIONAL"/>
    <x v="1"/>
    <n v="3688"/>
    <x v="532"/>
    <s v="SP"/>
    <n v="350"/>
    <s v="Ats On"/>
    <n v="1350"/>
    <n v="326076881"/>
    <s v="Resistências"/>
    <x v="1"/>
    <n v="1000"/>
    <n v="5004042"/>
    <s v="BRASIL WEB TRANSPORTES E LOGISTICA"/>
    <n v="83.03"/>
    <d v="2025-04-25T00:00:00"/>
  </r>
  <r>
    <s v="Sem TR"/>
    <n v="64811443"/>
    <s v="REB"/>
    <n v="10092463"/>
    <n v="167"/>
    <s v="PEÇAS - Avaria - Quebrada/Depósito"/>
    <s v="LOGÍSTICA"/>
    <x v="1"/>
    <n v="87638"/>
    <x v="1525"/>
    <s v="SC"/>
    <n v="932"/>
    <s v="CDP Prata"/>
    <n v="1350"/>
    <s v="W10581058"/>
    <s v="Gavetas"/>
    <x v="9"/>
    <n v="1000"/>
    <n v="5003024"/>
    <s v="RODOBRAS TRANSPORTES RODOVIARIOS LT"/>
    <n v="82.97"/>
    <d v="2025-07-17T00:00:00"/>
  </r>
  <r>
    <n v="254003967"/>
    <n v="64778705"/>
    <s v="REB"/>
    <n v="9793635"/>
    <n v="173"/>
    <s v="PEÇAS - Defeito de fabric./Alta Amperage"/>
    <s v="FUNCIONAL"/>
    <x v="1"/>
    <n v="32533"/>
    <x v="194"/>
    <s v="PE"/>
    <n v="713"/>
    <s v="Key Account"/>
    <n v="1350"/>
    <s v="W11299803"/>
    <s v="Mecanismos"/>
    <x v="2"/>
    <n v="1000"/>
    <n v="5004101"/>
    <s v="UNIDOCK'S ASSESSORIA E LOGISTICA DE"/>
    <n v="82.93"/>
    <d v="2025-05-26T00:00:00"/>
  </r>
  <r>
    <n v="254007581"/>
    <n v="64781010"/>
    <s v="REB"/>
    <n v="9793635"/>
    <n v="173"/>
    <s v="PEÇAS - Defeito de fabric./Alta Amperage"/>
    <s v="FUNCIONAL"/>
    <x v="1"/>
    <n v="32533"/>
    <x v="194"/>
    <s v="PE"/>
    <n v="713"/>
    <s v="Key Account"/>
    <n v="1350"/>
    <s v="W11299803"/>
    <s v="Mecanismos"/>
    <x v="2"/>
    <n v="1000"/>
    <n v="5004101"/>
    <s v="UNIDOCK'S ASSESSORIA E LOGISTICA DE"/>
    <n v="82.93"/>
    <d v="2025-06-02T00:00:00"/>
  </r>
  <r>
    <n v="254012515"/>
    <n v="64787913"/>
    <s v="REB"/>
    <n v="9793635"/>
    <n v="173"/>
    <s v="PEÇAS - Defeito de fabric./Alta Amperage"/>
    <s v="FUNCIONAL"/>
    <x v="1"/>
    <n v="32533"/>
    <x v="194"/>
    <s v="PE"/>
    <n v="713"/>
    <s v="Key Account"/>
    <n v="1350"/>
    <s v="W11299803"/>
    <s v="Mecanismos"/>
    <x v="2"/>
    <n v="1000"/>
    <n v="5004101"/>
    <s v="UNIDOCK'S ASSESSORIA E LOGISTICA DE"/>
    <n v="82.93"/>
    <d v="2025-06-10T00:00:00"/>
  </r>
  <r>
    <n v="253918617"/>
    <n v="64691699"/>
    <s v="REB"/>
    <n v="9595186"/>
    <n v="173"/>
    <s v="PEÇAS - Defeito de fabric./Alta Amperage"/>
    <s v="FUNCIONAL"/>
    <x v="1"/>
    <n v="72205"/>
    <x v="1092"/>
    <s v="SP"/>
    <n v="933"/>
    <s v="Top"/>
    <n v="1350"/>
    <s v="W11023460"/>
    <s v="Placas de Controle"/>
    <x v="1"/>
    <n v="1000"/>
    <n v="5003254"/>
    <s v="TMA TRANSPORTE LOTACAO E LOGISTICA"/>
    <n v="82.87"/>
    <d v="2025-01-15T00:00:00"/>
  </r>
  <r>
    <s v="Sem TR"/>
    <n v="64812042"/>
    <s v="ZRDI"/>
    <n v="10110935"/>
    <s v="D10"/>
    <s v="DEV D2C - Comprou modelo errado"/>
    <s v="COMERCIAL"/>
    <x v="2"/>
    <n v="58119947"/>
    <x v="283"/>
    <s v="SP"/>
    <n v="475"/>
    <s v="Site Consul"/>
    <n v="1352"/>
    <n v="326072246"/>
    <s v="Acessórios"/>
    <x v="7"/>
    <n v="1000"/>
    <n v="5002359"/>
    <s v="EMPRESA BRASILEIRA DE CORREIOS E"/>
    <n v="82.78"/>
    <d v="2025-07-25T00:00:00"/>
  </r>
  <r>
    <s v="Sem TR"/>
    <n v="64812042"/>
    <s v="ZRDI"/>
    <n v="10110935"/>
    <s v="D10"/>
    <s v="DEV D2C - Comprou modelo errado"/>
    <s v="COMERCIAL"/>
    <x v="2"/>
    <n v="58119947"/>
    <x v="283"/>
    <s v="SP"/>
    <n v="475"/>
    <s v="Site Consul"/>
    <n v="1352"/>
    <n v="326072246"/>
    <s v="Acessórios"/>
    <x v="7"/>
    <n v="1000"/>
    <n v="5002359"/>
    <s v="EMPRESA BRASILEIRA DE CORREIOS E"/>
    <n v="82.78"/>
    <d v="2025-07-25T00:00:00"/>
  </r>
  <r>
    <n v="254003875"/>
    <n v="64777796"/>
    <s v="REB"/>
    <n v="10029517"/>
    <n v="167"/>
    <s v="PEÇAS - Avaria - Quebrada/Depósito"/>
    <s v="LOGÍSTICA"/>
    <x v="1"/>
    <n v="14474"/>
    <x v="25"/>
    <s v="RN"/>
    <n v="648"/>
    <s v="Ultra"/>
    <n v="1350"/>
    <s v="W11113394"/>
    <s v="Gavetas"/>
    <x v="9"/>
    <n v="1000"/>
    <n v="5004101"/>
    <s v="UNIDOCK'S ASSESSORIA E LOGISTICA DE"/>
    <n v="82.77"/>
    <d v="2025-05-26T00:00:00"/>
  </r>
  <r>
    <n v="254035356"/>
    <n v="64809843"/>
    <s v="REB"/>
    <n v="10068691"/>
    <n v="176"/>
    <s v="PEÇAS - Defeito de fabric./Interrompido"/>
    <s v="FUNCIONAL"/>
    <x v="1"/>
    <n v="22211"/>
    <x v="146"/>
    <s v="SC"/>
    <n v="644"/>
    <s v="Plus"/>
    <n v="1350"/>
    <s v="W10632497"/>
    <s v="Placas de Controle"/>
    <x v="1"/>
    <n v="1000"/>
    <n v="5003024"/>
    <s v="RODOBRAS TRANSPORTES RODOVIARIOS LT"/>
    <n v="82.66"/>
    <d v="2025-07-17T00:00:00"/>
  </r>
  <r>
    <n v="254038148"/>
    <n v="64816108"/>
    <s v="ZRDI"/>
    <n v="10071086"/>
    <n v="208"/>
    <s v="DEV-Atraso entrega- LOGISTICA(Transp)"/>
    <s v="TRANSPORTADORA"/>
    <x v="2"/>
    <n v="58066486"/>
    <x v="1526"/>
    <s v="TO"/>
    <n v="746"/>
    <s v="Marketplace B2W"/>
    <n v="1352"/>
    <s v="W11510292"/>
    <s v="Interruptores"/>
    <x v="3"/>
    <n v="1000"/>
    <n v="5002359"/>
    <s v="EMPRESA BRASILEIRA DE CORREIOS E"/>
    <n v="82.58"/>
    <d v="2025-07-23T00:00:00"/>
  </r>
  <r>
    <n v="254038148"/>
    <n v="64816108"/>
    <s v="ZRDI"/>
    <n v="10071086"/>
    <n v="208"/>
    <s v="DEV-Atraso entrega- LOGISTICA(Transp)"/>
    <s v="TRANSPORTADORA"/>
    <x v="2"/>
    <n v="58066486"/>
    <x v="1526"/>
    <s v="TO"/>
    <n v="746"/>
    <s v="Marketplace B2W"/>
    <n v="1352"/>
    <s v="W11510292"/>
    <s v="Interruptores"/>
    <x v="3"/>
    <n v="1000"/>
    <n v="5002359"/>
    <s v="EMPRESA BRASILEIRA DE CORREIOS E"/>
    <n v="82.58"/>
    <d v="2025-07-23T00:00:00"/>
  </r>
  <r>
    <n v="254039288"/>
    <n v="64817228"/>
    <s v="ZRDI"/>
    <n v="10150968"/>
    <n v="208"/>
    <s v="DEV-Atraso entrega- LOGISTICA(Transp)"/>
    <s v="TRANSPORTADORA"/>
    <x v="2"/>
    <n v="58178905"/>
    <x v="1527"/>
    <s v="CE"/>
    <n v="475"/>
    <s v="Site Consul"/>
    <n v="1352"/>
    <s v="W10866789"/>
    <s v="Kits Instalação"/>
    <x v="7"/>
    <n v="1000"/>
    <n v="5002359"/>
    <s v="EMPRESA BRASILEIRA DE CORREIOS E"/>
    <n v="82.57"/>
    <d v="2025-07-24T00:00:00"/>
  </r>
  <r>
    <n v="254039288"/>
    <n v="64817228"/>
    <s v="ZRDI"/>
    <n v="10150968"/>
    <n v="208"/>
    <s v="DEV-Atraso entrega- LOGISTICA(Transp)"/>
    <s v="TRANSPORTADORA"/>
    <x v="2"/>
    <n v="58178905"/>
    <x v="1527"/>
    <s v="CE"/>
    <n v="475"/>
    <s v="Site Consul"/>
    <n v="1352"/>
    <s v="W10866789"/>
    <s v="Kits Instalação"/>
    <x v="7"/>
    <n v="1000"/>
    <n v="5002359"/>
    <s v="EMPRESA BRASILEIRA DE CORREIOS E"/>
    <n v="82.57"/>
    <d v="2025-07-24T00:00:00"/>
  </r>
  <r>
    <n v="254032503"/>
    <n v="64811466"/>
    <s v="ZRDI"/>
    <n v="10067740"/>
    <n v="208"/>
    <s v="DEV-Atraso entrega- LOGISTICA(Transp)"/>
    <s v="TRANSPORTADORA"/>
    <x v="2"/>
    <n v="56303238"/>
    <x v="1528"/>
    <s v="SC"/>
    <n v="475"/>
    <s v="Site Consul"/>
    <n v="1352"/>
    <s v="W11199342"/>
    <s v="Filtros"/>
    <x v="5"/>
    <n v="1000"/>
    <n v="5002359"/>
    <s v="EMPRESA BRASILEIRA DE CORREIOS E"/>
    <n v="82.49"/>
    <d v="2025-07-16T00:00:00"/>
  </r>
  <r>
    <n v="254032503"/>
    <n v="64811466"/>
    <s v="ZRDI"/>
    <n v="10067740"/>
    <n v="208"/>
    <s v="DEV-Atraso entrega- LOGISTICA(Transp)"/>
    <s v="TRANSPORTADORA"/>
    <x v="2"/>
    <n v="56303238"/>
    <x v="1528"/>
    <s v="SC"/>
    <n v="475"/>
    <s v="Site Consul"/>
    <n v="1352"/>
    <s v="W11199342"/>
    <s v="Filtros"/>
    <x v="5"/>
    <n v="1000"/>
    <n v="5002359"/>
    <s v="EMPRESA BRASILEIRA DE CORREIOS E"/>
    <n v="82.46"/>
    <d v="2025-07-16T00:00:00"/>
  </r>
  <r>
    <n v="254027329"/>
    <n v="64806742"/>
    <s v="ZRDI"/>
    <n v="10065210"/>
    <n v="208"/>
    <s v="DEV-Atraso entrega- LOGISTICA(Transp)"/>
    <s v="TRANSPORTADORA"/>
    <x v="2"/>
    <n v="54889596"/>
    <x v="1529"/>
    <s v="MG"/>
    <n v="475"/>
    <s v="Site Consul"/>
    <n v="1352"/>
    <s v="W10301562"/>
    <s v="Filtros"/>
    <x v="5"/>
    <n v="1000"/>
    <n v="5002359"/>
    <s v="EMPRESA BRASILEIRA DE CORREIOS E"/>
    <n v="82.44"/>
    <d v="2025-07-07T00:00:00"/>
  </r>
  <r>
    <n v="254027329"/>
    <n v="64806742"/>
    <s v="ZRDI"/>
    <n v="10065210"/>
    <n v="208"/>
    <s v="DEV-Atraso entrega- LOGISTICA(Transp)"/>
    <s v="TRANSPORTADORA"/>
    <x v="2"/>
    <n v="54889596"/>
    <x v="1529"/>
    <s v="MG"/>
    <n v="475"/>
    <s v="Site Consul"/>
    <n v="1352"/>
    <s v="W10301562"/>
    <s v="Filtros"/>
    <x v="5"/>
    <n v="1000"/>
    <n v="5002359"/>
    <s v="EMPRESA BRASILEIRA DE CORREIOS E"/>
    <n v="82.42"/>
    <d v="2025-07-07T00:00:00"/>
  </r>
  <r>
    <n v="254024104"/>
    <n v="64803626"/>
    <s v="ZRDI"/>
    <n v="10035078"/>
    <n v="208"/>
    <s v="DEV-Atraso entrega- LOGISTICA(Transp)"/>
    <s v="TRANSPORTADORA"/>
    <x v="2"/>
    <n v="58028297"/>
    <x v="1530"/>
    <s v="SE"/>
    <n v="475"/>
    <s v="Site Consul"/>
    <n v="1352"/>
    <s v="W10866789"/>
    <s v="Kits Instalação"/>
    <x v="7"/>
    <n v="1000"/>
    <n v="5002359"/>
    <s v="EMPRESA BRASILEIRA DE CORREIOS E"/>
    <n v="82.38"/>
    <d v="2025-07-01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169455"/>
    <s v="Suportes"/>
    <x v="6"/>
    <n v="1000"/>
    <n v="5004101"/>
    <s v="UNIDOCK'S ASSESSORIA E LOGISTICA DE"/>
    <n v="82.3"/>
    <d v="2025-07-29T00:00:00"/>
  </r>
  <r>
    <n v="253970704"/>
    <n v="64748223"/>
    <s v="REB"/>
    <n v="9887525"/>
    <n v="176"/>
    <s v="PEÇAS - Defeito de fabric./Interrompido"/>
    <s v="FUNCIONAL"/>
    <x v="2"/>
    <n v="3506"/>
    <x v="46"/>
    <s v="SP"/>
    <n v="931"/>
    <s v="Ats Off"/>
    <n v="1350"/>
    <s v="W11630830"/>
    <s v="Relês"/>
    <x v="1"/>
    <n v="1000"/>
    <n v="5004042"/>
    <s v="BRASIL WEB TRANSPORTES E LOGISTICA"/>
    <n v="82.29"/>
    <d v="2025-04-09T00:00:00"/>
  </r>
  <r>
    <n v="254037049"/>
    <n v="64814965"/>
    <s v="ZRDI"/>
    <n v="10084605"/>
    <n v="208"/>
    <s v="DEV-Atraso entrega- LOGISTICA(Transp)"/>
    <s v="TRANSPORTADORA"/>
    <x v="2"/>
    <n v="56055914"/>
    <x v="1531"/>
    <s v="CE"/>
    <n v="475"/>
    <s v="Site Consul"/>
    <n v="1352"/>
    <s v="W10866789"/>
    <s v="Kits Instalação"/>
    <x v="7"/>
    <n v="1000"/>
    <n v="5002359"/>
    <s v="EMPRESA BRASILEIRA DE CORREIOS E"/>
    <n v="82.25"/>
    <d v="2025-07-22T00:00:00"/>
  </r>
  <r>
    <n v="254037049"/>
    <n v="64814965"/>
    <s v="ZRDI"/>
    <n v="10084605"/>
    <n v="208"/>
    <s v="DEV-Atraso entrega- LOGISTICA(Transp)"/>
    <s v="TRANSPORTADORA"/>
    <x v="2"/>
    <n v="56055914"/>
    <x v="1531"/>
    <s v="CE"/>
    <n v="475"/>
    <s v="Site Consul"/>
    <n v="1352"/>
    <s v="W10866789"/>
    <s v="Kits Instalação"/>
    <x v="7"/>
    <n v="1000"/>
    <n v="5002359"/>
    <s v="EMPRESA BRASILEIRA DE CORREIOS E"/>
    <n v="82.25"/>
    <d v="2025-07-22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49509"/>
    <s v="Fusíveis/Fusíveis térmicos"/>
    <x v="1"/>
    <n v="5000"/>
    <n v="5004101"/>
    <s v="UNIDOCK'S ASSESSORIA E LOGISTICA DE"/>
    <n v="82.25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649509"/>
    <s v="Fusíveis/Fusíveis térmicos"/>
    <x v="1"/>
    <n v="5000"/>
    <n v="5004101"/>
    <s v="UNIDOCK'S ASSESSORIA E LOGISTICA DE"/>
    <n v="82.25"/>
    <d v="2025-06-24T00:00:00"/>
  </r>
  <r>
    <n v="254007302"/>
    <n v="64782291"/>
    <s v="REB"/>
    <n v="10046173"/>
    <n v="176"/>
    <s v="PEÇAS - Defeito de fabric./Interrompido"/>
    <s v="FUNCIONAL"/>
    <x v="2"/>
    <n v="3506"/>
    <x v="46"/>
    <s v="SP"/>
    <n v="931"/>
    <s v="Ats Off"/>
    <n v="1350"/>
    <n v="326063982"/>
    <s v="Termostatos"/>
    <x v="3"/>
    <n v="5000"/>
    <n v="5004042"/>
    <s v="BRASIL WEB TRANSPORTES E LOGISTICA"/>
    <n v="82.2"/>
    <d v="2025-06-02T00:00:00"/>
  </r>
  <r>
    <s v="Sem TR"/>
    <n v="64714417"/>
    <s v="REB"/>
    <n v="9753538"/>
    <n v="671"/>
    <s v="DEV-ENVIADO PARA GESTÃO DE CONSEQUENCIA"/>
    <s v="TRANSPORTADORA"/>
    <x v="1"/>
    <n v="31"/>
    <x v="1532"/>
    <s v="BA"/>
    <n v="350"/>
    <s v="Ats On"/>
    <n v="1350"/>
    <n v="326075385"/>
    <s v="Resistências"/>
    <x v="1"/>
    <n v="1000"/>
    <n v="5004101"/>
    <s v="UNIDOCK'S ASSESSORIA E LOGISTICA DE"/>
    <n v="82.1"/>
    <d v="2025-02-17T00:00:00"/>
  </r>
  <r>
    <n v="253952165"/>
    <n v="64726753"/>
    <s v="REB"/>
    <n v="9837683"/>
    <n v="167"/>
    <s v="PEÇAS - Avaria - Quebrada/Depósito"/>
    <s v="LOGÍSTICA"/>
    <x v="1"/>
    <n v="8975"/>
    <x v="90"/>
    <s v="MA"/>
    <n v="931"/>
    <s v="Ats Off"/>
    <n v="1350"/>
    <s v="W11298039"/>
    <s v="Gavetas"/>
    <x v="9"/>
    <n v="1000"/>
    <n v="5004101"/>
    <s v="UNIDOCK'S ASSESSORIA E LOGISTICA DE"/>
    <n v="82.09"/>
    <d v="2025-03-11T00:00:00"/>
  </r>
  <r>
    <n v="254033465"/>
    <n v="64805793"/>
    <s v="REB"/>
    <n v="10098692"/>
    <n v="509"/>
    <s v="Qtd de peças a Menor dentro do Volume"/>
    <s v="LOGÍSTICA"/>
    <x v="2"/>
    <n v="81338"/>
    <x v="354"/>
    <s v="SP"/>
    <n v="644"/>
    <s v="Plus"/>
    <n v="1350"/>
    <s v="W11132264"/>
    <s v="Trempes"/>
    <x v="6"/>
    <n v="2000"/>
    <n v="5004042"/>
    <s v="BRASIL WEB TRANSPORTES E LOGISTICA"/>
    <n v="82.06"/>
    <d v="2025-07-08T00:00:00"/>
  </r>
  <r>
    <s v="Sem TR"/>
    <n v="64807348"/>
    <s v="ZRDI"/>
    <n v="10070765"/>
    <s v="D18"/>
    <s v="DEV D2C - Arrependimento não quero mais"/>
    <s v="COMERCIAL"/>
    <x v="2"/>
    <n v="58067238"/>
    <x v="441"/>
    <s v="PE"/>
    <n v="475"/>
    <s v="Site Consul"/>
    <n v="1352"/>
    <s v="W10866789"/>
    <s v="Kits Instalação"/>
    <x v="7"/>
    <n v="1000"/>
    <n v="5002359"/>
    <s v="EMPRESA BRASILEIRA DE CORREIOS E"/>
    <n v="82.06"/>
    <d v="2025-07-11T00:00:00"/>
  </r>
  <r>
    <s v="Sem TR"/>
    <n v="64807348"/>
    <s v="ZRDI"/>
    <n v="10070765"/>
    <s v="D18"/>
    <s v="DEV D2C - Arrependimento não quero mais"/>
    <s v="COMERCIAL"/>
    <x v="2"/>
    <n v="58067238"/>
    <x v="441"/>
    <s v="PE"/>
    <n v="475"/>
    <s v="Site Consul"/>
    <n v="1352"/>
    <s v="W10866789"/>
    <s v="Kits Instalação"/>
    <x v="7"/>
    <n v="1000"/>
    <n v="5002359"/>
    <s v="EMPRESA BRASILEIRA DE CORREIOS E"/>
    <n v="82.06"/>
    <d v="2025-07-11T00:00:00"/>
  </r>
  <r>
    <n v="254040383"/>
    <n v="64818287"/>
    <s v="ZRDI"/>
    <n v="10023353"/>
    <n v="208"/>
    <s v="DEV-Atraso entrega- LOGISTICA(Transp)"/>
    <s v="TRANSPORTADORA"/>
    <x v="2"/>
    <n v="58013135"/>
    <x v="1533"/>
    <s v="PE"/>
    <n v="475"/>
    <s v="Site Consul"/>
    <n v="1352"/>
    <s v="W10866789"/>
    <s v="Kits Instalação"/>
    <x v="7"/>
    <n v="1000"/>
    <n v="5002359"/>
    <s v="EMPRESA BRASILEIRA DE CORREIOS E"/>
    <n v="82.05"/>
    <d v="2025-07-26T00:00:00"/>
  </r>
  <r>
    <n v="254040383"/>
    <n v="64818287"/>
    <s v="ZRDI"/>
    <n v="10023353"/>
    <n v="208"/>
    <s v="DEV-Atraso entrega- LOGISTICA(Transp)"/>
    <s v="TRANSPORTADORA"/>
    <x v="2"/>
    <n v="58013135"/>
    <x v="1533"/>
    <s v="PE"/>
    <n v="475"/>
    <s v="Site Consul"/>
    <n v="1352"/>
    <s v="W10866789"/>
    <s v="Kits Instalação"/>
    <x v="7"/>
    <n v="1000"/>
    <n v="5002359"/>
    <s v="EMPRESA BRASILEIRA DE CORREIOS E"/>
    <n v="82.05"/>
    <d v="2025-07-26T00:00:00"/>
  </r>
  <r>
    <s v="Sem TR"/>
    <n v="64814578"/>
    <s v="ZRDI"/>
    <n v="10142173"/>
    <s v="D10"/>
    <s v="DEV D2C - Comprou modelo errado"/>
    <s v="COMERCIAL"/>
    <x v="2"/>
    <n v="58165805"/>
    <x v="1534"/>
    <s v="SP"/>
    <n v="474"/>
    <s v="Site Brastemp"/>
    <n v="1352"/>
    <s v="W10907728"/>
    <s v="Acessórios"/>
    <x v="7"/>
    <n v="1000"/>
    <n v="5002359"/>
    <s v="EMPRESA BRASILEIRA DE CORREIOS E"/>
    <n v="82.02"/>
    <d v="2025-07-24T00:00:00"/>
  </r>
  <r>
    <s v="Sem TR"/>
    <n v="64814578"/>
    <s v="ZRDI"/>
    <n v="10142173"/>
    <s v="D10"/>
    <s v="DEV D2C - Comprou modelo errado"/>
    <s v="COMERCIAL"/>
    <x v="2"/>
    <n v="58165805"/>
    <x v="1534"/>
    <s v="SP"/>
    <n v="474"/>
    <s v="Site Brastemp"/>
    <n v="1352"/>
    <s v="W10907728"/>
    <s v="Acessórios"/>
    <x v="7"/>
    <n v="1000"/>
    <n v="5002359"/>
    <s v="EMPRESA BRASILEIRA DE CORREIOS E"/>
    <n v="82.02"/>
    <d v="2025-07-24T00:00:00"/>
  </r>
  <r>
    <s v="Sem TR"/>
    <n v="64812151"/>
    <s v="ZRDI"/>
    <n v="10127087"/>
    <s v="D10"/>
    <s v="DEV D2C - Comprou modelo errado"/>
    <s v="COMERCIAL"/>
    <x v="1"/>
    <n v="52937928"/>
    <x v="1535"/>
    <s v="SP"/>
    <n v="474"/>
    <s v="Site Brastemp"/>
    <n v="1352"/>
    <s v="W10907728"/>
    <s v="Acessórios"/>
    <x v="7"/>
    <n v="1000"/>
    <n v="5002359"/>
    <s v="EMPRESA BRASILEIRA DE CORREIOS E"/>
    <n v="82.02"/>
    <d v="2025-07-29T00:00:00"/>
  </r>
  <r>
    <s v="Sem TR"/>
    <n v="64820249"/>
    <s v="ZRDI"/>
    <n v="10150160"/>
    <s v="D10"/>
    <s v="DEV D2C - Comprou modelo errado"/>
    <s v="COMERCIAL"/>
    <x v="1"/>
    <n v="53176447"/>
    <x v="1536"/>
    <s v="SP"/>
    <n v="474"/>
    <s v="Site Brastemp"/>
    <n v="1352"/>
    <s v="W10907728"/>
    <s v="Acessórios"/>
    <x v="7"/>
    <n v="1000"/>
    <n v="5002359"/>
    <s v="EMPRESA BRASILEIRA DE CORREIOS E"/>
    <n v="82.02"/>
    <d v="2025-07-30T00:00:00"/>
  </r>
  <r>
    <n v="254033295"/>
    <n v="64807321"/>
    <s v="REB"/>
    <n v="10029199"/>
    <n v="176"/>
    <s v="PEÇAS - Defeito de fabric./Interrompido"/>
    <s v="FUNCIONAL"/>
    <x v="1"/>
    <n v="18805"/>
    <x v="307"/>
    <s v="PR"/>
    <n v="648"/>
    <s v="Ultra"/>
    <n v="1350"/>
    <s v="W10632495"/>
    <s v="Placas de Controle"/>
    <x v="1"/>
    <n v="1000"/>
    <n v="5003024"/>
    <s v="RODOBRAS TRANSPORTES RODOVIARIOS LT"/>
    <n v="81.95"/>
    <d v="2025-07-08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181250"/>
    <s v="Polias/Roldanas"/>
    <x v="2"/>
    <n v="5000"/>
    <n v="5004101"/>
    <s v="UNIDOCK'S ASSESSORIA E LOGISTICA DE"/>
    <n v="81.87"/>
    <d v="2025-06-24T00:00:00"/>
  </r>
  <r>
    <n v="254041064"/>
    <n v="64818845"/>
    <s v="ZRDI"/>
    <n v="10106043"/>
    <n v="208"/>
    <s v="DEV-Atraso entrega- LOGISTICA(Transp)"/>
    <s v="TRANSPORTADORA"/>
    <x v="1"/>
    <n v="52096743"/>
    <x v="1537"/>
    <s v="RJ"/>
    <n v="474"/>
    <s v="Site Brastemp"/>
    <n v="1352"/>
    <s v="W11213068"/>
    <s v="Acessórios"/>
    <x v="7"/>
    <n v="2000"/>
    <n v="5002359"/>
    <s v="EMPRESA BRASILEIRA DE CORREIOS E"/>
    <n v="81.86"/>
    <d v="2025-07-28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1102691"/>
    <s v="Conexões Hidráulicas"/>
    <x v="10"/>
    <n v="1000"/>
    <n v="5004042"/>
    <s v="BRASIL WEB TRANSPORTES E LOGISTICA"/>
    <n v="81.86"/>
    <d v="2025-06-24T00:00:00"/>
  </r>
  <r>
    <n v="254042180"/>
    <n v="64796001"/>
    <s v="REB"/>
    <n v="10070980"/>
    <n v="167"/>
    <s v="PEÇAS - Avaria - Quebrada/Depósito"/>
    <s v="LOGÍSTICA"/>
    <x v="0"/>
    <n v="71898"/>
    <x v="1538"/>
    <s v="MG"/>
    <n v="641"/>
    <s v="CDP Diamante"/>
    <n v="1350"/>
    <s v="W10758992"/>
    <s v="Gavetas"/>
    <x v="9"/>
    <n v="1000"/>
    <n v="5004215"/>
    <s v="BRASIL WEB TRANSPORTES E LOGISTICA"/>
    <n v="81.760000000000005"/>
    <d v="2025-06-23T00:00:00"/>
  </r>
  <r>
    <s v="Sem TR"/>
    <n v="64760191"/>
    <s v="ZRVP"/>
    <n v="9961934"/>
    <n v="25"/>
    <s v="OC. 80 - EXTRAVIO TOTAL"/>
    <s v="TRANSPORTADORA"/>
    <x v="0"/>
    <n v="1953"/>
    <x v="1159"/>
    <s v="MG"/>
    <n v="350"/>
    <s v="Ats On"/>
    <n v="1350"/>
    <s v="W10531315"/>
    <s v="Sensores"/>
    <x v="3"/>
    <n v="10000"/>
    <n v="5004101"/>
    <s v="UNIDOCK'S ASSESSORIA E LOGISTICA DE"/>
    <n v="81.69"/>
    <d v="2025-04-28T00:00:00"/>
  </r>
  <r>
    <s v="Sem TR"/>
    <n v="64799822"/>
    <s v="ZRDI"/>
    <n v="10097634"/>
    <s v="D15"/>
    <s v="DEV D2C - Arrependimento modelo comprado"/>
    <s v="COMERCIAL"/>
    <x v="2"/>
    <n v="58106176"/>
    <x v="1539"/>
    <s v="RJ"/>
    <n v="474"/>
    <s v="Site Brastemp"/>
    <n v="1352"/>
    <s v="W10190148"/>
    <s v="Mangueiras"/>
    <x v="5"/>
    <n v="1000"/>
    <n v="5002359"/>
    <s v="EMPRESA BRASILEIRA DE CORREIOS E"/>
    <n v="81.569999999999993"/>
    <d v="2025-07-03T00:00:00"/>
  </r>
  <r>
    <s v="Sem TR"/>
    <n v="64799822"/>
    <s v="ZRDI"/>
    <n v="10097634"/>
    <s v="D15"/>
    <s v="DEV D2C - Arrependimento modelo comprado"/>
    <s v="COMERCIAL"/>
    <x v="2"/>
    <n v="58106176"/>
    <x v="1539"/>
    <s v="RJ"/>
    <n v="474"/>
    <s v="Site Brastemp"/>
    <n v="1352"/>
    <s v="W10190148"/>
    <s v="Mangueiras"/>
    <x v="5"/>
    <n v="1000"/>
    <n v="5002359"/>
    <s v="EMPRESA BRASILEIRA DE CORREIOS E"/>
    <n v="81.569999999999993"/>
    <d v="2025-07-03T00:00:00"/>
  </r>
  <r>
    <n v="254018332"/>
    <n v="64792301"/>
    <s v="REB"/>
    <n v="10053540"/>
    <n v="167"/>
    <s v="PEÇAS - Avaria - Quebrada/Depósito"/>
    <s v="LOGÍSTICA"/>
    <x v="1"/>
    <n v="64523"/>
    <x v="21"/>
    <s v="PB"/>
    <n v="713"/>
    <s v="Key Account"/>
    <n v="1350"/>
    <s v="W10477178"/>
    <s v="Capas"/>
    <x v="6"/>
    <n v="4000"/>
    <n v="5004101"/>
    <s v="UNIDOCK'S ASSESSORIA E LOGISTICA DE"/>
    <n v="81.260000000000005"/>
    <d v="2025-06-16T00:00:00"/>
  </r>
  <r>
    <n v="254033313"/>
    <n v="64807364"/>
    <s v="REB"/>
    <n v="10105074"/>
    <n v="176"/>
    <s v="PEÇAS - Defeito de fabric./Interrompido"/>
    <s v="FUNCIONAL"/>
    <x v="1"/>
    <n v="21594"/>
    <x v="97"/>
    <s v="SP"/>
    <n v="931"/>
    <s v="Ats Off"/>
    <n v="1350"/>
    <s v="W10405579"/>
    <s v="Bombas"/>
    <x v="1"/>
    <n v="1000"/>
    <n v="5004042"/>
    <s v="BRASIL WEB TRANSPORTES E LOGISTICA"/>
    <n v="81.209999999999994"/>
    <d v="2025-07-08T00:00:00"/>
  </r>
  <r>
    <n v="254018098"/>
    <n v="64793199"/>
    <s v="REB"/>
    <n v="10076925"/>
    <n v="176"/>
    <s v="PEÇAS - Defeito de fabric./Interrompido"/>
    <s v="FUNCIONAL"/>
    <x v="2"/>
    <n v="66"/>
    <x v="73"/>
    <s v="GO"/>
    <n v="931"/>
    <s v="Ats Off"/>
    <n v="1350"/>
    <s v="W11298039"/>
    <s v="Gavetas"/>
    <x v="9"/>
    <n v="1000"/>
    <n v="5002858"/>
    <s v="FAVORITA TRANSPORTES LTDA"/>
    <n v="81.180000000000007"/>
    <d v="2025-06-17T00:00:00"/>
  </r>
  <r>
    <s v="Sem TR"/>
    <n v="64814854"/>
    <s v="REB"/>
    <n v="10121006"/>
    <n v="176"/>
    <s v="PEÇAS - Defeito de fabric./Interrompido"/>
    <s v="FUNCIONAL"/>
    <x v="1"/>
    <n v="10164"/>
    <x v="183"/>
    <s v="PB"/>
    <n v="931"/>
    <s v="Ats Off"/>
    <n v="1350"/>
    <s v="W11159132"/>
    <s v="Cordões de Alimentação"/>
    <x v="1"/>
    <n v="1000"/>
    <n v="5004101"/>
    <s v="UNIDOCK'S ASSESSORIA E LOGISTICA DE"/>
    <n v="81.09"/>
    <d v="2025-07-22T00:00:00"/>
  </r>
  <r>
    <n v="253870821"/>
    <n v="64632311"/>
    <s v="REB"/>
    <n v="9491492"/>
    <n v="176"/>
    <s v="PEÇAS - Defeito de fabric./Interrompido"/>
    <s v="FUNCIONAL"/>
    <x v="2"/>
    <n v="3506"/>
    <x v="46"/>
    <s v="SP"/>
    <n v="931"/>
    <s v="Ats Off"/>
    <n v="1350"/>
    <s v="W11508048"/>
    <s v="Placas de Interface"/>
    <x v="1"/>
    <n v="1000"/>
    <n v="5004042"/>
    <s v="BRASIL WEB TRANSPORTES E LOGISTICA"/>
    <n v="81.02"/>
    <d v="2024-11-05T00:00:00"/>
  </r>
  <r>
    <n v="254018273"/>
    <n v="64792592"/>
    <s v="REB"/>
    <n v="9952750"/>
    <n v="177"/>
    <s v="PEÇAS - Defeito de fabric./Ruído"/>
    <s v="FUNCIONAL"/>
    <x v="1"/>
    <n v="30416"/>
    <x v="136"/>
    <s v="AM"/>
    <n v="648"/>
    <s v="Ultra"/>
    <n v="1350"/>
    <s v="W11299803"/>
    <s v="Mecanismos"/>
    <x v="2"/>
    <n v="1000"/>
    <n v="5002858"/>
    <s v="FAVORITA TRANSPORTES LTDA"/>
    <n v="80.959999999999994"/>
    <d v="2025-06-17T00:00:00"/>
  </r>
  <r>
    <n v="254027332"/>
    <n v="64806745"/>
    <s v="ZRDI"/>
    <n v="10073442"/>
    <n v="208"/>
    <s v="DEV-Atraso entrega- LOGISTICA(Transp)"/>
    <s v="TRANSPORTADORA"/>
    <x v="2"/>
    <n v="57972387"/>
    <x v="853"/>
    <s v="BA"/>
    <n v="474"/>
    <s v="Site Brastemp"/>
    <n v="1352"/>
    <s v="W11126533"/>
    <s v="Prateleiras"/>
    <x v="9"/>
    <n v="1000"/>
    <n v="5002359"/>
    <s v="EMPRESA BRASILEIRA DE CORREIOS E"/>
    <n v="80.92"/>
    <d v="2025-07-07T00:00:00"/>
  </r>
  <r>
    <n v="254027332"/>
    <n v="64806745"/>
    <s v="ZRDI"/>
    <n v="10073442"/>
    <n v="208"/>
    <s v="DEV-Atraso entrega- LOGISTICA(Transp)"/>
    <s v="TRANSPORTADORA"/>
    <x v="2"/>
    <n v="57972387"/>
    <x v="853"/>
    <s v="BA"/>
    <n v="474"/>
    <s v="Site Brastemp"/>
    <n v="1352"/>
    <s v="W11126533"/>
    <s v="Prateleiras"/>
    <x v="9"/>
    <n v="1000"/>
    <n v="5002359"/>
    <s v="EMPRESA BRASILEIRA DE CORREIOS E"/>
    <n v="80.92"/>
    <d v="2025-07-07T00:00:00"/>
  </r>
  <r>
    <n v="253967883"/>
    <n v="64745923"/>
    <s v="REB"/>
    <n v="9952721"/>
    <n v="167"/>
    <s v="PEÇAS - Avaria - Quebrada/Depósito"/>
    <s v="LOGÍSTICA"/>
    <x v="2"/>
    <n v="88969"/>
    <x v="101"/>
    <s v="SC"/>
    <n v="641"/>
    <s v="CDP Diamante"/>
    <n v="1350"/>
    <s v="W10581058"/>
    <s v="Gavetas"/>
    <x v="9"/>
    <n v="1000"/>
    <n v="5003024"/>
    <s v="RODOBRAS TRANSPORTES RODOVIARIOS LT"/>
    <n v="80.91"/>
    <d v="2025-04-04T00:00:00"/>
  </r>
  <r>
    <n v="253970690"/>
    <n v="64748230"/>
    <s v="REB"/>
    <n v="9930496"/>
    <n v="176"/>
    <s v="PEÇAS - Defeito de fabric./Interrompido"/>
    <s v="FUNCIONAL"/>
    <x v="2"/>
    <n v="3506"/>
    <x v="46"/>
    <s v="SP"/>
    <n v="931"/>
    <s v="Ats Off"/>
    <n v="1350"/>
    <s v="W10501867"/>
    <s v="Tampas Móveis"/>
    <x v="6"/>
    <n v="1000"/>
    <n v="5004042"/>
    <s v="BRASIL WEB TRANSPORTES E LOGISTICA"/>
    <n v="80.91"/>
    <d v="2025-04-09T00:00:00"/>
  </r>
  <r>
    <n v="254033100"/>
    <n v="64807197"/>
    <s v="REB"/>
    <n v="10015473"/>
    <n v="176"/>
    <s v="PEÇAS - Defeito de fabric./Interrompido"/>
    <s v="FUNCIONAL"/>
    <x v="2"/>
    <n v="66"/>
    <x v="73"/>
    <s v="GO"/>
    <n v="931"/>
    <s v="Ats Off"/>
    <n v="1350"/>
    <s v="W10764578"/>
    <s v="Conjunto Varetas"/>
    <x v="8"/>
    <n v="2000"/>
    <n v="5002858"/>
    <s v="FAVORITA TRANSPORTES LTDA"/>
    <n v="80.91"/>
    <d v="2025-07-08T00:00:00"/>
  </r>
  <r>
    <n v="253983872"/>
    <n v="64758251"/>
    <s v="REB"/>
    <n v="9735401"/>
    <n v="176"/>
    <s v="PEÇAS - Defeito de fabric./Interrompido"/>
    <s v="FUNCIONAL"/>
    <x v="2"/>
    <n v="24089"/>
    <x v="134"/>
    <s v="RJ"/>
    <n v="931"/>
    <s v="Ats Off"/>
    <n v="1350"/>
    <s v="W11347048"/>
    <s v="Bombas"/>
    <x v="1"/>
    <n v="1000"/>
    <n v="5003176"/>
    <s v="J C THEDIN TRANSPORTES LTDA"/>
    <n v="80.89"/>
    <d v="2025-04-28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729800"/>
    <s v="Sensores"/>
    <x v="3"/>
    <n v="5000"/>
    <n v="5004101"/>
    <s v="UNIDOCK'S ASSESSORIA E LOGISTICA DE"/>
    <n v="80.89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729800"/>
    <s v="Sensores"/>
    <x v="3"/>
    <n v="5000"/>
    <n v="5004101"/>
    <s v="UNIDOCK'S ASSESSORIA E LOGISTICA DE"/>
    <n v="80.89"/>
    <d v="2025-06-24T00:00:00"/>
  </r>
  <r>
    <n v="254021272"/>
    <n v="64798928"/>
    <s v="ZRDI"/>
    <n v="10082108"/>
    <n v="208"/>
    <s v="DEV-Atraso entrega- LOGISTICA(Transp)"/>
    <s v="TRANSPORTADORA"/>
    <x v="2"/>
    <n v="58083558"/>
    <x v="1540"/>
    <s v="BA"/>
    <n v="474"/>
    <s v="Site Brastemp"/>
    <n v="1352"/>
    <s v="W10866789"/>
    <s v="Kits Instalação"/>
    <x v="7"/>
    <n v="1000"/>
    <n v="5002359"/>
    <s v="EMPRESA BRASILEIRA DE CORREIOS E"/>
    <n v="80.819999999999993"/>
    <d v="2025-06-26T00:00:00"/>
  </r>
  <r>
    <n v="254023960"/>
    <n v="64802709"/>
    <s v="ZRDI"/>
    <n v="10070783"/>
    <s v="D25"/>
    <s v="DEV D2C - Prob na entrega (Não recebi)"/>
    <s v="TRANSPORTADORA"/>
    <x v="2"/>
    <n v="58068004"/>
    <x v="1541"/>
    <s v="BA"/>
    <n v="474"/>
    <s v="Site Brastemp"/>
    <n v="1352"/>
    <s v="W10866789"/>
    <s v="Kits Instalação"/>
    <x v="7"/>
    <n v="1000"/>
    <n v="5002359"/>
    <s v="EMPRESA BRASILEIRA DE CORREIOS E"/>
    <n v="80.819999999999993"/>
    <d v="2025-07-01T00:00:00"/>
  </r>
  <r>
    <n v="254024680"/>
    <n v="64804773"/>
    <s v="ZRDI"/>
    <n v="10014560"/>
    <n v="208"/>
    <s v="DEV-Atraso entrega- LOGISTICA(Transp)"/>
    <s v="TRANSPORTADORA"/>
    <x v="2"/>
    <n v="58000319"/>
    <x v="1542"/>
    <s v="BA"/>
    <n v="474"/>
    <s v="Site Brastemp"/>
    <n v="1352"/>
    <s v="W10866789"/>
    <s v="Kits Instalação"/>
    <x v="7"/>
    <n v="1000"/>
    <n v="5002359"/>
    <s v="EMPRESA BRASILEIRA DE CORREIOS E"/>
    <n v="80.819999999999993"/>
    <d v="2025-07-02T00:00:00"/>
  </r>
  <r>
    <n v="254027345"/>
    <n v="64806748"/>
    <s v="ZRDI"/>
    <n v="10081765"/>
    <n v="208"/>
    <s v="DEV-Atraso entrega- LOGISTICA(Transp)"/>
    <s v="TRANSPORTADORA"/>
    <x v="2"/>
    <n v="58076796"/>
    <x v="1543"/>
    <s v="BA"/>
    <n v="474"/>
    <s v="Site Brastemp"/>
    <n v="1352"/>
    <s v="W10866789"/>
    <s v="Kits Instalação"/>
    <x v="7"/>
    <n v="1000"/>
    <n v="5002359"/>
    <s v="EMPRESA BRASILEIRA DE CORREIOS E"/>
    <n v="80.819999999999993"/>
    <d v="2025-07-07T00:00:00"/>
  </r>
  <r>
    <n v="254027346"/>
    <n v="64806749"/>
    <s v="ZRDI"/>
    <n v="10082089"/>
    <n v="208"/>
    <s v="DEV-Atraso entrega- LOGISTICA(Transp)"/>
    <s v="TRANSPORTADORA"/>
    <x v="2"/>
    <n v="58083261"/>
    <x v="1544"/>
    <s v="BA"/>
    <n v="474"/>
    <s v="Site Brastemp"/>
    <n v="1352"/>
    <s v="W10866789"/>
    <s v="Kits Instalação"/>
    <x v="7"/>
    <n v="1000"/>
    <n v="5002359"/>
    <s v="EMPRESA BRASILEIRA DE CORREIOS E"/>
    <n v="80.819999999999993"/>
    <d v="2025-07-07T00:00:00"/>
  </r>
  <r>
    <n v="254027346"/>
    <n v="64806749"/>
    <s v="ZRDI"/>
    <n v="10082089"/>
    <n v="208"/>
    <s v="DEV-Atraso entrega- LOGISTICA(Transp)"/>
    <s v="TRANSPORTADORA"/>
    <x v="2"/>
    <n v="58083261"/>
    <x v="1544"/>
    <s v="BA"/>
    <n v="474"/>
    <s v="Site Brastemp"/>
    <n v="1352"/>
    <s v="W10866789"/>
    <s v="Kits Instalação"/>
    <x v="7"/>
    <n v="1000"/>
    <n v="5002359"/>
    <s v="EMPRESA BRASILEIRA DE CORREIOS E"/>
    <n v="80.819999999999993"/>
    <d v="2025-07-07T00:00:00"/>
  </r>
  <r>
    <n v="253981468"/>
    <n v="64758037"/>
    <s v="REB"/>
    <n v="9716169"/>
    <n v="173"/>
    <s v="PEÇAS - Defeito de fabric./Alta Amperage"/>
    <s v="FUNCIONAL"/>
    <x v="2"/>
    <n v="29164"/>
    <x v="32"/>
    <s v="BA"/>
    <n v="648"/>
    <s v="Ultra"/>
    <n v="1350"/>
    <s v="W11113071"/>
    <s v="Termostatos"/>
    <x v="3"/>
    <n v="1000"/>
    <n v="5004101"/>
    <s v="UNIDOCK'S ASSESSORIA E LOGISTICA DE"/>
    <n v="80.8"/>
    <d v="2025-04-25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0257566"/>
    <s v="Fusíveis/Fusíveis térmicos"/>
    <x v="1"/>
    <n v="9000"/>
    <n v="5003024"/>
    <s v="RODOBRAS TRANSPORTES RODOVIARIOS LT"/>
    <n v="80.8"/>
    <d v="2025-01-16T00:00:00"/>
  </r>
  <r>
    <s v="Sem TR"/>
    <n v="64806388"/>
    <s v="REB"/>
    <n v="10087670"/>
    <n v="509"/>
    <s v="Qtd de peças a Menor dentro do Volume"/>
    <s v="LOGÍSTICA"/>
    <x v="1"/>
    <n v="42046"/>
    <x v="293"/>
    <s v="PE"/>
    <n v="350"/>
    <s v="Ats On"/>
    <n v="1350"/>
    <s v="W11396188"/>
    <s v="Placas de Interface"/>
    <x v="1"/>
    <n v="1000"/>
    <n v="5002359"/>
    <s v="EMPRESA BRASILEIRA DE CORREIOS E"/>
    <n v="80.77"/>
    <d v="2025-07-08T00:00:00"/>
  </r>
  <r>
    <n v="254018315"/>
    <n v="64787908"/>
    <s v="REB"/>
    <n v="10042919"/>
    <n v="90"/>
    <s v="CLIENTE-não solicitou"/>
    <s v="COMERCIAL"/>
    <x v="2"/>
    <n v="49341"/>
    <x v="1308"/>
    <s v="MG"/>
    <n v="350"/>
    <s v="Ats On"/>
    <n v="1350"/>
    <s v="W10176395"/>
    <s v="Suportes"/>
    <x v="6"/>
    <n v="1000"/>
    <n v="5004215"/>
    <s v="BRASIL WEB TRANSPORTES E LOGISTICA"/>
    <n v="80.739999999999995"/>
    <d v="2025-06-16T00:00:00"/>
  </r>
  <r>
    <n v="254038699"/>
    <n v="64816631"/>
    <s v="ZRDI"/>
    <n v="10052165"/>
    <s v="D25"/>
    <s v="DEV D2C - Prob na entrega (Não recebi)"/>
    <s v="TRANSPORTADORA"/>
    <x v="2"/>
    <n v="5932689"/>
    <x v="1545"/>
    <s v="RJ"/>
    <n v="475"/>
    <s v="Site Consul"/>
    <n v="1352"/>
    <s v="W10301562"/>
    <s v="Filtros"/>
    <x v="5"/>
    <n v="1000"/>
    <n v="5003972"/>
    <s v="ICARO EXPRESS LOGISTICA LTDA"/>
    <n v="80.709999999999994"/>
    <d v="2025-07-24T00:00:00"/>
  </r>
  <r>
    <n v="254038699"/>
    <n v="64816631"/>
    <s v="ZRDI"/>
    <n v="10052165"/>
    <s v="D25"/>
    <s v="DEV D2C - Prob na entrega (Não recebi)"/>
    <s v="TRANSPORTADORA"/>
    <x v="2"/>
    <n v="5932689"/>
    <x v="1545"/>
    <s v="RJ"/>
    <n v="475"/>
    <s v="Site Consul"/>
    <n v="1352"/>
    <s v="W10301562"/>
    <s v="Filtros"/>
    <x v="5"/>
    <n v="1000"/>
    <n v="5003972"/>
    <s v="ICARO EXPRESS LOGISTICA LTDA"/>
    <n v="80.709999999999994"/>
    <d v="2025-07-24T00:00:00"/>
  </r>
  <r>
    <n v="254024147"/>
    <n v="64803809"/>
    <s v="ZRDI"/>
    <n v="10084561"/>
    <n v="208"/>
    <s v="DEV-Atraso entrega- LOGISTICA(Transp)"/>
    <s v="TRANSPORTADORA"/>
    <x v="2"/>
    <n v="58086553"/>
    <x v="1546"/>
    <s v="MG"/>
    <n v="475"/>
    <s v="Site Consul"/>
    <n v="1352"/>
    <s v="W10866789"/>
    <s v="Kits Instalação"/>
    <x v="7"/>
    <n v="1000"/>
    <n v="5002359"/>
    <s v="EMPRESA BRASILEIRA DE CORREIOS E"/>
    <n v="80.69"/>
    <d v="2025-07-01T00:00:00"/>
  </r>
  <r>
    <n v="254024624"/>
    <n v="64804719"/>
    <s v="ZRDI"/>
    <n v="10077560"/>
    <n v="208"/>
    <s v="DEV-Atraso entrega- LOGISTICA(Transp)"/>
    <s v="TRANSPORTADORA"/>
    <x v="2"/>
    <n v="58074196"/>
    <x v="1547"/>
    <s v="MG"/>
    <n v="474"/>
    <s v="Site Brastemp"/>
    <n v="1352"/>
    <s v="W10866789"/>
    <s v="Kits Instalação"/>
    <x v="7"/>
    <n v="1000"/>
    <n v="5002359"/>
    <s v="EMPRESA BRASILEIRA DE CORREIOS E"/>
    <n v="80.69"/>
    <d v="2025-07-02T00:00:00"/>
  </r>
  <r>
    <n v="254024628"/>
    <n v="64804723"/>
    <s v="ZRDI"/>
    <n v="10081635"/>
    <n v="208"/>
    <s v="DEV-Atraso entrega- LOGISTICA(Transp)"/>
    <s v="TRANSPORTADORA"/>
    <x v="2"/>
    <n v="52820820"/>
    <x v="1548"/>
    <s v="MG"/>
    <n v="475"/>
    <s v="Site Consul"/>
    <n v="1352"/>
    <s v="W10866789"/>
    <s v="Kits Instalação"/>
    <x v="7"/>
    <n v="1000"/>
    <n v="5002359"/>
    <s v="EMPRESA BRASILEIRA DE CORREIOS E"/>
    <n v="80.69"/>
    <d v="2025-07-02T00:00:00"/>
  </r>
  <r>
    <n v="254030003"/>
    <n v="64809479"/>
    <s v="ZRDI"/>
    <n v="10072730"/>
    <n v="208"/>
    <s v="DEV-Atraso entrega- LOGISTICA(Transp)"/>
    <s v="TRANSPORTADORA"/>
    <x v="2"/>
    <n v="52339217"/>
    <x v="1549"/>
    <s v="MG"/>
    <n v="474"/>
    <s v="Site Brastemp"/>
    <n v="1352"/>
    <s v="W10866789"/>
    <s v="Kits Instalação"/>
    <x v="7"/>
    <n v="1000"/>
    <n v="5002359"/>
    <s v="EMPRESA BRASILEIRA DE CORREIOS E"/>
    <n v="80.69"/>
    <d v="2025-07-11T00:00:00"/>
  </r>
  <r>
    <n v="254038699"/>
    <n v="64816631"/>
    <s v="ZRDI"/>
    <n v="10052165"/>
    <s v="D25"/>
    <s v="DEV D2C - Prob na entrega (Não recebi)"/>
    <s v="TRANSPORTADORA"/>
    <x v="2"/>
    <n v="5932689"/>
    <x v="1545"/>
    <s v="RJ"/>
    <n v="475"/>
    <s v="Site Consul"/>
    <n v="1352"/>
    <s v="W10301562"/>
    <s v="Filtros"/>
    <x v="5"/>
    <n v="1000"/>
    <n v="5003972"/>
    <s v="ICARO EXPRESS LOGISTICA LTDA"/>
    <n v="80.69"/>
    <d v="2025-07-24T00:00:00"/>
  </r>
  <r>
    <n v="254038699"/>
    <n v="64816631"/>
    <s v="ZRDI"/>
    <n v="10052165"/>
    <s v="D25"/>
    <s v="DEV D2C - Prob na entrega (Não recebi)"/>
    <s v="TRANSPORTADORA"/>
    <x v="2"/>
    <n v="5932689"/>
    <x v="1545"/>
    <s v="RJ"/>
    <n v="475"/>
    <s v="Site Consul"/>
    <n v="1352"/>
    <s v="W10301562"/>
    <s v="Filtros"/>
    <x v="5"/>
    <n v="1000"/>
    <n v="5003972"/>
    <s v="ICARO EXPRESS LOGISTICA LTDA"/>
    <n v="80.69"/>
    <d v="2025-07-24T00:00:00"/>
  </r>
  <r>
    <n v="253983966"/>
    <n v="64759051"/>
    <s v="REB"/>
    <n v="9966513"/>
    <n v="90"/>
    <s v="CLIENTE-não solicitou"/>
    <s v="COMERCIAL"/>
    <x v="1"/>
    <n v="81548"/>
    <x v="348"/>
    <s v="SC"/>
    <n v="350"/>
    <s v="Ats On"/>
    <n v="1350"/>
    <s v="W10431996"/>
    <s v="Calhas/Canaletas"/>
    <x v="9"/>
    <n v="1000"/>
    <n v="5003024"/>
    <s v="RODOBRAS TRANSPORTES RODOVIARIOS LT"/>
    <n v="80.69"/>
    <d v="2025-04-28T00:00:00"/>
  </r>
  <r>
    <s v="Sem TR"/>
    <n v="64810773"/>
    <s v="ZRDI"/>
    <n v="10134496"/>
    <s v="D10"/>
    <s v="DEV D2C - Comprou modelo errado"/>
    <s v="COMERCIAL"/>
    <x v="2"/>
    <n v="58151356"/>
    <x v="1550"/>
    <s v="SP"/>
    <n v="474"/>
    <s v="Site Brastemp"/>
    <n v="1352"/>
    <s v="W10397599"/>
    <s v="Prateleiras"/>
    <x v="9"/>
    <n v="1000"/>
    <n v="5002359"/>
    <s v="EMPRESA BRASILEIRA DE CORREIOS E"/>
    <n v="80.58"/>
    <d v="2025-07-18T00:00:00"/>
  </r>
  <r>
    <s v="Sem TR"/>
    <n v="64815891"/>
    <s v="ZRDI"/>
    <n v="10140003"/>
    <s v="D10"/>
    <s v="DEV D2C - Comprou modelo errado"/>
    <s v="COMERCIAL"/>
    <x v="2"/>
    <n v="58161745"/>
    <x v="1551"/>
    <s v="SP"/>
    <n v="474"/>
    <s v="Site Brastemp"/>
    <n v="1352"/>
    <s v="W10397599"/>
    <s v="Prateleiras"/>
    <x v="9"/>
    <n v="1000"/>
    <n v="5002359"/>
    <s v="EMPRESA BRASILEIRA DE CORREIOS E"/>
    <n v="80.58"/>
    <d v="2025-07-24T00:00:00"/>
  </r>
  <r>
    <s v="Sem TR"/>
    <n v="64815891"/>
    <s v="ZRDI"/>
    <n v="10140003"/>
    <s v="D10"/>
    <s v="DEV D2C - Comprou modelo errado"/>
    <s v="COMERCIAL"/>
    <x v="2"/>
    <n v="58161745"/>
    <x v="1551"/>
    <s v="SP"/>
    <n v="474"/>
    <s v="Site Brastemp"/>
    <n v="1352"/>
    <s v="W10397599"/>
    <s v="Prateleiras"/>
    <x v="9"/>
    <n v="1000"/>
    <n v="5002359"/>
    <s v="EMPRESA BRASILEIRA DE CORREIOS E"/>
    <n v="80.58"/>
    <d v="2025-07-24T00:00:00"/>
  </r>
  <r>
    <s v="Sem TR"/>
    <n v="64810797"/>
    <s v="ZRDI"/>
    <n v="10120267"/>
    <s v="D16"/>
    <s v="DEV D2C - Arrependimento cor escolhida"/>
    <s v="COMERCIAL"/>
    <x v="2"/>
    <n v="58130797"/>
    <x v="1552"/>
    <s v="MG"/>
    <n v="474"/>
    <s v="Site Brastemp"/>
    <n v="1352"/>
    <s v="W10334866"/>
    <s v="Anéis do Tanque"/>
    <x v="6"/>
    <n v="1000"/>
    <n v="5002359"/>
    <s v="EMPRESA BRASILEIRA DE CORREIOS E"/>
    <n v="80.52"/>
    <d v="2025-07-17T00:00:00"/>
  </r>
  <r>
    <s v="Sem TR"/>
    <n v="64810797"/>
    <s v="ZRDI"/>
    <n v="10120267"/>
    <s v="D16"/>
    <s v="DEV D2C - Arrependimento cor escolhida"/>
    <s v="COMERCIAL"/>
    <x v="2"/>
    <n v="58130797"/>
    <x v="1552"/>
    <s v="MG"/>
    <n v="474"/>
    <s v="Site Brastemp"/>
    <n v="1352"/>
    <s v="W10334866"/>
    <s v="Anéis do Tanque"/>
    <x v="6"/>
    <n v="1000"/>
    <n v="5002359"/>
    <s v="EMPRESA BRASILEIRA DE CORREIOS E"/>
    <n v="80.52"/>
    <d v="2025-07-17T00:00:00"/>
  </r>
  <r>
    <n v="254030529"/>
    <n v="64802444"/>
    <s v="REB"/>
    <n v="9502866"/>
    <n v="173"/>
    <s v="PEÇAS - Defeito de fabric./Alta Amperage"/>
    <s v="FUNCIONAL"/>
    <x v="1"/>
    <n v="32488"/>
    <x v="270"/>
    <s v="RJ"/>
    <n v="933"/>
    <s v="Top"/>
    <n v="1350"/>
    <s v="W11311794"/>
    <s v="Placas de Controle"/>
    <x v="1"/>
    <n v="1000"/>
    <n v="5003176"/>
    <s v="J C THEDIN TRANSPORTES LTDA"/>
    <n v="80.5"/>
    <d v="2025-07-01T00:00:00"/>
  </r>
  <r>
    <n v="254030528"/>
    <n v="64802439"/>
    <s v="REB"/>
    <n v="9502866"/>
    <n v="173"/>
    <s v="PEÇAS - Defeito de fabric./Alta Amperage"/>
    <s v="FUNCIONAL"/>
    <x v="1"/>
    <n v="32488"/>
    <x v="270"/>
    <s v="RJ"/>
    <n v="933"/>
    <s v="Top"/>
    <n v="1350"/>
    <s v="W11311794"/>
    <s v="Placas de Controle"/>
    <x v="1"/>
    <n v="1000"/>
    <n v="5003176"/>
    <s v="J C THEDIN TRANSPORTES LTDA"/>
    <n v="80.5"/>
    <d v="2025-07-01T00:00:00"/>
  </r>
  <r>
    <n v="254024694"/>
    <n v="64804787"/>
    <s v="ZRDI"/>
    <n v="10067869"/>
    <n v="208"/>
    <s v="DEV-Atraso entrega- LOGISTICA(Transp)"/>
    <s v="TRANSPORTADORA"/>
    <x v="2"/>
    <n v="58063163"/>
    <x v="1553"/>
    <s v="MA"/>
    <n v="475"/>
    <s v="Site Consul"/>
    <n v="1352"/>
    <s v="W10866789"/>
    <s v="Kits Instalação"/>
    <x v="7"/>
    <n v="1000"/>
    <n v="5002359"/>
    <s v="EMPRESA BRASILEIRA DE CORREIOS E"/>
    <n v="80.459999999999994"/>
    <d v="2025-07-02T00:00:00"/>
  </r>
  <r>
    <n v="254018277"/>
    <n v="64786851"/>
    <s v="REB"/>
    <n v="10075380"/>
    <n v="167"/>
    <s v="PEÇAS - Avaria - Quebrada/Depósito"/>
    <s v="LOGÍSTICA"/>
    <x v="2"/>
    <n v="33113"/>
    <x v="1554"/>
    <s v="SP"/>
    <n v="641"/>
    <s v="CDP Diamante"/>
    <n v="1350"/>
    <s v="W10830936"/>
    <s v="Prateleiras"/>
    <x v="9"/>
    <n v="1000"/>
    <n v="5004042"/>
    <s v="BRASIL WEB TRANSPORTES E LOGISTICA"/>
    <n v="80.45"/>
    <d v="2025-06-16T00:00:00"/>
  </r>
  <r>
    <s v="Sem TR"/>
    <n v="64805660"/>
    <s v="ZRDI"/>
    <n v="10116354"/>
    <s v="D10"/>
    <s v="DEV D2C - Comprou modelo errado"/>
    <s v="COMERCIAL"/>
    <x v="2"/>
    <n v="58125419"/>
    <x v="1555"/>
    <s v="RJ"/>
    <n v="474"/>
    <s v="Site Brastemp"/>
    <n v="1352"/>
    <s v="W10754152"/>
    <s v="Gavetas"/>
    <x v="9"/>
    <n v="1000"/>
    <n v="5002359"/>
    <s v="EMPRESA BRASILEIRA DE CORREIOS E"/>
    <n v="80.28"/>
    <d v="2025-07-04T00:00:00"/>
  </r>
  <r>
    <n v="253918534"/>
    <n v="64691659"/>
    <s v="REB"/>
    <n v="9782982"/>
    <n v="90"/>
    <s v="CLIENTE-não solicitou"/>
    <s v="COMERCIAL"/>
    <x v="1"/>
    <n v="1873"/>
    <x v="1556"/>
    <s v="MS"/>
    <n v="350"/>
    <s v="Ats On"/>
    <n v="1350"/>
    <s v="W10347201"/>
    <s v="Prateleiras"/>
    <x v="9"/>
    <n v="1000"/>
    <n v="5002573"/>
    <s v="CARVALIMA TRANSPORTES LTDA"/>
    <n v="80.28"/>
    <d v="2025-01-15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174627"/>
    <s v="Painéis Decorativos"/>
    <x v="6"/>
    <n v="7000"/>
    <n v="5004101"/>
    <s v="UNIDOCK'S ASSESSORIA E LOGISTICA DE"/>
    <n v="80.209999999999994"/>
    <d v="2025-07-29T00:00:00"/>
  </r>
  <r>
    <n v="253961276"/>
    <n v="64739244"/>
    <s v="REB"/>
    <n v="9914822"/>
    <n v="176"/>
    <s v="PEÇAS - Defeito de fabric./Interrompido"/>
    <s v="FUNCIONAL"/>
    <x v="2"/>
    <n v="24089"/>
    <x v="134"/>
    <s v="RJ"/>
    <n v="931"/>
    <s v="Ats Off"/>
    <n v="1350"/>
    <s v="W11311794"/>
    <s v="Placas de Controle"/>
    <x v="1"/>
    <n v="1000"/>
    <n v="5003176"/>
    <s v="J C THEDIN TRANSPORTES LTDA"/>
    <n v="80.19"/>
    <d v="2025-03-26T00:00:00"/>
  </r>
  <r>
    <n v="254044248"/>
    <n v="64797640"/>
    <s v="REB"/>
    <n v="10082522"/>
    <n v="167"/>
    <s v="PEÇAS - Avaria - Quebrada/Depósito"/>
    <s v="LOGÍSTICA"/>
    <x v="0"/>
    <n v="70205"/>
    <x v="836"/>
    <s v="MG"/>
    <n v="350"/>
    <s v="Ats On"/>
    <n v="1350"/>
    <s v="W10501867"/>
    <s v="Tampas Móveis"/>
    <x v="6"/>
    <n v="1000"/>
    <n v="5004215"/>
    <s v="BRASIL WEB TRANSPORTES E LOGISTICA"/>
    <n v="80.19"/>
    <d v="2025-06-25T00:00:00"/>
  </r>
  <r>
    <s v="Sem TR"/>
    <n v="64797786"/>
    <s v="ZRDI"/>
    <n v="10065453"/>
    <s v="D31"/>
    <s v="DEV D2C - Defeito estético manufatura"/>
    <s v="MANUFATURA"/>
    <x v="2"/>
    <n v="56496790"/>
    <x v="1557"/>
    <s v="SP"/>
    <n v="474"/>
    <s v="Site Brastemp"/>
    <n v="1352"/>
    <s v="W11213068"/>
    <s v="Acessórios"/>
    <x v="7"/>
    <n v="2000"/>
    <n v="5002359"/>
    <s v="EMPRESA BRASILEIRA DE CORREIOS E"/>
    <n v="80.16"/>
    <d v="2025-06-27T00:00:00"/>
  </r>
  <r>
    <s v="Sem TR"/>
    <n v="64797786"/>
    <s v="ZRDI"/>
    <n v="10065453"/>
    <s v="D31"/>
    <s v="DEV D2C - Defeito estético manufatura"/>
    <s v="MANUFATURA"/>
    <x v="2"/>
    <n v="56496790"/>
    <x v="1557"/>
    <s v="SP"/>
    <n v="474"/>
    <s v="Site Brastemp"/>
    <n v="1352"/>
    <s v="W11213068"/>
    <s v="Acessórios"/>
    <x v="7"/>
    <n v="2000"/>
    <n v="5002359"/>
    <s v="EMPRESA BRASILEIRA DE CORREIOS E"/>
    <n v="80.16"/>
    <d v="2025-06-27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480671"/>
    <s v="Anéis Hidro"/>
    <x v="6"/>
    <n v="1000"/>
    <n v="5004101"/>
    <s v="UNIDOCK'S ASSESSORIA E LOGISTICA DE"/>
    <n v="80.069999999999993"/>
    <d v="2025-03-13T00:00:00"/>
  </r>
  <r>
    <n v="253903206"/>
    <n v="64671112"/>
    <s v="REB"/>
    <n v="4897523"/>
    <n v="177"/>
    <s v="PEÇAS - Defeito de fabric./Ruído"/>
    <s v="FUNCIONAL"/>
    <x v="1"/>
    <n v="42048"/>
    <x v="11"/>
    <s v="MT"/>
    <n v="933"/>
    <s v="Top"/>
    <n v="1350"/>
    <s v="W10463803"/>
    <s v="Mecanismos"/>
    <x v="2"/>
    <n v="1000"/>
    <n v="5002573"/>
    <s v="CARVALIMA TRANSPORTES LTDA"/>
    <n v="80.010000000000005"/>
    <d v="2024-12-18T00:00:00"/>
  </r>
  <r>
    <s v="Sem TR"/>
    <n v="64814165"/>
    <s v="ZRDI"/>
    <n v="10112087"/>
    <s v="D10"/>
    <s v="DEV D2C - Comprou modelo errado"/>
    <s v="COMERCIAL"/>
    <x v="2"/>
    <n v="4418843"/>
    <x v="1558"/>
    <s v="SP"/>
    <n v="474"/>
    <s v="Site Brastemp"/>
    <n v="1352"/>
    <s v="W11316366"/>
    <s v="Gaxetas"/>
    <x v="4"/>
    <n v="1000"/>
    <n v="5002359"/>
    <s v="EMPRESA BRASILEIRA DE CORREIOS E"/>
    <n v="79.91"/>
    <d v="2025-07-23T00:00:00"/>
  </r>
  <r>
    <s v="Sem TR"/>
    <n v="64814165"/>
    <s v="ZRDI"/>
    <n v="10112087"/>
    <s v="D10"/>
    <s v="DEV D2C - Comprou modelo errado"/>
    <s v="COMERCIAL"/>
    <x v="2"/>
    <n v="4418843"/>
    <x v="1558"/>
    <s v="SP"/>
    <n v="474"/>
    <s v="Site Brastemp"/>
    <n v="1352"/>
    <s v="W11316366"/>
    <s v="Gaxetas"/>
    <x v="4"/>
    <n v="1000"/>
    <n v="5002359"/>
    <s v="EMPRESA BRASILEIRA DE CORREIOS E"/>
    <n v="79.91"/>
    <d v="2025-07-23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169455"/>
    <s v="Suportes"/>
    <x v="6"/>
    <n v="1000"/>
    <n v="5004101"/>
    <s v="UNIDOCK'S ASSESSORIA E LOGISTICA DE"/>
    <n v="79.8"/>
    <d v="2025-03-13T00:00:00"/>
  </r>
  <r>
    <n v="253995236"/>
    <n v="64769873"/>
    <s v="REB"/>
    <n v="9672148"/>
    <n v="173"/>
    <s v="PEÇAS - Defeito de fabric./Alta Amperage"/>
    <s v="FUNCIONAL"/>
    <x v="2"/>
    <n v="81093"/>
    <x v="53"/>
    <s v="ES"/>
    <n v="713"/>
    <s v="Key Account"/>
    <n v="1350"/>
    <s v="W11299803"/>
    <s v="Mecanismos"/>
    <x v="2"/>
    <n v="1000"/>
    <n v="5004042"/>
    <s v="BRASIL WEB TRANSPORTES E LOGISTICA"/>
    <n v="79.760000000000005"/>
    <d v="2025-05-15T00:00:00"/>
  </r>
  <r>
    <n v="254027358"/>
    <n v="64806762"/>
    <s v="ZRDI"/>
    <n v="10103887"/>
    <n v="208"/>
    <s v="DEV-Atraso entrega- LOGISTICA(Transp)"/>
    <s v="TRANSPORTADORA"/>
    <x v="2"/>
    <n v="58115861"/>
    <x v="1559"/>
    <s v="PR"/>
    <n v="475"/>
    <s v="Site Consul"/>
    <n v="1352"/>
    <s v="W10866789"/>
    <s v="Kits Instalação"/>
    <x v="7"/>
    <n v="1000"/>
    <n v="5002359"/>
    <s v="EMPRESA BRASILEIRA DE CORREIOS E"/>
    <n v="79.7"/>
    <d v="2025-07-07T00:00:00"/>
  </r>
  <r>
    <n v="254027358"/>
    <n v="64806762"/>
    <s v="ZRDI"/>
    <n v="10103887"/>
    <n v="208"/>
    <s v="DEV-Atraso entrega- LOGISTICA(Transp)"/>
    <s v="TRANSPORTADORA"/>
    <x v="2"/>
    <n v="58115861"/>
    <x v="1559"/>
    <s v="PR"/>
    <n v="475"/>
    <s v="Site Consul"/>
    <n v="1352"/>
    <s v="W10866789"/>
    <s v="Kits Instalação"/>
    <x v="7"/>
    <n v="1000"/>
    <n v="5002359"/>
    <s v="EMPRESA BRASILEIRA DE CORREIOS E"/>
    <n v="79.7"/>
    <d v="2025-07-07T00:00:00"/>
  </r>
  <r>
    <n v="254007609"/>
    <n v="64781632"/>
    <s v="REB"/>
    <n v="10035453"/>
    <n v="167"/>
    <s v="PEÇAS - Avaria - Quebrada/Depósito"/>
    <s v="LOGÍSTICA"/>
    <x v="2"/>
    <n v="71652"/>
    <x v="24"/>
    <s v="RJ"/>
    <n v="933"/>
    <s v="Top"/>
    <n v="1350"/>
    <s v="W10830936"/>
    <s v="Prateleiras"/>
    <x v="9"/>
    <n v="1000"/>
    <n v="5003176"/>
    <s v="J C THEDIN TRANSPORTES LTDA"/>
    <n v="79.66"/>
    <d v="2025-06-02T00:00:00"/>
  </r>
  <r>
    <n v="254012499"/>
    <n v="64789404"/>
    <s v="REB"/>
    <n v="10066885"/>
    <n v="167"/>
    <s v="PEÇAS - Avaria - Quebrada/Depósito"/>
    <s v="LOGÍSTICA"/>
    <x v="2"/>
    <n v="28684"/>
    <x v="235"/>
    <s v="SP"/>
    <n v="648"/>
    <s v="Ultra"/>
    <n v="1350"/>
    <s v="W10287534"/>
    <s v="Prateleiras"/>
    <x v="9"/>
    <n v="2000"/>
    <n v="5004042"/>
    <s v="BRASIL WEB TRANSPORTES E LOGISTICA"/>
    <n v="79.63"/>
    <d v="2025-06-10T00:00:00"/>
  </r>
  <r>
    <n v="253997956"/>
    <n v="64772017"/>
    <s v="REB"/>
    <n v="9998869"/>
    <n v="167"/>
    <s v="PEÇAS - Avaria - Quebrada/Depósito"/>
    <s v="LOGÍSTICA"/>
    <x v="1"/>
    <n v="28993"/>
    <x v="175"/>
    <s v="MG"/>
    <n v="644"/>
    <s v="Plus"/>
    <n v="1350"/>
    <s v="W10477178"/>
    <s v="Capas"/>
    <x v="6"/>
    <n v="3000"/>
    <n v="5004215"/>
    <s v="BRASIL WEB TRANSPORTES E LOGISTICA"/>
    <n v="79.63"/>
    <d v="2025-05-20T00:00:00"/>
  </r>
  <r>
    <n v="254004024"/>
    <n v="64778709"/>
    <s v="REB"/>
    <n v="10042922"/>
    <n v="173"/>
    <s v="PEÇAS - Defeito de fabric./Alta Amperage"/>
    <s v="FUNCIONAL"/>
    <x v="1"/>
    <n v="61472"/>
    <x v="79"/>
    <s v="MG"/>
    <n v="350"/>
    <s v="Ats On"/>
    <n v="1350"/>
    <s v="W11634491"/>
    <s v="Placas de Controle"/>
    <x v="1"/>
    <n v="1000"/>
    <n v="5004215"/>
    <s v="BRASIL WEB TRANSPORTES E LOGISTICA"/>
    <n v="79.56"/>
    <d v="2025-05-26T00:00:00"/>
  </r>
  <r>
    <n v="254009926"/>
    <n v="64788338"/>
    <s v="ROB"/>
    <n v="10061894"/>
    <n v="170"/>
    <s v="PEÇAS - Avaria - Riscada/Depósito"/>
    <s v="LOGÍSTICA"/>
    <x v="2"/>
    <n v="31063"/>
    <x v="308"/>
    <s v="RJ"/>
    <n v="644"/>
    <s v="Plus"/>
    <n v="1350"/>
    <s v="W11367609"/>
    <s v="Capas"/>
    <x v="6"/>
    <n v="1000"/>
    <n v="5003176"/>
    <s v="J C THEDIN TRANSPORTES LTDA"/>
    <n v="79.55"/>
    <d v="2025-06-09T00:00:00"/>
  </r>
  <r>
    <n v="254032577"/>
    <n v="64811512"/>
    <s v="ZRDI"/>
    <n v="10108138"/>
    <n v="208"/>
    <s v="DEV-Atraso entrega- LOGISTICA(Transp)"/>
    <s v="TRANSPORTADORA"/>
    <x v="2"/>
    <n v="58118318"/>
    <x v="1560"/>
    <s v="CE"/>
    <n v="474"/>
    <s v="Site Brastemp"/>
    <n v="1352"/>
    <s v="W10866789"/>
    <s v="Kits Instalação"/>
    <x v="7"/>
    <n v="1000"/>
    <n v="5002359"/>
    <s v="EMPRESA BRASILEIRA DE CORREIOS E"/>
    <n v="79.510000000000005"/>
    <d v="2025-07-16T00:00:00"/>
  </r>
  <r>
    <n v="254012593"/>
    <n v="64789410"/>
    <s v="REB"/>
    <n v="9965622"/>
    <n v="176"/>
    <s v="PEÇAS - Defeito de fabric./Interrompido"/>
    <s v="FUNCIONAL"/>
    <x v="2"/>
    <n v="67948"/>
    <x v="15"/>
    <s v="SC"/>
    <n v="713"/>
    <s v="Key Account"/>
    <n v="1350"/>
    <s v="W10169464"/>
    <s v="Defletores/Difusores"/>
    <x v="5"/>
    <n v="4000"/>
    <n v="5003024"/>
    <s v="RODOBRAS TRANSPORTES RODOVIARIOS LT"/>
    <n v="79.5"/>
    <d v="2025-06-10T00:00:00"/>
  </r>
  <r>
    <n v="253983962"/>
    <n v="64756917"/>
    <s v="REB"/>
    <n v="9904265"/>
    <n v="173"/>
    <s v="PEÇAS - Defeito de fabric./Alta Amperage"/>
    <s v="FUNCIONAL"/>
    <x v="1"/>
    <n v="80567"/>
    <x v="1561"/>
    <s v="ES"/>
    <n v="350"/>
    <s v="Ats On"/>
    <n v="1350"/>
    <s v="W11660323"/>
    <s v="Retentores"/>
    <x v="4"/>
    <n v="1000"/>
    <n v="5004042"/>
    <s v="BRASIL WEB TRANSPORTES E LOGISTICA"/>
    <n v="79.48"/>
    <d v="2025-04-28T00:00:00"/>
  </r>
  <r>
    <n v="254012591"/>
    <n v="64788573"/>
    <s v="REB"/>
    <n v="9965623"/>
    <n v="176"/>
    <s v="PEÇAS - Defeito de fabric./Interrompido"/>
    <s v="FUNCIONAL"/>
    <x v="2"/>
    <n v="67948"/>
    <x v="15"/>
    <s v="SC"/>
    <n v="713"/>
    <s v="Key Account"/>
    <n v="1350"/>
    <n v="326051022"/>
    <s v="Capas"/>
    <x v="6"/>
    <n v="2000"/>
    <n v="5003024"/>
    <s v="RODOBRAS TRANSPORTES RODOVIARIOS LT"/>
    <n v="79.48"/>
    <d v="2025-06-10T00:00:00"/>
  </r>
  <r>
    <s v="Sem TR"/>
    <n v="64809392"/>
    <s v="ZRDI"/>
    <n v="10121584"/>
    <s v="D10"/>
    <s v="DEV D2C - Comprou modelo errado"/>
    <s v="COMERCIAL"/>
    <x v="2"/>
    <n v="58133483"/>
    <x v="1562"/>
    <s v="MG"/>
    <n v="474"/>
    <s v="Site Brastemp"/>
    <n v="1352"/>
    <s v="W11126524"/>
    <s v="Prateleiras"/>
    <x v="9"/>
    <n v="1000"/>
    <n v="5002359"/>
    <s v="EMPRESA BRASILEIRA DE CORREIOS E"/>
    <n v="79.430000000000007"/>
    <d v="2025-07-21T00:00:00"/>
  </r>
  <r>
    <s v="Sem TR"/>
    <n v="64809392"/>
    <s v="ZRDI"/>
    <n v="10121584"/>
    <s v="D10"/>
    <s v="DEV D2C - Comprou modelo errado"/>
    <s v="COMERCIAL"/>
    <x v="2"/>
    <n v="58133483"/>
    <x v="1562"/>
    <s v="MG"/>
    <n v="474"/>
    <s v="Site Brastemp"/>
    <n v="1352"/>
    <s v="W11126524"/>
    <s v="Prateleiras"/>
    <x v="9"/>
    <n v="1000"/>
    <n v="5002359"/>
    <s v="EMPRESA BRASILEIRA DE CORREIOS E"/>
    <n v="79.430000000000007"/>
    <d v="2025-07-21T00:00:00"/>
  </r>
  <r>
    <n v="254033944"/>
    <n v="64812477"/>
    <s v="ZRDI"/>
    <n v="10094232"/>
    <n v="208"/>
    <s v="DEV-Atraso entrega- LOGISTICA(Transp)"/>
    <s v="TRANSPORTADORA"/>
    <x v="2"/>
    <n v="5947319"/>
    <x v="1061"/>
    <s v="RS"/>
    <n v="466"/>
    <s v="Sup ML Marketplace"/>
    <n v="1352"/>
    <s v="W10289381"/>
    <s v="Queimadores"/>
    <x v="12"/>
    <n v="1000"/>
    <n v="5002359"/>
    <s v="EMPRESA BRASILEIRA DE CORREIOS E"/>
    <n v="79.42"/>
    <d v="2025-07-17T00:00:00"/>
  </r>
  <r>
    <s v="Sem TR"/>
    <n v="64817981"/>
    <s v="ZRDI"/>
    <n v="10126752"/>
    <s v="D35"/>
    <s v="DEV D2C - Prod difere do comprado"/>
    <s v="COMERCIAL"/>
    <x v="1"/>
    <n v="58142844"/>
    <x v="152"/>
    <s v="RJ"/>
    <n v="474"/>
    <s v="Site Brastemp"/>
    <n v="1352"/>
    <s v="W10369440"/>
    <s v="Lâmpadas"/>
    <x v="1"/>
    <n v="1000"/>
    <n v="5002359"/>
    <s v="EMPRESA BRASILEIRA DE CORREIOS E"/>
    <n v="79.39"/>
    <d v="2025-07-30T00:00:00"/>
  </r>
  <r>
    <n v="254033560"/>
    <n v="64812026"/>
    <s v="ZRDI"/>
    <n v="10123536"/>
    <s v="D25"/>
    <s v="DEV D2C - Prob na entrega (Não recebi)"/>
    <s v="TRANSPORTADORA"/>
    <x v="2"/>
    <n v="58135758"/>
    <x v="1563"/>
    <s v="PE"/>
    <n v="474"/>
    <s v="Site Brastemp"/>
    <n v="1352"/>
    <s v="W10866789"/>
    <s v="Kits Instalação"/>
    <x v="7"/>
    <n v="1000"/>
    <n v="5002359"/>
    <s v="EMPRESA BRASILEIRA DE CORREIOS E"/>
    <n v="79.3"/>
    <d v="2025-07-17T00:00:00"/>
  </r>
  <r>
    <n v="253988953"/>
    <n v="64763974"/>
    <s v="REB"/>
    <n v="9953440"/>
    <n v="173"/>
    <s v="PEÇAS - Defeito de fabric./Alta Amperage"/>
    <s v="FUNCIONAL"/>
    <x v="1"/>
    <n v="87707"/>
    <x v="143"/>
    <s v="BA"/>
    <n v="648"/>
    <s v="Ultra"/>
    <n v="1350"/>
    <s v="W11023460"/>
    <s v="Placas de Controle"/>
    <x v="1"/>
    <n v="1000"/>
    <n v="5004101"/>
    <s v="UNIDOCK'S ASSESSORIA E LOGISTICA DE"/>
    <n v="79.27"/>
    <d v="2025-05-05T00:00:00"/>
  </r>
  <r>
    <n v="253995160"/>
    <n v="64772610"/>
    <s v="REB"/>
    <n v="9957754"/>
    <n v="173"/>
    <s v="PEÇAS - Defeito de fabric./Alta Amperage"/>
    <s v="FUNCIONAL"/>
    <x v="2"/>
    <n v="42455"/>
    <x v="81"/>
    <s v="SP"/>
    <n v="931"/>
    <s v="Ats Off"/>
    <n v="1350"/>
    <n v="326073245"/>
    <s v="Motores Ventiladores"/>
    <x v="1"/>
    <n v="1000"/>
    <n v="5004042"/>
    <s v="BRASIL WEB TRANSPORTES E LOGISTICA"/>
    <n v="79.2"/>
    <d v="2025-05-16T00:00:00"/>
  </r>
  <r>
    <n v="254027701"/>
    <n v="64807255"/>
    <s v="ZRDI"/>
    <n v="10106048"/>
    <n v="208"/>
    <s v="DEV-Atraso entrega- LOGISTICA(Transp)"/>
    <s v="TRANSPORTADORA"/>
    <x v="2"/>
    <n v="52367769"/>
    <x v="1564"/>
    <s v="SP"/>
    <n v="475"/>
    <s v="Site Consul"/>
    <n v="1352"/>
    <s v="W10301562"/>
    <s v="Filtros"/>
    <x v="5"/>
    <n v="1000"/>
    <n v="5002359"/>
    <s v="EMPRESA BRASILEIRA DE CORREIOS E"/>
    <n v="79.17"/>
    <d v="2025-07-08T00:00:00"/>
  </r>
  <r>
    <n v="254027701"/>
    <n v="64807255"/>
    <s v="ZRDI"/>
    <n v="10106048"/>
    <n v="208"/>
    <s v="DEV-Atraso entrega- LOGISTICA(Transp)"/>
    <s v="TRANSPORTADORA"/>
    <x v="2"/>
    <n v="52367769"/>
    <x v="1564"/>
    <s v="SP"/>
    <n v="475"/>
    <s v="Site Consul"/>
    <n v="1352"/>
    <s v="W10301562"/>
    <s v="Filtros"/>
    <x v="5"/>
    <n v="1000"/>
    <n v="5002359"/>
    <s v="EMPRESA BRASILEIRA DE CORREIOS E"/>
    <n v="79.16"/>
    <d v="2025-07-08T00:00:00"/>
  </r>
  <r>
    <n v="254004036"/>
    <n v="64775682"/>
    <s v="REB"/>
    <n v="10018022"/>
    <n v="167"/>
    <s v="PEÇAS - Avaria - Quebrada/Depósito"/>
    <s v="LOGÍSTICA"/>
    <x v="1"/>
    <n v="64523"/>
    <x v="21"/>
    <s v="PB"/>
    <n v="713"/>
    <s v="Key Account"/>
    <n v="1350"/>
    <s v="W11363944"/>
    <s v="Capas"/>
    <x v="6"/>
    <n v="3000"/>
    <n v="5004101"/>
    <s v="UNIDOCK'S ASSESSORIA E LOGISTICA DE"/>
    <n v="79.150000000000006"/>
    <d v="2025-05-26T00:00:00"/>
  </r>
  <r>
    <n v="253970693"/>
    <n v="64746783"/>
    <s v="REB"/>
    <n v="9938303"/>
    <n v="176"/>
    <s v="PEÇAS - Defeito de fabric./Interrompido"/>
    <s v="FUNCIONAL"/>
    <x v="2"/>
    <n v="3506"/>
    <x v="46"/>
    <s v="SP"/>
    <n v="931"/>
    <s v="Ats Off"/>
    <n v="1350"/>
    <n v="326030256"/>
    <s v="Resistências"/>
    <x v="1"/>
    <n v="1000"/>
    <n v="5004042"/>
    <s v="BRASIL WEB TRANSPORTES E LOGISTICA"/>
    <n v="79.13"/>
    <d v="2025-04-09T00:00:00"/>
  </r>
  <r>
    <n v="254003847"/>
    <n v="64778124"/>
    <s v="REB"/>
    <n v="9938303"/>
    <n v="176"/>
    <s v="PEÇAS - Defeito de fabric./Interrompido"/>
    <s v="FUNCIONAL"/>
    <x v="2"/>
    <n v="3506"/>
    <x v="46"/>
    <s v="SP"/>
    <n v="931"/>
    <s v="Ats Off"/>
    <n v="1350"/>
    <n v="326030256"/>
    <s v="Resistências"/>
    <x v="1"/>
    <n v="1000"/>
    <n v="5004042"/>
    <s v="BRASIL WEB TRANSPORTES E LOGISTICA"/>
    <n v="79.13"/>
    <d v="2025-05-26T00:00:00"/>
  </r>
  <r>
    <n v="253981449"/>
    <n v="64758409"/>
    <s v="REB"/>
    <n v="9875484"/>
    <n v="168"/>
    <s v="PEÇAS-Def.Fabric.Empenamento/Abaulamento"/>
    <s v="FUNCIONAL"/>
    <x v="2"/>
    <n v="28707"/>
    <x v="209"/>
    <s v="SP"/>
    <n v="648"/>
    <s v="Ultra"/>
    <n v="1350"/>
    <n v="4258886"/>
    <s v="Anéis Hidro"/>
    <x v="6"/>
    <n v="1000"/>
    <n v="5004042"/>
    <s v="BRASIL WEB TRANSPORTES E LOGISTICA"/>
    <n v="79.08"/>
    <d v="2025-04-25T00:00:00"/>
  </r>
  <r>
    <s v="Sem TR"/>
    <n v="64819524"/>
    <s v="ZRDI"/>
    <n v="10098432"/>
    <s v="D30"/>
    <s v="DEV D2C - Defeito funcional manufatura"/>
    <s v="MANUFATURA"/>
    <x v="1"/>
    <n v="51449362"/>
    <x v="1565"/>
    <s v="PR"/>
    <n v="474"/>
    <s v="Site Brastemp"/>
    <n v="1352"/>
    <s v="W10907728"/>
    <s v="Acessórios"/>
    <x v="7"/>
    <n v="1000"/>
    <n v="5002359"/>
    <s v="EMPRESA BRASILEIRA DE CORREIOS E"/>
    <n v="79.05"/>
    <d v="2025-07-29T00:00:00"/>
  </r>
  <r>
    <n v="254035333"/>
    <n v="64811813"/>
    <s v="REB"/>
    <n v="10115199"/>
    <n v="167"/>
    <s v="PEÇAS - Avaria - Quebrada/Depósito"/>
    <s v="LOGÍSTICA"/>
    <x v="0"/>
    <n v="4189"/>
    <x v="426"/>
    <s v="CE"/>
    <n v="931"/>
    <s v="Ats Off"/>
    <n v="1350"/>
    <s v="W11188900"/>
    <s v="Gavetas"/>
    <x v="9"/>
    <n v="1000"/>
    <n v="5004101"/>
    <s v="UNIDOCK'S ASSESSORIA E LOGISTICA DE"/>
    <n v="79.040000000000006"/>
    <d v="2025-07-17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0169457"/>
    <s v="Prateleiras"/>
    <x v="9"/>
    <n v="1000"/>
    <n v="5002359"/>
    <s v="EMPRESA BRASILEIRA DE CORREIOS E"/>
    <n v="79"/>
    <d v="2025-07-11T00:00:00"/>
  </r>
  <r>
    <s v="Sem TR"/>
    <n v="64814774"/>
    <s v="ZRDI"/>
    <n v="10119318"/>
    <s v="D18"/>
    <s v="DEV D2C - Arrependimento não quero mais"/>
    <s v="COMERCIAL"/>
    <x v="2"/>
    <n v="52282036"/>
    <x v="1566"/>
    <s v="RJ"/>
    <n v="488"/>
    <s v="Carteira A"/>
    <n v="1352"/>
    <s v="W10866789"/>
    <s v="Kits Instalação"/>
    <x v="7"/>
    <n v="1000"/>
    <n v="5002359"/>
    <s v="EMPRESA BRASILEIRA DE CORREIOS E"/>
    <n v="78.94"/>
    <d v="2025-07-22T00:00:00"/>
  </r>
  <r>
    <n v="254037068"/>
    <n v="64814990"/>
    <s v="ZRDI"/>
    <n v="10121592"/>
    <n v="208"/>
    <s v="DEV-Atraso entrega- LOGISTICA(Transp)"/>
    <s v="TRANSPORTADORA"/>
    <x v="2"/>
    <n v="58133714"/>
    <x v="1567"/>
    <s v="RJ"/>
    <n v="474"/>
    <s v="Site Brastemp"/>
    <n v="1352"/>
    <s v="W10866789"/>
    <s v="Kits Instalação"/>
    <x v="7"/>
    <n v="1000"/>
    <n v="5002359"/>
    <s v="EMPRESA BRASILEIRA DE CORREIOS E"/>
    <n v="78.94"/>
    <d v="2025-07-22T00:00:00"/>
  </r>
  <r>
    <s v="Sem TR"/>
    <n v="64814774"/>
    <s v="ZRDI"/>
    <n v="10119318"/>
    <s v="D18"/>
    <s v="DEV D2C - Arrependimento não quero mais"/>
    <s v="COMERCIAL"/>
    <x v="2"/>
    <n v="52282036"/>
    <x v="1566"/>
    <s v="RJ"/>
    <n v="488"/>
    <s v="Carteira A"/>
    <n v="1352"/>
    <s v="W10866789"/>
    <s v="Kits Instalação"/>
    <x v="7"/>
    <n v="1000"/>
    <n v="5002359"/>
    <s v="EMPRESA BRASILEIRA DE CORREIOS E"/>
    <n v="78.94"/>
    <d v="2025-07-22T00:00:00"/>
  </r>
  <r>
    <n v="254037068"/>
    <n v="64814990"/>
    <s v="ZRDI"/>
    <n v="10121592"/>
    <n v="208"/>
    <s v="DEV-Atraso entrega- LOGISTICA(Transp)"/>
    <s v="TRANSPORTADORA"/>
    <x v="2"/>
    <n v="58133714"/>
    <x v="1567"/>
    <s v="RJ"/>
    <n v="474"/>
    <s v="Site Brastemp"/>
    <n v="1352"/>
    <s v="W10866789"/>
    <s v="Kits Instalação"/>
    <x v="7"/>
    <n v="1000"/>
    <n v="5002359"/>
    <s v="EMPRESA BRASILEIRA DE CORREIOS E"/>
    <n v="78.94"/>
    <d v="2025-07-22T00:00:00"/>
  </r>
  <r>
    <n v="254003964"/>
    <n v="64778184"/>
    <s v="REB"/>
    <n v="9863866"/>
    <n v="173"/>
    <s v="PEÇAS - Defeito de fabric./Alta Amperage"/>
    <s v="FUNCIONAL"/>
    <x v="2"/>
    <n v="31862"/>
    <x v="342"/>
    <s v="SC"/>
    <n v="933"/>
    <s v="Top"/>
    <n v="1350"/>
    <s v="W11396188"/>
    <s v="Placas de Interface"/>
    <x v="1"/>
    <n v="1000"/>
    <n v="5003024"/>
    <s v="RODOBRAS TRANSPORTES RODOVIARIOS LT"/>
    <n v="78.930000000000007"/>
    <d v="2025-05-26T00:00:00"/>
  </r>
  <r>
    <n v="253958831"/>
    <n v="64731670"/>
    <s v="REB"/>
    <n v="9919138"/>
    <n v="115"/>
    <s v="PEÇAS-Recusa do cliente"/>
    <s v="COMERCIAL"/>
    <x v="1"/>
    <n v="59484"/>
    <x v="1568"/>
    <s v="GO"/>
    <n v="350"/>
    <s v="Ats On"/>
    <n v="1350"/>
    <n v="326049974"/>
    <s v="Parafusos e afins"/>
    <x v="10"/>
    <n v="30000"/>
    <n v="5002858"/>
    <s v="FAVORITA TRANSPORTES LTDA"/>
    <n v="78.92"/>
    <d v="2025-03-14T00:00:00"/>
  </r>
  <r>
    <n v="254012480"/>
    <n v="64787050"/>
    <s v="REB"/>
    <n v="10033566"/>
    <n v="167"/>
    <s v="PEÇAS - Avaria - Quebrada/Depósito"/>
    <s v="LOGÍSTICA"/>
    <x v="1"/>
    <n v="21647"/>
    <x v="39"/>
    <s v="PR"/>
    <n v="641"/>
    <s v="CDP Diamante"/>
    <n v="1350"/>
    <s v="W10920074"/>
    <s v="Outros"/>
    <x v="7"/>
    <n v="1000"/>
    <n v="5003024"/>
    <s v="RODOBRAS TRANSPORTES RODOVIARIOS LT"/>
    <n v="78.87"/>
    <d v="2025-06-10T00:00:00"/>
  </r>
  <r>
    <s v="Sem TR"/>
    <n v="64816347"/>
    <s v="REB"/>
    <n v="9959068"/>
    <n v="173"/>
    <s v="PEÇAS - Defeito de fabric./Alta Amperage"/>
    <s v="FUNCIONAL"/>
    <x v="1"/>
    <n v="4167"/>
    <x v="63"/>
    <s v="SP"/>
    <n v="931"/>
    <s v="Ats Off"/>
    <n v="1350"/>
    <s v="W11658521"/>
    <s v="Placas de Interface"/>
    <x v="1"/>
    <n v="1000"/>
    <n v="5004042"/>
    <s v="BRASIL WEB TRANSPORTES E LOGISTICA"/>
    <n v="78.819999999999993"/>
    <d v="2025-07-25T00:00:00"/>
  </r>
  <r>
    <n v="254032495"/>
    <n v="64811459"/>
    <s v="ZRDI"/>
    <n v="10040661"/>
    <n v="208"/>
    <s v="DEV-Atraso entrega- LOGISTICA(Transp)"/>
    <s v="TRANSPORTADORA"/>
    <x v="2"/>
    <n v="58033566"/>
    <x v="1569"/>
    <s v="PA"/>
    <n v="466"/>
    <s v="Sup ML Marketplace"/>
    <n v="1352"/>
    <s v="W10451677"/>
    <s v="Injetores"/>
    <x v="12"/>
    <n v="1000"/>
    <n v="5002359"/>
    <s v="EMPRESA BRASILEIRA DE CORREIOS E"/>
    <n v="78.73"/>
    <d v="2025-07-16T00:00:00"/>
  </r>
  <r>
    <s v="Sem TR"/>
    <n v="64759470"/>
    <s v="REB"/>
    <n v="9993125"/>
    <n v="509"/>
    <s v="Qtd de peças a Menor dentro do Volume"/>
    <s v="LOGÍSTICA"/>
    <x v="1"/>
    <n v="42455"/>
    <x v="81"/>
    <s v="SP"/>
    <n v="931"/>
    <s v="Ats Off"/>
    <n v="1350"/>
    <s v="W11102691"/>
    <s v="Conexões Hidráulicas"/>
    <x v="10"/>
    <n v="1000"/>
    <n v="5002359"/>
    <s v="EMPRESA BRASILEIRA DE CORREIOS E"/>
    <n v="78.709999999999994"/>
    <d v="2025-04-28T00:00:00"/>
  </r>
  <r>
    <s v="Sem TR"/>
    <n v="64699488"/>
    <s v="REB"/>
    <n v="9788312"/>
    <n v="671"/>
    <s v="DEV-ENVIADO PARA GESTÃO DE CONSEQUENCIA"/>
    <s v="TRANSPORTADORA"/>
    <x v="1"/>
    <n v="5011"/>
    <x v="189"/>
    <s v="RS"/>
    <n v="350"/>
    <s v="Ats On"/>
    <n v="1350"/>
    <n v="326075385"/>
    <s v="Resistências"/>
    <x v="1"/>
    <n v="1000"/>
    <n v="5003024"/>
    <s v="RODOBRAS TRANSPORTES RODOVIARIOS LT"/>
    <n v="78.7"/>
    <d v="2025-01-24T00:00:00"/>
  </r>
  <r>
    <s v="Sem TR"/>
    <n v="64819150"/>
    <s v="ZRDI"/>
    <n v="10115489"/>
    <n v="25"/>
    <s v="OC. 80 - EXTRAVIO TOTAL"/>
    <s v="TRANSPORTADORA"/>
    <x v="1"/>
    <n v="4657588"/>
    <x v="1570"/>
    <s v="PE"/>
    <n v="474"/>
    <s v="Site Brastemp"/>
    <n v="1352"/>
    <s v="W10907728"/>
    <s v="Acessórios"/>
    <x v="7"/>
    <n v="1000"/>
    <n v="5002359"/>
    <s v="EMPRESA BRASILEIRA DE CORREIOS E"/>
    <n v="78.63"/>
    <d v="2025-07-28T00:00:00"/>
  </r>
  <r>
    <n v="253981485"/>
    <n v="64757973"/>
    <s v="REB"/>
    <n v="7156448"/>
    <n v="173"/>
    <s v="PEÇAS - Defeito de fabric./Alta Amperage"/>
    <s v="FUNCIONAL"/>
    <x v="2"/>
    <n v="29164"/>
    <x v="32"/>
    <s v="BA"/>
    <n v="648"/>
    <s v="Ultra"/>
    <n v="1350"/>
    <s v="W10849470"/>
    <s v="Bombas"/>
    <x v="1"/>
    <n v="4000"/>
    <n v="5004101"/>
    <s v="UNIDOCK'S ASSESSORIA E LOGISTICA DE"/>
    <n v="78.58"/>
    <d v="2025-04-25T00:00:00"/>
  </r>
  <r>
    <n v="253918621"/>
    <n v="64609537"/>
    <s v="REB"/>
    <n v="9767279"/>
    <n v="173"/>
    <s v="PEÇAS - Defeito de fabric./Alta Amperage"/>
    <s v="FUNCIONAL"/>
    <x v="1"/>
    <n v="80164"/>
    <x v="437"/>
    <s v="SP"/>
    <n v="933"/>
    <s v="Top"/>
    <n v="1350"/>
    <s v="W11163349"/>
    <s v="Placas de Controle"/>
    <x v="1"/>
    <n v="1000"/>
    <n v="5003254"/>
    <s v="TMA TRANSPORTE LOTACAO E LOGISTICA"/>
    <n v="78.55"/>
    <d v="2025-01-15T00:00:00"/>
  </r>
  <r>
    <n v="253970717"/>
    <n v="64748857"/>
    <s v="REB"/>
    <n v="9853586"/>
    <n v="177"/>
    <s v="PEÇAS - Defeito de fabric./Ruído"/>
    <s v="FUNCIONAL"/>
    <x v="1"/>
    <n v="4318"/>
    <x v="89"/>
    <s v="SC"/>
    <n v="931"/>
    <s v="Ats Off"/>
    <n v="1350"/>
    <s v="W11551361"/>
    <s v="Peças Mecanismos"/>
    <x v="2"/>
    <n v="8000"/>
    <n v="5003024"/>
    <s v="RODOBRAS TRANSPORTES RODOVIARIOS LT"/>
    <n v="78.47"/>
    <d v="2025-04-09T00:00:00"/>
  </r>
  <r>
    <n v="254022267"/>
    <n v="64799877"/>
    <s v="ZRDI"/>
    <n v="10075582"/>
    <n v="208"/>
    <s v="DEV-Atraso entrega- LOGISTICA(Transp)"/>
    <s v="TRANSPORTADORA"/>
    <x v="2"/>
    <n v="58020119"/>
    <x v="1571"/>
    <s v="RJ"/>
    <n v="475"/>
    <s v="Site Consul"/>
    <n v="1352"/>
    <s v="W10866789"/>
    <s v="Kits Instalação"/>
    <x v="7"/>
    <n v="1000"/>
    <n v="5002359"/>
    <s v="EMPRESA BRASILEIRA DE CORREIOS E"/>
    <n v="78.42"/>
    <d v="2025-06-27T00:00:00"/>
  </r>
  <r>
    <n v="254022269"/>
    <n v="64799879"/>
    <s v="ZRDI"/>
    <n v="10075790"/>
    <n v="208"/>
    <s v="DEV-Atraso entrega- LOGISTICA(Transp)"/>
    <s v="TRANSPORTADORA"/>
    <x v="2"/>
    <n v="4529288"/>
    <x v="1572"/>
    <s v="RJ"/>
    <n v="478"/>
    <s v="Corporativo"/>
    <n v="1352"/>
    <s v="W10866789"/>
    <s v="Kits Instalação"/>
    <x v="7"/>
    <n v="1000"/>
    <n v="5002359"/>
    <s v="EMPRESA BRASILEIRA DE CORREIOS E"/>
    <n v="78.42"/>
    <d v="2025-06-27T00:00:00"/>
  </r>
  <r>
    <n v="254024143"/>
    <n v="64803795"/>
    <s v="ZRDI"/>
    <n v="10081792"/>
    <n v="208"/>
    <s v="DEV-Atraso entrega- LOGISTICA(Transp)"/>
    <s v="TRANSPORTADORA"/>
    <x v="2"/>
    <n v="58079396"/>
    <x v="1573"/>
    <s v="RJ"/>
    <n v="474"/>
    <s v="Site Brastemp"/>
    <n v="1352"/>
    <s v="W10866789"/>
    <s v="Kits Instalação"/>
    <x v="7"/>
    <n v="1000"/>
    <n v="5002359"/>
    <s v="EMPRESA BRASILEIRA DE CORREIOS E"/>
    <n v="78.42"/>
    <d v="2025-07-01T00:00:00"/>
  </r>
  <r>
    <n v="254026125"/>
    <n v="64805677"/>
    <s v="ZRDI"/>
    <n v="10082087"/>
    <n v="208"/>
    <s v="DEV-Atraso entrega- LOGISTICA(Transp)"/>
    <s v="TRANSPORTADORA"/>
    <x v="2"/>
    <n v="58083198"/>
    <x v="1574"/>
    <s v="RJ"/>
    <n v="474"/>
    <s v="Site Brastemp"/>
    <n v="1352"/>
    <s v="W10866789"/>
    <s v="Kits Instalação"/>
    <x v="7"/>
    <n v="1000"/>
    <n v="5002359"/>
    <s v="EMPRESA BRASILEIRA DE CORREIOS E"/>
    <n v="78.42"/>
    <d v="2025-07-04T00:00:00"/>
  </r>
  <r>
    <n v="254026126"/>
    <n v="64805678"/>
    <s v="ZRDI"/>
    <n v="10084547"/>
    <n v="208"/>
    <s v="DEV-Atraso entrega- LOGISTICA(Transp)"/>
    <s v="TRANSPORTADORA"/>
    <x v="2"/>
    <n v="50737581"/>
    <x v="1575"/>
    <s v="RJ"/>
    <n v="475"/>
    <s v="Site Consul"/>
    <n v="1352"/>
    <s v="W10866789"/>
    <s v="Kits Instalação"/>
    <x v="7"/>
    <n v="1000"/>
    <n v="5002359"/>
    <s v="EMPRESA BRASILEIRA DE CORREIOS E"/>
    <n v="78.42"/>
    <d v="2025-07-04T00:00:00"/>
  </r>
  <r>
    <s v="Sem TR"/>
    <n v="64786821"/>
    <s v="ZRDI"/>
    <n v="10076046"/>
    <s v="D10"/>
    <s v="DEV D2C - Comprou modelo errado"/>
    <s v="COMERCIAL"/>
    <x v="2"/>
    <n v="58072203"/>
    <x v="1576"/>
    <s v="MG"/>
    <n v="466"/>
    <s v="Sup ML Marketplace"/>
    <n v="1352"/>
    <n v="326042416"/>
    <s v="Suportes"/>
    <x v="6"/>
    <n v="1000"/>
    <n v="5002359"/>
    <s v="EMPRESA BRASILEIRA DE CORREIOS E"/>
    <n v="78.41"/>
    <d v="2025-06-27T00:00:00"/>
  </r>
  <r>
    <s v="Sem TR"/>
    <n v="64786821"/>
    <s v="ZRDI"/>
    <n v="10076046"/>
    <s v="D10"/>
    <s v="DEV D2C - Comprou modelo errado"/>
    <s v="COMERCIAL"/>
    <x v="2"/>
    <n v="58072203"/>
    <x v="1576"/>
    <s v="MG"/>
    <n v="466"/>
    <s v="Sup ML Marketplace"/>
    <n v="1352"/>
    <n v="326042416"/>
    <s v="Suportes"/>
    <x v="6"/>
    <n v="1000"/>
    <n v="5002359"/>
    <s v="EMPRESA BRASILEIRA DE CORREIOS E"/>
    <n v="78.41"/>
    <d v="2025-06-27T00:00:00"/>
  </r>
  <r>
    <s v="Sem TR"/>
    <n v="64809025"/>
    <s v="ZRVP"/>
    <n v="10114505"/>
    <n v="182"/>
    <s v="PEÇAS - Extravio - Volume a menor"/>
    <s v="TRANSPORTADORA"/>
    <x v="1"/>
    <n v="61371"/>
    <x v="96"/>
    <s v="DF"/>
    <n v="933"/>
    <s v="Top"/>
    <n v="1350"/>
    <s v="W10531315"/>
    <s v="Sensores"/>
    <x v="3"/>
    <n v="10000"/>
    <n v="5002858"/>
    <s v="FAVORITA TRANSPORTES LTDA"/>
    <n v="78.38"/>
    <d v="2025-07-11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581537"/>
    <s v="Pressostatos"/>
    <x v="3"/>
    <n v="3000"/>
    <n v="5004101"/>
    <s v="UNIDOCK'S ASSESSORIA E LOGISTICA DE"/>
    <n v="78.36"/>
    <d v="2025-03-13T00:00:00"/>
  </r>
  <r>
    <n v="254043341"/>
    <n v="64745069"/>
    <s v="REB"/>
    <n v="9916634"/>
    <n v="167"/>
    <s v="PEÇAS - Avaria - Quebrada/Depósito"/>
    <s v="LOGÍSTICA"/>
    <x v="0"/>
    <n v="1255"/>
    <x v="254"/>
    <s v="CE"/>
    <n v="931"/>
    <s v="Ats Off"/>
    <n v="1350"/>
    <s v="W10624070"/>
    <s v="Gavetas"/>
    <x v="9"/>
    <n v="1000"/>
    <n v="5004101"/>
    <s v="UNIDOCK'S ASSESSORIA E LOGISTICA DE"/>
    <n v="78.27"/>
    <d v="2025-04-03T00:00:00"/>
  </r>
  <r>
    <n v="254012622"/>
    <n v="64789246"/>
    <s v="REB"/>
    <n v="10064348"/>
    <n v="167"/>
    <s v="PEÇAS - Avaria - Quebrada/Depósito"/>
    <s v="LOGÍSTICA"/>
    <x v="2"/>
    <n v="81338"/>
    <x v="354"/>
    <s v="SP"/>
    <n v="644"/>
    <s v="Plus"/>
    <n v="1350"/>
    <s v="W10476183"/>
    <s v="Prateleiras"/>
    <x v="9"/>
    <n v="3000"/>
    <n v="5004042"/>
    <s v="BRASIL WEB TRANSPORTES E LOGISTICA"/>
    <n v="78.260000000000005"/>
    <d v="2025-06-10T00:00:00"/>
  </r>
  <r>
    <s v="Sem TR"/>
    <n v="64814512"/>
    <s v="ZRDI"/>
    <n v="10142186"/>
    <s v="D10"/>
    <s v="DEV D2C - Comprou modelo errado"/>
    <s v="COMERCIAL"/>
    <x v="2"/>
    <n v="5734339"/>
    <x v="601"/>
    <s v="SP"/>
    <n v="474"/>
    <s v="Site Brastemp"/>
    <n v="1352"/>
    <n v="326055047"/>
    <s v="Capas Queimadores"/>
    <x v="12"/>
    <n v="3000"/>
    <n v="5002359"/>
    <s v="EMPRESA BRASILEIRA DE CORREIOS E"/>
    <n v="78.209999999999994"/>
    <d v="2025-07-23T00:00:00"/>
  </r>
  <r>
    <s v="Sem TR"/>
    <n v="64814512"/>
    <s v="ZRDI"/>
    <n v="10142186"/>
    <s v="D10"/>
    <s v="DEV D2C - Comprou modelo errado"/>
    <s v="COMERCIAL"/>
    <x v="2"/>
    <n v="5734339"/>
    <x v="601"/>
    <s v="SP"/>
    <n v="474"/>
    <s v="Site Brastemp"/>
    <n v="1352"/>
    <n v="326055047"/>
    <s v="Capas Queimadores"/>
    <x v="12"/>
    <n v="3000"/>
    <n v="5002359"/>
    <s v="EMPRESA BRASILEIRA DE CORREIOS E"/>
    <n v="78.209999999999994"/>
    <d v="2025-07-23T00:00:00"/>
  </r>
  <r>
    <n v="254033982"/>
    <n v="64812547"/>
    <s v="ZRDI"/>
    <n v="10116078"/>
    <n v="208"/>
    <s v="DEV-Atraso entrega- LOGISTICA(Transp)"/>
    <s v="TRANSPORTADORA"/>
    <x v="2"/>
    <n v="50382494"/>
    <x v="1410"/>
    <s v="RS"/>
    <n v="475"/>
    <s v="Site Consul"/>
    <n v="1352"/>
    <n v="326050271"/>
    <s v="Suportes"/>
    <x v="6"/>
    <n v="1000"/>
    <n v="5002359"/>
    <s v="EMPRESA BRASILEIRA DE CORREIOS E"/>
    <n v="78.19"/>
    <d v="2025-07-17T00:00:00"/>
  </r>
  <r>
    <n v="254039190"/>
    <n v="64817072"/>
    <s v="ZRDI"/>
    <n v="10115558"/>
    <n v="208"/>
    <s v="DEV-Atraso entrega- LOGISTICA(Transp)"/>
    <s v="TRANSPORTADORA"/>
    <x v="2"/>
    <n v="54444952"/>
    <x v="1577"/>
    <s v="DF"/>
    <n v="475"/>
    <s v="Site Consul"/>
    <n v="1352"/>
    <s v="W10866789"/>
    <s v="Kits Instalação"/>
    <x v="7"/>
    <n v="1000"/>
    <n v="5002359"/>
    <s v="EMPRESA BRASILEIRA DE CORREIOS E"/>
    <n v="78.180000000000007"/>
    <d v="2025-07-24T00:00:00"/>
  </r>
  <r>
    <n v="254039190"/>
    <n v="64817072"/>
    <s v="ZRDI"/>
    <n v="10115558"/>
    <n v="208"/>
    <s v="DEV-Atraso entrega- LOGISTICA(Transp)"/>
    <s v="TRANSPORTADORA"/>
    <x v="2"/>
    <n v="54444952"/>
    <x v="1577"/>
    <s v="DF"/>
    <n v="475"/>
    <s v="Site Consul"/>
    <n v="1352"/>
    <s v="W10866789"/>
    <s v="Kits Instalação"/>
    <x v="7"/>
    <n v="1000"/>
    <n v="5002359"/>
    <s v="EMPRESA BRASILEIRA DE CORREIOS E"/>
    <n v="78.180000000000007"/>
    <d v="2025-07-24T00:00:00"/>
  </r>
  <r>
    <n v="254018262"/>
    <n v="64792410"/>
    <s v="REB"/>
    <n v="10063208"/>
    <n v="167"/>
    <s v="PEÇAS - Avaria - Quebrada/Depósito"/>
    <s v="LOGÍSTICA"/>
    <x v="2"/>
    <n v="30210"/>
    <x v="1578"/>
    <s v="RS"/>
    <n v="350"/>
    <s v="Ats On"/>
    <n v="1350"/>
    <s v="W10581058"/>
    <s v="Gavetas"/>
    <x v="9"/>
    <n v="1000"/>
    <n v="5003024"/>
    <s v="RODOBRAS TRANSPORTES RODOVIARIOS LT"/>
    <n v="78.17"/>
    <d v="2025-06-16T00:00:00"/>
  </r>
  <r>
    <n v="254037066"/>
    <n v="64814987"/>
    <s v="ZRDI"/>
    <n v="10120234"/>
    <n v="208"/>
    <s v="DEV-Atraso entrega- LOGISTICA(Transp)"/>
    <s v="TRANSPORTADORA"/>
    <x v="2"/>
    <n v="58132078"/>
    <x v="1579"/>
    <s v="PR"/>
    <n v="474"/>
    <s v="Site Brastemp"/>
    <n v="1352"/>
    <n v="326043145"/>
    <s v="Filtros"/>
    <x v="5"/>
    <n v="1000"/>
    <n v="5002359"/>
    <s v="EMPRESA BRASILEIRA DE CORREIOS E"/>
    <n v="78.16"/>
    <d v="2025-07-22T00:00:00"/>
  </r>
  <r>
    <n v="254037066"/>
    <n v="64814987"/>
    <s v="ZRDI"/>
    <n v="10120234"/>
    <n v="208"/>
    <s v="DEV-Atraso entrega- LOGISTICA(Transp)"/>
    <s v="TRANSPORTADORA"/>
    <x v="2"/>
    <n v="58132078"/>
    <x v="1579"/>
    <s v="PR"/>
    <n v="474"/>
    <s v="Site Brastemp"/>
    <n v="1352"/>
    <n v="326043145"/>
    <s v="Filtros"/>
    <x v="5"/>
    <n v="1000"/>
    <n v="5002359"/>
    <s v="EMPRESA BRASILEIRA DE CORREIOS E"/>
    <n v="78.16"/>
    <d v="2025-07-22T00:00:00"/>
  </r>
  <r>
    <s v="Sem TR"/>
    <n v="64800382"/>
    <s v="ZRDI"/>
    <n v="10054926"/>
    <s v="D35"/>
    <s v="DEV D2C - Prod difere do comprado"/>
    <s v="COMERCIAL"/>
    <x v="2"/>
    <n v="5742276"/>
    <x v="1580"/>
    <s v="RJ"/>
    <n v="474"/>
    <s v="Site Brastemp"/>
    <n v="1352"/>
    <s v="W11398276"/>
    <s v="Lâmpadas"/>
    <x v="1"/>
    <n v="1000"/>
    <n v="5002359"/>
    <s v="EMPRESA BRASILEIRA DE CORREIOS E"/>
    <n v="78.11"/>
    <d v="2025-07-09T00:00:00"/>
  </r>
  <r>
    <s v="Sem TR"/>
    <n v="64800382"/>
    <s v="ZRDI"/>
    <n v="10054926"/>
    <s v="D35"/>
    <s v="DEV D2C - Prod difere do comprado"/>
    <s v="COMERCIAL"/>
    <x v="2"/>
    <n v="5742276"/>
    <x v="1580"/>
    <s v="RJ"/>
    <n v="474"/>
    <s v="Site Brastemp"/>
    <n v="1352"/>
    <s v="W11398276"/>
    <s v="Lâmpadas"/>
    <x v="1"/>
    <n v="1000"/>
    <n v="5002359"/>
    <s v="EMPRESA BRASILEIRA DE CORREIOS E"/>
    <n v="78.11"/>
    <d v="2025-07-09T00:00:00"/>
  </r>
  <r>
    <n v="254033336"/>
    <n v="64807320"/>
    <s v="REB"/>
    <n v="9830035"/>
    <n v="176"/>
    <s v="PEÇAS - Defeito de fabric./Interrompido"/>
    <s v="FUNCIONAL"/>
    <x v="1"/>
    <n v="27574"/>
    <x v="938"/>
    <s v="SP"/>
    <n v="641"/>
    <s v="CDP Diamante"/>
    <n v="1350"/>
    <s v="W10678919"/>
    <s v="Placas de Controle"/>
    <x v="1"/>
    <n v="1000"/>
    <n v="5004042"/>
    <s v="BRASIL WEB TRANSPORTES E LOGISTICA"/>
    <n v="78.069999999999993"/>
    <d v="2025-07-08T00:00:00"/>
  </r>
  <r>
    <n v="254020431"/>
    <n v="64798135"/>
    <s v="ZRDI"/>
    <n v="10038386"/>
    <n v="208"/>
    <s v="DEV-Atraso entrega- LOGISTICA(Transp)"/>
    <s v="TRANSPORTADORA"/>
    <x v="2"/>
    <n v="55558490"/>
    <x v="1581"/>
    <s v="BA"/>
    <n v="475"/>
    <s v="Site Consul"/>
    <n v="1352"/>
    <s v="W11186097"/>
    <s v="Dispensers"/>
    <x v="9"/>
    <n v="1000"/>
    <n v="5002359"/>
    <s v="EMPRESA BRASILEIRA DE CORREIOS E"/>
    <n v="77.959999999999994"/>
    <d v="2025-06-25T00:00:00"/>
  </r>
  <r>
    <s v="Sem TR"/>
    <n v="64809071"/>
    <s v="ZRDI"/>
    <n v="10115642"/>
    <s v="D10"/>
    <s v="DEV D2C - Comprou modelo errado"/>
    <s v="COMERCIAL"/>
    <x v="2"/>
    <n v="58125305"/>
    <x v="1582"/>
    <s v="MG"/>
    <n v="474"/>
    <s v="Site Brastemp"/>
    <n v="1352"/>
    <s v="W10866789"/>
    <s v="Kits Instalação"/>
    <x v="7"/>
    <n v="1000"/>
    <n v="5002359"/>
    <s v="EMPRESA BRASILEIRA DE CORREIOS E"/>
    <n v="77.849999999999994"/>
    <d v="2025-07-14T00:00:00"/>
  </r>
  <r>
    <s v="Sem TR"/>
    <n v="64804508"/>
    <s v="ZRDI"/>
    <n v="10100789"/>
    <s v="D10"/>
    <s v="DEV D2C - Comprou modelo errado"/>
    <s v="COMERCIAL"/>
    <x v="2"/>
    <n v="58109741"/>
    <x v="1583"/>
    <s v="PR"/>
    <n v="474"/>
    <s v="Site Brastemp"/>
    <n v="1352"/>
    <s v="W10287524"/>
    <s v="Prateleiras"/>
    <x v="9"/>
    <n v="1000"/>
    <n v="5002359"/>
    <s v="EMPRESA BRASILEIRA DE CORREIOS E"/>
    <n v="77.83"/>
    <d v="2025-07-07T00:00:00"/>
  </r>
  <r>
    <s v="Sem TR"/>
    <n v="64805073"/>
    <s v="ZRDI"/>
    <n v="10103258"/>
    <s v="D10"/>
    <s v="DEV D2C - Comprou modelo errado"/>
    <s v="COMERCIAL"/>
    <x v="2"/>
    <n v="58114716"/>
    <x v="868"/>
    <s v="PR"/>
    <n v="474"/>
    <s v="Site Brastemp"/>
    <n v="1352"/>
    <s v="W10287524"/>
    <s v="Prateleiras"/>
    <x v="9"/>
    <n v="1000"/>
    <n v="5002359"/>
    <s v="EMPRESA BRASILEIRA DE CORREIOS E"/>
    <n v="77.83"/>
    <d v="2025-07-07T00:00:00"/>
  </r>
  <r>
    <s v="Sem TR"/>
    <n v="64805073"/>
    <s v="ZRDI"/>
    <n v="10103258"/>
    <s v="D10"/>
    <s v="DEV D2C - Comprou modelo errado"/>
    <s v="COMERCIAL"/>
    <x v="2"/>
    <n v="58114716"/>
    <x v="868"/>
    <s v="PR"/>
    <n v="474"/>
    <s v="Site Brastemp"/>
    <n v="1352"/>
    <s v="W10287524"/>
    <s v="Prateleiras"/>
    <x v="9"/>
    <n v="1000"/>
    <n v="5002359"/>
    <s v="EMPRESA BRASILEIRA DE CORREIOS E"/>
    <n v="77.83"/>
    <d v="2025-07-07T00:00:00"/>
  </r>
  <r>
    <n v="254042145"/>
    <n v="64795677"/>
    <s v="REB"/>
    <n v="10080324"/>
    <n v="167"/>
    <s v="PEÇAS - Avaria - Quebrada/Depósito"/>
    <s v="LOGÍSTICA"/>
    <x v="0"/>
    <n v="81373"/>
    <x v="842"/>
    <s v="BA"/>
    <n v="350"/>
    <s v="Ats On"/>
    <n v="1350"/>
    <s v="W10624070"/>
    <s v="Gavetas"/>
    <x v="9"/>
    <n v="1000"/>
    <n v="5004101"/>
    <s v="UNIDOCK'S ASSESSORIA E LOGISTICA DE"/>
    <n v="77.739999999999995"/>
    <d v="2025-06-23T00:00:00"/>
  </r>
  <r>
    <s v="Sem TR"/>
    <n v="64788463"/>
    <s v="ZRDI"/>
    <n v="10086673"/>
    <s v="D10"/>
    <s v="DEV D2C - Comprou modelo errado"/>
    <s v="COMERCIAL"/>
    <x v="2"/>
    <n v="58089120"/>
    <x v="1584"/>
    <s v="DF"/>
    <n v="475"/>
    <s v="Site Consul"/>
    <n v="1352"/>
    <s v="W10866789"/>
    <s v="Kits Instalação"/>
    <x v="7"/>
    <n v="1000"/>
    <n v="5002359"/>
    <s v="EMPRESA BRASILEIRA DE CORREIOS E"/>
    <n v="77.7"/>
    <d v="2025-06-24T00:00:00"/>
  </r>
  <r>
    <n v="254026368"/>
    <n v="64805834"/>
    <s v="ZRDI"/>
    <n v="10073424"/>
    <n v="208"/>
    <s v="DEV-Atraso entrega- LOGISTICA(Transp)"/>
    <s v="TRANSPORTADORA"/>
    <x v="2"/>
    <n v="57276212"/>
    <x v="1585"/>
    <s v="SC"/>
    <n v="466"/>
    <s v="Sup ML Marketplace"/>
    <n v="1352"/>
    <s v="W10750419"/>
    <s v="Prateleiras"/>
    <x v="9"/>
    <n v="1000"/>
    <n v="5002359"/>
    <s v="EMPRESA BRASILEIRA DE CORREIOS E"/>
    <n v="77.7"/>
    <d v="2025-07-04T00:00:00"/>
  </r>
  <r>
    <n v="254033984"/>
    <n v="64812554"/>
    <s v="ZRDI"/>
    <n v="10116349"/>
    <n v="208"/>
    <s v="DEV-Atraso entrega- LOGISTICA(Transp)"/>
    <s v="TRANSPORTADORA"/>
    <x v="2"/>
    <n v="58127767"/>
    <x v="969"/>
    <s v="MG"/>
    <n v="475"/>
    <s v="Site Consul"/>
    <n v="1352"/>
    <s v="W10169457"/>
    <s v="Prateleiras"/>
    <x v="9"/>
    <n v="1000"/>
    <n v="5002359"/>
    <s v="EMPRESA BRASILEIRA DE CORREIOS E"/>
    <n v="77.569999999999993"/>
    <d v="2025-07-17T00:00:00"/>
  </r>
  <r>
    <n v="254033984"/>
    <n v="64812554"/>
    <s v="ZRDI"/>
    <n v="10116349"/>
    <n v="208"/>
    <s v="DEV-Atraso entrega- LOGISTICA(Transp)"/>
    <s v="TRANSPORTADORA"/>
    <x v="2"/>
    <n v="58127767"/>
    <x v="969"/>
    <s v="MG"/>
    <n v="475"/>
    <s v="Site Consul"/>
    <n v="1352"/>
    <s v="W10169457"/>
    <s v="Prateleiras"/>
    <x v="9"/>
    <n v="1000"/>
    <n v="5002359"/>
    <s v="EMPRESA BRASILEIRA DE CORREIOS E"/>
    <n v="77.569999999999993"/>
    <d v="2025-07-17T00:00:00"/>
  </r>
  <r>
    <n v="253952165"/>
    <n v="64726753"/>
    <s v="REB"/>
    <n v="9837683"/>
    <n v="167"/>
    <s v="PEÇAS - Avaria - Quebrada/Depósito"/>
    <s v="LOGÍSTICA"/>
    <x v="1"/>
    <n v="8975"/>
    <x v="90"/>
    <s v="MA"/>
    <n v="931"/>
    <s v="Ats Off"/>
    <n v="1350"/>
    <s v="W10624070"/>
    <s v="Gavetas"/>
    <x v="9"/>
    <n v="1000"/>
    <n v="5004101"/>
    <s v="UNIDOCK'S ASSESSORIA E LOGISTICA DE"/>
    <n v="77.569999999999993"/>
    <d v="2025-03-11T00:00:00"/>
  </r>
  <r>
    <n v="254042280"/>
    <n v="64796117"/>
    <s v="REB"/>
    <n v="9863811"/>
    <n v="173"/>
    <s v="PEÇAS - Defeito de fabric./Alta Amperage"/>
    <s v="FUNCIONAL"/>
    <x v="0"/>
    <n v="70555"/>
    <x v="150"/>
    <s v="SC"/>
    <n v="648"/>
    <s v="Ultra"/>
    <n v="1350"/>
    <s v="W11396188"/>
    <s v="Placas de Interface"/>
    <x v="1"/>
    <n v="1000"/>
    <n v="5003024"/>
    <s v="RODOBRAS TRANSPORTES RODOVIARIOS LT"/>
    <n v="77.540000000000006"/>
    <d v="2025-06-23T00:00:00"/>
  </r>
  <r>
    <s v="Sem TR"/>
    <n v="64799317"/>
    <s v="ZRDI"/>
    <n v="10110773"/>
    <s v="D31"/>
    <s v="DEV D2C - Defeito estético manufatura"/>
    <s v="MANUFATURA"/>
    <x v="2"/>
    <n v="52172216"/>
    <x v="1586"/>
    <s v="SP"/>
    <n v="475"/>
    <s v="Site Consul"/>
    <n v="1352"/>
    <s v="W10619463"/>
    <s v="Pressostatos"/>
    <x v="3"/>
    <n v="1000"/>
    <n v="5002359"/>
    <s v="EMPRESA BRASILEIRA DE CORREIOS E"/>
    <n v="77.5"/>
    <d v="2025-07-01T00:00:00"/>
  </r>
  <r>
    <n v="253952514"/>
    <n v="64728534"/>
    <s v="REB"/>
    <n v="9707498"/>
    <n v="173"/>
    <s v="PEÇAS - Defeito de fabric./Alta Amperage"/>
    <s v="FUNCIONAL"/>
    <x v="1"/>
    <n v="78757"/>
    <x v="50"/>
    <s v="RS"/>
    <n v="643"/>
    <s v="Elite"/>
    <n v="1350"/>
    <s v="W11113071"/>
    <s v="Termostatos"/>
    <x v="3"/>
    <n v="1000"/>
    <n v="5003024"/>
    <s v="RODOBRAS TRANSPORTES RODOVIARIOS LT"/>
    <n v="77.459999999999994"/>
    <d v="2025-03-10T00:00:00"/>
  </r>
  <r>
    <s v="Sem TR"/>
    <n v="64725748"/>
    <s v="REB"/>
    <n v="9879589"/>
    <n v="125"/>
    <s v="DEV-Extravio de produto (Transportadora)"/>
    <s v="TRANSPORTADORA"/>
    <x v="0"/>
    <n v="1255"/>
    <x v="254"/>
    <s v="CE"/>
    <n v="931"/>
    <s v="Ats Off"/>
    <n v="1350"/>
    <s v="W11199342"/>
    <s v="Filtros"/>
    <x v="5"/>
    <n v="1000"/>
    <n v="5004101"/>
    <s v="UNIDOCK'S ASSESSORIA E LOGISTICA DE"/>
    <n v="77.430000000000007"/>
    <d v="2025-03-06T00:00:00"/>
  </r>
  <r>
    <n v="253929550"/>
    <n v="64705636"/>
    <s v="REB"/>
    <n v="9843127"/>
    <n v="220"/>
    <s v="DEV-Avaria 1 trecho transp - Produto"/>
    <s v="QUALIDADE"/>
    <x v="1"/>
    <n v="27874"/>
    <x v="237"/>
    <s v="RS"/>
    <n v="933"/>
    <s v="Top"/>
    <n v="1350"/>
    <s v="W10581058"/>
    <s v="Gavetas"/>
    <x v="9"/>
    <n v="1000"/>
    <n v="5003024"/>
    <s v="RODOBRAS TRANSPORTES RODOVIARIOS LT"/>
    <n v="77.430000000000007"/>
    <d v="2025-02-04T00:00:00"/>
  </r>
  <r>
    <n v="253903210"/>
    <n v="64671721"/>
    <s v="REB"/>
    <n v="9619465"/>
    <n v="671"/>
    <s v="DEV-ENVIADO PARA GESTÃO DE CONSEQUENCIA"/>
    <s v="TRANSPORTADORA"/>
    <x v="1"/>
    <n v="46511"/>
    <x v="281"/>
    <s v="SC"/>
    <n v="932"/>
    <s v="CDP Prata"/>
    <n v="1350"/>
    <s v="W10807957"/>
    <s v="Conjunto Varetas"/>
    <x v="8"/>
    <n v="1000"/>
    <n v="5003024"/>
    <s v="RODOBRAS TRANSPORTES RODOVIARIOS LT"/>
    <n v="77.42"/>
    <d v="2024-12-18T00:00:00"/>
  </r>
  <r>
    <s v="Sem TR"/>
    <n v="64777675"/>
    <s v="REB"/>
    <n v="10029205"/>
    <n v="411"/>
    <s v="DEV-Extravio de PEÇAS (Transportadora)"/>
    <s v="TRANSPORTADORA"/>
    <x v="1"/>
    <n v="57940"/>
    <x v="1222"/>
    <s v="SC"/>
    <n v="698"/>
    <s v="CDP Bronze"/>
    <n v="1350"/>
    <s v="W10807957"/>
    <s v="Conjunto Varetas"/>
    <x v="8"/>
    <n v="1000"/>
    <n v="5003024"/>
    <s v="RODOBRAS TRANSPORTES RODOVIARIOS LT"/>
    <n v="77.41"/>
    <d v="2025-05-26T00:00:00"/>
  </r>
  <r>
    <s v="Sem TR"/>
    <n v="64807894"/>
    <s v="ZRDI"/>
    <n v="10122204"/>
    <s v="D10"/>
    <s v="DEV D2C - Comprou modelo errado"/>
    <s v="COMERCIAL"/>
    <x v="2"/>
    <n v="53076852"/>
    <x v="1587"/>
    <s v="SP"/>
    <n v="474"/>
    <s v="Site Brastemp"/>
    <n v="1352"/>
    <s v="W11109516"/>
    <s v="Prateleiras"/>
    <x v="9"/>
    <n v="1000"/>
    <n v="5002359"/>
    <s v="EMPRESA BRASILEIRA DE CORREIOS E"/>
    <n v="77.400000000000006"/>
    <d v="2025-07-09T00:00:00"/>
  </r>
  <r>
    <s v="Sem TR"/>
    <n v="64807894"/>
    <s v="ZRDI"/>
    <n v="10122204"/>
    <s v="D10"/>
    <s v="DEV D2C - Comprou modelo errado"/>
    <s v="COMERCIAL"/>
    <x v="2"/>
    <n v="53076852"/>
    <x v="1587"/>
    <s v="SP"/>
    <n v="474"/>
    <s v="Site Brastemp"/>
    <n v="1352"/>
    <s v="W11109516"/>
    <s v="Prateleiras"/>
    <x v="9"/>
    <n v="1000"/>
    <n v="5002359"/>
    <s v="EMPRESA BRASILEIRA DE CORREIOS E"/>
    <n v="77.400000000000006"/>
    <d v="2025-07-09T00:00:00"/>
  </r>
  <r>
    <n v="253886229"/>
    <n v="64653876"/>
    <s v="REB"/>
    <n v="9738479"/>
    <n v="173"/>
    <s v="PEÇAS - Defeito de fabric./Alta Amperage"/>
    <s v="FUNCIONAL"/>
    <x v="1"/>
    <n v="9452"/>
    <x v="42"/>
    <s v="SP"/>
    <n v="931"/>
    <s v="Ats Off"/>
    <n v="1350"/>
    <s v="W11309027"/>
    <s v="Dobradiças"/>
    <x v="10"/>
    <n v="1000"/>
    <n v="5003254"/>
    <s v="TMA TRANSPORTE LOTACAO E LOGISTICA"/>
    <n v="77.349999999999994"/>
    <d v="2024-11-29T00:00:00"/>
  </r>
  <r>
    <n v="254026100"/>
    <n v="64800037"/>
    <s v="ZRDI"/>
    <n v="10047183"/>
    <n v="208"/>
    <s v="DEV-Atraso entrega- LOGISTICA(Transp)"/>
    <s v="TRANSPORTADORA"/>
    <x v="2"/>
    <n v="50346952"/>
    <x v="1588"/>
    <s v="PA"/>
    <n v="474"/>
    <s v="Site Brastemp"/>
    <n v="1352"/>
    <s v="W10866789"/>
    <s v="Kits Instalação"/>
    <x v="7"/>
    <n v="1000"/>
    <n v="5002359"/>
    <s v="EMPRESA BRASILEIRA DE CORREIOS E"/>
    <n v="77.27"/>
    <d v="2025-07-04T00:00:00"/>
  </r>
  <r>
    <n v="254033320"/>
    <n v="64806985"/>
    <s v="REB"/>
    <n v="10063000"/>
    <n v="173"/>
    <s v="PEÇAS - Defeito de fabric./Alta Amperage"/>
    <s v="FUNCIONAL"/>
    <x v="1"/>
    <n v="26939"/>
    <x v="126"/>
    <s v="PR"/>
    <n v="643"/>
    <s v="Elite"/>
    <n v="1350"/>
    <s v="W11082463"/>
    <s v="Termostatos"/>
    <x v="3"/>
    <n v="2000"/>
    <n v="5003024"/>
    <s v="RODOBRAS TRANSPORTES RODOVIARIOS LT"/>
    <n v="77.260000000000005"/>
    <d v="2025-07-08T00:00:00"/>
  </r>
  <r>
    <n v="253891605"/>
    <n v="64660030"/>
    <s v="REB"/>
    <n v="9738103"/>
    <n v="109"/>
    <s v="PEÇAS-Erro de catálogo/BT"/>
    <s v="ENGENHARIA"/>
    <x v="1"/>
    <n v="3677"/>
    <x v="360"/>
    <s v="SP"/>
    <n v="931"/>
    <s v="Ats Off"/>
    <n v="1350"/>
    <s v="W10912791"/>
    <s v="Capas"/>
    <x v="6"/>
    <n v="1000"/>
    <n v="5003254"/>
    <s v="TMA TRANSPORTE LOTACAO E LOGISTICA"/>
    <n v="77.22"/>
    <d v="2024-12-05T00:00:00"/>
  </r>
  <r>
    <n v="253952320"/>
    <n v="64728474"/>
    <s v="REB"/>
    <n v="9824918"/>
    <n v="671"/>
    <s v="DEV-ENVIADO PARA GESTÃO DE CONSEQUENCIA"/>
    <s v="TRANSPORTADORA"/>
    <x v="1"/>
    <n v="44739"/>
    <x v="106"/>
    <s v="PR"/>
    <n v="350"/>
    <s v="Ats On"/>
    <n v="1350"/>
    <s v="W10892758"/>
    <s v="Transformadores"/>
    <x v="1"/>
    <n v="1000"/>
    <n v="5003024"/>
    <s v="RODOBRAS TRANSPORTES RODOVIARIOS LT"/>
    <n v="77.209999999999994"/>
    <d v="2025-03-10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246170"/>
    <s v="Prateleiras"/>
    <x v="9"/>
    <n v="3000"/>
    <n v="5002858"/>
    <s v="FAVORITA TRANSPORTES LTDA"/>
    <n v="77.11"/>
    <d v="2025-07-15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0476183"/>
    <s v="Prateleiras"/>
    <x v="9"/>
    <n v="3000"/>
    <n v="5004101"/>
    <s v="UNIDOCK'S ASSESSORIA E LOGISTICA DE"/>
    <n v="77.11"/>
    <d v="2025-03-13T00:00:00"/>
  </r>
  <r>
    <s v="Sem TR"/>
    <n v="64799715"/>
    <s v="ZRDI"/>
    <n v="10008663"/>
    <s v="D10"/>
    <s v="DEV D2C - Comprou modelo errado"/>
    <s v="COMERCIAL"/>
    <x v="2"/>
    <n v="54013183"/>
    <x v="1589"/>
    <s v="SC"/>
    <n v="474"/>
    <s v="Site Brastemp"/>
    <n v="1352"/>
    <s v="W10287524"/>
    <s v="Prateleiras"/>
    <x v="9"/>
    <n v="1000"/>
    <n v="5002359"/>
    <s v="EMPRESA BRASILEIRA DE CORREIOS E"/>
    <n v="77.08"/>
    <d v="2025-06-27T00:00:00"/>
  </r>
  <r>
    <s v="Sem TR"/>
    <n v="64799715"/>
    <s v="ZRDI"/>
    <n v="10008663"/>
    <s v="D10"/>
    <s v="DEV D2C - Comprou modelo errado"/>
    <s v="COMERCIAL"/>
    <x v="2"/>
    <n v="54013183"/>
    <x v="1589"/>
    <s v="SC"/>
    <n v="474"/>
    <s v="Site Brastemp"/>
    <n v="1352"/>
    <s v="W10287524"/>
    <s v="Prateleiras"/>
    <x v="9"/>
    <n v="1000"/>
    <n v="5002359"/>
    <s v="EMPRESA BRASILEIRA DE CORREIOS E"/>
    <n v="77.08"/>
    <d v="2025-06-27T00:00:00"/>
  </r>
  <r>
    <n v="254024674"/>
    <n v="64804767"/>
    <s v="ZRDI"/>
    <n v="10103878"/>
    <n v="208"/>
    <s v="DEV-Atraso entrega- LOGISTICA(Transp)"/>
    <s v="TRANSPORTADORA"/>
    <x v="2"/>
    <n v="58115656"/>
    <x v="1590"/>
    <s v="RS"/>
    <n v="466"/>
    <s v="Sup ML Marketplace"/>
    <n v="1352"/>
    <n v="326043145"/>
    <s v="Filtros"/>
    <x v="5"/>
    <n v="1000"/>
    <n v="5002359"/>
    <s v="EMPRESA BRASILEIRA DE CORREIOS E"/>
    <n v="77.05"/>
    <d v="2025-07-02T00:00:00"/>
  </r>
  <r>
    <n v="254024674"/>
    <n v="64804767"/>
    <s v="ZRDI"/>
    <n v="10103878"/>
    <n v="208"/>
    <s v="DEV-Atraso entrega- LOGISTICA(Transp)"/>
    <s v="TRANSPORTADORA"/>
    <x v="2"/>
    <n v="58115656"/>
    <x v="1590"/>
    <s v="RS"/>
    <n v="466"/>
    <s v="Sup ML Marketplace"/>
    <n v="1352"/>
    <n v="326043145"/>
    <s v="Filtros"/>
    <x v="5"/>
    <n v="1000"/>
    <n v="5002359"/>
    <s v="EMPRESA BRASILEIRA DE CORREIOS E"/>
    <n v="77.05"/>
    <d v="2025-07-02T00:00:00"/>
  </r>
  <r>
    <n v="253988795"/>
    <n v="64763828"/>
    <s v="REB"/>
    <n v="10006782"/>
    <n v="167"/>
    <s v="PEÇAS - Avaria - Quebrada/Depósito"/>
    <s v="LOGÍSTICA"/>
    <x v="1"/>
    <n v="5136"/>
    <x v="181"/>
    <s v="RS"/>
    <n v="350"/>
    <s v="Ats On"/>
    <n v="1350"/>
    <s v="W11131780"/>
    <s v="Dispensers"/>
    <x v="9"/>
    <n v="1000"/>
    <n v="5003024"/>
    <s v="RODOBRAS TRANSPORTES RODOVIARIOS LT"/>
    <n v="77.02"/>
    <d v="2025-05-05T00:00:00"/>
  </r>
  <r>
    <n v="254018368"/>
    <n v="64791938"/>
    <s v="REB"/>
    <n v="9410900"/>
    <n v="90"/>
    <s v="CLIENTE-não solicitou"/>
    <s v="COMERCIAL"/>
    <x v="2"/>
    <n v="72786"/>
    <x v="41"/>
    <s v="SC"/>
    <n v="643"/>
    <s v="Elite"/>
    <n v="1350"/>
    <s v="W10581058"/>
    <s v="Gavetas"/>
    <x v="9"/>
    <n v="1000"/>
    <n v="5003024"/>
    <s v="RODOBRAS TRANSPORTES RODOVIARIOS LT"/>
    <n v="77.010000000000005"/>
    <d v="2025-06-17T00:00:00"/>
  </r>
  <r>
    <n v="253988788"/>
    <n v="64764309"/>
    <s v="REB"/>
    <n v="9878052"/>
    <n v="176"/>
    <s v="PEÇAS - Defeito de fabric./Interrompido"/>
    <s v="FUNCIONAL"/>
    <x v="1"/>
    <n v="3506"/>
    <x v="46"/>
    <s v="SP"/>
    <n v="931"/>
    <s v="Ats Off"/>
    <n v="1350"/>
    <s v="W10325885"/>
    <s v="Membranas Eletrônicas"/>
    <x v="1"/>
    <n v="1000"/>
    <n v="5004042"/>
    <s v="BRASIL WEB TRANSPORTES E LOGISTICA"/>
    <n v="77.010000000000005"/>
    <d v="2025-05-05T00:00:00"/>
  </r>
  <r>
    <n v="253922587"/>
    <n v="64695361"/>
    <s v="REB"/>
    <n v="9478000"/>
    <n v="173"/>
    <s v="PEÇAS - Defeito de fabric./Alta Amperage"/>
    <s v="FUNCIONAL"/>
    <x v="1"/>
    <n v="76236"/>
    <x v="286"/>
    <s v="SP"/>
    <n v="644"/>
    <s v="Plus"/>
    <n v="1350"/>
    <s v="W11226018"/>
    <s v="Motores Ventiladores"/>
    <x v="1"/>
    <n v="1000"/>
    <n v="5003482"/>
    <s v="TMA TRANSPORTE LOTACAO E LOGISTICA"/>
    <n v="77"/>
    <d v="2025-01-20T00:00:00"/>
  </r>
  <r>
    <n v="254033474"/>
    <n v="64807607"/>
    <s v="REB"/>
    <n v="10090119"/>
    <n v="90"/>
    <s v="CLIENTE-não solicitou"/>
    <s v="COMERCIAL"/>
    <x v="1"/>
    <n v="87707"/>
    <x v="143"/>
    <s v="BA"/>
    <n v="648"/>
    <s v="Ultra"/>
    <n v="1350"/>
    <s v="W11199342"/>
    <s v="Filtros"/>
    <x v="5"/>
    <n v="1000"/>
    <n v="5004101"/>
    <s v="UNIDOCK'S ASSESSORIA E LOGISTICA DE"/>
    <n v="76.87"/>
    <d v="2025-07-08T00:00:00"/>
  </r>
  <r>
    <n v="253952563"/>
    <n v="64728287"/>
    <s v="REB"/>
    <n v="9834576"/>
    <n v="167"/>
    <s v="PEÇAS - Avaria - Quebrada/Depósito"/>
    <s v="LOGÍSTICA"/>
    <x v="2"/>
    <n v="87407"/>
    <x v="208"/>
    <s v="SP"/>
    <n v="644"/>
    <s v="Plus"/>
    <n v="1350"/>
    <n v="326047477"/>
    <s v="Gavetas"/>
    <x v="9"/>
    <n v="1000"/>
    <n v="5004042"/>
    <s v="BRASIL WEB TRANSPORTES E LOGISTICA"/>
    <n v="76.86"/>
    <d v="2025-03-10T00:00:00"/>
  </r>
  <r>
    <n v="254032576"/>
    <n v="64811511"/>
    <s v="ZRDI"/>
    <n v="10107600"/>
    <n v="208"/>
    <s v="DEV-Atraso entrega- LOGISTICA(Transp)"/>
    <s v="TRANSPORTADORA"/>
    <x v="2"/>
    <n v="56868113"/>
    <x v="1591"/>
    <s v="RJ"/>
    <n v="475"/>
    <s v="Site Consul"/>
    <n v="1352"/>
    <s v="W10866789"/>
    <s v="Kits Instalação"/>
    <x v="7"/>
    <n v="1000"/>
    <n v="5002359"/>
    <s v="EMPRESA BRASILEIRA DE CORREIOS E"/>
    <n v="76.8"/>
    <d v="2025-07-16T00:00:00"/>
  </r>
  <r>
    <n v="254037062"/>
    <n v="64814983"/>
    <s v="ZRDI"/>
    <n v="10112163"/>
    <n v="208"/>
    <s v="DEV-Atraso entrega- LOGISTICA(Transp)"/>
    <s v="TRANSPORTADORA"/>
    <x v="2"/>
    <n v="52580679"/>
    <x v="1592"/>
    <s v="SP"/>
    <n v="475"/>
    <s v="Site Consul"/>
    <n v="1352"/>
    <s v="W10866789"/>
    <s v="Kits Instalação"/>
    <x v="7"/>
    <n v="1000"/>
    <n v="5002359"/>
    <s v="EMPRESA BRASILEIRA DE CORREIOS E"/>
    <n v="76.8"/>
    <d v="2025-07-22T00:00:00"/>
  </r>
  <r>
    <n v="254037062"/>
    <n v="64814983"/>
    <s v="ZRDI"/>
    <n v="10112163"/>
    <n v="208"/>
    <s v="DEV-Atraso entrega- LOGISTICA(Transp)"/>
    <s v="TRANSPORTADORA"/>
    <x v="2"/>
    <n v="52580679"/>
    <x v="1592"/>
    <s v="SP"/>
    <n v="475"/>
    <s v="Site Consul"/>
    <n v="1352"/>
    <s v="W10866789"/>
    <s v="Kits Instalação"/>
    <x v="7"/>
    <n v="1000"/>
    <n v="5002359"/>
    <s v="EMPRESA BRASILEIRA DE CORREIOS E"/>
    <n v="76.8"/>
    <d v="2025-07-22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n v="326062041"/>
    <s v="Recipientes de Evaporação"/>
    <x v="9"/>
    <n v="5000"/>
    <n v="5004101"/>
    <s v="UNIDOCK'S ASSESSORIA E LOGISTICA DE"/>
    <n v="76.77"/>
    <d v="2025-02-25T00:00:00"/>
  </r>
  <r>
    <n v="254012539"/>
    <n v="64758621"/>
    <s v="REB"/>
    <n v="10048027"/>
    <n v="167"/>
    <s v="PEÇAS - Avaria - Quebrada/Depósito"/>
    <s v="LOGÍSTICA"/>
    <x v="2"/>
    <n v="54465"/>
    <x v="207"/>
    <s v="SP"/>
    <n v="644"/>
    <s v="Plus"/>
    <n v="1350"/>
    <s v="W11398691"/>
    <s v="Motores Ventiladores"/>
    <x v="1"/>
    <n v="1000"/>
    <n v="5004042"/>
    <s v="BRASIL WEB TRANSPORTES E LOGISTICA"/>
    <n v="76.739999999999995"/>
    <d v="2025-06-10T00:00:00"/>
  </r>
  <r>
    <s v="Sem TR"/>
    <n v="64816201"/>
    <s v="ZRDI"/>
    <n v="10133669"/>
    <s v="D10"/>
    <s v="DEV D2C - Comprou modelo errado"/>
    <s v="COMERCIAL"/>
    <x v="2"/>
    <n v="58150061"/>
    <x v="1593"/>
    <s v="RS"/>
    <n v="474"/>
    <s v="Site Brastemp"/>
    <n v="1352"/>
    <s v="W11109536"/>
    <s v="Prateleiras"/>
    <x v="9"/>
    <n v="1000"/>
    <n v="5002359"/>
    <s v="EMPRESA BRASILEIRA DE CORREIOS E"/>
    <n v="76.680000000000007"/>
    <d v="2025-07-24T00:00:00"/>
  </r>
  <r>
    <s v="Sem TR"/>
    <n v="64816201"/>
    <s v="ZRDI"/>
    <n v="10133669"/>
    <s v="D10"/>
    <s v="DEV D2C - Comprou modelo errado"/>
    <s v="COMERCIAL"/>
    <x v="2"/>
    <n v="58150061"/>
    <x v="1593"/>
    <s v="RS"/>
    <n v="474"/>
    <s v="Site Brastemp"/>
    <n v="1352"/>
    <s v="W11109536"/>
    <s v="Prateleiras"/>
    <x v="9"/>
    <n v="1000"/>
    <n v="5002359"/>
    <s v="EMPRESA BRASILEIRA DE CORREIOS E"/>
    <n v="76.680000000000007"/>
    <d v="2025-07-24T00:00:00"/>
  </r>
  <r>
    <s v="Sem TR"/>
    <n v="64725741"/>
    <s v="ROB"/>
    <n v="9817143"/>
    <n v="221"/>
    <s v="DEV-Sinistro - SEGURO"/>
    <s v="TRANSPORTADORA"/>
    <x v="0"/>
    <n v="4687"/>
    <x v="685"/>
    <s v="SC"/>
    <n v="350"/>
    <s v="Ats On"/>
    <n v="1350"/>
    <s v="W10788977"/>
    <s v="Lâmpadas"/>
    <x v="1"/>
    <n v="2000"/>
    <n v="5003024"/>
    <s v="RODOBRAS TRANSPORTES RODOVIARIOS LT"/>
    <n v="76.63"/>
    <d v="2025-03-06T00:00:00"/>
  </r>
  <r>
    <s v="Sem TR"/>
    <n v="64807486"/>
    <s v="REB"/>
    <n v="9857619"/>
    <n v="173"/>
    <s v="PEÇAS - Defeito de fabric./Alta Amperage"/>
    <s v="FUNCIONAL"/>
    <x v="1"/>
    <n v="63300"/>
    <x v="17"/>
    <s v="MG"/>
    <n v="643"/>
    <s v="Elite"/>
    <n v="1350"/>
    <s v="W11352536"/>
    <s v="Placas de Controle"/>
    <x v="1"/>
    <n v="1000"/>
    <n v="5004215"/>
    <s v="BRASIL WEB TRANSPORTES E LOGISTICA"/>
    <n v="76.58"/>
    <d v="2025-07-22T00:00:00"/>
  </r>
  <r>
    <n v="254041840"/>
    <n v="64795906"/>
    <s v="REB"/>
    <n v="9706905"/>
    <n v="173"/>
    <s v="PEÇAS - Defeito de fabric./Alta Amperage"/>
    <s v="FUNCIONAL"/>
    <x v="0"/>
    <n v="30121"/>
    <x v="23"/>
    <s v="SP"/>
    <n v="648"/>
    <s v="Ultra"/>
    <n v="1350"/>
    <s v="W11163349"/>
    <s v="Placas de Controle"/>
    <x v="1"/>
    <n v="1000"/>
    <n v="5004042"/>
    <s v="BRASIL WEB TRANSPORTES E LOGISTICA"/>
    <n v="76.56"/>
    <d v="2025-06-23T00:00:00"/>
  </r>
  <r>
    <n v="254012488"/>
    <n v="64789179"/>
    <s v="REB"/>
    <n v="10020864"/>
    <n v="176"/>
    <s v="PEÇAS - Defeito de fabric./Interrompido"/>
    <s v="FUNCIONAL"/>
    <x v="2"/>
    <n v="27031"/>
    <x v="239"/>
    <s v="SP"/>
    <n v="932"/>
    <s v="CDP Prata"/>
    <n v="1350"/>
    <s v="W10518616"/>
    <s v="Atuadores"/>
    <x v="2"/>
    <n v="2000"/>
    <n v="5004042"/>
    <s v="BRASIL WEB TRANSPORTES E LOGISTICA"/>
    <n v="76.36"/>
    <d v="2025-06-10T00:00:00"/>
  </r>
  <r>
    <s v="Sem TR"/>
    <n v="64773158"/>
    <s v="ZRDI"/>
    <n v="10021953"/>
    <s v="D35"/>
    <s v="DEV D2C - Prod difere do comprado"/>
    <s v="COMERCIAL"/>
    <x v="2"/>
    <n v="58009191"/>
    <x v="1594"/>
    <s v="SC"/>
    <n v="474"/>
    <s v="Site Brastemp"/>
    <n v="1352"/>
    <s v="W11109536"/>
    <s v="Prateleiras"/>
    <x v="9"/>
    <n v="1000"/>
    <n v="5002359"/>
    <s v="EMPRESA BRASILEIRA DE CORREIOS E"/>
    <n v="76.349999999999994"/>
    <d v="2025-05-20T00:00:00"/>
  </r>
  <r>
    <n v="254033477"/>
    <n v="64804498"/>
    <s v="ZDVP"/>
    <n v="9905224"/>
    <n v="173"/>
    <s v="PEÇAS - Defeito de fabric./Alta Amperage"/>
    <s v="FUNCIONAL"/>
    <x v="1"/>
    <n v="9599"/>
    <x v="121"/>
    <s v="SP"/>
    <n v="931"/>
    <s v="Ats Off"/>
    <n v="1350"/>
    <s v="W10405579"/>
    <s v="Bombas"/>
    <x v="1"/>
    <n v="1000"/>
    <n v="5004042"/>
    <s v="BRASIL WEB TRANSPORTES E LOGISTICA"/>
    <n v="76.22"/>
    <d v="2025-07-08T00:00:00"/>
  </r>
  <r>
    <n v="254042149"/>
    <n v="64795566"/>
    <s v="REB"/>
    <n v="10078430"/>
    <n v="170"/>
    <s v="PEÇAS - Avaria - Riscada/Depósito"/>
    <s v="LOGÍSTICA"/>
    <x v="0"/>
    <n v="5118"/>
    <x v="514"/>
    <s v="RS"/>
    <n v="350"/>
    <s v="Ats On"/>
    <n v="1350"/>
    <s v="W10581058"/>
    <s v="Gavetas"/>
    <x v="9"/>
    <n v="1000"/>
    <n v="5003024"/>
    <s v="RODOBRAS TRANSPORTES RODOVIARIOS LT"/>
    <n v="76.19"/>
    <d v="2025-06-23T00:00:00"/>
  </r>
  <r>
    <n v="254042107"/>
    <n v="64796319"/>
    <s v="REB"/>
    <n v="10009352"/>
    <n v="173"/>
    <s v="PEÇAS - Defeito de fabric./Alta Amperage"/>
    <s v="FUNCIONAL"/>
    <x v="0"/>
    <n v="78757"/>
    <x v="50"/>
    <s v="RS"/>
    <n v="643"/>
    <s v="Elite"/>
    <n v="1350"/>
    <s v="W11113071"/>
    <s v="Termostatos"/>
    <x v="3"/>
    <n v="1000"/>
    <n v="5003024"/>
    <s v="RODOBRAS TRANSPORTES RODOVIARIOS LT"/>
    <n v="76.17"/>
    <d v="2025-06-23T00:00:00"/>
  </r>
  <r>
    <n v="254012596"/>
    <n v="64789411"/>
    <s v="REB"/>
    <n v="10018018"/>
    <n v="173"/>
    <s v="PEÇAS - Defeito de fabric./Alta Amperage"/>
    <s v="FUNCIONAL"/>
    <x v="2"/>
    <n v="67948"/>
    <x v="15"/>
    <s v="SC"/>
    <n v="713"/>
    <s v="Key Account"/>
    <n v="1350"/>
    <s v="W10632495"/>
    <s v="Placas de Controle"/>
    <x v="1"/>
    <n v="1000"/>
    <n v="5003024"/>
    <s v="RODOBRAS TRANSPORTES RODOVIARIOS LT"/>
    <n v="76.09"/>
    <d v="2025-06-10T00:00:00"/>
  </r>
  <r>
    <s v="Sem TR"/>
    <n v="64814931"/>
    <s v="REB"/>
    <n v="10017137"/>
    <n v="173"/>
    <s v="PEÇAS - Defeito de fabric./Alta Amperage"/>
    <s v="FUNCIONAL"/>
    <x v="1"/>
    <n v="63300"/>
    <x v="17"/>
    <s v="MG"/>
    <n v="643"/>
    <s v="Elite"/>
    <n v="1350"/>
    <s v="W10882241"/>
    <s v="Agitadores"/>
    <x v="2"/>
    <n v="2000"/>
    <n v="5004215"/>
    <s v="BRASIL WEB TRANSPORTES E LOGISTICA"/>
    <n v="76.06"/>
    <d v="2025-07-22T00:00:00"/>
  </r>
  <r>
    <s v="Sem TR"/>
    <n v="64814939"/>
    <s v="REB"/>
    <n v="10017137"/>
    <n v="173"/>
    <s v="PEÇAS - Defeito de fabric./Alta Amperage"/>
    <s v="FUNCIONAL"/>
    <x v="1"/>
    <n v="63300"/>
    <x v="17"/>
    <s v="MG"/>
    <n v="643"/>
    <s v="Elite"/>
    <n v="1350"/>
    <s v="W10882241"/>
    <s v="Agitadores"/>
    <x v="2"/>
    <n v="2000"/>
    <n v="5004215"/>
    <s v="BRASIL WEB TRANSPORTES E LOGISTICA"/>
    <n v="76.06"/>
    <d v="2025-07-22T00:00:00"/>
  </r>
  <r>
    <s v="Sem TR"/>
    <n v="64812672"/>
    <s v="REB"/>
    <n v="10121820"/>
    <n v="176"/>
    <s v="PEÇAS - Defeito de fabric./Interrompido"/>
    <s v="FUNCIONAL"/>
    <x v="1"/>
    <n v="25656"/>
    <x v="173"/>
    <s v="SP"/>
    <n v="931"/>
    <s v="Ats Off"/>
    <n v="1350"/>
    <n v="326060403"/>
    <s v="Válvulas de Água"/>
    <x v="5"/>
    <n v="1000"/>
    <n v="5004042"/>
    <s v="BRASIL WEB TRANSPORTES E LOGISTICA"/>
    <n v="75.97"/>
    <d v="2025-07-17T00:00:00"/>
  </r>
  <r>
    <n v="254012439"/>
    <n v="64789448"/>
    <s v="REB"/>
    <n v="9927252"/>
    <n v="176"/>
    <s v="PEÇAS - Defeito de fabric./Interrompido"/>
    <s v="FUNCIONAL"/>
    <x v="1"/>
    <n v="3506"/>
    <x v="46"/>
    <s v="SP"/>
    <n v="931"/>
    <s v="Ats Off"/>
    <n v="1350"/>
    <n v="326065129"/>
    <s v="Resistências"/>
    <x v="1"/>
    <n v="1000"/>
    <n v="5004042"/>
    <s v="BRASIL WEB TRANSPORTES E LOGISTICA"/>
    <n v="75.959999999999994"/>
    <d v="2025-06-10T00:00:00"/>
  </r>
  <r>
    <n v="254018180"/>
    <n v="64793280"/>
    <s v="REB"/>
    <n v="9927252"/>
    <n v="176"/>
    <s v="PEÇAS - Defeito de fabric./Interrompido"/>
    <s v="FUNCIONAL"/>
    <x v="1"/>
    <n v="3506"/>
    <x v="46"/>
    <s v="SP"/>
    <n v="931"/>
    <s v="Ats Off"/>
    <n v="1350"/>
    <n v="326065129"/>
    <s v="Resistências"/>
    <x v="1"/>
    <n v="1000"/>
    <n v="5004042"/>
    <s v="BRASIL WEB TRANSPORTES E LOGISTICA"/>
    <n v="75.959999999999994"/>
    <d v="2025-06-17T00:00:00"/>
  </r>
  <r>
    <n v="254041060"/>
    <n v="64818836"/>
    <s v="ZRDI"/>
    <n v="10100807"/>
    <n v="208"/>
    <s v="DEV-Atraso entrega- LOGISTICA(Transp)"/>
    <s v="TRANSPORTADORA"/>
    <x v="1"/>
    <n v="57088221"/>
    <x v="1390"/>
    <s v="GO"/>
    <n v="475"/>
    <s v="Site Consul"/>
    <n v="1352"/>
    <s v="W10750419"/>
    <s v="Prateleiras"/>
    <x v="9"/>
    <n v="1000"/>
    <n v="5002359"/>
    <s v="EMPRESA BRASILEIRA DE CORREIOS E"/>
    <n v="75.92"/>
    <d v="2025-07-28T00:00:00"/>
  </r>
  <r>
    <n v="253988921"/>
    <n v="64763848"/>
    <s v="REB"/>
    <n v="9059570"/>
    <n v="173"/>
    <s v="PEÇAS - Defeito de fabric./Alta Amperage"/>
    <s v="FUNCIONAL"/>
    <x v="1"/>
    <n v="77746"/>
    <x v="119"/>
    <s v="GO"/>
    <n v="933"/>
    <s v="Top"/>
    <n v="1350"/>
    <s v="W10829873"/>
    <s v="Outros"/>
    <x v="7"/>
    <n v="1000"/>
    <n v="5002858"/>
    <s v="FAVORITA TRANSPORTES LTDA"/>
    <n v="75.87"/>
    <d v="2025-05-05T00:00:00"/>
  </r>
  <r>
    <s v="Sem TR"/>
    <n v="64768415"/>
    <s v="ROB"/>
    <n v="50501"/>
    <n v="671"/>
    <s v="DEV-ENVIADO PARA GESTÃO DE CONSEQUENCIA"/>
    <s v="TRANSPORTADORA"/>
    <x v="2"/>
    <n v="85357"/>
    <x v="875"/>
    <s v="BA"/>
    <n v="932"/>
    <s v="CDP Prata"/>
    <n v="1550"/>
    <s v="W10678919"/>
    <s v="Placas de Controle"/>
    <x v="1"/>
    <n v="1000"/>
    <n v="5004391"/>
    <s v="JEONCEL TRANSPORTES LTDA"/>
    <n v="75.819999999999993"/>
    <d v="2025-05-12T00:00:00"/>
  </r>
  <r>
    <s v="Sem TR"/>
    <n v="64805138"/>
    <s v="REB"/>
    <n v="10110089"/>
    <n v="509"/>
    <s v="Qtd de peças a Menor dentro do Volume"/>
    <s v="LOGÍSTICA"/>
    <x v="1"/>
    <n v="25656"/>
    <x v="173"/>
    <s v="SP"/>
    <n v="931"/>
    <s v="Ats Off"/>
    <n v="1350"/>
    <s v="W11045219"/>
    <s v="Motores Ventiladores"/>
    <x v="1"/>
    <n v="2000"/>
    <n v="5002359"/>
    <s v="EMPRESA BRASILEIRA DE CORREIOS E"/>
    <n v="75.8"/>
    <d v="2025-07-17T00:00:00"/>
  </r>
  <r>
    <s v="Sem TR"/>
    <n v="64805183"/>
    <s v="ZRDI"/>
    <n v="10118646"/>
    <s v="D18"/>
    <s v="DEV D2C - Arrependimento não quero mais"/>
    <s v="COMERCIAL"/>
    <x v="2"/>
    <n v="50293015"/>
    <x v="1595"/>
    <s v="SP"/>
    <n v="474"/>
    <s v="Site Brastemp"/>
    <n v="1352"/>
    <s v="W10334866"/>
    <s v="Anéis do Tanque"/>
    <x v="6"/>
    <n v="1000"/>
    <n v="5002359"/>
    <s v="EMPRESA BRASILEIRA DE CORREIOS E"/>
    <n v="75.540000000000006"/>
    <d v="2025-07-21T00:00:00"/>
  </r>
  <r>
    <s v="Sem TR"/>
    <n v="64805183"/>
    <s v="ZRDI"/>
    <n v="10118646"/>
    <s v="D18"/>
    <s v="DEV D2C - Arrependimento não quero mais"/>
    <s v="COMERCIAL"/>
    <x v="2"/>
    <n v="50293015"/>
    <x v="1595"/>
    <s v="SP"/>
    <n v="474"/>
    <s v="Site Brastemp"/>
    <n v="1352"/>
    <s v="W10334866"/>
    <s v="Anéis do Tanque"/>
    <x v="6"/>
    <n v="1000"/>
    <n v="5002359"/>
    <s v="EMPRESA BRASILEIRA DE CORREIOS E"/>
    <n v="75.540000000000006"/>
    <d v="2025-07-21T00:00:00"/>
  </r>
  <r>
    <s v="Sem TR"/>
    <n v="64814474"/>
    <s v="REB"/>
    <n v="10119800"/>
    <n v="509"/>
    <s v="Qtd de peças a Menor dentro do Volume"/>
    <s v="LOGÍSTICA"/>
    <x v="1"/>
    <n v="27511"/>
    <x v="470"/>
    <s v="SP"/>
    <n v="641"/>
    <s v="CDP Diamante"/>
    <n v="1350"/>
    <s v="W11226018"/>
    <s v="Motores Ventiladores"/>
    <x v="1"/>
    <n v="1000"/>
    <n v="5002359"/>
    <s v="EMPRESA BRASILEIRA DE CORREIOS E"/>
    <n v="75.5"/>
    <d v="2025-07-22T00:00:00"/>
  </r>
  <r>
    <s v="Sem TR"/>
    <n v="64788258"/>
    <s v="ZRDI"/>
    <n v="10053770"/>
    <n v="25"/>
    <s v="OC. 80 - EXTRAVIO TOTAL"/>
    <s v="TRANSPORTADORA"/>
    <x v="2"/>
    <n v="51940190"/>
    <x v="539"/>
    <s v="SE"/>
    <n v="474"/>
    <s v="Site Brastemp"/>
    <n v="1352"/>
    <s v="W10866789"/>
    <s v="Kits Instalação"/>
    <x v="7"/>
    <n v="1000"/>
    <n v="5002359"/>
    <s v="EMPRESA BRASILEIRA DE CORREIOS E"/>
    <n v="75.39"/>
    <d v="2025-06-30T00:00:00"/>
  </r>
  <r>
    <n v="254021260"/>
    <n v="64798915"/>
    <s v="ZRDI"/>
    <n v="10056301"/>
    <n v="208"/>
    <s v="DEV-Atraso entrega- LOGISTICA(Transp)"/>
    <s v="TRANSPORTADORA"/>
    <x v="2"/>
    <n v="52709561"/>
    <x v="1596"/>
    <s v="SE"/>
    <n v="475"/>
    <s v="Site Consul"/>
    <n v="1352"/>
    <s v="W10866789"/>
    <s v="Kits Instalação"/>
    <x v="7"/>
    <n v="1000"/>
    <n v="5002359"/>
    <s v="EMPRESA BRASILEIRA DE CORREIOS E"/>
    <n v="75.39"/>
    <d v="2025-06-26T00:00:00"/>
  </r>
  <r>
    <s v="Sem TR"/>
    <n v="64788258"/>
    <s v="ZRDI"/>
    <n v="10053770"/>
    <n v="25"/>
    <s v="OC. 80 - EXTRAVIO TOTAL"/>
    <s v="TRANSPORTADORA"/>
    <x v="2"/>
    <n v="51940190"/>
    <x v="539"/>
    <s v="SE"/>
    <n v="474"/>
    <s v="Site Brastemp"/>
    <n v="1352"/>
    <s v="W10866789"/>
    <s v="Kits Instalação"/>
    <x v="7"/>
    <n v="1000"/>
    <n v="5002359"/>
    <s v="EMPRESA BRASILEIRA DE CORREIOS E"/>
    <n v="75.39"/>
    <d v="2025-06-30T00:00:00"/>
  </r>
  <r>
    <s v="Sem TR"/>
    <n v="64820323"/>
    <s v="ZRDI"/>
    <n v="10116298"/>
    <n v="25"/>
    <s v="OC. 80 - EXTRAVIO TOTAL"/>
    <s v="TRANSPORTADORA"/>
    <x v="0"/>
    <n v="52654266"/>
    <x v="1597"/>
    <s v="SP"/>
    <n v="474"/>
    <s v="Site Brastemp"/>
    <n v="1352"/>
    <s v="W11398276"/>
    <s v="Lâmpadas"/>
    <x v="1"/>
    <n v="1000"/>
    <n v="5003972"/>
    <s v="ICARO EXPRESS LOGISTICA LTDA"/>
    <n v="75.39"/>
    <d v="2025-07-30T00:00:00"/>
  </r>
  <r>
    <s v="Sem TR"/>
    <n v="64806897"/>
    <s v="ZRDI"/>
    <n v="10100756"/>
    <s v="D10"/>
    <s v="DEV D2C - Comprou modelo errado"/>
    <s v="COMERCIAL"/>
    <x v="2"/>
    <n v="57987147"/>
    <x v="1598"/>
    <s v="BA"/>
    <n v="475"/>
    <s v="Site Consul"/>
    <n v="1352"/>
    <s v="W10759142"/>
    <s v="Prateleiras"/>
    <x v="9"/>
    <n v="1000"/>
    <n v="5002359"/>
    <s v="EMPRESA BRASILEIRA DE CORREIOS E"/>
    <n v="75.349999999999994"/>
    <d v="2025-07-08T00:00:00"/>
  </r>
  <r>
    <s v="Sem TR"/>
    <n v="64807381"/>
    <s v="ZRDI"/>
    <n v="10095778"/>
    <s v="D18"/>
    <s v="DEV D2C - Arrependimento não quero mais"/>
    <s v="COMERCIAL"/>
    <x v="2"/>
    <n v="56850406"/>
    <x v="1599"/>
    <s v="BA"/>
    <n v="474"/>
    <s v="Site Brastemp"/>
    <n v="1352"/>
    <s v="W10866789"/>
    <s v="Kits Instalação"/>
    <x v="7"/>
    <n v="1000"/>
    <n v="5002359"/>
    <s v="EMPRESA BRASILEIRA DE CORREIOS E"/>
    <n v="75.33"/>
    <d v="2025-07-14T00:00:00"/>
  </r>
  <r>
    <s v="Sem TR"/>
    <n v="64807381"/>
    <s v="ZRDI"/>
    <n v="10095778"/>
    <s v="D18"/>
    <s v="DEV D2C - Arrependimento não quero mais"/>
    <s v="COMERCIAL"/>
    <x v="2"/>
    <n v="56850406"/>
    <x v="1599"/>
    <s v="BA"/>
    <n v="474"/>
    <s v="Site Brastemp"/>
    <n v="1352"/>
    <s v="W10866789"/>
    <s v="Kits Instalação"/>
    <x v="7"/>
    <n v="1000"/>
    <n v="5002359"/>
    <s v="EMPRESA BRASILEIRA DE CORREIOS E"/>
    <n v="75.33"/>
    <d v="2025-07-14T00:00:00"/>
  </r>
  <r>
    <n v="253900836"/>
    <n v="64669365"/>
    <s v="REB"/>
    <n v="9450471"/>
    <n v="176"/>
    <s v="PEÇAS - Defeito de fabric./Interrompido"/>
    <s v="FUNCIONAL"/>
    <x v="2"/>
    <n v="56605"/>
    <x v="268"/>
    <s v="AL"/>
    <n v="644"/>
    <s v="Plus"/>
    <n v="1350"/>
    <s v="W11082463"/>
    <s v="Termostatos"/>
    <x v="3"/>
    <n v="2000"/>
    <n v="5004101"/>
    <s v="UNIDOCK'S ASSESSORIA E LOGISTICA DE"/>
    <n v="75.27"/>
    <d v="2024-12-16T00:00:00"/>
  </r>
  <r>
    <s v="Sem TR"/>
    <n v="64794171"/>
    <s v="ZRDI"/>
    <n v="10142496"/>
    <s v="D10"/>
    <s v="DEV D2C - Comprou modelo errado"/>
    <s v="COMERCIAL"/>
    <x v="1"/>
    <n v="4501518"/>
    <x v="1600"/>
    <s v="SP"/>
    <n v="475"/>
    <s v="Site Consul"/>
    <n v="1352"/>
    <s v="W10246170"/>
    <s v="Prateleiras"/>
    <x v="9"/>
    <n v="1000"/>
    <n v="5002359"/>
    <s v="EMPRESA BRASILEIRA DE CORREIOS E"/>
    <n v="75.22"/>
    <d v="2025-07-28T00:00:00"/>
  </r>
  <r>
    <n v="253952548"/>
    <n v="64727036"/>
    <s v="REB"/>
    <n v="9863958"/>
    <n v="173"/>
    <s v="PEÇAS - Defeito de fabric./Alta Amperage"/>
    <s v="FUNCIONAL"/>
    <x v="1"/>
    <n v="85461"/>
    <x v="180"/>
    <s v="MG"/>
    <n v="641"/>
    <s v="CDP Diamante"/>
    <n v="1350"/>
    <s v="W11396188"/>
    <s v="Placas de Interface"/>
    <x v="1"/>
    <n v="1000"/>
    <n v="5004215"/>
    <s v="BRASIL WEB TRANSPORTES E LOGISTICA"/>
    <n v="75.17"/>
    <d v="2025-03-08T00:00:00"/>
  </r>
  <r>
    <n v="253883132"/>
    <n v="64650114"/>
    <s v="REB"/>
    <n v="9671033"/>
    <n v="173"/>
    <s v="PEÇAS - Defeito de fabric./Alta Amperage"/>
    <s v="FUNCIONAL"/>
    <x v="1"/>
    <n v="80164"/>
    <x v="437"/>
    <s v="SP"/>
    <n v="933"/>
    <s v="Top"/>
    <n v="1350"/>
    <s v="W11226018"/>
    <s v="Motores Ventiladores"/>
    <x v="1"/>
    <n v="1000"/>
    <n v="5003254"/>
    <s v="TMA TRANSPORTE LOTACAO E LOGISTICA"/>
    <n v="75.150000000000006"/>
    <d v="2024-11-21T00:00:00"/>
  </r>
  <r>
    <n v="253953813"/>
    <n v="64732145"/>
    <s v="REB"/>
    <n v="9729496"/>
    <n v="173"/>
    <s v="PEÇAS - Defeito de fabric./Alta Amperage"/>
    <s v="FUNCIONAL"/>
    <x v="1"/>
    <n v="42048"/>
    <x v="11"/>
    <s v="MT"/>
    <n v="644"/>
    <s v="Plus"/>
    <n v="1350"/>
    <n v="326065129"/>
    <s v="Resistências"/>
    <x v="1"/>
    <n v="1000"/>
    <n v="5002573"/>
    <s v="CARVALIMA TRANSPORTES LTDA"/>
    <n v="75.150000000000006"/>
    <d v="2025-03-14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0901034"/>
    <s v="Filtros"/>
    <x v="5"/>
    <n v="1000"/>
    <n v="5004101"/>
    <s v="UNIDOCK'S ASSESSORIA E LOGISTICA DE"/>
    <n v="75.150000000000006"/>
    <d v="2025-07-16T00:00:00"/>
  </r>
  <r>
    <n v="254024128"/>
    <n v="64803705"/>
    <s v="ZRDI"/>
    <n v="10051764"/>
    <n v="208"/>
    <s v="DEV-Atraso entrega- LOGISTICA(Transp)"/>
    <s v="TRANSPORTADORA"/>
    <x v="2"/>
    <n v="52194163"/>
    <x v="1601"/>
    <s v="MT"/>
    <n v="474"/>
    <s v="Site Brastemp"/>
    <n v="1352"/>
    <s v="W10866789"/>
    <s v="Kits Instalação"/>
    <x v="7"/>
    <n v="1000"/>
    <n v="5002359"/>
    <s v="EMPRESA BRASILEIRA DE CORREIOS E"/>
    <n v="75.13"/>
    <d v="2025-07-01T00:00:00"/>
  </r>
  <r>
    <n v="254017690"/>
    <n v="64736084"/>
    <s v="REB"/>
    <n v="9916721"/>
    <n v="167"/>
    <s v="PEÇAS - Avaria - Quebrada/Depósito"/>
    <s v="LOGÍSTICA"/>
    <x v="2"/>
    <n v="10164"/>
    <x v="183"/>
    <s v="PB"/>
    <n v="931"/>
    <s v="Ats Off"/>
    <n v="1350"/>
    <s v="W10347206"/>
    <s v="Prateleiras"/>
    <x v="9"/>
    <n v="1000"/>
    <n v="5004101"/>
    <s v="UNIDOCK'S ASSESSORIA E LOGISTICA DE"/>
    <n v="75.069999999999993"/>
    <d v="2025-03-21T00:00:00"/>
  </r>
  <r>
    <s v="Sem TR"/>
    <n v="64701913"/>
    <s v="ROB"/>
    <n v="9818893"/>
    <n v="221"/>
    <s v="DEV-Sinistro - SEGURO"/>
    <s v="TRANSPORTADORA"/>
    <x v="0"/>
    <n v="66743"/>
    <x v="170"/>
    <s v="SC"/>
    <n v="932"/>
    <s v="CDP Prata"/>
    <n v="1350"/>
    <s v="W11574388"/>
    <s v="Capacitores"/>
    <x v="1"/>
    <n v="6000"/>
    <n v="5003024"/>
    <s v="RODOBRAS TRANSPORTES RODOVIARIOS LT"/>
    <n v="75.06"/>
    <d v="2025-01-28T00:00:00"/>
  </r>
  <r>
    <s v="Sem TR"/>
    <n v="64817471"/>
    <s v="REB"/>
    <n v="10090178"/>
    <n v="173"/>
    <s v="PEÇAS - Defeito de fabric./Alta Amperage"/>
    <s v="FUNCIONAL"/>
    <x v="1"/>
    <n v="67948"/>
    <x v="15"/>
    <s v="SC"/>
    <n v="713"/>
    <s v="Key Account"/>
    <n v="1350"/>
    <s v="W11396188"/>
    <s v="Placas de Interface"/>
    <x v="1"/>
    <n v="1000"/>
    <n v="5003024"/>
    <s v="RODOBRAS TRANSPORTES RODOVIARIOS LT"/>
    <n v="75.03"/>
    <d v="2025-07-25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0907728"/>
    <s v="Acessórios"/>
    <x v="7"/>
    <n v="1000"/>
    <n v="5002359"/>
    <s v="EMPRESA BRASILEIRA DE CORREIOS E"/>
    <n v="74.98"/>
    <d v="2025-07-23T00:00:00"/>
  </r>
  <r>
    <s v="Sem TR"/>
    <n v="64811958"/>
    <s v="ZRDI"/>
    <n v="10103880"/>
    <s v="D35"/>
    <s v="DEV D2C - Prod difere do comprado"/>
    <s v="COMERCIAL"/>
    <x v="2"/>
    <n v="58115669"/>
    <x v="1602"/>
    <s v="GO"/>
    <n v="474"/>
    <s v="Site Brastemp"/>
    <n v="1352"/>
    <s v="W10347202"/>
    <s v="Gavetas"/>
    <x v="9"/>
    <n v="1000"/>
    <n v="5002359"/>
    <s v="EMPRESA BRASILEIRA DE CORREIOS E"/>
    <n v="74.98"/>
    <d v="2025-07-17T00:00:00"/>
  </r>
  <r>
    <s v="Sem TR"/>
    <n v="64803153"/>
    <s v="ZRDI"/>
    <n v="10112861"/>
    <s v="D10"/>
    <s v="DEV D2C - Comprou modelo errado"/>
    <s v="COMERCIAL"/>
    <x v="2"/>
    <n v="56225130"/>
    <x v="792"/>
    <s v="MS"/>
    <n v="474"/>
    <s v="Site Brastemp"/>
    <n v="1352"/>
    <s v="W10907728"/>
    <s v="Acessórios"/>
    <x v="7"/>
    <n v="1000"/>
    <n v="5002359"/>
    <s v="EMPRESA BRASILEIRA DE CORREIOS E"/>
    <n v="74.98"/>
    <d v="2025-07-23T00:00:00"/>
  </r>
  <r>
    <s v="Sem TR"/>
    <n v="64811958"/>
    <s v="ZRDI"/>
    <n v="10103880"/>
    <s v="D35"/>
    <s v="DEV D2C - Prod difere do comprado"/>
    <s v="COMERCIAL"/>
    <x v="2"/>
    <n v="58115669"/>
    <x v="1602"/>
    <s v="GO"/>
    <n v="474"/>
    <s v="Site Brastemp"/>
    <n v="1352"/>
    <s v="W10347202"/>
    <s v="Gavetas"/>
    <x v="9"/>
    <n v="1000"/>
    <n v="5002359"/>
    <s v="EMPRESA BRASILEIRA DE CORREIOS E"/>
    <n v="74.98"/>
    <d v="2025-07-17T00:00:00"/>
  </r>
  <r>
    <s v="Sem TR"/>
    <n v="64814775"/>
    <s v="ZRDI"/>
    <n v="10116199"/>
    <s v="D18"/>
    <s v="DEV D2C - Arrependimento não quero mais"/>
    <s v="COMERCIAL"/>
    <x v="2"/>
    <n v="58126137"/>
    <x v="1403"/>
    <s v="PR"/>
    <n v="475"/>
    <s v="Site Consul"/>
    <n v="1352"/>
    <s v="W10750419"/>
    <s v="Prateleiras"/>
    <x v="9"/>
    <n v="1000"/>
    <n v="5002359"/>
    <s v="EMPRESA BRASILEIRA DE CORREIOS E"/>
    <n v="74.94"/>
    <d v="2025-07-23T00:00:00"/>
  </r>
  <r>
    <s v="Sem TR"/>
    <n v="64814775"/>
    <s v="ZRDI"/>
    <n v="10116199"/>
    <s v="D18"/>
    <s v="DEV D2C - Arrependimento não quero mais"/>
    <s v="COMERCIAL"/>
    <x v="2"/>
    <n v="58126137"/>
    <x v="1403"/>
    <s v="PR"/>
    <n v="475"/>
    <s v="Site Consul"/>
    <n v="1352"/>
    <s v="W10750419"/>
    <s v="Prateleiras"/>
    <x v="9"/>
    <n v="1000"/>
    <n v="5002359"/>
    <s v="EMPRESA BRASILEIRA DE CORREIOS E"/>
    <n v="74.94"/>
    <d v="2025-07-23T00:00:00"/>
  </r>
  <r>
    <s v="Sem TR"/>
    <n v="64697167"/>
    <s v="ROB"/>
    <n v="9803470"/>
    <n v="25"/>
    <s v="OC. 80 - EXTRAVIO TOTAL"/>
    <s v="TRANSPORTADORA"/>
    <x v="0"/>
    <n v="82252"/>
    <x v="427"/>
    <s v="SP"/>
    <n v="934"/>
    <s v="CDP Ouro"/>
    <n v="1350"/>
    <s v="W10721980"/>
    <s v="Motores Ventiladores"/>
    <x v="1"/>
    <n v="1000"/>
    <n v="5004101"/>
    <s v="UNIDOCK'S ASSESSORIA E LOGISTICA DE"/>
    <n v="74.930000000000007"/>
    <d v="2025-01-22T00:00:00"/>
  </r>
  <r>
    <n v="254003851"/>
    <n v="64776181"/>
    <s v="REB"/>
    <n v="10046173"/>
    <n v="176"/>
    <s v="PEÇAS - Defeito de fabric./Interrompido"/>
    <s v="FUNCIONAL"/>
    <x v="1"/>
    <n v="3506"/>
    <x v="46"/>
    <s v="SP"/>
    <n v="931"/>
    <s v="Ats Off"/>
    <n v="1350"/>
    <s v="W11226018"/>
    <s v="Motores Ventiladores"/>
    <x v="1"/>
    <n v="1000"/>
    <n v="5004042"/>
    <s v="BRASIL WEB TRANSPORTES E LOGISTICA"/>
    <n v="74.89"/>
    <d v="2025-05-26T00:00:00"/>
  </r>
  <r>
    <n v="254031844"/>
    <n v="64796880"/>
    <s v="REB"/>
    <n v="10046173"/>
    <n v="176"/>
    <s v="PEÇAS - Defeito de fabric./Interrompido"/>
    <s v="FUNCIONAL"/>
    <x v="1"/>
    <n v="3506"/>
    <x v="46"/>
    <s v="SP"/>
    <n v="931"/>
    <s v="Ats Off"/>
    <n v="1350"/>
    <s v="W11226018"/>
    <s v="Motores Ventiladores"/>
    <x v="1"/>
    <n v="1000"/>
    <n v="5004042"/>
    <s v="BRASIL WEB TRANSPORTES E LOGISTICA"/>
    <n v="74.89"/>
    <d v="2025-06-24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856154"/>
    <s v="Capas"/>
    <x v="6"/>
    <n v="3000"/>
    <n v="5004101"/>
    <s v="UNIDOCK'S ASSESSORIA E LOGISTICA DE"/>
    <n v="74.81"/>
    <d v="2025-07-29T00:00:00"/>
  </r>
  <r>
    <n v="254021268"/>
    <n v="64798923"/>
    <s v="ZRDI"/>
    <n v="10071109"/>
    <n v="208"/>
    <s v="DEV-Atraso entrega- LOGISTICA(Transp)"/>
    <s v="TRANSPORTADORA"/>
    <x v="2"/>
    <n v="58067093"/>
    <x v="1603"/>
    <s v="RS"/>
    <n v="466"/>
    <s v="Sup ML Marketplace"/>
    <n v="1352"/>
    <s v="W10212144"/>
    <s v="Gavetas"/>
    <x v="9"/>
    <n v="1000"/>
    <n v="5002359"/>
    <s v="EMPRESA BRASILEIRA DE CORREIOS E"/>
    <n v="74.73"/>
    <d v="2025-06-26T00:00:00"/>
  </r>
  <r>
    <n v="254021268"/>
    <n v="64798923"/>
    <s v="ZRDI"/>
    <n v="10071109"/>
    <n v="208"/>
    <s v="DEV-Atraso entrega- LOGISTICA(Transp)"/>
    <s v="TRANSPORTADORA"/>
    <x v="2"/>
    <n v="58067093"/>
    <x v="1603"/>
    <s v="RS"/>
    <n v="466"/>
    <s v="Sup ML Marketplace"/>
    <n v="1352"/>
    <s v="W10212144"/>
    <s v="Gavetas"/>
    <x v="9"/>
    <n v="1000"/>
    <n v="5002359"/>
    <s v="EMPRESA BRASILEIRA DE CORREIOS E"/>
    <n v="74.73"/>
    <d v="2025-06-26T00:00:00"/>
  </r>
  <r>
    <n v="254035906"/>
    <n v="64814026"/>
    <s v="ZRDI"/>
    <n v="10106066"/>
    <n v="208"/>
    <s v="DEV-Atraso entrega- LOGISTICA(Transp)"/>
    <s v="TRANSPORTADORA"/>
    <x v="2"/>
    <n v="53727145"/>
    <x v="1604"/>
    <s v="DF"/>
    <n v="474"/>
    <s v="Site Brastemp"/>
    <n v="1352"/>
    <s v="W10866789"/>
    <s v="Kits Instalação"/>
    <x v="7"/>
    <n v="1000"/>
    <n v="5002359"/>
    <s v="EMPRESA BRASILEIRA DE CORREIOS E"/>
    <n v="74.680000000000007"/>
    <d v="2025-07-21T00:00:00"/>
  </r>
  <r>
    <n v="253953766"/>
    <n v="64732094"/>
    <s v="REB"/>
    <n v="9854078"/>
    <n v="176"/>
    <s v="PEÇAS - Defeito de fabric./Interrompido"/>
    <s v="FUNCIONAL"/>
    <x v="2"/>
    <n v="24089"/>
    <x v="134"/>
    <s v="RJ"/>
    <n v="931"/>
    <s v="Ats Off"/>
    <n v="1350"/>
    <s v="W11112671"/>
    <s v="Interruptores horário"/>
    <x v="3"/>
    <n v="1000"/>
    <n v="5003176"/>
    <s v="J C THEDIN TRANSPORTES LTDA"/>
    <n v="74.650000000000006"/>
    <d v="2025-03-14T00:00:00"/>
  </r>
  <r>
    <n v="254012442"/>
    <n v="64789185"/>
    <s v="REB"/>
    <n v="9938289"/>
    <n v="178"/>
    <s v="PEÇAS -Defeito de fabric./Sem Compressão"/>
    <s v="FUNCIONAL"/>
    <x v="2"/>
    <n v="3652"/>
    <x v="51"/>
    <s v="SP"/>
    <n v="350"/>
    <s v="Ats On"/>
    <n v="1350"/>
    <s v="W10699240"/>
    <s v="Filtro Secadores"/>
    <x v="0"/>
    <n v="9000"/>
    <n v="5004042"/>
    <s v="BRASIL WEB TRANSPORTES E LOGISTICA"/>
    <n v="74.430000000000007"/>
    <d v="2025-06-10T00:00:00"/>
  </r>
  <r>
    <n v="254024661"/>
    <n v="64804764"/>
    <s v="ZRDI"/>
    <n v="10103429"/>
    <n v="208"/>
    <s v="DEV-Atraso entrega- LOGISTICA(Transp)"/>
    <s v="TRANSPORTADORA"/>
    <x v="2"/>
    <n v="58114431"/>
    <x v="1605"/>
    <s v="RS"/>
    <n v="474"/>
    <s v="Site Brastemp"/>
    <n v="1352"/>
    <n v="326043145"/>
    <s v="Filtros"/>
    <x v="5"/>
    <n v="1000"/>
    <n v="5002359"/>
    <s v="EMPRESA BRASILEIRA DE CORREIOS E"/>
    <n v="74.36"/>
    <d v="2025-07-02T00:00:00"/>
  </r>
  <r>
    <n v="254024661"/>
    <n v="64804764"/>
    <s v="ZRDI"/>
    <n v="10103429"/>
    <n v="208"/>
    <s v="DEV-Atraso entrega- LOGISTICA(Transp)"/>
    <s v="TRANSPORTADORA"/>
    <x v="2"/>
    <n v="58114431"/>
    <x v="1605"/>
    <s v="RS"/>
    <n v="474"/>
    <s v="Site Brastemp"/>
    <n v="1352"/>
    <n v="326043145"/>
    <s v="Filtros"/>
    <x v="5"/>
    <n v="1000"/>
    <n v="5002359"/>
    <s v="EMPRESA BRASILEIRA DE CORREIOS E"/>
    <n v="74.36"/>
    <d v="2025-07-02T00:00:00"/>
  </r>
  <r>
    <s v="Sem TR"/>
    <n v="64808171"/>
    <s v="ZRDI"/>
    <n v="10121487"/>
    <s v="D10"/>
    <s v="DEV D2C - Comprou modelo errado"/>
    <s v="COMERCIAL"/>
    <x v="2"/>
    <n v="58133788"/>
    <x v="1606"/>
    <s v="SP"/>
    <n v="475"/>
    <s v="Site Consul"/>
    <n v="1352"/>
    <s v="W10758939"/>
    <s v="Prateleiras"/>
    <x v="9"/>
    <n v="1000"/>
    <n v="5002359"/>
    <s v="EMPRESA BRASILEIRA DE CORREIOS E"/>
    <n v="74.33"/>
    <d v="2025-07-15T00:00:00"/>
  </r>
  <r>
    <n v="253970732"/>
    <n v="64748544"/>
    <s v="REB"/>
    <n v="9626263"/>
    <n v="173"/>
    <s v="PEÇAS - Defeito de fabric./Alta Amperage"/>
    <s v="FUNCIONAL"/>
    <x v="1"/>
    <n v="13757"/>
    <x v="14"/>
    <s v="SP"/>
    <n v="713"/>
    <s v="Key Account"/>
    <n v="1350"/>
    <s v="W11369860"/>
    <s v="Motores Ventiladores"/>
    <x v="1"/>
    <n v="1000"/>
    <n v="5004042"/>
    <s v="BRASIL WEB TRANSPORTES E LOGISTICA"/>
    <n v="74.2"/>
    <d v="2025-04-09T00:00:00"/>
  </r>
  <r>
    <s v="Sem TR"/>
    <n v="64804102"/>
    <s v="ZRDI"/>
    <n v="10089048"/>
    <s v="D10"/>
    <s v="DEV D2C - Comprou modelo errado"/>
    <s v="COMERCIAL"/>
    <x v="2"/>
    <n v="54855053"/>
    <x v="1607"/>
    <s v="RJ"/>
    <n v="475"/>
    <s v="Site Consul"/>
    <n v="1352"/>
    <n v="326014379"/>
    <s v="Prateleiras"/>
    <x v="9"/>
    <n v="1000"/>
    <n v="5002359"/>
    <s v="EMPRESA BRASILEIRA DE CORREIOS E"/>
    <n v="74.180000000000007"/>
    <d v="2025-07-14T00:00:00"/>
  </r>
  <r>
    <s v="Sem TR"/>
    <n v="64804102"/>
    <s v="ZRDI"/>
    <n v="10089048"/>
    <s v="D10"/>
    <s v="DEV D2C - Comprou modelo errado"/>
    <s v="COMERCIAL"/>
    <x v="2"/>
    <n v="54855053"/>
    <x v="1607"/>
    <s v="RJ"/>
    <n v="475"/>
    <s v="Site Consul"/>
    <n v="1352"/>
    <n v="326014379"/>
    <s v="Prateleiras"/>
    <x v="9"/>
    <n v="1000"/>
    <n v="5002359"/>
    <s v="EMPRESA BRASILEIRA DE CORREIOS E"/>
    <n v="74.180000000000007"/>
    <d v="2025-07-14T00:00:00"/>
  </r>
  <r>
    <s v="Sem TR"/>
    <n v="64803966"/>
    <s v="ZRDI"/>
    <n v="10099854"/>
    <s v="D10"/>
    <s v="DEV D2C - Comprou modelo errado"/>
    <s v="COMERCIAL"/>
    <x v="2"/>
    <n v="58110845"/>
    <x v="1608"/>
    <s v="SP"/>
    <n v="466"/>
    <s v="Sup ML Marketplace"/>
    <n v="1352"/>
    <s v="W10246170"/>
    <s v="Prateleiras"/>
    <x v="9"/>
    <n v="1000"/>
    <n v="5002359"/>
    <s v="EMPRESA BRASILEIRA DE CORREIOS E"/>
    <n v="74.150000000000006"/>
    <d v="2025-07-02T00:00:00"/>
  </r>
  <r>
    <s v="Sem TR"/>
    <n v="64817743"/>
    <s v="ROB"/>
    <n v="10110645"/>
    <n v="25"/>
    <s v="OC. 80 - EXTRAVIO TOTAL"/>
    <s v="TRANSPORTADORA"/>
    <x v="0"/>
    <n v="2374"/>
    <x v="242"/>
    <s v="MG"/>
    <n v="350"/>
    <s v="Ats On"/>
    <n v="1350"/>
    <s v="W10647948"/>
    <s v="Suportes"/>
    <x v="6"/>
    <n v="6000"/>
    <n v="5004101"/>
    <s v="UNIDOCK'S ASSESSORIA E LOGISTICA DE"/>
    <n v="74.150000000000006"/>
    <d v="2025-07-25T00:00:00"/>
  </r>
  <r>
    <s v="Sem TR"/>
    <n v="64805866"/>
    <s v="ZRDI"/>
    <n v="10103228"/>
    <s v="D31"/>
    <s v="DEV D2C - Defeito estético manufatura"/>
    <s v="MANUFATURA"/>
    <x v="2"/>
    <n v="58114381"/>
    <x v="1609"/>
    <s v="SC"/>
    <n v="475"/>
    <s v="Site Consul"/>
    <n v="1352"/>
    <s v="W11375477"/>
    <s v="Prateleiras"/>
    <x v="9"/>
    <n v="1000"/>
    <n v="5002359"/>
    <s v="EMPRESA BRASILEIRA DE CORREIOS E"/>
    <n v="74.13"/>
    <d v="2025-07-05T00:00:00"/>
  </r>
  <r>
    <n v="254024647"/>
    <n v="64804748"/>
    <s v="ZRDI"/>
    <n v="10094328"/>
    <n v="208"/>
    <s v="DEV-Atraso entrega- LOGISTICA(Transp)"/>
    <s v="TRANSPORTADORA"/>
    <x v="2"/>
    <n v="56734729"/>
    <x v="1610"/>
    <s v="RJ"/>
    <n v="475"/>
    <s v="Site Consul"/>
    <n v="1352"/>
    <s v="W10212144"/>
    <s v="Gavetas"/>
    <x v="9"/>
    <n v="1000"/>
    <n v="5002359"/>
    <s v="EMPRESA BRASILEIRA DE CORREIOS E"/>
    <n v="74.12"/>
    <d v="2025-07-02T00:00:00"/>
  </r>
  <r>
    <n v="254035434"/>
    <n v="64812319"/>
    <s v="REB"/>
    <n v="9987847"/>
    <n v="173"/>
    <s v="PEÇAS - Defeito de fabric./Alta Amperage"/>
    <s v="FUNCIONAL"/>
    <x v="1"/>
    <n v="80833"/>
    <x v="132"/>
    <s v="PR"/>
    <n v="644"/>
    <s v="Plus"/>
    <n v="1350"/>
    <s v="W10405579"/>
    <s v="Bombas"/>
    <x v="1"/>
    <n v="1000"/>
    <n v="5003024"/>
    <s v="RODOBRAS TRANSPORTES RODOVIARIOS LT"/>
    <n v="74.099999999999994"/>
    <d v="2025-07-17T00:00:00"/>
  </r>
  <r>
    <s v="Sem TR"/>
    <n v="64813169"/>
    <s v="ZRDI"/>
    <n v="10128485"/>
    <s v="D10"/>
    <s v="DEV D2C - Comprou modelo errado"/>
    <s v="COMERCIAL"/>
    <x v="2"/>
    <n v="58140712"/>
    <x v="1611"/>
    <s v="SP"/>
    <n v="475"/>
    <s v="Site Consul"/>
    <n v="1352"/>
    <s v="W10816564"/>
    <s v="Capas Queimadores"/>
    <x v="12"/>
    <n v="3000"/>
    <n v="5002359"/>
    <s v="EMPRESA BRASILEIRA DE CORREIOS E"/>
    <n v="74.010000000000005"/>
    <d v="2025-07-18T00:00:00"/>
  </r>
  <r>
    <s v="Sem TR"/>
    <n v="64813169"/>
    <s v="ZRDI"/>
    <n v="10128485"/>
    <s v="D10"/>
    <s v="DEV D2C - Comprou modelo errado"/>
    <s v="COMERCIAL"/>
    <x v="2"/>
    <n v="58140712"/>
    <x v="1611"/>
    <s v="SP"/>
    <n v="475"/>
    <s v="Site Consul"/>
    <n v="1352"/>
    <s v="W10816564"/>
    <s v="Capas Queimadores"/>
    <x v="12"/>
    <n v="3000"/>
    <n v="5002359"/>
    <s v="EMPRESA BRASILEIRA DE CORREIOS E"/>
    <n v="74.010000000000005"/>
    <d v="2025-07-18T00:00:00"/>
  </r>
  <r>
    <n v="253970690"/>
    <n v="64748229"/>
    <s v="REB"/>
    <n v="9933313"/>
    <n v="176"/>
    <s v="PEÇAS - Defeito de fabric./Interrompido"/>
    <s v="FUNCIONAL"/>
    <x v="2"/>
    <n v="3506"/>
    <x v="46"/>
    <s v="SP"/>
    <n v="931"/>
    <s v="Ats Off"/>
    <n v="1350"/>
    <s v="W10371888"/>
    <s v="Painéis Decorativos"/>
    <x v="6"/>
    <n v="1000"/>
    <n v="5004042"/>
    <s v="BRASIL WEB TRANSPORTES E LOGISTICA"/>
    <n v="73.989999999999995"/>
    <d v="2025-04-09T00:00:00"/>
  </r>
  <r>
    <s v="Sem TR"/>
    <n v="64802498"/>
    <s v="ZRDI"/>
    <n v="10065633"/>
    <s v="D25"/>
    <s v="DEV D2C - Prob na entrega (Não recebi)"/>
    <s v="TRANSPORTADORA"/>
    <x v="2"/>
    <n v="58060658"/>
    <x v="1128"/>
    <s v="PE"/>
    <n v="475"/>
    <s v="Site Consul"/>
    <n v="1352"/>
    <s v="W10743265"/>
    <s v="Lâmpadas"/>
    <x v="1"/>
    <n v="1000"/>
    <n v="5002359"/>
    <s v="EMPRESA BRASILEIRA DE CORREIOS E"/>
    <n v="73.959999999999994"/>
    <d v="2025-07-01T00:00:00"/>
  </r>
  <r>
    <s v="Sem TR"/>
    <n v="64802498"/>
    <s v="ZRDI"/>
    <n v="10065633"/>
    <s v="D25"/>
    <s v="DEV D2C - Prob na entrega (Não recebi)"/>
    <s v="TRANSPORTADORA"/>
    <x v="2"/>
    <n v="58060658"/>
    <x v="1128"/>
    <s v="PE"/>
    <n v="475"/>
    <s v="Site Consul"/>
    <n v="1352"/>
    <s v="W10743265"/>
    <s v="Lâmpadas"/>
    <x v="1"/>
    <n v="1000"/>
    <n v="5002359"/>
    <s v="EMPRESA BRASILEIRA DE CORREIOS E"/>
    <n v="73.959999999999994"/>
    <d v="2025-07-01T00:00:00"/>
  </r>
  <r>
    <n v="254038294"/>
    <n v="64814864"/>
    <s v="REB"/>
    <n v="9792989"/>
    <n v="176"/>
    <s v="PEÇAS - Defeito de fabric./Interrompido"/>
    <s v="FUNCIONAL"/>
    <x v="1"/>
    <n v="4318"/>
    <x v="89"/>
    <s v="SC"/>
    <n v="931"/>
    <s v="Ats Off"/>
    <n v="1350"/>
    <s v="W11396188"/>
    <s v="Placas de Interface"/>
    <x v="1"/>
    <n v="1000"/>
    <n v="5003024"/>
    <s v="RODOBRAS TRANSPORTES RODOVIARIOS LT"/>
    <n v="73.900000000000006"/>
    <d v="2025-07-22T00:00:00"/>
  </r>
  <r>
    <s v="Sem TR"/>
    <n v="64811610"/>
    <s v="REB"/>
    <n v="10110094"/>
    <n v="167"/>
    <s v="PEÇAS - Avaria - Quebrada/Depósito"/>
    <s v="LOGÍSTICA"/>
    <x v="1"/>
    <n v="25656"/>
    <x v="173"/>
    <s v="SP"/>
    <n v="931"/>
    <s v="Ats Off"/>
    <n v="1350"/>
    <s v="W10830936"/>
    <s v="Prateleiras"/>
    <x v="9"/>
    <n v="1000"/>
    <n v="5004042"/>
    <s v="BRASIL WEB TRANSPORTES E LOGISTICA"/>
    <n v="73.849999999999994"/>
    <d v="2025-07-17T00:00:00"/>
  </r>
  <r>
    <n v="253981411"/>
    <n v="64757970"/>
    <s v="REB"/>
    <n v="9982883"/>
    <n v="167"/>
    <s v="PEÇAS - Avaria - Quebrada/Depósito"/>
    <s v="LOGÍSTICA"/>
    <x v="2"/>
    <n v="25656"/>
    <x v="173"/>
    <s v="SP"/>
    <n v="931"/>
    <s v="Ats Off"/>
    <n v="1350"/>
    <s v="W10287534"/>
    <s v="Prateleiras"/>
    <x v="9"/>
    <n v="2000"/>
    <n v="5004042"/>
    <s v="BRASIL WEB TRANSPORTES E LOGISTICA"/>
    <n v="73.849999999999994"/>
    <d v="2025-04-25T00:00:00"/>
  </r>
  <r>
    <n v="254024687"/>
    <n v="64804780"/>
    <s v="ZRDI"/>
    <n v="10059671"/>
    <n v="208"/>
    <s v="DEV-Atraso entrega- LOGISTICA(Transp)"/>
    <s v="TRANSPORTADORA"/>
    <x v="2"/>
    <n v="58054848"/>
    <x v="1612"/>
    <s v="BA"/>
    <n v="475"/>
    <s v="Site Consul"/>
    <n v="1352"/>
    <s v="W10866789"/>
    <s v="Kits Instalação"/>
    <x v="7"/>
    <n v="1000"/>
    <n v="5002359"/>
    <s v="EMPRESA BRASILEIRA DE CORREIOS E"/>
    <n v="73.83"/>
    <d v="2025-07-02T00:00:00"/>
  </r>
  <r>
    <n v="253970750"/>
    <n v="64748366"/>
    <s v="REB"/>
    <n v="9658639"/>
    <n v="176"/>
    <s v="PEÇAS - Defeito de fabric./Interrompido"/>
    <s v="FUNCIONAL"/>
    <x v="2"/>
    <n v="24089"/>
    <x v="134"/>
    <s v="RJ"/>
    <n v="931"/>
    <s v="Ats Off"/>
    <n v="1350"/>
    <s v="W11389753"/>
    <s v="Capas"/>
    <x v="6"/>
    <n v="1000"/>
    <n v="5003176"/>
    <s v="J C THEDIN TRANSPORTES LTDA"/>
    <n v="73.81"/>
    <d v="2025-04-09T00:00:00"/>
  </r>
  <r>
    <s v="Sem TR"/>
    <n v="64690939"/>
    <s v="REB"/>
    <n v="9764439"/>
    <n v="671"/>
    <s v="DEV-ENVIADO PARA GESTÃO DE CONSEQUENCIA"/>
    <s v="TRANSPORTADORA"/>
    <x v="1"/>
    <n v="28181"/>
    <x v="566"/>
    <s v="GO"/>
    <n v="643"/>
    <s v="Elite"/>
    <n v="1350"/>
    <s v="W10581058"/>
    <s v="Gavetas"/>
    <x v="9"/>
    <n v="1000"/>
    <n v="5002858"/>
    <s v="FAVORITA TRANSPORTES LTDA"/>
    <n v="73.81"/>
    <d v="2025-01-14T00:00:00"/>
  </r>
  <r>
    <n v="254004042"/>
    <n v="64778182"/>
    <s v="REB"/>
    <n v="10018018"/>
    <n v="173"/>
    <s v="PEÇAS - Defeito de fabric./Alta Amperage"/>
    <s v="FUNCIONAL"/>
    <x v="1"/>
    <n v="67948"/>
    <x v="15"/>
    <s v="SC"/>
    <n v="713"/>
    <s v="Key Account"/>
    <n v="1350"/>
    <s v="W11352536"/>
    <s v="Placas de Controle"/>
    <x v="1"/>
    <n v="1000"/>
    <n v="5003024"/>
    <s v="RODOBRAS TRANSPORTES RODOVIARIOS LT"/>
    <n v="73.75"/>
    <d v="2025-05-26T00:00:00"/>
  </r>
  <r>
    <s v="Sem TR"/>
    <n v="64811417"/>
    <s v="REB"/>
    <n v="10114831"/>
    <n v="167"/>
    <s v="PEÇAS - Avaria - Quebrada/Depósito"/>
    <s v="LOGÍSTICA"/>
    <x v="1"/>
    <n v="64523"/>
    <x v="21"/>
    <s v="PB"/>
    <n v="713"/>
    <s v="Key Account"/>
    <n v="1350"/>
    <s v="W10477178"/>
    <s v="Capas"/>
    <x v="6"/>
    <n v="4000"/>
    <n v="5004101"/>
    <s v="UNIDOCK'S ASSESSORIA E LOGISTICA DE"/>
    <n v="73.709999999999994"/>
    <d v="2025-07-22T00:00:00"/>
  </r>
  <r>
    <n v="254032512"/>
    <n v="64811476"/>
    <s v="ZRDI"/>
    <n v="10090933"/>
    <n v="208"/>
    <s v="DEV-Atraso entrega- LOGISTICA(Transp)"/>
    <s v="TRANSPORTADORA"/>
    <x v="2"/>
    <n v="55291369"/>
    <x v="1613"/>
    <s v="SC"/>
    <n v="474"/>
    <s v="Site Brastemp"/>
    <n v="1352"/>
    <n v="326043145"/>
    <s v="Filtros"/>
    <x v="5"/>
    <n v="1000"/>
    <n v="5002359"/>
    <s v="EMPRESA BRASILEIRA DE CORREIOS E"/>
    <n v="73.62"/>
    <d v="2025-07-16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0333433"/>
    <s v="Painéis de Controle"/>
    <x v="6"/>
    <n v="1000"/>
    <n v="5002359"/>
    <s v="EMPRESA BRASILEIRA DE CORREIOS E"/>
    <n v="73.569999999999993"/>
    <d v="2025-07-11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1611482"/>
    <s v="Placas de Controle"/>
    <x v="1"/>
    <n v="1000"/>
    <n v="5004101"/>
    <s v="UNIDOCK'S ASSESSORIA E LOGISTICA DE"/>
    <n v="73.33"/>
    <d v="2025-07-16T00:00:00"/>
  </r>
  <r>
    <s v="Sem TR"/>
    <n v="64803281"/>
    <s v="ZRDI"/>
    <n v="10107508"/>
    <s v="D10"/>
    <s v="DEV D2C - Comprou modelo errado"/>
    <s v="COMERCIAL"/>
    <x v="2"/>
    <n v="51961894"/>
    <x v="1614"/>
    <s v="SP"/>
    <n v="474"/>
    <s v="Site Brastemp"/>
    <n v="1352"/>
    <s v="W10866789"/>
    <s v="Kits Instalação"/>
    <x v="7"/>
    <n v="1000"/>
    <n v="5002359"/>
    <s v="EMPRESA BRASILEIRA DE CORREIOS E"/>
    <n v="73.3"/>
    <d v="2025-07-01T00:00:00"/>
  </r>
  <r>
    <s v="Sem TR"/>
    <n v="64804088"/>
    <s v="ZRDI"/>
    <n v="10112250"/>
    <s v="D18"/>
    <s v="DEV D2C - Arrependimento não quero mais"/>
    <s v="COMERCIAL"/>
    <x v="2"/>
    <n v="57639602"/>
    <x v="1615"/>
    <s v="SP"/>
    <n v="474"/>
    <s v="Site Brastemp"/>
    <n v="1352"/>
    <s v="W10866789"/>
    <s v="Kits Instalação"/>
    <x v="7"/>
    <n v="1000"/>
    <n v="5002359"/>
    <s v="EMPRESA BRASILEIRA DE CORREIOS E"/>
    <n v="73.3"/>
    <d v="2025-07-08T00:00:00"/>
  </r>
  <r>
    <s v="Sem TR"/>
    <n v="64811523"/>
    <s v="ZRDI"/>
    <n v="10112361"/>
    <n v="208"/>
    <s v="DEV-Atraso entrega- LOGISTICA(Transp)"/>
    <s v="TRANSPORTADORA"/>
    <x v="2"/>
    <n v="58124494"/>
    <x v="1616"/>
    <s v="SP"/>
    <n v="474"/>
    <s v="Site Brastemp"/>
    <n v="1352"/>
    <s v="W10866789"/>
    <s v="Kits Instalação"/>
    <x v="7"/>
    <n v="1000"/>
    <n v="5002359"/>
    <s v="EMPRESA BRASILEIRA DE CORREIOS E"/>
    <n v="73.3"/>
    <d v="2025-07-16T00:00:00"/>
  </r>
  <r>
    <n v="254036641"/>
    <n v="64814537"/>
    <s v="ZRDI"/>
    <n v="10107660"/>
    <n v="208"/>
    <s v="DEV-Atraso entrega- LOGISTICA(Transp)"/>
    <s v="TRANSPORTADORA"/>
    <x v="2"/>
    <n v="58119713"/>
    <x v="1617"/>
    <s v="SP"/>
    <n v="474"/>
    <s v="Site Brastemp"/>
    <n v="1352"/>
    <s v="W10866789"/>
    <s v="Kits Instalação"/>
    <x v="7"/>
    <n v="1000"/>
    <n v="5002359"/>
    <s v="EMPRESA BRASILEIRA DE CORREIOS E"/>
    <n v="73.3"/>
    <d v="2025-07-22T00:00:00"/>
  </r>
  <r>
    <n v="254039287"/>
    <n v="64817226"/>
    <s v="ZRDI"/>
    <n v="10141800"/>
    <n v="208"/>
    <s v="DEV-Atraso entrega- LOGISTICA(Transp)"/>
    <s v="TRANSPORTADORA"/>
    <x v="2"/>
    <n v="51441343"/>
    <x v="820"/>
    <s v="SP"/>
    <n v="474"/>
    <s v="Site Brastemp"/>
    <n v="1352"/>
    <s v="W10866789"/>
    <s v="Kits Instalação"/>
    <x v="7"/>
    <n v="1000"/>
    <n v="5002359"/>
    <s v="EMPRESA BRASILEIRA DE CORREIOS E"/>
    <n v="73.3"/>
    <d v="2025-07-24T00:00:00"/>
  </r>
  <r>
    <n v="254040404"/>
    <n v="64818308"/>
    <s v="ZRDI"/>
    <n v="10107501"/>
    <n v="208"/>
    <s v="DEV-Atraso entrega- LOGISTICA(Transp)"/>
    <s v="TRANSPORTADORA"/>
    <x v="2"/>
    <n v="51493993"/>
    <x v="1618"/>
    <s v="SP"/>
    <n v="474"/>
    <s v="Site Brastemp"/>
    <n v="1352"/>
    <s v="W10866789"/>
    <s v="Kits Instalação"/>
    <x v="7"/>
    <n v="1000"/>
    <n v="5002359"/>
    <s v="EMPRESA BRASILEIRA DE CORREIOS E"/>
    <n v="73.3"/>
    <d v="2025-07-26T00:00:00"/>
  </r>
  <r>
    <s v="Sem TR"/>
    <n v="64803281"/>
    <s v="ZRDI"/>
    <n v="10107508"/>
    <s v="D10"/>
    <s v="DEV D2C - Comprou modelo errado"/>
    <s v="COMERCIAL"/>
    <x v="2"/>
    <n v="51961894"/>
    <x v="1614"/>
    <s v="SP"/>
    <n v="474"/>
    <s v="Site Brastemp"/>
    <n v="1352"/>
    <s v="W10866789"/>
    <s v="Kits Instalação"/>
    <x v="7"/>
    <n v="1000"/>
    <n v="5002359"/>
    <s v="EMPRESA BRASILEIRA DE CORREIOS E"/>
    <n v="73.3"/>
    <d v="2025-07-01T00:00:00"/>
  </r>
  <r>
    <n v="254039287"/>
    <n v="64817226"/>
    <s v="ZRDI"/>
    <n v="10141800"/>
    <n v="208"/>
    <s v="DEV-Atraso entrega- LOGISTICA(Transp)"/>
    <s v="TRANSPORTADORA"/>
    <x v="2"/>
    <n v="51441343"/>
    <x v="820"/>
    <s v="SP"/>
    <n v="474"/>
    <s v="Site Brastemp"/>
    <n v="1352"/>
    <s v="W10866789"/>
    <s v="Kits Instalação"/>
    <x v="7"/>
    <n v="1000"/>
    <n v="5002359"/>
    <s v="EMPRESA BRASILEIRA DE CORREIOS E"/>
    <n v="73.3"/>
    <d v="2025-07-24T00:00:00"/>
  </r>
  <r>
    <n v="254040404"/>
    <n v="64818308"/>
    <s v="ZRDI"/>
    <n v="10107501"/>
    <n v="208"/>
    <s v="DEV-Atraso entrega- LOGISTICA(Transp)"/>
    <s v="TRANSPORTADORA"/>
    <x v="2"/>
    <n v="51493993"/>
    <x v="1618"/>
    <s v="SP"/>
    <n v="474"/>
    <s v="Site Brastemp"/>
    <n v="1352"/>
    <s v="W10866789"/>
    <s v="Kits Instalação"/>
    <x v="7"/>
    <n v="1000"/>
    <n v="5002359"/>
    <s v="EMPRESA BRASILEIRA DE CORREIOS E"/>
    <n v="73.3"/>
    <d v="2025-07-26T00:00:00"/>
  </r>
  <r>
    <s v="Sem TR"/>
    <n v="64814024"/>
    <s v="ZRDI"/>
    <n v="10103526"/>
    <n v="208"/>
    <s v="DEV-Atraso entrega- LOGISTICA(Transp)"/>
    <s v="TRANSPORTADORA"/>
    <x v="2"/>
    <n v="51806303"/>
    <x v="1197"/>
    <s v="SP"/>
    <n v="475"/>
    <s v="Site Consul"/>
    <n v="1352"/>
    <s v="W10169457"/>
    <s v="Prateleiras"/>
    <x v="9"/>
    <n v="1000"/>
    <n v="5002359"/>
    <s v="EMPRESA BRASILEIRA DE CORREIOS E"/>
    <n v="73.28"/>
    <d v="2025-07-21T00:00:00"/>
  </r>
  <r>
    <s v="Sem TR"/>
    <n v="64768427"/>
    <s v="ROB"/>
    <n v="50590"/>
    <n v="671"/>
    <s v="DEV-ENVIADO PARA GESTÃO DE CONSEQUENCIA"/>
    <s v="TRANSPORTADORA"/>
    <x v="2"/>
    <n v="47997"/>
    <x v="593"/>
    <s v="BA"/>
    <n v="350"/>
    <s v="Ats On"/>
    <n v="1550"/>
    <s v="W11369860"/>
    <s v="Motores Ventiladores"/>
    <x v="1"/>
    <n v="1000"/>
    <n v="5004391"/>
    <s v="JEONCEL TRANSPORTES LTDA"/>
    <n v="73.23"/>
    <d v="2025-05-12T00:00:00"/>
  </r>
  <r>
    <n v="253970899"/>
    <n v="64737907"/>
    <s v="REB"/>
    <n v="9855651"/>
    <n v="173"/>
    <s v="PEÇAS - Defeito de fabric./Alta Amperage"/>
    <s v="FUNCIONAL"/>
    <x v="2"/>
    <n v="64522"/>
    <x v="158"/>
    <s v="SP"/>
    <n v="643"/>
    <s v="Elite"/>
    <n v="1350"/>
    <s v="W10678923"/>
    <s v="Placas de Controle"/>
    <x v="1"/>
    <n v="1000"/>
    <n v="5004042"/>
    <s v="BRASIL WEB TRANSPORTES E LOGISTICA"/>
    <n v="73.16"/>
    <d v="2025-04-09T00:00:00"/>
  </r>
  <r>
    <s v="Sem TR"/>
    <n v="64804286"/>
    <s v="ZRDI"/>
    <n v="10100673"/>
    <s v="D10"/>
    <s v="DEV D2C - Comprou modelo errado"/>
    <s v="COMERCIAL"/>
    <x v="2"/>
    <n v="53485062"/>
    <x v="1619"/>
    <s v="SC"/>
    <n v="475"/>
    <s v="Site Consul"/>
    <n v="1352"/>
    <s v="W10246170"/>
    <s v="Prateleiras"/>
    <x v="9"/>
    <n v="1000"/>
    <n v="5002359"/>
    <s v="EMPRESA BRASILEIRA DE CORREIOS E"/>
    <n v="73.14"/>
    <d v="2025-07-04T00:00:00"/>
  </r>
  <r>
    <s v="Sem TR"/>
    <n v="64809138"/>
    <s v="ZRDI"/>
    <n v="10103986"/>
    <s v="D10"/>
    <s v="DEV D2C - Comprou modelo errado"/>
    <s v="COMERCIAL"/>
    <x v="2"/>
    <n v="53749053"/>
    <x v="1620"/>
    <s v="MS"/>
    <n v="475"/>
    <s v="Site Consul"/>
    <n v="1352"/>
    <s v="W10246170"/>
    <s v="Prateleiras"/>
    <x v="9"/>
    <n v="1000"/>
    <n v="5002359"/>
    <s v="EMPRESA BRASILEIRA DE CORREIOS E"/>
    <n v="73.14"/>
    <d v="2025-07-15T00:00:00"/>
  </r>
  <r>
    <s v="Sem TR"/>
    <n v="64809138"/>
    <s v="ZRDI"/>
    <n v="10103986"/>
    <s v="D10"/>
    <s v="DEV D2C - Comprou modelo errado"/>
    <s v="COMERCIAL"/>
    <x v="2"/>
    <n v="53749053"/>
    <x v="1620"/>
    <s v="MS"/>
    <n v="475"/>
    <s v="Site Consul"/>
    <n v="1352"/>
    <s v="W10246170"/>
    <s v="Prateleiras"/>
    <x v="9"/>
    <n v="1000"/>
    <n v="5002359"/>
    <s v="EMPRESA BRASILEIRA DE CORREIOS E"/>
    <n v="73.14"/>
    <d v="2025-07-15T00:00:00"/>
  </r>
  <r>
    <s v="Sem TR"/>
    <n v="64799750"/>
    <s v="ZRDI"/>
    <n v="10103520"/>
    <s v="D10"/>
    <s v="DEV D2C - Comprou modelo errado"/>
    <s v="COMERCIAL"/>
    <x v="2"/>
    <n v="50335955"/>
    <x v="1621"/>
    <s v="SP"/>
    <n v="475"/>
    <s v="Site Consul"/>
    <n v="1352"/>
    <s v="W10551258"/>
    <s v="Prateleiras"/>
    <x v="9"/>
    <n v="1000"/>
    <n v="5002359"/>
    <s v="EMPRESA BRASILEIRA DE CORREIOS E"/>
    <n v="73.12"/>
    <d v="2025-06-30T00:00:00"/>
  </r>
  <r>
    <n v="254032582"/>
    <n v="64811525"/>
    <s v="ZRDI"/>
    <n v="10112830"/>
    <n v="208"/>
    <s v="DEV-Atraso entrega- LOGISTICA(Transp)"/>
    <s v="TRANSPORTADORA"/>
    <x v="2"/>
    <n v="58124771"/>
    <x v="1622"/>
    <s v="RS"/>
    <n v="466"/>
    <s v="Sup ML Marketplace"/>
    <n v="1352"/>
    <n v="326043145"/>
    <s v="Filtros"/>
    <x v="5"/>
    <n v="1000"/>
    <n v="5002359"/>
    <s v="EMPRESA BRASILEIRA DE CORREIOS E"/>
    <n v="73.11"/>
    <d v="2025-07-16T00:00:00"/>
  </r>
  <r>
    <s v="Sem TR"/>
    <n v="64810648"/>
    <s v="ZRDI"/>
    <n v="10142747"/>
    <s v="D10"/>
    <s v="DEV D2C - Comprou modelo errado"/>
    <s v="COMERCIAL"/>
    <x v="2"/>
    <n v="58165863"/>
    <x v="1623"/>
    <s v="RJ"/>
    <n v="475"/>
    <s v="Site Consul"/>
    <n v="1352"/>
    <s v="W10246170"/>
    <s v="Prateleiras"/>
    <x v="9"/>
    <n v="1000"/>
    <n v="5002359"/>
    <s v="EMPRESA BRASILEIRA DE CORREIOS E"/>
    <n v="72.95"/>
    <d v="2025-07-22T00:00:00"/>
  </r>
  <r>
    <s v="Sem TR"/>
    <n v="64810648"/>
    <s v="ZRDI"/>
    <n v="10142747"/>
    <s v="D10"/>
    <s v="DEV D2C - Comprou modelo errado"/>
    <s v="COMERCIAL"/>
    <x v="2"/>
    <n v="58165863"/>
    <x v="1623"/>
    <s v="RJ"/>
    <n v="475"/>
    <s v="Site Consul"/>
    <n v="1352"/>
    <s v="W10246170"/>
    <s v="Prateleiras"/>
    <x v="9"/>
    <n v="1000"/>
    <n v="5002359"/>
    <s v="EMPRESA BRASILEIRA DE CORREIOS E"/>
    <n v="72.95"/>
    <d v="2025-07-22T00:00:00"/>
  </r>
  <r>
    <n v="253961280"/>
    <n v="64736548"/>
    <s v="REB"/>
    <n v="8755253"/>
    <n v="176"/>
    <s v="PEÇAS - Defeito de fabric./Interrompido"/>
    <s v="FUNCIONAL"/>
    <x v="1"/>
    <n v="27425"/>
    <x v="746"/>
    <s v="PA"/>
    <n v="641"/>
    <s v="CDP Diamante"/>
    <n v="1350"/>
    <s v="W11342617"/>
    <s v="Micro Chaves/Reed Switches"/>
    <x v="3"/>
    <n v="1000"/>
    <n v="5002858"/>
    <s v="FAVORITA TRANSPORTES LTDA"/>
    <n v="72.94"/>
    <d v="2025-03-26T00:00:00"/>
  </r>
  <r>
    <s v="Sem TR"/>
    <n v="64796933"/>
    <s v="ZRDI"/>
    <n v="10071750"/>
    <s v="D10"/>
    <s v="DEV D2C - Comprou modelo errado"/>
    <s v="COMERCIAL"/>
    <x v="2"/>
    <n v="54661221"/>
    <x v="1624"/>
    <s v="RJ"/>
    <n v="475"/>
    <s v="Site Consul"/>
    <n v="1352"/>
    <s v="W10246170"/>
    <s v="Prateleiras"/>
    <x v="9"/>
    <n v="1000"/>
    <n v="5002359"/>
    <s v="EMPRESA BRASILEIRA DE CORREIOS E"/>
    <n v="72.94"/>
    <d v="2025-06-27T00:00:00"/>
  </r>
  <r>
    <n v="254042511"/>
    <n v="64796941"/>
    <s v="REB"/>
    <n v="9846422"/>
    <n v="173"/>
    <s v="PEÇAS - Defeito de fabric./Alta Amperage"/>
    <s v="FUNCIONAL"/>
    <x v="0"/>
    <n v="37369"/>
    <x v="85"/>
    <s v="SC"/>
    <n v="932"/>
    <s v="CDP Prata"/>
    <n v="1350"/>
    <n v="326076083"/>
    <s v="Motores Ventiladores"/>
    <x v="1"/>
    <n v="1000"/>
    <n v="5003024"/>
    <s v="RODOBRAS TRANSPORTES RODOVIARIOS LT"/>
    <n v="72.94"/>
    <d v="2025-06-25T00:00:00"/>
  </r>
  <r>
    <n v="254042315"/>
    <n v="64748176"/>
    <s v="REB"/>
    <n v="9919985"/>
    <n v="173"/>
    <s v="PEÇAS - Defeito de fabric./Alta Amperage"/>
    <s v="FUNCIONAL"/>
    <x v="1"/>
    <n v="3236"/>
    <x v="45"/>
    <s v="SP"/>
    <n v="931"/>
    <s v="Ats Off"/>
    <n v="1350"/>
    <s v="W11226018"/>
    <s v="Motores Ventiladores"/>
    <x v="1"/>
    <n v="1000"/>
    <n v="5004042"/>
    <s v="BRASIL WEB TRANSPORTES E LOGISTICA"/>
    <n v="72.900000000000006"/>
    <d v="2025-04-09T00:00:00"/>
  </r>
  <r>
    <n v="254021283"/>
    <n v="64798929"/>
    <s v="ZRDI"/>
    <n v="10086257"/>
    <n v="208"/>
    <s v="DEV-Atraso entrega- LOGISTICA(Transp)"/>
    <s v="TRANSPORTADORA"/>
    <x v="2"/>
    <n v="52644652"/>
    <x v="1625"/>
    <s v="SP"/>
    <n v="474"/>
    <s v="Site Brastemp"/>
    <n v="1352"/>
    <s v="W10866789"/>
    <s v="Kits Instalação"/>
    <x v="7"/>
    <n v="1000"/>
    <n v="5002359"/>
    <s v="EMPRESA BRASILEIRA DE CORREIOS E"/>
    <n v="72.900000000000006"/>
    <d v="2025-06-26T00:00:00"/>
  </r>
  <r>
    <n v="254036806"/>
    <n v="64814720"/>
    <s v="ZRDI"/>
    <n v="10088161"/>
    <n v="208"/>
    <s v="DEV-Atraso entrega- LOGISTICA(Transp)"/>
    <s v="TRANSPORTADORA"/>
    <x v="2"/>
    <n v="58091257"/>
    <x v="1626"/>
    <s v="SP"/>
    <n v="474"/>
    <s v="Site Brastemp"/>
    <n v="1352"/>
    <s v="W10866789"/>
    <s v="Kits Instalação"/>
    <x v="7"/>
    <n v="1000"/>
    <n v="5002359"/>
    <s v="EMPRESA BRASILEIRA DE CORREIOS E"/>
    <n v="72.900000000000006"/>
    <d v="2025-07-22T00:00:00"/>
  </r>
  <r>
    <n v="253988926"/>
    <n v="64764074"/>
    <s v="REB"/>
    <n v="9962531"/>
    <n v="176"/>
    <s v="PEÇAS - Defeito de fabric./Interrompido"/>
    <s v="FUNCIONAL"/>
    <x v="2"/>
    <n v="80432"/>
    <x v="3"/>
    <s v="ES"/>
    <n v="713"/>
    <s v="Key Account"/>
    <n v="1350"/>
    <s v="W11023460"/>
    <s v="Placas de Controle"/>
    <x v="1"/>
    <n v="1000"/>
    <n v="5004042"/>
    <s v="BRASIL WEB TRANSPORTES E LOGISTICA"/>
    <n v="72.86"/>
    <d v="2025-05-05T00:00:00"/>
  </r>
  <r>
    <n v="253931116"/>
    <n v="64703771"/>
    <s v="REB"/>
    <n v="9842511"/>
    <n v="167"/>
    <s v="PEÇAS - Avaria - Quebrada/Depósito"/>
    <s v="LOGÍSTICA"/>
    <x v="1"/>
    <n v="44739"/>
    <x v="106"/>
    <s v="PR"/>
    <n v="931"/>
    <s v="Ats Off"/>
    <n v="1350"/>
    <s v="W11115537"/>
    <s v="Prateleiras"/>
    <x v="9"/>
    <n v="1000"/>
    <n v="5003024"/>
    <s v="RODOBRAS TRANSPORTES RODOVIARIOS LT"/>
    <n v="72.86"/>
    <d v="2025-01-31T00:00:00"/>
  </r>
  <r>
    <s v="Sem TR"/>
    <n v="64768413"/>
    <s v="ROB"/>
    <n v="50477"/>
    <n v="671"/>
    <s v="DEV-ENVIADO PARA GESTÃO DE CONSEQUENCIA"/>
    <s v="TRANSPORTADORA"/>
    <x v="2"/>
    <n v="31820"/>
    <x v="932"/>
    <s v="BA"/>
    <n v="350"/>
    <s v="Ats On"/>
    <n v="1550"/>
    <s v="W10678919"/>
    <s v="Placas de Controle"/>
    <x v="1"/>
    <n v="1000"/>
    <n v="5004391"/>
    <s v="JEONCEL TRANSPORTES LTDA"/>
    <n v="72.790000000000006"/>
    <d v="2025-05-12T00:00:00"/>
  </r>
  <r>
    <n v="254024139"/>
    <n v="64803771"/>
    <s v="ZRDI"/>
    <n v="10071176"/>
    <n v="208"/>
    <s v="DEV-Atraso entrega- LOGISTICA(Transp)"/>
    <s v="TRANSPORTADORA"/>
    <x v="2"/>
    <n v="54820637"/>
    <x v="927"/>
    <s v="MA"/>
    <n v="475"/>
    <s v="Site Consul"/>
    <n v="1352"/>
    <s v="W10212396"/>
    <s v="Prateleiras"/>
    <x v="9"/>
    <n v="1000"/>
    <n v="5002359"/>
    <s v="EMPRESA BRASILEIRA DE CORREIOS E"/>
    <n v="72.760000000000005"/>
    <d v="2025-07-01T00:00:00"/>
  </r>
  <r>
    <s v="Sem TR"/>
    <n v="64813169"/>
    <s v="ZRDI"/>
    <n v="10128485"/>
    <s v="D10"/>
    <s v="DEV D2C - Comprou modelo errado"/>
    <s v="COMERCIAL"/>
    <x v="2"/>
    <n v="58140712"/>
    <x v="1611"/>
    <s v="SP"/>
    <n v="475"/>
    <s v="Site Consul"/>
    <n v="1352"/>
    <s v="W10816563"/>
    <s v="Capas Queimadores"/>
    <x v="12"/>
    <n v="2000"/>
    <n v="5002359"/>
    <s v="EMPRESA BRASILEIRA DE CORREIOS E"/>
    <n v="72.760000000000005"/>
    <d v="2025-07-18T00:00:00"/>
  </r>
  <r>
    <s v="Sem TR"/>
    <n v="64813169"/>
    <s v="ZRDI"/>
    <n v="10128485"/>
    <s v="D10"/>
    <s v="DEV D2C - Comprou modelo errado"/>
    <s v="COMERCIAL"/>
    <x v="2"/>
    <n v="58140712"/>
    <x v="1611"/>
    <s v="SP"/>
    <n v="475"/>
    <s v="Site Consul"/>
    <n v="1352"/>
    <s v="W10816563"/>
    <s v="Capas Queimadores"/>
    <x v="12"/>
    <n v="2000"/>
    <n v="5002359"/>
    <s v="EMPRESA BRASILEIRA DE CORREIOS E"/>
    <n v="72.760000000000005"/>
    <d v="2025-07-18T00:00:00"/>
  </r>
  <r>
    <n v="254037064"/>
    <n v="64814985"/>
    <s v="ZRDI"/>
    <n v="10117937"/>
    <n v="208"/>
    <s v="DEV-Atraso entrega- LOGISTICA(Transp)"/>
    <s v="TRANSPORTADORA"/>
    <x v="2"/>
    <n v="58128181"/>
    <x v="1627"/>
    <s v="PR"/>
    <n v="474"/>
    <s v="Site Brastemp"/>
    <n v="1352"/>
    <s v="W10347202"/>
    <s v="Gavetas"/>
    <x v="9"/>
    <n v="1000"/>
    <n v="5002359"/>
    <s v="EMPRESA BRASILEIRA DE CORREIOS E"/>
    <n v="72.75"/>
    <d v="2025-07-22T00:00:00"/>
  </r>
  <r>
    <n v="254037064"/>
    <n v="64814985"/>
    <s v="ZRDI"/>
    <n v="10117937"/>
    <n v="208"/>
    <s v="DEV-Atraso entrega- LOGISTICA(Transp)"/>
    <s v="TRANSPORTADORA"/>
    <x v="2"/>
    <n v="58128181"/>
    <x v="1627"/>
    <s v="PR"/>
    <n v="474"/>
    <s v="Site Brastemp"/>
    <n v="1352"/>
    <s v="W10347202"/>
    <s v="Gavetas"/>
    <x v="9"/>
    <n v="1000"/>
    <n v="5002359"/>
    <s v="EMPRESA BRASILEIRA DE CORREIOS E"/>
    <n v="72.75"/>
    <d v="2025-07-22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1442772"/>
    <s v="Válvulas de Segurança"/>
    <x v="12"/>
    <n v="2000"/>
    <n v="5004101"/>
    <s v="UNIDOCK'S ASSESSORIA E LOGISTICA DE"/>
    <n v="72.7"/>
    <d v="2025-03-13T00:00:00"/>
  </r>
  <r>
    <s v="Sem TR"/>
    <n v="64816940"/>
    <s v="ZRDI"/>
    <n v="10084586"/>
    <s v="D25"/>
    <s v="DEV D2C - Prob na entrega (Não recebi)"/>
    <s v="TRANSPORTADORA"/>
    <x v="2"/>
    <n v="54364948"/>
    <x v="1628"/>
    <s v="MG"/>
    <n v="474"/>
    <s v="Site Brastemp"/>
    <n v="1352"/>
    <s v="W10347202"/>
    <s v="Gavetas"/>
    <x v="9"/>
    <n v="1000"/>
    <n v="5002359"/>
    <s v="EMPRESA BRASILEIRA DE CORREIOS E"/>
    <n v="72.67"/>
    <d v="2025-07-29T00:00:00"/>
  </r>
  <r>
    <s v="Sem TR"/>
    <n v="64816940"/>
    <s v="ZRDI"/>
    <n v="10084586"/>
    <s v="D25"/>
    <s v="DEV D2C - Prob na entrega (Não recebi)"/>
    <s v="TRANSPORTADORA"/>
    <x v="2"/>
    <n v="54364948"/>
    <x v="1628"/>
    <s v="MG"/>
    <n v="474"/>
    <s v="Site Brastemp"/>
    <n v="1352"/>
    <s v="W10347202"/>
    <s v="Gavetas"/>
    <x v="9"/>
    <n v="1000"/>
    <n v="5002359"/>
    <s v="EMPRESA BRASILEIRA DE CORREIOS E"/>
    <n v="72.67"/>
    <d v="2025-07-29T00:00:00"/>
  </r>
  <r>
    <n v="254032501"/>
    <n v="64811464"/>
    <s v="ZRDI"/>
    <n v="10061422"/>
    <n v="208"/>
    <s v="DEV-Atraso entrega- LOGISTICA(Transp)"/>
    <s v="TRANSPORTADORA"/>
    <x v="2"/>
    <n v="58056597"/>
    <x v="1629"/>
    <s v="RJ"/>
    <n v="474"/>
    <s v="Site Brastemp"/>
    <n v="1352"/>
    <s v="W10911543"/>
    <s v="Manípulos"/>
    <x v="6"/>
    <n v="3000"/>
    <n v="5002359"/>
    <s v="EMPRESA BRASILEIRA DE CORREIOS E"/>
    <n v="72.63"/>
    <d v="2025-07-16T00:00:00"/>
  </r>
  <r>
    <s v="Sem TR"/>
    <n v="64820229"/>
    <s v="ZRDI"/>
    <n v="10113928"/>
    <s v="D35"/>
    <s v="DEV D2C - Prod difere do comprado"/>
    <s v="COMERCIAL"/>
    <x v="1"/>
    <n v="51513997"/>
    <x v="1630"/>
    <s v="SP"/>
    <n v="474"/>
    <s v="Site Brastemp"/>
    <n v="1352"/>
    <s v="W10907728"/>
    <s v="Acessórios"/>
    <x v="7"/>
    <n v="1000"/>
    <n v="5002359"/>
    <s v="EMPRESA BRASILEIRA DE CORREIOS E"/>
    <n v="72.63"/>
    <d v="2025-07-30T00:00:00"/>
  </r>
  <r>
    <n v="254027702"/>
    <n v="64807257"/>
    <s v="ZRDI"/>
    <n v="10107497"/>
    <n v="208"/>
    <s v="DEV-Atraso entrega- LOGISTICA(Transp)"/>
    <s v="TRANSPORTADORA"/>
    <x v="2"/>
    <n v="51406379"/>
    <x v="1631"/>
    <s v="SP"/>
    <n v="474"/>
    <s v="Site Brastemp"/>
    <n v="1352"/>
    <s v="W10349302"/>
    <s v="Filtros"/>
    <x v="5"/>
    <n v="2000"/>
    <n v="5002359"/>
    <s v="EMPRESA BRASILEIRA DE CORREIOS E"/>
    <n v="72.5"/>
    <d v="2025-07-08T00:00:00"/>
  </r>
  <r>
    <n v="254029243"/>
    <n v="64808750"/>
    <s v="ZRDI"/>
    <n v="10065981"/>
    <n v="208"/>
    <s v="DEV-Atraso entrega- LOGISTICA(Transp)"/>
    <s v="TRANSPORTADORA"/>
    <x v="2"/>
    <n v="54568403"/>
    <x v="1632"/>
    <s v="ES"/>
    <n v="475"/>
    <s v="Site Consul"/>
    <n v="1352"/>
    <s v="W10212144"/>
    <s v="Gavetas"/>
    <x v="9"/>
    <n v="1000"/>
    <n v="5002359"/>
    <s v="EMPRESA BRASILEIRA DE CORREIOS E"/>
    <n v="72.430000000000007"/>
    <d v="2025-07-10T00:00:00"/>
  </r>
  <r>
    <s v="Sem TR"/>
    <n v="64808487"/>
    <s v="REB"/>
    <n v="10111619"/>
    <n v="509"/>
    <s v="Qtd de peças a Menor dentro do Volume"/>
    <s v="LOGÍSTICA"/>
    <x v="1"/>
    <n v="60342"/>
    <x v="31"/>
    <s v="BA"/>
    <n v="648"/>
    <s v="Ultra"/>
    <n v="1350"/>
    <s v="W11629019"/>
    <s v="Recipientes de Evaporação"/>
    <x v="9"/>
    <n v="5000"/>
    <n v="5002359"/>
    <s v="EMPRESA BRASILEIRA DE CORREIOS E"/>
    <n v="72.33"/>
    <d v="2025-07-17T00:00:00"/>
  </r>
  <r>
    <s v="Sem TR"/>
    <n v="64812280"/>
    <s v="REB"/>
    <n v="10111699"/>
    <n v="509"/>
    <s v="Qtd de peças a Menor dentro do Volume"/>
    <s v="LOGÍSTICA"/>
    <x v="1"/>
    <n v="47544"/>
    <x v="1633"/>
    <s v="SP"/>
    <n v="932"/>
    <s v="CDP Prata"/>
    <n v="1350"/>
    <s v="W10531315"/>
    <s v="Sensores"/>
    <x v="3"/>
    <n v="8000"/>
    <n v="5002359"/>
    <s v="EMPRESA BRASILEIRA DE CORREIOS E"/>
    <n v="72.33"/>
    <d v="2025-07-17T00:00:00"/>
  </r>
  <r>
    <n v="254042115"/>
    <n v="64796931"/>
    <s v="REB"/>
    <n v="9951762"/>
    <n v="173"/>
    <s v="PEÇAS - Defeito de fabric./Alta Amperage"/>
    <s v="FUNCIONAL"/>
    <x v="0"/>
    <n v="28016"/>
    <x v="331"/>
    <s v="RJ"/>
    <n v="933"/>
    <s v="Top"/>
    <n v="1350"/>
    <s v="W11163349"/>
    <s v="Placas de Controle"/>
    <x v="1"/>
    <n v="1000"/>
    <n v="5003176"/>
    <s v="J C THEDIN TRANSPORTES LTDA"/>
    <n v="72.31"/>
    <d v="2025-06-24T00:00:00"/>
  </r>
  <r>
    <n v="254003898"/>
    <n v="64777340"/>
    <s v="REB"/>
    <n v="9900841"/>
    <n v="176"/>
    <s v="PEÇAS - Defeito de fabric./Interrompido"/>
    <s v="FUNCIONAL"/>
    <x v="1"/>
    <n v="25656"/>
    <x v="173"/>
    <s v="SP"/>
    <n v="931"/>
    <s v="Ats Off"/>
    <n v="1350"/>
    <s v="W11112671"/>
    <s v="Interruptores horário"/>
    <x v="3"/>
    <n v="1000"/>
    <n v="5004042"/>
    <s v="BRASIL WEB TRANSPORTES E LOGISTICA"/>
    <n v="72.239999999999995"/>
    <d v="2025-05-26T00:00:00"/>
  </r>
  <r>
    <n v="254033096"/>
    <n v="64807162"/>
    <s v="REB"/>
    <n v="10104354"/>
    <n v="170"/>
    <s v="PEÇAS - Avaria - Riscada/Depósito"/>
    <s v="LOGÍSTICA"/>
    <x v="2"/>
    <n v="66"/>
    <x v="73"/>
    <s v="GO"/>
    <n v="931"/>
    <s v="Ats Off"/>
    <n v="1350"/>
    <s v="W10347206"/>
    <s v="Prateleiras"/>
    <x v="9"/>
    <n v="1000"/>
    <n v="5002858"/>
    <s v="FAVORITA TRANSPORTES LTDA"/>
    <n v="72.17"/>
    <d v="2025-07-08T00:00:00"/>
  </r>
  <r>
    <n v="254032496"/>
    <n v="64811460"/>
    <s v="ZRDI"/>
    <n v="10047352"/>
    <n v="208"/>
    <s v="DEV-Atraso entrega- LOGISTICA(Transp)"/>
    <s v="TRANSPORTADORA"/>
    <x v="2"/>
    <n v="53745229"/>
    <x v="1634"/>
    <s v="GO"/>
    <n v="474"/>
    <s v="Site Brastemp"/>
    <n v="1352"/>
    <s v="W10866789"/>
    <s v="Kits Instalação"/>
    <x v="7"/>
    <n v="1000"/>
    <n v="5002359"/>
    <s v="EMPRESA BRASILEIRA DE CORREIOS E"/>
    <n v="72.14"/>
    <d v="2025-07-16T00:00:00"/>
  </r>
  <r>
    <n v="253948442"/>
    <n v="64727190"/>
    <s v="REB"/>
    <n v="9800521"/>
    <n v="173"/>
    <s v="PEÇAS - Defeito de fabric./Alta Amperage"/>
    <s v="FUNCIONAL"/>
    <x v="1"/>
    <n v="3236"/>
    <x v="45"/>
    <s v="SP"/>
    <n v="931"/>
    <s v="Ats Off"/>
    <n v="1350"/>
    <s v="W11226018"/>
    <s v="Motores Ventiladores"/>
    <x v="1"/>
    <n v="1000"/>
    <n v="5004042"/>
    <s v="BRASIL WEB TRANSPORTES E LOGISTICA"/>
    <n v="72.11"/>
    <d v="2025-03-07T00:00:00"/>
  </r>
  <r>
    <s v="Sem TR"/>
    <n v="64813096"/>
    <s v="ZRDI"/>
    <n v="10127202"/>
    <s v="D10"/>
    <s v="DEV D2C - Comprou modelo errado"/>
    <s v="COMERCIAL"/>
    <x v="2"/>
    <n v="54491795"/>
    <x v="1635"/>
    <s v="MG"/>
    <n v="474"/>
    <s v="Site Brastemp"/>
    <n v="1352"/>
    <s v="W10398757"/>
    <s v="Prateleiras"/>
    <x v="9"/>
    <n v="1000"/>
    <n v="5002359"/>
    <s v="EMPRESA BRASILEIRA DE CORREIOS E"/>
    <n v="72"/>
    <d v="2025-07-19T00:00:00"/>
  </r>
  <r>
    <s v="Sem TR"/>
    <n v="64813096"/>
    <s v="ZRDI"/>
    <n v="10127202"/>
    <s v="D10"/>
    <s v="DEV D2C - Comprou modelo errado"/>
    <s v="COMERCIAL"/>
    <x v="2"/>
    <n v="54491795"/>
    <x v="1635"/>
    <s v="MG"/>
    <n v="474"/>
    <s v="Site Brastemp"/>
    <n v="1352"/>
    <s v="W10398757"/>
    <s v="Prateleiras"/>
    <x v="9"/>
    <n v="1000"/>
    <n v="5002359"/>
    <s v="EMPRESA BRASILEIRA DE CORREIOS E"/>
    <n v="72"/>
    <d v="2025-07-19T00:00:00"/>
  </r>
  <r>
    <s v="Sem TR"/>
    <n v="64786600"/>
    <s v="REB"/>
    <n v="10037575"/>
    <n v="509"/>
    <s v="Qtd de peças a Menor dentro do Volume"/>
    <s v="LOGÍSTICA"/>
    <x v="1"/>
    <n v="31790"/>
    <x v="160"/>
    <s v="SP"/>
    <n v="350"/>
    <s v="Ats On"/>
    <n v="1350"/>
    <s v="W10290362"/>
    <s v="Dispensers"/>
    <x v="9"/>
    <n v="1000"/>
    <n v="5002359"/>
    <s v="EMPRESA BRASILEIRA DE CORREIOS E"/>
    <n v="72"/>
    <d v="2025-06-05T00:00:00"/>
  </r>
  <r>
    <n v="254027330"/>
    <n v="64806743"/>
    <s v="ZRDI"/>
    <n v="10067841"/>
    <n v="208"/>
    <s v="DEV-Atraso entrega- LOGISTICA(Transp)"/>
    <s v="TRANSPORTADORA"/>
    <x v="2"/>
    <n v="55801598"/>
    <x v="1636"/>
    <s v="RS"/>
    <n v="474"/>
    <s v="Site Brastemp"/>
    <n v="1352"/>
    <s v="W10866789"/>
    <s v="Kits Instalação"/>
    <x v="7"/>
    <n v="1000"/>
    <n v="5002359"/>
    <s v="EMPRESA BRASILEIRA DE CORREIOS E"/>
    <n v="71.95"/>
    <d v="2025-07-07T00:00:00"/>
  </r>
  <r>
    <s v="Sem TR"/>
    <n v="64809749"/>
    <s v="ZRDI"/>
    <n v="10127110"/>
    <s v="D10"/>
    <s v="DEV D2C - Comprou modelo errado"/>
    <s v="COMERCIAL"/>
    <x v="2"/>
    <n v="53073020"/>
    <x v="579"/>
    <s v="SP"/>
    <n v="474"/>
    <s v="Site Brastemp"/>
    <n v="1352"/>
    <n v="326043145"/>
    <s v="Filtros"/>
    <x v="5"/>
    <n v="1000"/>
    <n v="5002359"/>
    <s v="EMPRESA BRASILEIRA DE CORREIOS E"/>
    <n v="71.900000000000006"/>
    <d v="2025-07-12T00:00:00"/>
  </r>
  <r>
    <s v="Sem TR"/>
    <n v="64812068"/>
    <s v="ZRDI"/>
    <n v="10123565"/>
    <s v="D31"/>
    <s v="DEV D2C - Defeito estético manufatura"/>
    <s v="MANUFATURA"/>
    <x v="2"/>
    <n v="58136298"/>
    <x v="1637"/>
    <s v="SP"/>
    <n v="474"/>
    <s v="Site Brastemp"/>
    <n v="1352"/>
    <n v="326043145"/>
    <s v="Filtros"/>
    <x v="5"/>
    <n v="1000"/>
    <n v="5002359"/>
    <s v="EMPRESA BRASILEIRA DE CORREIOS E"/>
    <n v="71.900000000000006"/>
    <d v="2025-07-19T00:00:00"/>
  </r>
  <r>
    <s v="Sem TR"/>
    <n v="64812068"/>
    <s v="ZRDI"/>
    <n v="10123565"/>
    <s v="D31"/>
    <s v="DEV D2C - Defeito estético manufatura"/>
    <s v="MANUFATURA"/>
    <x v="2"/>
    <n v="58136298"/>
    <x v="1637"/>
    <s v="SP"/>
    <n v="474"/>
    <s v="Site Brastemp"/>
    <n v="1352"/>
    <n v="326043145"/>
    <s v="Filtros"/>
    <x v="5"/>
    <n v="1000"/>
    <n v="5002359"/>
    <s v="EMPRESA BRASILEIRA DE CORREIOS E"/>
    <n v="71.900000000000006"/>
    <d v="2025-07-19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00047"/>
    <s v="Tirantes"/>
    <x v="8"/>
    <n v="50000"/>
    <n v="5004101"/>
    <s v="UNIDOCK'S ASSESSORIA E LOGISTICA DE"/>
    <n v="71.89"/>
    <d v="2025-06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00516"/>
    <s v="Tirantes"/>
    <x v="8"/>
    <n v="50000"/>
    <n v="5004101"/>
    <s v="UNIDOCK'S ASSESSORIA E LOGISTICA DE"/>
    <n v="71.89"/>
    <d v="2025-06-24T00:00:00"/>
  </r>
  <r>
    <s v="Sem TR"/>
    <n v="64799754"/>
    <s v="ZRDI"/>
    <n v="10096006"/>
    <s v="D10"/>
    <s v="DEV D2C - Comprou modelo errado"/>
    <s v="COMERCIAL"/>
    <x v="2"/>
    <n v="5952643"/>
    <x v="1638"/>
    <s v="MG"/>
    <n v="474"/>
    <s v="Site Brastemp"/>
    <n v="1352"/>
    <s v="W10423216"/>
    <s v="Prateleiras"/>
    <x v="9"/>
    <n v="1000"/>
    <n v="5002359"/>
    <s v="EMPRESA BRASILEIRA DE CORREIOS E"/>
    <n v="71.78"/>
    <d v="2025-06-27T00:00:00"/>
  </r>
  <r>
    <n v="253851702"/>
    <n v="64624077"/>
    <s v="REB"/>
    <n v="9600247"/>
    <n v="173"/>
    <s v="PEÇAS - Defeito de fabric./Alta Amperage"/>
    <s v="FUNCIONAL"/>
    <x v="1"/>
    <n v="56605"/>
    <x v="268"/>
    <s v="AL"/>
    <n v="644"/>
    <s v="Plus"/>
    <n v="1350"/>
    <s v="W11634491"/>
    <s v="Placas de Controle"/>
    <x v="1"/>
    <n v="1000"/>
    <n v="5004101"/>
    <s v="UNIDOCK'S ASSESSORIA E LOGISTICA DE"/>
    <n v="71.78"/>
    <d v="2024-10-09T00:00:00"/>
  </r>
  <r>
    <s v="Sem TR"/>
    <n v="64806338"/>
    <s v="ZRDI"/>
    <n v="10116151"/>
    <s v="D10"/>
    <s v="DEV D2C - Comprou modelo errado"/>
    <s v="COMERCIAL"/>
    <x v="2"/>
    <n v="57105908"/>
    <x v="1639"/>
    <s v="RS"/>
    <n v="475"/>
    <s v="Site Consul"/>
    <n v="1352"/>
    <s v="W10553055"/>
    <s v="Prateleiras"/>
    <x v="9"/>
    <n v="1000"/>
    <n v="5002359"/>
    <s v="EMPRESA BRASILEIRA DE CORREIOS E"/>
    <n v="71.739999999999995"/>
    <d v="2025-07-10T00:00:00"/>
  </r>
  <r>
    <s v="Sem TR"/>
    <n v="64768818"/>
    <s v="REB"/>
    <n v="10062715"/>
    <n v="509"/>
    <s v="Qtd de peças a Menor dentro do Volume"/>
    <s v="LOGÍSTICA"/>
    <x v="1"/>
    <n v="23101"/>
    <x v="14"/>
    <s v="PB"/>
    <n v="713"/>
    <s v="Key Account"/>
    <n v="1350"/>
    <s v="W11629019"/>
    <s v="Recipientes de Evaporação"/>
    <x v="9"/>
    <n v="5000"/>
    <n v="5002359"/>
    <s v="EMPRESA BRASILEIRA DE CORREIOS E"/>
    <n v="71.72"/>
    <d v="2025-06-16T00:00:00"/>
  </r>
  <r>
    <n v="254035382"/>
    <n v="64812324"/>
    <s v="REB"/>
    <n v="9555676"/>
    <n v="173"/>
    <s v="PEÇAS - Defeito de fabric./Alta Amperage"/>
    <s v="FUNCIONAL"/>
    <x v="0"/>
    <n v="47026"/>
    <x v="16"/>
    <s v="BA"/>
    <n v="643"/>
    <s v="Elite"/>
    <n v="1350"/>
    <s v="W11123828"/>
    <s v="Placas de Controle"/>
    <x v="1"/>
    <n v="1000"/>
    <n v="5004101"/>
    <s v="UNIDOCK'S ASSESSORIA E LOGISTICA DE"/>
    <n v="71.72"/>
    <d v="2025-07-17T00:00:00"/>
  </r>
  <r>
    <n v="253992668"/>
    <n v="64767617"/>
    <s v="REB"/>
    <n v="10020815"/>
    <n v="170"/>
    <s v="PEÇAS - Avaria - Riscada/Depósito"/>
    <s v="LOGÍSTICA"/>
    <x v="2"/>
    <n v="2424"/>
    <x v="338"/>
    <s v="RJ"/>
    <n v="350"/>
    <s v="Ats On"/>
    <n v="1350"/>
    <s v="W10920021"/>
    <s v="Portas"/>
    <x v="6"/>
    <n v="1000"/>
    <n v="5003176"/>
    <s v="J C THEDIN TRANSPORTES LTDA"/>
    <n v="71.67"/>
    <d v="2025-05-12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678923"/>
    <s v="Placas de Controle"/>
    <x v="1"/>
    <n v="1000"/>
    <n v="5004101"/>
    <s v="UNIDOCK'S ASSESSORIA E LOGISTICA DE"/>
    <n v="71.62"/>
    <d v="2025-03-11T00:00:00"/>
  </r>
  <r>
    <n v="254033922"/>
    <n v="64812460"/>
    <s v="ZRDI"/>
    <n v="10065798"/>
    <n v="208"/>
    <s v="DEV-Atraso entrega- LOGISTICA(Transp)"/>
    <s v="TRANSPORTADORA"/>
    <x v="2"/>
    <n v="54841462"/>
    <x v="1640"/>
    <s v="SC"/>
    <n v="474"/>
    <s v="Site Brastemp"/>
    <n v="1352"/>
    <s v="W10866789"/>
    <s v="Kits Instalação"/>
    <x v="7"/>
    <n v="1000"/>
    <n v="5002359"/>
    <s v="EMPRESA BRASILEIRA DE CORREIOS E"/>
    <n v="71.62"/>
    <d v="2025-07-17T00:00:00"/>
  </r>
  <r>
    <n v="253931163"/>
    <n v="64703790"/>
    <s v="REB"/>
    <n v="9780572"/>
    <n v="176"/>
    <s v="PEÇAS - Defeito de fabric./Interrompido"/>
    <s v="FUNCIONAL"/>
    <x v="1"/>
    <n v="76848"/>
    <x v="240"/>
    <s v="GO"/>
    <n v="643"/>
    <s v="Elite"/>
    <n v="1350"/>
    <s v="W10829873"/>
    <s v="Outros"/>
    <x v="7"/>
    <n v="1000"/>
    <n v="5002858"/>
    <s v="FAVORITA TRANSPORTES LTDA"/>
    <n v="71.61"/>
    <d v="2025-01-31T00:00:00"/>
  </r>
  <r>
    <n v="253948572"/>
    <n v="64726699"/>
    <s v="REB"/>
    <n v="9847988"/>
    <n v="173"/>
    <s v="PEÇAS - Defeito de fabric./Alta Amperage"/>
    <s v="FUNCIONAL"/>
    <x v="1"/>
    <n v="75812"/>
    <x v="102"/>
    <s v="SP"/>
    <n v="931"/>
    <s v="Ats Off"/>
    <n v="1350"/>
    <n v="326065129"/>
    <s v="Resistências"/>
    <x v="1"/>
    <n v="1000"/>
    <n v="5004042"/>
    <s v="BRASIL WEB TRANSPORTES E LOGISTICA"/>
    <n v="71.61"/>
    <d v="2025-03-07T00:00:00"/>
  </r>
  <r>
    <n v="254035367"/>
    <n v="64812371"/>
    <s v="REB"/>
    <n v="10115102"/>
    <n v="167"/>
    <s v="PEÇAS - Avaria - Quebrada/Depósito"/>
    <s v="LOGÍSTICA"/>
    <x v="0"/>
    <n v="29164"/>
    <x v="32"/>
    <s v="BA"/>
    <n v="648"/>
    <s v="Ultra"/>
    <n v="1350"/>
    <s v="W11396368"/>
    <s v="Gavetas"/>
    <x v="9"/>
    <n v="1000"/>
    <n v="5004101"/>
    <s v="UNIDOCK'S ASSESSORIA E LOGISTICA DE"/>
    <n v="71.61"/>
    <d v="2025-07-17T00:00:00"/>
  </r>
  <r>
    <s v="Sem TR"/>
    <n v="64819920"/>
    <s v="ZRDI"/>
    <n v="10128769"/>
    <s v="D10"/>
    <s v="DEV D2C - Comprou modelo errado"/>
    <s v="COMERCIAL"/>
    <x v="1"/>
    <n v="4956771"/>
    <x v="1641"/>
    <s v="RJ"/>
    <n v="474"/>
    <s v="Site Brastemp"/>
    <n v="1352"/>
    <n v="326055045"/>
    <s v="Capas Queimadores"/>
    <x v="12"/>
    <n v="2000"/>
    <n v="5002359"/>
    <s v="EMPRESA BRASILEIRA DE CORREIOS E"/>
    <n v="71.56"/>
    <d v="2025-07-29T00:00:00"/>
  </r>
  <r>
    <s v="Sem TR"/>
    <n v="64811027"/>
    <s v="ZRDI"/>
    <n v="10125479"/>
    <s v="D10"/>
    <s v="DEV D2C - Comprou modelo errado"/>
    <s v="COMERCIAL"/>
    <x v="2"/>
    <n v="58138779"/>
    <x v="1642"/>
    <s v="SP"/>
    <n v="475"/>
    <s v="Site Consul"/>
    <n v="1352"/>
    <s v="W10451658"/>
    <s v="Queimadores"/>
    <x v="12"/>
    <n v="3000"/>
    <n v="5002359"/>
    <s v="EMPRESA BRASILEIRA DE CORREIOS E"/>
    <n v="71.489999999999995"/>
    <d v="2025-07-16T00:00:00"/>
  </r>
  <r>
    <n v="253970801"/>
    <n v="64748226"/>
    <s v="REB"/>
    <n v="9957912"/>
    <n v="167"/>
    <s v="PEÇAS - Avaria - Quebrada/Depósito"/>
    <s v="LOGÍSTICA"/>
    <x v="1"/>
    <n v="38442"/>
    <x v="943"/>
    <s v="RS"/>
    <n v="641"/>
    <s v="CDP Diamante"/>
    <n v="1350"/>
    <n v="326066852"/>
    <s v="Prateleiras"/>
    <x v="9"/>
    <n v="2000"/>
    <n v="5003024"/>
    <s v="RODOBRAS TRANSPORTES RODOVIARIOS LT"/>
    <n v="71.47"/>
    <d v="2025-04-09T00:00:00"/>
  </r>
  <r>
    <n v="253970683"/>
    <n v="64748180"/>
    <s v="REB"/>
    <n v="9852896"/>
    <n v="173"/>
    <s v="PEÇAS - Defeito de fabric./Alta Amperage"/>
    <s v="FUNCIONAL"/>
    <x v="2"/>
    <n v="3236"/>
    <x v="45"/>
    <s v="SP"/>
    <n v="931"/>
    <s v="Ats Off"/>
    <n v="1350"/>
    <s v="W10678919"/>
    <s v="Placas de Controle"/>
    <x v="1"/>
    <n v="1000"/>
    <n v="5004042"/>
    <s v="BRASIL WEB TRANSPORTES E LOGISTICA"/>
    <n v="71.44"/>
    <d v="2025-04-09T00:00:00"/>
  </r>
  <r>
    <n v="254021271"/>
    <n v="64798927"/>
    <s v="ZRDI"/>
    <n v="10081763"/>
    <n v="208"/>
    <s v="DEV-Atraso entrega- LOGISTICA(Transp)"/>
    <s v="TRANSPORTADORA"/>
    <x v="2"/>
    <n v="58065691"/>
    <x v="1643"/>
    <s v="RJ"/>
    <n v="474"/>
    <s v="Site Brastemp"/>
    <n v="1352"/>
    <s v="W10866789"/>
    <s v="Kits Instalação"/>
    <x v="7"/>
    <n v="1000"/>
    <n v="5002359"/>
    <s v="EMPRESA BRASILEIRA DE CORREIOS E"/>
    <n v="71.430000000000007"/>
    <d v="2025-06-26T00:00:00"/>
  </r>
  <r>
    <n v="254024630"/>
    <n v="64804725"/>
    <s v="ZRDI"/>
    <n v="10084645"/>
    <n v="208"/>
    <s v="DEV-Atraso entrega- LOGISTICA(Transp)"/>
    <s v="TRANSPORTADORA"/>
    <x v="2"/>
    <n v="58062607"/>
    <x v="1644"/>
    <s v="RJ"/>
    <n v="474"/>
    <s v="Site Brastemp"/>
    <n v="1352"/>
    <s v="W10866789"/>
    <s v="Kits Instalação"/>
    <x v="7"/>
    <n v="1000"/>
    <n v="5002359"/>
    <s v="EMPRESA BRASILEIRA DE CORREIOS E"/>
    <n v="71.430000000000007"/>
    <d v="2025-07-02T00:00:00"/>
  </r>
  <r>
    <n v="254038697"/>
    <n v="64816613"/>
    <s v="ZRDI"/>
    <n v="10066286"/>
    <s v="D25"/>
    <s v="DEV D2C - Prob na entrega (Não recebi)"/>
    <s v="TRANSPORTADORA"/>
    <x v="2"/>
    <n v="58061621"/>
    <x v="1645"/>
    <s v="RJ"/>
    <n v="474"/>
    <s v="Site Brastemp"/>
    <n v="1352"/>
    <s v="W10866789"/>
    <s v="Kits Instalação"/>
    <x v="7"/>
    <n v="1000"/>
    <n v="5003972"/>
    <s v="ICARO EXPRESS LOGISTICA LTDA"/>
    <n v="71.430000000000007"/>
    <d v="2025-07-24T00:00:00"/>
  </r>
  <r>
    <n v="254038697"/>
    <n v="64816613"/>
    <s v="ZRDI"/>
    <n v="10066286"/>
    <s v="D25"/>
    <s v="DEV D2C - Prob na entrega (Não recebi)"/>
    <s v="TRANSPORTADORA"/>
    <x v="2"/>
    <n v="58061621"/>
    <x v="1645"/>
    <s v="RJ"/>
    <n v="474"/>
    <s v="Site Brastemp"/>
    <n v="1352"/>
    <s v="W10866789"/>
    <s v="Kits Instalação"/>
    <x v="7"/>
    <n v="1000"/>
    <n v="5003972"/>
    <s v="ICARO EXPRESS LOGISTICA LTDA"/>
    <n v="71.430000000000007"/>
    <d v="2025-07-24T00:00:00"/>
  </r>
  <r>
    <s v="Sem TR"/>
    <n v="64768428"/>
    <s v="ROB"/>
    <n v="50602"/>
    <n v="671"/>
    <s v="DEV-ENVIADO PARA GESTÃO DE CONSEQUENCIA"/>
    <s v="TRANSPORTADORA"/>
    <x v="2"/>
    <n v="78142"/>
    <x v="1646"/>
    <s v="BA"/>
    <n v="932"/>
    <s v="CDP Prata"/>
    <n v="1550"/>
    <s v="W10779052"/>
    <s v="Mangueiras"/>
    <x v="5"/>
    <n v="15000"/>
    <n v="5004391"/>
    <s v="JEONCEL TRANSPORTES LTDA"/>
    <n v="71.400000000000006"/>
    <d v="2025-05-12T00:00:00"/>
  </r>
  <r>
    <n v="254035399"/>
    <n v="64812551"/>
    <s v="REB"/>
    <n v="9542281"/>
    <n v="173"/>
    <s v="PEÇAS - Defeito de fabric./Alta Amperage"/>
    <s v="FUNCIONAL"/>
    <x v="0"/>
    <n v="61263"/>
    <x v="18"/>
    <s v="CE"/>
    <n v="648"/>
    <s v="Ultra"/>
    <n v="1350"/>
    <s v="W11396188"/>
    <s v="Placas de Interface"/>
    <x v="1"/>
    <n v="1000"/>
    <n v="5004101"/>
    <s v="UNIDOCK'S ASSESSORIA E LOGISTICA DE"/>
    <n v="71.39"/>
    <d v="2025-07-17T00:00:00"/>
  </r>
  <r>
    <s v="Sem TR"/>
    <n v="64807055"/>
    <s v="ZRDI"/>
    <n v="10126741"/>
    <s v="D31"/>
    <s v="DEV D2C - Defeito estético manufatura"/>
    <s v="MANUFATURA"/>
    <x v="2"/>
    <n v="57406086"/>
    <x v="1647"/>
    <s v="RJ"/>
    <n v="475"/>
    <s v="Site Consul"/>
    <n v="1352"/>
    <s v="W10169457"/>
    <s v="Prateleiras"/>
    <x v="9"/>
    <n v="1000"/>
    <n v="5002359"/>
    <s v="EMPRESA BRASILEIRA DE CORREIOS E"/>
    <n v="71.37"/>
    <d v="2025-07-11T00:00:00"/>
  </r>
  <r>
    <s v="Sem TR"/>
    <n v="64819470"/>
    <s v="ZRDI"/>
    <n v="10142762"/>
    <s v="D10"/>
    <s v="DEV D2C - Comprou modelo errado"/>
    <s v="COMERCIAL"/>
    <x v="1"/>
    <n v="58165343"/>
    <x v="441"/>
    <s v="PE"/>
    <n v="475"/>
    <s v="Site Consul"/>
    <n v="1352"/>
    <s v="W10518617"/>
    <s v="Atuadores"/>
    <x v="2"/>
    <n v="1000"/>
    <n v="5002359"/>
    <s v="EMPRESA BRASILEIRA DE CORREIOS E"/>
    <n v="71.319999999999993"/>
    <d v="2025-07-29T00:00:00"/>
  </r>
  <r>
    <n v="254024695"/>
    <n v="64804788"/>
    <s v="ZRDI"/>
    <n v="10070762"/>
    <n v="208"/>
    <s v="DEV-Atraso entrega- LOGISTICA(Transp)"/>
    <s v="TRANSPORTADORA"/>
    <x v="2"/>
    <n v="58067158"/>
    <x v="1648"/>
    <s v="MG"/>
    <n v="475"/>
    <s v="Site Consul"/>
    <n v="1352"/>
    <s v="W10921095"/>
    <s v="Kits Instalação"/>
    <x v="7"/>
    <n v="1000"/>
    <n v="5002359"/>
    <s v="EMPRESA BRASILEIRA DE CORREIOS E"/>
    <n v="71.3"/>
    <d v="2025-07-02T00:00:00"/>
  </r>
  <r>
    <n v="254037071"/>
    <n v="64814993"/>
    <s v="ZRDI"/>
    <n v="10123863"/>
    <n v="208"/>
    <s v="DEV-Atraso entrega- LOGISTICA(Transp)"/>
    <s v="TRANSPORTADORA"/>
    <x v="2"/>
    <n v="58136425"/>
    <x v="1649"/>
    <s v="GO"/>
    <n v="466"/>
    <s v="Sup ML Marketplace"/>
    <n v="1352"/>
    <s v="W10743620"/>
    <s v="Lâmpadas"/>
    <x v="1"/>
    <n v="1000"/>
    <n v="5002359"/>
    <s v="EMPRESA BRASILEIRA DE CORREIOS E"/>
    <n v="71.2"/>
    <d v="2025-07-22T00:00:00"/>
  </r>
  <r>
    <n v="254037071"/>
    <n v="64814993"/>
    <s v="ZRDI"/>
    <n v="10123863"/>
    <n v="208"/>
    <s v="DEV-Atraso entrega- LOGISTICA(Transp)"/>
    <s v="TRANSPORTADORA"/>
    <x v="2"/>
    <n v="58136425"/>
    <x v="1649"/>
    <s v="GO"/>
    <n v="466"/>
    <s v="Sup ML Marketplace"/>
    <n v="1352"/>
    <s v="W10743620"/>
    <s v="Lâmpadas"/>
    <x v="1"/>
    <n v="1000"/>
    <n v="5002359"/>
    <s v="EMPRESA BRASILEIRA DE CORREIOS E"/>
    <n v="71.2"/>
    <d v="2025-07-22T00:00:00"/>
  </r>
  <r>
    <n v="254003872"/>
    <n v="64775172"/>
    <s v="REB"/>
    <n v="10013661"/>
    <n v="173"/>
    <s v="PEÇAS - Defeito de fabric./Alta Amperage"/>
    <s v="FUNCIONAL"/>
    <x v="1"/>
    <n v="13757"/>
    <x v="14"/>
    <s v="SP"/>
    <n v="713"/>
    <s v="Key Account"/>
    <n v="1350"/>
    <s v="W10518617"/>
    <s v="Atuadores"/>
    <x v="2"/>
    <n v="2000"/>
    <n v="5004042"/>
    <s v="BRASIL WEB TRANSPORTES E LOGISTICA"/>
    <n v="71.16"/>
    <d v="2025-05-26T00:00:00"/>
  </r>
  <r>
    <n v="254040401"/>
    <n v="64818305"/>
    <s v="ZRDI"/>
    <n v="10100616"/>
    <n v="208"/>
    <s v="DEV-Atraso entrega- LOGISTICA(Transp)"/>
    <s v="TRANSPORTADORA"/>
    <x v="2"/>
    <n v="58109776"/>
    <x v="1650"/>
    <s v="RN"/>
    <n v="475"/>
    <s v="Site Consul"/>
    <n v="1352"/>
    <s v="W10866789"/>
    <s v="Kits Instalação"/>
    <x v="7"/>
    <n v="1000"/>
    <n v="5002359"/>
    <s v="EMPRESA BRASILEIRA DE CORREIOS E"/>
    <n v="71.14"/>
    <d v="2025-07-26T00:00:00"/>
  </r>
  <r>
    <n v="254040401"/>
    <n v="64818305"/>
    <s v="ZRDI"/>
    <n v="10100616"/>
    <n v="208"/>
    <s v="DEV-Atraso entrega- LOGISTICA(Transp)"/>
    <s v="TRANSPORTADORA"/>
    <x v="2"/>
    <n v="58109776"/>
    <x v="1650"/>
    <s v="RN"/>
    <n v="475"/>
    <s v="Site Consul"/>
    <n v="1352"/>
    <s v="W10866789"/>
    <s v="Kits Instalação"/>
    <x v="7"/>
    <n v="1000"/>
    <n v="5002359"/>
    <s v="EMPRESA BRASILEIRA DE CORREIOS E"/>
    <n v="71.14"/>
    <d v="2025-07-26T00:00:00"/>
  </r>
  <r>
    <s v="Sem TR"/>
    <n v="64808910"/>
    <s v="ZRDI"/>
    <n v="10117310"/>
    <s v="D31"/>
    <s v="DEV D2C - Defeito estético manufatura"/>
    <s v="MANUFATURA"/>
    <x v="2"/>
    <n v="58128793"/>
    <x v="1069"/>
    <s v="RJ"/>
    <n v="474"/>
    <s v="Site Brastemp"/>
    <n v="1352"/>
    <s v="W10347202"/>
    <s v="Gavetas"/>
    <x v="9"/>
    <n v="1000"/>
    <n v="5002359"/>
    <s v="EMPRESA BRASILEIRA DE CORREIOS E"/>
    <n v="71.11"/>
    <d v="2025-07-14T00:00:00"/>
  </r>
  <r>
    <s v="Sem TR"/>
    <n v="64815823"/>
    <s v="ZRDI"/>
    <n v="10142108"/>
    <s v="D19"/>
    <s v="DEV D2C - Entrega atrasada"/>
    <s v="COMERCIAL"/>
    <x v="1"/>
    <n v="58164024"/>
    <x v="1651"/>
    <s v="SP"/>
    <n v="466"/>
    <s v="Sup ML Marketplace"/>
    <n v="1352"/>
    <s v="W10907728"/>
    <s v="Acessórios"/>
    <x v="7"/>
    <n v="1000"/>
    <n v="5002359"/>
    <s v="EMPRESA BRASILEIRA DE CORREIOS E"/>
    <n v="71.08"/>
    <d v="2025-07-30T00:00:00"/>
  </r>
  <r>
    <n v="254018256"/>
    <n v="64791091"/>
    <s v="REB"/>
    <n v="10063050"/>
    <n v="104"/>
    <s v="PEÇAS-Código trocado(embalag X conteúdo)"/>
    <s v="LOGÍSTICA"/>
    <x v="2"/>
    <n v="28991"/>
    <x v="65"/>
    <s v="MG"/>
    <n v="643"/>
    <s v="Elite"/>
    <n v="1350"/>
    <s v="W11112671"/>
    <s v="Interruptores horário"/>
    <x v="3"/>
    <n v="1000"/>
    <n v="5004215"/>
    <s v="BRASIL WEB TRANSPORTES E LOGISTICA"/>
    <n v="71.010000000000005"/>
    <d v="2025-06-16T00:00:00"/>
  </r>
  <r>
    <n v="254042148"/>
    <n v="64795565"/>
    <s v="REB"/>
    <n v="10063014"/>
    <n v="167"/>
    <s v="PEÇAS - Avaria - Quebrada/Depósito"/>
    <s v="LOGÍSTICA"/>
    <x v="0"/>
    <n v="53319"/>
    <x v="172"/>
    <s v="PR"/>
    <n v="644"/>
    <s v="Plus"/>
    <n v="1350"/>
    <s v="W10553055"/>
    <s v="Prateleiras"/>
    <x v="9"/>
    <n v="2000"/>
    <n v="5003024"/>
    <s v="RODOBRAS TRANSPORTES RODOVIARIOS LT"/>
    <n v="70.91"/>
    <d v="2025-06-23T00:00:00"/>
  </r>
  <r>
    <n v="254024120"/>
    <n v="64803677"/>
    <s v="ZRDI"/>
    <n v="10047601"/>
    <n v="208"/>
    <s v="DEV-Atraso entrega- LOGISTICA(Transp)"/>
    <s v="TRANSPORTADORA"/>
    <x v="2"/>
    <n v="53975620"/>
    <x v="1652"/>
    <s v="PA"/>
    <n v="474"/>
    <s v="Site Brastemp"/>
    <n v="1352"/>
    <s v="W10733149"/>
    <s v="Manípulos"/>
    <x v="6"/>
    <n v="1000"/>
    <n v="5002359"/>
    <s v="EMPRESA BRASILEIRA DE CORREIOS E"/>
    <n v="70.87"/>
    <d v="2025-07-01T00:00:00"/>
  </r>
  <r>
    <s v="Sem TR"/>
    <n v="64805301"/>
    <s v="ZRDI"/>
    <n v="10093713"/>
    <s v="D18"/>
    <s v="DEV D2C - Arrependimento não quero mais"/>
    <s v="COMERCIAL"/>
    <x v="2"/>
    <n v="51444980"/>
    <x v="1653"/>
    <s v="SE"/>
    <n v="475"/>
    <s v="Site Consul"/>
    <n v="1352"/>
    <s v="W10866789"/>
    <s v="Kits Instalação"/>
    <x v="7"/>
    <n v="1000"/>
    <n v="5002359"/>
    <s v="EMPRESA BRASILEIRA DE CORREIOS E"/>
    <n v="70.87"/>
    <d v="2025-07-08T00:00:00"/>
  </r>
  <r>
    <n v="254024120"/>
    <n v="64803677"/>
    <s v="ZRDI"/>
    <n v="10047601"/>
    <n v="208"/>
    <s v="DEV-Atraso entrega- LOGISTICA(Transp)"/>
    <s v="TRANSPORTADORA"/>
    <x v="2"/>
    <n v="53975620"/>
    <x v="1652"/>
    <s v="PA"/>
    <n v="474"/>
    <s v="Site Brastemp"/>
    <n v="1352"/>
    <s v="W10733149"/>
    <s v="Manípulos"/>
    <x v="6"/>
    <n v="1000"/>
    <n v="5002359"/>
    <s v="EMPRESA BRASILEIRA DE CORREIOS E"/>
    <n v="70.87"/>
    <d v="2025-07-01T00:00:00"/>
  </r>
  <r>
    <n v="254007513"/>
    <n v="64779317"/>
    <s v="REB"/>
    <n v="9759240"/>
    <n v="176"/>
    <s v="PEÇAS - Defeito de fabric./Interrompido"/>
    <s v="FUNCIONAL"/>
    <x v="2"/>
    <n v="3506"/>
    <x v="46"/>
    <s v="SP"/>
    <n v="931"/>
    <s v="Ats Off"/>
    <n v="1350"/>
    <n v="326030256"/>
    <s v="Resistências"/>
    <x v="1"/>
    <n v="1000"/>
    <n v="5004042"/>
    <s v="BRASIL WEB TRANSPORTES E LOGISTICA"/>
    <n v="70.86"/>
    <d v="2025-06-02T00:00:00"/>
  </r>
  <r>
    <n v="254041058"/>
    <n v="64818834"/>
    <s v="ZRDI"/>
    <n v="10093878"/>
    <n v="208"/>
    <s v="DEV-Atraso entrega- LOGISTICA(Transp)"/>
    <s v="TRANSPORTADORA"/>
    <x v="1"/>
    <n v="58099209"/>
    <x v="1654"/>
    <s v="CE"/>
    <n v="475"/>
    <s v="Site Consul"/>
    <n v="1352"/>
    <s v="W10866789"/>
    <s v="Kits Instalação"/>
    <x v="7"/>
    <n v="1000"/>
    <n v="5002359"/>
    <s v="EMPRESA BRASILEIRA DE CORREIOS E"/>
    <n v="70.86"/>
    <d v="2025-07-28T00:00:00"/>
  </r>
  <r>
    <s v="Sem TR"/>
    <n v="64754583"/>
    <s v="ROB"/>
    <n v="50131"/>
    <n v="671"/>
    <s v="DEV-ENVIADO PARA GESTÃO DE CONSEQUENCIA"/>
    <s v="TRANSPORTADORA"/>
    <x v="1"/>
    <n v="8975"/>
    <x v="90"/>
    <s v="MA"/>
    <n v="931"/>
    <s v="Ats Off"/>
    <n v="1350"/>
    <s v="W11112652"/>
    <s v="Botões"/>
    <x v="6"/>
    <n v="10000"/>
    <n v="5004391"/>
    <s v="JEONCEL TRANSPORTES LTDA"/>
    <n v="70.849999999999994"/>
    <d v="2025-04-22T00:00:00"/>
  </r>
  <r>
    <n v="254027352"/>
    <n v="64806755"/>
    <s v="ZRDI"/>
    <n v="10093688"/>
    <n v="208"/>
    <s v="DEV-Atraso entrega- LOGISTICA(Transp)"/>
    <s v="TRANSPORTADORA"/>
    <x v="2"/>
    <n v="50277315"/>
    <x v="1655"/>
    <s v="PE"/>
    <n v="475"/>
    <s v="Site Consul"/>
    <n v="1352"/>
    <s v="W10866789"/>
    <s v="Kits Instalação"/>
    <x v="7"/>
    <n v="1000"/>
    <n v="5002359"/>
    <s v="EMPRESA BRASILEIRA DE CORREIOS E"/>
    <n v="70.84"/>
    <d v="2025-07-07T00:00:00"/>
  </r>
  <r>
    <n v="254018203"/>
    <n v="64792352"/>
    <s v="REB"/>
    <n v="10057361"/>
    <n v="176"/>
    <s v="PEÇAS - Defeito de fabric./Interrompido"/>
    <s v="FUNCIONAL"/>
    <x v="1"/>
    <n v="5039"/>
    <x v="298"/>
    <s v="RS"/>
    <n v="350"/>
    <s v="Ats On"/>
    <n v="1350"/>
    <s v="W10829873"/>
    <s v="Outros"/>
    <x v="7"/>
    <n v="1000"/>
    <n v="5003024"/>
    <s v="RODOBRAS TRANSPORTES RODOVIARIOS LT"/>
    <n v="70.819999999999993"/>
    <d v="2025-06-16T00:00:00"/>
  </r>
  <r>
    <s v="Sem TR"/>
    <n v="64806470"/>
    <s v="ZRDI"/>
    <n v="10118710"/>
    <s v="D10"/>
    <s v="DEV D2C - Comprou modelo errado"/>
    <s v="COMERCIAL"/>
    <x v="2"/>
    <n v="53857645"/>
    <x v="902"/>
    <s v="SP"/>
    <n v="474"/>
    <s v="Site Brastemp"/>
    <n v="1352"/>
    <n v="326009101"/>
    <s v="Correias"/>
    <x v="2"/>
    <n v="1000"/>
    <n v="5002359"/>
    <s v="EMPRESA BRASILEIRA DE CORREIOS E"/>
    <n v="70.760000000000005"/>
    <d v="2025-07-10T00:00:00"/>
  </r>
  <r>
    <n v="254039182"/>
    <n v="64817063"/>
    <s v="ZRDI"/>
    <n v="10095800"/>
    <n v="208"/>
    <s v="DEV-Atraso entrega- LOGISTICA(Transp)"/>
    <s v="TRANSPORTADORA"/>
    <x v="2"/>
    <n v="58103957"/>
    <x v="1656"/>
    <s v="BA"/>
    <n v="475"/>
    <s v="Site Consul"/>
    <n v="1352"/>
    <s v="W10866789"/>
    <s v="Kits Instalação"/>
    <x v="7"/>
    <n v="1000"/>
    <n v="5002359"/>
    <s v="EMPRESA BRASILEIRA DE CORREIOS E"/>
    <n v="70.75"/>
    <d v="2025-07-24T00:00:00"/>
  </r>
  <r>
    <n v="254040397"/>
    <n v="64818301"/>
    <s v="ZRDI"/>
    <n v="10093888"/>
    <n v="208"/>
    <s v="DEV-Atraso entrega- LOGISTICA(Transp)"/>
    <s v="TRANSPORTADORA"/>
    <x v="2"/>
    <n v="58099594"/>
    <x v="1657"/>
    <s v="BA"/>
    <n v="475"/>
    <s v="Site Consul"/>
    <n v="1352"/>
    <s v="W10866789"/>
    <s v="Kits Instalação"/>
    <x v="7"/>
    <n v="1000"/>
    <n v="5002359"/>
    <s v="EMPRESA BRASILEIRA DE CORREIOS E"/>
    <n v="70.75"/>
    <d v="2025-07-26T00:00:00"/>
  </r>
  <r>
    <n v="254039182"/>
    <n v="64817063"/>
    <s v="ZRDI"/>
    <n v="10095800"/>
    <n v="208"/>
    <s v="DEV-Atraso entrega- LOGISTICA(Transp)"/>
    <s v="TRANSPORTADORA"/>
    <x v="2"/>
    <n v="58103957"/>
    <x v="1656"/>
    <s v="BA"/>
    <n v="475"/>
    <s v="Site Consul"/>
    <n v="1352"/>
    <s v="W10866789"/>
    <s v="Kits Instalação"/>
    <x v="7"/>
    <n v="1000"/>
    <n v="5002359"/>
    <s v="EMPRESA BRASILEIRA DE CORREIOS E"/>
    <n v="70.75"/>
    <d v="2025-07-24T00:00:00"/>
  </r>
  <r>
    <n v="254040397"/>
    <n v="64818301"/>
    <s v="ZRDI"/>
    <n v="10093888"/>
    <n v="208"/>
    <s v="DEV-Atraso entrega- LOGISTICA(Transp)"/>
    <s v="TRANSPORTADORA"/>
    <x v="2"/>
    <n v="58099594"/>
    <x v="1657"/>
    <s v="BA"/>
    <n v="475"/>
    <s v="Site Consul"/>
    <n v="1352"/>
    <s v="W10866789"/>
    <s v="Kits Instalação"/>
    <x v="7"/>
    <n v="1000"/>
    <n v="5002359"/>
    <s v="EMPRESA BRASILEIRA DE CORREIOS E"/>
    <n v="70.75"/>
    <d v="2025-07-26T00:00:00"/>
  </r>
  <r>
    <n v="254024645"/>
    <n v="64804746"/>
    <s v="ZRDI"/>
    <n v="10093851"/>
    <n v="208"/>
    <s v="DEV-Atraso entrega- LOGISTICA(Transp)"/>
    <s v="TRANSPORTADORA"/>
    <x v="2"/>
    <n v="58098524"/>
    <x v="1658"/>
    <s v="MG"/>
    <n v="475"/>
    <s v="Site Consul"/>
    <n v="1352"/>
    <s v="W10866789"/>
    <s v="Kits Instalação"/>
    <x v="7"/>
    <n v="1000"/>
    <n v="5002359"/>
    <s v="EMPRESA BRASILEIRA DE CORREIOS E"/>
    <n v="70.739999999999995"/>
    <d v="2025-07-02T00:00:00"/>
  </r>
  <r>
    <n v="254024646"/>
    <n v="64804747"/>
    <s v="ZRDI"/>
    <n v="10094038"/>
    <n v="208"/>
    <s v="DEV-Atraso entrega- LOGISTICA(Transp)"/>
    <s v="TRANSPORTADORA"/>
    <x v="2"/>
    <n v="58100334"/>
    <x v="1659"/>
    <s v="MG"/>
    <n v="475"/>
    <s v="Site Consul"/>
    <n v="1352"/>
    <s v="W10866789"/>
    <s v="Kits Instalação"/>
    <x v="7"/>
    <n v="1000"/>
    <n v="5002359"/>
    <s v="EMPRESA BRASILEIRA DE CORREIOS E"/>
    <n v="70.739999999999995"/>
    <d v="2025-07-02T00:00:00"/>
  </r>
  <r>
    <s v="Sem TR"/>
    <n v="64809895"/>
    <s v="ZRDI"/>
    <n v="10095321"/>
    <s v="D18"/>
    <s v="DEV D2C - Arrependimento não quero mais"/>
    <s v="COMERCIAL"/>
    <x v="2"/>
    <n v="53003088"/>
    <x v="1660"/>
    <s v="MG"/>
    <n v="475"/>
    <s v="Site Consul"/>
    <n v="1352"/>
    <s v="W10866789"/>
    <s v="Kits Instalação"/>
    <x v="7"/>
    <n v="1000"/>
    <n v="5002359"/>
    <s v="EMPRESA BRASILEIRA DE CORREIOS E"/>
    <n v="70.739999999999995"/>
    <d v="2025-07-14T00:00:00"/>
  </r>
  <r>
    <n v="254024646"/>
    <n v="64804747"/>
    <s v="ZRDI"/>
    <n v="10094038"/>
    <n v="208"/>
    <s v="DEV-Atraso entrega- LOGISTICA(Transp)"/>
    <s v="TRANSPORTADORA"/>
    <x v="2"/>
    <n v="58100334"/>
    <x v="1659"/>
    <s v="MG"/>
    <n v="475"/>
    <s v="Site Consul"/>
    <n v="1352"/>
    <s v="W10866789"/>
    <s v="Kits Instalação"/>
    <x v="7"/>
    <n v="1000"/>
    <n v="5002359"/>
    <s v="EMPRESA BRASILEIRA DE CORREIOS E"/>
    <n v="70.739999999999995"/>
    <d v="2025-07-02T00:00:00"/>
  </r>
  <r>
    <s v="Sem TR"/>
    <n v="64785136"/>
    <s v="ZRDI"/>
    <n v="10106552"/>
    <s v="D10"/>
    <s v="DEV D2C - Comprou modelo errado"/>
    <s v="COMERCIAL"/>
    <x v="2"/>
    <n v="57051060"/>
    <x v="1661"/>
    <s v="SP"/>
    <n v="475"/>
    <s v="Site Consul"/>
    <n v="1352"/>
    <s v="W11442772"/>
    <s v="Válvulas de Segurança"/>
    <x v="12"/>
    <n v="1000"/>
    <n v="5002359"/>
    <s v="EMPRESA BRASILEIRA DE CORREIOS E"/>
    <n v="70.709999999999994"/>
    <d v="2025-07-03T00:00:00"/>
  </r>
  <r>
    <n v="254037061"/>
    <n v="64814982"/>
    <s v="ZRDI"/>
    <n v="10110293"/>
    <n v="208"/>
    <s v="DEV-Atraso entrega- LOGISTICA(Transp)"/>
    <s v="TRANSPORTADORA"/>
    <x v="2"/>
    <n v="58042527"/>
    <x v="1662"/>
    <s v="RS"/>
    <n v="475"/>
    <s v="Site Consul"/>
    <n v="1352"/>
    <s v="W10553052"/>
    <s v="Prateleiras"/>
    <x v="9"/>
    <n v="1000"/>
    <n v="5002359"/>
    <s v="EMPRESA BRASILEIRA DE CORREIOS E"/>
    <n v="70.7"/>
    <d v="2025-07-22T00:00:00"/>
  </r>
  <r>
    <n v="254037061"/>
    <n v="64814982"/>
    <s v="ZRDI"/>
    <n v="10110293"/>
    <n v="208"/>
    <s v="DEV-Atraso entrega- LOGISTICA(Transp)"/>
    <s v="TRANSPORTADORA"/>
    <x v="2"/>
    <n v="58042527"/>
    <x v="1662"/>
    <s v="RS"/>
    <n v="475"/>
    <s v="Site Consul"/>
    <n v="1352"/>
    <s v="W10553052"/>
    <s v="Prateleiras"/>
    <x v="9"/>
    <n v="1000"/>
    <n v="5002359"/>
    <s v="EMPRESA BRASILEIRA DE CORREIOS E"/>
    <n v="70.7"/>
    <d v="2025-07-22T00:00:00"/>
  </r>
  <r>
    <n v="254041061"/>
    <n v="64818837"/>
    <s v="ZRDI"/>
    <n v="10103563"/>
    <n v="208"/>
    <s v="DEV-Atraso entrega- LOGISTICA(Transp)"/>
    <s v="TRANSPORTADORA"/>
    <x v="1"/>
    <n v="56621158"/>
    <x v="1663"/>
    <s v="PE"/>
    <n v="475"/>
    <s v="Site Consul"/>
    <n v="1352"/>
    <s v="W11132264"/>
    <s v="Trempes"/>
    <x v="6"/>
    <n v="1000"/>
    <n v="5002359"/>
    <s v="EMPRESA BRASILEIRA DE CORREIOS E"/>
    <n v="70.66"/>
    <d v="2025-07-28T00:00:00"/>
  </r>
  <r>
    <n v="254036537"/>
    <n v="64814370"/>
    <s v="ZRDI"/>
    <n v="10103318"/>
    <n v="208"/>
    <s v="DEV-Atraso entrega- LOGISTICA(Transp)"/>
    <s v="TRANSPORTADORA"/>
    <x v="2"/>
    <n v="51913114"/>
    <x v="1664"/>
    <s v="RJ"/>
    <n v="475"/>
    <s v="Site Consul"/>
    <n v="1352"/>
    <s v="W10866789"/>
    <s v="Kits Instalação"/>
    <x v="7"/>
    <n v="1000"/>
    <n v="5002359"/>
    <s v="EMPRESA BRASILEIRA DE CORREIOS E"/>
    <n v="70.599999999999994"/>
    <d v="2025-07-22T00:00:00"/>
  </r>
  <r>
    <s v="Sem TR"/>
    <n v="64697412"/>
    <s v="ROB"/>
    <n v="9811218"/>
    <n v="221"/>
    <s v="DEV-Sinistro - SEGURO"/>
    <s v="TRANSPORTADORA"/>
    <x v="0"/>
    <n v="76307"/>
    <x v="434"/>
    <s v="SC"/>
    <n v="350"/>
    <s v="Ats On"/>
    <n v="1350"/>
    <s v="W10169459"/>
    <s v="Prateleiras"/>
    <x v="9"/>
    <n v="4000"/>
    <n v="5003024"/>
    <s v="RODOBRAS TRANSPORTES RODOVIARIOS LT"/>
    <n v="70.59"/>
    <d v="2025-01-28T00:00:00"/>
  </r>
  <r>
    <n v="254021286"/>
    <n v="64798932"/>
    <s v="ZRDI"/>
    <n v="10088373"/>
    <n v="208"/>
    <s v="DEV-Atraso entrega- LOGISTICA(Transp)"/>
    <s v="TRANSPORTADORA"/>
    <x v="2"/>
    <n v="58089659"/>
    <x v="1665"/>
    <s v="RJ"/>
    <n v="475"/>
    <s v="Site Consul"/>
    <n v="1352"/>
    <s v="W10866789"/>
    <s v="Kits Instalação"/>
    <x v="7"/>
    <n v="1000"/>
    <n v="5002359"/>
    <s v="EMPRESA BRASILEIRA DE CORREIOS E"/>
    <n v="70.56"/>
    <d v="2025-06-26T00:00:00"/>
  </r>
  <r>
    <n v="254024642"/>
    <n v="64804743"/>
    <s v="ZRDI"/>
    <n v="10093743"/>
    <n v="208"/>
    <s v="DEV-Atraso entrega- LOGISTICA(Transp)"/>
    <s v="TRANSPORTADORA"/>
    <x v="2"/>
    <n v="52315545"/>
    <x v="1666"/>
    <s v="RJ"/>
    <n v="475"/>
    <s v="Site Consul"/>
    <n v="1352"/>
    <s v="W10866789"/>
    <s v="Kits Instalação"/>
    <x v="7"/>
    <n v="1000"/>
    <n v="5002359"/>
    <s v="EMPRESA BRASILEIRA DE CORREIOS E"/>
    <n v="70.56"/>
    <d v="2025-07-02T00:00:00"/>
  </r>
  <r>
    <n v="253970734"/>
    <n v="64748278"/>
    <s v="REB"/>
    <n v="9932136"/>
    <n v="177"/>
    <s v="PEÇAS - Defeito de fabric./Ruído"/>
    <s v="FUNCIONAL"/>
    <x v="1"/>
    <n v="15420"/>
    <x v="747"/>
    <s v="BA"/>
    <n v="350"/>
    <s v="Ats On"/>
    <n v="1350"/>
    <s v="W10553787"/>
    <s v="Motores Ventiladores"/>
    <x v="1"/>
    <n v="1000"/>
    <n v="5004101"/>
    <s v="UNIDOCK'S ASSESSORIA E LOGISTICA DE"/>
    <n v="70.55"/>
    <d v="2025-04-09T00:00:00"/>
  </r>
  <r>
    <n v="254004040"/>
    <n v="64776202"/>
    <s v="REB"/>
    <n v="9864173"/>
    <n v="173"/>
    <s v="PEÇAS - Defeito de fabric./Alta Amperage"/>
    <s v="FUNCIONAL"/>
    <x v="2"/>
    <n v="67948"/>
    <x v="15"/>
    <s v="SC"/>
    <n v="713"/>
    <s v="Key Account"/>
    <n v="1350"/>
    <s v="W10828358"/>
    <s v="Pressostatos"/>
    <x v="3"/>
    <n v="3000"/>
    <n v="5003024"/>
    <s v="RODOBRAS TRANSPORTES RODOVIARIOS LT"/>
    <n v="70.53"/>
    <d v="2025-05-26T00:00:00"/>
  </r>
  <r>
    <n v="254012433"/>
    <n v="64789385"/>
    <s v="REB"/>
    <n v="9976559"/>
    <n v="176"/>
    <s v="PEÇAS - Defeito de fabric./Interrompido"/>
    <s v="FUNCIONAL"/>
    <x v="2"/>
    <n v="66"/>
    <x v="73"/>
    <s v="GO"/>
    <n v="931"/>
    <s v="Ats Off"/>
    <n v="1350"/>
    <s v="W10405579"/>
    <s v="Bombas"/>
    <x v="1"/>
    <n v="1000"/>
    <n v="5002858"/>
    <s v="FAVORITA TRANSPORTES LTDA"/>
    <n v="70.53"/>
    <d v="2025-06-10T00:00:00"/>
  </r>
  <r>
    <n v="254018224"/>
    <n v="64792302"/>
    <s v="REB"/>
    <n v="9407059"/>
    <n v="177"/>
    <s v="PEÇAS - Defeito de fabric./Ruído"/>
    <s v="FUNCIONAL"/>
    <x v="1"/>
    <n v="13757"/>
    <x v="14"/>
    <s v="SP"/>
    <n v="713"/>
    <s v="Key Account"/>
    <n v="1350"/>
    <s v="W11369860"/>
    <s v="Motores Ventiladores"/>
    <x v="1"/>
    <n v="2000"/>
    <n v="5004042"/>
    <s v="BRASIL WEB TRANSPORTES E LOGISTICA"/>
    <n v="70.53"/>
    <d v="2025-06-16T00:00:00"/>
  </r>
  <r>
    <n v="254040399"/>
    <n v="64818303"/>
    <s v="ZRDI"/>
    <n v="10098101"/>
    <n v="208"/>
    <s v="DEV-Atraso entrega- LOGISTICA(Transp)"/>
    <s v="TRANSPORTADORA"/>
    <x v="2"/>
    <n v="58104862"/>
    <x v="1667"/>
    <s v="ES"/>
    <n v="475"/>
    <s v="Site Consul"/>
    <n v="1352"/>
    <s v="W10866789"/>
    <s v="Kits Instalação"/>
    <x v="7"/>
    <n v="1000"/>
    <n v="5002359"/>
    <s v="EMPRESA BRASILEIRA DE CORREIOS E"/>
    <n v="70.47"/>
    <d v="2025-07-26T00:00:00"/>
  </r>
  <r>
    <n v="254040399"/>
    <n v="64818303"/>
    <s v="ZRDI"/>
    <n v="10098101"/>
    <n v="208"/>
    <s v="DEV-Atraso entrega- LOGISTICA(Transp)"/>
    <s v="TRANSPORTADORA"/>
    <x v="2"/>
    <n v="58104862"/>
    <x v="1667"/>
    <s v="ES"/>
    <n v="475"/>
    <s v="Site Consul"/>
    <n v="1352"/>
    <s v="W10866789"/>
    <s v="Kits Instalação"/>
    <x v="7"/>
    <n v="1000"/>
    <n v="5002359"/>
    <s v="EMPRESA BRASILEIRA DE CORREIOS E"/>
    <n v="70.47"/>
    <d v="2025-07-26T00:00:00"/>
  </r>
  <r>
    <n v="253965914"/>
    <n v="64741232"/>
    <s v="REB"/>
    <n v="9911246"/>
    <n v="167"/>
    <s v="PEÇAS - Avaria - Quebrada/Depósito"/>
    <s v="LOGÍSTICA"/>
    <x v="1"/>
    <n v="81448"/>
    <x v="1668"/>
    <s v="PI"/>
    <n v="644"/>
    <s v="Plus"/>
    <n v="1350"/>
    <s v="W10292562"/>
    <s v="Capas"/>
    <x v="6"/>
    <n v="3000"/>
    <n v="5004101"/>
    <s v="UNIDOCK'S ASSESSORIA E LOGISTICA DE"/>
    <n v="70.459999999999994"/>
    <d v="2025-03-31T00:00:00"/>
  </r>
  <r>
    <s v="Sem TR"/>
    <n v="64797948"/>
    <s v="ZRDI"/>
    <n v="10057122"/>
    <s v="D10"/>
    <s v="DEV D2C - Comprou modelo errado"/>
    <s v="COMERCIAL"/>
    <x v="2"/>
    <n v="58049815"/>
    <x v="1669"/>
    <s v="MA"/>
    <n v="474"/>
    <s v="Site Brastemp"/>
    <n v="1352"/>
    <s v="W11126536"/>
    <s v="Tampas Móveis"/>
    <x v="6"/>
    <n v="1000"/>
    <n v="5002359"/>
    <s v="EMPRESA BRASILEIRA DE CORREIOS E"/>
    <n v="70.41"/>
    <d v="2025-06-30T00:00:00"/>
  </r>
  <r>
    <n v="254024652"/>
    <n v="64804754"/>
    <s v="ZRDI"/>
    <n v="10095073"/>
    <n v="208"/>
    <s v="DEV-Atraso entrega- LOGISTICA(Transp)"/>
    <s v="TRANSPORTADORA"/>
    <x v="2"/>
    <n v="58102614"/>
    <x v="1670"/>
    <s v="SP"/>
    <n v="475"/>
    <s v="Site Consul"/>
    <n v="1352"/>
    <s v="W10866789"/>
    <s v="Kits Instalação"/>
    <x v="7"/>
    <n v="1000"/>
    <n v="5002359"/>
    <s v="EMPRESA BRASILEIRA DE CORREIOS E"/>
    <n v="70.400000000000006"/>
    <d v="2025-07-02T00:00:00"/>
  </r>
  <r>
    <n v="254027698"/>
    <n v="64807251"/>
    <s v="ZRDI"/>
    <n v="10094173"/>
    <n v="208"/>
    <s v="DEV-Atraso entrega- LOGISTICA(Transp)"/>
    <s v="TRANSPORTADORA"/>
    <x v="2"/>
    <n v="58101461"/>
    <x v="1671"/>
    <s v="SP"/>
    <n v="475"/>
    <s v="Site Consul"/>
    <n v="1352"/>
    <s v="W10866789"/>
    <s v="Kits Instalação"/>
    <x v="7"/>
    <n v="1000"/>
    <n v="5002359"/>
    <s v="EMPRESA BRASILEIRA DE CORREIOS E"/>
    <n v="70.400000000000006"/>
    <d v="2025-07-08T00:00:00"/>
  </r>
  <r>
    <s v="Sem TR"/>
    <n v="64816109"/>
    <s v="ZRDI"/>
    <n v="10139986"/>
    <s v="D10"/>
    <s v="DEV D2C - Comprou modelo errado"/>
    <s v="COMERCIAL"/>
    <x v="2"/>
    <n v="58161056"/>
    <x v="1672"/>
    <s v="SP"/>
    <n v="474"/>
    <s v="Site Brastemp"/>
    <n v="1352"/>
    <s v="W11359094"/>
    <s v="Outros"/>
    <x v="7"/>
    <n v="2000"/>
    <n v="5002359"/>
    <s v="EMPRESA BRASILEIRA DE CORREIOS E"/>
    <n v="70.34"/>
    <d v="2025-07-23T00:00:00"/>
  </r>
  <r>
    <s v="Sem TR"/>
    <n v="64816109"/>
    <s v="ZRDI"/>
    <n v="10139986"/>
    <s v="D10"/>
    <s v="DEV D2C - Comprou modelo errado"/>
    <s v="COMERCIAL"/>
    <x v="2"/>
    <n v="58161056"/>
    <x v="1672"/>
    <s v="SP"/>
    <n v="474"/>
    <s v="Site Brastemp"/>
    <n v="1352"/>
    <s v="W11359094"/>
    <s v="Outros"/>
    <x v="7"/>
    <n v="2000"/>
    <n v="5002359"/>
    <s v="EMPRESA BRASILEIRA DE CORREIOS E"/>
    <n v="70.34"/>
    <d v="2025-07-23T00:00:00"/>
  </r>
  <r>
    <n v="254003845"/>
    <n v="64778973"/>
    <s v="REB"/>
    <n v="10042288"/>
    <n v="104"/>
    <s v="PEÇAS-Código trocado(embalag X conteúdo)"/>
    <s v="LOGÍSTICA"/>
    <x v="2"/>
    <n v="2629"/>
    <x v="1673"/>
    <s v="RJ"/>
    <n v="931"/>
    <s v="Ats Off"/>
    <n v="1350"/>
    <s v="W10290362"/>
    <s v="Dispensers"/>
    <x v="9"/>
    <n v="1000"/>
    <n v="5003176"/>
    <s v="J C THEDIN TRANSPORTES LTDA"/>
    <n v="70.3"/>
    <d v="2025-05-27T00:00:00"/>
  </r>
  <r>
    <s v="Sem TR"/>
    <n v="64802435"/>
    <s v="REB"/>
    <n v="10083345"/>
    <n v="509"/>
    <s v="Qtd de peças a Menor dentro do Volume"/>
    <s v="LOGÍSTICA"/>
    <x v="1"/>
    <n v="89063"/>
    <x v="58"/>
    <s v="CE"/>
    <n v="644"/>
    <s v="Plus"/>
    <n v="1350"/>
    <s v="W10829873"/>
    <s v="Outros"/>
    <x v="7"/>
    <n v="1000"/>
    <n v="5002359"/>
    <s v="EMPRESA BRASILEIRA DE CORREIOS E"/>
    <n v="70.290000000000006"/>
    <d v="2025-07-01T00:00:00"/>
  </r>
  <r>
    <n v="254024840"/>
    <n v="64804952"/>
    <s v="ZRDI"/>
    <n v="10064583"/>
    <s v="D25"/>
    <s v="DEV D2C - Prob na entrega (Não recebi)"/>
    <s v="TRANSPORTADORA"/>
    <x v="2"/>
    <n v="54267045"/>
    <x v="1674"/>
    <s v="MG"/>
    <n v="475"/>
    <s v="Site Consul"/>
    <n v="1352"/>
    <s v="W10866789"/>
    <s v="Kits Instalação"/>
    <x v="7"/>
    <n v="1000"/>
    <n v="5002359"/>
    <s v="EMPRESA BRASILEIRA DE CORREIOS E"/>
    <n v="70.25"/>
    <d v="2025-07-03T00:00:00"/>
  </r>
  <r>
    <n v="254021267"/>
    <n v="64798922"/>
    <s v="ZRDI"/>
    <n v="10070870"/>
    <n v="208"/>
    <s v="DEV-Atraso entrega- LOGISTICA(Transp)"/>
    <s v="TRANSPORTADORA"/>
    <x v="2"/>
    <n v="5215326"/>
    <x v="1675"/>
    <s v="BA"/>
    <n v="466"/>
    <s v="Sup ML Marketplace"/>
    <n v="1352"/>
    <s v="W10632302"/>
    <s v="Válvulas de Água"/>
    <x v="5"/>
    <n v="1000"/>
    <n v="5002359"/>
    <s v="EMPRESA BRASILEIRA DE CORREIOS E"/>
    <n v="70.22"/>
    <d v="2025-06-26T00:00:00"/>
  </r>
  <r>
    <n v="253988788"/>
    <n v="64763878"/>
    <s v="REB"/>
    <n v="9751374"/>
    <n v="176"/>
    <s v="PEÇAS - Defeito de fabric./Interrompido"/>
    <s v="FUNCIONAL"/>
    <x v="1"/>
    <n v="3506"/>
    <x v="46"/>
    <s v="SP"/>
    <n v="931"/>
    <s v="Ats Off"/>
    <n v="1350"/>
    <s v="W10553783"/>
    <s v="Motores Ventiladores"/>
    <x v="1"/>
    <n v="1000"/>
    <n v="5004042"/>
    <s v="BRASIL WEB TRANSPORTES E LOGISTICA"/>
    <n v="70.2"/>
    <d v="2025-05-05T00:00:00"/>
  </r>
  <r>
    <n v="254042217"/>
    <n v="64796010"/>
    <s v="REB"/>
    <n v="9877015"/>
    <n v="176"/>
    <s v="PEÇAS - Defeito de fabric./Interrompido"/>
    <s v="FUNCIONAL"/>
    <x v="0"/>
    <n v="19716"/>
    <x v="252"/>
    <s v="SC"/>
    <n v="644"/>
    <s v="Plus"/>
    <n v="1350"/>
    <s v="W10678919"/>
    <s v="Placas de Controle"/>
    <x v="1"/>
    <n v="1000"/>
    <n v="5003024"/>
    <s v="RODOBRAS TRANSPORTES RODOVIARIOS LT"/>
    <n v="70.2"/>
    <d v="2025-06-23T00:00:00"/>
  </r>
  <r>
    <n v="254031861"/>
    <n v="64799657"/>
    <s v="REB"/>
    <n v="10067539"/>
    <n v="176"/>
    <s v="PEÇAS - Defeito de fabric./Interrompido"/>
    <s v="FUNCIONAL"/>
    <x v="0"/>
    <n v="3506"/>
    <x v="46"/>
    <s v="SP"/>
    <n v="931"/>
    <s v="Ats Off"/>
    <n v="1350"/>
    <s v="W10898330"/>
    <s v="Resistências"/>
    <x v="1"/>
    <n v="1000"/>
    <n v="5004042"/>
    <s v="BRASIL WEB TRANSPORTES E LOGISTICA"/>
    <n v="70.2"/>
    <d v="2025-07-01T00:00:00"/>
  </r>
  <r>
    <n v="254004039"/>
    <n v="64775713"/>
    <s v="REB"/>
    <n v="9773972"/>
    <n v="173"/>
    <s v="PEÇAS - Defeito de fabric./Alta Amperage"/>
    <s v="FUNCIONAL"/>
    <x v="2"/>
    <n v="67948"/>
    <x v="15"/>
    <s v="SC"/>
    <n v="713"/>
    <s v="Key Account"/>
    <n v="1350"/>
    <s v="W11023460"/>
    <s v="Placas de Controle"/>
    <x v="1"/>
    <n v="1000"/>
    <n v="5003024"/>
    <s v="RODOBRAS TRANSPORTES RODOVIARIOS LT"/>
    <n v="70.040000000000006"/>
    <d v="2025-05-26T00:00:00"/>
  </r>
  <r>
    <n v="253988953"/>
    <n v="64762141"/>
    <s v="REB"/>
    <n v="9924136"/>
    <n v="173"/>
    <s v="PEÇAS - Defeito de fabric./Alta Amperage"/>
    <s v="FUNCIONAL"/>
    <x v="2"/>
    <n v="87707"/>
    <x v="143"/>
    <s v="BA"/>
    <n v="648"/>
    <s v="Ultra"/>
    <n v="1350"/>
    <s v="W11163349"/>
    <s v="Placas de Controle"/>
    <x v="1"/>
    <n v="1000"/>
    <n v="5004101"/>
    <s v="UNIDOCK'S ASSESSORIA E LOGISTICA DE"/>
    <n v="70.03"/>
    <d v="2025-05-05T00:00:00"/>
  </r>
  <r>
    <n v="254022388"/>
    <n v="64800000"/>
    <s v="ZRDI"/>
    <n v="10104231"/>
    <s v="D10"/>
    <s v="DEV D2C - Comprou modelo errado"/>
    <s v="COMERCIAL"/>
    <x v="2"/>
    <n v="58113658"/>
    <x v="1215"/>
    <s v="RJ"/>
    <n v="475"/>
    <s v="Site Consul"/>
    <n v="1352"/>
    <s v="W10553052"/>
    <s v="Prateleiras"/>
    <x v="9"/>
    <n v="1000"/>
    <n v="5003972"/>
    <s v="ICARO EXPRESS LOGISTICA LTDA"/>
    <n v="69.91"/>
    <d v="2025-06-28T00:00:00"/>
  </r>
  <r>
    <s v="Sem TR"/>
    <n v="64778964"/>
    <s v="REB"/>
    <n v="10027591"/>
    <n v="509"/>
    <s v="Qtd de peças a Menor dentro do Volume"/>
    <s v="LOGÍSTICA"/>
    <x v="1"/>
    <n v="83572"/>
    <x v="105"/>
    <s v="SP"/>
    <n v="931"/>
    <s v="Ats Off"/>
    <n v="1350"/>
    <s v="W10519565"/>
    <s v="Parafusos e afins"/>
    <x v="10"/>
    <n v="20000"/>
    <n v="5002359"/>
    <s v="EMPRESA BRASILEIRA DE CORREIOS E"/>
    <n v="69.86"/>
    <d v="2025-05-27T00:00:00"/>
  </r>
  <r>
    <n v="254012523"/>
    <n v="64788978"/>
    <s v="REB"/>
    <n v="10057657"/>
    <n v="167"/>
    <s v="PEÇAS - Avaria - Quebrada/Depósito"/>
    <s v="LOGÍSTICA"/>
    <x v="1"/>
    <n v="38442"/>
    <x v="943"/>
    <s v="RS"/>
    <n v="641"/>
    <s v="CDP Diamante"/>
    <n v="1350"/>
    <s v="W10758992"/>
    <s v="Gavetas"/>
    <x v="9"/>
    <n v="1000"/>
    <n v="5003024"/>
    <s v="RODOBRAS TRANSPORTES RODOVIARIOS LT"/>
    <n v="69.77"/>
    <d v="2025-06-10T00:00:00"/>
  </r>
  <r>
    <n v="253981503"/>
    <n v="64743257"/>
    <s v="REB"/>
    <n v="9890006"/>
    <n v="167"/>
    <s v="PEÇAS - Avaria - Quebrada/Depósito"/>
    <s v="LOGÍSTICA"/>
    <x v="1"/>
    <n v="33113"/>
    <x v="1554"/>
    <s v="SP"/>
    <n v="641"/>
    <s v="CDP Diamante"/>
    <n v="1350"/>
    <s v="W10796892"/>
    <s v="Agitadores"/>
    <x v="2"/>
    <n v="1000"/>
    <n v="5004042"/>
    <s v="BRASIL WEB TRANSPORTES E LOGISTICA"/>
    <n v="69.739999999999995"/>
    <d v="2025-04-16T00:00:00"/>
  </r>
  <r>
    <s v="Sem TR"/>
    <n v="64814933"/>
    <s v="ZRDI"/>
    <n v="10142542"/>
    <s v="D10"/>
    <s v="DEV D2C - Comprou modelo errado"/>
    <s v="COMERCIAL"/>
    <x v="2"/>
    <n v="58114684"/>
    <x v="1676"/>
    <s v="PR"/>
    <n v="474"/>
    <s v="Site Brastemp"/>
    <n v="1352"/>
    <s v="W10651147"/>
    <s v="Trempes"/>
    <x v="6"/>
    <n v="1000"/>
    <n v="5002359"/>
    <s v="EMPRESA BRASILEIRA DE CORREIOS E"/>
    <n v="69.7"/>
    <d v="2025-07-25T00:00:00"/>
  </r>
  <r>
    <s v="Sem TR"/>
    <n v="64814933"/>
    <s v="ZRDI"/>
    <n v="10142542"/>
    <s v="D10"/>
    <s v="DEV D2C - Comprou modelo errado"/>
    <s v="COMERCIAL"/>
    <x v="2"/>
    <n v="58114684"/>
    <x v="1676"/>
    <s v="PR"/>
    <n v="474"/>
    <s v="Site Brastemp"/>
    <n v="1352"/>
    <s v="W10651147"/>
    <s v="Trempes"/>
    <x v="6"/>
    <n v="1000"/>
    <n v="5002359"/>
    <s v="EMPRESA BRASILEIRA DE CORREIOS E"/>
    <n v="69.7"/>
    <d v="2025-07-25T00:00:00"/>
  </r>
  <r>
    <s v="Sem TR"/>
    <n v="64817535"/>
    <s v="REB"/>
    <n v="10137715"/>
    <n v="173"/>
    <s v="PEÇAS - Defeito de fabric./Alta Amperage"/>
    <s v="FUNCIONAL"/>
    <x v="1"/>
    <n v="66"/>
    <x v="73"/>
    <s v="GO"/>
    <n v="931"/>
    <s v="Ats Off"/>
    <n v="1350"/>
    <s v="W10829873"/>
    <s v="Outros"/>
    <x v="7"/>
    <n v="1000"/>
    <n v="5002858"/>
    <s v="FAVORITA TRANSPORTES LTDA"/>
    <n v="69.63"/>
    <d v="2025-07-25T00:00:00"/>
  </r>
  <r>
    <n v="254033097"/>
    <n v="64807549"/>
    <s v="REB"/>
    <n v="10072344"/>
    <n v="173"/>
    <s v="PEÇAS - Defeito de fabric./Alta Amperage"/>
    <s v="FUNCIONAL"/>
    <x v="2"/>
    <n v="66"/>
    <x v="73"/>
    <s v="GO"/>
    <n v="931"/>
    <s v="Ats Off"/>
    <n v="1350"/>
    <s v="W10829873"/>
    <s v="Outros"/>
    <x v="7"/>
    <n v="1000"/>
    <n v="5002858"/>
    <s v="FAVORITA TRANSPORTES LTDA"/>
    <n v="69.63"/>
    <d v="2025-07-08T00:00:00"/>
  </r>
  <r>
    <s v="Sem TR"/>
    <n v="64811027"/>
    <s v="ZRDI"/>
    <n v="10125479"/>
    <s v="D10"/>
    <s v="DEV D2C - Comprou modelo errado"/>
    <s v="COMERCIAL"/>
    <x v="2"/>
    <n v="58138779"/>
    <x v="1642"/>
    <s v="SP"/>
    <n v="475"/>
    <s v="Site Consul"/>
    <n v="1352"/>
    <s v="W10351688"/>
    <s v="Capas Queimadores"/>
    <x v="12"/>
    <n v="3000"/>
    <n v="5002359"/>
    <s v="EMPRESA BRASILEIRA DE CORREIOS E"/>
    <n v="69.510000000000005"/>
    <d v="2025-07-16T00:00:00"/>
  </r>
  <r>
    <s v="Sem TR"/>
    <n v="64697412"/>
    <s v="ROB"/>
    <n v="9811218"/>
    <n v="221"/>
    <s v="DEV-Sinistro - SEGURO"/>
    <s v="TRANSPORTADORA"/>
    <x v="0"/>
    <n v="76307"/>
    <x v="434"/>
    <s v="SC"/>
    <n v="350"/>
    <s v="Ats On"/>
    <n v="1350"/>
    <s v="W10169457"/>
    <s v="Prateleiras"/>
    <x v="9"/>
    <n v="2000"/>
    <n v="5003024"/>
    <s v="RODOBRAS TRANSPORTES RODOVIARIOS LT"/>
    <n v="69.47"/>
    <d v="2025-01-28T00:00:00"/>
  </r>
  <r>
    <n v="254012189"/>
    <n v="64790300"/>
    <s v="ZRDI"/>
    <n v="10010863"/>
    <n v="208"/>
    <s v="DEV-Atraso entrega- LOGISTICA(Transp)"/>
    <s v="TRANSPORTADORA"/>
    <x v="2"/>
    <n v="57997441"/>
    <x v="1677"/>
    <s v="MG"/>
    <n v="466"/>
    <s v="Sup ML Marketplace"/>
    <n v="1352"/>
    <s v="W10632302"/>
    <s v="Válvulas de Água"/>
    <x v="5"/>
    <n v="1000"/>
    <n v="5002359"/>
    <s v="EMPRESA BRASILEIRA DE CORREIOS E"/>
    <n v="69.36"/>
    <d v="2025-06-11T00:00:00"/>
  </r>
  <r>
    <s v="Sem TR"/>
    <n v="64787153"/>
    <s v="ZRDI"/>
    <n v="10086135"/>
    <s v="D10"/>
    <s v="DEV D2C - Comprou modelo errado"/>
    <s v="COMERCIAL"/>
    <x v="2"/>
    <n v="58012764"/>
    <x v="1678"/>
    <s v="CE"/>
    <n v="474"/>
    <s v="Site Brastemp"/>
    <n v="1352"/>
    <s v="W10455522"/>
    <s v="Prateleiras"/>
    <x v="9"/>
    <n v="1000"/>
    <n v="5002359"/>
    <s v="EMPRESA BRASILEIRA DE CORREIOS E"/>
    <n v="69.349999999999994"/>
    <d v="2025-06-26T00:00:00"/>
  </r>
  <r>
    <s v="Sem TR"/>
    <n v="64798973"/>
    <s v="ZRDI"/>
    <n v="10116043"/>
    <s v="D10"/>
    <s v="DEV D2C - Comprou modelo errado"/>
    <s v="COMERCIAL"/>
    <x v="2"/>
    <n v="5910032"/>
    <x v="1679"/>
    <s v="RJ"/>
    <n v="474"/>
    <s v="Site Brastemp"/>
    <n v="1352"/>
    <n v="326005854"/>
    <s v="Sensores"/>
    <x v="3"/>
    <n v="1000"/>
    <n v="5002359"/>
    <s v="EMPRESA BRASILEIRA DE CORREIOS E"/>
    <n v="69.290000000000006"/>
    <d v="2025-07-14T00:00:00"/>
  </r>
  <r>
    <s v="Sem TR"/>
    <n v="64798973"/>
    <s v="ZRDI"/>
    <n v="10116043"/>
    <s v="D10"/>
    <s v="DEV D2C - Comprou modelo errado"/>
    <s v="COMERCIAL"/>
    <x v="2"/>
    <n v="5910032"/>
    <x v="1679"/>
    <s v="RJ"/>
    <n v="474"/>
    <s v="Site Brastemp"/>
    <n v="1352"/>
    <n v="326005854"/>
    <s v="Sensores"/>
    <x v="3"/>
    <n v="1000"/>
    <n v="5002359"/>
    <s v="EMPRESA BRASILEIRA DE CORREIOS E"/>
    <n v="69.290000000000006"/>
    <d v="2025-07-14T00:00:00"/>
  </r>
  <r>
    <n v="254034818"/>
    <n v="64813327"/>
    <s v="ZRDI"/>
    <n v="8983060"/>
    <n v="208"/>
    <s v="DEV-Atraso entrega- LOGISTICA(Transp)"/>
    <s v="TRANSPORTADORA"/>
    <x v="2"/>
    <n v="54453947"/>
    <x v="1023"/>
    <s v="RJ"/>
    <n v="475"/>
    <s v="Site Consul"/>
    <n v="1352"/>
    <n v="326047714"/>
    <s v="Prateleiras"/>
    <x v="9"/>
    <n v="1000"/>
    <n v="5002359"/>
    <s v="EMPRESA BRASILEIRA DE CORREIOS E"/>
    <n v="69.27"/>
    <d v="2025-07-18T00:00:00"/>
  </r>
  <r>
    <n v="254034818"/>
    <n v="64813327"/>
    <s v="ZRDI"/>
    <n v="8983060"/>
    <n v="208"/>
    <s v="DEV-Atraso entrega- LOGISTICA(Transp)"/>
    <s v="TRANSPORTADORA"/>
    <x v="2"/>
    <n v="54453947"/>
    <x v="1023"/>
    <s v="RJ"/>
    <n v="475"/>
    <s v="Site Consul"/>
    <n v="1352"/>
    <n v="326047714"/>
    <s v="Prateleiras"/>
    <x v="9"/>
    <n v="1000"/>
    <n v="5002359"/>
    <s v="EMPRESA BRASILEIRA DE CORREIOS E"/>
    <n v="69.27"/>
    <d v="2025-07-18T00:00:00"/>
  </r>
  <r>
    <n v="254004005"/>
    <n v="64773126"/>
    <s v="REB"/>
    <n v="10031072"/>
    <n v="167"/>
    <s v="PEÇAS - Avaria - Quebrada/Depósito"/>
    <s v="LOGÍSTICA"/>
    <x v="1"/>
    <n v="52520"/>
    <x v="292"/>
    <s v="RJ"/>
    <n v="713"/>
    <s v="Key Account"/>
    <n v="1350"/>
    <s v="W10398757"/>
    <s v="Prateleiras"/>
    <x v="9"/>
    <n v="2000"/>
    <n v="5003176"/>
    <s v="J C THEDIN TRANSPORTES LTDA"/>
    <n v="69.2"/>
    <d v="2025-05-26T00:00:00"/>
  </r>
  <r>
    <n v="253918549"/>
    <n v="64691777"/>
    <s v="REB"/>
    <n v="9734180"/>
    <n v="176"/>
    <s v="PEÇAS - Defeito de fabric./Interrompido"/>
    <s v="FUNCIONAL"/>
    <x v="1"/>
    <n v="12692"/>
    <x v="82"/>
    <s v="BA"/>
    <n v="644"/>
    <s v="Plus"/>
    <n v="1350"/>
    <s v="W11226018"/>
    <s v="Motores Ventiladores"/>
    <x v="1"/>
    <n v="1000"/>
    <n v="5004101"/>
    <s v="UNIDOCK'S ASSESSORIA E LOGISTICA DE"/>
    <n v="69.08"/>
    <d v="2025-01-15T00:00:00"/>
  </r>
  <r>
    <s v="Sem TR"/>
    <n v="64733177"/>
    <s v="REB"/>
    <n v="9958206"/>
    <n v="671"/>
    <s v="DEV-ENVIADO PARA GESTÃO DE CONSEQUENCIA"/>
    <s v="TRANSPORTADORA"/>
    <x v="1"/>
    <n v="72786"/>
    <x v="41"/>
    <s v="SC"/>
    <n v="643"/>
    <s v="Elite"/>
    <n v="1350"/>
    <s v="W11396368"/>
    <s v="Gavetas"/>
    <x v="9"/>
    <n v="1000"/>
    <n v="5003024"/>
    <s v="RODOBRAS TRANSPORTES RODOVIARIOS LT"/>
    <n v="69"/>
    <d v="2025-04-08T00:00:00"/>
  </r>
  <r>
    <n v="253989798"/>
    <n v="64765040"/>
    <s v="REB"/>
    <n v="9994702"/>
    <n v="167"/>
    <s v="PEÇAS - Avaria - Quebrada/Depósito"/>
    <s v="LOGÍSTICA"/>
    <x v="1"/>
    <n v="14474"/>
    <x v="25"/>
    <s v="RN"/>
    <n v="648"/>
    <s v="Ultra"/>
    <n v="1350"/>
    <s v="W10169464"/>
    <s v="Defletores/Difusores"/>
    <x v="5"/>
    <n v="4000"/>
    <n v="5004101"/>
    <s v="UNIDOCK'S ASSESSORIA E LOGISTICA DE"/>
    <n v="68.97"/>
    <d v="2025-05-07T00:00:00"/>
  </r>
  <r>
    <n v="254034410"/>
    <n v="64813037"/>
    <s v="ROB"/>
    <n v="10113495"/>
    <n v="208"/>
    <s v="DEV-Atraso entrega- LOGISTICA(Transp)"/>
    <s v="TRANSPORTADORA"/>
    <x v="0"/>
    <n v="3625"/>
    <x v="324"/>
    <s v="SP"/>
    <n v="350"/>
    <s v="Ats On"/>
    <n v="1350"/>
    <s v="W10849470"/>
    <s v="Bombas"/>
    <x v="1"/>
    <n v="2000"/>
    <n v="5004101"/>
    <s v="UNIDOCK'S ASSESSORIA E LOGISTICA DE"/>
    <n v="68.95"/>
    <d v="2025-07-18T00:00:00"/>
  </r>
  <r>
    <s v="Sem TR"/>
    <n v="64808184"/>
    <s v="ZRDI"/>
    <n v="10106354"/>
    <s v="D11"/>
    <s v="DEV D2C - Comprou prod dimensão errada"/>
    <s v="COMERCIAL"/>
    <x v="2"/>
    <n v="58117091"/>
    <x v="1680"/>
    <s v="MG"/>
    <n v="474"/>
    <s v="Site Brastemp"/>
    <n v="1352"/>
    <s v="W11109376"/>
    <s v="Prateleiras"/>
    <x v="9"/>
    <n v="1000"/>
    <n v="5002359"/>
    <s v="EMPRESA BRASILEIRA DE CORREIOS E"/>
    <n v="68.89"/>
    <d v="2025-07-10T00:00:00"/>
  </r>
  <r>
    <s v="Sem TR"/>
    <n v="64804105"/>
    <s v="ZRDI"/>
    <n v="10084557"/>
    <s v="D10"/>
    <s v="DEV D2C - Comprou modelo errado"/>
    <s v="COMERCIAL"/>
    <x v="2"/>
    <n v="51645808"/>
    <x v="584"/>
    <s v="MG"/>
    <n v="474"/>
    <s v="Site Brastemp"/>
    <n v="1352"/>
    <s v="W10455522"/>
    <s v="Prateleiras"/>
    <x v="9"/>
    <n v="1000"/>
    <n v="5002359"/>
    <s v="EMPRESA BRASILEIRA DE CORREIOS E"/>
    <n v="68.77"/>
    <d v="2025-07-03T00:00:00"/>
  </r>
  <r>
    <s v="Sem TR"/>
    <n v="64804105"/>
    <s v="ZRDI"/>
    <n v="10084557"/>
    <s v="D10"/>
    <s v="DEV D2C - Comprou modelo errado"/>
    <s v="COMERCIAL"/>
    <x v="2"/>
    <n v="51645808"/>
    <x v="584"/>
    <s v="MG"/>
    <n v="474"/>
    <s v="Site Brastemp"/>
    <n v="1352"/>
    <s v="W10455522"/>
    <s v="Prateleiras"/>
    <x v="9"/>
    <n v="1000"/>
    <n v="5002359"/>
    <s v="EMPRESA BRASILEIRA DE CORREIOS E"/>
    <n v="68.77"/>
    <d v="2025-07-03T00:00:00"/>
  </r>
  <r>
    <n v="253961329"/>
    <n v="64737883"/>
    <s v="REB"/>
    <n v="9886945"/>
    <n v="173"/>
    <s v="PEÇAS - Defeito de fabric./Alta Amperage"/>
    <s v="FUNCIONAL"/>
    <x v="2"/>
    <n v="34365"/>
    <x v="339"/>
    <s v="CE"/>
    <n v="931"/>
    <s v="Ats Off"/>
    <n v="1350"/>
    <s v="W10829873"/>
    <s v="Outros"/>
    <x v="7"/>
    <n v="1000"/>
    <n v="5004101"/>
    <s v="UNIDOCK'S ASSESSORIA E LOGISTICA DE"/>
    <n v="68.709999999999994"/>
    <d v="2025-03-26T00:00:00"/>
  </r>
  <r>
    <s v="Sem TR"/>
    <n v="64768432"/>
    <s v="ROB"/>
    <n v="50608"/>
    <n v="25"/>
    <s v="OC. 80 - EXTRAVIO TOTAL"/>
    <s v="TRANSPORTADORA"/>
    <x v="2"/>
    <n v="90230"/>
    <x v="408"/>
    <s v="BA"/>
    <n v="932"/>
    <s v="CDP Prata"/>
    <n v="1550"/>
    <s v="W11551361"/>
    <s v="Peças Mecanismos"/>
    <x v="2"/>
    <n v="6000"/>
    <n v="5004391"/>
    <s v="JEONCEL TRANSPORTES LTDA"/>
    <n v="68.680000000000007"/>
    <d v="2025-05-12T00:00:00"/>
  </r>
  <r>
    <n v="254012459"/>
    <n v="64786922"/>
    <s v="REB"/>
    <n v="10046785"/>
    <n v="167"/>
    <s v="PEÇAS - Avaria - Quebrada/Depósito"/>
    <s v="LOGÍSTICA"/>
    <x v="0"/>
    <n v="9272"/>
    <x v="395"/>
    <s v="RS"/>
    <n v="931"/>
    <s v="Ats Off"/>
    <n v="1350"/>
    <s v="W10615885"/>
    <s v="Trempes"/>
    <x v="6"/>
    <n v="1000"/>
    <n v="5003024"/>
    <s v="RODOBRAS TRANSPORTES RODOVIARIOS LT"/>
    <n v="68.680000000000007"/>
    <d v="2025-06-10T00:00:00"/>
  </r>
  <r>
    <n v="253952523"/>
    <n v="64728452"/>
    <s v="REB"/>
    <n v="9878708"/>
    <n v="167"/>
    <s v="PEÇAS - Avaria - Quebrada/Depósito"/>
    <s v="LOGÍSTICA"/>
    <x v="1"/>
    <n v="80252"/>
    <x v="1681"/>
    <s v="SP"/>
    <n v="932"/>
    <s v="CDP Prata"/>
    <n v="1350"/>
    <s v="W10796892"/>
    <s v="Agitadores"/>
    <x v="2"/>
    <n v="1000"/>
    <n v="5004042"/>
    <s v="BRASIL WEB TRANSPORTES E LOGISTICA"/>
    <n v="68.64"/>
    <d v="2025-03-10T00:00:00"/>
  </r>
  <r>
    <s v="Sem TR"/>
    <n v="64798780"/>
    <s v="ZRDI"/>
    <n v="10070814"/>
    <s v="D18"/>
    <s v="DEV D2C - Arrependimento não quero mais"/>
    <s v="COMERCIAL"/>
    <x v="2"/>
    <n v="58068589"/>
    <x v="1682"/>
    <s v="RS"/>
    <n v="475"/>
    <s v="Site Consul"/>
    <n v="1352"/>
    <s v="W10921095"/>
    <s v="Kits Instalação"/>
    <x v="7"/>
    <n v="1000"/>
    <n v="5002359"/>
    <s v="EMPRESA BRASILEIRA DE CORREIOS E"/>
    <n v="68.63"/>
    <d v="2025-07-01T00:00:00"/>
  </r>
  <r>
    <s v="Sem TR"/>
    <n v="64690939"/>
    <s v="REB"/>
    <n v="9764439"/>
    <n v="671"/>
    <s v="DEV-ENVIADO PARA GESTÃO DE CONSEQUENCIA"/>
    <s v="TRANSPORTADORA"/>
    <x v="1"/>
    <n v="28181"/>
    <x v="566"/>
    <s v="GO"/>
    <n v="643"/>
    <s v="Elite"/>
    <n v="1350"/>
    <s v="W10829873"/>
    <s v="Outros"/>
    <x v="7"/>
    <n v="1000"/>
    <n v="5002858"/>
    <s v="FAVORITA TRANSPORTES LTDA"/>
    <n v="68.599999999999994"/>
    <d v="2025-01-14T00:00:00"/>
  </r>
  <r>
    <s v="Sem TR"/>
    <n v="64658415"/>
    <s v="ROB"/>
    <n v="9675575"/>
    <n v="25"/>
    <s v="OC. 80 - EXTRAVIO TOTAL"/>
    <s v="TRANSPORTADORA"/>
    <x v="0"/>
    <n v="31978"/>
    <x v="370"/>
    <s v="PE"/>
    <n v="350"/>
    <s v="Ats On"/>
    <n v="1350"/>
    <s v="W10758992"/>
    <s v="Gavetas"/>
    <x v="9"/>
    <n v="1000"/>
    <n v="5004101"/>
    <s v="UNIDOCK'S ASSESSORIA E LOGISTICA DE"/>
    <n v="68.569999999999993"/>
    <d v="2024-12-03T00:00:00"/>
  </r>
  <r>
    <n v="254035333"/>
    <n v="64812266"/>
    <s v="REB"/>
    <n v="10107211"/>
    <n v="167"/>
    <s v="PEÇAS - Avaria - Quebrada/Depósito"/>
    <s v="LOGÍSTICA"/>
    <x v="0"/>
    <n v="4189"/>
    <x v="426"/>
    <s v="CE"/>
    <n v="931"/>
    <s v="Ats Off"/>
    <n v="1350"/>
    <s v="W10347201"/>
    <s v="Prateleiras"/>
    <x v="9"/>
    <n v="1000"/>
    <n v="5004101"/>
    <s v="UNIDOCK'S ASSESSORIA E LOGISTICA DE"/>
    <n v="68.540000000000006"/>
    <d v="2025-07-17T00:00:00"/>
  </r>
  <r>
    <n v="254035363"/>
    <n v="64812587"/>
    <s v="REB"/>
    <n v="9480704"/>
    <n v="173"/>
    <s v="PEÇAS - Defeito de fabric./Alta Amperage"/>
    <s v="FUNCIONAL"/>
    <x v="0"/>
    <n v="27770"/>
    <x v="37"/>
    <s v="AL"/>
    <n v="641"/>
    <s v="CDP Diamante"/>
    <n v="1350"/>
    <s v="W11634491"/>
    <s v="Placas de Controle"/>
    <x v="1"/>
    <n v="1000"/>
    <n v="5004101"/>
    <s v="UNIDOCK'S ASSESSORIA E LOGISTICA DE"/>
    <n v="68.540000000000006"/>
    <d v="2025-07-17T00:00:00"/>
  </r>
  <r>
    <n v="254040405"/>
    <n v="64818309"/>
    <s v="ZRDI"/>
    <n v="10108055"/>
    <n v="208"/>
    <s v="DEV-Atraso entrega- LOGISTICA(Transp)"/>
    <s v="TRANSPORTADORA"/>
    <x v="2"/>
    <n v="5616413"/>
    <x v="1683"/>
    <s v="ES"/>
    <n v="474"/>
    <s v="Site Brastemp"/>
    <n v="1352"/>
    <s v="W10347202"/>
    <s v="Gavetas"/>
    <x v="9"/>
    <n v="1000"/>
    <n v="5002359"/>
    <s v="EMPRESA BRASILEIRA DE CORREIOS E"/>
    <n v="68.42"/>
    <d v="2025-07-26T00:00:00"/>
  </r>
  <r>
    <n v="254040405"/>
    <n v="64818309"/>
    <s v="ZRDI"/>
    <n v="10108055"/>
    <n v="208"/>
    <s v="DEV-Atraso entrega- LOGISTICA(Transp)"/>
    <s v="TRANSPORTADORA"/>
    <x v="2"/>
    <n v="5616413"/>
    <x v="1683"/>
    <s v="ES"/>
    <n v="474"/>
    <s v="Site Brastemp"/>
    <n v="1352"/>
    <s v="W10347202"/>
    <s v="Gavetas"/>
    <x v="9"/>
    <n v="1000"/>
    <n v="5002359"/>
    <s v="EMPRESA BRASILEIRA DE CORREIOS E"/>
    <n v="68.42"/>
    <d v="2025-07-26T00:00:00"/>
  </r>
  <r>
    <s v="Sem TR"/>
    <n v="64815591"/>
    <s v="ZRDI"/>
    <n v="10139980"/>
    <s v="D10"/>
    <s v="DEV D2C - Comprou modelo errado"/>
    <s v="COMERCIAL"/>
    <x v="2"/>
    <n v="58160622"/>
    <x v="1684"/>
    <s v="SP"/>
    <n v="746"/>
    <s v="Marketplace B2W"/>
    <n v="1352"/>
    <n v="326027776"/>
    <s v="Prateleiras"/>
    <x v="9"/>
    <n v="1000"/>
    <n v="5002359"/>
    <s v="EMPRESA BRASILEIRA DE CORREIOS E"/>
    <n v="68.25"/>
    <d v="2025-07-28T00:00:00"/>
  </r>
  <r>
    <s v="Sem TR"/>
    <n v="64815591"/>
    <s v="ZRDI"/>
    <n v="10139980"/>
    <s v="D10"/>
    <s v="DEV D2C - Comprou modelo errado"/>
    <s v="COMERCIAL"/>
    <x v="2"/>
    <n v="58160622"/>
    <x v="1684"/>
    <s v="SP"/>
    <n v="746"/>
    <s v="Marketplace B2W"/>
    <n v="1352"/>
    <n v="326027776"/>
    <s v="Prateleiras"/>
    <x v="9"/>
    <n v="1000"/>
    <n v="5002359"/>
    <s v="EMPRESA BRASILEIRA DE CORREIOS E"/>
    <n v="68.25"/>
    <d v="2025-07-28T00:00:00"/>
  </r>
  <r>
    <n v="253970781"/>
    <n v="64739137"/>
    <s v="REB"/>
    <n v="9684802"/>
    <n v="173"/>
    <s v="PEÇAS - Defeito de fabric./Alta Amperage"/>
    <s v="FUNCIONAL"/>
    <x v="1"/>
    <n v="30416"/>
    <x v="136"/>
    <s v="AM"/>
    <n v="648"/>
    <s v="Ultra"/>
    <n v="1350"/>
    <s v="W10678918"/>
    <s v="Placas de Controle"/>
    <x v="1"/>
    <n v="1000"/>
    <n v="5002858"/>
    <s v="FAVORITA TRANSPORTES LTDA"/>
    <n v="68.14"/>
    <d v="2025-04-09T00:00:00"/>
  </r>
  <r>
    <s v="Sem TR"/>
    <n v="64728963"/>
    <s v="REB"/>
    <n v="9889320"/>
    <n v="509"/>
    <s v="Qtd de peças a Menor dentro do Volume"/>
    <s v="LOGÍSTICA"/>
    <x v="2"/>
    <n v="28434"/>
    <x v="112"/>
    <s v="DF"/>
    <n v="648"/>
    <s v="Ultra"/>
    <n v="1350"/>
    <s v="W10678919"/>
    <s v="Placas de Controle"/>
    <x v="1"/>
    <n v="1000"/>
    <n v="5002359"/>
    <s v="EMPRESA BRASILEIRA DE CORREIOS E"/>
    <n v="68.099999999999994"/>
    <d v="2025-03-10T00:00:00"/>
  </r>
  <r>
    <n v="254020437"/>
    <n v="64798141"/>
    <s v="ZRDI"/>
    <n v="10047912"/>
    <n v="208"/>
    <s v="DEV-Atraso entrega- LOGISTICA(Transp)"/>
    <s v="TRANSPORTADORA"/>
    <x v="2"/>
    <n v="58038947"/>
    <x v="1685"/>
    <s v="PE"/>
    <n v="475"/>
    <s v="Site Consul"/>
    <n v="1352"/>
    <s v="W11444660"/>
    <s v="Tampas Móveis"/>
    <x v="6"/>
    <n v="1000"/>
    <n v="5002359"/>
    <s v="EMPRESA BRASILEIRA DE CORREIOS E"/>
    <n v="68.08"/>
    <d v="2025-06-25T00:00:00"/>
  </r>
  <r>
    <n v="253983937"/>
    <n v="64758242"/>
    <s v="REB"/>
    <n v="9983551"/>
    <n v="167"/>
    <s v="PEÇAS - Avaria - Quebrada/Depósito"/>
    <s v="LOGÍSTICA"/>
    <x v="1"/>
    <n v="53319"/>
    <x v="172"/>
    <s v="PR"/>
    <n v="644"/>
    <s v="Plus"/>
    <n v="1350"/>
    <s v="W10553055"/>
    <s v="Prateleiras"/>
    <x v="9"/>
    <n v="2000"/>
    <n v="5003024"/>
    <s v="RODOBRAS TRANSPORTES RODOVIARIOS LT"/>
    <n v="68.03"/>
    <d v="2025-04-28T00:00:00"/>
  </r>
  <r>
    <n v="253903210"/>
    <n v="64671721"/>
    <s v="REB"/>
    <n v="9619465"/>
    <n v="671"/>
    <s v="DEV-ENVIADO PARA GESTÃO DE CONSEQUENCIA"/>
    <s v="TRANSPORTADORA"/>
    <x v="1"/>
    <n v="46511"/>
    <x v="281"/>
    <s v="SC"/>
    <n v="932"/>
    <s v="CDP Prata"/>
    <n v="1350"/>
    <s v="W10678923"/>
    <s v="Placas de Controle"/>
    <x v="1"/>
    <n v="1000"/>
    <n v="5003024"/>
    <s v="RODOBRAS TRANSPORTES RODOVIARIOS LT"/>
    <n v="67.989999999999995"/>
    <d v="2024-12-18T00:00:00"/>
  </r>
  <r>
    <n v="254024654"/>
    <n v="64804756"/>
    <s v="ZRDI"/>
    <n v="10095799"/>
    <n v="208"/>
    <s v="DEV-Atraso entrega- LOGISTICA(Transp)"/>
    <s v="TRANSPORTADORA"/>
    <x v="2"/>
    <n v="58103931"/>
    <x v="1686"/>
    <s v="RJ"/>
    <n v="466"/>
    <s v="Sup ML Marketplace"/>
    <n v="1352"/>
    <s v="W11132264"/>
    <s v="Trempes"/>
    <x v="6"/>
    <n v="1000"/>
    <n v="5002359"/>
    <s v="EMPRESA BRASILEIRA DE CORREIOS E"/>
    <n v="67.94"/>
    <d v="2025-07-02T00:00:00"/>
  </r>
  <r>
    <s v="Sem TR"/>
    <n v="64726072"/>
    <s v="REB"/>
    <n v="9849900"/>
    <n v="160"/>
    <s v="OI Cancelada - Ver motivo no texto"/>
    <s v="OUTROS"/>
    <x v="1"/>
    <n v="38442"/>
    <x v="943"/>
    <s v="RS"/>
    <n v="641"/>
    <s v="CDP Diamante"/>
    <n v="1350"/>
    <s v="W10758992"/>
    <s v="Gavetas"/>
    <x v="9"/>
    <n v="1000"/>
    <n v="5003024"/>
    <s v="RODOBRAS TRANSPORTES RODOVIARIOS LT"/>
    <n v="67.87"/>
    <d v="2025-03-07T00:00:00"/>
  </r>
  <r>
    <s v="Sem TR"/>
    <n v="64807327"/>
    <s v="ZRDI"/>
    <n v="10082586"/>
    <s v="D37"/>
    <s v="DEV D2C - Prod recebido em duplicidade"/>
    <s v="COMERCIAL"/>
    <x v="2"/>
    <n v="4775752"/>
    <x v="1687"/>
    <s v="DF"/>
    <n v="474"/>
    <s v="Site Brastemp"/>
    <n v="1352"/>
    <n v="326050118"/>
    <s v="Capas Queimadores"/>
    <x v="12"/>
    <n v="1000"/>
    <n v="5002359"/>
    <s v="EMPRESA BRASILEIRA DE CORREIOS E"/>
    <n v="67.87"/>
    <d v="2025-07-10T00:00:00"/>
  </r>
  <r>
    <s v="Sem TR"/>
    <n v="64807327"/>
    <s v="ZRDI"/>
    <n v="10082586"/>
    <s v="D37"/>
    <s v="DEV D2C - Prod recebido em duplicidade"/>
    <s v="COMERCIAL"/>
    <x v="2"/>
    <n v="4775752"/>
    <x v="1687"/>
    <s v="DF"/>
    <n v="474"/>
    <s v="Site Brastemp"/>
    <n v="1352"/>
    <n v="326050118"/>
    <s v="Capas Queimadores"/>
    <x v="12"/>
    <n v="1000"/>
    <n v="5002359"/>
    <s v="EMPRESA BRASILEIRA DE CORREIOS E"/>
    <n v="67.87"/>
    <d v="2025-07-10T00:00:00"/>
  </r>
  <r>
    <n v="254035939"/>
    <n v="64814044"/>
    <s v="ZRDI"/>
    <n v="10127925"/>
    <n v="208"/>
    <s v="DEV-Atraso entrega- LOGISTICA(Transp)"/>
    <s v="TRANSPORTADORA"/>
    <x v="2"/>
    <n v="58145064"/>
    <x v="1688"/>
    <s v="BA"/>
    <n v="475"/>
    <s v="Site Consul"/>
    <n v="1352"/>
    <s v="W10549270"/>
    <s v="Prateleiras"/>
    <x v="9"/>
    <n v="1000"/>
    <n v="5002359"/>
    <s v="EMPRESA BRASILEIRA DE CORREIOS E"/>
    <n v="67.86"/>
    <d v="2025-07-21T00:00:00"/>
  </r>
  <r>
    <n v="254035939"/>
    <n v="64814044"/>
    <s v="ZRDI"/>
    <n v="10127925"/>
    <n v="208"/>
    <s v="DEV-Atraso entrega- LOGISTICA(Transp)"/>
    <s v="TRANSPORTADORA"/>
    <x v="2"/>
    <n v="58145064"/>
    <x v="1688"/>
    <s v="BA"/>
    <n v="475"/>
    <s v="Site Consul"/>
    <n v="1352"/>
    <s v="W10549270"/>
    <s v="Prateleiras"/>
    <x v="9"/>
    <n v="1000"/>
    <n v="5002359"/>
    <s v="EMPRESA BRASILEIRA DE CORREIOS E"/>
    <n v="67.86"/>
    <d v="2025-07-21T00:00:00"/>
  </r>
  <r>
    <s v="Sem TR"/>
    <n v="64812453"/>
    <s v="REB"/>
    <n v="10017734"/>
    <n v="173"/>
    <s v="PEÇAS - Defeito de fabric./Alta Amperage"/>
    <s v="FUNCIONAL"/>
    <x v="1"/>
    <n v="47026"/>
    <x v="16"/>
    <s v="BA"/>
    <n v="643"/>
    <s v="Elite"/>
    <n v="1350"/>
    <s v="W10678919"/>
    <s v="Placas de Controle"/>
    <x v="1"/>
    <n v="1000"/>
    <n v="5004101"/>
    <s v="UNIDOCK'S ASSESSORIA E LOGISTICA DE"/>
    <n v="67.84"/>
    <d v="2025-07-17T00:00:00"/>
  </r>
  <r>
    <n v="254024121"/>
    <n v="64803678"/>
    <s v="ZRDI"/>
    <n v="10047872"/>
    <n v="208"/>
    <s v="DEV-Atraso entrega- LOGISTICA(Transp)"/>
    <s v="TRANSPORTADORA"/>
    <x v="2"/>
    <n v="58038177"/>
    <x v="1689"/>
    <s v="AM"/>
    <n v="475"/>
    <s v="Site Consul"/>
    <n v="1352"/>
    <s v="W10169459"/>
    <s v="Prateleiras"/>
    <x v="9"/>
    <n v="1000"/>
    <n v="5002359"/>
    <s v="EMPRESA BRASILEIRA DE CORREIOS E"/>
    <n v="67.84"/>
    <d v="2025-07-01T00:00:00"/>
  </r>
  <r>
    <n v="254003951"/>
    <n v="64777905"/>
    <s v="REB"/>
    <n v="10012761"/>
    <n v="173"/>
    <s v="PEÇAS - Defeito de fabric./Alta Amperage"/>
    <s v="FUNCIONAL"/>
    <x v="1"/>
    <n v="31738"/>
    <x v="412"/>
    <s v="RN"/>
    <n v="933"/>
    <s v="Top"/>
    <n v="1350"/>
    <s v="W10678923"/>
    <s v="Placas de Controle"/>
    <x v="1"/>
    <n v="1000"/>
    <n v="5004101"/>
    <s v="UNIDOCK'S ASSESSORIA E LOGISTICA DE"/>
    <n v="67.63"/>
    <d v="2025-05-26T00:00:00"/>
  </r>
  <r>
    <s v="Sem TR"/>
    <n v="64798362"/>
    <s v="ZRDI"/>
    <n v="10059127"/>
    <s v="D10"/>
    <s v="DEV D2C - Comprou modelo errado"/>
    <s v="COMERCIAL"/>
    <x v="2"/>
    <n v="4240138"/>
    <x v="1690"/>
    <s v="BA"/>
    <n v="474"/>
    <s v="Site Brastemp"/>
    <n v="1352"/>
    <s v="W11173182"/>
    <s v="Manípulos"/>
    <x v="6"/>
    <n v="2000"/>
    <n v="5002359"/>
    <s v="EMPRESA BRASILEIRA DE CORREIOS E"/>
    <n v="67.62"/>
    <d v="2025-06-28T00:00:00"/>
  </r>
  <r>
    <n v="254007614"/>
    <n v="64779151"/>
    <s v="REB"/>
    <n v="10039477"/>
    <n v="167"/>
    <s v="PEÇAS - Avaria - Quebrada/Depósito"/>
    <s v="LOGÍSTICA"/>
    <x v="1"/>
    <n v="77676"/>
    <x v="278"/>
    <s v="DF"/>
    <n v="350"/>
    <s v="Ats On"/>
    <n v="1350"/>
    <s v="W10347201"/>
    <s v="Prateleiras"/>
    <x v="9"/>
    <n v="1000"/>
    <n v="5002858"/>
    <s v="FAVORITA TRANSPORTES LTDA"/>
    <n v="67.55"/>
    <d v="2025-06-02T00:00:00"/>
  </r>
  <r>
    <n v="254032497"/>
    <n v="64811461"/>
    <s v="ZRDI"/>
    <n v="10047478"/>
    <n v="208"/>
    <s v="DEV-Atraso entrega- LOGISTICA(Transp)"/>
    <s v="TRANSPORTADORA"/>
    <x v="2"/>
    <n v="58039350"/>
    <x v="1691"/>
    <s v="RS"/>
    <n v="475"/>
    <s v="Site Consul"/>
    <n v="1352"/>
    <s v="W11132264"/>
    <s v="Trempes"/>
    <x v="6"/>
    <n v="1000"/>
    <n v="5002359"/>
    <s v="EMPRESA BRASILEIRA DE CORREIOS E"/>
    <n v="67.53"/>
    <d v="2025-07-16T00:00:00"/>
  </r>
  <r>
    <s v="Sem TR"/>
    <n v="64809299"/>
    <s v="ZRDI"/>
    <n v="10110993"/>
    <s v="D18"/>
    <s v="DEV D2C - Arrependimento não quero mais"/>
    <s v="COMERCIAL"/>
    <x v="2"/>
    <n v="58121854"/>
    <x v="1692"/>
    <s v="SC"/>
    <n v="466"/>
    <s v="Sup ML Marketplace"/>
    <n v="1352"/>
    <s v="W10292562"/>
    <s v="Capas"/>
    <x v="6"/>
    <n v="1000"/>
    <n v="5002359"/>
    <s v="EMPRESA BRASILEIRA DE CORREIOS E"/>
    <n v="67.45"/>
    <d v="2025-07-11T00:00:00"/>
  </r>
  <r>
    <s v="Sem TR"/>
    <n v="64809299"/>
    <s v="ZRDI"/>
    <n v="10110993"/>
    <s v="D18"/>
    <s v="DEV D2C - Arrependimento não quero mais"/>
    <s v="COMERCIAL"/>
    <x v="2"/>
    <n v="58121854"/>
    <x v="1692"/>
    <s v="SC"/>
    <n v="466"/>
    <s v="Sup ML Marketplace"/>
    <n v="1352"/>
    <s v="W10292562"/>
    <s v="Capas"/>
    <x v="6"/>
    <n v="1000"/>
    <n v="5002359"/>
    <s v="EMPRESA BRASILEIRA DE CORREIOS E"/>
    <n v="67.45"/>
    <d v="2025-07-11T00:00:00"/>
  </r>
  <r>
    <s v="Sem TR"/>
    <n v="64811693"/>
    <s v="ZRDI"/>
    <n v="10120300"/>
    <s v="D10"/>
    <s v="DEV D2C - Comprou modelo errado"/>
    <s v="COMERCIAL"/>
    <x v="2"/>
    <n v="57967690"/>
    <x v="1693"/>
    <s v="SP"/>
    <n v="466"/>
    <s v="Sup ML Marketplace"/>
    <n v="1352"/>
    <s v="W10455522"/>
    <s v="Prateleiras"/>
    <x v="9"/>
    <n v="1000"/>
    <n v="5002359"/>
    <s v="EMPRESA BRASILEIRA DE CORREIOS E"/>
    <n v="67.38"/>
    <d v="2025-07-22T00:00:00"/>
  </r>
  <r>
    <s v="Sem TR"/>
    <n v="64811693"/>
    <s v="ZRDI"/>
    <n v="10120300"/>
    <s v="D10"/>
    <s v="DEV D2C - Comprou modelo errado"/>
    <s v="COMERCIAL"/>
    <x v="2"/>
    <n v="57967690"/>
    <x v="1693"/>
    <s v="SP"/>
    <n v="466"/>
    <s v="Sup ML Marketplace"/>
    <n v="1352"/>
    <s v="W10455522"/>
    <s v="Prateleiras"/>
    <x v="9"/>
    <n v="1000"/>
    <n v="5002359"/>
    <s v="EMPRESA BRASILEIRA DE CORREIOS E"/>
    <n v="67.38"/>
    <d v="2025-07-22T00:00:00"/>
  </r>
  <r>
    <n v="254041062"/>
    <n v="64818838"/>
    <s v="ZRDI"/>
    <n v="10103404"/>
    <n v="208"/>
    <s v="DEV-Atraso entrega- LOGISTICA(Transp)"/>
    <s v="TRANSPORTADORA"/>
    <x v="1"/>
    <n v="58113886"/>
    <x v="1694"/>
    <s v="CE"/>
    <n v="474"/>
    <s v="Site Brastemp"/>
    <n v="1352"/>
    <s v="W10866789"/>
    <s v="Kits Instalação"/>
    <x v="7"/>
    <n v="1000"/>
    <n v="5002359"/>
    <s v="EMPRESA BRASILEIRA DE CORREIOS E"/>
    <n v="67.36"/>
    <d v="2025-07-28T00:00:00"/>
  </r>
  <r>
    <n v="254012519"/>
    <n v="64778262"/>
    <s v="REB"/>
    <n v="9850214"/>
    <n v="173"/>
    <s v="PEÇAS - Defeito de fabric./Alta Amperage"/>
    <s v="FUNCIONAL"/>
    <x v="2"/>
    <n v="37434"/>
    <x v="95"/>
    <s v="GO"/>
    <n v="931"/>
    <s v="Ats Off"/>
    <n v="1350"/>
    <s v="W11163349"/>
    <s v="Placas de Controle"/>
    <x v="1"/>
    <n v="1000"/>
    <n v="5002858"/>
    <s v="FAVORITA TRANSPORTES LTDA"/>
    <n v="67.33"/>
    <d v="2025-06-10T00:00:00"/>
  </r>
  <r>
    <n v="254003847"/>
    <n v="64778032"/>
    <s v="REB"/>
    <n v="9959044"/>
    <n v="176"/>
    <s v="PEÇAS - Defeito de fabric./Interrompido"/>
    <s v="FUNCIONAL"/>
    <x v="2"/>
    <n v="3506"/>
    <x v="46"/>
    <s v="SP"/>
    <n v="931"/>
    <s v="Ats Off"/>
    <n v="1350"/>
    <s v="W10896453"/>
    <s v="Queimadores"/>
    <x v="12"/>
    <n v="2000"/>
    <n v="5004042"/>
    <s v="BRASIL WEB TRANSPORTES E LOGISTICA"/>
    <n v="67.3"/>
    <d v="2025-05-26T00:00:00"/>
  </r>
  <r>
    <n v="253952351"/>
    <n v="64728299"/>
    <s v="REB"/>
    <n v="9120469"/>
    <n v="176"/>
    <s v="PEÇAS - Defeito de fabric./Interrompido"/>
    <s v="FUNCIONAL"/>
    <x v="1"/>
    <n v="53732"/>
    <x v="1695"/>
    <s v="ES"/>
    <n v="932"/>
    <s v="CDP Prata"/>
    <n v="1350"/>
    <s v="W10678923"/>
    <s v="Placas de Controle"/>
    <x v="1"/>
    <n v="1000"/>
    <n v="5004042"/>
    <s v="BRASIL WEB TRANSPORTES E LOGISTICA"/>
    <n v="67.27"/>
    <d v="2025-03-10T00:00:00"/>
  </r>
  <r>
    <n v="254033940"/>
    <n v="64812468"/>
    <s v="ZRDI"/>
    <n v="10093381"/>
    <n v="208"/>
    <s v="DEV-Atraso entrega- LOGISTICA(Transp)"/>
    <s v="TRANSPORTADORA"/>
    <x v="2"/>
    <n v="56131890"/>
    <x v="1696"/>
    <s v="BA"/>
    <n v="474"/>
    <s v="Site Brastemp"/>
    <n v="1352"/>
    <s v="W10866789"/>
    <s v="Kits Instalação"/>
    <x v="7"/>
    <n v="1000"/>
    <n v="5002359"/>
    <s v="EMPRESA BRASILEIRA DE CORREIOS E"/>
    <n v="67.25"/>
    <d v="2025-07-17T00:00:00"/>
  </r>
  <r>
    <s v="Sem TR"/>
    <n v="64813148"/>
    <s v="REB"/>
    <n v="10108880"/>
    <n v="509"/>
    <s v="Qtd de peças a Menor dentro do Volume"/>
    <s v="LOGÍSTICA"/>
    <x v="1"/>
    <n v="30000"/>
    <x v="457"/>
    <s v="SC"/>
    <n v="350"/>
    <s v="Ats On"/>
    <n v="1350"/>
    <s v="W11574388"/>
    <s v="Capacitores"/>
    <x v="1"/>
    <n v="5000"/>
    <n v="5002359"/>
    <s v="EMPRESA BRASILEIRA DE CORREIOS E"/>
    <n v="67.25"/>
    <d v="2025-07-22T00:00:00"/>
  </r>
  <r>
    <n v="254039180"/>
    <n v="64817061"/>
    <s v="ZRDI"/>
    <n v="10090954"/>
    <n v="208"/>
    <s v="DEV-Atraso entrega- LOGISTICA(Transp)"/>
    <s v="TRANSPORTADORA"/>
    <x v="2"/>
    <n v="58092610"/>
    <x v="1697"/>
    <s v="MG"/>
    <n v="474"/>
    <s v="Site Brastemp"/>
    <n v="1352"/>
    <s v="W10866789"/>
    <s v="Kits Instalação"/>
    <x v="7"/>
    <n v="1000"/>
    <n v="5002359"/>
    <s v="EMPRESA BRASILEIRA DE CORREIOS E"/>
    <n v="67.239999999999995"/>
    <d v="2025-07-24T00:00:00"/>
  </r>
  <r>
    <n v="254039180"/>
    <n v="64817061"/>
    <s v="ZRDI"/>
    <n v="10090954"/>
    <n v="208"/>
    <s v="DEV-Atraso entrega- LOGISTICA(Transp)"/>
    <s v="TRANSPORTADORA"/>
    <x v="2"/>
    <n v="58092610"/>
    <x v="1697"/>
    <s v="MG"/>
    <n v="474"/>
    <s v="Site Brastemp"/>
    <n v="1352"/>
    <s v="W10866789"/>
    <s v="Kits Instalação"/>
    <x v="7"/>
    <n v="1000"/>
    <n v="5002359"/>
    <s v="EMPRESA BRASILEIRA DE CORREIOS E"/>
    <n v="67.239999999999995"/>
    <d v="2025-07-24T00:00:00"/>
  </r>
  <r>
    <s v="Sem TR"/>
    <n v="64808615"/>
    <s v="ZRDI"/>
    <n v="10112550"/>
    <s v="D10"/>
    <s v="DEV D2C - Comprou modelo errado"/>
    <s v="COMERCIAL"/>
    <x v="2"/>
    <n v="58122914"/>
    <x v="1698"/>
    <s v="BA"/>
    <n v="474"/>
    <s v="Site Brastemp"/>
    <n v="1352"/>
    <s v="W10698525"/>
    <s v="Dobradiças"/>
    <x v="10"/>
    <n v="1000"/>
    <n v="5002359"/>
    <s v="EMPRESA BRASILEIRA DE CORREIOS E"/>
    <n v="67.22"/>
    <d v="2025-07-14T00:00:00"/>
  </r>
  <r>
    <s v="Sem TR"/>
    <n v="64808615"/>
    <s v="ZRDI"/>
    <n v="10112550"/>
    <s v="D10"/>
    <s v="DEV D2C - Comprou modelo errado"/>
    <s v="COMERCIAL"/>
    <x v="2"/>
    <n v="58122914"/>
    <x v="1698"/>
    <s v="BA"/>
    <n v="474"/>
    <s v="Site Brastemp"/>
    <n v="1352"/>
    <s v="W10698525"/>
    <s v="Dobradiças"/>
    <x v="10"/>
    <n v="1000"/>
    <n v="5002359"/>
    <s v="EMPRESA BRASILEIRA DE CORREIOS E"/>
    <n v="67.209999999999994"/>
    <d v="2025-07-14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455522"/>
    <s v="Prateleiras"/>
    <x v="9"/>
    <n v="1000"/>
    <n v="5002359"/>
    <s v="EMPRESA BRASILEIRA DE CORREIOS E"/>
    <n v="67.209999999999994"/>
    <d v="2025-07-26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455522"/>
    <s v="Prateleiras"/>
    <x v="9"/>
    <n v="1000"/>
    <n v="5002359"/>
    <s v="EMPRESA BRASILEIRA DE CORREIOS E"/>
    <n v="67.209999999999994"/>
    <d v="2025-07-26T00:00:00"/>
  </r>
  <r>
    <n v="254042286"/>
    <n v="64796062"/>
    <s v="REB"/>
    <n v="9593769"/>
    <n v="176"/>
    <s v="PEÇAS - Defeito de fabric./Interrompido"/>
    <s v="FUNCIONAL"/>
    <x v="0"/>
    <n v="78757"/>
    <x v="50"/>
    <s v="RS"/>
    <n v="643"/>
    <s v="Elite"/>
    <n v="1350"/>
    <s v="W11634491"/>
    <s v="Placas de Controle"/>
    <x v="1"/>
    <n v="1000"/>
    <n v="5003024"/>
    <s v="RODOBRAS TRANSPORTES RODOVIARIOS LT"/>
    <n v="67.19"/>
    <d v="2025-06-23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0198644"/>
    <s v="Painéis de Controle"/>
    <x v="6"/>
    <n v="1000"/>
    <n v="5002359"/>
    <s v="EMPRESA BRASILEIRA DE CORREIOS E"/>
    <n v="67.180000000000007"/>
    <d v="2025-07-11T00:00:00"/>
  </r>
  <r>
    <n v="254036535"/>
    <n v="64814368"/>
    <s v="ZRDI"/>
    <n v="10098502"/>
    <n v="208"/>
    <s v="DEV-Atraso entrega- LOGISTICA(Transp)"/>
    <s v="TRANSPORTADORA"/>
    <x v="2"/>
    <n v="58106865"/>
    <x v="1699"/>
    <s v="RS"/>
    <n v="474"/>
    <s v="Site Brastemp"/>
    <n v="1352"/>
    <s v="W10866789"/>
    <s v="Kits Instalação"/>
    <x v="7"/>
    <n v="1000"/>
    <n v="5002359"/>
    <s v="EMPRESA BRASILEIRA DE CORREIOS E"/>
    <n v="67.099999999999994"/>
    <d v="2025-07-22T00:00:00"/>
  </r>
  <r>
    <s v="Sem TR"/>
    <n v="64802758"/>
    <s v="ZRDI"/>
    <n v="10104250"/>
    <s v="D18"/>
    <s v="DEV D2C - Arrependimento não quero mais"/>
    <s v="COMERCIAL"/>
    <x v="2"/>
    <n v="50413621"/>
    <x v="1700"/>
    <s v="RJ"/>
    <n v="474"/>
    <s v="Site Brastemp"/>
    <n v="1352"/>
    <s v="W10866789"/>
    <s v="Kits Instalação"/>
    <x v="7"/>
    <n v="1000"/>
    <n v="5002359"/>
    <s v="EMPRESA BRASILEIRA DE CORREIOS E"/>
    <n v="67.06"/>
    <d v="2025-07-09T00:00:00"/>
  </r>
  <r>
    <n v="254024638"/>
    <n v="64804736"/>
    <s v="ZRDI"/>
    <n v="10091473"/>
    <n v="208"/>
    <s v="DEV-Atraso entrega- LOGISTICA(Transp)"/>
    <s v="TRANSPORTADORA"/>
    <x v="2"/>
    <n v="54443412"/>
    <x v="1701"/>
    <s v="RJ"/>
    <n v="474"/>
    <s v="Site Brastemp"/>
    <n v="1352"/>
    <s v="W10866789"/>
    <s v="Kits Instalação"/>
    <x v="7"/>
    <n v="1000"/>
    <n v="5002359"/>
    <s v="EMPRESA BRASILEIRA DE CORREIOS E"/>
    <n v="67.06"/>
    <d v="2025-07-02T00:00:00"/>
  </r>
  <r>
    <n v="254029996"/>
    <n v="64809471"/>
    <s v="ZRDI"/>
    <n v="10095447"/>
    <s v="D25"/>
    <s v="DEV D2C - Prob na entrega (Não recebi)"/>
    <s v="TRANSPORTADORA"/>
    <x v="2"/>
    <n v="58095368"/>
    <x v="1702"/>
    <s v="RJ"/>
    <n v="474"/>
    <s v="Site Brastemp"/>
    <n v="1352"/>
    <s v="W10866789"/>
    <s v="Kits Instalação"/>
    <x v="7"/>
    <n v="1000"/>
    <n v="5003972"/>
    <s v="ICARO EXPRESS LOGISTICA LTDA"/>
    <n v="67.06"/>
    <d v="2025-07-11T00:00:00"/>
  </r>
  <r>
    <s v="Sem TR"/>
    <n v="64802758"/>
    <s v="ZRDI"/>
    <n v="10104250"/>
    <s v="D18"/>
    <s v="DEV D2C - Arrependimento não quero mais"/>
    <s v="COMERCIAL"/>
    <x v="2"/>
    <n v="50413621"/>
    <x v="1700"/>
    <s v="RJ"/>
    <n v="474"/>
    <s v="Site Brastemp"/>
    <n v="1352"/>
    <s v="W10866789"/>
    <s v="Kits Instalação"/>
    <x v="7"/>
    <n v="1000"/>
    <n v="5002359"/>
    <s v="EMPRESA BRASILEIRA DE CORREIOS E"/>
    <n v="67.06"/>
    <d v="2025-07-09T00:00:00"/>
  </r>
  <r>
    <s v="Sem TR"/>
    <n v="64800248"/>
    <s v="ZRDI"/>
    <n v="10111048"/>
    <s v="D31"/>
    <s v="DEV D2C - Defeito estético manufatura"/>
    <s v="MANUFATURA"/>
    <x v="2"/>
    <n v="53730758"/>
    <x v="1703"/>
    <s v="RJ"/>
    <n v="475"/>
    <s v="Site Consul"/>
    <n v="1352"/>
    <s v="W11132264"/>
    <s v="Trempes"/>
    <x v="6"/>
    <n v="1000"/>
    <n v="5002359"/>
    <s v="EMPRESA BRASILEIRA DE CORREIOS E"/>
    <n v="67.02"/>
    <d v="2025-07-01T00:00:00"/>
  </r>
  <r>
    <n v="254042265"/>
    <n v="64795366"/>
    <s v="REB"/>
    <n v="10042373"/>
    <n v="176"/>
    <s v="PEÇAS - Defeito de fabric./Interrompido"/>
    <s v="FUNCIONAL"/>
    <x v="0"/>
    <n v="31063"/>
    <x v="308"/>
    <s v="RJ"/>
    <n v="644"/>
    <s v="Plus"/>
    <n v="1350"/>
    <s v="W11226018"/>
    <s v="Motores Ventiladores"/>
    <x v="1"/>
    <n v="1000"/>
    <n v="5003176"/>
    <s v="J C THEDIN TRANSPORTES LTDA"/>
    <n v="67.02"/>
    <d v="2025-06-23T00:00:00"/>
  </r>
  <r>
    <n v="254030013"/>
    <n v="64809489"/>
    <s v="ZRDI"/>
    <n v="10093634"/>
    <n v="208"/>
    <s v="DEV-Atraso entrega- LOGISTICA(Transp)"/>
    <s v="TRANSPORTADORA"/>
    <x v="2"/>
    <n v="58064976"/>
    <x v="1704"/>
    <s v="DF"/>
    <n v="474"/>
    <s v="Site Brastemp"/>
    <n v="1352"/>
    <s v="W10866789"/>
    <s v="Kits Instalação"/>
    <x v="7"/>
    <n v="1000"/>
    <n v="5002359"/>
    <s v="EMPRESA BRASILEIRA DE CORREIOS E"/>
    <n v="67"/>
    <d v="2025-07-11T00:00:00"/>
  </r>
  <r>
    <n v="253992744"/>
    <n v="64768200"/>
    <s v="REB"/>
    <n v="9944509"/>
    <n v="173"/>
    <s v="PEÇAS - Defeito de fabric./Alta Amperage"/>
    <s v="FUNCIONAL"/>
    <x v="1"/>
    <n v="45440"/>
    <x v="226"/>
    <s v="MG"/>
    <n v="350"/>
    <s v="Ats On"/>
    <n v="1350"/>
    <s v="W11226018"/>
    <s v="Motores Ventiladores"/>
    <x v="1"/>
    <n v="1000"/>
    <n v="5004215"/>
    <s v="BRASIL WEB TRANSPORTES E LOGISTICA"/>
    <n v="66.97"/>
    <d v="2025-05-12T00:00:00"/>
  </r>
  <r>
    <s v="Sem TR"/>
    <n v="64797608"/>
    <s v="ZRDI"/>
    <n v="10102583"/>
    <s v="D11"/>
    <s v="DEV D2C - Comprou prod dimensão errada"/>
    <s v="COMERCIAL"/>
    <x v="2"/>
    <n v="54971070"/>
    <x v="1705"/>
    <s v="SP"/>
    <n v="474"/>
    <s v="Site Brastemp"/>
    <n v="1352"/>
    <s v="W10866789"/>
    <s v="Kits Instalação"/>
    <x v="7"/>
    <n v="1000"/>
    <n v="5002359"/>
    <s v="EMPRESA BRASILEIRA DE CORREIOS E"/>
    <n v="66.900000000000006"/>
    <d v="2025-07-01T00:00:00"/>
  </r>
  <r>
    <n v="254024150"/>
    <n v="64803812"/>
    <s v="ZRDI"/>
    <n v="10093016"/>
    <n v="208"/>
    <s v="DEV-Atraso entrega- LOGISTICA(Transp)"/>
    <s v="TRANSPORTADORA"/>
    <x v="2"/>
    <n v="56035803"/>
    <x v="1706"/>
    <s v="SP"/>
    <n v="474"/>
    <s v="Site Brastemp"/>
    <n v="1352"/>
    <s v="W10866789"/>
    <s v="Kits Instalação"/>
    <x v="7"/>
    <n v="1000"/>
    <n v="5002359"/>
    <s v="EMPRESA BRASILEIRA DE CORREIOS E"/>
    <n v="66.900000000000006"/>
    <d v="2025-07-01T00:00:00"/>
  </r>
  <r>
    <n v="254032537"/>
    <n v="64811491"/>
    <s v="ZRDI"/>
    <n v="10099805"/>
    <n v="208"/>
    <s v="DEV-Atraso entrega- LOGISTICA(Transp)"/>
    <s v="TRANSPORTADORA"/>
    <x v="2"/>
    <n v="58110171"/>
    <x v="1707"/>
    <s v="SP"/>
    <n v="474"/>
    <s v="Site Brastemp"/>
    <n v="1352"/>
    <s v="W10866789"/>
    <s v="Kits Instalação"/>
    <x v="7"/>
    <n v="1000"/>
    <n v="5002359"/>
    <s v="EMPRESA BRASILEIRA DE CORREIOS E"/>
    <n v="66.900000000000006"/>
    <d v="2025-07-16T00:00:00"/>
  </r>
  <r>
    <s v="Sem TR"/>
    <n v="64797608"/>
    <s v="ZRDI"/>
    <n v="10102583"/>
    <s v="D11"/>
    <s v="DEV D2C - Comprou prod dimensão errada"/>
    <s v="COMERCIAL"/>
    <x v="2"/>
    <n v="54971070"/>
    <x v="1705"/>
    <s v="SP"/>
    <n v="474"/>
    <s v="Site Brastemp"/>
    <n v="1352"/>
    <s v="W10866789"/>
    <s v="Kits Instalação"/>
    <x v="7"/>
    <n v="1000"/>
    <n v="5002359"/>
    <s v="EMPRESA BRASILEIRA DE CORREIOS E"/>
    <n v="66.900000000000006"/>
    <d v="2025-07-01T00:00:00"/>
  </r>
  <r>
    <n v="254032537"/>
    <n v="64811491"/>
    <s v="ZRDI"/>
    <n v="10099805"/>
    <n v="208"/>
    <s v="DEV-Atraso entrega- LOGISTICA(Transp)"/>
    <s v="TRANSPORTADORA"/>
    <x v="2"/>
    <n v="58110171"/>
    <x v="1707"/>
    <s v="SP"/>
    <n v="474"/>
    <s v="Site Brastemp"/>
    <n v="1352"/>
    <s v="W10866789"/>
    <s v="Kits Instalação"/>
    <x v="7"/>
    <n v="1000"/>
    <n v="5002359"/>
    <s v="EMPRESA BRASILEIRA DE CORREIOS E"/>
    <n v="66.900000000000006"/>
    <d v="2025-07-16T00:00:00"/>
  </r>
  <r>
    <n v="253915624"/>
    <n v="64686560"/>
    <s v="REB"/>
    <n v="9733505"/>
    <n v="671"/>
    <s v="DEV-ENVIADO PARA GESTÃO DE CONSEQUENCIA"/>
    <s v="TRANSPORTADORA"/>
    <x v="2"/>
    <n v="67948"/>
    <x v="15"/>
    <s v="SC"/>
    <n v="713"/>
    <s v="Key Account"/>
    <n v="1350"/>
    <s v="W10882241"/>
    <s v="Agitadores"/>
    <x v="2"/>
    <n v="2000"/>
    <n v="5003024"/>
    <s v="RODOBRAS TRANSPORTES RODOVIARIOS LT"/>
    <n v="66.78"/>
    <d v="2025-01-09T00:00:00"/>
  </r>
  <r>
    <n v="253988783"/>
    <n v="64762147"/>
    <s v="REB"/>
    <n v="9976749"/>
    <n v="176"/>
    <s v="PEÇAS - Defeito de fabric./Interrompido"/>
    <s v="FUNCIONAL"/>
    <x v="2"/>
    <n v="3506"/>
    <x v="46"/>
    <s v="SP"/>
    <n v="931"/>
    <s v="Ats Off"/>
    <n v="1350"/>
    <s v="W10380262"/>
    <s v="Interruptores"/>
    <x v="3"/>
    <n v="1000"/>
    <n v="5004042"/>
    <s v="BRASIL WEB TRANSPORTES E LOGISTICA"/>
    <n v="66.78"/>
    <d v="2025-05-05T00:00:00"/>
  </r>
  <r>
    <s v="Sem TR"/>
    <n v="64805822"/>
    <s v="REB"/>
    <n v="10099147"/>
    <n v="411"/>
    <s v="DEV-Extravio de PEÇAS (Transportadora)"/>
    <s v="TRANSPORTADORA"/>
    <x v="0"/>
    <n v="34875"/>
    <x v="371"/>
    <s v="SC"/>
    <n v="350"/>
    <s v="Ats On"/>
    <n v="1350"/>
    <s v="W10721980"/>
    <s v="Motores Ventiladores"/>
    <x v="1"/>
    <n v="1000"/>
    <n v="5003024"/>
    <s v="RODOBRAS TRANSPORTES RODOVIARIOS LT"/>
    <n v="66.63"/>
    <d v="2025-07-04T00:00:00"/>
  </r>
  <r>
    <n v="254042249"/>
    <n v="64796041"/>
    <s v="REB"/>
    <n v="9956028"/>
    <n v="173"/>
    <s v="PEÇAS - Defeito de fabric./Alta Amperage"/>
    <s v="FUNCIONAL"/>
    <x v="0"/>
    <n v="4384"/>
    <x v="1058"/>
    <s v="SC"/>
    <n v="644"/>
    <s v="Plus"/>
    <n v="1350"/>
    <s v="W10467328"/>
    <s v="Válvulas de Água"/>
    <x v="5"/>
    <n v="1000"/>
    <n v="5003024"/>
    <s v="RODOBRAS TRANSPORTES RODOVIARIOS LT"/>
    <n v="66.61"/>
    <d v="2025-06-23T00:00:00"/>
  </r>
  <r>
    <n v="254027355"/>
    <n v="64806759"/>
    <s v="ZRDI"/>
    <n v="10100772"/>
    <n v="208"/>
    <s v="DEV-Atraso entrega- LOGISTICA(Transp)"/>
    <s v="TRANSPORTADORA"/>
    <x v="2"/>
    <n v="58108918"/>
    <x v="1708"/>
    <s v="DF"/>
    <n v="475"/>
    <s v="Site Consul"/>
    <n v="1352"/>
    <n v="326030548"/>
    <s v="Portas"/>
    <x v="6"/>
    <n v="1000"/>
    <n v="5002359"/>
    <s v="EMPRESA BRASILEIRA DE CORREIOS E"/>
    <n v="66.510000000000005"/>
    <d v="2025-07-07T00:00:00"/>
  </r>
  <r>
    <n v="254027355"/>
    <n v="64806759"/>
    <s v="ZRDI"/>
    <n v="10100772"/>
    <n v="208"/>
    <s v="DEV-Atraso entrega- LOGISTICA(Transp)"/>
    <s v="TRANSPORTADORA"/>
    <x v="2"/>
    <n v="58108918"/>
    <x v="1708"/>
    <s v="DF"/>
    <n v="475"/>
    <s v="Site Consul"/>
    <n v="1352"/>
    <n v="326030548"/>
    <s v="Portas"/>
    <x v="6"/>
    <n v="1000"/>
    <n v="5002359"/>
    <s v="EMPRESA BRASILEIRA DE CORREIOS E"/>
    <n v="66.510000000000005"/>
    <d v="2025-07-07T00:00:00"/>
  </r>
  <r>
    <n v="254032520"/>
    <n v="64811484"/>
    <s v="ZRDI"/>
    <n v="10095293"/>
    <n v="208"/>
    <s v="DEV-Atraso entrega- LOGISTICA(Transp)"/>
    <s v="TRANSPORTADORA"/>
    <x v="2"/>
    <n v="50161026"/>
    <x v="742"/>
    <s v="RJ"/>
    <n v="474"/>
    <s v="Site Brastemp"/>
    <n v="1352"/>
    <s v="W10455522"/>
    <s v="Prateleiras"/>
    <x v="9"/>
    <n v="1000"/>
    <n v="5002359"/>
    <s v="EMPRESA BRASILEIRA DE CORREIOS E"/>
    <n v="66.5"/>
    <d v="2025-07-16T00:00:00"/>
  </r>
  <r>
    <n v="254003906"/>
    <n v="64776242"/>
    <s v="REB"/>
    <n v="9690020"/>
    <n v="173"/>
    <s v="PEÇAS - Defeito de fabric./Alta Amperage"/>
    <s v="FUNCIONAL"/>
    <x v="1"/>
    <n v="27770"/>
    <x v="37"/>
    <s v="AL"/>
    <n v="641"/>
    <s v="CDP Diamante"/>
    <n v="1350"/>
    <s v="W10678919"/>
    <s v="Placas de Controle"/>
    <x v="1"/>
    <n v="1000"/>
    <n v="5004101"/>
    <s v="UNIDOCK'S ASSESSORIA E LOGISTICA DE"/>
    <n v="66.48"/>
    <d v="2025-05-26T00:00:00"/>
  </r>
  <r>
    <n v="254042557"/>
    <n v="64796205"/>
    <s v="REB"/>
    <n v="9981183"/>
    <n v="173"/>
    <s v="PEÇAS - Defeito de fabric./Alta Amperage"/>
    <s v="FUNCIONAL"/>
    <x v="0"/>
    <n v="78757"/>
    <x v="50"/>
    <s v="RS"/>
    <n v="643"/>
    <s v="Elite"/>
    <n v="1350"/>
    <s v="W10518617"/>
    <s v="Atuadores"/>
    <x v="2"/>
    <n v="2000"/>
    <n v="5003024"/>
    <s v="RODOBRAS TRANSPORTES RODOVIARIOS LT"/>
    <n v="66.41"/>
    <d v="2025-06-23T00:00:00"/>
  </r>
  <r>
    <s v="Sem TR"/>
    <n v="64805731"/>
    <s v="REB"/>
    <n v="10086816"/>
    <n v="509"/>
    <s v="Qtd de peças a Menor dentro do Volume"/>
    <s v="LOGÍSTICA"/>
    <x v="1"/>
    <n v="48597"/>
    <x v="60"/>
    <s v="MG"/>
    <n v="713"/>
    <s v="Key Account"/>
    <n v="1350"/>
    <n v="326000516"/>
    <s v="Tirantes"/>
    <x v="8"/>
    <n v="50000"/>
    <n v="5002359"/>
    <s v="EMPRESA BRASILEIRA DE CORREIOS E"/>
    <n v="66.400000000000006"/>
    <d v="2025-07-08T00:00:00"/>
  </r>
  <r>
    <n v="254012508"/>
    <n v="64786031"/>
    <s v="REB"/>
    <n v="8108825"/>
    <n v="176"/>
    <s v="PEÇAS - Defeito de fabric./Interrompido"/>
    <s v="FUNCIONAL"/>
    <x v="2"/>
    <n v="29801"/>
    <x v="341"/>
    <s v="MG"/>
    <n v="644"/>
    <s v="Plus"/>
    <n v="1350"/>
    <s v="W10497050"/>
    <s v="Válvulas de Água"/>
    <x v="5"/>
    <n v="1000"/>
    <n v="5004215"/>
    <s v="BRASIL WEB TRANSPORTES E LOGISTICA"/>
    <n v="66.33"/>
    <d v="2025-06-10T00:00:00"/>
  </r>
  <r>
    <n v="254035317"/>
    <n v="64812514"/>
    <s v="REB"/>
    <n v="10043135"/>
    <n v="173"/>
    <s v="PEÇAS - Defeito de fabric./Alta Amperage"/>
    <s v="FUNCIONAL"/>
    <x v="2"/>
    <n v="66"/>
    <x v="73"/>
    <s v="GO"/>
    <n v="931"/>
    <s v="Ats Off"/>
    <n v="1350"/>
    <n v="326073245"/>
    <s v="Motores Ventiladores"/>
    <x v="1"/>
    <n v="1000"/>
    <n v="5002858"/>
    <s v="FAVORITA TRANSPORTES LTDA"/>
    <n v="66.31"/>
    <d v="2025-07-17T00:00:00"/>
  </r>
  <r>
    <n v="254035313"/>
    <n v="64812519"/>
    <s v="REB"/>
    <n v="10074866"/>
    <n v="173"/>
    <s v="PEÇAS - Defeito de fabric./Alta Amperage"/>
    <s v="FUNCIONAL"/>
    <x v="2"/>
    <n v="66"/>
    <x v="73"/>
    <s v="GO"/>
    <n v="931"/>
    <s v="Ats Off"/>
    <n v="1350"/>
    <n v="326073245"/>
    <s v="Motores Ventiladores"/>
    <x v="1"/>
    <n v="1000"/>
    <n v="5002858"/>
    <s v="FAVORITA TRANSPORTES LTDA"/>
    <n v="66.31"/>
    <d v="2025-07-17T00:00:00"/>
  </r>
  <r>
    <n v="253883050"/>
    <n v="64649935"/>
    <s v="REB"/>
    <n v="9521671"/>
    <n v="671"/>
    <s v="DEV-ENVIADO PARA GESTÃO DE CONSEQUENCIA"/>
    <s v="TRANSPORTADORA"/>
    <x v="1"/>
    <n v="38442"/>
    <x v="943"/>
    <s v="RS"/>
    <n v="644"/>
    <s v="Plus"/>
    <n v="1350"/>
    <s v="W10678923"/>
    <s v="Placas de Controle"/>
    <x v="1"/>
    <n v="1000"/>
    <n v="5003024"/>
    <s v="RODOBRAS TRANSPORTES RODOVIARIOS LT"/>
    <n v="66.28"/>
    <d v="2024-11-21T00:00:00"/>
  </r>
  <r>
    <n v="253988788"/>
    <n v="64764306"/>
    <s v="REB"/>
    <n v="9651147"/>
    <n v="176"/>
    <s v="PEÇAS - Defeito de fabric./Interrompido"/>
    <s v="FUNCIONAL"/>
    <x v="1"/>
    <n v="3506"/>
    <x v="46"/>
    <s v="SP"/>
    <n v="931"/>
    <s v="Ats Off"/>
    <n v="1350"/>
    <s v="W10497009"/>
    <s v="Filtros"/>
    <x v="5"/>
    <n v="1000"/>
    <n v="5004042"/>
    <s v="BRASIL WEB TRANSPORTES E LOGISTICA"/>
    <n v="66.260000000000005"/>
    <d v="2025-05-05T00:00:00"/>
  </r>
  <r>
    <n v="253988790"/>
    <n v="64764317"/>
    <s v="REB"/>
    <n v="9938289"/>
    <n v="178"/>
    <s v="PEÇAS -Defeito de fabric./Sem Compressão"/>
    <s v="FUNCIONAL"/>
    <x v="1"/>
    <n v="3652"/>
    <x v="51"/>
    <s v="SP"/>
    <n v="350"/>
    <s v="Ats On"/>
    <n v="1350"/>
    <s v="W10699240"/>
    <s v="Filtro Secadores"/>
    <x v="0"/>
    <n v="8000"/>
    <n v="5004042"/>
    <s v="BRASIL WEB TRANSPORTES E LOGISTICA"/>
    <n v="66.16"/>
    <d v="2025-05-05T00:00:00"/>
  </r>
  <r>
    <n v="254042182"/>
    <n v="64795957"/>
    <s v="REB"/>
    <n v="10077063"/>
    <n v="168"/>
    <s v="PEÇAS-Def.Fabric.Empenamento/Abaulamento"/>
    <s v="FUNCIONAL"/>
    <x v="0"/>
    <n v="8975"/>
    <x v="90"/>
    <s v="MA"/>
    <n v="931"/>
    <s v="Ats Off"/>
    <n v="1350"/>
    <s v="W10480671"/>
    <s v="Anéis Hidro"/>
    <x v="6"/>
    <n v="1000"/>
    <n v="5004101"/>
    <s v="UNIDOCK'S ASSESSORIA E LOGISTICA DE"/>
    <n v="66.150000000000006"/>
    <d v="2025-06-23T00:00:00"/>
  </r>
  <r>
    <n v="253952259"/>
    <n v="64729175"/>
    <s v="REB"/>
    <n v="9843131"/>
    <n v="176"/>
    <s v="PEÇAS - Defeito de fabric./Interrompido"/>
    <s v="FUNCIONAL"/>
    <x v="1"/>
    <n v="30684"/>
    <x v="332"/>
    <s v="RS"/>
    <n v="641"/>
    <s v="CDP Diamante"/>
    <n v="1350"/>
    <s v="W10678923"/>
    <s v="Placas de Controle"/>
    <x v="1"/>
    <n v="1000"/>
    <n v="5003024"/>
    <s v="RODOBRAS TRANSPORTES RODOVIARIOS LT"/>
    <n v="66.14"/>
    <d v="2025-03-10T00:00:00"/>
  </r>
  <r>
    <n v="254039194"/>
    <n v="64817076"/>
    <s v="ZRDI"/>
    <n v="10126473"/>
    <n v="208"/>
    <s v="DEV-Atraso entrega- LOGISTICA(Transp)"/>
    <s v="TRANSPORTADORA"/>
    <x v="2"/>
    <n v="57940918"/>
    <x v="1709"/>
    <s v="SC"/>
    <n v="466"/>
    <s v="Sup ML Marketplace"/>
    <n v="1352"/>
    <s v="W10606422"/>
    <s v="Usinas"/>
    <x v="12"/>
    <n v="1000"/>
    <n v="5002359"/>
    <s v="EMPRESA BRASILEIRA DE CORREIOS E"/>
    <n v="66.12"/>
    <d v="2025-07-24T00:00:00"/>
  </r>
  <r>
    <n v="254039194"/>
    <n v="64817076"/>
    <s v="ZRDI"/>
    <n v="10126473"/>
    <n v="208"/>
    <s v="DEV-Atraso entrega- LOGISTICA(Transp)"/>
    <s v="TRANSPORTADORA"/>
    <x v="2"/>
    <n v="57940918"/>
    <x v="1709"/>
    <s v="SC"/>
    <n v="466"/>
    <s v="Sup ML Marketplace"/>
    <n v="1352"/>
    <s v="W10606422"/>
    <s v="Usinas"/>
    <x v="12"/>
    <n v="1000"/>
    <n v="5002359"/>
    <s v="EMPRESA BRASILEIRA DE CORREIOS E"/>
    <n v="66.12"/>
    <d v="2025-07-24T00:00:00"/>
  </r>
  <r>
    <s v="Sem TR"/>
    <n v="64796671"/>
    <s v="ZRDI"/>
    <n v="10105487"/>
    <s v="D10"/>
    <s v="DEV D2C - Comprou modelo errado"/>
    <s v="COMERCIAL"/>
    <x v="2"/>
    <n v="56332482"/>
    <x v="1710"/>
    <s v="SP"/>
    <n v="474"/>
    <s v="Site Brastemp"/>
    <n v="1352"/>
    <s v="W10688303"/>
    <s v="Manípulos"/>
    <x v="6"/>
    <n v="1000"/>
    <n v="5002359"/>
    <s v="EMPRESA BRASILEIRA DE CORREIOS E"/>
    <n v="66.11"/>
    <d v="2025-07-02T00:00:00"/>
  </r>
  <r>
    <s v="Sem TR"/>
    <n v="64799627"/>
    <s v="ZRDI"/>
    <n v="10116359"/>
    <s v="D18"/>
    <s v="DEV D2C - Arrependimento não quero mais"/>
    <s v="COMERCIAL"/>
    <x v="2"/>
    <n v="58125938"/>
    <x v="1711"/>
    <s v="SP"/>
    <n v="474"/>
    <s v="Site Brastemp"/>
    <n v="1352"/>
    <s v="W10688303"/>
    <s v="Manípulos"/>
    <x v="6"/>
    <n v="1000"/>
    <n v="5002359"/>
    <s v="EMPRESA BRASILEIRA DE CORREIOS E"/>
    <n v="66.11"/>
    <d v="2025-07-08T00:00:00"/>
  </r>
  <r>
    <s v="Sem TR"/>
    <n v="64810802"/>
    <s v="ZRDI"/>
    <n v="10112162"/>
    <s v="D10"/>
    <s v="DEV D2C - Comprou modelo errado"/>
    <s v="COMERCIAL"/>
    <x v="2"/>
    <n v="53458064"/>
    <x v="1712"/>
    <s v="SP"/>
    <n v="474"/>
    <s v="Site Brastemp"/>
    <n v="1352"/>
    <s v="W10688303"/>
    <s v="Manípulos"/>
    <x v="6"/>
    <n v="1000"/>
    <n v="5002359"/>
    <s v="EMPRESA BRASILEIRA DE CORREIOS E"/>
    <n v="66.11"/>
    <d v="2025-07-16T00:00:00"/>
  </r>
  <r>
    <n v="254018351"/>
    <n v="64792235"/>
    <s v="REB"/>
    <n v="10077681"/>
    <n v="173"/>
    <s v="PEÇAS - Defeito de fabric./Alta Amperage"/>
    <s v="FUNCIONAL"/>
    <x v="2"/>
    <n v="69166"/>
    <x v="129"/>
    <s v="RJ"/>
    <n v="931"/>
    <s v="Ats Off"/>
    <n v="1350"/>
    <n v="326065129"/>
    <s v="Resistências"/>
    <x v="1"/>
    <n v="1000"/>
    <n v="5003176"/>
    <s v="J C THEDIN TRANSPORTES LTDA"/>
    <n v="66.010000000000005"/>
    <d v="2025-06-17T00:00:00"/>
  </r>
  <r>
    <s v="Sem TR"/>
    <n v="64767540"/>
    <s v="REB"/>
    <n v="50204"/>
    <n v="167"/>
    <s v="PEÇAS - Avaria - Quebrada/Depósito"/>
    <s v="LOGÍSTICA"/>
    <x v="2"/>
    <n v="1255"/>
    <x v="254"/>
    <s v="CE"/>
    <n v="931"/>
    <s v="Ats Off"/>
    <n v="1550"/>
    <s v="W10347201"/>
    <s v="Prateleiras"/>
    <x v="9"/>
    <n v="1000"/>
    <n v="5004391"/>
    <s v="JEONCEL TRANSPORTES LTDA"/>
    <n v="65.95"/>
    <d v="2025-05-12T00:00:00"/>
  </r>
  <r>
    <n v="254033295"/>
    <n v="64807389"/>
    <s v="REB"/>
    <n v="10009336"/>
    <n v="176"/>
    <s v="PEÇAS - Defeito de fabric./Interrompido"/>
    <s v="FUNCIONAL"/>
    <x v="1"/>
    <n v="18805"/>
    <x v="307"/>
    <s v="PR"/>
    <n v="648"/>
    <s v="Ultra"/>
    <n v="1350"/>
    <s v="W10408280"/>
    <s v="Válvulas de Água"/>
    <x v="5"/>
    <n v="1000"/>
    <n v="5003024"/>
    <s v="RODOBRAS TRANSPORTES RODOVIARIOS LT"/>
    <n v="65.91"/>
    <d v="2025-07-08T00:00:00"/>
  </r>
  <r>
    <n v="254024487"/>
    <n v="64792257"/>
    <s v="ZRDI"/>
    <n v="10071056"/>
    <n v="208"/>
    <s v="DEV-Atraso entrega- LOGISTICA(Transp)"/>
    <s v="TRANSPORTADORA"/>
    <x v="2"/>
    <n v="57528209"/>
    <x v="1713"/>
    <s v="MG"/>
    <n v="474"/>
    <s v="Site Brastemp"/>
    <n v="1352"/>
    <s v="W10733149"/>
    <s v="Manípulos"/>
    <x v="6"/>
    <n v="1000"/>
    <n v="5002359"/>
    <s v="EMPRESA BRASILEIRA DE CORREIOS E"/>
    <n v="65.849999999999994"/>
    <d v="2025-07-02T00:00:00"/>
  </r>
  <r>
    <n v="254029248"/>
    <n v="64808761"/>
    <s v="ZRDI"/>
    <n v="10086900"/>
    <n v="208"/>
    <s v="DEV-Atraso entrega- LOGISTICA(Transp)"/>
    <s v="TRANSPORTADORA"/>
    <x v="2"/>
    <n v="58087071"/>
    <x v="1714"/>
    <s v="RJ"/>
    <n v="466"/>
    <s v="Sup ML Marketplace"/>
    <n v="1352"/>
    <s v="W10606422"/>
    <s v="Usinas"/>
    <x v="12"/>
    <n v="1000"/>
    <n v="5002359"/>
    <s v="EMPRESA BRASILEIRA DE CORREIOS E"/>
    <n v="65.819999999999993"/>
    <d v="2025-07-10T00:00:00"/>
  </r>
  <r>
    <n v="254033986"/>
    <n v="64812556"/>
    <s v="ZRDI"/>
    <n v="10117832"/>
    <n v="208"/>
    <s v="DEV-Atraso entrega- LOGISTICA(Transp)"/>
    <s v="TRANSPORTADORA"/>
    <x v="2"/>
    <n v="56583305"/>
    <x v="1715"/>
    <s v="MG"/>
    <n v="474"/>
    <s v="Site Brastemp"/>
    <n v="1352"/>
    <s v="W10616024"/>
    <s v="Prateleiras"/>
    <x v="9"/>
    <n v="1000"/>
    <n v="5002359"/>
    <s v="EMPRESA BRASILEIRA DE CORREIOS E"/>
    <n v="65.8"/>
    <d v="2025-07-17T00:00:00"/>
  </r>
  <r>
    <n v="254038293"/>
    <n v="64814861"/>
    <s v="REB"/>
    <n v="10105716"/>
    <n v="176"/>
    <s v="PEÇAS - Defeito de fabric./Interrompido"/>
    <s v="FUNCIONAL"/>
    <x v="1"/>
    <n v="4318"/>
    <x v="89"/>
    <s v="SC"/>
    <n v="931"/>
    <s v="Ats Off"/>
    <n v="1350"/>
    <n v="326076881"/>
    <s v="Resistências"/>
    <x v="1"/>
    <n v="1000"/>
    <n v="5003024"/>
    <s v="RODOBRAS TRANSPORTES RODOVIARIOS LT"/>
    <n v="65.650000000000006"/>
    <d v="2025-07-22T00:00:00"/>
  </r>
  <r>
    <n v="254007513"/>
    <n v="64781762"/>
    <s v="REB"/>
    <n v="9873114"/>
    <n v="176"/>
    <s v="PEÇAS - Defeito de fabric./Interrompido"/>
    <s v="FUNCIONAL"/>
    <x v="2"/>
    <n v="3506"/>
    <x v="46"/>
    <s v="SP"/>
    <n v="931"/>
    <s v="Ats Off"/>
    <n v="1350"/>
    <s v="W10698525"/>
    <s v="Dobradiças"/>
    <x v="10"/>
    <n v="2000"/>
    <n v="5004042"/>
    <s v="BRASIL WEB TRANSPORTES E LOGISTICA"/>
    <n v="65.61"/>
    <d v="2025-06-02T00:00:00"/>
  </r>
  <r>
    <n v="254018224"/>
    <n v="64790337"/>
    <s v="REB"/>
    <n v="9860594"/>
    <n v="176"/>
    <s v="PEÇAS - Defeito de fabric./Interrompido"/>
    <s v="FUNCIONAL"/>
    <x v="1"/>
    <n v="13757"/>
    <x v="14"/>
    <s v="SP"/>
    <n v="713"/>
    <s v="Key Account"/>
    <n v="1350"/>
    <s v="W10678919"/>
    <s v="Placas de Controle"/>
    <x v="1"/>
    <n v="1000"/>
    <n v="5004042"/>
    <s v="BRASIL WEB TRANSPORTES E LOGISTICA"/>
    <n v="65.5"/>
    <d v="2025-06-16T00:00:00"/>
  </r>
  <r>
    <n v="254012606"/>
    <n v="64789555"/>
    <s v="REB"/>
    <n v="9890605"/>
    <n v="173"/>
    <s v="PEÇAS - Defeito de fabric./Alta Amperage"/>
    <s v="FUNCIONAL"/>
    <x v="2"/>
    <n v="71476"/>
    <x v="265"/>
    <s v="RJ"/>
    <n v="934"/>
    <s v="CDP Ouro"/>
    <n v="1350"/>
    <s v="W11226018"/>
    <s v="Motores Ventiladores"/>
    <x v="1"/>
    <n v="1000"/>
    <n v="5003176"/>
    <s v="J C THEDIN TRANSPORTES LTDA"/>
    <n v="65.47"/>
    <d v="2025-06-10T00:00:00"/>
  </r>
  <r>
    <n v="254018179"/>
    <n v="64793233"/>
    <s v="REB"/>
    <n v="9976748"/>
    <n v="176"/>
    <s v="PEÇAS - Defeito de fabric./Interrompido"/>
    <s v="FUNCIONAL"/>
    <x v="1"/>
    <n v="3506"/>
    <x v="46"/>
    <s v="SP"/>
    <n v="931"/>
    <s v="Ats Off"/>
    <n v="1350"/>
    <s v="W10699240"/>
    <s v="Filtro Secadores"/>
    <x v="0"/>
    <n v="8000"/>
    <n v="5004042"/>
    <s v="BRASIL WEB TRANSPORTES E LOGISTICA"/>
    <n v="65.36"/>
    <d v="2025-06-17T00:00:00"/>
  </r>
  <r>
    <s v="Sem TR"/>
    <n v="64807037"/>
    <s v="ZRDI"/>
    <n v="10135645"/>
    <s v="D15"/>
    <s v="DEV D2C - Arrependimento modelo comprado"/>
    <s v="COMERCIAL"/>
    <x v="2"/>
    <n v="58156893"/>
    <x v="1716"/>
    <s v="SP"/>
    <n v="466"/>
    <s v="Sup ML Marketplace"/>
    <n v="1352"/>
    <s v="W11132264"/>
    <s v="Trempes"/>
    <x v="6"/>
    <n v="1000"/>
    <n v="5002359"/>
    <s v="EMPRESA BRASILEIRA DE CORREIOS E"/>
    <n v="65.23"/>
    <d v="2025-07-18T00:00:00"/>
  </r>
  <r>
    <s v="Sem TR"/>
    <n v="64807037"/>
    <s v="ZRDI"/>
    <n v="10135645"/>
    <s v="D15"/>
    <s v="DEV D2C - Arrependimento modelo comprado"/>
    <s v="COMERCIAL"/>
    <x v="2"/>
    <n v="58156893"/>
    <x v="1716"/>
    <s v="SP"/>
    <n v="466"/>
    <s v="Sup ML Marketplace"/>
    <n v="1352"/>
    <s v="W11132264"/>
    <s v="Trempes"/>
    <x v="6"/>
    <n v="1000"/>
    <n v="5002359"/>
    <s v="EMPRESA BRASILEIRA DE CORREIOS E"/>
    <n v="65.23"/>
    <d v="2025-07-18T00:00:00"/>
  </r>
  <r>
    <n v="254024096"/>
    <n v="64803593"/>
    <s v="ZRDI"/>
    <n v="10013183"/>
    <n v="208"/>
    <s v="DEV-Atraso entrega- LOGISTICA(Transp)"/>
    <s v="TRANSPORTADORA"/>
    <x v="2"/>
    <n v="57998772"/>
    <x v="1066"/>
    <s v="BA"/>
    <n v="474"/>
    <s v="Site Brastemp"/>
    <n v="1352"/>
    <s v="W10828358"/>
    <s v="Pressostatos"/>
    <x v="3"/>
    <n v="1000"/>
    <n v="5002359"/>
    <s v="EMPRESA BRASILEIRA DE CORREIOS E"/>
    <n v="65.209999999999994"/>
    <d v="2025-07-01T00:00:00"/>
  </r>
  <r>
    <n v="253988953"/>
    <n v="64764476"/>
    <s v="REB"/>
    <n v="9881030"/>
    <n v="173"/>
    <s v="PEÇAS - Defeito de fabric./Alta Amperage"/>
    <s v="FUNCIONAL"/>
    <x v="1"/>
    <n v="87707"/>
    <x v="143"/>
    <s v="BA"/>
    <n v="648"/>
    <s v="Ultra"/>
    <n v="1350"/>
    <s v="W10678923"/>
    <s v="Placas de Controle"/>
    <x v="1"/>
    <n v="1000"/>
    <n v="5004101"/>
    <s v="UNIDOCK'S ASSESSORIA E LOGISTICA DE"/>
    <n v="65.17"/>
    <d v="2025-05-05T00:00:00"/>
  </r>
  <r>
    <s v="Sem TR"/>
    <n v="64687618"/>
    <s v="REB"/>
    <n v="9760932"/>
    <n v="125"/>
    <s v="DEV-Extravio de produto (Transportadora)"/>
    <s v="TRANSPORTADORA"/>
    <x v="0"/>
    <n v="3118"/>
    <x v="1717"/>
    <s v="PE"/>
    <n v="931"/>
    <s v="Ats Off"/>
    <n v="1350"/>
    <s v="W10347206"/>
    <s v="Prateleiras"/>
    <x v="9"/>
    <n v="1000"/>
    <n v="5004101"/>
    <s v="UNIDOCK'S ASSESSORIA E LOGISTICA DE"/>
    <n v="65.150000000000006"/>
    <d v="2025-01-09T00:00:00"/>
  </r>
  <r>
    <n v="254029602"/>
    <n v="64805133"/>
    <s v="ZRDI"/>
    <n v="10098520"/>
    <s v="D21"/>
    <s v="DEV D2C - Informado endereço incorreto"/>
    <s v="COMERCIAL"/>
    <x v="2"/>
    <n v="50036727"/>
    <x v="1718"/>
    <s v="SP"/>
    <n v="475"/>
    <s v="Site Consul"/>
    <n v="1352"/>
    <s v="W11132264"/>
    <s v="Trempes"/>
    <x v="6"/>
    <n v="1000"/>
    <n v="5003972"/>
    <s v="ICARO EXPRESS LOGISTICA LTDA"/>
    <n v="65"/>
    <d v="2025-07-11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4197305"/>
    <s v="Dobradiças"/>
    <x v="10"/>
    <n v="2000"/>
    <n v="5004101"/>
    <s v="UNIDOCK'S ASSESSORIA E LOGISTICA DE"/>
    <n v="64.959999999999994"/>
    <d v="2025-03-13T00:00:00"/>
  </r>
  <r>
    <n v="254003906"/>
    <n v="64777986"/>
    <s v="REB"/>
    <n v="9708387"/>
    <n v="173"/>
    <s v="PEÇAS - Defeito de fabric./Alta Amperage"/>
    <s v="FUNCIONAL"/>
    <x v="1"/>
    <n v="27770"/>
    <x v="37"/>
    <s v="AL"/>
    <n v="641"/>
    <s v="CDP Diamante"/>
    <n v="1350"/>
    <s v="W10882241"/>
    <s v="Agitadores"/>
    <x v="2"/>
    <n v="1000"/>
    <n v="5004101"/>
    <s v="UNIDOCK'S ASSESSORIA E LOGISTICA DE"/>
    <n v="64.94"/>
    <d v="2025-05-26T00:00:00"/>
  </r>
  <r>
    <s v="Sem TR"/>
    <n v="64799284"/>
    <s v="ZRDI"/>
    <n v="10090844"/>
    <s v="D35"/>
    <s v="DEV D2C - Prod difere do comprado"/>
    <s v="COMERCIAL"/>
    <x v="2"/>
    <n v="54565391"/>
    <x v="704"/>
    <s v="SP"/>
    <n v="475"/>
    <s v="Site Consul"/>
    <n v="1352"/>
    <s v="W10921095"/>
    <s v="Kits Instalação"/>
    <x v="7"/>
    <n v="1000"/>
    <n v="5002359"/>
    <s v="EMPRESA BRASILEIRA DE CORREIOS E"/>
    <n v="64.77"/>
    <d v="2025-06-27T00:00:00"/>
  </r>
  <r>
    <n v="254032344"/>
    <n v="64799457"/>
    <s v="ZRDI"/>
    <n v="10104325"/>
    <s v="D25"/>
    <s v="DEV D2C - Prob na entrega (Não recebi)"/>
    <s v="TRANSPORTADORA"/>
    <x v="2"/>
    <n v="58115208"/>
    <x v="1719"/>
    <s v="SP"/>
    <n v="475"/>
    <s v="Site Consul"/>
    <n v="1352"/>
    <s v="W10921095"/>
    <s v="Kits Instalação"/>
    <x v="7"/>
    <n v="1000"/>
    <n v="5003972"/>
    <s v="ICARO EXPRESS LOGISTICA LTDA"/>
    <n v="64.77"/>
    <d v="2025-07-16T00:00:00"/>
  </r>
  <r>
    <s v="Sem TR"/>
    <n v="64799284"/>
    <s v="ZRDI"/>
    <n v="10090844"/>
    <s v="D35"/>
    <s v="DEV D2C - Prod difere do comprado"/>
    <s v="COMERCIAL"/>
    <x v="2"/>
    <n v="54565391"/>
    <x v="704"/>
    <s v="SP"/>
    <n v="475"/>
    <s v="Site Consul"/>
    <n v="1352"/>
    <s v="W10921095"/>
    <s v="Kits Instalação"/>
    <x v="7"/>
    <n v="1000"/>
    <n v="5002359"/>
    <s v="EMPRESA BRASILEIRA DE CORREIOS E"/>
    <n v="64.77"/>
    <d v="2025-06-27T00:00:00"/>
  </r>
  <r>
    <n v="254042293"/>
    <n v="64795946"/>
    <s v="REB"/>
    <n v="10004700"/>
    <n v="176"/>
    <s v="PEÇAS - Defeito de fabric./Interrompido"/>
    <s v="FUNCIONAL"/>
    <x v="0"/>
    <n v="14474"/>
    <x v="25"/>
    <s v="RN"/>
    <n v="648"/>
    <s v="Ultra"/>
    <n v="1350"/>
    <s v="W10828358"/>
    <s v="Pressostatos"/>
    <x v="3"/>
    <n v="2000"/>
    <n v="5004101"/>
    <s v="UNIDOCK'S ASSESSORIA E LOGISTICA DE"/>
    <n v="64.73"/>
    <d v="2025-06-23T00:00:00"/>
  </r>
  <r>
    <n v="253952548"/>
    <n v="64729289"/>
    <s v="REB"/>
    <n v="9898365"/>
    <n v="173"/>
    <s v="PEÇAS - Defeito de fabric./Alta Amperage"/>
    <s v="FUNCIONAL"/>
    <x v="1"/>
    <n v="85461"/>
    <x v="180"/>
    <s v="MG"/>
    <n v="641"/>
    <s v="CDP Diamante"/>
    <n v="1350"/>
    <s v="W10678923"/>
    <s v="Placas de Controle"/>
    <x v="1"/>
    <n v="1000"/>
    <n v="5004215"/>
    <s v="BRASIL WEB TRANSPORTES E LOGISTICA"/>
    <n v="64.72"/>
    <d v="2025-03-10T00:00:00"/>
  </r>
  <r>
    <n v="253988949"/>
    <n v="64758360"/>
    <s v="REB"/>
    <n v="9974674"/>
    <n v="173"/>
    <s v="PEÇAS - Defeito de fabric./Alta Amperage"/>
    <s v="FUNCIONAL"/>
    <x v="1"/>
    <n v="85461"/>
    <x v="180"/>
    <s v="MG"/>
    <n v="641"/>
    <s v="CDP Diamante"/>
    <n v="1350"/>
    <s v="W10678923"/>
    <s v="Placas de Controle"/>
    <x v="1"/>
    <n v="1000"/>
    <n v="5004215"/>
    <s v="BRASIL WEB TRANSPORTES E LOGISTICA"/>
    <n v="64.72"/>
    <d v="2025-05-05T00:00:00"/>
  </r>
  <r>
    <n v="253988945"/>
    <n v="64764394"/>
    <s v="REB"/>
    <n v="9974674"/>
    <n v="173"/>
    <s v="PEÇAS - Defeito de fabric./Alta Amperage"/>
    <s v="FUNCIONAL"/>
    <x v="1"/>
    <n v="85461"/>
    <x v="180"/>
    <s v="MG"/>
    <n v="641"/>
    <s v="CDP Diamante"/>
    <n v="1350"/>
    <s v="W10678923"/>
    <s v="Placas de Controle"/>
    <x v="1"/>
    <n v="1000"/>
    <n v="5004215"/>
    <s v="BRASIL WEB TRANSPORTES E LOGISTICA"/>
    <n v="64.72"/>
    <d v="2025-05-05T00:00:00"/>
  </r>
  <r>
    <n v="254033968"/>
    <n v="64812527"/>
    <s v="ZRDI"/>
    <n v="10103101"/>
    <n v="208"/>
    <s v="DEV-Atraso entrega- LOGISTICA(Transp)"/>
    <s v="TRANSPORTADORA"/>
    <x v="2"/>
    <n v="4895047"/>
    <x v="1271"/>
    <s v="SC"/>
    <n v="474"/>
    <s v="Site Brastemp"/>
    <n v="1352"/>
    <s v="W10292562"/>
    <s v="Capas"/>
    <x v="6"/>
    <n v="1000"/>
    <n v="5002359"/>
    <s v="EMPRESA BRASILEIRA DE CORREIOS E"/>
    <n v="64.69"/>
    <d v="2025-07-17T00:00:00"/>
  </r>
  <r>
    <n v="254024659"/>
    <n v="64804762"/>
    <s v="ZRDI"/>
    <n v="10103102"/>
    <n v="208"/>
    <s v="DEV-Atraso entrega- LOGISTICA(Transp)"/>
    <s v="TRANSPORTADORA"/>
    <x v="2"/>
    <n v="4517609"/>
    <x v="1072"/>
    <s v="DF"/>
    <n v="474"/>
    <s v="Site Brastemp"/>
    <n v="1352"/>
    <s v="W10330009"/>
    <s v="Acessórios"/>
    <x v="7"/>
    <n v="3000"/>
    <n v="5002359"/>
    <s v="EMPRESA BRASILEIRA DE CORREIOS E"/>
    <n v="64.680000000000007"/>
    <d v="2025-07-02T00:00:00"/>
  </r>
  <r>
    <n v="254035353"/>
    <n v="64805123"/>
    <s v="REB"/>
    <n v="10117667"/>
    <n v="167"/>
    <s v="PEÇAS - Avaria - Quebrada/Depósito"/>
    <s v="LOGÍSTICA"/>
    <x v="1"/>
    <n v="21594"/>
    <x v="97"/>
    <s v="SP"/>
    <n v="931"/>
    <s v="Ats Off"/>
    <n v="1350"/>
    <s v="W10657521"/>
    <s v="Portas"/>
    <x v="6"/>
    <n v="1000"/>
    <n v="5004042"/>
    <s v="BRASIL WEB TRANSPORTES E LOGISTICA"/>
    <n v="64.61"/>
    <d v="2025-07-17T00:00:00"/>
  </r>
  <r>
    <n v="253952177"/>
    <n v="64727336"/>
    <s v="REB"/>
    <n v="9741891"/>
    <n v="173"/>
    <s v="PEÇAS - Defeito de fabric./Alta Amperage"/>
    <s v="FUNCIONAL"/>
    <x v="2"/>
    <n v="13757"/>
    <x v="14"/>
    <s v="SP"/>
    <n v="713"/>
    <s v="Key Account"/>
    <n v="1350"/>
    <s v="W10617044"/>
    <s v="Pressostatos"/>
    <x v="3"/>
    <n v="2000"/>
    <n v="5004042"/>
    <s v="BRASIL WEB TRANSPORTES E LOGISTICA"/>
    <n v="64.55"/>
    <d v="2025-03-08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606115"/>
    <s v="Polias/Roldanas"/>
    <x v="2"/>
    <n v="6000"/>
    <n v="5004101"/>
    <s v="UNIDOCK'S ASSESSORIA E LOGISTICA DE"/>
    <n v="64.55"/>
    <d v="2025-03-13T00:00:00"/>
  </r>
  <r>
    <s v="Sem TR"/>
    <n v="64812175"/>
    <s v="ZRDI"/>
    <n v="10098022"/>
    <s v="D31"/>
    <s v="DEV D2C - Defeito estético manufatura"/>
    <s v="MANUFATURA"/>
    <x v="2"/>
    <n v="55341732"/>
    <x v="716"/>
    <s v="CE"/>
    <n v="474"/>
    <s v="Site Brastemp"/>
    <n v="1352"/>
    <s v="W10455522"/>
    <s v="Prateleiras"/>
    <x v="9"/>
    <n v="1000"/>
    <n v="5002359"/>
    <s v="EMPRESA BRASILEIRA DE CORREIOS E"/>
    <n v="64.53"/>
    <d v="2025-07-17T00:00:00"/>
  </r>
  <r>
    <s v="Sem TR"/>
    <n v="64812175"/>
    <s v="ZRDI"/>
    <n v="10098022"/>
    <s v="D31"/>
    <s v="DEV D2C - Defeito estético manufatura"/>
    <s v="MANUFATURA"/>
    <x v="2"/>
    <n v="55341732"/>
    <x v="716"/>
    <s v="CE"/>
    <n v="474"/>
    <s v="Site Brastemp"/>
    <n v="1352"/>
    <s v="W10455522"/>
    <s v="Prateleiras"/>
    <x v="9"/>
    <n v="1000"/>
    <n v="5002359"/>
    <s v="EMPRESA BRASILEIRA DE CORREIOS E"/>
    <n v="64.53"/>
    <d v="2025-07-17T00:00:00"/>
  </r>
  <r>
    <s v="Sem TR"/>
    <n v="64760761"/>
    <s v="ROB"/>
    <n v="9926257"/>
    <n v="25"/>
    <s v="OC. 80 - EXTRAVIO TOTAL"/>
    <s v="TRANSPORTADORA"/>
    <x v="0"/>
    <n v="1221"/>
    <x v="1720"/>
    <s v="CE"/>
    <n v="350"/>
    <s v="Ats On"/>
    <n v="1350"/>
    <s v="W10767286"/>
    <s v="Capas"/>
    <x v="6"/>
    <n v="4000"/>
    <n v="5004101"/>
    <s v="UNIDOCK'S ASSESSORIA E LOGISTICA DE"/>
    <n v="64.53"/>
    <d v="2025-04-29T00:00:00"/>
  </r>
  <r>
    <n v="254012632"/>
    <n v="64780420"/>
    <s v="REB"/>
    <n v="10041932"/>
    <n v="170"/>
    <s v="PEÇAS - Avaria - Riscada/Depósito"/>
    <s v="LOGÍSTICA"/>
    <x v="2"/>
    <n v="85599"/>
    <x v="124"/>
    <s v="SP"/>
    <n v="934"/>
    <s v="CDP Ouro"/>
    <n v="1350"/>
    <s v="W10331995"/>
    <s v="Gavetas"/>
    <x v="9"/>
    <n v="1000"/>
    <n v="5004042"/>
    <s v="BRASIL WEB TRANSPORTES E LOGISTICA"/>
    <n v="64.510000000000005"/>
    <d v="2025-06-10T00:00:00"/>
  </r>
  <r>
    <n v="254038382"/>
    <n v="64814889"/>
    <s v="REB"/>
    <n v="10017213"/>
    <n v="173"/>
    <s v="PEÇAS - Defeito de fabric./Alta Amperage"/>
    <s v="FUNCIONAL"/>
    <x v="0"/>
    <n v="60871"/>
    <x v="9"/>
    <s v="ES"/>
    <n v="713"/>
    <s v="Key Account"/>
    <n v="1350"/>
    <s v="W10882241"/>
    <s v="Agitadores"/>
    <x v="2"/>
    <n v="2000"/>
    <n v="5004042"/>
    <s v="BRASIL WEB TRANSPORTES E LOGISTICA"/>
    <n v="64.5"/>
    <d v="2025-07-22T00:00:00"/>
  </r>
  <r>
    <n v="253970961"/>
    <n v="64748175"/>
    <s v="REB"/>
    <n v="9924136"/>
    <n v="173"/>
    <s v="PEÇAS - Defeito de fabric./Alta Amperage"/>
    <s v="FUNCIONAL"/>
    <x v="2"/>
    <n v="87707"/>
    <x v="143"/>
    <s v="BA"/>
    <n v="648"/>
    <s v="Ultra"/>
    <n v="1350"/>
    <s v="W10518616"/>
    <s v="Atuadores"/>
    <x v="2"/>
    <n v="2000"/>
    <n v="5004101"/>
    <s v="UNIDOCK'S ASSESSORIA E LOGISTICA DE"/>
    <n v="64.33"/>
    <d v="2025-04-09T00:00:00"/>
  </r>
  <r>
    <n v="254024132"/>
    <n v="64803739"/>
    <s v="ZRDI"/>
    <n v="10059270"/>
    <n v="208"/>
    <s v="DEV-Atraso entrega- LOGISTICA(Transp)"/>
    <s v="TRANSPORTADORA"/>
    <x v="2"/>
    <n v="52149809"/>
    <x v="1721"/>
    <s v="SE"/>
    <n v="746"/>
    <s v="Marketplace B2W"/>
    <n v="1352"/>
    <s v="W11510292"/>
    <s v="Interruptores"/>
    <x v="3"/>
    <n v="1000"/>
    <n v="5002359"/>
    <s v="EMPRESA BRASILEIRA DE CORREIOS E"/>
    <n v="64.319999999999993"/>
    <d v="2025-07-01T00:00:00"/>
  </r>
  <r>
    <n v="254018238"/>
    <n v="64788278"/>
    <s v="REB"/>
    <n v="9949829"/>
    <n v="176"/>
    <s v="PEÇAS - Defeito de fabric./Interrompido"/>
    <s v="FUNCIONAL"/>
    <x v="1"/>
    <n v="24089"/>
    <x v="134"/>
    <s v="RJ"/>
    <n v="931"/>
    <s v="Ats Off"/>
    <n v="1350"/>
    <s v="W10553783"/>
    <s v="Motores Ventiladores"/>
    <x v="1"/>
    <n v="1000"/>
    <n v="5003176"/>
    <s v="J C THEDIN TRANSPORTES LTDA"/>
    <n v="64.31"/>
    <d v="2025-06-17T00:00:00"/>
  </r>
  <r>
    <n v="254003872"/>
    <n v="64775862"/>
    <s v="REB"/>
    <n v="9953811"/>
    <n v="173"/>
    <s v="PEÇAS - Defeito de fabric./Alta Amperage"/>
    <s v="FUNCIONAL"/>
    <x v="1"/>
    <n v="13757"/>
    <x v="14"/>
    <s v="SP"/>
    <n v="713"/>
    <s v="Key Account"/>
    <n v="1350"/>
    <s v="W11634491"/>
    <s v="Placas de Controle"/>
    <x v="1"/>
    <n v="1000"/>
    <n v="5004042"/>
    <s v="BRASIL WEB TRANSPORTES E LOGISTICA"/>
    <n v="63.92"/>
    <d v="2025-05-26T00:00:00"/>
  </r>
  <r>
    <n v="254012598"/>
    <n v="64789425"/>
    <s v="REB"/>
    <n v="10018016"/>
    <n v="177"/>
    <s v="PEÇAS - Defeito de fabric./Ruído"/>
    <s v="FUNCIONAL"/>
    <x v="2"/>
    <n v="67948"/>
    <x v="15"/>
    <s v="SC"/>
    <n v="713"/>
    <s v="Key Account"/>
    <n v="1350"/>
    <s v="W10882241"/>
    <s v="Agitadores"/>
    <x v="2"/>
    <n v="2000"/>
    <n v="5003024"/>
    <s v="RODOBRAS TRANSPORTES RODOVIARIOS LT"/>
    <n v="63.85"/>
    <d v="2025-06-10T00:00:00"/>
  </r>
  <r>
    <n v="254012554"/>
    <n v="64789535"/>
    <s v="REB"/>
    <n v="9661387"/>
    <n v="173"/>
    <s v="PEÇAS - Defeito de fabric./Alta Amperage"/>
    <s v="FUNCIONAL"/>
    <x v="2"/>
    <n v="61675"/>
    <x v="12"/>
    <s v="MG"/>
    <n v="643"/>
    <s v="Elite"/>
    <n v="1350"/>
    <s v="W11163349"/>
    <s v="Placas de Controle"/>
    <x v="1"/>
    <n v="1000"/>
    <n v="5004215"/>
    <s v="BRASIL WEB TRANSPORTES E LOGISTICA"/>
    <n v="63.81"/>
    <d v="2025-06-10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1102783"/>
    <s v="Sensores"/>
    <x v="3"/>
    <n v="1000"/>
    <n v="5004042"/>
    <s v="BRASIL WEB TRANSPORTES E LOGISTICA"/>
    <n v="63.8"/>
    <d v="2025-06-24T00:00:00"/>
  </r>
  <r>
    <s v="Sem TR"/>
    <n v="64815275"/>
    <s v="ZRDI"/>
    <n v="10141816"/>
    <s v="D35"/>
    <s v="DEV D2C - Prod difere do comprado"/>
    <s v="COMERCIAL"/>
    <x v="1"/>
    <n v="51781762"/>
    <x v="1722"/>
    <s v="RJ"/>
    <n v="475"/>
    <s v="Site Consul"/>
    <n v="1352"/>
    <s v="W11132264"/>
    <s v="Trempes"/>
    <x v="6"/>
    <n v="1000"/>
    <n v="5002359"/>
    <s v="EMPRESA BRASILEIRA DE CORREIOS E"/>
    <n v="63.77"/>
    <d v="2025-07-29T00:00:00"/>
  </r>
  <r>
    <n v="254033964"/>
    <n v="64812513"/>
    <s v="ZRDI"/>
    <n v="10100720"/>
    <n v="208"/>
    <s v="DEV-Atraso entrega- LOGISTICA(Transp)"/>
    <s v="TRANSPORTADORA"/>
    <x v="2"/>
    <n v="52926675"/>
    <x v="586"/>
    <s v="MG"/>
    <n v="474"/>
    <s v="Site Brastemp"/>
    <n v="1352"/>
    <s v="W10423211"/>
    <s v="Prateleiras"/>
    <x v="9"/>
    <n v="1000"/>
    <n v="5002359"/>
    <s v="EMPRESA BRASILEIRA DE CORREIOS E"/>
    <n v="63.74"/>
    <d v="2025-07-17T00:00:00"/>
  </r>
  <r>
    <n v="254027326"/>
    <n v="64806739"/>
    <s v="ZRDI"/>
    <n v="10056824"/>
    <n v="208"/>
    <s v="DEV-Atraso entrega- LOGISTICA(Transp)"/>
    <s v="TRANSPORTADORA"/>
    <x v="2"/>
    <n v="58051156"/>
    <x v="1723"/>
    <s v="ES"/>
    <n v="474"/>
    <s v="Site Brastemp"/>
    <n v="1352"/>
    <s v="W10629657"/>
    <s v="Suportes"/>
    <x v="6"/>
    <n v="1000"/>
    <n v="5002359"/>
    <s v="EMPRESA BRASILEIRA DE CORREIOS E"/>
    <n v="63.72"/>
    <d v="2025-07-07T00:00:00"/>
  </r>
  <r>
    <s v="Sem TR"/>
    <n v="64745883"/>
    <s v="ZDVP"/>
    <n v="9116605"/>
    <n v="160"/>
    <s v="OI Cancelada - Ver motivo no texto"/>
    <s v="OUTROS"/>
    <x v="1"/>
    <n v="27770"/>
    <x v="37"/>
    <s v="AL"/>
    <n v="641"/>
    <s v="CDP Diamante"/>
    <n v="1350"/>
    <s v="W10678923"/>
    <s v="Placas de Controle"/>
    <x v="1"/>
    <n v="1000"/>
    <n v="5004101"/>
    <s v="UNIDOCK'S ASSESSORIA E LOGISTICA DE"/>
    <n v="63.69"/>
    <d v="2025-04-09T00:00:00"/>
  </r>
  <r>
    <s v="Sem TR"/>
    <n v="64746627"/>
    <s v="ZDVP"/>
    <n v="9116605"/>
    <n v="160"/>
    <s v="OI Cancelada - Ver motivo no texto"/>
    <s v="OUTROS"/>
    <x v="1"/>
    <n v="27770"/>
    <x v="37"/>
    <s v="AL"/>
    <n v="641"/>
    <s v="CDP Diamante"/>
    <n v="1350"/>
    <s v="W10678923"/>
    <s v="Placas de Controle"/>
    <x v="1"/>
    <n v="1000"/>
    <n v="5004101"/>
    <s v="UNIDOCK'S ASSESSORIA E LOGISTICA DE"/>
    <n v="63.69"/>
    <d v="2025-04-09T00:00:00"/>
  </r>
  <r>
    <n v="253988047"/>
    <n v="64747633"/>
    <s v="ZDVP"/>
    <n v="9116605"/>
    <n v="173"/>
    <s v="PEÇAS - Defeito de fabric./Alta Amperage"/>
    <s v="FUNCIONAL"/>
    <x v="2"/>
    <n v="27770"/>
    <x v="37"/>
    <s v="AL"/>
    <n v="641"/>
    <s v="CDP Diamante"/>
    <n v="1350"/>
    <s v="W10678923"/>
    <s v="Placas de Controle"/>
    <x v="1"/>
    <n v="1000"/>
    <n v="5004101"/>
    <s v="UNIDOCK'S ASSESSORIA E LOGISTICA DE"/>
    <n v="63.69"/>
    <d v="2025-04-09T00:00:00"/>
  </r>
  <r>
    <n v="254004056"/>
    <n v="64778314"/>
    <s v="REB"/>
    <n v="9981183"/>
    <n v="173"/>
    <s v="PEÇAS - Defeito de fabric./Alta Amperage"/>
    <s v="FUNCIONAL"/>
    <x v="1"/>
    <n v="78757"/>
    <x v="50"/>
    <s v="RS"/>
    <n v="643"/>
    <s v="Elite"/>
    <n v="1350"/>
    <s v="W10678923"/>
    <s v="Placas de Controle"/>
    <x v="1"/>
    <n v="1000"/>
    <n v="5003024"/>
    <s v="RODOBRAS TRANSPORTES RODOVIARIOS LT"/>
    <n v="63.66"/>
    <d v="2025-05-26T00:00:00"/>
  </r>
  <r>
    <n v="254042557"/>
    <n v="64796205"/>
    <s v="REB"/>
    <n v="9981183"/>
    <n v="173"/>
    <s v="PEÇAS - Defeito de fabric./Alta Amperage"/>
    <s v="FUNCIONAL"/>
    <x v="0"/>
    <n v="78757"/>
    <x v="50"/>
    <s v="RS"/>
    <n v="643"/>
    <s v="Elite"/>
    <n v="1350"/>
    <s v="W10678923"/>
    <s v="Placas de Controle"/>
    <x v="1"/>
    <n v="1000"/>
    <n v="5003024"/>
    <s v="RODOBRAS TRANSPORTES RODOVIARIOS LT"/>
    <n v="63.66"/>
    <d v="2025-06-23T00:00:00"/>
  </r>
  <r>
    <s v="Sem TR"/>
    <n v="64807082"/>
    <s v="ZRDI"/>
    <n v="10110699"/>
    <s v="D30"/>
    <s v="DEV D2C - Defeito funcional manufatura"/>
    <s v="MANUFATURA"/>
    <x v="2"/>
    <n v="4025690"/>
    <x v="1724"/>
    <s v="SP"/>
    <n v="474"/>
    <s v="Site Brastemp"/>
    <n v="1352"/>
    <s v="W10606424"/>
    <s v="Usinas"/>
    <x v="12"/>
    <n v="1000"/>
    <n v="5002359"/>
    <s v="EMPRESA BRASILEIRA DE CORREIOS E"/>
    <n v="63.54"/>
    <d v="2025-07-09T00:00:00"/>
  </r>
  <r>
    <n v="253981558"/>
    <n v="64757861"/>
    <s v="REB"/>
    <n v="9973357"/>
    <n v="167"/>
    <s v="PEÇAS - Avaria - Quebrada/Depósito"/>
    <s v="LOGÍSTICA"/>
    <x v="1"/>
    <n v="63030"/>
    <x v="1725"/>
    <s v="SP"/>
    <n v="641"/>
    <s v="CDP Diamante"/>
    <n v="1350"/>
    <s v="W10169464"/>
    <s v="Defletores/Difusores"/>
    <x v="5"/>
    <n v="2000"/>
    <n v="5004042"/>
    <s v="BRASIL WEB TRANSPORTES E LOGISTICA"/>
    <n v="63.54"/>
    <d v="2025-04-25T00:00:00"/>
  </r>
  <r>
    <n v="253961357"/>
    <n v="64737290"/>
    <s v="REB"/>
    <n v="9912443"/>
    <n v="167"/>
    <s v="PEÇAS - Avaria - Quebrada/Depósito"/>
    <s v="LOGÍSTICA"/>
    <x v="1"/>
    <n v="54465"/>
    <x v="207"/>
    <s v="SP"/>
    <n v="644"/>
    <s v="Plus"/>
    <n v="1350"/>
    <s v="W10212150"/>
    <s v="Gavetas"/>
    <x v="9"/>
    <n v="1000"/>
    <n v="5004042"/>
    <s v="BRASIL WEB TRANSPORTES E LOGISTICA"/>
    <n v="63.52"/>
    <d v="2025-03-24T00:00:00"/>
  </r>
  <r>
    <n v="254038294"/>
    <n v="64814528"/>
    <s v="REB"/>
    <n v="9745014"/>
    <n v="176"/>
    <s v="PEÇAS - Defeito de fabric./Interrompido"/>
    <s v="FUNCIONAL"/>
    <x v="1"/>
    <n v="4318"/>
    <x v="89"/>
    <s v="SC"/>
    <n v="931"/>
    <s v="Ats Off"/>
    <n v="1350"/>
    <s v="W11181055"/>
    <s v="Placas de Interface"/>
    <x v="1"/>
    <n v="1000"/>
    <n v="5003024"/>
    <s v="RODOBRAS TRANSPORTES RODOVIARIOS LT"/>
    <n v="63.4"/>
    <d v="2025-07-22T00:00:00"/>
  </r>
  <r>
    <s v="Sem TR"/>
    <n v="64810405"/>
    <s v="ZRDI"/>
    <n v="10133012"/>
    <s v="D10"/>
    <s v="DEV D2C - Comprou modelo errado"/>
    <s v="COMERCIAL"/>
    <x v="2"/>
    <n v="53459492"/>
    <x v="1726"/>
    <s v="MG"/>
    <n v="474"/>
    <s v="Site Brastemp"/>
    <n v="1352"/>
    <s v="W11178623"/>
    <s v="Portas"/>
    <x v="6"/>
    <n v="1000"/>
    <n v="5002359"/>
    <s v="EMPRESA BRASILEIRA DE CORREIOS E"/>
    <n v="63.4"/>
    <d v="2025-07-16T00:00:00"/>
  </r>
  <r>
    <s v="Sem TR"/>
    <n v="64810405"/>
    <s v="ZRDI"/>
    <n v="10133012"/>
    <s v="D10"/>
    <s v="DEV D2C - Comprou modelo errado"/>
    <s v="COMERCIAL"/>
    <x v="2"/>
    <n v="53459492"/>
    <x v="1726"/>
    <s v="MG"/>
    <n v="474"/>
    <s v="Site Brastemp"/>
    <n v="1352"/>
    <s v="W11178623"/>
    <s v="Portas"/>
    <x v="6"/>
    <n v="1000"/>
    <n v="5002359"/>
    <s v="EMPRESA BRASILEIRA DE CORREIOS E"/>
    <n v="63.4"/>
    <d v="2025-07-16T00:00:00"/>
  </r>
  <r>
    <n v="254007513"/>
    <n v="64782290"/>
    <s v="REB"/>
    <n v="9927252"/>
    <n v="176"/>
    <s v="PEÇAS - Defeito de fabric./Interrompido"/>
    <s v="FUNCIONAL"/>
    <x v="2"/>
    <n v="3506"/>
    <x v="46"/>
    <s v="SP"/>
    <n v="931"/>
    <s v="Ats Off"/>
    <n v="1350"/>
    <s v="W10771375"/>
    <s v="Resistências"/>
    <x v="1"/>
    <n v="1000"/>
    <n v="5004042"/>
    <s v="BRASIL WEB TRANSPORTES E LOGISTICA"/>
    <n v="63.3"/>
    <d v="2025-06-02T00:00:00"/>
  </r>
  <r>
    <s v="Sem TR"/>
    <n v="64791288"/>
    <s v="ZRDI"/>
    <n v="10084636"/>
    <s v="D10"/>
    <s v="DEV D2C - Comprou modelo errado"/>
    <s v="COMERCIAL"/>
    <x v="2"/>
    <n v="57551449"/>
    <x v="1727"/>
    <s v="MG"/>
    <n v="466"/>
    <s v="Sup ML Marketplace"/>
    <n v="1352"/>
    <s v="W10420716"/>
    <s v="Acessórios"/>
    <x v="7"/>
    <n v="1000"/>
    <n v="5002359"/>
    <s v="EMPRESA BRASILEIRA DE CORREIOS E"/>
    <n v="63.29"/>
    <d v="2025-07-01T00:00:00"/>
  </r>
  <r>
    <s v="Sem TR"/>
    <n v="64791288"/>
    <s v="ZRDI"/>
    <n v="10084636"/>
    <s v="D10"/>
    <s v="DEV D2C - Comprou modelo errado"/>
    <s v="COMERCIAL"/>
    <x v="2"/>
    <n v="57551449"/>
    <x v="1727"/>
    <s v="MG"/>
    <n v="466"/>
    <s v="Sup ML Marketplace"/>
    <n v="1352"/>
    <s v="W10420716"/>
    <s v="Acessórios"/>
    <x v="7"/>
    <n v="1000"/>
    <n v="5002359"/>
    <s v="EMPRESA BRASILEIRA DE CORREIOS E"/>
    <n v="63.29"/>
    <d v="2025-07-01T00:00:00"/>
  </r>
  <r>
    <n v="254012592"/>
    <n v="64786052"/>
    <s v="REB"/>
    <n v="9965499"/>
    <n v="173"/>
    <s v="PEÇAS - Defeito de fabric./Alta Amperage"/>
    <s v="FUNCIONAL"/>
    <x v="1"/>
    <n v="67948"/>
    <x v="15"/>
    <s v="SC"/>
    <n v="713"/>
    <s v="Key Account"/>
    <n v="1350"/>
    <s v="W10553783"/>
    <s v="Motores Ventiladores"/>
    <x v="1"/>
    <n v="1000"/>
    <n v="5003024"/>
    <s v="RODOBRAS TRANSPORTES RODOVIARIOS LT"/>
    <n v="63.28"/>
    <d v="2025-06-10T00:00:00"/>
  </r>
  <r>
    <n v="254031823"/>
    <n v="64789581"/>
    <s v="REB"/>
    <n v="10092665"/>
    <n v="176"/>
    <s v="PEÇAS - Defeito de fabric./Interrompido"/>
    <s v="FUNCIONAL"/>
    <x v="1"/>
    <n v="3506"/>
    <x v="46"/>
    <s v="SP"/>
    <n v="931"/>
    <s v="Ats Off"/>
    <n v="1350"/>
    <s v="W10686099"/>
    <s v="Manípulos"/>
    <x v="6"/>
    <n v="1000"/>
    <n v="5004042"/>
    <s v="BRASIL WEB TRANSPORTES E LOGISTICA"/>
    <n v="63.26"/>
    <d v="2025-06-24T00:00:00"/>
  </r>
  <r>
    <n v="254033405"/>
    <n v="64804460"/>
    <s v="REB"/>
    <n v="9981573"/>
    <n v="173"/>
    <s v="PEÇAS - Defeito de fabric./Alta Amperage"/>
    <s v="FUNCIONAL"/>
    <x v="1"/>
    <n v="40998"/>
    <x v="8"/>
    <s v="GO"/>
    <n v="648"/>
    <s v="Ultra"/>
    <n v="1350"/>
    <s v="W10467328"/>
    <s v="Válvulas de Água"/>
    <x v="5"/>
    <n v="1000"/>
    <n v="5002858"/>
    <s v="FAVORITA TRANSPORTES LTDA"/>
    <n v="63.19"/>
    <d v="2025-07-08T00:00:00"/>
  </r>
  <r>
    <n v="254018189"/>
    <n v="64792593"/>
    <s v="REB"/>
    <n v="10073567"/>
    <n v="176"/>
    <s v="PEÇAS - Defeito de fabric./Interrompido"/>
    <s v="FUNCIONAL"/>
    <x v="1"/>
    <n v="4425"/>
    <x v="305"/>
    <s v="SC"/>
    <n v="931"/>
    <s v="Ats Off"/>
    <n v="1350"/>
    <n v="326076881"/>
    <s v="Resistências"/>
    <x v="1"/>
    <n v="1000"/>
    <n v="5003024"/>
    <s v="RODOBRAS TRANSPORTES RODOVIARIOS LT"/>
    <n v="63.15"/>
    <d v="2025-06-17T00:00:00"/>
  </r>
  <r>
    <s v="Sem TR"/>
    <n v="64796921"/>
    <s v="ZRDI"/>
    <n v="10102037"/>
    <s v="D31"/>
    <s v="DEV D2C - Defeito estético manufatura"/>
    <s v="MANUFATURA"/>
    <x v="2"/>
    <n v="50035278"/>
    <x v="1728"/>
    <s v="SP"/>
    <n v="474"/>
    <s v="Site Brastemp"/>
    <n v="1352"/>
    <s v="W10629657"/>
    <s v="Suportes"/>
    <x v="6"/>
    <n v="1000"/>
    <n v="5002359"/>
    <s v="EMPRESA BRASILEIRA DE CORREIOS E"/>
    <n v="62.88"/>
    <d v="2025-07-02T00:00:00"/>
  </r>
  <r>
    <s v="Sem TR"/>
    <n v="64796921"/>
    <s v="ZRDI"/>
    <n v="10102037"/>
    <s v="D31"/>
    <s v="DEV D2C - Defeito estético manufatura"/>
    <s v="MANUFATURA"/>
    <x v="2"/>
    <n v="50035278"/>
    <x v="1728"/>
    <s v="SP"/>
    <n v="474"/>
    <s v="Site Brastemp"/>
    <n v="1352"/>
    <s v="W10629657"/>
    <s v="Suportes"/>
    <x v="6"/>
    <n v="1000"/>
    <n v="5002359"/>
    <s v="EMPRESA BRASILEIRA DE CORREIOS E"/>
    <n v="62.88"/>
    <d v="2025-07-02T00:00:00"/>
  </r>
  <r>
    <s v="Sem TR"/>
    <n v="64814469"/>
    <s v="REB"/>
    <n v="10114051"/>
    <n v="167"/>
    <s v="PEÇAS - Avaria - Quebrada/Depósito"/>
    <s v="LOGÍSTICA"/>
    <x v="1"/>
    <n v="5032"/>
    <x v="1729"/>
    <s v="RS"/>
    <n v="350"/>
    <s v="Ats On"/>
    <n v="1350"/>
    <s v="W10347201"/>
    <s v="Prateleiras"/>
    <x v="9"/>
    <n v="1000"/>
    <n v="5003024"/>
    <s v="RODOBRAS TRANSPORTES RODOVIARIOS LT"/>
    <n v="62.86"/>
    <d v="2025-07-22T00:00:00"/>
  </r>
  <r>
    <s v="Sem TR"/>
    <n v="64820505"/>
    <s v="REB"/>
    <n v="10143785"/>
    <n v="411"/>
    <s v="DEV-Extravio de PEÇAS (Transportadora)"/>
    <s v="TRANSPORTADORA"/>
    <x v="0"/>
    <n v="52516"/>
    <x v="1730"/>
    <s v="RJ"/>
    <n v="932"/>
    <s v="CDP Prata"/>
    <n v="1350"/>
    <s v="W10268575"/>
    <s v="Gaxetas"/>
    <x v="4"/>
    <n v="1000"/>
    <n v="5003176"/>
    <s v="J C THEDIN TRANSPORTES LTDA"/>
    <n v="62.85"/>
    <d v="2025-07-30T00:00:00"/>
  </r>
  <r>
    <s v="Sem TR"/>
    <n v="64817341"/>
    <s v="REB"/>
    <n v="10107898"/>
    <n v="176"/>
    <s v="PEÇAS - Defeito de fabric./Interrompido"/>
    <s v="FUNCIONAL"/>
    <x v="1"/>
    <n v="24089"/>
    <x v="134"/>
    <s v="RJ"/>
    <n v="931"/>
    <s v="Ats Off"/>
    <n v="1350"/>
    <n v="326004687"/>
    <s v="Anéis do Tanque"/>
    <x v="6"/>
    <n v="1000"/>
    <n v="5003176"/>
    <s v="J C THEDIN TRANSPORTES LTDA"/>
    <n v="62.82"/>
    <d v="2025-07-25T00:00:00"/>
  </r>
  <r>
    <n v="254038416"/>
    <n v="64808108"/>
    <s v="ZRDI"/>
    <n v="10100944"/>
    <s v="D18"/>
    <s v="DEV D2C - Arrependimento não quero mais"/>
    <s v="COMERCIAL"/>
    <x v="2"/>
    <n v="52695390"/>
    <x v="1731"/>
    <s v="SP"/>
    <n v="466"/>
    <s v="Sup ML Marketplace"/>
    <n v="1352"/>
    <s v="W10606422"/>
    <s v="Usinas"/>
    <x v="12"/>
    <n v="1000"/>
    <n v="5003972"/>
    <s v="ICARO EXPRESS LOGISTICA LTDA"/>
    <n v="62.75"/>
    <d v="2025-07-24T00:00:00"/>
  </r>
  <r>
    <n v="254038416"/>
    <n v="64808108"/>
    <s v="ZRDI"/>
    <n v="10100944"/>
    <s v="D18"/>
    <s v="DEV D2C - Arrependimento não quero mais"/>
    <s v="COMERCIAL"/>
    <x v="2"/>
    <n v="52695390"/>
    <x v="1731"/>
    <s v="SP"/>
    <n v="466"/>
    <s v="Sup ML Marketplace"/>
    <n v="1352"/>
    <s v="W10606422"/>
    <s v="Usinas"/>
    <x v="12"/>
    <n v="1000"/>
    <n v="5003972"/>
    <s v="ICARO EXPRESS LOGISTICA LTDA"/>
    <n v="62.75"/>
    <d v="2025-07-24T00:00:00"/>
  </r>
  <r>
    <s v="Sem TR"/>
    <n v="64790934"/>
    <s v="ZRDI"/>
    <n v="10078038"/>
    <s v="D10"/>
    <s v="DEV D2C - Comprou modelo errado"/>
    <s v="COMERCIAL"/>
    <x v="2"/>
    <n v="57997941"/>
    <x v="1732"/>
    <s v="SP"/>
    <n v="474"/>
    <s v="Site Brastemp"/>
    <n v="1352"/>
    <s v="W10616024"/>
    <s v="Prateleiras"/>
    <x v="9"/>
    <n v="1000"/>
    <n v="5002359"/>
    <s v="EMPRESA BRASILEIRA DE CORREIOS E"/>
    <n v="62.69"/>
    <d v="2025-06-12T00:00:00"/>
  </r>
  <r>
    <n v="254033439"/>
    <n v="64796623"/>
    <s v="REB"/>
    <n v="10096968"/>
    <n v="167"/>
    <s v="PEÇAS - Avaria - Quebrada/Depósito"/>
    <s v="LOGÍSTICA"/>
    <x v="1"/>
    <n v="69085"/>
    <x v="178"/>
    <s v="SP"/>
    <n v="641"/>
    <s v="CDP Diamante"/>
    <n v="1350"/>
    <s v="W10169464"/>
    <s v="Defletores/Difusores"/>
    <x v="5"/>
    <n v="2000"/>
    <n v="5004042"/>
    <s v="BRASIL WEB TRANSPORTES E LOGISTICA"/>
    <n v="62.63"/>
    <d v="2025-07-08T00:00:00"/>
  </r>
  <r>
    <n v="254030265"/>
    <n v="64791623"/>
    <s v="REB"/>
    <n v="10073902"/>
    <n v="167"/>
    <s v="PEÇAS - Avaria - Quebrada/Depósito"/>
    <s v="LOGÍSTICA"/>
    <x v="1"/>
    <n v="47026"/>
    <x v="16"/>
    <s v="BA"/>
    <n v="643"/>
    <s v="Elite"/>
    <n v="1350"/>
    <s v="W10169464"/>
    <s v="Defletores/Difusores"/>
    <x v="5"/>
    <n v="3000"/>
    <n v="5004101"/>
    <s v="UNIDOCK'S ASSESSORIA E LOGISTICA DE"/>
    <n v="62.59"/>
    <d v="2025-06-23T00:00:00"/>
  </r>
  <r>
    <s v="Sem TR"/>
    <n v="64817885"/>
    <s v="ZRDI"/>
    <n v="10133001"/>
    <s v="D11"/>
    <s v="DEV D2C - Comprou prod dimensão errada"/>
    <s v="COMERCIAL"/>
    <x v="2"/>
    <n v="51882395"/>
    <x v="1733"/>
    <s v="RJ"/>
    <n v="474"/>
    <s v="Site Brastemp"/>
    <n v="1352"/>
    <s v="W11126536"/>
    <s v="Tampas Móveis"/>
    <x v="6"/>
    <n v="1000"/>
    <n v="5002359"/>
    <s v="EMPRESA BRASILEIRA DE CORREIOS E"/>
    <n v="62.59"/>
    <d v="2025-07-25T00:00:00"/>
  </r>
  <r>
    <s v="Sem TR"/>
    <n v="64817885"/>
    <s v="ZRDI"/>
    <n v="10133001"/>
    <s v="D11"/>
    <s v="DEV D2C - Comprou prod dimensão errada"/>
    <s v="COMERCIAL"/>
    <x v="2"/>
    <n v="51882395"/>
    <x v="1733"/>
    <s v="RJ"/>
    <n v="474"/>
    <s v="Site Brastemp"/>
    <n v="1352"/>
    <s v="W11126536"/>
    <s v="Tampas Móveis"/>
    <x v="6"/>
    <n v="1000"/>
    <n v="5002359"/>
    <s v="EMPRESA BRASILEIRA DE CORREIOS E"/>
    <n v="62.59"/>
    <d v="2025-07-25T00:00:00"/>
  </r>
  <r>
    <n v="254003987"/>
    <n v="64777646"/>
    <s v="REB"/>
    <n v="9650809"/>
    <n v="173"/>
    <s v="PEÇAS - Defeito de fabric./Alta Amperage"/>
    <s v="FUNCIONAL"/>
    <x v="2"/>
    <n v="42048"/>
    <x v="11"/>
    <s v="MT"/>
    <n v="644"/>
    <s v="Plus"/>
    <n v="1350"/>
    <s v="W11226018"/>
    <s v="Motores Ventiladores"/>
    <x v="1"/>
    <n v="1000"/>
    <n v="5002573"/>
    <s v="CARVALIMA TRANSPORTES LTDA"/>
    <n v="62.55"/>
    <d v="2025-05-26T00:00:00"/>
  </r>
  <r>
    <n v="254033434"/>
    <n v="64806942"/>
    <s v="REB"/>
    <n v="10049660"/>
    <n v="173"/>
    <s v="PEÇAS - Defeito de fabric./Alta Amperage"/>
    <s v="FUNCIONAL"/>
    <x v="1"/>
    <n v="66366"/>
    <x v="993"/>
    <s v="SP"/>
    <n v="934"/>
    <s v="CDP Ouro"/>
    <n v="1350"/>
    <s v="W10742654"/>
    <s v="Motores Ventiladores"/>
    <x v="1"/>
    <n v="1000"/>
    <n v="5004042"/>
    <s v="BRASIL WEB TRANSPORTES E LOGISTICA"/>
    <n v="62.5"/>
    <d v="2025-07-08T00:00:00"/>
  </r>
  <r>
    <n v="253988884"/>
    <n v="64764104"/>
    <s v="REB"/>
    <n v="10010821"/>
    <n v="167"/>
    <s v="PEÇAS - Avaria - Quebrada/Depósito"/>
    <s v="LOGÍSTICA"/>
    <x v="2"/>
    <n v="49363"/>
    <x v="249"/>
    <s v="SP"/>
    <n v="644"/>
    <s v="Plus"/>
    <n v="1350"/>
    <s v="W10477178"/>
    <s v="Capas"/>
    <x v="6"/>
    <n v="2000"/>
    <n v="5004042"/>
    <s v="BRASIL WEB TRANSPORTES E LOGISTICA"/>
    <n v="62.44"/>
    <d v="2025-05-05T00:00:00"/>
  </r>
  <r>
    <n v="253952241"/>
    <n v="64729035"/>
    <s v="REB"/>
    <n v="9837712"/>
    <n v="176"/>
    <s v="PEÇAS - Defeito de fabric./Interrompido"/>
    <s v="FUNCIONAL"/>
    <x v="2"/>
    <n v="29706"/>
    <x v="149"/>
    <s v="RN"/>
    <n v="644"/>
    <s v="Plus"/>
    <n v="1350"/>
    <s v="W10678923"/>
    <s v="Placas de Controle"/>
    <x v="1"/>
    <n v="1000"/>
    <n v="5004101"/>
    <s v="UNIDOCK'S ASSESSORIA E LOGISTICA DE"/>
    <n v="62.36"/>
    <d v="2025-03-10T00:00:00"/>
  </r>
  <r>
    <n v="253961309"/>
    <n v="64737299"/>
    <s v="REB"/>
    <n v="9837712"/>
    <n v="176"/>
    <s v="PEÇAS - Defeito de fabric./Interrompido"/>
    <s v="FUNCIONAL"/>
    <x v="2"/>
    <n v="29706"/>
    <x v="149"/>
    <s v="RN"/>
    <n v="644"/>
    <s v="Plus"/>
    <n v="1350"/>
    <s v="W10678923"/>
    <s v="Placas de Controle"/>
    <x v="1"/>
    <n v="1000"/>
    <n v="5004101"/>
    <s v="UNIDOCK'S ASSESSORIA E LOGISTICA DE"/>
    <n v="62.36"/>
    <d v="2025-03-24T00:00:00"/>
  </r>
  <r>
    <n v="254012456"/>
    <n v="64782101"/>
    <s v="REB"/>
    <n v="10061714"/>
    <n v="167"/>
    <s v="PEÇAS - Avaria - Quebrada/Depósito"/>
    <s v="LOGÍSTICA"/>
    <x v="2"/>
    <n v="8192"/>
    <x v="118"/>
    <s v="PR"/>
    <n v="933"/>
    <s v="Top"/>
    <n v="1350"/>
    <s v="W10331995"/>
    <s v="Gavetas"/>
    <x v="9"/>
    <n v="1000"/>
    <n v="5003024"/>
    <s v="RODOBRAS TRANSPORTES RODOVIARIOS LT"/>
    <n v="62.36"/>
    <d v="2025-06-10T00:00:00"/>
  </r>
  <r>
    <s v="Sem TR"/>
    <n v="64802148"/>
    <s v="ZRDI"/>
    <n v="10082702"/>
    <s v="D35"/>
    <s v="DEV D2C - Prod difere do comprado"/>
    <s v="COMERCIAL"/>
    <x v="2"/>
    <n v="57500639"/>
    <x v="1192"/>
    <s v="PE"/>
    <n v="474"/>
    <s v="Site Brastemp"/>
    <n v="1352"/>
    <n v="326055047"/>
    <s v="Capas Queimadores"/>
    <x v="12"/>
    <n v="3000"/>
    <n v="5002359"/>
    <s v="EMPRESA BRASILEIRA DE CORREIOS E"/>
    <n v="62.16"/>
    <d v="2025-07-01T00:00:00"/>
  </r>
  <r>
    <n v="253992670"/>
    <n v="64765312"/>
    <s v="REB"/>
    <n v="10022402"/>
    <n v="168"/>
    <s v="PEÇAS-Def.Fabric.Empenamento/Abaulamento"/>
    <s v="FUNCIONAL"/>
    <x v="1"/>
    <n v="3625"/>
    <x v="324"/>
    <s v="SP"/>
    <n v="350"/>
    <s v="Ats On"/>
    <n v="1350"/>
    <s v="W10882241"/>
    <s v="Agitadores"/>
    <x v="2"/>
    <n v="1000"/>
    <n v="5004042"/>
    <s v="BRASIL WEB TRANSPORTES E LOGISTICA"/>
    <n v="62.15"/>
    <d v="2025-05-12T00:00:00"/>
  </r>
  <r>
    <n v="254024121"/>
    <n v="64803678"/>
    <s v="ZRDI"/>
    <n v="10047872"/>
    <n v="208"/>
    <s v="DEV-Atraso entrega- LOGISTICA(Transp)"/>
    <s v="TRANSPORTADORA"/>
    <x v="2"/>
    <n v="58038177"/>
    <x v="1689"/>
    <s v="AM"/>
    <n v="475"/>
    <s v="Site Consul"/>
    <n v="1352"/>
    <s v="W10202239"/>
    <s v="Painéis Decorativos"/>
    <x v="6"/>
    <n v="1000"/>
    <n v="5002359"/>
    <s v="EMPRESA BRASILEIRA DE CORREIOS E"/>
    <n v="62.12"/>
    <d v="2025-07-01T00:00:00"/>
  </r>
  <r>
    <n v="254035410"/>
    <n v="64807668"/>
    <s v="REB"/>
    <n v="10125244"/>
    <n v="167"/>
    <s v="PEÇAS - Avaria - Quebrada/Depósito"/>
    <s v="LOGÍSTICA"/>
    <x v="2"/>
    <n v="61874"/>
    <x v="1734"/>
    <s v="GO"/>
    <n v="644"/>
    <s v="Plus"/>
    <n v="1350"/>
    <s v="W10477178"/>
    <s v="Capas"/>
    <x v="6"/>
    <n v="3000"/>
    <n v="5002858"/>
    <s v="FAVORITA TRANSPORTES LTDA"/>
    <n v="62.1"/>
    <d v="2025-07-17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06721"/>
    <s v="Agitadores"/>
    <x v="2"/>
    <n v="3000"/>
    <n v="5004101"/>
    <s v="UNIDOCK'S ASSESSORIA E LOGISTICA DE"/>
    <n v="62"/>
    <d v="2025-06-24T00:00:00"/>
  </r>
  <r>
    <n v="253970736"/>
    <n v="64748160"/>
    <s v="REB"/>
    <n v="9949482"/>
    <n v="173"/>
    <s v="PEÇAS - Defeito de fabric./Alta Amperage"/>
    <s v="FUNCIONAL"/>
    <x v="1"/>
    <n v="17539"/>
    <x v="320"/>
    <s v="SP"/>
    <n v="350"/>
    <s v="Ats On"/>
    <n v="1350"/>
    <s v="W10882241"/>
    <s v="Agitadores"/>
    <x v="2"/>
    <n v="1000"/>
    <n v="5004042"/>
    <s v="BRASIL WEB TRANSPORTES E LOGISTICA"/>
    <n v="61.97"/>
    <d v="2025-04-09T00:00:00"/>
  </r>
  <r>
    <n v="254012590"/>
    <n v="64787221"/>
    <s v="REB"/>
    <n v="9659560"/>
    <n v="173"/>
    <s v="PEÇAS - Defeito de fabric./Alta Amperage"/>
    <s v="FUNCIONAL"/>
    <x v="1"/>
    <n v="67948"/>
    <x v="15"/>
    <s v="SC"/>
    <n v="713"/>
    <s v="Key Account"/>
    <n v="1350"/>
    <s v="W10678923"/>
    <s v="Placas de Controle"/>
    <x v="1"/>
    <n v="1000"/>
    <n v="5003024"/>
    <s v="RODOBRAS TRANSPORTES RODOVIARIOS LT"/>
    <n v="61.9"/>
    <d v="2025-06-10T00:00:00"/>
  </r>
  <r>
    <n v="254037053"/>
    <n v="64814969"/>
    <s v="ZRDI"/>
    <n v="10095931"/>
    <n v="208"/>
    <s v="DEV-Atraso entrega- LOGISTICA(Transp)"/>
    <s v="TRANSPORTADORA"/>
    <x v="2"/>
    <n v="53056710"/>
    <x v="1735"/>
    <s v="MG"/>
    <n v="466"/>
    <s v="Sup ML Marketplace"/>
    <n v="1352"/>
    <s v="W10761201"/>
    <s v="Parafusos e afins"/>
    <x v="10"/>
    <n v="2000"/>
    <n v="5002359"/>
    <s v="EMPRESA BRASILEIRA DE CORREIOS E"/>
    <n v="61.86"/>
    <d v="2025-07-22T00:00:00"/>
  </r>
  <r>
    <n v="254037053"/>
    <n v="64814969"/>
    <s v="ZRDI"/>
    <n v="10095931"/>
    <n v="208"/>
    <s v="DEV-Atraso entrega- LOGISTICA(Transp)"/>
    <s v="TRANSPORTADORA"/>
    <x v="2"/>
    <n v="53056710"/>
    <x v="1735"/>
    <s v="MG"/>
    <n v="466"/>
    <s v="Sup ML Marketplace"/>
    <n v="1352"/>
    <s v="W10761201"/>
    <s v="Parafusos e afins"/>
    <x v="10"/>
    <n v="2000"/>
    <n v="5002359"/>
    <s v="EMPRESA BRASILEIRA DE CORREIOS E"/>
    <n v="61.86"/>
    <d v="2025-07-22T00:00:00"/>
  </r>
  <r>
    <s v="Sem TR"/>
    <n v="64796543"/>
    <s v="ZRDI"/>
    <n v="10096000"/>
    <s v="D10"/>
    <s v="DEV D2C - Comprou modelo errado"/>
    <s v="COMERCIAL"/>
    <x v="2"/>
    <n v="58104394"/>
    <x v="1736"/>
    <s v="PR"/>
    <n v="474"/>
    <s v="Site Brastemp"/>
    <n v="1352"/>
    <s v="W11178623"/>
    <s v="Portas"/>
    <x v="6"/>
    <n v="1000"/>
    <n v="5002359"/>
    <s v="EMPRESA BRASILEIRA DE CORREIOS E"/>
    <n v="61.82"/>
    <d v="2025-06-27T00:00:00"/>
  </r>
  <r>
    <n v="254036636"/>
    <n v="64814532"/>
    <s v="ZRDI"/>
    <n v="10100770"/>
    <n v="208"/>
    <s v="DEV-Atraso entrega- LOGISTICA(Transp)"/>
    <s v="TRANSPORTADORA"/>
    <x v="2"/>
    <n v="58108833"/>
    <x v="1737"/>
    <s v="PR"/>
    <n v="474"/>
    <s v="Site Brastemp"/>
    <n v="1352"/>
    <s v="W11178623"/>
    <s v="Portas"/>
    <x v="6"/>
    <n v="1000"/>
    <n v="5002359"/>
    <s v="EMPRESA BRASILEIRA DE CORREIOS E"/>
    <n v="61.82"/>
    <d v="2025-07-22T00:00:00"/>
  </r>
  <r>
    <n v="253964521"/>
    <n v="64743719"/>
    <s v="REB"/>
    <n v="9932999"/>
    <n v="220"/>
    <s v="DEV-Avaria 1 trecho transp - Produto"/>
    <s v="QUALIDADE"/>
    <x v="1"/>
    <n v="66"/>
    <x v="73"/>
    <s v="GO"/>
    <n v="931"/>
    <s v="Ats Off"/>
    <n v="1350"/>
    <s v="W10347201"/>
    <s v="Prateleiras"/>
    <x v="9"/>
    <n v="1000"/>
    <n v="5002858"/>
    <s v="FAVORITA TRANSPORTES LTDA"/>
    <n v="61.8"/>
    <d v="2025-04-01T00:00:00"/>
  </r>
  <r>
    <n v="254038059"/>
    <n v="64814479"/>
    <s v="REB"/>
    <n v="10125131"/>
    <n v="170"/>
    <s v="PEÇAS - Avaria - Riscada/Depósito"/>
    <s v="LOGÍSTICA"/>
    <x v="1"/>
    <n v="66"/>
    <x v="73"/>
    <s v="GO"/>
    <n v="931"/>
    <s v="Ats Off"/>
    <n v="1350"/>
    <s v="W10347201"/>
    <s v="Prateleiras"/>
    <x v="9"/>
    <n v="1000"/>
    <n v="5002858"/>
    <s v="FAVORITA TRANSPORTES LTDA"/>
    <n v="61.8"/>
    <d v="2025-07-22T00:00:00"/>
  </r>
  <r>
    <n v="254024711"/>
    <n v="64784603"/>
    <s v="ROB"/>
    <n v="10098678"/>
    <n v="311"/>
    <s v="DEV-PRODUTO TROCADO-LOGÍSTICA"/>
    <s v="LOGÍSTICA"/>
    <x v="2"/>
    <n v="76131"/>
    <x v="248"/>
    <s v="SP"/>
    <n v="932"/>
    <s v="CDP Prata"/>
    <n v="1350"/>
    <n v="326006286"/>
    <s v="Agitadores"/>
    <x v="2"/>
    <n v="1000"/>
    <n v="5004101"/>
    <s v="UNIDOCK'S ASSESSORIA E LOGISTICA DE"/>
    <n v="61.78"/>
    <d v="2025-07-03T00:00:00"/>
  </r>
  <r>
    <s v="Sem TR"/>
    <n v="64811664"/>
    <s v="ZRDI"/>
    <n v="10138754"/>
    <s v="D30"/>
    <s v="DEV D2C - Defeito funcional manufatura"/>
    <s v="MANUFATURA"/>
    <x v="2"/>
    <n v="58159741"/>
    <x v="1738"/>
    <s v="SP"/>
    <n v="475"/>
    <s v="Site Consul"/>
    <n v="1352"/>
    <s v="W11132264"/>
    <s v="Trempes"/>
    <x v="6"/>
    <n v="1000"/>
    <n v="5002359"/>
    <s v="EMPRESA BRASILEIRA DE CORREIOS E"/>
    <n v="61.75"/>
    <d v="2025-07-16T00:00:00"/>
  </r>
  <r>
    <s v="Sem TR"/>
    <n v="64813140"/>
    <s v="ZRDI"/>
    <n v="10128477"/>
    <s v="D31"/>
    <s v="DEV D2C - Defeito estético manufatura"/>
    <s v="MANUFATURA"/>
    <x v="2"/>
    <n v="56504341"/>
    <x v="1739"/>
    <s v="SP"/>
    <n v="475"/>
    <s v="Site Consul"/>
    <n v="1352"/>
    <s v="W11132264"/>
    <s v="Trempes"/>
    <x v="6"/>
    <n v="1000"/>
    <n v="5002359"/>
    <s v="EMPRESA BRASILEIRA DE CORREIOS E"/>
    <n v="61.75"/>
    <d v="2025-07-19T00:00:00"/>
  </r>
  <r>
    <s v="Sem TR"/>
    <n v="64811664"/>
    <s v="ZRDI"/>
    <n v="10138754"/>
    <s v="D30"/>
    <s v="DEV D2C - Defeito funcional manufatura"/>
    <s v="MANUFATURA"/>
    <x v="2"/>
    <n v="58159741"/>
    <x v="1738"/>
    <s v="SP"/>
    <n v="475"/>
    <s v="Site Consul"/>
    <n v="1352"/>
    <s v="W11132264"/>
    <s v="Trempes"/>
    <x v="6"/>
    <n v="1000"/>
    <n v="5002359"/>
    <s v="EMPRESA BRASILEIRA DE CORREIOS E"/>
    <n v="61.75"/>
    <d v="2025-07-16T00:00:00"/>
  </r>
  <r>
    <n v="254037045"/>
    <n v="64814961"/>
    <s v="ZRDI"/>
    <n v="10068776"/>
    <n v="208"/>
    <s v="DEV-Atraso entrega- LOGISTICA(Transp)"/>
    <s v="TRANSPORTADORA"/>
    <x v="2"/>
    <n v="56535749"/>
    <x v="1740"/>
    <s v="TO"/>
    <n v="475"/>
    <s v="Site Consul"/>
    <n v="1352"/>
    <s v="W11360276"/>
    <s v="Filtros"/>
    <x v="5"/>
    <n v="1000"/>
    <n v="5002359"/>
    <s v="EMPRESA BRASILEIRA DE CORREIOS E"/>
    <n v="61.74"/>
    <d v="2025-07-22T00:00:00"/>
  </r>
  <r>
    <n v="254037045"/>
    <n v="64814961"/>
    <s v="ZRDI"/>
    <n v="10068776"/>
    <n v="208"/>
    <s v="DEV-Atraso entrega- LOGISTICA(Transp)"/>
    <s v="TRANSPORTADORA"/>
    <x v="2"/>
    <n v="56535749"/>
    <x v="1740"/>
    <s v="TO"/>
    <n v="475"/>
    <s v="Site Consul"/>
    <n v="1352"/>
    <s v="W11360276"/>
    <s v="Filtros"/>
    <x v="5"/>
    <n v="1000"/>
    <n v="5002359"/>
    <s v="EMPRESA BRASILEIRA DE CORREIOS E"/>
    <n v="61.74"/>
    <d v="2025-07-22T00:00:00"/>
  </r>
  <r>
    <n v="253952563"/>
    <n v="64729211"/>
    <s v="REB"/>
    <n v="9895175"/>
    <n v="167"/>
    <s v="PEÇAS - Avaria - Quebrada/Depósito"/>
    <s v="LOGÍSTICA"/>
    <x v="2"/>
    <n v="87407"/>
    <x v="208"/>
    <s v="SP"/>
    <n v="644"/>
    <s v="Plus"/>
    <n v="1350"/>
    <s v="W10292562"/>
    <s v="Capas"/>
    <x v="6"/>
    <n v="2000"/>
    <n v="5004042"/>
    <s v="BRASIL WEB TRANSPORTES E LOGISTICA"/>
    <n v="61.62"/>
    <d v="2025-03-10T00:00:00"/>
  </r>
  <r>
    <s v="Sem TR"/>
    <n v="64800096"/>
    <s v="REB"/>
    <n v="10087191"/>
    <n v="509"/>
    <s v="Qtd de peças a Menor dentro do Volume"/>
    <s v="LOGÍSTICA"/>
    <x v="2"/>
    <n v="31537"/>
    <x v="523"/>
    <s v="RS"/>
    <n v="641"/>
    <s v="CDP Diamante"/>
    <n v="1350"/>
    <s v="W11036296"/>
    <s v="Calhas/Canaletas"/>
    <x v="9"/>
    <n v="3000"/>
    <n v="5002359"/>
    <s v="EMPRESA BRASILEIRA DE CORREIOS E"/>
    <n v="61.6"/>
    <d v="2025-07-01T00:00:00"/>
  </r>
  <r>
    <n v="254018181"/>
    <n v="64793131"/>
    <s v="REB"/>
    <n v="9838069"/>
    <n v="176"/>
    <s v="PEÇAS - Defeito de fabric./Interrompido"/>
    <s v="FUNCIONAL"/>
    <x v="1"/>
    <n v="3506"/>
    <x v="46"/>
    <s v="SP"/>
    <n v="931"/>
    <s v="Ats Off"/>
    <n v="1350"/>
    <s v="W11655499"/>
    <s v="Dispensers"/>
    <x v="9"/>
    <n v="1000"/>
    <n v="5004042"/>
    <s v="BRASIL WEB TRANSPORTES E LOGISTICA"/>
    <n v="61.58"/>
    <d v="2025-06-17T00:00:00"/>
  </r>
  <r>
    <n v="254038271"/>
    <n v="64814037"/>
    <s v="REB"/>
    <n v="10110400"/>
    <n v="177"/>
    <s v="PEÇAS - Defeito de fabric./Ruído"/>
    <s v="FUNCIONAL"/>
    <x v="1"/>
    <n v="4318"/>
    <x v="89"/>
    <s v="SC"/>
    <n v="931"/>
    <s v="Ats Off"/>
    <n v="1350"/>
    <n v="326015416"/>
    <s v="Polias/Roldanas"/>
    <x v="2"/>
    <n v="5000"/>
    <n v="5003024"/>
    <s v="RODOBRAS TRANSPORTES RODOVIARIOS LT"/>
    <n v="61.55"/>
    <d v="2025-07-22T00:00:00"/>
  </r>
  <r>
    <n v="254040804"/>
    <n v="64796015"/>
    <s v="REB"/>
    <n v="10069687"/>
    <n v="176"/>
    <s v="PEÇAS - Defeito de fabric./Interrompido"/>
    <s v="FUNCIONAL"/>
    <x v="0"/>
    <n v="10164"/>
    <x v="183"/>
    <s v="PB"/>
    <n v="931"/>
    <s v="Ats Off"/>
    <n v="1350"/>
    <s v="W10833413"/>
    <s v="Pressostatos"/>
    <x v="3"/>
    <n v="1000"/>
    <n v="5004101"/>
    <s v="UNIDOCK'S ASSESSORIA E LOGISTICA DE"/>
    <n v="61.53"/>
    <d v="2025-06-23T00:00:00"/>
  </r>
  <r>
    <s v="Sem TR"/>
    <n v="64788255"/>
    <s v="ZRDI"/>
    <n v="10054872"/>
    <n v="25"/>
    <s v="OC. 80 - EXTRAVIO TOTAL"/>
    <s v="TRANSPORTADORA"/>
    <x v="2"/>
    <n v="58047907"/>
    <x v="1741"/>
    <s v="SE"/>
    <n v="475"/>
    <s v="Site Consul"/>
    <n v="1352"/>
    <s v="W10202239"/>
    <s v="Painéis Decorativos"/>
    <x v="6"/>
    <n v="1000"/>
    <n v="5002359"/>
    <s v="EMPRESA BRASILEIRA DE CORREIOS E"/>
    <n v="61.5"/>
    <d v="2025-06-30T00:00:00"/>
  </r>
  <r>
    <s v="Sem TR"/>
    <n v="64808204"/>
    <s v="ZRDI"/>
    <n v="10116095"/>
    <s v="D10"/>
    <s v="DEV D2C - Comprou modelo errado"/>
    <s v="COMERCIAL"/>
    <x v="2"/>
    <n v="52430244"/>
    <x v="1742"/>
    <s v="PR"/>
    <n v="474"/>
    <s v="Site Brastemp"/>
    <n v="1352"/>
    <s v="W11310109"/>
    <s v="Espargidores"/>
    <x v="2"/>
    <n v="1000"/>
    <n v="5002359"/>
    <s v="EMPRESA BRASILEIRA DE CORREIOS E"/>
    <n v="61.44"/>
    <d v="2025-07-10T00:00:00"/>
  </r>
  <r>
    <n v="253970732"/>
    <n v="64748493"/>
    <s v="REB"/>
    <n v="9794233"/>
    <n v="173"/>
    <s v="PEÇAS - Defeito de fabric./Alta Amperage"/>
    <s v="FUNCIONAL"/>
    <x v="1"/>
    <n v="13757"/>
    <x v="14"/>
    <s v="SP"/>
    <n v="713"/>
    <s v="Key Account"/>
    <n v="1350"/>
    <s v="W11634491"/>
    <s v="Placas de Controle"/>
    <x v="1"/>
    <n v="1000"/>
    <n v="5004042"/>
    <s v="BRASIL WEB TRANSPORTES E LOGISTICA"/>
    <n v="61.41"/>
    <d v="2025-04-09T00:00:00"/>
  </r>
  <r>
    <n v="253961250"/>
    <n v="64737305"/>
    <s v="REB"/>
    <n v="9794233"/>
    <n v="173"/>
    <s v="PEÇAS - Defeito de fabric./Alta Amperage"/>
    <s v="FUNCIONAL"/>
    <x v="1"/>
    <n v="13757"/>
    <x v="14"/>
    <s v="SP"/>
    <n v="713"/>
    <s v="Key Account"/>
    <n v="1350"/>
    <s v="W11634491"/>
    <s v="Placas de Controle"/>
    <x v="1"/>
    <n v="1000"/>
    <n v="5004042"/>
    <s v="BRASIL WEB TRANSPORTES E LOGISTICA"/>
    <n v="61.41"/>
    <d v="2025-03-24T00:00:00"/>
  </r>
  <r>
    <n v="254012547"/>
    <n v="64788676"/>
    <s v="REB"/>
    <n v="10048243"/>
    <n v="167"/>
    <s v="PEÇAS - Avaria - Quebrada/Depósito"/>
    <s v="LOGÍSTICA"/>
    <x v="2"/>
    <n v="56043"/>
    <x v="48"/>
    <s v="PR"/>
    <n v="963"/>
    <s v="Ats Distribuidoras"/>
    <n v="1350"/>
    <s v="W10455522"/>
    <s v="Prateleiras"/>
    <x v="9"/>
    <n v="2000"/>
    <n v="5003024"/>
    <s v="RODOBRAS TRANSPORTES RODOVIARIOS LT"/>
    <n v="61.39"/>
    <d v="2025-06-10T00:00:00"/>
  </r>
  <r>
    <n v="253983828"/>
    <n v="64758243"/>
    <s v="REB"/>
    <n v="9997439"/>
    <n v="168"/>
    <s v="PEÇAS-Def.Fabric.Empenamento/Abaulamento"/>
    <s v="FUNCIONAL"/>
    <x v="2"/>
    <n v="3625"/>
    <x v="324"/>
    <s v="SP"/>
    <n v="350"/>
    <s v="Ats On"/>
    <n v="1350"/>
    <s v="W10882241"/>
    <s v="Agitadores"/>
    <x v="2"/>
    <n v="1000"/>
    <n v="5004042"/>
    <s v="BRASIL WEB TRANSPORTES E LOGISTICA"/>
    <n v="61.36"/>
    <d v="2025-04-28T00:00:00"/>
  </r>
  <r>
    <n v="254023779"/>
    <n v="64802487"/>
    <s v="ZRDI"/>
    <n v="10086482"/>
    <s v="D25"/>
    <s v="DEV D2C - Prob na entrega (Não recebi)"/>
    <s v="TRANSPORTADORA"/>
    <x v="2"/>
    <n v="58040887"/>
    <x v="1743"/>
    <s v="MG"/>
    <n v="475"/>
    <s v="Site Consul"/>
    <n v="1352"/>
    <s v="W10581537"/>
    <s v="Pressostatos"/>
    <x v="3"/>
    <n v="1000"/>
    <n v="5002359"/>
    <s v="EMPRESA BRASILEIRA DE CORREIOS E"/>
    <n v="61.28"/>
    <d v="2025-07-01T00:00:00"/>
  </r>
  <r>
    <n v="254003966"/>
    <n v="64777849"/>
    <s v="REB"/>
    <n v="10018472"/>
    <n v="104"/>
    <s v="PEÇAS-Código trocado(embalag X conteúdo)"/>
    <s v="LOGÍSTICA"/>
    <x v="2"/>
    <n v="32072"/>
    <x v="193"/>
    <s v="PB"/>
    <n v="350"/>
    <s v="Ats On"/>
    <n v="1350"/>
    <s v="W10601105"/>
    <s v="Filtros"/>
    <x v="5"/>
    <n v="2000"/>
    <n v="5004101"/>
    <s v="UNIDOCK'S ASSESSORIA E LOGISTICA DE"/>
    <n v="61.22"/>
    <d v="2025-05-26T00:00:00"/>
  </r>
  <r>
    <n v="254039191"/>
    <n v="64817073"/>
    <s v="ZRDI"/>
    <n v="10115690"/>
    <n v="208"/>
    <s v="DEV-Atraso entrega- LOGISTICA(Transp)"/>
    <s v="TRANSPORTADORA"/>
    <x v="2"/>
    <n v="58126505"/>
    <x v="872"/>
    <s v="RS"/>
    <n v="474"/>
    <s v="Site Brastemp"/>
    <n v="1352"/>
    <s v="W10455522"/>
    <s v="Prateleiras"/>
    <x v="9"/>
    <n v="1000"/>
    <n v="5002359"/>
    <s v="EMPRESA BRASILEIRA DE CORREIOS E"/>
    <n v="61.22"/>
    <d v="2025-07-24T00:00:00"/>
  </r>
  <r>
    <n v="254039191"/>
    <n v="64817073"/>
    <s v="ZRDI"/>
    <n v="10115690"/>
    <n v="208"/>
    <s v="DEV-Atraso entrega- LOGISTICA(Transp)"/>
    <s v="TRANSPORTADORA"/>
    <x v="2"/>
    <n v="58126505"/>
    <x v="872"/>
    <s v="RS"/>
    <n v="474"/>
    <s v="Site Brastemp"/>
    <n v="1352"/>
    <s v="W10455522"/>
    <s v="Prateleiras"/>
    <x v="9"/>
    <n v="1000"/>
    <n v="5002359"/>
    <s v="EMPRESA BRASILEIRA DE CORREIOS E"/>
    <n v="61.22"/>
    <d v="2025-07-24T00:00:00"/>
  </r>
  <r>
    <n v="254033360"/>
    <n v="64807344"/>
    <s v="REB"/>
    <n v="10063051"/>
    <n v="173"/>
    <s v="PEÇAS - Defeito de fabric./Alta Amperage"/>
    <s v="FUNCIONAL"/>
    <x v="0"/>
    <n v="28991"/>
    <x v="65"/>
    <s v="MG"/>
    <n v="643"/>
    <s v="Elite"/>
    <n v="1350"/>
    <s v="W10408280"/>
    <s v="Válvulas de Água"/>
    <x v="5"/>
    <n v="1000"/>
    <n v="5004215"/>
    <s v="BRASIL WEB TRANSPORTES E LOGISTICA"/>
    <n v="61.22"/>
    <d v="2025-07-08T00:00:00"/>
  </r>
  <r>
    <s v="Sem TR"/>
    <n v="64815924"/>
    <s v="ZRDI"/>
    <n v="10115538"/>
    <s v="D10"/>
    <s v="DEV D2C - Comprou modelo errado"/>
    <s v="COMERCIAL"/>
    <x v="2"/>
    <n v="52773729"/>
    <x v="1509"/>
    <s v="RS"/>
    <n v="474"/>
    <s v="Site Brastemp"/>
    <n v="1352"/>
    <s v="W10455522"/>
    <s v="Prateleiras"/>
    <x v="9"/>
    <n v="1000"/>
    <n v="5002359"/>
    <s v="EMPRESA BRASILEIRA DE CORREIOS E"/>
    <n v="61.21"/>
    <d v="2025-07-23T00:00:00"/>
  </r>
  <r>
    <s v="Sem TR"/>
    <n v="64815924"/>
    <s v="ZRDI"/>
    <n v="10115538"/>
    <s v="D10"/>
    <s v="DEV D2C - Comprou modelo errado"/>
    <s v="COMERCIAL"/>
    <x v="2"/>
    <n v="52773729"/>
    <x v="1509"/>
    <s v="RS"/>
    <n v="474"/>
    <s v="Site Brastemp"/>
    <n v="1352"/>
    <s v="W10455522"/>
    <s v="Prateleiras"/>
    <x v="9"/>
    <n v="1000"/>
    <n v="5002359"/>
    <s v="EMPRESA BRASILEIRA DE CORREIOS E"/>
    <n v="61.21"/>
    <d v="2025-07-23T00:00:00"/>
  </r>
  <r>
    <n v="254027639"/>
    <n v="64807241"/>
    <s v="ROB"/>
    <n v="10115324"/>
    <n v="240"/>
    <s v="DEV-Avaria - 2 trecho transp - Produto"/>
    <s v="QUALIDADE"/>
    <x v="0"/>
    <n v="67852"/>
    <x v="784"/>
    <s v="MT"/>
    <n v="350"/>
    <s v="Ats On"/>
    <n v="1350"/>
    <s v="W11112671"/>
    <s v="Interruptores horário"/>
    <x v="3"/>
    <n v="1000"/>
    <n v="5002573"/>
    <s v="CARVALIMA TRANSPORTES LTDA"/>
    <n v="61.17"/>
    <d v="2025-07-08T00:00:00"/>
  </r>
  <r>
    <s v="Sem TR"/>
    <n v="64807478"/>
    <s v="ZRDI"/>
    <n v="10118568"/>
    <s v="D35"/>
    <s v="DEV D2C - Prod difere do comprado"/>
    <s v="COMERCIAL"/>
    <x v="2"/>
    <n v="52491026"/>
    <x v="1744"/>
    <s v="SP"/>
    <n v="474"/>
    <s v="Site Brastemp"/>
    <n v="1352"/>
    <s v="W10688302"/>
    <s v="Manípulos"/>
    <x v="6"/>
    <n v="1000"/>
    <n v="5002359"/>
    <s v="EMPRESA BRASILEIRA DE CORREIOS E"/>
    <n v="61.16"/>
    <d v="2025-07-09T00:00:00"/>
  </r>
  <r>
    <s v="Sem TR"/>
    <n v="64807478"/>
    <s v="ZRDI"/>
    <n v="10118568"/>
    <s v="D35"/>
    <s v="DEV D2C - Prod difere do comprado"/>
    <s v="COMERCIAL"/>
    <x v="2"/>
    <n v="52491026"/>
    <x v="1744"/>
    <s v="SP"/>
    <n v="474"/>
    <s v="Site Brastemp"/>
    <n v="1352"/>
    <s v="W10688302"/>
    <s v="Manípulos"/>
    <x v="6"/>
    <n v="1000"/>
    <n v="5002359"/>
    <s v="EMPRESA BRASILEIRA DE CORREIOS E"/>
    <n v="61.16"/>
    <d v="2025-07-09T00:00:00"/>
  </r>
  <r>
    <n v="254031620"/>
    <n v="64787202"/>
    <s v="REB"/>
    <n v="10065565"/>
    <n v="176"/>
    <s v="PEÇAS - Defeito de fabric./Interrompido"/>
    <s v="FUNCIONAL"/>
    <x v="0"/>
    <n v="3506"/>
    <x v="46"/>
    <s v="SP"/>
    <n v="931"/>
    <s v="Ats Off"/>
    <n v="1350"/>
    <s v="W10706216"/>
    <s v="Válvulas de Segurança"/>
    <x v="12"/>
    <n v="1000"/>
    <n v="5004042"/>
    <s v="BRASIL WEB TRANSPORTES E LOGISTICA"/>
    <n v="61.14"/>
    <d v="2025-06-24T00:00:00"/>
  </r>
  <r>
    <n v="254033475"/>
    <n v="64804089"/>
    <s v="REB"/>
    <n v="9736878"/>
    <n v="173"/>
    <s v="PEÇAS - Defeito de fabric./Alta Amperage"/>
    <s v="FUNCIONAL"/>
    <x v="1"/>
    <n v="92053"/>
    <x v="17"/>
    <s v="MG"/>
    <n v="643"/>
    <s v="Elite"/>
    <n v="1350"/>
    <s v="W10678919"/>
    <s v="Placas de Controle"/>
    <x v="1"/>
    <n v="1000"/>
    <n v="5004215"/>
    <s v="BRASIL WEB TRANSPORTES E LOGISTICA"/>
    <n v="61.13"/>
    <d v="2025-07-02T00:00:00"/>
  </r>
  <r>
    <s v="Sem TR"/>
    <n v="64802799"/>
    <s v="ZRDI"/>
    <n v="10087159"/>
    <s v="D10"/>
    <s v="DEV D2C - Comprou modelo errado"/>
    <s v="COMERCIAL"/>
    <x v="2"/>
    <n v="58086770"/>
    <x v="1745"/>
    <s v="RJ"/>
    <n v="474"/>
    <s v="Site Brastemp"/>
    <n v="1352"/>
    <s v="W11178623"/>
    <s v="Portas"/>
    <x v="6"/>
    <n v="1000"/>
    <n v="5002359"/>
    <s v="EMPRESA BRASILEIRA DE CORREIOS E"/>
    <n v="61.09"/>
    <d v="2025-07-01T00:00:00"/>
  </r>
  <r>
    <s v="Sem TR"/>
    <n v="64802799"/>
    <s v="ZRDI"/>
    <n v="10087159"/>
    <s v="D10"/>
    <s v="DEV D2C - Comprou modelo errado"/>
    <s v="COMERCIAL"/>
    <x v="2"/>
    <n v="58086770"/>
    <x v="1745"/>
    <s v="RJ"/>
    <n v="474"/>
    <s v="Site Brastemp"/>
    <n v="1352"/>
    <s v="W11178623"/>
    <s v="Portas"/>
    <x v="6"/>
    <n v="1000"/>
    <n v="5002359"/>
    <s v="EMPRESA BRASILEIRA DE CORREIOS E"/>
    <n v="61.09"/>
    <d v="2025-07-01T00:00:00"/>
  </r>
  <r>
    <s v="Sem TR"/>
    <n v="64816548"/>
    <s v="ZRDI"/>
    <n v="10134609"/>
    <s v="D10"/>
    <s v="DEV D2C - Comprou modelo errado"/>
    <s v="COMERCIAL"/>
    <x v="2"/>
    <n v="58150193"/>
    <x v="1399"/>
    <s v="SP"/>
    <n v="475"/>
    <s v="Site Consul"/>
    <n v="1352"/>
    <s v="W10351687"/>
    <s v="Queimadores"/>
    <x v="12"/>
    <n v="2000"/>
    <n v="5002359"/>
    <s v="EMPRESA BRASILEIRA DE CORREIOS E"/>
    <n v="61.08"/>
    <d v="2025-07-26T00:00:00"/>
  </r>
  <r>
    <s v="Sem TR"/>
    <n v="64816548"/>
    <s v="ZRDI"/>
    <n v="10134609"/>
    <s v="D10"/>
    <s v="DEV D2C - Comprou modelo errado"/>
    <s v="COMERCIAL"/>
    <x v="2"/>
    <n v="58150193"/>
    <x v="1399"/>
    <s v="SP"/>
    <n v="475"/>
    <s v="Site Consul"/>
    <n v="1352"/>
    <s v="W10351687"/>
    <s v="Queimadores"/>
    <x v="12"/>
    <n v="2000"/>
    <n v="5002359"/>
    <s v="EMPRESA BRASILEIRA DE CORREIOS E"/>
    <n v="61.08"/>
    <d v="2025-07-26T00:00:00"/>
  </r>
  <r>
    <n v="254018275"/>
    <n v="64793360"/>
    <s v="REB"/>
    <n v="10042373"/>
    <n v="176"/>
    <s v="PEÇAS - Defeito de fabric./Interrompido"/>
    <s v="FUNCIONAL"/>
    <x v="2"/>
    <n v="31063"/>
    <x v="308"/>
    <s v="RJ"/>
    <n v="644"/>
    <s v="Plus"/>
    <n v="1350"/>
    <s v="W10882241"/>
    <s v="Agitadores"/>
    <x v="2"/>
    <n v="1000"/>
    <n v="5003176"/>
    <s v="J C THEDIN TRANSPORTES LTDA"/>
    <n v="61.04"/>
    <d v="2025-06-17T00:00:00"/>
  </r>
  <r>
    <s v="Sem TR"/>
    <n v="64716076"/>
    <s v="ROB"/>
    <n v="47122"/>
    <n v="25"/>
    <s v="OC. 80 - EXTRAVIO TOTAL"/>
    <s v="TRANSPORTADORA"/>
    <x v="0"/>
    <n v="84691"/>
    <x v="1478"/>
    <s v="PI"/>
    <n v="932"/>
    <s v="CDP Prata"/>
    <n v="1550"/>
    <s v="W11629019"/>
    <s v="Recipientes de Evaporação"/>
    <x v="9"/>
    <n v="4000"/>
    <n v="5004101"/>
    <s v="UNIDOCK'S ASSESSORIA E LOGISTICA DE"/>
    <n v="61.02"/>
    <d v="2025-02-19T00:00:00"/>
  </r>
  <r>
    <s v="Sem TR"/>
    <n v="64782284"/>
    <s v="REB"/>
    <n v="10051330"/>
    <n v="509"/>
    <s v="Qtd de peças a Menor dentro do Volume"/>
    <s v="LOGÍSTICA"/>
    <x v="1"/>
    <n v="30847"/>
    <x v="87"/>
    <s v="SP"/>
    <n v="644"/>
    <s v="Plus"/>
    <n v="1350"/>
    <s v="W10606422"/>
    <s v="Usinas"/>
    <x v="12"/>
    <n v="2000"/>
    <n v="5002359"/>
    <s v="EMPRESA BRASILEIRA DE CORREIOS E"/>
    <n v="60.9"/>
    <d v="2025-06-02T00:00:00"/>
  </r>
  <r>
    <s v="Sem TR"/>
    <n v="64812173"/>
    <s v="ZRDI"/>
    <n v="10133027"/>
    <s v="D10"/>
    <s v="DEV D2C - Comprou modelo errado"/>
    <s v="COMERCIAL"/>
    <x v="2"/>
    <n v="54751645"/>
    <x v="1746"/>
    <s v="SP"/>
    <n v="474"/>
    <s v="Site Brastemp"/>
    <n v="1352"/>
    <s v="W11126536"/>
    <s v="Tampas Móveis"/>
    <x v="6"/>
    <n v="1000"/>
    <n v="5002359"/>
    <s v="EMPRESA BRASILEIRA DE CORREIOS E"/>
    <n v="60.84"/>
    <d v="2025-07-18T00:00:00"/>
  </r>
  <r>
    <s v="Sem TR"/>
    <n v="64816758"/>
    <s v="ZRDI"/>
    <n v="10135671"/>
    <s v="D10"/>
    <s v="DEV D2C - Comprou modelo errado"/>
    <s v="COMERCIAL"/>
    <x v="2"/>
    <n v="56634600"/>
    <x v="1747"/>
    <s v="SP"/>
    <n v="474"/>
    <s v="Site Brastemp"/>
    <n v="1352"/>
    <s v="W11126536"/>
    <s v="Tampas Móveis"/>
    <x v="6"/>
    <n v="1000"/>
    <n v="5002359"/>
    <s v="EMPRESA BRASILEIRA DE CORREIOS E"/>
    <n v="60.84"/>
    <d v="2025-07-25T00:00:00"/>
  </r>
  <r>
    <s v="Sem TR"/>
    <n v="64812173"/>
    <s v="ZRDI"/>
    <n v="10133027"/>
    <s v="D10"/>
    <s v="DEV D2C - Comprou modelo errado"/>
    <s v="COMERCIAL"/>
    <x v="2"/>
    <n v="54751645"/>
    <x v="1746"/>
    <s v="SP"/>
    <n v="474"/>
    <s v="Site Brastemp"/>
    <n v="1352"/>
    <s v="W11126536"/>
    <s v="Tampas Móveis"/>
    <x v="6"/>
    <n v="1000"/>
    <n v="5002359"/>
    <s v="EMPRESA BRASILEIRA DE CORREIOS E"/>
    <n v="60.84"/>
    <d v="2025-07-18T00:00:00"/>
  </r>
  <r>
    <s v="Sem TR"/>
    <n v="64816758"/>
    <s v="ZRDI"/>
    <n v="10135671"/>
    <s v="D10"/>
    <s v="DEV D2C - Comprou modelo errado"/>
    <s v="COMERCIAL"/>
    <x v="2"/>
    <n v="56634600"/>
    <x v="1747"/>
    <s v="SP"/>
    <n v="474"/>
    <s v="Site Brastemp"/>
    <n v="1352"/>
    <s v="W11126536"/>
    <s v="Tampas Móveis"/>
    <x v="6"/>
    <n v="1000"/>
    <n v="5002359"/>
    <s v="EMPRESA BRASILEIRA DE CORREIOS E"/>
    <n v="60.84"/>
    <d v="2025-07-25T00:00:00"/>
  </r>
  <r>
    <n v="253981589"/>
    <n v="64757862"/>
    <s v="REB"/>
    <n v="9984544"/>
    <n v="165"/>
    <s v="PEÇAS - Defeito de fabric./Incompleta"/>
    <s v="FUNCIONAL"/>
    <x v="1"/>
    <n v="83572"/>
    <x v="105"/>
    <s v="SP"/>
    <n v="931"/>
    <s v="Ats Off"/>
    <n v="1350"/>
    <s v="W10764578"/>
    <s v="Conjunto Varetas"/>
    <x v="8"/>
    <n v="1000"/>
    <n v="5004042"/>
    <s v="BRASIL WEB TRANSPORTES E LOGISTICA"/>
    <n v="60.78"/>
    <d v="2025-04-25T00:00:00"/>
  </r>
  <r>
    <n v="254007538"/>
    <n v="64779318"/>
    <s v="REB"/>
    <n v="10046063"/>
    <n v="173"/>
    <s v="PEÇAS - Defeito de fabric./Alta Amperage"/>
    <s v="FUNCIONAL"/>
    <x v="2"/>
    <n v="18949"/>
    <x v="264"/>
    <s v="SP"/>
    <n v="933"/>
    <s v="Top"/>
    <n v="1350"/>
    <s v="W10742654"/>
    <s v="Motores Ventiladores"/>
    <x v="1"/>
    <n v="1000"/>
    <n v="5004042"/>
    <s v="BRASIL WEB TRANSPORTES E LOGISTICA"/>
    <n v="60.71"/>
    <d v="2025-06-02T00:00:00"/>
  </r>
  <r>
    <n v="254042078"/>
    <n v="64795652"/>
    <s v="REB"/>
    <n v="10080227"/>
    <n v="167"/>
    <s v="PEÇAS - Avaria - Quebrada/Depósito"/>
    <s v="LOGÍSTICA"/>
    <x v="0"/>
    <n v="26337"/>
    <x v="378"/>
    <s v="SP"/>
    <n v="350"/>
    <s v="Ats On"/>
    <n v="1350"/>
    <s v="W11209044"/>
    <s v="Prateleiras"/>
    <x v="9"/>
    <n v="1000"/>
    <n v="5004042"/>
    <s v="BRASIL WEB TRANSPORTES E LOGISTICA"/>
    <n v="60.66"/>
    <d v="2025-06-23T00:00:00"/>
  </r>
  <r>
    <n v="254033318"/>
    <n v="64807119"/>
    <s v="REB"/>
    <n v="10098950"/>
    <n v="167"/>
    <s v="PEÇAS - Avaria - Quebrada/Depósito"/>
    <s v="LOGÍSTICA"/>
    <x v="0"/>
    <n v="26337"/>
    <x v="378"/>
    <s v="SP"/>
    <n v="350"/>
    <s v="Ats On"/>
    <n v="1350"/>
    <s v="W11209044"/>
    <s v="Prateleiras"/>
    <x v="9"/>
    <n v="1000"/>
    <n v="5004042"/>
    <s v="BRASIL WEB TRANSPORTES E LOGISTICA"/>
    <n v="60.66"/>
    <d v="2025-07-08T00:00:00"/>
  </r>
  <r>
    <n v="254020432"/>
    <n v="64798136"/>
    <s v="ZRDI"/>
    <n v="10038259"/>
    <n v="208"/>
    <s v="DEV-Atraso entrega- LOGISTICA(Transp)"/>
    <s v="TRANSPORTADORA"/>
    <x v="2"/>
    <n v="58031081"/>
    <x v="1748"/>
    <s v="PA"/>
    <n v="466"/>
    <s v="Sup ML Marketplace"/>
    <n v="1352"/>
    <s v="W11189405"/>
    <s v="Filtros"/>
    <x v="5"/>
    <n v="1000"/>
    <n v="5002359"/>
    <s v="EMPRESA BRASILEIRA DE CORREIOS E"/>
    <n v="60.56"/>
    <d v="2025-06-25T00:00:00"/>
  </r>
  <r>
    <n v="253926894"/>
    <n v="64689938"/>
    <s v="REB"/>
    <n v="9824853"/>
    <n v="671"/>
    <s v="DEV-ENVIADO PARA GESTÃO DE CONSEQUENCIA"/>
    <s v="TRANSPORTADORA"/>
    <x v="2"/>
    <n v="9015"/>
    <x v="72"/>
    <s v="SC"/>
    <n v="931"/>
    <s v="Ats Off"/>
    <n v="1350"/>
    <s v="W10347201"/>
    <s v="Prateleiras"/>
    <x v="9"/>
    <n v="1000"/>
    <n v="5003024"/>
    <s v="RODOBRAS TRANSPORTES RODOVIARIOS LT"/>
    <n v="60.49"/>
    <d v="2025-01-27T00:00:00"/>
  </r>
  <r>
    <n v="254038299"/>
    <n v="64813851"/>
    <s v="REB"/>
    <n v="10096719"/>
    <n v="173"/>
    <s v="PEÇAS - Defeito de fabric./Alta Amperage"/>
    <s v="FUNCIONAL"/>
    <x v="0"/>
    <n v="14474"/>
    <x v="25"/>
    <s v="RN"/>
    <n v="648"/>
    <s v="Ultra"/>
    <n v="1350"/>
    <s v="W11082454"/>
    <s v="Termostatos"/>
    <x v="3"/>
    <n v="1000"/>
    <n v="5004101"/>
    <s v="UNIDOCK'S ASSESSORIA E LOGISTICA DE"/>
    <n v="60.49"/>
    <d v="2025-07-22T00:00:00"/>
  </r>
  <r>
    <n v="254032585"/>
    <n v="64811531"/>
    <s v="ZRDI"/>
    <n v="10118571"/>
    <n v="208"/>
    <s v="DEV-Atraso entrega- LOGISTICA(Transp)"/>
    <s v="TRANSPORTADORA"/>
    <x v="2"/>
    <n v="58032278"/>
    <x v="1749"/>
    <s v="RJ"/>
    <n v="474"/>
    <s v="Site Brastemp"/>
    <n v="1352"/>
    <s v="W10423211"/>
    <s v="Prateleiras"/>
    <x v="9"/>
    <n v="1000"/>
    <n v="5002359"/>
    <s v="EMPRESA BRASILEIRA DE CORREIOS E"/>
    <n v="60.48"/>
    <d v="2025-07-16T00:00:00"/>
  </r>
  <r>
    <n v="254032585"/>
    <n v="64811531"/>
    <s v="ZRDI"/>
    <n v="10118571"/>
    <n v="208"/>
    <s v="DEV-Atraso entrega- LOGISTICA(Transp)"/>
    <s v="TRANSPORTADORA"/>
    <x v="2"/>
    <n v="58032278"/>
    <x v="1749"/>
    <s v="RJ"/>
    <n v="474"/>
    <s v="Site Brastemp"/>
    <n v="1352"/>
    <s v="W10423211"/>
    <s v="Prateleiras"/>
    <x v="9"/>
    <n v="1000"/>
    <n v="5002359"/>
    <s v="EMPRESA BRASILEIRA DE CORREIOS E"/>
    <n v="60.48"/>
    <d v="2025-07-16T00:00:00"/>
  </r>
  <r>
    <n v="253988821"/>
    <n v="64757372"/>
    <s v="REB"/>
    <n v="9157302"/>
    <n v="176"/>
    <s v="PEÇAS - Defeito de fabric./Interrompido"/>
    <s v="FUNCIONAL"/>
    <x v="2"/>
    <n v="21295"/>
    <x v="2"/>
    <s v="SP"/>
    <n v="648"/>
    <s v="Ultra"/>
    <n v="1350"/>
    <s v="W10882241"/>
    <s v="Agitadores"/>
    <x v="2"/>
    <n v="1000"/>
    <n v="5004042"/>
    <s v="BRASIL WEB TRANSPORTES E LOGISTICA"/>
    <n v="60.41"/>
    <d v="2025-05-05T00:00:00"/>
  </r>
  <r>
    <n v="254007540"/>
    <n v="64776082"/>
    <s v="REB"/>
    <n v="9157302"/>
    <n v="176"/>
    <s v="PEÇAS - Defeito de fabric./Interrompido"/>
    <s v="FUNCIONAL"/>
    <x v="1"/>
    <n v="21295"/>
    <x v="2"/>
    <s v="SP"/>
    <n v="648"/>
    <s v="Ultra"/>
    <n v="1350"/>
    <s v="W10882241"/>
    <s v="Agitadores"/>
    <x v="2"/>
    <n v="1000"/>
    <n v="5004042"/>
    <s v="BRASIL WEB TRANSPORTES E LOGISTICA"/>
    <n v="60.41"/>
    <d v="2025-06-02T00:00:00"/>
  </r>
  <r>
    <n v="253952138"/>
    <n v="64727666"/>
    <s v="REB"/>
    <n v="9829765"/>
    <n v="176"/>
    <s v="PEÇAS - Defeito de fabric./Interrompido"/>
    <s v="FUNCIONAL"/>
    <x v="2"/>
    <n v="3506"/>
    <x v="46"/>
    <s v="SP"/>
    <n v="931"/>
    <s v="Ats Off"/>
    <n v="1350"/>
    <s v="W10488370"/>
    <s v="Suportes"/>
    <x v="6"/>
    <n v="1000"/>
    <n v="5004042"/>
    <s v="BRASIL WEB TRANSPORTES E LOGISTICA"/>
    <n v="60.4"/>
    <d v="2025-03-08T00:00:00"/>
  </r>
  <r>
    <n v="254032504"/>
    <n v="64811467"/>
    <s v="ZRDI"/>
    <n v="10067769"/>
    <n v="208"/>
    <s v="DEV-Atraso entrega- LOGISTICA(Transp)"/>
    <s v="TRANSPORTADORA"/>
    <x v="2"/>
    <n v="58063223"/>
    <x v="815"/>
    <s v="ES"/>
    <n v="475"/>
    <s v="Site Consul"/>
    <n v="1352"/>
    <n v="326030548"/>
    <s v="Portas"/>
    <x v="6"/>
    <n v="1000"/>
    <n v="5002359"/>
    <s v="EMPRESA BRASILEIRA DE CORREIOS E"/>
    <n v="60.36"/>
    <d v="2025-07-16T00:00:00"/>
  </r>
  <r>
    <n v="253995065"/>
    <n v="64772556"/>
    <s v="REB"/>
    <n v="10020353"/>
    <n v="176"/>
    <s v="PEÇAS - Defeito de fabric./Interrompido"/>
    <s v="FUNCIONAL"/>
    <x v="2"/>
    <n v="3506"/>
    <x v="46"/>
    <s v="SP"/>
    <n v="931"/>
    <s v="Ats Off"/>
    <n v="1350"/>
    <s v="W10407109"/>
    <s v="Resistências"/>
    <x v="1"/>
    <n v="1000"/>
    <n v="5004042"/>
    <s v="BRASIL WEB TRANSPORTES E LOGISTICA"/>
    <n v="60.26"/>
    <d v="2025-05-16T00:00:00"/>
  </r>
  <r>
    <n v="254007541"/>
    <n v="64783391"/>
    <s v="REB"/>
    <n v="9920605"/>
    <n v="173"/>
    <s v="PEÇAS - Defeito de fabric./Alta Amperage"/>
    <s v="FUNCIONAL"/>
    <x v="1"/>
    <n v="21330"/>
    <x v="80"/>
    <s v="PR"/>
    <n v="643"/>
    <s v="Elite"/>
    <n v="1350"/>
    <s v="W10678923"/>
    <s v="Placas de Controle"/>
    <x v="1"/>
    <n v="1000"/>
    <n v="5003024"/>
    <s v="RODOBRAS TRANSPORTES RODOVIARIOS LT"/>
    <n v="60.24"/>
    <d v="2025-06-02T00:00:00"/>
  </r>
  <r>
    <s v="Sem TR"/>
    <n v="64806530"/>
    <s v="ZRDI"/>
    <n v="10076653"/>
    <n v="25"/>
    <s v="OC. 80 - EXTRAVIO TOTAL"/>
    <s v="TRANSPORTADORA"/>
    <x v="2"/>
    <n v="55232172"/>
    <x v="1750"/>
    <s v="SP"/>
    <n v="475"/>
    <s v="Site Consul"/>
    <n v="1352"/>
    <s v="W10606422"/>
    <s v="Usinas"/>
    <x v="12"/>
    <n v="1000"/>
    <n v="5003972"/>
    <s v="ICARO EXPRESS LOGISTICA LTDA"/>
    <n v="60.23"/>
    <d v="2025-07-07T00:00:00"/>
  </r>
  <r>
    <s v="Sem TR"/>
    <n v="64806530"/>
    <s v="ZRDI"/>
    <n v="10076653"/>
    <n v="25"/>
    <s v="OC. 80 - EXTRAVIO TOTAL"/>
    <s v="TRANSPORTADORA"/>
    <x v="2"/>
    <n v="55232172"/>
    <x v="1750"/>
    <s v="SP"/>
    <n v="475"/>
    <s v="Site Consul"/>
    <n v="1352"/>
    <s v="W10606422"/>
    <s v="Usinas"/>
    <x v="12"/>
    <n v="1000"/>
    <n v="5003972"/>
    <s v="ICARO EXPRESS LOGISTICA LTDA"/>
    <n v="60.23"/>
    <d v="2025-07-07T00:00:00"/>
  </r>
  <r>
    <n v="253952032"/>
    <n v="64696451"/>
    <s v="REB"/>
    <n v="9590789"/>
    <n v="176"/>
    <s v="PEÇAS - Defeito de fabric./Interrompido"/>
    <s v="FUNCIONAL"/>
    <x v="1"/>
    <n v="66"/>
    <x v="73"/>
    <s v="GO"/>
    <n v="931"/>
    <s v="Ats Off"/>
    <n v="1350"/>
    <s v="W11383843"/>
    <s v="Válvulas de Água"/>
    <x v="5"/>
    <n v="1000"/>
    <n v="5002858"/>
    <s v="FAVORITA TRANSPORTES LTDA"/>
    <n v="60.2"/>
    <d v="2025-03-10T00:00:00"/>
  </r>
  <r>
    <s v="Sem TR"/>
    <n v="64801347"/>
    <s v="ZRDI"/>
    <n v="10116045"/>
    <s v="D11"/>
    <s v="DEV D2C - Comprou prod dimensão errada"/>
    <s v="COMERCIAL"/>
    <x v="2"/>
    <n v="54387237"/>
    <x v="1751"/>
    <s v="MG"/>
    <n v="475"/>
    <s v="Site Consul"/>
    <n v="1352"/>
    <s v="W11307331"/>
    <s v="Gavetas"/>
    <x v="9"/>
    <n v="1000"/>
    <n v="5002359"/>
    <s v="EMPRESA BRASILEIRA DE CORREIOS E"/>
    <n v="60.19"/>
    <d v="2025-07-07T00:00:00"/>
  </r>
  <r>
    <s v="Sem TR"/>
    <n v="64801347"/>
    <s v="ZRDI"/>
    <n v="10116045"/>
    <s v="D11"/>
    <s v="DEV D2C - Comprou prod dimensão errada"/>
    <s v="COMERCIAL"/>
    <x v="2"/>
    <n v="54387237"/>
    <x v="1751"/>
    <s v="MG"/>
    <n v="475"/>
    <s v="Site Consul"/>
    <n v="1352"/>
    <s v="W11307331"/>
    <s v="Gavetas"/>
    <x v="9"/>
    <n v="1000"/>
    <n v="5002359"/>
    <s v="EMPRESA BRASILEIRA DE CORREIOS E"/>
    <n v="60.19"/>
    <d v="2025-07-07T00:00:00"/>
  </r>
  <r>
    <n v="254005450"/>
    <n v="64753939"/>
    <s v="REB"/>
    <n v="9980267"/>
    <n v="115"/>
    <s v="PEÇAS-Recusa do cliente"/>
    <s v="COMERCIAL"/>
    <x v="2"/>
    <n v="41585"/>
    <x v="54"/>
    <s v="PR"/>
    <n v="350"/>
    <s v="Ats On"/>
    <n v="1350"/>
    <n v="326011600"/>
    <s v="Válvulas de Água"/>
    <x v="5"/>
    <n v="2000"/>
    <n v="5003024"/>
    <s v="RODOBRAS TRANSPORTES RODOVIARIOS LT"/>
    <n v="60.18"/>
    <d v="2025-04-18T00:00:00"/>
  </r>
  <r>
    <n v="254018294"/>
    <n v="64792012"/>
    <s v="REB"/>
    <n v="10038780"/>
    <n v="90"/>
    <s v="CLIENTE-não solicitou"/>
    <s v="COMERCIAL"/>
    <x v="2"/>
    <n v="38744"/>
    <x v="492"/>
    <s v="SC"/>
    <n v="350"/>
    <s v="Ats On"/>
    <n v="1350"/>
    <s v="W11416241"/>
    <s v="Válvulas de Água"/>
    <x v="5"/>
    <n v="1000"/>
    <n v="5003024"/>
    <s v="RODOBRAS TRANSPORTES RODOVIARIOS LT"/>
    <n v="60.12"/>
    <d v="2025-06-16T00:00:00"/>
  </r>
  <r>
    <s v="Sem TR"/>
    <n v="64811027"/>
    <s v="ZRDI"/>
    <n v="10125479"/>
    <s v="D10"/>
    <s v="DEV D2C - Comprou modelo errado"/>
    <s v="COMERCIAL"/>
    <x v="2"/>
    <n v="58138779"/>
    <x v="1642"/>
    <s v="SP"/>
    <n v="475"/>
    <s v="Site Consul"/>
    <n v="1352"/>
    <s v="W10451657"/>
    <s v="Queimadores"/>
    <x v="12"/>
    <n v="2000"/>
    <n v="5002359"/>
    <s v="EMPRESA BRASILEIRA DE CORREIOS E"/>
    <n v="60.12"/>
    <d v="2025-07-16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388134"/>
    <s v="Pés"/>
    <x v="6"/>
    <n v="14000"/>
    <n v="5004101"/>
    <s v="UNIDOCK'S ASSESSORIA E LOGISTICA DE"/>
    <n v="60.08"/>
    <d v="2025-07-29T00:00:00"/>
  </r>
  <r>
    <s v="Sem TR"/>
    <n v="64819432"/>
    <s v="REB"/>
    <n v="10149714"/>
    <n v="173"/>
    <s v="PEÇAS - Defeito de fabric./Alta Amperage"/>
    <s v="FUNCIONAL"/>
    <x v="1"/>
    <n v="72911"/>
    <x v="61"/>
    <s v="SP"/>
    <n v="931"/>
    <s v="Ats Off"/>
    <n v="1350"/>
    <n v="326057653"/>
    <s v="Motores"/>
    <x v="1"/>
    <n v="1000"/>
    <n v="5004042"/>
    <s v="BRASIL WEB TRANSPORTES E LOGISTICA"/>
    <n v="59.98"/>
    <d v="2025-07-29T00:00:00"/>
  </r>
  <r>
    <n v="254024659"/>
    <n v="64804762"/>
    <s v="ZRDI"/>
    <n v="10103102"/>
    <n v="208"/>
    <s v="DEV-Atraso entrega- LOGISTICA(Transp)"/>
    <s v="TRANSPORTADORA"/>
    <x v="2"/>
    <n v="4517609"/>
    <x v="1072"/>
    <s v="DF"/>
    <n v="474"/>
    <s v="Site Brastemp"/>
    <n v="1352"/>
    <s v="W10455522"/>
    <s v="Prateleiras"/>
    <x v="9"/>
    <n v="1000"/>
    <n v="5002359"/>
    <s v="EMPRESA BRASILEIRA DE CORREIOS E"/>
    <n v="59.98"/>
    <d v="2025-07-02T00:00:00"/>
  </r>
  <r>
    <n v="254012501"/>
    <n v="64789118"/>
    <s v="REB"/>
    <n v="9746546"/>
    <n v="173"/>
    <s v="PEÇAS - Defeito de fabric./Alta Amperage"/>
    <s v="FUNCIONAL"/>
    <x v="2"/>
    <n v="28991"/>
    <x v="65"/>
    <s v="MG"/>
    <n v="643"/>
    <s v="Elite"/>
    <n v="1350"/>
    <s v="W10678923"/>
    <s v="Placas de Controle"/>
    <x v="1"/>
    <n v="1000"/>
    <n v="5004215"/>
    <s v="BRASIL WEB TRANSPORTES E LOGISTICA"/>
    <n v="59.96"/>
    <d v="2025-06-10T00:00:00"/>
  </r>
  <r>
    <s v="Sem TR"/>
    <n v="64802562"/>
    <s v="ZRDI"/>
    <n v="9702349"/>
    <s v="D31"/>
    <s v="DEV D2C - Defeito estético manufatura"/>
    <s v="MANUFATURA"/>
    <x v="2"/>
    <n v="51505288"/>
    <x v="1752"/>
    <s v="PE"/>
    <n v="474"/>
    <s v="Site Brastemp"/>
    <n v="1352"/>
    <s v="W10398757"/>
    <s v="Prateleiras"/>
    <x v="9"/>
    <n v="1000"/>
    <n v="5002359"/>
    <s v="EMPRESA BRASILEIRA DE CORREIOS E"/>
    <n v="59.72"/>
    <d v="2025-07-01T00:00:00"/>
  </r>
  <r>
    <n v="253967860"/>
    <n v="64744070"/>
    <s v="REB"/>
    <n v="9946489"/>
    <n v="167"/>
    <s v="PEÇAS - Avaria - Quebrada/Depósito"/>
    <s v="LOGÍSTICA"/>
    <x v="1"/>
    <n v="35368"/>
    <x v="176"/>
    <s v="ES"/>
    <n v="350"/>
    <s v="Ats On"/>
    <n v="1350"/>
    <s v="W10211521"/>
    <s v="Bandejas"/>
    <x v="9"/>
    <n v="1000"/>
    <n v="5004042"/>
    <s v="BRASIL WEB TRANSPORTES E LOGISTICA"/>
    <n v="59.69"/>
    <d v="2025-04-04T00:00:00"/>
  </r>
  <r>
    <n v="253961256"/>
    <n v="64735748"/>
    <s v="REB"/>
    <n v="9645284"/>
    <n v="173"/>
    <s v="PEÇAS - Defeito de fabric./Alta Amperage"/>
    <s v="FUNCIONAL"/>
    <x v="1"/>
    <n v="14474"/>
    <x v="25"/>
    <s v="RN"/>
    <n v="648"/>
    <s v="Ultra"/>
    <n v="1350"/>
    <s v="W10257457"/>
    <s v="Termostatos"/>
    <x v="3"/>
    <n v="1000"/>
    <n v="5004101"/>
    <s v="UNIDOCK'S ASSESSORIA E LOGISTICA DE"/>
    <n v="59.64"/>
    <d v="2025-03-25T00:00:00"/>
  </r>
  <r>
    <s v="Sem TR"/>
    <n v="64816509"/>
    <s v="ZRDI"/>
    <n v="10135655"/>
    <s v="D10"/>
    <s v="DEV D2C - Comprou modelo errado"/>
    <s v="COMERCIAL"/>
    <x v="2"/>
    <n v="50408905"/>
    <x v="1753"/>
    <s v="SP"/>
    <n v="474"/>
    <s v="Site Brastemp"/>
    <n v="1352"/>
    <s v="W11113068"/>
    <s v="Prateleiras"/>
    <x v="9"/>
    <n v="1000"/>
    <n v="5003972"/>
    <s v="ICARO EXPRESS LOGISTICA LTDA"/>
    <n v="59.64"/>
    <d v="2025-07-24T00:00:00"/>
  </r>
  <r>
    <s v="Sem TR"/>
    <n v="64816509"/>
    <s v="ZRDI"/>
    <n v="10135655"/>
    <s v="D10"/>
    <s v="DEV D2C - Comprou modelo errado"/>
    <s v="COMERCIAL"/>
    <x v="2"/>
    <n v="50408905"/>
    <x v="1753"/>
    <s v="SP"/>
    <n v="474"/>
    <s v="Site Brastemp"/>
    <n v="1352"/>
    <s v="W11113068"/>
    <s v="Prateleiras"/>
    <x v="9"/>
    <n v="1000"/>
    <n v="5003972"/>
    <s v="ICARO EXPRESS LOGISTICA LTDA"/>
    <n v="59.64"/>
    <d v="2025-07-24T00:00:00"/>
  </r>
  <r>
    <n v="253970690"/>
    <n v="64748215"/>
    <s v="REB"/>
    <n v="9922587"/>
    <n v="176"/>
    <s v="PEÇAS - Defeito de fabric./Interrompido"/>
    <s v="FUNCIONAL"/>
    <x v="2"/>
    <n v="3506"/>
    <x v="46"/>
    <s v="SP"/>
    <n v="931"/>
    <s v="Ats Off"/>
    <n v="1350"/>
    <s v="W10364740"/>
    <s v="Placas de Interface"/>
    <x v="1"/>
    <n v="1000"/>
    <n v="5004042"/>
    <s v="BRASIL WEB TRANSPORTES E LOGISTICA"/>
    <n v="59.6"/>
    <d v="2025-04-09T00:00:00"/>
  </r>
  <r>
    <n v="254003856"/>
    <n v="64773258"/>
    <s v="REB"/>
    <n v="9922587"/>
    <n v="176"/>
    <s v="PEÇAS - Defeito de fabric./Interrompido"/>
    <s v="FUNCIONAL"/>
    <x v="2"/>
    <n v="3506"/>
    <x v="46"/>
    <s v="SP"/>
    <n v="931"/>
    <s v="Ats Off"/>
    <n v="1350"/>
    <s v="W10364740"/>
    <s v="Placas de Interface"/>
    <x v="1"/>
    <n v="1000"/>
    <n v="5004042"/>
    <s v="BRASIL WEB TRANSPORTES E LOGISTICA"/>
    <n v="59.6"/>
    <d v="2025-05-26T00:00:00"/>
  </r>
  <r>
    <n v="253993272"/>
    <n v="64771122"/>
    <s v="ROB"/>
    <n v="10004918"/>
    <n v="182"/>
    <s v="PEÇAS - Extravio - Volume a menor"/>
    <s v="TRANSPORTADORA"/>
    <x v="1"/>
    <n v="4523"/>
    <x v="261"/>
    <s v="SC"/>
    <n v="350"/>
    <s v="Ats On"/>
    <n v="1350"/>
    <s v="W10751204"/>
    <s v="Painéis Decorativos"/>
    <x v="6"/>
    <n v="2000"/>
    <n v="5003024"/>
    <s v="RODOBRAS TRANSPORTES RODOVIARIOS LT"/>
    <n v="59.48"/>
    <d v="2025-05-15T00:00:00"/>
  </r>
  <r>
    <n v="254033389"/>
    <n v="64802563"/>
    <s v="REB"/>
    <n v="10017966"/>
    <n v="90"/>
    <s v="CLIENTE-não solicitou"/>
    <s v="COMERCIAL"/>
    <x v="1"/>
    <n v="32856"/>
    <x v="60"/>
    <s v="PR"/>
    <n v="713"/>
    <s v="Key Account"/>
    <n v="1350"/>
    <n v="4197305"/>
    <s v="Dobradiças"/>
    <x v="10"/>
    <n v="2000"/>
    <n v="5003024"/>
    <s v="RODOBRAS TRANSPORTES RODOVIARIOS LT"/>
    <n v="59.46"/>
    <d v="2025-07-01T00:00:00"/>
  </r>
  <r>
    <n v="254038156"/>
    <n v="64816121"/>
    <s v="ZRDI"/>
    <n v="10088247"/>
    <n v="208"/>
    <s v="DEV-Atraso entrega- LOGISTICA(Transp)"/>
    <s v="TRANSPORTADORA"/>
    <x v="2"/>
    <n v="4336187"/>
    <x v="1754"/>
    <s v="MG"/>
    <n v="474"/>
    <s v="Site Brastemp"/>
    <n v="1352"/>
    <s v="W10620706"/>
    <s v="Outros"/>
    <x v="7"/>
    <n v="2000"/>
    <n v="5002359"/>
    <s v="EMPRESA BRASILEIRA DE CORREIOS E"/>
    <n v="59.42"/>
    <d v="2025-07-23T00:00:00"/>
  </r>
  <r>
    <n v="254038156"/>
    <n v="64816121"/>
    <s v="ZRDI"/>
    <n v="10088247"/>
    <n v="208"/>
    <s v="DEV-Atraso entrega- LOGISTICA(Transp)"/>
    <s v="TRANSPORTADORA"/>
    <x v="2"/>
    <n v="4336187"/>
    <x v="1754"/>
    <s v="MG"/>
    <n v="474"/>
    <s v="Site Brastemp"/>
    <n v="1352"/>
    <s v="W10620706"/>
    <s v="Outros"/>
    <x v="7"/>
    <n v="2000"/>
    <n v="5002359"/>
    <s v="EMPRESA BRASILEIRA DE CORREIOS E"/>
    <n v="59.42"/>
    <d v="2025-07-23T00:00:00"/>
  </r>
  <r>
    <n v="253983844"/>
    <n v="64759313"/>
    <s v="REB"/>
    <n v="9957694"/>
    <n v="90"/>
    <s v="CLIENTE-não solicitou"/>
    <s v="COMERCIAL"/>
    <x v="2"/>
    <n v="8192"/>
    <x v="118"/>
    <s v="PR"/>
    <n v="933"/>
    <s v="Top"/>
    <n v="1350"/>
    <s v="W10882241"/>
    <s v="Agitadores"/>
    <x v="2"/>
    <n v="1000"/>
    <n v="5003024"/>
    <s v="RODOBRAS TRANSPORTES RODOVIARIOS LT"/>
    <n v="59.37"/>
    <d v="2025-04-28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467328"/>
    <s v="Válvulas de Água"/>
    <x v="5"/>
    <n v="1000"/>
    <n v="5004101"/>
    <s v="UNIDOCK'S ASSESSORIA E LOGISTICA DE"/>
    <n v="59.36"/>
    <d v="2025-03-11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1022995"/>
    <s v="Termostatos"/>
    <x v="3"/>
    <n v="1000"/>
    <n v="5004101"/>
    <s v="UNIDOCK'S ASSESSORIA E LOGISTICA DE"/>
    <n v="59.33"/>
    <d v="2025-07-16T00:00:00"/>
  </r>
  <r>
    <n v="254012604"/>
    <n v="64789429"/>
    <s v="REB"/>
    <n v="10066085"/>
    <n v="173"/>
    <s v="PEÇAS - Defeito de fabric./Alta Amperage"/>
    <s v="FUNCIONAL"/>
    <x v="2"/>
    <n v="69166"/>
    <x v="129"/>
    <s v="RJ"/>
    <n v="931"/>
    <s v="Ats Off"/>
    <n v="1350"/>
    <s v="W10882241"/>
    <s v="Agitadores"/>
    <x v="2"/>
    <n v="1000"/>
    <n v="5003176"/>
    <s v="J C THEDIN TRANSPORTES LTDA"/>
    <n v="59.26"/>
    <d v="2025-06-10T00:00:00"/>
  </r>
  <r>
    <n v="254035414"/>
    <n v="64812656"/>
    <s v="REB"/>
    <n v="10070492"/>
    <n v="173"/>
    <s v="PEÇAS - Defeito de fabric./Alta Amperage"/>
    <s v="FUNCIONAL"/>
    <x v="1"/>
    <n v="69166"/>
    <x v="129"/>
    <s v="RJ"/>
    <n v="931"/>
    <s v="Ats Off"/>
    <n v="1350"/>
    <s v="W10882241"/>
    <s v="Agitadores"/>
    <x v="2"/>
    <n v="1000"/>
    <n v="5003176"/>
    <s v="J C THEDIN TRANSPORTES LTDA"/>
    <n v="59.26"/>
    <d v="2025-07-17T00:00:00"/>
  </r>
  <r>
    <n v="254042275"/>
    <n v="64791553"/>
    <s v="REB"/>
    <n v="10066087"/>
    <n v="173"/>
    <s v="PEÇAS - Defeito de fabric./Alta Amperage"/>
    <s v="FUNCIONAL"/>
    <x v="0"/>
    <n v="69166"/>
    <x v="129"/>
    <s v="RJ"/>
    <n v="931"/>
    <s v="Ats Off"/>
    <n v="1350"/>
    <s v="W10882241"/>
    <s v="Agitadores"/>
    <x v="2"/>
    <n v="1000"/>
    <n v="5003176"/>
    <s v="J C THEDIN TRANSPORTES LTDA"/>
    <n v="59.26"/>
    <d v="2025-06-23T00:00:00"/>
  </r>
  <r>
    <n v="254007579"/>
    <n v="64779167"/>
    <s v="REB"/>
    <n v="10030895"/>
    <n v="167"/>
    <s v="PEÇAS - Avaria - Quebrada/Depósito"/>
    <s v="LOGÍSTICA"/>
    <x v="1"/>
    <n v="30990"/>
    <x v="26"/>
    <s v="ES"/>
    <n v="713"/>
    <s v="Key Account"/>
    <n v="1350"/>
    <s v="W10169464"/>
    <s v="Defletores/Difusores"/>
    <x v="5"/>
    <n v="3000"/>
    <n v="5004042"/>
    <s v="BRASIL WEB TRANSPORTES E LOGISTICA"/>
    <n v="59.23"/>
    <d v="2025-06-02T00:00:00"/>
  </r>
  <r>
    <n v="254009589"/>
    <n v="64787898"/>
    <s v="ROB"/>
    <n v="10075359"/>
    <n v="170"/>
    <s v="PEÇAS - Avaria - Riscada/Depósito"/>
    <s v="LOGÍSTICA"/>
    <x v="1"/>
    <n v="84461"/>
    <x v="415"/>
    <s v="SP"/>
    <n v="350"/>
    <s v="Ats On"/>
    <n v="1350"/>
    <s v="W11627749"/>
    <s v="Manuais do Consumidor"/>
    <x v="11"/>
    <n v="42000"/>
    <n v="5004101"/>
    <s v="UNIDOCK'S ASSESSORIA E LOGISTICA DE"/>
    <n v="59.22"/>
    <d v="2025-06-06T00:00:00"/>
  </r>
  <r>
    <n v="254024688"/>
    <n v="64804781"/>
    <s v="ZRDI"/>
    <n v="10059072"/>
    <n v="208"/>
    <s v="DEV-Atraso entrega- LOGISTICA(Transp)"/>
    <s v="TRANSPORTADORA"/>
    <x v="2"/>
    <n v="58054893"/>
    <x v="1755"/>
    <s v="SC"/>
    <n v="475"/>
    <s v="Site Consul"/>
    <n v="1352"/>
    <s v="W11510292"/>
    <s v="Interruptores"/>
    <x v="3"/>
    <n v="1000"/>
    <n v="5002359"/>
    <s v="EMPRESA BRASILEIRA DE CORREIOS E"/>
    <n v="59.17"/>
    <d v="2025-07-02T00:00:00"/>
  </r>
  <r>
    <n v="253988837"/>
    <n v="64763682"/>
    <s v="REB"/>
    <n v="9993183"/>
    <n v="167"/>
    <s v="PEÇAS - Avaria - Quebrada/Depósito"/>
    <s v="LOGÍSTICA"/>
    <x v="1"/>
    <n v="25656"/>
    <x v="173"/>
    <s v="SP"/>
    <n v="931"/>
    <s v="Ats Off"/>
    <n v="1350"/>
    <s v="W10730203"/>
    <s v="Gavetas"/>
    <x v="9"/>
    <n v="1000"/>
    <n v="5004042"/>
    <s v="BRASIL WEB TRANSPORTES E LOGISTICA"/>
    <n v="59.07"/>
    <d v="2025-05-0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606424"/>
    <s v="Usinas"/>
    <x v="12"/>
    <n v="2000"/>
    <n v="5004101"/>
    <s v="UNIDOCK'S ASSESSORIA E LOGISTICA DE"/>
    <n v="59.04"/>
    <d v="2025-03-13T00:00:00"/>
  </r>
  <r>
    <n v="254003858"/>
    <n v="64777742"/>
    <s v="REB"/>
    <n v="10039869"/>
    <n v="168"/>
    <s v="PEÇAS-Def.Fabric.Empenamento/Abaulamento"/>
    <s v="FUNCIONAL"/>
    <x v="2"/>
    <n v="3594"/>
    <x v="641"/>
    <s v="SP"/>
    <n v="350"/>
    <s v="Ats On"/>
    <n v="1350"/>
    <s v="W10882241"/>
    <s v="Agitadores"/>
    <x v="2"/>
    <n v="1000"/>
    <n v="5004042"/>
    <s v="BRASIL WEB TRANSPORTES E LOGISTICA"/>
    <n v="59.03"/>
    <d v="2025-05-26T00:00:00"/>
  </r>
  <r>
    <n v="253981449"/>
    <n v="64757828"/>
    <s v="REB"/>
    <n v="9909098"/>
    <n v="168"/>
    <s v="PEÇAS-Def.Fabric.Empenamento/Abaulamento"/>
    <s v="FUNCIONAL"/>
    <x v="1"/>
    <n v="28707"/>
    <x v="209"/>
    <s v="SP"/>
    <n v="648"/>
    <s v="Ultra"/>
    <n v="1350"/>
    <s v="W10168510"/>
    <s v="Motores Ventiladores"/>
    <x v="1"/>
    <n v="1000"/>
    <n v="5004042"/>
    <s v="BRASIL WEB TRANSPORTES E LOGISTICA"/>
    <n v="59.03"/>
    <d v="2025-04-25T00:00:00"/>
  </r>
  <r>
    <n v="254031855"/>
    <n v="64796910"/>
    <s v="REB"/>
    <n v="10077247"/>
    <n v="176"/>
    <s v="PEÇAS - Defeito de fabric./Interrompido"/>
    <s v="FUNCIONAL"/>
    <x v="0"/>
    <n v="3506"/>
    <x v="46"/>
    <s v="SP"/>
    <n v="931"/>
    <s v="Ats Off"/>
    <n v="1350"/>
    <s v="W11102783"/>
    <s v="Sensores"/>
    <x v="3"/>
    <n v="1000"/>
    <n v="5004042"/>
    <s v="BRASIL WEB TRANSPORTES E LOGISTICA"/>
    <n v="59.01"/>
    <d v="2025-06-24T00:00:00"/>
  </r>
  <r>
    <n v="254030534"/>
    <n v="64799602"/>
    <s v="REB"/>
    <n v="10082992"/>
    <n v="167"/>
    <s v="PEÇAS - Avaria - Quebrada/Depósito"/>
    <s v="LOGÍSTICA"/>
    <x v="1"/>
    <n v="71476"/>
    <x v="265"/>
    <s v="RJ"/>
    <n v="934"/>
    <s v="CDP Ouro"/>
    <n v="1350"/>
    <n v="326051022"/>
    <s v="Capas"/>
    <x v="6"/>
    <n v="1000"/>
    <n v="5003176"/>
    <s v="J C THEDIN TRANSPORTES LTDA"/>
    <n v="58.99"/>
    <d v="2025-07-01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569692"/>
    <s v="Peças e Sistema Freio"/>
    <x v="2"/>
    <n v="20000"/>
    <n v="5004101"/>
    <s v="UNIDOCK'S ASSESSORIA E LOGISTICA DE"/>
    <n v="58.99"/>
    <d v="2025-06-24T00:00:00"/>
  </r>
  <r>
    <n v="254018352"/>
    <n v="64792963"/>
    <s v="REB"/>
    <n v="10005025"/>
    <n v="173"/>
    <s v="PEÇAS - Defeito de fabric./Alta Amperage"/>
    <s v="FUNCIONAL"/>
    <x v="2"/>
    <n v="69578"/>
    <x v="197"/>
    <s v="MG"/>
    <n v="933"/>
    <s v="Top"/>
    <n v="1350"/>
    <s v="W11082454"/>
    <s v="Termostatos"/>
    <x v="3"/>
    <n v="1000"/>
    <n v="5004215"/>
    <s v="BRASIL WEB TRANSPORTES E LOGISTICA"/>
    <n v="58.91"/>
    <d v="2025-06-17T00:00:00"/>
  </r>
  <r>
    <n v="253988790"/>
    <n v="64764258"/>
    <s v="REB"/>
    <n v="9984680"/>
    <n v="176"/>
    <s v="PEÇAS - Defeito de fabric./Interrompido"/>
    <s v="FUNCIONAL"/>
    <x v="1"/>
    <n v="3652"/>
    <x v="51"/>
    <s v="SP"/>
    <n v="350"/>
    <s v="Ats On"/>
    <n v="1350"/>
    <s v="W11428263"/>
    <s v="Atuadores"/>
    <x v="2"/>
    <n v="1000"/>
    <n v="5004042"/>
    <s v="BRASIL WEB TRANSPORTES E LOGISTICA"/>
    <n v="58.89"/>
    <d v="2025-05-05T00:00:00"/>
  </r>
  <r>
    <s v="Sem TR"/>
    <n v="64809986"/>
    <s v="ZRDI"/>
    <n v="10123463"/>
    <s v="D31"/>
    <s v="DEV D2C - Defeito estético manufatura"/>
    <s v="MANUFATURA"/>
    <x v="2"/>
    <n v="57965976"/>
    <x v="1756"/>
    <s v="MG"/>
    <n v="475"/>
    <s v="Site Consul"/>
    <n v="1352"/>
    <s v="W10187231"/>
    <s v="Prateleiras"/>
    <x v="9"/>
    <n v="1000"/>
    <n v="5002359"/>
    <s v="EMPRESA BRASILEIRA DE CORREIOS E"/>
    <n v="58.82"/>
    <d v="2025-07-15T00:00:00"/>
  </r>
  <r>
    <n v="253952315"/>
    <n v="64729301"/>
    <s v="REB"/>
    <n v="9773514"/>
    <n v="671"/>
    <s v="DEV-ENVIADO PARA GESTÃO DE CONSEQUENCIA"/>
    <s v="TRANSPORTADORA"/>
    <x v="1"/>
    <n v="40923"/>
    <x v="406"/>
    <s v="RS"/>
    <n v="932"/>
    <s v="CDP Prata"/>
    <n v="1350"/>
    <s v="W10531315"/>
    <s v="Sensores"/>
    <x v="3"/>
    <n v="7000"/>
    <n v="5003024"/>
    <s v="RODOBRAS TRANSPORTES RODOVIARIOS LT"/>
    <n v="58.82"/>
    <d v="2025-03-10T00:00:00"/>
  </r>
  <r>
    <s v="Sem TR"/>
    <n v="64786847"/>
    <s v="ZRDI"/>
    <n v="10035721"/>
    <s v="D10"/>
    <s v="DEV D2C - Comprou modelo errado"/>
    <s v="COMERCIAL"/>
    <x v="2"/>
    <n v="52424267"/>
    <x v="998"/>
    <s v="ES"/>
    <n v="475"/>
    <s v="Site Consul"/>
    <n v="1352"/>
    <s v="W10172157"/>
    <s v="Prateleiras"/>
    <x v="9"/>
    <n v="1000"/>
    <n v="5002359"/>
    <s v="EMPRESA BRASILEIRA DE CORREIOS E"/>
    <n v="58.81"/>
    <d v="2025-06-30T00:00:00"/>
  </r>
  <r>
    <s v="Sem TR"/>
    <n v="64814203"/>
    <s v="ZRDI"/>
    <n v="10133242"/>
    <s v="D10"/>
    <s v="DEV D2C - Comprou modelo errado"/>
    <s v="COMERCIAL"/>
    <x v="2"/>
    <n v="53946112"/>
    <x v="1757"/>
    <s v="RJ"/>
    <n v="475"/>
    <s v="Site Consul"/>
    <n v="1352"/>
    <s v="W10581537"/>
    <s v="Pressostatos"/>
    <x v="3"/>
    <n v="1000"/>
    <n v="5002359"/>
    <s v="EMPRESA BRASILEIRA DE CORREIOS E"/>
    <n v="58.64"/>
    <d v="2025-07-22T00:00:00"/>
  </r>
  <r>
    <s v="Sem TR"/>
    <n v="64814203"/>
    <s v="ZRDI"/>
    <n v="10133242"/>
    <s v="D10"/>
    <s v="DEV D2C - Comprou modelo errado"/>
    <s v="COMERCIAL"/>
    <x v="2"/>
    <n v="53946112"/>
    <x v="1757"/>
    <s v="RJ"/>
    <n v="475"/>
    <s v="Site Consul"/>
    <n v="1352"/>
    <s v="W10581537"/>
    <s v="Pressostatos"/>
    <x v="3"/>
    <n v="1000"/>
    <n v="5002359"/>
    <s v="EMPRESA BRASILEIRA DE CORREIOS E"/>
    <n v="58.64"/>
    <d v="2025-07-22T00:00:00"/>
  </r>
  <r>
    <s v="Sem TR"/>
    <n v="64809228"/>
    <s v="ZRDI"/>
    <n v="10122243"/>
    <s v="D10"/>
    <s v="DEV D2C - Comprou modelo errado"/>
    <s v="COMERCIAL"/>
    <x v="2"/>
    <n v="58134858"/>
    <x v="1758"/>
    <s v="SP"/>
    <n v="474"/>
    <s v="Site Brastemp"/>
    <n v="1352"/>
    <s v="W11310109"/>
    <s v="Espargidores"/>
    <x v="2"/>
    <n v="1000"/>
    <n v="5002359"/>
    <s v="EMPRESA BRASILEIRA DE CORREIOS E"/>
    <n v="58.56"/>
    <d v="2025-07-12T00:00:00"/>
  </r>
  <r>
    <s v="Sem TR"/>
    <n v="64816059"/>
    <s v="ZRDI"/>
    <n v="10113285"/>
    <n v="25"/>
    <s v="OC. 80 - EXTRAVIO TOTAL"/>
    <s v="TRANSPORTADORA"/>
    <x v="2"/>
    <n v="58123059"/>
    <x v="1759"/>
    <s v="SP"/>
    <n v="474"/>
    <s v="Site Brastemp"/>
    <n v="1352"/>
    <s v="W11310109"/>
    <s v="Espargidores"/>
    <x v="2"/>
    <n v="1000"/>
    <n v="5003972"/>
    <s v="ICARO EXPRESS LOGISTICA LTDA"/>
    <n v="58.56"/>
    <d v="2025-07-23T00:00:00"/>
  </r>
  <r>
    <s v="Sem TR"/>
    <n v="64809228"/>
    <s v="ZRDI"/>
    <n v="10122243"/>
    <s v="D10"/>
    <s v="DEV D2C - Comprou modelo errado"/>
    <s v="COMERCIAL"/>
    <x v="2"/>
    <n v="58134858"/>
    <x v="1758"/>
    <s v="SP"/>
    <n v="474"/>
    <s v="Site Brastemp"/>
    <n v="1352"/>
    <s v="W11310109"/>
    <s v="Espargidores"/>
    <x v="2"/>
    <n v="1000"/>
    <n v="5002359"/>
    <s v="EMPRESA BRASILEIRA DE CORREIOS E"/>
    <n v="58.56"/>
    <d v="2025-07-12T00:00:00"/>
  </r>
  <r>
    <s v="Sem TR"/>
    <n v="64816059"/>
    <s v="ZRDI"/>
    <n v="10113285"/>
    <n v="25"/>
    <s v="OC. 80 - EXTRAVIO TOTAL"/>
    <s v="TRANSPORTADORA"/>
    <x v="2"/>
    <n v="58123059"/>
    <x v="1759"/>
    <s v="SP"/>
    <n v="474"/>
    <s v="Site Brastemp"/>
    <n v="1352"/>
    <s v="W11310109"/>
    <s v="Espargidores"/>
    <x v="2"/>
    <n v="1000"/>
    <n v="5003972"/>
    <s v="ICARO EXPRESS LOGISTICA LTDA"/>
    <n v="58.56"/>
    <d v="2025-07-23T00:00:00"/>
  </r>
  <r>
    <n v="253915560"/>
    <n v="64687689"/>
    <s v="REB"/>
    <n v="8088284"/>
    <n v="173"/>
    <s v="PEÇAS - Defeito de fabric./Alta Amperage"/>
    <s v="FUNCIONAL"/>
    <x v="1"/>
    <n v="14474"/>
    <x v="25"/>
    <s v="RN"/>
    <n v="643"/>
    <s v="Elite"/>
    <n v="1350"/>
    <s v="W10311957"/>
    <s v="Válvulas de Água"/>
    <x v="5"/>
    <n v="2000"/>
    <n v="5004101"/>
    <s v="UNIDOCK'S ASSESSORIA E LOGISTICA DE"/>
    <n v="58.52"/>
    <d v="2025-01-09T00:00:00"/>
  </r>
  <r>
    <s v="Sem TR"/>
    <n v="64757201"/>
    <s v="REB"/>
    <n v="9991523"/>
    <n v="509"/>
    <s v="Qtd de peças a Menor dentro do Volume"/>
    <s v="LOGÍSTICA"/>
    <x v="1"/>
    <n v="56605"/>
    <x v="268"/>
    <s v="AL"/>
    <n v="934"/>
    <s v="CDP Ouro"/>
    <n v="1350"/>
    <n v="326003319"/>
    <s v="Recipientes de Evaporação"/>
    <x v="9"/>
    <n v="3000"/>
    <n v="5002359"/>
    <s v="EMPRESA BRASILEIRA DE CORREIOS E"/>
    <n v="58.46"/>
    <d v="2025-05-07T00:00:00"/>
  </r>
  <r>
    <n v="254019052"/>
    <n v="64796588"/>
    <s v="ZRVP"/>
    <n v="10029637"/>
    <n v="268"/>
    <s v="DEV-APREENSÃO FISCAL - VENDAS"/>
    <s v="COMERCIAL"/>
    <x v="0"/>
    <n v="64793"/>
    <x v="717"/>
    <s v="CE"/>
    <n v="934"/>
    <s v="CDP Ouro"/>
    <n v="1350"/>
    <s v="W10531315"/>
    <s v="Sensores"/>
    <x v="3"/>
    <n v="7000"/>
    <n v="5004101"/>
    <s v="UNIDOCK'S ASSESSORIA E LOGISTICA DE"/>
    <n v="58.45"/>
    <d v="2025-06-24T00:00:00"/>
  </r>
  <r>
    <n v="254034001"/>
    <n v="64812600"/>
    <s v="ZRDI"/>
    <n v="10127913"/>
    <n v="208"/>
    <s v="DEV-Atraso entrega- LOGISTICA(Transp)"/>
    <s v="TRANSPORTADORA"/>
    <x v="2"/>
    <n v="58058166"/>
    <x v="1760"/>
    <s v="PR"/>
    <n v="475"/>
    <s v="Site Consul"/>
    <n v="1352"/>
    <s v="W11307331"/>
    <s v="Gavetas"/>
    <x v="9"/>
    <n v="1000"/>
    <n v="5002359"/>
    <s v="EMPRESA BRASILEIRA DE CORREIOS E"/>
    <n v="58.39"/>
    <d v="2025-07-17T00:00:00"/>
  </r>
  <r>
    <n v="254034001"/>
    <n v="64812600"/>
    <s v="ZRDI"/>
    <n v="10127913"/>
    <n v="208"/>
    <s v="DEV-Atraso entrega- LOGISTICA(Transp)"/>
    <s v="TRANSPORTADORA"/>
    <x v="2"/>
    <n v="58058166"/>
    <x v="1760"/>
    <s v="PR"/>
    <n v="475"/>
    <s v="Site Consul"/>
    <n v="1352"/>
    <s v="W11307331"/>
    <s v="Gavetas"/>
    <x v="9"/>
    <n v="1000"/>
    <n v="5002359"/>
    <s v="EMPRESA BRASILEIRA DE CORREIOS E"/>
    <n v="58.39"/>
    <d v="2025-07-17T00:00:00"/>
  </r>
  <r>
    <n v="254038296"/>
    <n v="64814934"/>
    <s v="REB"/>
    <n v="10119225"/>
    <n v="173"/>
    <s v="PEÇAS - Defeito de fabric./Alta Amperage"/>
    <s v="FUNCIONAL"/>
    <x v="0"/>
    <n v="9599"/>
    <x v="121"/>
    <s v="SP"/>
    <n v="931"/>
    <s v="Ats Off"/>
    <n v="1350"/>
    <s v="W10310999"/>
    <s v="Motores Ventiladores"/>
    <x v="1"/>
    <n v="1000"/>
    <n v="5004042"/>
    <s v="BRASIL WEB TRANSPORTES E LOGISTICA"/>
    <n v="58.38"/>
    <d v="2025-07-22T00:00:00"/>
  </r>
  <r>
    <s v="Sem TR"/>
    <n v="64789987"/>
    <s v="REB"/>
    <n v="10097300"/>
    <n v="509"/>
    <s v="Qtd de peças a Menor dentro do Volume"/>
    <s v="LOGÍSTICA"/>
    <x v="2"/>
    <n v="64522"/>
    <x v="158"/>
    <s v="SP"/>
    <n v="643"/>
    <s v="Elite"/>
    <n v="1350"/>
    <s v="W10764578"/>
    <s v="Conjunto Varetas"/>
    <x v="8"/>
    <n v="1000"/>
    <n v="5002359"/>
    <s v="EMPRESA BRASILEIRA DE CORREIOS E"/>
    <n v="58.36"/>
    <d v="2025-07-08T00:00:00"/>
  </r>
  <r>
    <s v="Sem TR"/>
    <n v="64795600"/>
    <s v="REB"/>
    <n v="10080004"/>
    <n v="167"/>
    <s v="PEÇAS - Avaria - Quebrada/Depósito"/>
    <s v="LOGÍSTICA"/>
    <x v="1"/>
    <n v="3694"/>
    <x v="137"/>
    <s v="SP"/>
    <n v="350"/>
    <s v="Ats On"/>
    <n v="1350"/>
    <n v="326051022"/>
    <s v="Capas"/>
    <x v="6"/>
    <n v="1000"/>
    <n v="5004042"/>
    <s v="BRASIL WEB TRANSPORTES E LOGISTICA"/>
    <n v="58.34"/>
    <d v="2025-06-23T00:00:00"/>
  </r>
  <r>
    <n v="254018368"/>
    <n v="64791682"/>
    <s v="REB"/>
    <n v="10072235"/>
    <n v="167"/>
    <s v="PEÇAS - Avaria - Quebrada/Depósito"/>
    <s v="LOGÍSTICA"/>
    <x v="2"/>
    <n v="72786"/>
    <x v="41"/>
    <s v="SC"/>
    <n v="643"/>
    <s v="Elite"/>
    <n v="1350"/>
    <n v="4258886"/>
    <s v="Anéis Hidro"/>
    <x v="6"/>
    <n v="1000"/>
    <n v="5003024"/>
    <s v="RODOBRAS TRANSPORTES RODOVIARIOS LT"/>
    <n v="58.34"/>
    <d v="2025-06-16T00:00:00"/>
  </r>
  <r>
    <n v="253988940"/>
    <n v="64763468"/>
    <s v="REB"/>
    <n v="10011003"/>
    <n v="168"/>
    <s v="PEÇAS-Def.Fabric.Empenamento/Abaulamento"/>
    <s v="FUNCIONAL"/>
    <x v="1"/>
    <n v="83572"/>
    <x v="105"/>
    <s v="SP"/>
    <n v="931"/>
    <s v="Ats Off"/>
    <n v="1350"/>
    <s v="W10882241"/>
    <s v="Agitadores"/>
    <x v="2"/>
    <n v="1000"/>
    <n v="5004042"/>
    <s v="BRASIL WEB TRANSPORTES E LOGISTICA"/>
    <n v="58.2"/>
    <d v="2025-05-05T00:00:00"/>
  </r>
  <r>
    <n v="254035938"/>
    <n v="64814043"/>
    <s v="ZRDI"/>
    <n v="10126979"/>
    <n v="208"/>
    <s v="DEV-Atraso entrega- LOGISTICA(Transp)"/>
    <s v="TRANSPORTADORA"/>
    <x v="2"/>
    <n v="51305242"/>
    <x v="1496"/>
    <s v="BA"/>
    <n v="475"/>
    <s v="Site Consul"/>
    <n v="1352"/>
    <s v="W10351689"/>
    <s v="Capas Queimadores"/>
    <x v="12"/>
    <n v="2000"/>
    <n v="5002359"/>
    <s v="EMPRESA BRASILEIRA DE CORREIOS E"/>
    <n v="58.18"/>
    <d v="2025-07-21T00:00:00"/>
  </r>
  <r>
    <n v="254035938"/>
    <n v="64814043"/>
    <s v="ZRDI"/>
    <n v="10126979"/>
    <n v="208"/>
    <s v="DEV-Atraso entrega- LOGISTICA(Transp)"/>
    <s v="TRANSPORTADORA"/>
    <x v="2"/>
    <n v="51305242"/>
    <x v="1496"/>
    <s v="BA"/>
    <n v="475"/>
    <s v="Site Consul"/>
    <n v="1352"/>
    <s v="W10351689"/>
    <s v="Capas Queimadores"/>
    <x v="12"/>
    <n v="2000"/>
    <n v="5002359"/>
    <s v="EMPRESA BRASILEIRA DE CORREIOS E"/>
    <n v="58.18"/>
    <d v="2025-07-21T00:00:00"/>
  </r>
  <r>
    <n v="254004042"/>
    <n v="64778182"/>
    <s v="REB"/>
    <n v="10018018"/>
    <n v="173"/>
    <s v="PEÇAS - Defeito de fabric./Alta Amperage"/>
    <s v="FUNCIONAL"/>
    <x v="1"/>
    <n v="67948"/>
    <x v="15"/>
    <s v="SC"/>
    <n v="713"/>
    <s v="Key Account"/>
    <n v="1350"/>
    <s v="W10849469"/>
    <s v="Bombas"/>
    <x v="1"/>
    <n v="2000"/>
    <n v="5003024"/>
    <s v="RODOBRAS TRANSPORTES RODOVIARIOS LT"/>
    <n v="58.17"/>
    <d v="2025-05-26T00:00:00"/>
  </r>
  <r>
    <s v="Sem TR"/>
    <n v="64805485"/>
    <s v="ZRDI"/>
    <n v="10095803"/>
    <s v="D10"/>
    <s v="DEV D2C - Comprou modelo errado"/>
    <s v="COMERCIAL"/>
    <x v="2"/>
    <n v="58104064"/>
    <x v="609"/>
    <s v="SC"/>
    <n v="475"/>
    <s v="Site Consul"/>
    <n v="1352"/>
    <n v="326064042"/>
    <s v="Prateleiras"/>
    <x v="9"/>
    <n v="1000"/>
    <n v="5002359"/>
    <s v="EMPRESA BRASILEIRA DE CORREIOS E"/>
    <n v="57.98"/>
    <d v="2025-07-08T00:00:00"/>
  </r>
  <r>
    <n v="254018254"/>
    <n v="64792385"/>
    <s v="REB"/>
    <n v="10073236"/>
    <n v="167"/>
    <s v="PEÇAS - Avaria - Quebrada/Depósito"/>
    <s v="LOGÍSTICA"/>
    <x v="1"/>
    <n v="27825"/>
    <x v="116"/>
    <s v="SP"/>
    <n v="641"/>
    <s v="CDP Diamante"/>
    <n v="1350"/>
    <s v="W10706137"/>
    <s v="Válvulas de Água"/>
    <x v="5"/>
    <n v="1000"/>
    <n v="5004042"/>
    <s v="BRASIL WEB TRANSPORTES E LOGISTICA"/>
    <n v="57.94"/>
    <d v="2025-06-16T00:00:00"/>
  </r>
  <r>
    <s v="Sem TR"/>
    <n v="64807090"/>
    <s v="REB"/>
    <n v="10096257"/>
    <n v="509"/>
    <s v="Qtd de peças a Menor dentro do Volume"/>
    <s v="LOGÍSTICA"/>
    <x v="1"/>
    <n v="51613"/>
    <x v="34"/>
    <s v="MG"/>
    <n v="643"/>
    <s v="Elite"/>
    <n v="1350"/>
    <s v="W10555140"/>
    <s v="Resistências"/>
    <x v="1"/>
    <n v="1000"/>
    <n v="5002359"/>
    <s v="EMPRESA BRASILEIRA DE CORREIOS E"/>
    <n v="57.92"/>
    <d v="2025-07-08T00:00:00"/>
  </r>
  <r>
    <n v="253981591"/>
    <n v="64739938"/>
    <s v="REB"/>
    <n v="9945257"/>
    <n v="115"/>
    <s v="PEÇAS-Recusa do cliente"/>
    <s v="COMERCIAL"/>
    <x v="1"/>
    <n v="87661"/>
    <x v="649"/>
    <s v="GO"/>
    <n v="350"/>
    <s v="Ats On"/>
    <n v="1350"/>
    <n v="326011600"/>
    <s v="Válvulas de Água"/>
    <x v="5"/>
    <n v="2000"/>
    <n v="5002858"/>
    <s v="FAVORITA TRANSPORTES LTDA"/>
    <n v="57.84"/>
    <d v="2025-04-01T00:00:00"/>
  </r>
  <r>
    <s v="Sem TR"/>
    <n v="64807055"/>
    <s v="ZRDI"/>
    <n v="10126741"/>
    <s v="D31"/>
    <s v="DEV D2C - Defeito estético manufatura"/>
    <s v="MANUFATURA"/>
    <x v="2"/>
    <n v="57406086"/>
    <x v="1647"/>
    <s v="RJ"/>
    <n v="475"/>
    <s v="Site Consul"/>
    <n v="1352"/>
    <s v="W10169459"/>
    <s v="Prateleiras"/>
    <x v="9"/>
    <n v="1000"/>
    <n v="5002359"/>
    <s v="EMPRESA BRASILEIRA DE CORREIOS E"/>
    <n v="57.82"/>
    <d v="2025-07-11T00:00:00"/>
  </r>
  <r>
    <s v="Sem TR"/>
    <n v="64811302"/>
    <s v="ZRDI"/>
    <n v="10132194"/>
    <s v="D31"/>
    <s v="DEV D2C - Defeito estético manufatura"/>
    <s v="MANUFATURA"/>
    <x v="2"/>
    <n v="58149390"/>
    <x v="1761"/>
    <s v="RJ"/>
    <n v="474"/>
    <s v="Site Brastemp"/>
    <n v="1352"/>
    <s v="W10455522"/>
    <s v="Prateleiras"/>
    <x v="9"/>
    <n v="1000"/>
    <n v="5002359"/>
    <s v="EMPRESA BRASILEIRA DE CORREIOS E"/>
    <n v="57.8"/>
    <d v="2025-07-17T00:00:00"/>
  </r>
  <r>
    <s v="Sem TR"/>
    <n v="64811302"/>
    <s v="ZRDI"/>
    <n v="10132194"/>
    <s v="D31"/>
    <s v="DEV D2C - Defeito estético manufatura"/>
    <s v="MANUFATURA"/>
    <x v="2"/>
    <n v="58149390"/>
    <x v="1761"/>
    <s v="RJ"/>
    <n v="474"/>
    <s v="Site Brastemp"/>
    <n v="1352"/>
    <s v="W10455522"/>
    <s v="Prateleiras"/>
    <x v="9"/>
    <n v="1000"/>
    <n v="5002359"/>
    <s v="EMPRESA BRASILEIRA DE CORREIOS E"/>
    <n v="57.8"/>
    <d v="2025-07-17T00:00:00"/>
  </r>
  <r>
    <n v="254018189"/>
    <n v="64792353"/>
    <s v="REB"/>
    <n v="10024132"/>
    <n v="176"/>
    <s v="PEÇAS - Defeito de fabric./Interrompido"/>
    <s v="FUNCIONAL"/>
    <x v="1"/>
    <n v="4425"/>
    <x v="305"/>
    <s v="SC"/>
    <n v="931"/>
    <s v="Ats Off"/>
    <n v="1350"/>
    <s v="W10603895"/>
    <s v="Lâmpadas"/>
    <x v="1"/>
    <n v="1000"/>
    <n v="5003024"/>
    <s v="RODOBRAS TRANSPORTES RODOVIARIOS LT"/>
    <n v="57.71"/>
    <d v="2025-06-16T00:00:00"/>
  </r>
  <r>
    <s v="Sem TR"/>
    <n v="64818555"/>
    <s v="ZRDI"/>
    <n v="10138927"/>
    <s v="D10"/>
    <s v="DEV D2C - Comprou modelo errado"/>
    <s v="COMERCIAL"/>
    <x v="1"/>
    <n v="58157780"/>
    <x v="1762"/>
    <s v="SP"/>
    <n v="474"/>
    <s v="Site Brastemp"/>
    <n v="1352"/>
    <s v="W10878939"/>
    <s v="Trilhos"/>
    <x v="6"/>
    <n v="1000"/>
    <n v="5002359"/>
    <s v="EMPRESA BRASILEIRA DE CORREIOS E"/>
    <n v="57.63"/>
    <d v="2025-07-29T00:00:00"/>
  </r>
  <r>
    <n v="253989793"/>
    <n v="64765996"/>
    <s v="REB"/>
    <n v="9884528"/>
    <n v="176"/>
    <s v="PEÇAS - Defeito de fabric./Interrompido"/>
    <s v="FUNCIONAL"/>
    <x v="2"/>
    <n v="3506"/>
    <x v="46"/>
    <s v="SP"/>
    <n v="931"/>
    <s v="Ats Off"/>
    <n v="1350"/>
    <s v="W10649509"/>
    <s v="Fusíveis/Fusíveis térmicos"/>
    <x v="1"/>
    <n v="3000"/>
    <n v="5004042"/>
    <s v="BRASIL WEB TRANSPORTES E LOGISTICA"/>
    <n v="57.56"/>
    <d v="2025-05-07T00:00:00"/>
  </r>
  <r>
    <n v="253992761"/>
    <n v="64768381"/>
    <s v="REB"/>
    <n v="9992635"/>
    <n v="167"/>
    <s v="PEÇAS - Avaria - Quebrada/Depósito"/>
    <s v="LOGÍSTICA"/>
    <x v="1"/>
    <n v="69085"/>
    <x v="178"/>
    <s v="SP"/>
    <n v="641"/>
    <s v="CDP Diamante"/>
    <n v="1350"/>
    <s v="W11307331"/>
    <s v="Gavetas"/>
    <x v="9"/>
    <n v="2000"/>
    <n v="5004042"/>
    <s v="BRASIL WEB TRANSPORTES E LOGISTICA"/>
    <n v="57.56"/>
    <d v="2025-05-12T00:00:00"/>
  </r>
  <r>
    <s v="Sem TR"/>
    <n v="64789770"/>
    <s v="REB"/>
    <n v="10027897"/>
    <n v="176"/>
    <s v="PEÇAS - Defeito de fabric./Interrompido"/>
    <s v="FUNCIONAL"/>
    <x v="1"/>
    <n v="25656"/>
    <x v="173"/>
    <s v="SP"/>
    <n v="931"/>
    <s v="Ats Off"/>
    <n v="1350"/>
    <s v="W10882241"/>
    <s v="Agitadores"/>
    <x v="2"/>
    <n v="1000"/>
    <n v="5004042"/>
    <s v="BRASIL WEB TRANSPORTES E LOGISTICA"/>
    <n v="57.49"/>
    <d v="2025-06-17T00:00:00"/>
  </r>
  <r>
    <n v="254007542"/>
    <n v="64778632"/>
    <s v="REB"/>
    <n v="10049059"/>
    <n v="177"/>
    <s v="PEÇAS - Defeito de fabric./Ruído"/>
    <s v="FUNCIONAL"/>
    <x v="2"/>
    <n v="21594"/>
    <x v="97"/>
    <s v="SP"/>
    <n v="931"/>
    <s v="Ats Off"/>
    <n v="1350"/>
    <s v="W10882241"/>
    <s v="Agitadores"/>
    <x v="2"/>
    <n v="1000"/>
    <n v="5004042"/>
    <s v="BRASIL WEB TRANSPORTES E LOGISTICA"/>
    <n v="57.49"/>
    <d v="2025-06-02T00:00:00"/>
  </r>
  <r>
    <n v="253970743"/>
    <n v="64748632"/>
    <s v="REB"/>
    <n v="9889918"/>
    <n v="173"/>
    <s v="PEÇAS - Defeito de fabric./Alta Amperage"/>
    <s v="FUNCIONAL"/>
    <x v="1"/>
    <n v="21594"/>
    <x v="97"/>
    <s v="SP"/>
    <n v="931"/>
    <s v="Ats Off"/>
    <n v="1350"/>
    <s v="W10882241"/>
    <s v="Agitadores"/>
    <x v="2"/>
    <n v="1000"/>
    <n v="5004042"/>
    <s v="BRASIL WEB TRANSPORTES E LOGISTICA"/>
    <n v="57.49"/>
    <d v="2025-04-09T00:00:00"/>
  </r>
  <r>
    <n v="253995098"/>
    <n v="64772205"/>
    <s v="REB"/>
    <n v="10015864"/>
    <n v="177"/>
    <s v="PEÇAS - Defeito de fabric./Ruído"/>
    <s v="FUNCIONAL"/>
    <x v="1"/>
    <n v="21594"/>
    <x v="97"/>
    <s v="SP"/>
    <n v="931"/>
    <s v="Ats Off"/>
    <n v="1350"/>
    <s v="W10882241"/>
    <s v="Agitadores"/>
    <x v="2"/>
    <n v="1000"/>
    <n v="5004042"/>
    <s v="BRASIL WEB TRANSPORTES E LOGISTICA"/>
    <n v="57.49"/>
    <d v="2025-05-16T00:00:00"/>
  </r>
  <r>
    <n v="254033302"/>
    <n v="64807355"/>
    <s v="REB"/>
    <n v="10049059"/>
    <n v="177"/>
    <s v="PEÇAS - Defeito de fabric./Ruído"/>
    <s v="FUNCIONAL"/>
    <x v="1"/>
    <n v="21594"/>
    <x v="97"/>
    <s v="SP"/>
    <n v="931"/>
    <s v="Ats Off"/>
    <n v="1350"/>
    <s v="W10882241"/>
    <s v="Agitadores"/>
    <x v="2"/>
    <n v="1000"/>
    <n v="5004042"/>
    <s v="BRASIL WEB TRANSPORTES E LOGISTICA"/>
    <n v="57.49"/>
    <d v="2025-07-08T00:00:00"/>
  </r>
  <r>
    <n v="254038390"/>
    <n v="64814490"/>
    <s v="REB"/>
    <n v="10126496"/>
    <n v="177"/>
    <s v="PEÇAS - Defeito de fabric./Ruído"/>
    <s v="FUNCIONAL"/>
    <x v="0"/>
    <n v="70149"/>
    <x v="147"/>
    <s v="SP"/>
    <n v="963"/>
    <s v="Ats Distribuidoras"/>
    <n v="1350"/>
    <s v="W10882241"/>
    <s v="Agitadores"/>
    <x v="2"/>
    <n v="1000"/>
    <n v="5004042"/>
    <s v="BRASIL WEB TRANSPORTES E LOGISTICA"/>
    <n v="57.49"/>
    <d v="2025-07-22T00:00:00"/>
  </r>
  <r>
    <n v="253889656"/>
    <n v="64658926"/>
    <s v="REB"/>
    <n v="9731828"/>
    <n v="167"/>
    <s v="PEÇAS - Avaria - Quebrada/Depósito"/>
    <s v="LOGÍSTICA"/>
    <x v="1"/>
    <n v="69085"/>
    <x v="178"/>
    <s v="SP"/>
    <n v="644"/>
    <s v="Plus"/>
    <n v="1350"/>
    <s v="W11191917"/>
    <s v="Gavetas"/>
    <x v="9"/>
    <n v="2000"/>
    <n v="5003254"/>
    <s v="TMA TRANSPORTE LOTACAO E LOGISTICA"/>
    <n v="57.42"/>
    <d v="2024-12-04T00:00:00"/>
  </r>
  <r>
    <n v="253981463"/>
    <n v="64757821"/>
    <s v="REB"/>
    <n v="9852024"/>
    <n v="173"/>
    <s v="PEÇAS - Defeito de fabric./Alta Amperage"/>
    <s v="FUNCIONAL"/>
    <x v="2"/>
    <n v="29164"/>
    <x v="32"/>
    <s v="BA"/>
    <n v="648"/>
    <s v="Ultra"/>
    <n v="1350"/>
    <s v="W10518617"/>
    <s v="Atuadores"/>
    <x v="2"/>
    <n v="2000"/>
    <n v="5004101"/>
    <s v="UNIDOCK'S ASSESSORIA E LOGISTICA DE"/>
    <n v="57.3"/>
    <d v="2025-04-25T00:00:00"/>
  </r>
  <r>
    <n v="254036637"/>
    <n v="64814533"/>
    <s v="ZRDI"/>
    <n v="10110855"/>
    <n v="208"/>
    <s v="DEV-Atraso entrega- LOGISTICA(Transp)"/>
    <s v="TRANSPORTADORA"/>
    <x v="2"/>
    <n v="55735364"/>
    <x v="1763"/>
    <s v="RJ"/>
    <n v="475"/>
    <s v="Site Consul"/>
    <n v="1352"/>
    <s v="W10202239"/>
    <s v="Painéis Decorativos"/>
    <x v="6"/>
    <n v="1000"/>
    <n v="5002359"/>
    <s v="EMPRESA BRASILEIRA DE CORREIOS E"/>
    <n v="57.3"/>
    <d v="2025-07-22T00:00:00"/>
  </r>
  <r>
    <n v="253900836"/>
    <n v="64669027"/>
    <s v="REB"/>
    <n v="9285979"/>
    <n v="176"/>
    <s v="PEÇAS - Defeito de fabric./Interrompido"/>
    <s v="FUNCIONAL"/>
    <x v="2"/>
    <n v="56605"/>
    <x v="268"/>
    <s v="AL"/>
    <n v="644"/>
    <s v="Plus"/>
    <n v="1350"/>
    <s v="W10829873"/>
    <s v="Outros"/>
    <x v="7"/>
    <n v="1000"/>
    <n v="5004101"/>
    <s v="UNIDOCK'S ASSESSORIA E LOGISTICA DE"/>
    <n v="57.27"/>
    <d v="2024-12-16T00:00:00"/>
  </r>
  <r>
    <n v="253886235"/>
    <n v="64652526"/>
    <s v="REB"/>
    <n v="9685206"/>
    <n v="168"/>
    <s v="PEÇAS-Def.Fabric.Empenamento/Abaulamento"/>
    <s v="FUNCIONAL"/>
    <x v="1"/>
    <n v="21594"/>
    <x v="97"/>
    <s v="SP"/>
    <n v="931"/>
    <s v="Ats Off"/>
    <n v="1350"/>
    <n v="326063803"/>
    <s v="Prateleiras"/>
    <x v="9"/>
    <n v="1000"/>
    <n v="5003254"/>
    <s v="TMA TRANSPORTE LOTACAO E LOGISTICA"/>
    <n v="57.27"/>
    <d v="2024-11-29T00:00:00"/>
  </r>
  <r>
    <n v="254033983"/>
    <n v="64812548"/>
    <s v="ZRDI"/>
    <n v="10116229"/>
    <n v="208"/>
    <s v="DEV-Atraso entrega- LOGISTICA(Transp)"/>
    <s v="TRANSPORTADORA"/>
    <x v="2"/>
    <n v="58127179"/>
    <x v="1764"/>
    <s v="MA"/>
    <n v="475"/>
    <s v="Site Consul"/>
    <n v="1352"/>
    <s v="W10551176"/>
    <s v="Gavetas"/>
    <x v="9"/>
    <n v="1000"/>
    <n v="5002359"/>
    <s v="EMPRESA BRASILEIRA DE CORREIOS E"/>
    <n v="57.08"/>
    <d v="2025-07-17T00:00:00"/>
  </r>
  <r>
    <n v="254033983"/>
    <n v="64812548"/>
    <s v="ZRDI"/>
    <n v="10116229"/>
    <n v="208"/>
    <s v="DEV-Atraso entrega- LOGISTICA(Transp)"/>
    <s v="TRANSPORTADORA"/>
    <x v="2"/>
    <n v="58127179"/>
    <x v="1764"/>
    <s v="MA"/>
    <n v="475"/>
    <s v="Site Consul"/>
    <n v="1352"/>
    <s v="W10551176"/>
    <s v="Gavetas"/>
    <x v="9"/>
    <n v="1000"/>
    <n v="5002359"/>
    <s v="EMPRESA BRASILEIRA DE CORREIOS E"/>
    <n v="57.08"/>
    <d v="2025-07-17T00:00:00"/>
  </r>
  <r>
    <n v="254038272"/>
    <n v="64813817"/>
    <s v="REB"/>
    <n v="10129337"/>
    <n v="176"/>
    <s v="PEÇAS - Defeito de fabric./Interrompido"/>
    <s v="FUNCIONAL"/>
    <x v="1"/>
    <n v="4318"/>
    <x v="89"/>
    <s v="SC"/>
    <n v="931"/>
    <s v="Ats Off"/>
    <n v="1350"/>
    <s v="W10898330"/>
    <s v="Resistências"/>
    <x v="1"/>
    <n v="1000"/>
    <n v="5003024"/>
    <s v="RODOBRAS TRANSPORTES RODOVIARIOS LT"/>
    <n v="57.02"/>
    <d v="2025-07-22T00:00:00"/>
  </r>
  <r>
    <n v="254030269"/>
    <n v="64796160"/>
    <s v="REB"/>
    <n v="10017733"/>
    <n v="173"/>
    <s v="PEÇAS - Defeito de fabric./Alta Amperage"/>
    <s v="FUNCIONAL"/>
    <x v="1"/>
    <n v="47026"/>
    <x v="16"/>
    <s v="BA"/>
    <n v="643"/>
    <s v="Elite"/>
    <n v="1350"/>
    <s v="W10518616"/>
    <s v="Atuadores"/>
    <x v="2"/>
    <n v="2000"/>
    <n v="5004101"/>
    <s v="UNIDOCK'S ASSESSORIA E LOGISTICA DE"/>
    <n v="56.96"/>
    <d v="2025-06-23T00:00:00"/>
  </r>
  <r>
    <n v="254012439"/>
    <n v="64789402"/>
    <s v="REB"/>
    <n v="10046173"/>
    <n v="173"/>
    <s v="PEÇAS - Defeito de fabric./Alta Amperage"/>
    <s v="FUNCIONAL"/>
    <x v="1"/>
    <n v="3506"/>
    <x v="46"/>
    <s v="SP"/>
    <n v="931"/>
    <s v="Ats Off"/>
    <n v="1350"/>
    <s v="W10399715"/>
    <s v="Motores Ventiladores"/>
    <x v="1"/>
    <n v="1000"/>
    <n v="5004042"/>
    <s v="BRASIL WEB TRANSPORTES E LOGISTICA"/>
    <n v="56.89"/>
    <d v="2025-06-10T00:00:00"/>
  </r>
  <r>
    <n v="254031619"/>
    <n v="64787201"/>
    <s v="REB"/>
    <n v="10085963"/>
    <n v="176"/>
    <s v="PEÇAS - Defeito de fabric./Interrompido"/>
    <s v="FUNCIONAL"/>
    <x v="1"/>
    <n v="3506"/>
    <x v="46"/>
    <s v="SP"/>
    <n v="931"/>
    <s v="Ats Off"/>
    <n v="1350"/>
    <s v="W10399715"/>
    <s v="Motores Ventiladores"/>
    <x v="1"/>
    <n v="1000"/>
    <n v="5004042"/>
    <s v="BRASIL WEB TRANSPORTES E LOGISTICA"/>
    <n v="56.89"/>
    <d v="2025-06-24T00:00:00"/>
  </r>
  <r>
    <n v="253988784"/>
    <n v="64764102"/>
    <s v="REB"/>
    <n v="10003165"/>
    <n v="176"/>
    <s v="PEÇAS - Defeito de fabric./Interrompido"/>
    <s v="FUNCIONAL"/>
    <x v="1"/>
    <n v="3506"/>
    <x v="46"/>
    <s v="SP"/>
    <n v="931"/>
    <s v="Ats Off"/>
    <n v="1350"/>
    <s v="W11565769"/>
    <s v="Redes Elétricas"/>
    <x v="1"/>
    <n v="1000"/>
    <n v="5004042"/>
    <s v="BRASIL WEB TRANSPORTES E LOGISTICA"/>
    <n v="56.82"/>
    <d v="2025-05-05T00:00:00"/>
  </r>
  <r>
    <n v="254018176"/>
    <n v="64789772"/>
    <s v="REB"/>
    <n v="10024985"/>
    <n v="176"/>
    <s v="PEÇAS - Defeito de fabric./Interrompido"/>
    <s v="FUNCIONAL"/>
    <x v="1"/>
    <n v="3506"/>
    <x v="46"/>
    <s v="SP"/>
    <n v="931"/>
    <s v="Ats Off"/>
    <n v="1350"/>
    <s v="W11565769"/>
    <s v="Redes Elétricas"/>
    <x v="1"/>
    <n v="1000"/>
    <n v="5004042"/>
    <s v="BRASIL WEB TRANSPORTES E LOGISTICA"/>
    <n v="56.82"/>
    <d v="2025-06-17T00:00:00"/>
  </r>
  <r>
    <s v="Sem TR"/>
    <n v="64816560"/>
    <s v="REB"/>
    <n v="9759270"/>
    <n v="173"/>
    <s v="PEÇAS - Defeito de fabric./Alta Amperage"/>
    <s v="FUNCIONAL"/>
    <x v="1"/>
    <n v="4167"/>
    <x v="63"/>
    <s v="SP"/>
    <n v="931"/>
    <s v="Ats Off"/>
    <n v="1350"/>
    <s v="W10364740"/>
    <s v="Placas de Interface"/>
    <x v="1"/>
    <n v="1000"/>
    <n v="5004042"/>
    <s v="BRASIL WEB TRANSPORTES E LOGISTICA"/>
    <n v="56.8"/>
    <d v="2025-07-25T00:00:00"/>
  </r>
  <r>
    <n v="253953761"/>
    <n v="64732069"/>
    <s v="REB"/>
    <n v="9860381"/>
    <n v="173"/>
    <s v="PEÇAS - Defeito de fabric./Alta Amperage"/>
    <s v="FUNCIONAL"/>
    <x v="1"/>
    <n v="21594"/>
    <x v="97"/>
    <s v="SP"/>
    <n v="931"/>
    <s v="Ats Off"/>
    <n v="1350"/>
    <s v="W10364740"/>
    <s v="Placas de Interface"/>
    <x v="1"/>
    <n v="1000"/>
    <n v="5004042"/>
    <s v="BRASIL WEB TRANSPORTES E LOGISTICA"/>
    <n v="56.8"/>
    <d v="2025-03-14T00:00:00"/>
  </r>
  <r>
    <n v="254033360"/>
    <n v="64807339"/>
    <s v="REB"/>
    <n v="10063050"/>
    <n v="173"/>
    <s v="PEÇAS - Defeito de fabric./Alta Amperage"/>
    <s v="FUNCIONAL"/>
    <x v="0"/>
    <n v="28991"/>
    <x v="65"/>
    <s v="MG"/>
    <n v="643"/>
    <s v="Elite"/>
    <n v="1350"/>
    <s v="W10828358"/>
    <s v="Pressostatos"/>
    <x v="3"/>
    <n v="2000"/>
    <n v="5004215"/>
    <s v="BRASIL WEB TRANSPORTES E LOGISTICA"/>
    <n v="56.74"/>
    <d v="2025-07-08T00:00:00"/>
  </r>
  <r>
    <n v="254024100"/>
    <n v="64803607"/>
    <s v="ZRDI"/>
    <n v="10023693"/>
    <n v="208"/>
    <s v="DEV-Atraso entrega- LOGISTICA(Transp)"/>
    <s v="TRANSPORTADORA"/>
    <x v="2"/>
    <n v="58014031"/>
    <x v="1765"/>
    <s v="ES"/>
    <n v="474"/>
    <s v="Site Brastemp"/>
    <n v="1352"/>
    <s v="W11405828"/>
    <s v="Mangueiras"/>
    <x v="5"/>
    <n v="1000"/>
    <n v="5002359"/>
    <s v="EMPRESA BRASILEIRA DE CORREIOS E"/>
    <n v="56.7"/>
    <d v="2025-07-01T00:00:00"/>
  </r>
  <r>
    <s v="Sem TR"/>
    <n v="64799693"/>
    <s v="ZRDI"/>
    <n v="10048357"/>
    <s v="D25"/>
    <s v="DEV D2C - Prob na entrega (Não recebi)"/>
    <s v="TRANSPORTADORA"/>
    <x v="2"/>
    <n v="58005085"/>
    <x v="1766"/>
    <s v="SP"/>
    <n v="475"/>
    <s v="Site Consul"/>
    <n v="1352"/>
    <s v="W10212396"/>
    <s v="Prateleiras"/>
    <x v="9"/>
    <n v="1000"/>
    <n v="5003972"/>
    <s v="ICARO EXPRESS LOGISTICA LTDA"/>
    <n v="56.68"/>
    <d v="2025-06-27T00:00:00"/>
  </r>
  <r>
    <s v="Sem TR"/>
    <n v="64799693"/>
    <s v="ZRDI"/>
    <n v="10048357"/>
    <s v="D25"/>
    <s v="DEV D2C - Prob na entrega (Não recebi)"/>
    <s v="TRANSPORTADORA"/>
    <x v="2"/>
    <n v="58005085"/>
    <x v="1766"/>
    <s v="SP"/>
    <n v="475"/>
    <s v="Site Consul"/>
    <n v="1352"/>
    <s v="W10212396"/>
    <s v="Prateleiras"/>
    <x v="9"/>
    <n v="1000"/>
    <n v="5003972"/>
    <s v="ICARO EXPRESS LOGISTICA LTDA"/>
    <n v="56.68"/>
    <d v="2025-06-27T00:00:00"/>
  </r>
  <r>
    <s v="Sem TR"/>
    <n v="64814664"/>
    <s v="ZRDI"/>
    <n v="10108252"/>
    <s v="D35"/>
    <s v="DEV D2C - Prod difere do comprado"/>
    <s v="COMERCIAL"/>
    <x v="2"/>
    <n v="58118961"/>
    <x v="1767"/>
    <s v="CE"/>
    <n v="466"/>
    <s v="Sup ML Marketplace"/>
    <n v="1352"/>
    <n v="326059515"/>
    <s v="Suportes"/>
    <x v="6"/>
    <n v="1000"/>
    <n v="5002359"/>
    <s v="EMPRESA BRASILEIRA DE CORREIOS E"/>
    <n v="56.57"/>
    <d v="2025-07-22T00:00:00"/>
  </r>
  <r>
    <n v="254003989"/>
    <n v="64770537"/>
    <s v="REB"/>
    <n v="9726991"/>
    <n v="173"/>
    <s v="PEÇAS - Defeito de fabric./Alta Amperage"/>
    <s v="FUNCIONAL"/>
    <x v="1"/>
    <n v="47026"/>
    <x v="16"/>
    <s v="BA"/>
    <n v="643"/>
    <s v="Elite"/>
    <n v="1350"/>
    <s v="W11112671"/>
    <s v="Interruptores horário"/>
    <x v="3"/>
    <n v="1000"/>
    <n v="5004101"/>
    <s v="UNIDOCK'S ASSESSORIA E LOGISTICA DE"/>
    <n v="56.54"/>
    <d v="2025-05-26T00:00:00"/>
  </r>
  <r>
    <s v="Sem TR"/>
    <n v="64755072"/>
    <s v="ROB"/>
    <n v="9950449"/>
    <n v="671"/>
    <s v="DEV-ENVIADO PARA GESTÃO DE CONSEQUENCIA"/>
    <s v="TRANSPORTADORA"/>
    <x v="1"/>
    <n v="76076"/>
    <x v="449"/>
    <s v="RS"/>
    <n v="931"/>
    <s v="Ats Off"/>
    <n v="1350"/>
    <s v="W10759020"/>
    <s v="Prateleiras"/>
    <x v="9"/>
    <n v="1000"/>
    <n v="5003024"/>
    <s v="RODOBRAS TRANSPORTES RODOVIARIOS LT"/>
    <n v="56.54"/>
    <d v="2025-04-23T00:00:00"/>
  </r>
  <r>
    <n v="254012528"/>
    <n v="64789495"/>
    <s v="REB"/>
    <n v="9860264"/>
    <n v="173"/>
    <s v="PEÇAS - Defeito de fabric./Alta Amperage"/>
    <s v="FUNCIONAL"/>
    <x v="1"/>
    <n v="46272"/>
    <x v="194"/>
    <s v="CE"/>
    <n v="713"/>
    <s v="Key Account"/>
    <n v="1350"/>
    <s v="W11634491"/>
    <s v="Placas de Controle"/>
    <x v="1"/>
    <n v="1000"/>
    <n v="5004101"/>
    <s v="UNIDOCK'S ASSESSORIA E LOGISTICA DE"/>
    <n v="56.47"/>
    <d v="2025-06-10T00:00:00"/>
  </r>
  <r>
    <n v="253995248"/>
    <n v="64770999"/>
    <s v="REB"/>
    <n v="9584098"/>
    <n v="173"/>
    <s v="PEÇAS - Defeito de fabric./Alta Amperage"/>
    <s v="FUNCIONAL"/>
    <x v="2"/>
    <n v="90421"/>
    <x v="1768"/>
    <s v="SP"/>
    <n v="934"/>
    <s v="CDP Ouro"/>
    <n v="1350"/>
    <s v="W11082454"/>
    <s v="Termostatos"/>
    <x v="3"/>
    <n v="1000"/>
    <n v="5004042"/>
    <s v="BRASIL WEB TRANSPORTES E LOGISTICA"/>
    <n v="56.47"/>
    <d v="2025-05-15T00:00:00"/>
  </r>
  <r>
    <s v="Sem TR"/>
    <n v="64810946"/>
    <s v="ZRDI"/>
    <n v="10123229"/>
    <s v="D19"/>
    <s v="DEV D2C - Entrega atrasada"/>
    <s v="COMERCIAL"/>
    <x v="2"/>
    <n v="52424267"/>
    <x v="998"/>
    <s v="ES"/>
    <n v="475"/>
    <s v="Site Consul"/>
    <n v="1352"/>
    <n v="326064042"/>
    <s v="Prateleiras"/>
    <x v="9"/>
    <n v="1000"/>
    <n v="5002359"/>
    <s v="EMPRESA BRASILEIRA DE CORREIOS E"/>
    <n v="56.47"/>
    <d v="2025-07-16T00:00:00"/>
  </r>
  <r>
    <s v="Sem TR"/>
    <n v="64810946"/>
    <s v="ZRDI"/>
    <n v="10123229"/>
    <s v="D19"/>
    <s v="DEV D2C - Entrega atrasada"/>
    <s v="COMERCIAL"/>
    <x v="2"/>
    <n v="52424267"/>
    <x v="998"/>
    <s v="ES"/>
    <n v="475"/>
    <s v="Site Consul"/>
    <n v="1352"/>
    <n v="326064042"/>
    <s v="Prateleiras"/>
    <x v="9"/>
    <n v="1000"/>
    <n v="5002359"/>
    <s v="EMPRESA BRASILEIRA DE CORREIOS E"/>
    <n v="56.47"/>
    <d v="2025-07-16T00:00:00"/>
  </r>
  <r>
    <n v="254042215"/>
    <n v="64796009"/>
    <s v="REB"/>
    <n v="9860195"/>
    <n v="173"/>
    <s v="PEÇAS - Defeito de fabric./Alta Amperage"/>
    <s v="FUNCIONAL"/>
    <x v="0"/>
    <n v="32533"/>
    <x v="194"/>
    <s v="PE"/>
    <n v="713"/>
    <s v="Key Account"/>
    <n v="1350"/>
    <s v="W11634491"/>
    <s v="Placas de Controle"/>
    <x v="1"/>
    <n v="1000"/>
    <n v="5004101"/>
    <s v="UNIDOCK'S ASSESSORIA E LOGISTICA DE"/>
    <n v="56.47"/>
    <d v="2025-06-23T00:00:00"/>
  </r>
  <r>
    <s v="Sem TR"/>
    <n v="64797971"/>
    <s v="ZRDI"/>
    <n v="10085239"/>
    <s v="D10"/>
    <s v="DEV D2C - Comprou modelo errado"/>
    <s v="COMERCIAL"/>
    <x v="2"/>
    <n v="55945027"/>
    <x v="1769"/>
    <s v="CE"/>
    <n v="475"/>
    <s v="Site Consul"/>
    <n v="1352"/>
    <s v="W11374521"/>
    <s v="Suportes"/>
    <x v="6"/>
    <n v="1000"/>
    <n v="5002359"/>
    <s v="EMPRESA BRASILEIRA DE CORREIOS E"/>
    <n v="56.3"/>
    <d v="2025-06-26T00:00:00"/>
  </r>
  <r>
    <s v="Sem TR"/>
    <n v="64800731"/>
    <s v="ZRDI"/>
    <n v="10085263"/>
    <s v="D31"/>
    <s v="DEV D2C - Defeito estético manufatura"/>
    <s v="MANUFATURA"/>
    <x v="2"/>
    <n v="58084070"/>
    <x v="765"/>
    <s v="CE"/>
    <n v="475"/>
    <s v="Site Consul"/>
    <n v="1352"/>
    <s v="W11374521"/>
    <s v="Suportes"/>
    <x v="6"/>
    <n v="1000"/>
    <n v="5002359"/>
    <s v="EMPRESA BRASILEIRA DE CORREIOS E"/>
    <n v="56.3"/>
    <d v="2025-06-30T00:00:00"/>
  </r>
  <r>
    <n v="254018238"/>
    <n v="64793219"/>
    <s v="REB"/>
    <n v="10073616"/>
    <n v="176"/>
    <s v="PEÇAS - Defeito de fabric./Interrompido"/>
    <s v="FUNCIONAL"/>
    <x v="1"/>
    <n v="24089"/>
    <x v="134"/>
    <s v="RJ"/>
    <n v="931"/>
    <s v="Ats Off"/>
    <n v="1350"/>
    <s v="W10882241"/>
    <s v="Agitadores"/>
    <x v="2"/>
    <n v="1000"/>
    <n v="5003176"/>
    <s v="J C THEDIN TRANSPORTES LTDA"/>
    <n v="56.3"/>
    <d v="2025-06-17T00:00:00"/>
  </r>
  <r>
    <s v="Sem TR"/>
    <n v="64726598"/>
    <s v="REB"/>
    <n v="9839399"/>
    <n v="160"/>
    <s v="OI Cancelada - Ver motivo no texto"/>
    <s v="OUTROS"/>
    <x v="1"/>
    <n v="56043"/>
    <x v="48"/>
    <s v="PR"/>
    <n v="963"/>
    <s v="Ats Distribuidoras"/>
    <n v="1350"/>
    <s v="W11136046"/>
    <s v="Cestos"/>
    <x v="9"/>
    <n v="1000"/>
    <n v="5003024"/>
    <s v="RODOBRAS TRANSPORTES RODOVIARIOS LT"/>
    <n v="56.27"/>
    <d v="2025-03-07T00:00:00"/>
  </r>
  <r>
    <s v="Sem TR"/>
    <n v="64812675"/>
    <s v="REB"/>
    <n v="9998765"/>
    <n v="173"/>
    <s v="PEÇAS - Defeito de fabric./Alta Amperage"/>
    <s v="FUNCIONAL"/>
    <x v="1"/>
    <n v="81988"/>
    <x v="38"/>
    <s v="MG"/>
    <n v="648"/>
    <s v="Ultra"/>
    <n v="1350"/>
    <s v="W10882241"/>
    <s v="Agitadores"/>
    <x v="2"/>
    <n v="1000"/>
    <n v="5004215"/>
    <s v="BRASIL WEB TRANSPORTES E LOGISTICA"/>
    <n v="56.14"/>
    <d v="2025-07-17T00:00:00"/>
  </r>
  <r>
    <n v="253988883"/>
    <n v="64763779"/>
    <s v="REB"/>
    <n v="9983197"/>
    <n v="168"/>
    <s v="PEÇAS-Def.Fabric.Empenamento/Abaulamento"/>
    <s v="FUNCIONAL"/>
    <x v="1"/>
    <n v="47996"/>
    <x v="1770"/>
    <s v="MG"/>
    <n v="350"/>
    <s v="Ats On"/>
    <n v="1350"/>
    <s v="W10882241"/>
    <s v="Agitadores"/>
    <x v="2"/>
    <n v="1000"/>
    <n v="5004215"/>
    <s v="BRASIL WEB TRANSPORTES E LOGISTICA"/>
    <n v="56.14"/>
    <d v="2025-05-05T00:00:00"/>
  </r>
  <r>
    <n v="254030540"/>
    <n v="64800551"/>
    <s v="REB"/>
    <n v="9998765"/>
    <n v="176"/>
    <s v="PEÇAS - Defeito de fabric./Interrompido"/>
    <s v="FUNCIONAL"/>
    <x v="1"/>
    <n v="81988"/>
    <x v="38"/>
    <s v="MG"/>
    <n v="648"/>
    <s v="Ultra"/>
    <n v="1350"/>
    <s v="W10882241"/>
    <s v="Agitadores"/>
    <x v="2"/>
    <n v="1000"/>
    <n v="5004215"/>
    <s v="BRASIL WEB TRANSPORTES E LOGISTICA"/>
    <n v="56.14"/>
    <d v="2025-07-01T00:00:00"/>
  </r>
  <r>
    <n v="254042296"/>
    <n v="64796120"/>
    <s v="REB"/>
    <n v="9998765"/>
    <n v="173"/>
    <s v="PEÇAS - Defeito de fabric./Alta Amperage"/>
    <s v="FUNCIONAL"/>
    <x v="0"/>
    <n v="81988"/>
    <x v="38"/>
    <s v="MG"/>
    <n v="648"/>
    <s v="Ultra"/>
    <n v="1350"/>
    <s v="W10882241"/>
    <s v="Agitadores"/>
    <x v="2"/>
    <n v="1000"/>
    <n v="5004215"/>
    <s v="BRASIL WEB TRANSPORTES E LOGISTICA"/>
    <n v="56.14"/>
    <d v="2025-06-23T00:00:00"/>
  </r>
  <r>
    <s v="Sem TR"/>
    <n v="64805242"/>
    <s v="ZRDI"/>
    <n v="10103170"/>
    <s v="D30"/>
    <s v="DEV D2C - Defeito funcional manufatura"/>
    <s v="MANUFATURA"/>
    <x v="2"/>
    <n v="58113271"/>
    <x v="1771"/>
    <s v="PE"/>
    <n v="475"/>
    <s v="Site Consul"/>
    <n v="1352"/>
    <s v="W11374521"/>
    <s v="Suportes"/>
    <x v="6"/>
    <n v="1000"/>
    <n v="5002359"/>
    <s v="EMPRESA BRASILEIRA DE CORREIOS E"/>
    <n v="56.09"/>
    <d v="2025-07-05T00:00:00"/>
  </r>
  <r>
    <s v="Sem TR"/>
    <n v="64819099"/>
    <s v="ZRDI"/>
    <n v="10128960"/>
    <s v="D31"/>
    <s v="DEV D2C - Defeito estético manufatura"/>
    <s v="MANUFATURA"/>
    <x v="1"/>
    <n v="58113271"/>
    <x v="1771"/>
    <s v="PE"/>
    <n v="475"/>
    <s v="Site Consul"/>
    <n v="1352"/>
    <s v="W11374521"/>
    <s v="Suportes"/>
    <x v="6"/>
    <n v="1000"/>
    <n v="5002359"/>
    <s v="EMPRESA BRASILEIRA DE CORREIOS E"/>
    <n v="56.09"/>
    <d v="2025-07-28T00:00:00"/>
  </r>
  <r>
    <n v="254043899"/>
    <n v="64783993"/>
    <s v="REB"/>
    <n v="10051526"/>
    <n v="173"/>
    <s v="PEÇAS - Defeito de fabric./Alta Amperage"/>
    <s v="FUNCIONAL"/>
    <x v="0"/>
    <n v="31790"/>
    <x v="160"/>
    <s v="SP"/>
    <n v="350"/>
    <s v="Ats On"/>
    <n v="1350"/>
    <s v="W10774833"/>
    <s v="Placas de Controle"/>
    <x v="1"/>
    <n v="1000"/>
    <n v="5004042"/>
    <s v="BRASIL WEB TRANSPORTES E LOGISTICA"/>
    <n v="56.08"/>
    <d v="2025-06-03T00:00:00"/>
  </r>
  <r>
    <n v="254038302"/>
    <n v="64814780"/>
    <s v="REB"/>
    <n v="10130725"/>
    <n v="168"/>
    <s v="PEÇAS-Def.Fabric.Empenamento/Abaulamento"/>
    <s v="FUNCIONAL"/>
    <x v="1"/>
    <n v="18805"/>
    <x v="307"/>
    <s v="PR"/>
    <n v="648"/>
    <s v="Ultra"/>
    <n v="1350"/>
    <s v="W10882241"/>
    <s v="Agitadores"/>
    <x v="2"/>
    <n v="1000"/>
    <n v="5003024"/>
    <s v="RODOBRAS TRANSPORTES RODOVIARIOS LT"/>
    <n v="56.07"/>
    <d v="2025-07-22T00:00:00"/>
  </r>
  <r>
    <s v="Sem TR"/>
    <n v="64797227"/>
    <s v="ZRDI"/>
    <n v="10065907"/>
    <s v="D18"/>
    <s v="DEV D2C - Arrependimento não quero mais"/>
    <s v="COMERCIAL"/>
    <x v="2"/>
    <n v="57613813"/>
    <x v="1772"/>
    <s v="SC"/>
    <n v="466"/>
    <s v="Sup ML Marketplace"/>
    <n v="1352"/>
    <s v="W10420716"/>
    <s v="Acessórios"/>
    <x v="7"/>
    <n v="1000"/>
    <n v="5002359"/>
    <s v="EMPRESA BRASILEIRA DE CORREIOS E"/>
    <n v="55.96"/>
    <d v="2025-06-26T00:00:00"/>
  </r>
  <r>
    <s v="Sem TR"/>
    <n v="64797227"/>
    <s v="ZRDI"/>
    <n v="10065907"/>
    <s v="D18"/>
    <s v="DEV D2C - Arrependimento não quero mais"/>
    <s v="COMERCIAL"/>
    <x v="2"/>
    <n v="57613813"/>
    <x v="1772"/>
    <s v="SC"/>
    <n v="466"/>
    <s v="Sup ML Marketplace"/>
    <n v="1352"/>
    <s v="W10420716"/>
    <s v="Acessórios"/>
    <x v="7"/>
    <n v="1000"/>
    <n v="5002359"/>
    <s v="EMPRESA BRASILEIRA DE CORREIOS E"/>
    <n v="55.96"/>
    <d v="2025-06-26T00:00:00"/>
  </r>
  <r>
    <n v="254033314"/>
    <n v="64800612"/>
    <s v="REB"/>
    <n v="10107389"/>
    <n v="177"/>
    <s v="PEÇAS - Defeito de fabric./Ruído"/>
    <s v="FUNCIONAL"/>
    <x v="1"/>
    <n v="21594"/>
    <x v="97"/>
    <s v="SP"/>
    <n v="931"/>
    <s v="Ats Off"/>
    <n v="1350"/>
    <s v="W10764578"/>
    <s v="Conjunto Varetas"/>
    <x v="8"/>
    <n v="1000"/>
    <n v="5004042"/>
    <s v="BRASIL WEB TRANSPORTES E LOGISTICA"/>
    <n v="55.87"/>
    <d v="2025-07-01T00:00:00"/>
  </r>
  <r>
    <n v="254004041"/>
    <n v="64778379"/>
    <s v="REB"/>
    <n v="9965623"/>
    <n v="173"/>
    <s v="PEÇAS - Defeito de fabric./Alta Amperage"/>
    <s v="FUNCIONAL"/>
    <x v="2"/>
    <n v="67948"/>
    <x v="15"/>
    <s v="SC"/>
    <n v="713"/>
    <s v="Key Account"/>
    <n v="1350"/>
    <s v="W10828358"/>
    <s v="Pressostatos"/>
    <x v="3"/>
    <n v="2000"/>
    <n v="5003024"/>
    <s v="RODOBRAS TRANSPORTES RODOVIARIOS LT"/>
    <n v="55.86"/>
    <d v="2025-05-26T00:00:00"/>
  </r>
  <r>
    <s v="Sem TR"/>
    <n v="64809392"/>
    <s v="ZRDI"/>
    <n v="10121584"/>
    <s v="D10"/>
    <s v="DEV D2C - Comprou modelo errado"/>
    <s v="COMERCIAL"/>
    <x v="2"/>
    <n v="58133483"/>
    <x v="1562"/>
    <s v="MG"/>
    <n v="474"/>
    <s v="Site Brastemp"/>
    <n v="1352"/>
    <s v="W10420716"/>
    <s v="Acessórios"/>
    <x v="7"/>
    <n v="1000"/>
    <n v="5002359"/>
    <s v="EMPRESA BRASILEIRA DE CORREIOS E"/>
    <n v="55.79"/>
    <d v="2025-07-21T00:00:00"/>
  </r>
  <r>
    <s v="Sem TR"/>
    <n v="64809993"/>
    <s v="ZRDI"/>
    <n v="10139101"/>
    <s v="D31"/>
    <s v="DEV D2C - Defeito estético manufatura"/>
    <s v="MANUFATURA"/>
    <x v="2"/>
    <n v="57931177"/>
    <x v="1773"/>
    <s v="MG"/>
    <n v="474"/>
    <s v="Site Brastemp"/>
    <n v="1352"/>
    <s v="W10420716"/>
    <s v="Acessórios"/>
    <x v="7"/>
    <n v="1000"/>
    <n v="5002359"/>
    <s v="EMPRESA BRASILEIRA DE CORREIOS E"/>
    <n v="55.79"/>
    <d v="2025-07-24T00:00:00"/>
  </r>
  <r>
    <s v="Sem TR"/>
    <n v="64813761"/>
    <s v="ZRDI"/>
    <n v="10142147"/>
    <s v="D10"/>
    <s v="DEV D2C - Comprou modelo errado"/>
    <s v="COMERCIAL"/>
    <x v="2"/>
    <n v="58165151"/>
    <x v="1164"/>
    <s v="MG"/>
    <n v="474"/>
    <s v="Site Brastemp"/>
    <n v="1352"/>
    <s v="W10420716"/>
    <s v="Acessórios"/>
    <x v="7"/>
    <n v="1000"/>
    <n v="5002359"/>
    <s v="EMPRESA BRASILEIRA DE CORREIOS E"/>
    <n v="55.79"/>
    <d v="2025-07-21T00:00:00"/>
  </r>
  <r>
    <s v="Sem TR"/>
    <n v="64809392"/>
    <s v="ZRDI"/>
    <n v="10121584"/>
    <s v="D10"/>
    <s v="DEV D2C - Comprou modelo errado"/>
    <s v="COMERCIAL"/>
    <x v="2"/>
    <n v="58133483"/>
    <x v="1562"/>
    <s v="MG"/>
    <n v="474"/>
    <s v="Site Brastemp"/>
    <n v="1352"/>
    <s v="W10420716"/>
    <s v="Acessórios"/>
    <x v="7"/>
    <n v="1000"/>
    <n v="5002359"/>
    <s v="EMPRESA BRASILEIRA DE CORREIOS E"/>
    <n v="55.79"/>
    <d v="2025-07-21T00:00:00"/>
  </r>
  <r>
    <s v="Sem TR"/>
    <n v="64809993"/>
    <s v="ZRDI"/>
    <n v="10139101"/>
    <s v="D31"/>
    <s v="DEV D2C - Defeito estético manufatura"/>
    <s v="MANUFATURA"/>
    <x v="2"/>
    <n v="57931177"/>
    <x v="1773"/>
    <s v="MG"/>
    <n v="474"/>
    <s v="Site Brastemp"/>
    <n v="1352"/>
    <s v="W10420716"/>
    <s v="Acessórios"/>
    <x v="7"/>
    <n v="1000"/>
    <n v="5002359"/>
    <s v="EMPRESA BRASILEIRA DE CORREIOS E"/>
    <n v="55.79"/>
    <d v="2025-07-24T00:00:00"/>
  </r>
  <r>
    <s v="Sem TR"/>
    <n v="64813761"/>
    <s v="ZRDI"/>
    <n v="10142147"/>
    <s v="D10"/>
    <s v="DEV D2C - Comprou modelo errado"/>
    <s v="COMERCIAL"/>
    <x v="2"/>
    <n v="58165151"/>
    <x v="1164"/>
    <s v="MG"/>
    <n v="474"/>
    <s v="Site Brastemp"/>
    <n v="1352"/>
    <s v="W10420716"/>
    <s v="Acessórios"/>
    <x v="7"/>
    <n v="1000"/>
    <n v="5002359"/>
    <s v="EMPRESA BRASILEIRA DE CORREIOS E"/>
    <n v="55.79"/>
    <d v="2025-07-21T00:00:00"/>
  </r>
  <r>
    <s v="Sem TR"/>
    <n v="64809286"/>
    <s v="ZRDI"/>
    <n v="10132171"/>
    <s v="D10"/>
    <s v="DEV D2C - Comprou modelo errado"/>
    <s v="COMERCIAL"/>
    <x v="2"/>
    <n v="58129833"/>
    <x v="1774"/>
    <s v="SP"/>
    <n v="474"/>
    <s v="Site Brastemp"/>
    <n v="1352"/>
    <s v="W10455522"/>
    <s v="Prateleiras"/>
    <x v="9"/>
    <n v="1000"/>
    <n v="5002359"/>
    <s v="EMPRESA BRASILEIRA DE CORREIOS E"/>
    <n v="55.78"/>
    <d v="2025-07-16T00:00:00"/>
  </r>
  <r>
    <s v="Sem TR"/>
    <n v="64809286"/>
    <s v="ZRDI"/>
    <n v="10132171"/>
    <s v="D10"/>
    <s v="DEV D2C - Comprou modelo errado"/>
    <s v="COMERCIAL"/>
    <x v="2"/>
    <n v="58129833"/>
    <x v="1774"/>
    <s v="SP"/>
    <n v="474"/>
    <s v="Site Brastemp"/>
    <n v="1352"/>
    <s v="W10455522"/>
    <s v="Prateleiras"/>
    <x v="9"/>
    <n v="1000"/>
    <n v="5002359"/>
    <s v="EMPRESA BRASILEIRA DE CORREIOS E"/>
    <n v="55.78"/>
    <d v="2025-07-16T00:00:00"/>
  </r>
  <r>
    <n v="254024691"/>
    <n v="64804784"/>
    <s v="ZRDI"/>
    <n v="10061434"/>
    <n v="208"/>
    <s v="DEV-Atraso entrega- LOGISTICA(Transp)"/>
    <s v="TRANSPORTADORA"/>
    <x v="2"/>
    <n v="58056933"/>
    <x v="1775"/>
    <s v="RJ"/>
    <n v="466"/>
    <s v="Sup ML Marketplace"/>
    <n v="1352"/>
    <s v="W10420716"/>
    <s v="Acessórios"/>
    <x v="7"/>
    <n v="1000"/>
    <n v="5002359"/>
    <s v="EMPRESA BRASILEIRA DE CORREIOS E"/>
    <n v="55.77"/>
    <d v="2025-07-02T00:00:00"/>
  </r>
  <r>
    <n v="254038270"/>
    <n v="64814642"/>
    <s v="REB"/>
    <n v="10110400"/>
    <n v="176"/>
    <s v="PEÇAS - Defeito de fabric./Interrompido"/>
    <s v="FUNCIONAL"/>
    <x v="1"/>
    <n v="4318"/>
    <x v="89"/>
    <s v="SC"/>
    <n v="931"/>
    <s v="Ats Off"/>
    <n v="1350"/>
    <n v="326015418"/>
    <s v="Polias/Roldanas"/>
    <x v="2"/>
    <n v="2000"/>
    <n v="5003024"/>
    <s v="RODOBRAS TRANSPORTES RODOVIARIOS LT"/>
    <n v="55.69"/>
    <d v="2025-07-22T00:00:00"/>
  </r>
  <r>
    <n v="253952147"/>
    <n v="64728915"/>
    <s v="REB"/>
    <n v="9884537"/>
    <n v="176"/>
    <s v="PEÇAS - Defeito de fabric./Interrompido"/>
    <s v="FUNCIONAL"/>
    <x v="1"/>
    <n v="3652"/>
    <x v="51"/>
    <s v="SP"/>
    <n v="350"/>
    <s v="Ats On"/>
    <n v="1350"/>
    <s v="W11630443"/>
    <s v="Condensadores"/>
    <x v="0"/>
    <n v="1000"/>
    <n v="5004042"/>
    <s v="BRASIL WEB TRANSPORTES E LOGISTICA"/>
    <n v="55.62"/>
    <d v="2025-03-10T00:00:00"/>
  </r>
  <r>
    <n v="253952310"/>
    <n v="64729106"/>
    <s v="REB"/>
    <n v="9888782"/>
    <n v="671"/>
    <s v="DEV-ENVIADO PARA GESTÃO DE CONSEQUENCIA"/>
    <s v="TRANSPORTADORA"/>
    <x v="1"/>
    <n v="38442"/>
    <x v="943"/>
    <s v="RS"/>
    <n v="641"/>
    <s v="CDP Diamante"/>
    <n v="1350"/>
    <s v="W10714366"/>
    <s v="Válvulas de Água"/>
    <x v="5"/>
    <n v="1000"/>
    <n v="5003024"/>
    <s v="RODOBRAS TRANSPORTES RODOVIARIOS LT"/>
    <n v="55.6"/>
    <d v="2025-03-10T00:00:00"/>
  </r>
  <r>
    <s v="Sem TR"/>
    <n v="64817064"/>
    <s v="ZRDI"/>
    <n v="10103551"/>
    <n v="208"/>
    <s v="DEV-Atraso entrega- LOGISTICA(Transp)"/>
    <s v="TRANSPORTADORA"/>
    <x v="2"/>
    <n v="57882075"/>
    <x v="1495"/>
    <s v="SP"/>
    <n v="475"/>
    <s v="Site Consul"/>
    <n v="1352"/>
    <n v="326064042"/>
    <s v="Prateleiras"/>
    <x v="9"/>
    <n v="1000"/>
    <n v="5002359"/>
    <s v="EMPRESA BRASILEIRA DE CORREIOS E"/>
    <n v="55.53"/>
    <d v="2025-07-24T00:00:00"/>
  </r>
  <r>
    <s v="Sem TR"/>
    <n v="64817064"/>
    <s v="ZRDI"/>
    <n v="10103551"/>
    <n v="208"/>
    <s v="DEV-Atraso entrega- LOGISTICA(Transp)"/>
    <s v="TRANSPORTADORA"/>
    <x v="2"/>
    <n v="57882075"/>
    <x v="1495"/>
    <s v="SP"/>
    <n v="475"/>
    <s v="Site Consul"/>
    <n v="1352"/>
    <n v="326064042"/>
    <s v="Prateleiras"/>
    <x v="9"/>
    <n v="1000"/>
    <n v="5002359"/>
    <s v="EMPRESA BRASILEIRA DE CORREIOS E"/>
    <n v="55.53"/>
    <d v="2025-07-24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0207206"/>
    <s v="Micro Chaves/Reed Switches"/>
    <x v="3"/>
    <n v="5000"/>
    <n v="5004101"/>
    <s v="UNIDOCK'S ASSESSORIA E LOGISTICA DE"/>
    <n v="55.53"/>
    <d v="2025-06-24T00:00:00"/>
  </r>
  <r>
    <n v="254035398"/>
    <n v="64812272"/>
    <s v="REB"/>
    <n v="9424388"/>
    <n v="173"/>
    <s v="PEÇAS - Defeito de fabric./Alta Amperage"/>
    <s v="FUNCIONAL"/>
    <x v="0"/>
    <n v="61263"/>
    <x v="18"/>
    <s v="CE"/>
    <n v="648"/>
    <s v="Ultra"/>
    <n v="1350"/>
    <s v="W11658521"/>
    <s v="Placas de Interface"/>
    <x v="1"/>
    <n v="1000"/>
    <n v="5004101"/>
    <s v="UNIDOCK'S ASSESSORIA E LOGISTICA DE"/>
    <n v="55.53"/>
    <d v="2025-07-17T00:00:00"/>
  </r>
  <r>
    <n v="253913084"/>
    <n v="64684937"/>
    <s v="REB"/>
    <n v="9717906"/>
    <n v="176"/>
    <s v="PEÇAS - Defeito de fabric./Interrompido"/>
    <s v="FUNCIONAL"/>
    <x v="2"/>
    <n v="24089"/>
    <x v="134"/>
    <s v="RJ"/>
    <n v="931"/>
    <s v="Ats Off"/>
    <n v="1350"/>
    <s v="W10882241"/>
    <s v="Agitadores"/>
    <x v="2"/>
    <n v="1000"/>
    <n v="5003176"/>
    <s v="J C THEDIN TRANSPORTES LTDA"/>
    <n v="55.49"/>
    <d v="2025-01-06T00:00:00"/>
  </r>
  <r>
    <s v="Sem TR"/>
    <n v="64802181"/>
    <s v="ZRDI"/>
    <n v="10103522"/>
    <s v="D18"/>
    <s v="DEV D2C - Arrependimento não quero mais"/>
    <s v="COMERCIAL"/>
    <x v="2"/>
    <n v="50779721"/>
    <x v="1776"/>
    <s v="SP"/>
    <n v="474"/>
    <s v="Site Brastemp"/>
    <n v="1352"/>
    <s v="W11405828"/>
    <s v="Mangueiras"/>
    <x v="5"/>
    <n v="1000"/>
    <n v="5002359"/>
    <s v="EMPRESA BRASILEIRA DE CORREIOS E"/>
    <n v="55.49"/>
    <d v="2025-07-02T00:00:00"/>
  </r>
  <r>
    <s v="Sem TR"/>
    <n v="64802181"/>
    <s v="ZRDI"/>
    <n v="10103522"/>
    <s v="D18"/>
    <s v="DEV D2C - Arrependimento não quero mais"/>
    <s v="COMERCIAL"/>
    <x v="2"/>
    <n v="50779721"/>
    <x v="1776"/>
    <s v="SP"/>
    <n v="474"/>
    <s v="Site Brastemp"/>
    <n v="1352"/>
    <s v="W11405828"/>
    <s v="Mangueiras"/>
    <x v="5"/>
    <n v="1000"/>
    <n v="5002359"/>
    <s v="EMPRESA BRASILEIRA DE CORREIOS E"/>
    <n v="55.49"/>
    <d v="2025-07-02T00:00:00"/>
  </r>
  <r>
    <n v="254024682"/>
    <n v="64804775"/>
    <s v="ZRDI"/>
    <n v="10016562"/>
    <n v="208"/>
    <s v="DEV-Atraso entrega- LOGISTICA(Transp)"/>
    <s v="TRANSPORTADORA"/>
    <x v="2"/>
    <n v="58004129"/>
    <x v="1777"/>
    <s v="MA"/>
    <n v="475"/>
    <s v="Site Consul"/>
    <n v="1352"/>
    <s v="W10515645"/>
    <s v="Filtros"/>
    <x v="5"/>
    <n v="1000"/>
    <n v="5002359"/>
    <s v="EMPRESA BRASILEIRA DE CORREIOS E"/>
    <n v="55.45"/>
    <d v="2025-07-02T00:00:00"/>
  </r>
  <r>
    <s v="Sem TR"/>
    <n v="64697168"/>
    <s v="ROB"/>
    <n v="9803471"/>
    <n v="25"/>
    <s v="OC. 80 - EXTRAVIO TOTAL"/>
    <s v="TRANSPORTADORA"/>
    <x v="0"/>
    <n v="82252"/>
    <x v="427"/>
    <s v="SP"/>
    <n v="934"/>
    <s v="CDP Ouro"/>
    <n v="1350"/>
    <s v="W11633905"/>
    <s v="Outros"/>
    <x v="7"/>
    <n v="2000"/>
    <n v="5004101"/>
    <s v="UNIDOCK'S ASSESSORIA E LOGISTICA DE"/>
    <n v="55.31"/>
    <d v="2025-01-22T00:00:00"/>
  </r>
  <r>
    <n v="254018238"/>
    <n v="64793214"/>
    <s v="REB"/>
    <n v="9354063"/>
    <n v="176"/>
    <s v="PEÇAS - Defeito de fabric./Interrompido"/>
    <s v="FUNCIONAL"/>
    <x v="2"/>
    <n v="24089"/>
    <x v="134"/>
    <s v="RJ"/>
    <n v="931"/>
    <s v="Ats Off"/>
    <n v="1350"/>
    <s v="W11539638"/>
    <s v="Dispensers"/>
    <x v="9"/>
    <n v="1000"/>
    <n v="5003176"/>
    <s v="J C THEDIN TRANSPORTES LTDA"/>
    <n v="55.3"/>
    <d v="2025-06-17T00:00:00"/>
  </r>
  <r>
    <n v="254044379"/>
    <n v="64796461"/>
    <s v="REB"/>
    <n v="10060562"/>
    <n v="176"/>
    <s v="PEÇAS - Defeito de fabric./Interrompido"/>
    <s v="FUNCIONAL"/>
    <x v="0"/>
    <n v="22041"/>
    <x v="70"/>
    <s v="SP"/>
    <n v="931"/>
    <s v="Ats Off"/>
    <n v="1350"/>
    <n v="326008340"/>
    <s v="Anéis de Vedação"/>
    <x v="4"/>
    <n v="3000"/>
    <n v="5004042"/>
    <s v="BRASIL WEB TRANSPORTES E LOGISTICA"/>
    <n v="55.26"/>
    <d v="2025-06-24T00:00:00"/>
  </r>
  <r>
    <s v="Sem TR"/>
    <n v="64812667"/>
    <s v="ZRDI"/>
    <n v="10142102"/>
    <s v="D31"/>
    <s v="DEV D2C - Defeito estético manufatura"/>
    <s v="MANUFATURA"/>
    <x v="1"/>
    <n v="58155088"/>
    <x v="1778"/>
    <s v="SP"/>
    <n v="474"/>
    <s v="Site Brastemp"/>
    <n v="1352"/>
    <s v="W11136037"/>
    <s v="Gavetas"/>
    <x v="9"/>
    <n v="1000"/>
    <n v="5002359"/>
    <s v="EMPRESA BRASILEIRA DE CORREIOS E"/>
    <n v="55.19"/>
    <d v="2025-07-30T00:00:00"/>
  </r>
  <r>
    <n v="254038370"/>
    <n v="64807863"/>
    <s v="REB"/>
    <n v="10108732"/>
    <n v="509"/>
    <s v="Qtd de peças a Menor dentro do Volume"/>
    <s v="LOGÍSTICA"/>
    <x v="2"/>
    <n v="32272"/>
    <x v="312"/>
    <s v="PR"/>
    <n v="933"/>
    <s v="Top"/>
    <n v="1350"/>
    <s v="W10882241"/>
    <s v="Agitadores"/>
    <x v="2"/>
    <n v="1000"/>
    <n v="5003024"/>
    <s v="RODOBRAS TRANSPORTES RODOVIARIOS LT"/>
    <n v="55.15"/>
    <d v="2025-07-17T00:00:00"/>
  </r>
  <r>
    <n v="254035365"/>
    <n v="64812620"/>
    <s v="REB"/>
    <n v="10032825"/>
    <n v="173"/>
    <s v="PEÇAS - Defeito de fabric./Alta Amperage"/>
    <s v="FUNCIONAL"/>
    <x v="1"/>
    <n v="28016"/>
    <x v="331"/>
    <s v="RJ"/>
    <n v="933"/>
    <s v="Top"/>
    <n v="1350"/>
    <s v="W10443918"/>
    <s v="Resistências"/>
    <x v="1"/>
    <n v="1000"/>
    <n v="5003176"/>
    <s v="J C THEDIN TRANSPORTES LTDA"/>
    <n v="55.06"/>
    <d v="2025-07-17T00:00:00"/>
  </r>
  <r>
    <n v="254033353"/>
    <n v="64807094"/>
    <s v="REB"/>
    <n v="10088896"/>
    <n v="167"/>
    <s v="PEÇAS - Avaria - Quebrada/Depósito"/>
    <s v="LOGÍSTICA"/>
    <x v="1"/>
    <n v="28403"/>
    <x v="723"/>
    <s v="RJ"/>
    <n v="934"/>
    <s v="CDP Ouro"/>
    <n v="1350"/>
    <n v="326047714"/>
    <s v="Prateleiras"/>
    <x v="9"/>
    <n v="1000"/>
    <n v="5003176"/>
    <s v="J C THEDIN TRANSPORTES LTDA"/>
    <n v="54.96"/>
    <d v="2025-07-08T00:00:00"/>
  </r>
  <r>
    <n v="254030524"/>
    <n v="64799731"/>
    <s v="REB"/>
    <n v="9769816"/>
    <n v="173"/>
    <s v="PEÇAS - Defeito de fabric./Alta Amperage"/>
    <s v="FUNCIONAL"/>
    <x v="1"/>
    <n v="30416"/>
    <x v="136"/>
    <s v="AM"/>
    <n v="648"/>
    <s v="Ultra"/>
    <n v="1350"/>
    <s v="W11163349"/>
    <s v="Placas de Controle"/>
    <x v="1"/>
    <n v="1000"/>
    <n v="5002858"/>
    <s v="FAVORITA TRANSPORTES LTDA"/>
    <n v="54.94"/>
    <d v="2025-07-01T00:00:00"/>
  </r>
  <r>
    <n v="254032497"/>
    <n v="64811461"/>
    <s v="ZRDI"/>
    <n v="10047478"/>
    <n v="208"/>
    <s v="DEV-Atraso entrega- LOGISTICA(Transp)"/>
    <s v="TRANSPORTADORA"/>
    <x v="2"/>
    <n v="58039350"/>
    <x v="1691"/>
    <s v="RS"/>
    <n v="475"/>
    <s v="Site Consul"/>
    <n v="1352"/>
    <s v="W11621541"/>
    <s v="Registros"/>
    <x v="12"/>
    <n v="2000"/>
    <n v="5002359"/>
    <s v="EMPRESA BRASILEIRA DE CORREIOS E"/>
    <n v="54.92"/>
    <d v="2025-07-16T00:00:00"/>
  </r>
  <r>
    <n v="253970926"/>
    <n v="64748483"/>
    <s v="REB"/>
    <n v="9943790"/>
    <n v="671"/>
    <s v="DEV-ENVIADO PARA GESTÃO DE CONSEQUENCIA"/>
    <s v="TRANSPORTADORA"/>
    <x v="2"/>
    <n v="69166"/>
    <x v="129"/>
    <s v="RJ"/>
    <n v="931"/>
    <s v="Ats Off"/>
    <n v="1350"/>
    <s v="W10771375"/>
    <s v="Resistências"/>
    <x v="1"/>
    <n v="1000"/>
    <n v="5003176"/>
    <s v="J C THEDIN TRANSPORTES LTDA"/>
    <n v="54.85"/>
    <d v="2025-04-09T00:00:00"/>
  </r>
  <r>
    <n v="254038272"/>
    <n v="64814873"/>
    <s v="REB"/>
    <n v="10129334"/>
    <n v="176"/>
    <s v="PEÇAS - Defeito de fabric./Interrompido"/>
    <s v="FUNCIONAL"/>
    <x v="1"/>
    <n v="4318"/>
    <x v="89"/>
    <s v="SC"/>
    <n v="931"/>
    <s v="Ats Off"/>
    <n v="1350"/>
    <s v="W10898330"/>
    <s v="Resistências"/>
    <x v="1"/>
    <n v="1000"/>
    <n v="5003024"/>
    <s v="RODOBRAS TRANSPORTES RODOVIARIOS LT"/>
    <n v="54.82"/>
    <d v="2025-07-22T00:00:00"/>
  </r>
  <r>
    <n v="254042134"/>
    <n v="64795577"/>
    <s v="REB"/>
    <n v="10077391"/>
    <n v="167"/>
    <s v="PEÇAS - Avaria - Quebrada/Depósito"/>
    <s v="LOGÍSTICA"/>
    <x v="0"/>
    <n v="69085"/>
    <x v="178"/>
    <s v="SP"/>
    <n v="641"/>
    <s v="CDP Diamante"/>
    <n v="1350"/>
    <s v="W11109516"/>
    <s v="Prateleiras"/>
    <x v="9"/>
    <n v="1000"/>
    <n v="5004042"/>
    <s v="BRASIL WEB TRANSPORTES E LOGISTICA"/>
    <n v="54.78"/>
    <d v="2025-06-23T00:00:00"/>
  </r>
  <r>
    <n v="254007298"/>
    <n v="64779993"/>
    <s v="REB"/>
    <n v="10052326"/>
    <n v="165"/>
    <s v="PEÇAS - Defeito de fabric./Incompleta"/>
    <s v="FUNCIONAL"/>
    <x v="2"/>
    <n v="2274"/>
    <x v="435"/>
    <s v="MG"/>
    <n v="350"/>
    <s v="Ats On"/>
    <n v="1350"/>
    <s v="W10882241"/>
    <s v="Agitadores"/>
    <x v="2"/>
    <n v="1000"/>
    <n v="5004215"/>
    <s v="BRASIL WEB TRANSPORTES E LOGISTICA"/>
    <n v="54.7"/>
    <d v="2025-06-02T00:00:00"/>
  </r>
  <r>
    <n v="254007298"/>
    <n v="64782289"/>
    <s v="REB"/>
    <n v="10050064"/>
    <n v="165"/>
    <s v="PEÇAS - Defeito de fabric./Incompleta"/>
    <s v="FUNCIONAL"/>
    <x v="2"/>
    <n v="2274"/>
    <x v="435"/>
    <s v="MG"/>
    <n v="350"/>
    <s v="Ats On"/>
    <n v="1350"/>
    <s v="W10882241"/>
    <s v="Agitadores"/>
    <x v="2"/>
    <n v="1000"/>
    <n v="5004215"/>
    <s v="BRASIL WEB TRANSPORTES E LOGISTICA"/>
    <n v="54.7"/>
    <d v="2025-06-02T00:00:00"/>
  </r>
  <r>
    <n v="253998354"/>
    <n v="64761741"/>
    <s v="REB"/>
    <n v="10007186"/>
    <n v="165"/>
    <s v="PEÇAS - Defeito de fabric./Incompleta"/>
    <s v="FUNCIONAL"/>
    <x v="1"/>
    <n v="2274"/>
    <x v="435"/>
    <s v="MG"/>
    <n v="350"/>
    <s v="Ats On"/>
    <n v="1350"/>
    <s v="W10882241"/>
    <s v="Agitadores"/>
    <x v="2"/>
    <n v="1000"/>
    <n v="5004215"/>
    <s v="BRASIL WEB TRANSPORTES E LOGISTICA"/>
    <n v="54.7"/>
    <d v="2025-05-14T00:00:00"/>
  </r>
  <r>
    <n v="254003843"/>
    <n v="64778974"/>
    <s v="REB"/>
    <n v="10038137"/>
    <n v="165"/>
    <s v="PEÇAS - Defeito de fabric./Incompleta"/>
    <s v="FUNCIONAL"/>
    <x v="1"/>
    <n v="2274"/>
    <x v="435"/>
    <s v="MG"/>
    <n v="350"/>
    <s v="Ats On"/>
    <n v="1350"/>
    <s v="W10882241"/>
    <s v="Agitadores"/>
    <x v="2"/>
    <n v="1000"/>
    <n v="5004215"/>
    <s v="BRASIL WEB TRANSPORTES E LOGISTICA"/>
    <n v="54.7"/>
    <d v="2025-05-27T00:00:00"/>
  </r>
  <r>
    <n v="254033444"/>
    <n v="64807089"/>
    <s v="REB"/>
    <n v="10086819"/>
    <n v="167"/>
    <s v="PEÇAS - Avaria - Quebrada/Depósito"/>
    <s v="LOGÍSTICA"/>
    <x v="0"/>
    <n v="71898"/>
    <x v="1538"/>
    <s v="MG"/>
    <n v="641"/>
    <s v="CDP Diamante"/>
    <n v="1350"/>
    <s v="W11626363"/>
    <s v="Painéis de Controle"/>
    <x v="6"/>
    <n v="1000"/>
    <n v="5004215"/>
    <s v="BRASIL WEB TRANSPORTES E LOGISTICA"/>
    <n v="54.7"/>
    <d v="2025-07-08T00:00:00"/>
  </r>
  <r>
    <n v="254018368"/>
    <n v="64789985"/>
    <s v="REB"/>
    <n v="10064970"/>
    <n v="90"/>
    <s v="CLIENTE-não solicitou"/>
    <s v="COMERCIAL"/>
    <x v="2"/>
    <n v="72786"/>
    <x v="41"/>
    <s v="SC"/>
    <n v="643"/>
    <s v="Elite"/>
    <n v="1350"/>
    <s v="W10202239"/>
    <s v="Painéis Decorativos"/>
    <x v="6"/>
    <n v="3000"/>
    <n v="5003024"/>
    <s v="RODOBRAS TRANSPORTES RODOVIARIOS LT"/>
    <n v="54.69"/>
    <d v="2025-06-17T00:00:00"/>
  </r>
  <r>
    <s v="Sem TR"/>
    <n v="64755074"/>
    <s v="REB"/>
    <n v="9969382"/>
    <n v="671"/>
    <s v="DEV-ENVIADO PARA GESTÃO DE CONSEQUENCIA"/>
    <s v="TRANSPORTADORA"/>
    <x v="1"/>
    <n v="50055"/>
    <x v="241"/>
    <s v="MS"/>
    <n v="648"/>
    <s v="Ultra"/>
    <n v="1350"/>
    <s v="W10268575"/>
    <s v="Gaxetas"/>
    <x v="4"/>
    <n v="1000"/>
    <n v="5002573"/>
    <s v="CARVALIMA TRANSPORTES LTDA"/>
    <n v="54.67"/>
    <d v="2025-04-23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1112652"/>
    <s v="Botões"/>
    <x v="6"/>
    <n v="8000"/>
    <n v="5002858"/>
    <s v="FAVORITA TRANSPORTES LTDA"/>
    <n v="54.6"/>
    <d v="2025-07-15T00:00:00"/>
  </r>
  <r>
    <n v="254024315"/>
    <n v="64804300"/>
    <s v="ROB"/>
    <n v="10116123"/>
    <n v="184"/>
    <s v="PEÇAS - Emissão de Nota Fiscal Errada"/>
    <s v="LOGÍSTICA"/>
    <x v="0"/>
    <n v="5136"/>
    <x v="181"/>
    <s v="RS"/>
    <n v="350"/>
    <s v="Ats On"/>
    <n v="1350"/>
    <s v="W11082454"/>
    <s v="Termostatos"/>
    <x v="3"/>
    <n v="1000"/>
    <n v="5002835"/>
    <s v="RODOBRAS TRANSPORTES (5003024)"/>
    <n v="54.6"/>
    <d v="2025-07-02T00:00:00"/>
  </r>
  <r>
    <s v="Sem TR"/>
    <n v="64811678"/>
    <s v="REB"/>
    <n v="10108986"/>
    <n v="104"/>
    <s v="PEÇAS-Código trocado(embalag X conteúdo)"/>
    <s v="LOGÍSTICA"/>
    <x v="1"/>
    <n v="81373"/>
    <x v="842"/>
    <s v="BA"/>
    <n v="350"/>
    <s v="Ats On"/>
    <n v="1350"/>
    <s v="W10759020"/>
    <s v="Prateleiras"/>
    <x v="9"/>
    <n v="1000"/>
    <n v="5004101"/>
    <s v="UNIDOCK'S ASSESSORIA E LOGISTICA DE"/>
    <n v="54.56"/>
    <d v="2025-07-17T00:00:00"/>
  </r>
  <r>
    <s v="Sem TR"/>
    <n v="64815766"/>
    <s v="ZRDI"/>
    <n v="10148842"/>
    <s v="D18"/>
    <s v="DEV D2C - Arrependimento não quero mais"/>
    <s v="COMERCIAL"/>
    <x v="2"/>
    <n v="54507663"/>
    <x v="1779"/>
    <s v="SP"/>
    <n v="474"/>
    <s v="Site Brastemp"/>
    <n v="1352"/>
    <s v="W10248158"/>
    <s v="Capas"/>
    <x v="6"/>
    <n v="1000"/>
    <n v="5002359"/>
    <s v="EMPRESA BRASILEIRA DE CORREIOS E"/>
    <n v="54.54"/>
    <d v="2025-07-25T00:00:00"/>
  </r>
  <r>
    <s v="Sem TR"/>
    <n v="64815766"/>
    <s v="ZRDI"/>
    <n v="10148842"/>
    <s v="D18"/>
    <s v="DEV D2C - Arrependimento não quero mais"/>
    <s v="COMERCIAL"/>
    <x v="2"/>
    <n v="54507663"/>
    <x v="1779"/>
    <s v="SP"/>
    <n v="474"/>
    <s v="Site Brastemp"/>
    <n v="1352"/>
    <s v="W10248158"/>
    <s v="Capas"/>
    <x v="6"/>
    <n v="1000"/>
    <n v="5002359"/>
    <s v="EMPRESA BRASILEIRA DE CORREIOS E"/>
    <n v="54.54"/>
    <d v="2025-07-25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0647948"/>
    <s v="Suportes"/>
    <x v="6"/>
    <n v="5000"/>
    <n v="5004391"/>
    <s v="JEONCEL TRANSPORTES LTDA"/>
    <n v="54.47"/>
    <d v="2025-05-08T00:00:00"/>
  </r>
  <r>
    <s v="Sem TR"/>
    <n v="64768415"/>
    <s v="ROB"/>
    <n v="50501"/>
    <n v="671"/>
    <s v="DEV-ENVIADO PARA GESTÃO DE CONSEQUENCIA"/>
    <s v="TRANSPORTADORA"/>
    <x v="2"/>
    <n v="85357"/>
    <x v="875"/>
    <s v="BA"/>
    <n v="932"/>
    <s v="CDP Prata"/>
    <n v="1550"/>
    <s v="W10310999"/>
    <s v="Motores Ventiladores"/>
    <x v="1"/>
    <n v="1000"/>
    <n v="5004391"/>
    <s v="JEONCEL TRANSPORTES LTDA"/>
    <n v="54.47"/>
    <d v="2025-05-12T00:00:00"/>
  </r>
  <r>
    <s v="Sem TR"/>
    <n v="64784848"/>
    <s v="ZRDI"/>
    <n v="10110925"/>
    <s v="D10"/>
    <s v="DEV D2C - Comprou modelo errado"/>
    <s v="COMERCIAL"/>
    <x v="2"/>
    <n v="58070822"/>
    <x v="1780"/>
    <s v="ES"/>
    <n v="474"/>
    <s v="Site Brastemp"/>
    <n v="1352"/>
    <n v="326060190"/>
    <s v="Suportes"/>
    <x v="6"/>
    <n v="1000"/>
    <n v="5002359"/>
    <s v="EMPRESA BRASILEIRA DE CORREIOS E"/>
    <n v="54.46"/>
    <d v="2025-07-08T00:00:00"/>
  </r>
  <r>
    <n v="254042266"/>
    <n v="64795367"/>
    <s v="REB"/>
    <n v="9956534"/>
    <n v="176"/>
    <s v="PEÇAS - Defeito de fabric./Interrompido"/>
    <s v="FUNCIONAL"/>
    <x v="0"/>
    <n v="52349"/>
    <x v="1049"/>
    <s v="SP"/>
    <n v="934"/>
    <s v="CDP Ouro"/>
    <n v="1350"/>
    <s v="W11245249"/>
    <s v="Válvulas de Água"/>
    <x v="5"/>
    <n v="1000"/>
    <n v="5004042"/>
    <s v="BRASIL WEB TRANSPORTES E LOGISTICA"/>
    <n v="54.42"/>
    <d v="2025-06-23T00:00:00"/>
  </r>
  <r>
    <s v="Sem TR"/>
    <n v="64806442"/>
    <s v="ZRDI"/>
    <n v="10112608"/>
    <s v="D10"/>
    <s v="DEV D2C - Comprou modelo errado"/>
    <s v="COMERCIAL"/>
    <x v="2"/>
    <n v="58123755"/>
    <x v="1781"/>
    <s v="PI"/>
    <n v="474"/>
    <s v="Site Brastemp"/>
    <n v="1352"/>
    <s v="W11344672"/>
    <s v="Cordões de Alimentação"/>
    <x v="1"/>
    <n v="1000"/>
    <n v="5002359"/>
    <s v="EMPRESA BRASILEIRA DE CORREIOS E"/>
    <n v="54.41"/>
    <d v="2025-07-17T00:00:00"/>
  </r>
  <r>
    <s v="Sem TR"/>
    <n v="64806442"/>
    <s v="ZRDI"/>
    <n v="10112608"/>
    <s v="D10"/>
    <s v="DEV D2C - Comprou modelo errado"/>
    <s v="COMERCIAL"/>
    <x v="2"/>
    <n v="58123755"/>
    <x v="1781"/>
    <s v="PI"/>
    <n v="474"/>
    <s v="Site Brastemp"/>
    <n v="1352"/>
    <s v="W11344672"/>
    <s v="Cordões de Alimentação"/>
    <x v="1"/>
    <n v="1000"/>
    <n v="5002359"/>
    <s v="EMPRESA BRASILEIRA DE CORREIOS E"/>
    <n v="54.41"/>
    <d v="2025-07-17T00:00:00"/>
  </r>
  <r>
    <n v="254032513"/>
    <n v="64811477"/>
    <s v="ZRDI"/>
    <n v="10091672"/>
    <n v="208"/>
    <s v="DEV-Atraso entrega- LOGISTICA(Transp)"/>
    <s v="TRANSPORTADORA"/>
    <x v="2"/>
    <n v="5694318"/>
    <x v="861"/>
    <s v="BA"/>
    <n v="474"/>
    <s v="Site Brastemp"/>
    <n v="1352"/>
    <s v="W10477178"/>
    <s v="Capas"/>
    <x v="6"/>
    <n v="1000"/>
    <n v="5002359"/>
    <s v="EMPRESA BRASILEIRA DE CORREIOS E"/>
    <n v="54.39"/>
    <d v="2025-07-16T00:00:00"/>
  </r>
  <r>
    <n v="254038301"/>
    <n v="64814844"/>
    <s v="REB"/>
    <n v="10089384"/>
    <n v="173"/>
    <s v="PEÇAS - Defeito de fabric./Alta Amperage"/>
    <s v="FUNCIONAL"/>
    <x v="1"/>
    <n v="18805"/>
    <x v="307"/>
    <s v="PR"/>
    <n v="648"/>
    <s v="Ultra"/>
    <n v="1350"/>
    <s v="W11082454"/>
    <s v="Termostatos"/>
    <x v="3"/>
    <n v="1000"/>
    <n v="5003024"/>
    <s v="RODOBRAS TRANSPORTES RODOVIARIOS LT"/>
    <n v="54.21"/>
    <d v="2025-07-22T00:00:00"/>
  </r>
  <r>
    <n v="254038294"/>
    <n v="64814870"/>
    <s v="REB"/>
    <n v="10079681"/>
    <n v="176"/>
    <s v="PEÇAS - Defeito de fabric./Interrompido"/>
    <s v="FUNCIONAL"/>
    <x v="1"/>
    <n v="4318"/>
    <x v="89"/>
    <s v="SC"/>
    <n v="931"/>
    <s v="Ats Off"/>
    <n v="1350"/>
    <s v="W11486744"/>
    <s v="Rolamentos"/>
    <x v="2"/>
    <n v="8000"/>
    <n v="5003024"/>
    <s v="RODOBRAS TRANSPORTES RODOVIARIOS LT"/>
    <n v="54.16"/>
    <d v="2025-07-22T00:00:00"/>
  </r>
  <r>
    <n v="254033972"/>
    <n v="64812531"/>
    <s v="ZRDI"/>
    <n v="10106232"/>
    <n v="208"/>
    <s v="DEV-Atraso entrega- LOGISTICA(Transp)"/>
    <s v="TRANSPORTADORA"/>
    <x v="2"/>
    <n v="58117904"/>
    <x v="1782"/>
    <s v="PR"/>
    <n v="475"/>
    <s v="Site Consul"/>
    <n v="1352"/>
    <s v="W10212401"/>
    <s v="Prateleiras"/>
    <x v="9"/>
    <n v="1000"/>
    <n v="5002359"/>
    <s v="EMPRESA BRASILEIRA DE CORREIOS E"/>
    <n v="54.06"/>
    <d v="2025-07-17T00:00:00"/>
  </r>
  <r>
    <n v="254042175"/>
    <n v="64796079"/>
    <s v="REB"/>
    <n v="9941330"/>
    <n v="178"/>
    <s v="PEÇAS -Defeito de fabric./Sem Compressão"/>
    <s v="FUNCIONAL"/>
    <x v="0"/>
    <n v="69166"/>
    <x v="129"/>
    <s v="RJ"/>
    <n v="931"/>
    <s v="Ats Off"/>
    <n v="1350"/>
    <s v="W10882241"/>
    <s v="Agitadores"/>
    <x v="2"/>
    <n v="1000"/>
    <n v="5003176"/>
    <s v="J C THEDIN TRANSPORTES LTDA"/>
    <n v="54.04"/>
    <d v="2025-06-23T00:00:00"/>
  </r>
  <r>
    <s v="Sem TR"/>
    <n v="64817984"/>
    <s v="ZRDI"/>
    <n v="10106361"/>
    <s v="D18"/>
    <s v="DEV D2C - Arrependimento não quero mais"/>
    <s v="COMERCIAL"/>
    <x v="2"/>
    <n v="58117399"/>
    <x v="1783"/>
    <s v="RS"/>
    <n v="466"/>
    <s v="Sup ML Marketplace"/>
    <n v="1352"/>
    <s v="W11189405"/>
    <s v="Filtros"/>
    <x v="5"/>
    <n v="1000"/>
    <n v="5002359"/>
    <s v="EMPRESA BRASILEIRA DE CORREIOS E"/>
    <n v="53.9"/>
    <d v="2025-07-25T00:00:00"/>
  </r>
  <r>
    <s v="Sem TR"/>
    <n v="64817984"/>
    <s v="ZRDI"/>
    <n v="10106361"/>
    <s v="D18"/>
    <s v="DEV D2C - Arrependimento não quero mais"/>
    <s v="COMERCIAL"/>
    <x v="2"/>
    <n v="58117399"/>
    <x v="1783"/>
    <s v="RS"/>
    <n v="466"/>
    <s v="Sup ML Marketplace"/>
    <n v="1352"/>
    <s v="W11189405"/>
    <s v="Filtros"/>
    <x v="5"/>
    <n v="1000"/>
    <n v="5002359"/>
    <s v="EMPRESA BRASILEIRA DE CORREIOS E"/>
    <n v="53.9"/>
    <d v="2025-07-25T00:00:00"/>
  </r>
  <r>
    <n v="253964074"/>
    <n v="64743035"/>
    <s v="ROB"/>
    <n v="48888"/>
    <n v="115"/>
    <s v="PEÇAS-Recusa do cliente"/>
    <s v="COMERCIAL"/>
    <x v="2"/>
    <n v="93416"/>
    <x v="1166"/>
    <s v="PE"/>
    <n v="698"/>
    <s v="CDP Bronze"/>
    <n v="1550"/>
    <n v="326062041"/>
    <s v="Recipientes de Evaporação"/>
    <x v="9"/>
    <n v="4000"/>
    <n v="5000253"/>
    <s v="TRANSPORTADOR GENERICO"/>
    <n v="53.87"/>
    <d v="2025-03-31T00:00:00"/>
  </r>
  <r>
    <n v="253995144"/>
    <n v="64772232"/>
    <s v="REB"/>
    <n v="10026987"/>
    <n v="173"/>
    <s v="PEÇAS - Defeito de fabric./Alta Amperage"/>
    <s v="FUNCIONAL"/>
    <x v="1"/>
    <n v="30820"/>
    <x v="49"/>
    <s v="PE"/>
    <n v="350"/>
    <s v="Ats On"/>
    <n v="1350"/>
    <s v="W11082462"/>
    <s v="Termostatos"/>
    <x v="3"/>
    <n v="1000"/>
    <n v="5004101"/>
    <s v="UNIDOCK'S ASSESSORIA E LOGISTICA DE"/>
    <n v="53.83"/>
    <d v="2025-05-16T00:00:00"/>
  </r>
  <r>
    <s v="Sem TR"/>
    <n v="64811430"/>
    <s v="ZRDI"/>
    <n v="10139057"/>
    <s v="D10"/>
    <s v="DEV D2C - Comprou modelo errado"/>
    <s v="COMERCIAL"/>
    <x v="2"/>
    <n v="57177868"/>
    <x v="1784"/>
    <s v="SP"/>
    <n v="466"/>
    <s v="Sup ML Marketplace"/>
    <n v="1352"/>
    <s v="W10420716"/>
    <s v="Acessórios"/>
    <x v="7"/>
    <n v="1000"/>
    <n v="5002359"/>
    <s v="EMPRESA BRASILEIRA DE CORREIOS E"/>
    <n v="53.75"/>
    <d v="2025-07-18T00:00:00"/>
  </r>
  <r>
    <s v="Sem TR"/>
    <n v="64811430"/>
    <s v="ZRDI"/>
    <n v="10139057"/>
    <s v="D10"/>
    <s v="DEV D2C - Comprou modelo errado"/>
    <s v="COMERCIAL"/>
    <x v="2"/>
    <n v="57177868"/>
    <x v="1784"/>
    <s v="SP"/>
    <n v="466"/>
    <s v="Sup ML Marketplace"/>
    <n v="1352"/>
    <s v="W10420716"/>
    <s v="Acessórios"/>
    <x v="7"/>
    <n v="1000"/>
    <n v="5002359"/>
    <s v="EMPRESA BRASILEIRA DE CORREIOS E"/>
    <n v="53.75"/>
    <d v="2025-07-18T00:00:00"/>
  </r>
  <r>
    <s v="Sem TR"/>
    <n v="64731044"/>
    <s v="ROB"/>
    <n v="9901170"/>
    <n v="25"/>
    <s v="OC. 80 - EXTRAVIO TOTAL"/>
    <s v="TRANSPORTADORA"/>
    <x v="0"/>
    <n v="32823"/>
    <x v="758"/>
    <s v="MG"/>
    <n v="350"/>
    <s v="Ats On"/>
    <n v="1350"/>
    <s v="W10606115"/>
    <s v="Polias/Roldanas"/>
    <x v="2"/>
    <n v="5000"/>
    <n v="5004101"/>
    <s v="UNIDOCK'S ASSESSORIA E LOGISTICA DE"/>
    <n v="53.74"/>
    <d v="2025-03-13T00:00:00"/>
  </r>
  <r>
    <n v="253988864"/>
    <n v="64758287"/>
    <s v="REB"/>
    <n v="9788717"/>
    <n v="176"/>
    <s v="PEÇAS - Defeito de fabric./Interrompido"/>
    <s v="FUNCIONAL"/>
    <x v="1"/>
    <n v="29706"/>
    <x v="149"/>
    <s v="RN"/>
    <n v="644"/>
    <s v="Plus"/>
    <n v="1350"/>
    <s v="W10742654"/>
    <s v="Motores Ventiladores"/>
    <x v="1"/>
    <n v="1000"/>
    <n v="5004101"/>
    <s v="UNIDOCK'S ASSESSORIA E LOGISTICA DE"/>
    <n v="53.69"/>
    <d v="2025-05-05T00:00:00"/>
  </r>
  <r>
    <n v="254033256"/>
    <n v="64807315"/>
    <s v="REB"/>
    <n v="10035302"/>
    <n v="176"/>
    <s v="PEÇAS - Defeito de fabric./Interrompido"/>
    <s v="FUNCIONAL"/>
    <x v="1"/>
    <n v="2424"/>
    <x v="338"/>
    <s v="RJ"/>
    <n v="350"/>
    <s v="Ats On"/>
    <n v="1350"/>
    <s v="W10555140"/>
    <s v="Resistências"/>
    <x v="1"/>
    <n v="1000"/>
    <n v="5003176"/>
    <s v="J C THEDIN TRANSPORTES LTDA"/>
    <n v="53.65"/>
    <d v="2025-07-08T00:00:00"/>
  </r>
  <r>
    <s v="Sem TR"/>
    <n v="64804289"/>
    <s v="ZRDI"/>
    <n v="10109958"/>
    <s v="D10"/>
    <s v="DEV D2C - Comprou modelo errado"/>
    <s v="COMERCIAL"/>
    <x v="2"/>
    <n v="58121546"/>
    <x v="1785"/>
    <s v="SP"/>
    <n v="474"/>
    <s v="Site Brastemp"/>
    <n v="1352"/>
    <s v="W10224624"/>
    <s v="Queimadores"/>
    <x v="12"/>
    <n v="4000"/>
    <n v="5002359"/>
    <s v="EMPRESA BRASILEIRA DE CORREIOS E"/>
    <n v="53.64"/>
    <d v="2025-07-02T00:00:00"/>
  </r>
  <r>
    <s v="Sem TR"/>
    <n v="64804289"/>
    <s v="ZRDI"/>
    <n v="10109958"/>
    <s v="D10"/>
    <s v="DEV D2C - Comprou modelo errado"/>
    <s v="COMERCIAL"/>
    <x v="2"/>
    <n v="58121546"/>
    <x v="1785"/>
    <s v="SP"/>
    <n v="474"/>
    <s v="Site Brastemp"/>
    <n v="1352"/>
    <n v="326055047"/>
    <s v="Capas Queimadores"/>
    <x v="12"/>
    <n v="4000"/>
    <n v="5002359"/>
    <s v="EMPRESA BRASILEIRA DE CORREIOS E"/>
    <n v="53.64"/>
    <d v="2025-07-02T00:00:00"/>
  </r>
  <r>
    <n v="253995118"/>
    <n v="64772642"/>
    <s v="REB"/>
    <n v="9909382"/>
    <n v="176"/>
    <s v="PEÇAS - Defeito de fabric./Interrompido"/>
    <s v="FUNCIONAL"/>
    <x v="1"/>
    <n v="27309"/>
    <x v="1786"/>
    <s v="SP"/>
    <n v="644"/>
    <s v="Plus"/>
    <n v="1350"/>
    <s v="W10776336"/>
    <s v="Válvulas de Água"/>
    <x v="5"/>
    <n v="1000"/>
    <n v="5004042"/>
    <s v="BRASIL WEB TRANSPORTES E LOGISTICA"/>
    <n v="53.62"/>
    <d v="2025-05-16T00:00:00"/>
  </r>
  <r>
    <n v="254033392"/>
    <n v="64802236"/>
    <s v="REB"/>
    <n v="10089313"/>
    <n v="173"/>
    <s v="PEÇAS - Defeito de fabric./Alta Amperage"/>
    <s v="FUNCIONAL"/>
    <x v="1"/>
    <n v="37369"/>
    <x v="85"/>
    <s v="SC"/>
    <n v="932"/>
    <s v="CDP Prata"/>
    <n v="1350"/>
    <s v="W11245250"/>
    <s v="Válvulas de Água"/>
    <x v="5"/>
    <n v="1000"/>
    <n v="5003024"/>
    <s v="RODOBRAS TRANSPORTES RODOVIARIOS LT"/>
    <n v="53.62"/>
    <d v="2025-07-01T00:00:00"/>
  </r>
  <r>
    <n v="254033462"/>
    <n v="64806986"/>
    <s v="REB"/>
    <n v="10068725"/>
    <n v="173"/>
    <s v="PEÇAS - Defeito de fabric./Alta Amperage"/>
    <s v="FUNCIONAL"/>
    <x v="1"/>
    <n v="80833"/>
    <x v="132"/>
    <s v="PR"/>
    <n v="644"/>
    <s v="Plus"/>
    <n v="1350"/>
    <s v="W10706137"/>
    <s v="Válvulas de Água"/>
    <x v="5"/>
    <n v="1000"/>
    <n v="5003024"/>
    <s v="RODOBRAS TRANSPORTES RODOVIARIOS LT"/>
    <n v="53.6"/>
    <d v="2025-07-08T00:00:00"/>
  </r>
  <r>
    <n v="254012435"/>
    <n v="64789539"/>
    <s v="REB"/>
    <n v="9874743"/>
    <n v="173"/>
    <s v="PEÇAS - Defeito de fabric./Alta Amperage"/>
    <s v="FUNCIONAL"/>
    <x v="1"/>
    <n v="1334"/>
    <x v="188"/>
    <s v="PI"/>
    <n v="350"/>
    <s v="Ats On"/>
    <n v="1350"/>
    <s v="W10742654"/>
    <s v="Motores Ventiladores"/>
    <x v="1"/>
    <n v="1000"/>
    <n v="5004101"/>
    <s v="UNIDOCK'S ASSESSORIA E LOGISTICA DE"/>
    <n v="53.57"/>
    <d v="2025-06-10T00:00:00"/>
  </r>
  <r>
    <s v="Sem TR"/>
    <n v="64814784"/>
    <s v="REB"/>
    <n v="10129253"/>
    <n v="176"/>
    <s v="PEÇAS - Defeito de fabric./Interrompido"/>
    <s v="FUNCIONAL"/>
    <x v="1"/>
    <n v="21621"/>
    <x v="325"/>
    <s v="SP"/>
    <n v="350"/>
    <s v="Ats On"/>
    <n v="1350"/>
    <s v="W11082454"/>
    <s v="Termostatos"/>
    <x v="3"/>
    <n v="1000"/>
    <n v="5004042"/>
    <s v="BRASIL WEB TRANSPORTES E LOGISTICA"/>
    <n v="53.55"/>
    <d v="2025-07-22T00:00:00"/>
  </r>
  <r>
    <n v="254038998"/>
    <n v="64793888"/>
    <s v="REB"/>
    <n v="10062423"/>
    <n v="167"/>
    <s v="PEÇAS - Avaria - Quebrada/Depósito"/>
    <s v="LOGÍSTICA"/>
    <x v="0"/>
    <n v="2832"/>
    <x v="195"/>
    <s v="BA"/>
    <n v="350"/>
    <s v="Ats On"/>
    <n v="1350"/>
    <s v="W11082462"/>
    <s v="Termostatos"/>
    <x v="3"/>
    <n v="1000"/>
    <n v="5004101"/>
    <s v="UNIDOCK'S ASSESSORIA E LOGISTICA DE"/>
    <n v="53.53"/>
    <d v="2025-06-23T00:00:00"/>
  </r>
  <r>
    <s v="Sem TR"/>
    <n v="64809766"/>
    <s v="ZRDI"/>
    <n v="10112516"/>
    <s v="D10"/>
    <s v="DEV D2C - Comprou modelo errado"/>
    <s v="COMERCIAL"/>
    <x v="2"/>
    <n v="58122257"/>
    <x v="1787"/>
    <s v="SC"/>
    <n v="466"/>
    <s v="Sup ML Marketplace"/>
    <n v="1352"/>
    <s v="W11189405"/>
    <s v="Filtros"/>
    <x v="5"/>
    <n v="1000"/>
    <n v="5002359"/>
    <s v="EMPRESA BRASILEIRA DE CORREIOS E"/>
    <n v="53.49"/>
    <d v="2025-07-15T00:00:00"/>
  </r>
  <r>
    <n v="254024125"/>
    <n v="64803697"/>
    <s v="ZRDI"/>
    <n v="10050110"/>
    <n v="208"/>
    <s v="DEV-Atraso entrega- LOGISTICA(Transp)"/>
    <s v="TRANSPORTADORA"/>
    <x v="2"/>
    <n v="56415757"/>
    <x v="1788"/>
    <s v="SP"/>
    <n v="475"/>
    <s v="Site Consul"/>
    <n v="1352"/>
    <s v="W10515645"/>
    <s v="Filtros"/>
    <x v="5"/>
    <n v="1000"/>
    <n v="5002359"/>
    <s v="EMPRESA BRASILEIRA DE CORREIOS E"/>
    <n v="53.46"/>
    <d v="2025-07-01T00:00:00"/>
  </r>
  <r>
    <n v="254038130"/>
    <n v="64816096"/>
    <s v="ZRDI"/>
    <n v="10014570"/>
    <n v="208"/>
    <s v="DEV-Atraso entrega- LOGISTICA(Transp)"/>
    <s v="TRANSPORTADORA"/>
    <x v="2"/>
    <n v="58000367"/>
    <x v="1789"/>
    <s v="PI"/>
    <n v="475"/>
    <s v="Site Consul"/>
    <n v="1352"/>
    <s v="W10515645"/>
    <s v="Filtros"/>
    <x v="5"/>
    <n v="1000"/>
    <n v="5002359"/>
    <s v="EMPRESA BRASILEIRA DE CORREIOS E"/>
    <n v="53.44"/>
    <d v="2025-07-23T00:00:00"/>
  </r>
  <r>
    <n v="254038130"/>
    <n v="64816096"/>
    <s v="ZRDI"/>
    <n v="10014570"/>
    <n v="208"/>
    <s v="DEV-Atraso entrega- LOGISTICA(Transp)"/>
    <s v="TRANSPORTADORA"/>
    <x v="2"/>
    <n v="58000367"/>
    <x v="1789"/>
    <s v="PI"/>
    <n v="475"/>
    <s v="Site Consul"/>
    <n v="1352"/>
    <s v="W10515645"/>
    <s v="Filtros"/>
    <x v="5"/>
    <n v="1000"/>
    <n v="5002359"/>
    <s v="EMPRESA BRASILEIRA DE CORREIOS E"/>
    <n v="53.44"/>
    <d v="2025-07-23T00:00:00"/>
  </r>
  <r>
    <n v="253988817"/>
    <n v="64761656"/>
    <s v="REB"/>
    <n v="9889764"/>
    <n v="176"/>
    <s v="PEÇAS - Defeito de fabric./Interrompido"/>
    <s v="FUNCIONAL"/>
    <x v="1"/>
    <n v="14474"/>
    <x v="25"/>
    <s v="RN"/>
    <n v="648"/>
    <s v="Ultra"/>
    <n v="1350"/>
    <s v="W10168510"/>
    <s v="Motores Ventiladores"/>
    <x v="1"/>
    <n v="1000"/>
    <n v="5004101"/>
    <s v="UNIDOCK'S ASSESSORIA E LOGISTICA DE"/>
    <n v="53.43"/>
    <d v="2025-05-05T00:00:00"/>
  </r>
  <r>
    <n v="253989435"/>
    <n v="64766120"/>
    <s v="REB"/>
    <n v="9373613"/>
    <n v="173"/>
    <s v="PEÇAS - Defeito de fabric./Alta Amperage"/>
    <s v="FUNCIONAL"/>
    <x v="1"/>
    <n v="75812"/>
    <x v="102"/>
    <s v="SP"/>
    <n v="931"/>
    <s v="Ats Off"/>
    <n v="1350"/>
    <s v="W10630751"/>
    <s v="Resistências"/>
    <x v="1"/>
    <n v="1000"/>
    <n v="5004042"/>
    <s v="BRASIL WEB TRANSPORTES E LOGISTICA"/>
    <n v="53.35"/>
    <d v="2025-05-09T00:00:00"/>
  </r>
  <r>
    <n v="254012435"/>
    <n v="64782263"/>
    <s v="REB"/>
    <n v="9855659"/>
    <n v="173"/>
    <s v="PEÇAS - Defeito de fabric./Alta Amperage"/>
    <s v="FUNCIONAL"/>
    <x v="1"/>
    <n v="1334"/>
    <x v="188"/>
    <s v="PI"/>
    <n v="350"/>
    <s v="Ats On"/>
    <n v="1350"/>
    <s v="W11245250"/>
    <s v="Válvulas de Água"/>
    <x v="5"/>
    <n v="1000"/>
    <n v="5004101"/>
    <s v="UNIDOCK'S ASSESSORIA E LOGISTICA DE"/>
    <n v="53.3"/>
    <d v="2025-06-10T00:00:00"/>
  </r>
  <r>
    <n v="254018239"/>
    <n v="64792011"/>
    <s v="REB"/>
    <n v="10042869"/>
    <n v="90"/>
    <s v="CLIENTE-não solicitou"/>
    <s v="COMERCIAL"/>
    <x v="1"/>
    <n v="27113"/>
    <x v="423"/>
    <s v="MG"/>
    <n v="350"/>
    <s v="Ats On"/>
    <n v="1350"/>
    <s v="W11565769"/>
    <s v="Redes Elétricas"/>
    <x v="1"/>
    <n v="1000"/>
    <n v="5004215"/>
    <s v="BRASIL WEB TRANSPORTES E LOGISTICA"/>
    <n v="53.28"/>
    <d v="2025-06-16T00:00:00"/>
  </r>
  <r>
    <n v="254029811"/>
    <n v="64809362"/>
    <s v="ZRDI"/>
    <n v="10079829"/>
    <s v="D25"/>
    <s v="DEV D2C - Prob na entrega (Não recebi)"/>
    <s v="TRANSPORTADORA"/>
    <x v="2"/>
    <n v="56645054"/>
    <x v="1790"/>
    <s v="RJ"/>
    <n v="466"/>
    <s v="Sup ML Marketplace"/>
    <n v="1352"/>
    <s v="W11189405"/>
    <s v="Filtros"/>
    <x v="5"/>
    <n v="1000"/>
    <n v="5003972"/>
    <s v="ICARO EXPRESS LOGISTICA LTDA"/>
    <n v="53.25"/>
    <d v="2025-07-11T00:00:00"/>
  </r>
  <r>
    <s v="Sem TR"/>
    <n v="64812156"/>
    <s v="ZRDI"/>
    <n v="10096041"/>
    <s v="D11"/>
    <s v="DEV D2C - Comprou prod dimensão errada"/>
    <s v="COMERCIAL"/>
    <x v="2"/>
    <n v="58101779"/>
    <x v="1791"/>
    <s v="RJ"/>
    <n v="466"/>
    <s v="Sup ML Marketplace"/>
    <n v="1352"/>
    <s v="W11189405"/>
    <s v="Filtros"/>
    <x v="5"/>
    <n v="1000"/>
    <n v="5002359"/>
    <s v="EMPRESA BRASILEIRA DE CORREIOS E"/>
    <n v="53.25"/>
    <d v="2025-07-18T00:00:00"/>
  </r>
  <r>
    <s v="Sem TR"/>
    <n v="64812156"/>
    <s v="ZRDI"/>
    <n v="10096041"/>
    <s v="D11"/>
    <s v="DEV D2C - Comprou prod dimensão errada"/>
    <s v="COMERCIAL"/>
    <x v="2"/>
    <n v="58101779"/>
    <x v="1791"/>
    <s v="RJ"/>
    <n v="466"/>
    <s v="Sup ML Marketplace"/>
    <n v="1352"/>
    <s v="W11189405"/>
    <s v="Filtros"/>
    <x v="5"/>
    <n v="1000"/>
    <n v="5002359"/>
    <s v="EMPRESA BRASILEIRA DE CORREIOS E"/>
    <n v="53.25"/>
    <d v="2025-07-18T00:00:00"/>
  </r>
  <r>
    <s v="Sem TR"/>
    <n v="64788990"/>
    <s v="REB"/>
    <n v="10043253"/>
    <n v="509"/>
    <s v="Qtd de peças a Menor dentro do Volume"/>
    <s v="LOGÍSTICA"/>
    <x v="1"/>
    <n v="23101"/>
    <x v="14"/>
    <s v="PB"/>
    <n v="713"/>
    <s v="Key Account"/>
    <n v="1350"/>
    <s v="W10630752"/>
    <s v="Resistências"/>
    <x v="1"/>
    <n v="1000"/>
    <n v="5002359"/>
    <s v="EMPRESA BRASILEIRA DE CORREIOS E"/>
    <n v="53.24"/>
    <d v="2025-06-10T00:00:00"/>
  </r>
  <r>
    <s v="Sem TR"/>
    <n v="64807990"/>
    <s v="ZRDI"/>
    <n v="10112475"/>
    <s v="D31"/>
    <s v="DEV D2C - Defeito estético manufatura"/>
    <s v="MANUFATURA"/>
    <x v="2"/>
    <n v="56639710"/>
    <x v="1792"/>
    <s v="PE"/>
    <n v="475"/>
    <s v="Site Consul"/>
    <n v="1352"/>
    <s v="W11491981"/>
    <s v="Prateleiras"/>
    <x v="9"/>
    <n v="1000"/>
    <n v="5002359"/>
    <s v="EMPRESA BRASILEIRA DE CORREIOS E"/>
    <n v="53.23"/>
    <d v="2025-07-15T00:00:00"/>
  </r>
  <r>
    <s v="Sem TR"/>
    <n v="64807990"/>
    <s v="ZRDI"/>
    <n v="10112475"/>
    <s v="D31"/>
    <s v="DEV D2C - Defeito estético manufatura"/>
    <s v="MANUFATURA"/>
    <x v="2"/>
    <n v="56639710"/>
    <x v="1792"/>
    <s v="PE"/>
    <n v="475"/>
    <s v="Site Consul"/>
    <n v="1352"/>
    <s v="W11491981"/>
    <s v="Prateleiras"/>
    <x v="9"/>
    <n v="1000"/>
    <n v="5002359"/>
    <s v="EMPRESA BRASILEIRA DE CORREIOS E"/>
    <n v="53.23"/>
    <d v="2025-07-15T00:00:00"/>
  </r>
  <r>
    <s v="Sem TR"/>
    <n v="64778752"/>
    <s v="REB"/>
    <n v="10018179"/>
    <n v="509"/>
    <s v="Qtd de peças a Menor dentro do Volume"/>
    <s v="LOGÍSTICA"/>
    <x v="1"/>
    <n v="92685"/>
    <x v="1793"/>
    <s v="PA"/>
    <n v="932"/>
    <s v="CDP Prata"/>
    <n v="1350"/>
    <n v="214353"/>
    <s v="Parafusos e afins"/>
    <x v="10"/>
    <n v="19000"/>
    <n v="5002359"/>
    <s v="EMPRESA BRASILEIRA DE CORREIOS E"/>
    <n v="53.22"/>
    <d v="2025-06-02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539793"/>
    <s v="Capas"/>
    <x v="6"/>
    <n v="2000"/>
    <n v="5004101"/>
    <s v="UNIDOCK'S ASSESSORIA E LOGISTICA DE"/>
    <n v="53.21"/>
    <d v="2025-07-29T00:00:00"/>
  </r>
  <r>
    <n v="254003906"/>
    <n v="64777581"/>
    <s v="REB"/>
    <n v="9661798"/>
    <n v="173"/>
    <s v="PEÇAS - Defeito de fabric./Alta Amperage"/>
    <s v="FUNCIONAL"/>
    <x v="1"/>
    <n v="27770"/>
    <x v="37"/>
    <s v="AL"/>
    <n v="641"/>
    <s v="CDP Diamante"/>
    <n v="1350"/>
    <s v="W10742654"/>
    <s v="Motores Ventiladores"/>
    <x v="1"/>
    <n v="1000"/>
    <n v="5004101"/>
    <s v="UNIDOCK'S ASSESSORIA E LOGISTICA DE"/>
    <n v="53.2"/>
    <d v="2025-05-26T00:00:00"/>
  </r>
  <r>
    <n v="254003769"/>
    <n v="64773136"/>
    <s v="REB"/>
    <n v="9805245"/>
    <n v="173"/>
    <s v="PEÇAS - Defeito de fabric./Alta Amperage"/>
    <s v="FUNCIONAL"/>
    <x v="2"/>
    <n v="66"/>
    <x v="73"/>
    <s v="GO"/>
    <n v="931"/>
    <s v="Ats Off"/>
    <n v="1350"/>
    <s v="W11658521"/>
    <s v="Placas de Interface"/>
    <x v="1"/>
    <n v="1000"/>
    <n v="5002858"/>
    <s v="FAVORITA TRANSPORTES LTDA"/>
    <n v="53.17"/>
    <d v="2025-05-26T00:00:00"/>
  </r>
  <r>
    <s v="Sem TR"/>
    <n v="64776640"/>
    <s v="REB"/>
    <n v="10017872"/>
    <n v="509"/>
    <s v="Qtd de peças a Menor dentro do Volume"/>
    <s v="LOGÍSTICA"/>
    <x v="2"/>
    <n v="64683"/>
    <x v="56"/>
    <s v="RS"/>
    <n v="648"/>
    <s v="Ultra"/>
    <n v="1350"/>
    <s v="W10257565"/>
    <s v="Fusíveis/Fusíveis térmicos"/>
    <x v="1"/>
    <n v="7000"/>
    <n v="5002359"/>
    <s v="EMPRESA BRASILEIRA DE CORREIOS E"/>
    <n v="53.16"/>
    <d v="2025-05-26T00:00:00"/>
  </r>
  <r>
    <n v="254030455"/>
    <n v="64802400"/>
    <s v="REB"/>
    <n v="10076370"/>
    <n v="167"/>
    <s v="PEÇAS - Avaria - Quebrada/Depósito"/>
    <s v="LOGÍSTICA"/>
    <x v="1"/>
    <n v="1632"/>
    <x v="280"/>
    <s v="AL"/>
    <n v="931"/>
    <s v="Ats Off"/>
    <n v="1350"/>
    <s v="W10920084"/>
    <s v="Prateleiras"/>
    <x v="9"/>
    <n v="1000"/>
    <n v="5004101"/>
    <s v="UNIDOCK'S ASSESSORIA E LOGISTICA DE"/>
    <n v="53.08"/>
    <d v="2025-07-01T00:00:00"/>
  </r>
  <r>
    <s v="Sem TR"/>
    <n v="64802245"/>
    <s v="ZRDI"/>
    <n v="10098115"/>
    <s v="D10"/>
    <s v="DEV D2C - Comprou modelo errado"/>
    <s v="COMERCIAL"/>
    <x v="2"/>
    <n v="58108038"/>
    <x v="1194"/>
    <s v="SP"/>
    <n v="475"/>
    <s v="Site Consul"/>
    <n v="1352"/>
    <s v="W10169459"/>
    <s v="Prateleiras"/>
    <x v="9"/>
    <n v="1000"/>
    <n v="5002359"/>
    <s v="EMPRESA BRASILEIRA DE CORREIOS E"/>
    <n v="53.06"/>
    <d v="2025-07-01T00:00:00"/>
  </r>
  <r>
    <s v="Sem TR"/>
    <n v="64802245"/>
    <s v="ZRDI"/>
    <n v="10098115"/>
    <s v="D10"/>
    <s v="DEV D2C - Comprou modelo errado"/>
    <s v="COMERCIAL"/>
    <x v="2"/>
    <n v="58108038"/>
    <x v="1194"/>
    <s v="SP"/>
    <n v="475"/>
    <s v="Site Consul"/>
    <n v="1352"/>
    <s v="W10169459"/>
    <s v="Prateleiras"/>
    <x v="9"/>
    <n v="1000"/>
    <n v="5002359"/>
    <s v="EMPRESA BRASILEIRA DE CORREIOS E"/>
    <n v="53.06"/>
    <d v="2025-07-01T00:00:00"/>
  </r>
  <r>
    <n v="253961276"/>
    <n v="64739103"/>
    <s v="REB"/>
    <n v="9898067"/>
    <n v="176"/>
    <s v="PEÇAS - Defeito de fabric./Interrompido"/>
    <s v="FUNCIONAL"/>
    <x v="2"/>
    <n v="24089"/>
    <x v="134"/>
    <s v="RJ"/>
    <n v="931"/>
    <s v="Ats Off"/>
    <n v="1350"/>
    <s v="W11280712"/>
    <s v="Redes Elétricas"/>
    <x v="1"/>
    <n v="1000"/>
    <n v="5003176"/>
    <s v="J C THEDIN TRANSPORTES LTDA"/>
    <n v="52.98"/>
    <d v="2025-03-26T00:00:00"/>
  </r>
  <r>
    <s v="Sem TR"/>
    <n v="64731044"/>
    <s v="ROB"/>
    <n v="9901170"/>
    <n v="25"/>
    <s v="OC. 80 - EXTRAVIO TOTAL"/>
    <s v="TRANSPORTADORA"/>
    <x v="0"/>
    <n v="32823"/>
    <x v="758"/>
    <s v="MG"/>
    <n v="350"/>
    <s v="Ats On"/>
    <n v="1350"/>
    <s v="W11574386"/>
    <s v="Capacitores"/>
    <x v="1"/>
    <n v="4000"/>
    <n v="5004101"/>
    <s v="UNIDOCK'S ASSESSORIA E LOGISTICA DE"/>
    <n v="52.92"/>
    <d v="2025-03-13T00:00:00"/>
  </r>
  <r>
    <n v="253918550"/>
    <n v="64691690"/>
    <s v="REB"/>
    <n v="9599911"/>
    <n v="176"/>
    <s v="PEÇAS - Defeito de fabric./Interrompido"/>
    <s v="FUNCIONAL"/>
    <x v="1"/>
    <n v="14474"/>
    <x v="25"/>
    <s v="RN"/>
    <n v="643"/>
    <s v="Elite"/>
    <n v="1350"/>
    <s v="W11091875"/>
    <s v="Termostatos"/>
    <x v="3"/>
    <n v="1000"/>
    <n v="5004101"/>
    <s v="UNIDOCK'S ASSESSORIA E LOGISTICA DE"/>
    <n v="52.92"/>
    <d v="2025-01-15T00:00:00"/>
  </r>
  <r>
    <s v="Sem TR"/>
    <n v="64808301"/>
    <s v="ZRDI"/>
    <n v="10092105"/>
    <s v="D20"/>
    <s v="DEV D2C - Demora na entrega"/>
    <s v="COMERCIAL"/>
    <x v="2"/>
    <n v="58092453"/>
    <x v="1794"/>
    <s v="SP"/>
    <n v="746"/>
    <s v="Marketplace B2W"/>
    <n v="1352"/>
    <s v="W10248158"/>
    <s v="Capas"/>
    <x v="6"/>
    <n v="1000"/>
    <n v="5003482"/>
    <s v="TMA TRANSPORTE LOTACAO E LOGISTICA"/>
    <n v="52.91"/>
    <d v="2025-07-15T00:00:00"/>
  </r>
  <r>
    <s v="Sem TR"/>
    <n v="64808301"/>
    <s v="ZRDI"/>
    <n v="10092105"/>
    <s v="D20"/>
    <s v="DEV D2C - Demora na entrega"/>
    <s v="COMERCIAL"/>
    <x v="2"/>
    <n v="58092453"/>
    <x v="1794"/>
    <s v="SP"/>
    <n v="746"/>
    <s v="Marketplace B2W"/>
    <n v="1352"/>
    <s v="W10248158"/>
    <s v="Capas"/>
    <x v="6"/>
    <n v="1000"/>
    <n v="5003482"/>
    <s v="TMA TRANSPORTE LOTACAO E LOGISTICA"/>
    <n v="52.91"/>
    <d v="2025-07-15T00:00:00"/>
  </r>
  <r>
    <s v="Sem TR"/>
    <n v="64804438"/>
    <s v="ZRDI"/>
    <n v="10103527"/>
    <s v="D10"/>
    <s v="DEV D2C - Comprou modelo errado"/>
    <s v="COMERCIAL"/>
    <x v="2"/>
    <n v="51949561"/>
    <x v="1795"/>
    <s v="BA"/>
    <n v="474"/>
    <s v="Site Brastemp"/>
    <n v="1352"/>
    <n v="326059515"/>
    <s v="Suportes"/>
    <x v="6"/>
    <n v="1000"/>
    <n v="5002359"/>
    <s v="EMPRESA BRASILEIRA DE CORREIOS E"/>
    <n v="52.88"/>
    <d v="2025-07-08T00:00:00"/>
  </r>
  <r>
    <s v="Sem TR"/>
    <n v="64804438"/>
    <s v="ZRDI"/>
    <n v="10103527"/>
    <s v="D10"/>
    <s v="DEV D2C - Comprou modelo errado"/>
    <s v="COMERCIAL"/>
    <x v="2"/>
    <n v="51949561"/>
    <x v="1795"/>
    <s v="BA"/>
    <n v="474"/>
    <s v="Site Brastemp"/>
    <n v="1352"/>
    <n v="326059515"/>
    <s v="Suportes"/>
    <x v="6"/>
    <n v="1000"/>
    <n v="5002359"/>
    <s v="EMPRESA BRASILEIRA DE CORREIOS E"/>
    <n v="52.88"/>
    <d v="2025-07-08T00:00:00"/>
  </r>
  <r>
    <n v="254018232"/>
    <n v="64793169"/>
    <s v="REB"/>
    <n v="10073706"/>
    <n v="178"/>
    <s v="PEÇAS -Defeito de fabric./Sem Compressão"/>
    <s v="FUNCIONAL"/>
    <x v="2"/>
    <n v="20602"/>
    <x v="355"/>
    <s v="SP"/>
    <n v="350"/>
    <s v="Ats On"/>
    <n v="1350"/>
    <s v="W10621640"/>
    <s v="Bandejas"/>
    <x v="9"/>
    <n v="1000"/>
    <n v="5004042"/>
    <s v="BRASIL WEB TRANSPORTES E LOGISTICA"/>
    <n v="52.81"/>
    <d v="2025-06-17T00:00:00"/>
  </r>
  <r>
    <s v="Sem TR"/>
    <n v="64813903"/>
    <s v="ZRDI"/>
    <n v="10123327"/>
    <s v="D10"/>
    <s v="DEV D2C - Comprou modelo errado"/>
    <s v="COMERCIAL"/>
    <x v="2"/>
    <n v="55117554"/>
    <x v="793"/>
    <s v="DF"/>
    <n v="474"/>
    <s v="Site Brastemp"/>
    <n v="1352"/>
    <s v="W10420716"/>
    <s v="Acessórios"/>
    <x v="7"/>
    <n v="1000"/>
    <n v="5002359"/>
    <s v="EMPRESA BRASILEIRA DE CORREIOS E"/>
    <n v="52.8"/>
    <d v="2025-07-22T00:00:00"/>
  </r>
  <r>
    <s v="Sem TR"/>
    <n v="64813903"/>
    <s v="ZRDI"/>
    <n v="10123327"/>
    <s v="D10"/>
    <s v="DEV D2C - Comprou modelo errado"/>
    <s v="COMERCIAL"/>
    <x v="2"/>
    <n v="55117554"/>
    <x v="793"/>
    <s v="DF"/>
    <n v="474"/>
    <s v="Site Brastemp"/>
    <n v="1352"/>
    <s v="W10420716"/>
    <s v="Acessórios"/>
    <x v="7"/>
    <n v="1000"/>
    <n v="5002359"/>
    <s v="EMPRESA BRASILEIRA DE CORREIOS E"/>
    <n v="52.8"/>
    <d v="2025-07-22T00:00:00"/>
  </r>
  <r>
    <n v="253992773"/>
    <n v="64767083"/>
    <s v="REB"/>
    <n v="9958791"/>
    <n v="173"/>
    <s v="PEÇAS - Defeito de fabric./Alta Amperage"/>
    <s v="FUNCIONAL"/>
    <x v="1"/>
    <n v="77746"/>
    <x v="119"/>
    <s v="GO"/>
    <n v="933"/>
    <s v="Top"/>
    <n v="1350"/>
    <s v="W11245250"/>
    <s v="Válvulas de Água"/>
    <x v="5"/>
    <n v="1000"/>
    <n v="5002858"/>
    <s v="FAVORITA TRANSPORTES LTDA"/>
    <n v="52.77"/>
    <d v="2025-05-12T00:00:00"/>
  </r>
  <r>
    <n v="254020439"/>
    <n v="64798143"/>
    <s v="ZRDI"/>
    <n v="10048098"/>
    <n v="208"/>
    <s v="DEV-Atraso entrega- LOGISTICA(Transp)"/>
    <s v="TRANSPORTADORA"/>
    <x v="2"/>
    <n v="57967007"/>
    <x v="1796"/>
    <s v="AL"/>
    <n v="475"/>
    <s v="Site Consul"/>
    <n v="1352"/>
    <s v="W10698255"/>
    <s v="Prateleiras"/>
    <x v="9"/>
    <n v="1000"/>
    <n v="5002359"/>
    <s v="EMPRESA BRASILEIRA DE CORREIOS E"/>
    <n v="52.73"/>
    <d v="2025-06-25T00:00:00"/>
  </r>
  <r>
    <s v="Sem TR"/>
    <n v="64809840"/>
    <s v="ZRDI"/>
    <n v="10100779"/>
    <s v="D31"/>
    <s v="DEV D2C - Defeito estético manufatura"/>
    <s v="MANUFATURA"/>
    <x v="2"/>
    <n v="58109229"/>
    <x v="1797"/>
    <s v="RS"/>
    <n v="475"/>
    <s v="Site Consul"/>
    <n v="1352"/>
    <s v="W11374521"/>
    <s v="Suportes"/>
    <x v="6"/>
    <n v="1000"/>
    <n v="5002359"/>
    <s v="EMPRESA BRASILEIRA DE CORREIOS E"/>
    <n v="52.72"/>
    <d v="2025-07-15T00:00:00"/>
  </r>
  <r>
    <s v="Sem TR"/>
    <n v="64809840"/>
    <s v="ZRDI"/>
    <n v="10100779"/>
    <s v="D31"/>
    <s v="DEV D2C - Defeito estético manufatura"/>
    <s v="MANUFATURA"/>
    <x v="2"/>
    <n v="58109229"/>
    <x v="1797"/>
    <s v="RS"/>
    <n v="475"/>
    <s v="Site Consul"/>
    <n v="1352"/>
    <s v="W11374521"/>
    <s v="Suportes"/>
    <x v="6"/>
    <n v="1000"/>
    <n v="5002359"/>
    <s v="EMPRESA BRASILEIRA DE CORREIOS E"/>
    <n v="52.72"/>
    <d v="2025-07-15T00:00:00"/>
  </r>
  <r>
    <s v="Sem TR"/>
    <n v="64800554"/>
    <s v="ZRDI"/>
    <n v="10069435"/>
    <s v="D10"/>
    <s v="DEV D2C - Comprou modelo errado"/>
    <s v="COMERCIAL"/>
    <x v="2"/>
    <n v="55264125"/>
    <x v="1798"/>
    <s v="SP"/>
    <n v="474"/>
    <s v="Site Brastemp"/>
    <n v="1352"/>
    <s v="W10516830"/>
    <s v="Manípulos"/>
    <x v="6"/>
    <n v="1000"/>
    <n v="5002359"/>
    <s v="EMPRESA BRASILEIRA DE CORREIOS E"/>
    <n v="52.71"/>
    <d v="2025-06-30T00:00:00"/>
  </r>
  <r>
    <s v="Sem TR"/>
    <n v="64800554"/>
    <s v="ZRDI"/>
    <n v="10069435"/>
    <s v="D10"/>
    <s v="DEV D2C - Comprou modelo errado"/>
    <s v="COMERCIAL"/>
    <x v="2"/>
    <n v="55264125"/>
    <x v="1798"/>
    <s v="SP"/>
    <n v="474"/>
    <s v="Site Brastemp"/>
    <n v="1352"/>
    <s v="W10516830"/>
    <s v="Manípulos"/>
    <x v="6"/>
    <n v="1000"/>
    <n v="5002359"/>
    <s v="EMPRESA BRASILEIRA DE CORREIOS E"/>
    <n v="52.71"/>
    <d v="2025-06-30T00:00:00"/>
  </r>
  <r>
    <n v="254042134"/>
    <n v="64795577"/>
    <s v="REB"/>
    <n v="10077391"/>
    <n v="167"/>
    <s v="PEÇAS - Avaria - Quebrada/Depósito"/>
    <s v="LOGÍSTICA"/>
    <x v="0"/>
    <n v="69085"/>
    <x v="178"/>
    <s v="SP"/>
    <n v="641"/>
    <s v="CDP Diamante"/>
    <n v="1350"/>
    <n v="326030489"/>
    <s v="Gavetas"/>
    <x v="9"/>
    <n v="1000"/>
    <n v="5004042"/>
    <s v="BRASIL WEB TRANSPORTES E LOGISTICA"/>
    <n v="52.68"/>
    <d v="2025-06-23T00:00:00"/>
  </r>
  <r>
    <n v="254003864"/>
    <n v="64776247"/>
    <s v="REB"/>
    <n v="10044879"/>
    <n v="173"/>
    <s v="PEÇAS - Defeito de fabric./Alta Amperage"/>
    <s v="FUNCIONAL"/>
    <x v="2"/>
    <n v="5129"/>
    <x v="1185"/>
    <s v="RS"/>
    <n v="934"/>
    <s v="CDP Ouro"/>
    <n v="1350"/>
    <s v="W10555140"/>
    <s v="Resistências"/>
    <x v="1"/>
    <n v="1000"/>
    <n v="5003024"/>
    <s v="RODOBRAS TRANSPORTES RODOVIARIOS LT"/>
    <n v="52.67"/>
    <d v="2025-05-26T00:00:00"/>
  </r>
  <r>
    <s v="Sem TR"/>
    <n v="64817584"/>
    <s v="ZDVP"/>
    <n v="10017817"/>
    <n v="173"/>
    <s v="PEÇAS - Defeito de fabric./Alta Amperage"/>
    <s v="FUNCIONAL"/>
    <x v="1"/>
    <n v="81988"/>
    <x v="38"/>
    <s v="MG"/>
    <n v="648"/>
    <s v="Ultra"/>
    <n v="1350"/>
    <s v="W10882241"/>
    <s v="Agitadores"/>
    <x v="2"/>
    <n v="1000"/>
    <n v="5004215"/>
    <s v="BRASIL WEB TRANSPORTES E LOGISTICA"/>
    <n v="52.64"/>
    <d v="2025-07-25T00:00:00"/>
  </r>
  <r>
    <s v="Sem TR"/>
    <n v="64770855"/>
    <s v="REB"/>
    <n v="10015734"/>
    <n v="509"/>
    <s v="Qtd de peças a Menor dentro do Volume"/>
    <s v="LOGÍSTICA"/>
    <x v="2"/>
    <n v="59715"/>
    <x v="314"/>
    <s v="PB"/>
    <n v="934"/>
    <s v="CDP Ouro"/>
    <n v="1350"/>
    <s v="W11245250"/>
    <s v="Válvulas de Água"/>
    <x v="5"/>
    <n v="1000"/>
    <n v="5002359"/>
    <s v="EMPRESA BRASILEIRA DE CORREIOS E"/>
    <n v="52.55"/>
    <d v="2025-05-15T00:00:00"/>
  </r>
  <r>
    <n v="254018406"/>
    <n v="64792280"/>
    <s v="REB"/>
    <n v="10063242"/>
    <n v="167"/>
    <s v="PEÇAS - Avaria - Quebrada/Depósito"/>
    <s v="LOGÍSTICA"/>
    <x v="1"/>
    <n v="89222"/>
    <x v="1799"/>
    <s v="MA"/>
    <n v="934"/>
    <s v="CDP Ouro"/>
    <n v="1350"/>
    <s v="W10796892"/>
    <s v="Agitadores"/>
    <x v="2"/>
    <n v="1000"/>
    <n v="5004101"/>
    <s v="UNIDOCK'S ASSESSORIA E LOGISTICA DE"/>
    <n v="52.53"/>
    <d v="2025-06-16T00:00:00"/>
  </r>
  <r>
    <n v="254021261"/>
    <n v="64798916"/>
    <s v="ZRDI"/>
    <n v="10057136"/>
    <n v="208"/>
    <s v="DEV-Atraso entrega- LOGISTICA(Transp)"/>
    <s v="TRANSPORTADORA"/>
    <x v="2"/>
    <n v="58050055"/>
    <x v="1800"/>
    <s v="BA"/>
    <n v="466"/>
    <s v="Sup ML Marketplace"/>
    <n v="1352"/>
    <s v="W10476183"/>
    <s v="Prateleiras"/>
    <x v="9"/>
    <n v="1000"/>
    <n v="5002359"/>
    <s v="EMPRESA BRASILEIRA DE CORREIOS E"/>
    <n v="52.46"/>
    <d v="2025-06-26T00:00:00"/>
  </r>
  <r>
    <s v="Sem TR"/>
    <n v="64818749"/>
    <s v="ZRDI"/>
    <n v="10089026"/>
    <s v="D10"/>
    <s v="DEV D2C - Comprou modelo errado"/>
    <s v="COMERCIAL"/>
    <x v="1"/>
    <n v="50738932"/>
    <x v="1435"/>
    <s v="SE"/>
    <n v="478"/>
    <s v="Corporativo"/>
    <n v="1352"/>
    <s v="W10347207"/>
    <s v="Prateleiras"/>
    <x v="9"/>
    <n v="1000"/>
    <n v="5002359"/>
    <s v="EMPRESA BRASILEIRA DE CORREIOS E"/>
    <n v="52.4"/>
    <d v="2025-07-28T00:00:00"/>
  </r>
  <r>
    <n v="253926251"/>
    <n v="64687777"/>
    <s v="REB"/>
    <n v="9680624"/>
    <n v="671"/>
    <s v="DEV-ENVIADO PARA GESTÃO DE CONSEQUENCIA"/>
    <s v="TRANSPORTADORA"/>
    <x v="1"/>
    <n v="26939"/>
    <x v="126"/>
    <s v="PR"/>
    <n v="643"/>
    <s v="Elite"/>
    <n v="1350"/>
    <s v="W10849469"/>
    <s v="Bombas"/>
    <x v="1"/>
    <n v="2000"/>
    <n v="5003024"/>
    <s v="RODOBRAS TRANSPORTES RODOVIARIOS LT"/>
    <n v="52.39"/>
    <d v="2025-01-09T00:00:00"/>
  </r>
  <r>
    <s v="Sem TR"/>
    <n v="64796534"/>
    <s v="REB"/>
    <n v="10078533"/>
    <n v="509"/>
    <s v="Qtd de peças a Menor dentro do Volume"/>
    <s v="LOGÍSTICA"/>
    <x v="1"/>
    <n v="78757"/>
    <x v="50"/>
    <s v="RS"/>
    <n v="643"/>
    <s v="Elite"/>
    <n v="1350"/>
    <s v="W10714366"/>
    <s v="Válvulas de Água"/>
    <x v="5"/>
    <n v="1000"/>
    <n v="5002359"/>
    <s v="EMPRESA BRASILEIRA DE CORREIOS E"/>
    <n v="52.28"/>
    <d v="2025-06-24T00:00:00"/>
  </r>
  <r>
    <n v="254021261"/>
    <n v="64798916"/>
    <s v="ZRDI"/>
    <n v="10057136"/>
    <n v="208"/>
    <s v="DEV-Atraso entrega- LOGISTICA(Transp)"/>
    <s v="TRANSPORTADORA"/>
    <x v="2"/>
    <n v="58050055"/>
    <x v="1800"/>
    <s v="BA"/>
    <n v="466"/>
    <s v="Sup ML Marketplace"/>
    <n v="1352"/>
    <n v="326067736"/>
    <s v="Prateleiras"/>
    <x v="9"/>
    <n v="1000"/>
    <n v="5002359"/>
    <s v="EMPRESA BRASILEIRA DE CORREIOS E"/>
    <n v="52.22"/>
    <d v="2025-06-26T00:00:00"/>
  </r>
  <r>
    <n v="254018179"/>
    <n v="64789771"/>
    <s v="REB"/>
    <n v="9927252"/>
    <n v="176"/>
    <s v="PEÇAS - Defeito de fabric./Interrompido"/>
    <s v="FUNCIONAL"/>
    <x v="1"/>
    <n v="3506"/>
    <x v="46"/>
    <s v="SP"/>
    <n v="931"/>
    <s v="Ats Off"/>
    <n v="1350"/>
    <s v="W10741593"/>
    <s v="Resistências"/>
    <x v="1"/>
    <n v="1000"/>
    <n v="5004042"/>
    <s v="BRASIL WEB TRANSPORTES E LOGISTICA"/>
    <n v="52.21"/>
    <d v="2025-06-17T00:00:00"/>
  </r>
  <r>
    <n v="254031826"/>
    <n v="64792047"/>
    <s v="REB"/>
    <n v="9927252"/>
    <n v="176"/>
    <s v="PEÇAS - Defeito de fabric./Interrompido"/>
    <s v="FUNCIONAL"/>
    <x v="1"/>
    <n v="3506"/>
    <x v="46"/>
    <s v="SP"/>
    <n v="931"/>
    <s v="Ats Off"/>
    <n v="1350"/>
    <s v="W10741593"/>
    <s v="Resistências"/>
    <x v="1"/>
    <n v="1000"/>
    <n v="5004042"/>
    <s v="BRASIL WEB TRANSPORTES E LOGISTICA"/>
    <n v="52.21"/>
    <d v="2025-06-24T00:00:00"/>
  </r>
  <r>
    <s v="Sem TR"/>
    <n v="64771134"/>
    <s v="REB"/>
    <n v="10025021"/>
    <n v="509"/>
    <s v="Qtd de peças a Menor dentro do Volume"/>
    <s v="LOGÍSTICA"/>
    <x v="2"/>
    <n v="44762"/>
    <x v="1474"/>
    <s v="SP"/>
    <n v="641"/>
    <s v="CDP Diamante"/>
    <n v="1350"/>
    <s v="W10727681"/>
    <s v="Conexões Hidráulicas"/>
    <x v="10"/>
    <n v="2000"/>
    <n v="5002359"/>
    <s v="EMPRESA BRASILEIRA DE CORREIOS E"/>
    <n v="52.18"/>
    <d v="2025-05-15T00:00:00"/>
  </r>
  <r>
    <n v="254038293"/>
    <n v="64814871"/>
    <s v="REB"/>
    <n v="10091159"/>
    <n v="176"/>
    <s v="PEÇAS - Defeito de fabric./Interrompido"/>
    <s v="FUNCIONAL"/>
    <x v="1"/>
    <n v="4318"/>
    <x v="89"/>
    <s v="SC"/>
    <n v="931"/>
    <s v="Ats Off"/>
    <n v="1350"/>
    <s v="W10714366"/>
    <s v="Válvulas de Água"/>
    <x v="5"/>
    <n v="1000"/>
    <n v="5003024"/>
    <s v="RODOBRAS TRANSPORTES RODOVIARIOS LT"/>
    <n v="52.17"/>
    <d v="2025-07-22T00:00:00"/>
  </r>
  <r>
    <n v="254027360"/>
    <n v="64806764"/>
    <s v="ZRDI"/>
    <n v="10108297"/>
    <n v="208"/>
    <s v="DEV-Atraso entrega- LOGISTICA(Transp)"/>
    <s v="TRANSPORTADORA"/>
    <x v="2"/>
    <n v="58119444"/>
    <x v="1801"/>
    <s v="PE"/>
    <n v="474"/>
    <s v="Site Brastemp"/>
    <n v="1352"/>
    <s v="W10420716"/>
    <s v="Acessórios"/>
    <x v="7"/>
    <n v="1000"/>
    <n v="5002359"/>
    <s v="EMPRESA BRASILEIRA DE CORREIOS E"/>
    <n v="52.16"/>
    <d v="2025-07-07T00:00:00"/>
  </r>
  <r>
    <s v="Sem TR"/>
    <n v="64816394"/>
    <s v="ZRDI"/>
    <n v="10145462"/>
    <s v="D10"/>
    <s v="DEV D2C - Comprou modelo errado"/>
    <s v="COMERCIAL"/>
    <x v="2"/>
    <n v="58065527"/>
    <x v="1802"/>
    <s v="SP"/>
    <n v="474"/>
    <s v="Site Brastemp"/>
    <n v="1352"/>
    <s v="W10651145"/>
    <s v="Trempes"/>
    <x v="6"/>
    <n v="1000"/>
    <n v="5002359"/>
    <s v="EMPRESA BRASILEIRA DE CORREIOS E"/>
    <n v="52.16"/>
    <d v="2025-07-24T00:00:00"/>
  </r>
  <r>
    <n v="254027360"/>
    <n v="64806764"/>
    <s v="ZRDI"/>
    <n v="10108297"/>
    <n v="208"/>
    <s v="DEV-Atraso entrega- LOGISTICA(Transp)"/>
    <s v="TRANSPORTADORA"/>
    <x v="2"/>
    <n v="58119444"/>
    <x v="1801"/>
    <s v="PE"/>
    <n v="474"/>
    <s v="Site Brastemp"/>
    <n v="1352"/>
    <s v="W10420716"/>
    <s v="Acessórios"/>
    <x v="7"/>
    <n v="1000"/>
    <n v="5002359"/>
    <s v="EMPRESA BRASILEIRA DE CORREIOS E"/>
    <n v="52.16"/>
    <d v="2025-07-07T00:00:00"/>
  </r>
  <r>
    <s v="Sem TR"/>
    <n v="64816394"/>
    <s v="ZRDI"/>
    <n v="10145462"/>
    <s v="D10"/>
    <s v="DEV D2C - Comprou modelo errado"/>
    <s v="COMERCIAL"/>
    <x v="2"/>
    <n v="58065527"/>
    <x v="1802"/>
    <s v="SP"/>
    <n v="474"/>
    <s v="Site Brastemp"/>
    <n v="1352"/>
    <s v="W10651145"/>
    <s v="Trempes"/>
    <x v="6"/>
    <n v="1000"/>
    <n v="5002359"/>
    <s v="EMPRESA BRASILEIRA DE CORREIOS E"/>
    <n v="52.16"/>
    <d v="2025-07-24T00:00:00"/>
  </r>
  <r>
    <s v="Sem TR"/>
    <n v="64792208"/>
    <s v="ZRDI"/>
    <n v="10094216"/>
    <s v="D10"/>
    <s v="DEV D2C - Comprou modelo errado"/>
    <s v="COMERCIAL"/>
    <x v="2"/>
    <n v="57410007"/>
    <x v="1803"/>
    <s v="SC"/>
    <n v="475"/>
    <s v="Site Consul"/>
    <n v="1352"/>
    <s v="W10631030"/>
    <s v="Gaxetas"/>
    <x v="4"/>
    <n v="1000"/>
    <n v="5002359"/>
    <s v="EMPRESA BRASILEIRA DE CORREIOS E"/>
    <n v="52.08"/>
    <d v="2025-07-07T00:00:00"/>
  </r>
  <r>
    <n v="254018184"/>
    <n v="64793099"/>
    <s v="REB"/>
    <n v="9977854"/>
    <n v="176"/>
    <s v="PEÇAS - Defeito de fabric./Interrompido"/>
    <s v="FUNCIONAL"/>
    <x v="1"/>
    <n v="4318"/>
    <x v="89"/>
    <s v="SC"/>
    <n v="931"/>
    <s v="Ats Off"/>
    <n v="1350"/>
    <s v="W11344669"/>
    <s v="Válvulas de Água"/>
    <x v="5"/>
    <n v="1000"/>
    <n v="5003024"/>
    <s v="RODOBRAS TRANSPORTES RODOVIARIOS LT"/>
    <n v="52.01"/>
    <d v="2025-06-17T00:00:00"/>
  </r>
  <r>
    <n v="254020440"/>
    <n v="64798144"/>
    <s v="ZRDI"/>
    <n v="10049919"/>
    <n v="208"/>
    <s v="DEV-Atraso entrega- LOGISTICA(Transp)"/>
    <s v="TRANSPORTADORA"/>
    <x v="2"/>
    <n v="4525057"/>
    <x v="1804"/>
    <s v="RN"/>
    <n v="475"/>
    <s v="Site Consul"/>
    <n v="1352"/>
    <s v="W10515645"/>
    <s v="Filtros"/>
    <x v="5"/>
    <n v="1000"/>
    <n v="5002359"/>
    <s v="EMPRESA BRASILEIRA DE CORREIOS E"/>
    <n v="51.97"/>
    <d v="2025-06-25T00:00:00"/>
  </r>
  <r>
    <s v="Sem TR"/>
    <n v="64726081"/>
    <s v="ROB"/>
    <n v="9901094"/>
    <n v="671"/>
    <s v="DEV-ENVIADO PARA GESTÃO DE CONSEQUENCIA"/>
    <s v="TRANSPORTADORA"/>
    <x v="1"/>
    <n v="578"/>
    <x v="232"/>
    <s v="MG"/>
    <n v="350"/>
    <s v="Ats On"/>
    <n v="1350"/>
    <n v="708056705"/>
    <s v="Parafusos e afins"/>
    <x v="10"/>
    <n v="20000"/>
    <n v="5004101"/>
    <s v="UNIDOCK'S ASSESSORIA E LOGISTICA DE"/>
    <n v="51.97"/>
    <d v="2025-03-06T00:00:00"/>
  </r>
  <r>
    <n v="253956461"/>
    <n v="64732919"/>
    <s v="REB"/>
    <n v="9857733"/>
    <n v="671"/>
    <s v="DEV-ENVIADO PARA GESTÃO DE CONSEQUENCIA"/>
    <s v="TRANSPORTADORA"/>
    <x v="1"/>
    <n v="32856"/>
    <x v="60"/>
    <s v="PR"/>
    <n v="713"/>
    <s v="Key Account"/>
    <n v="1350"/>
    <s v="W10849470"/>
    <s v="Bombas"/>
    <x v="1"/>
    <n v="2000"/>
    <n v="5003024"/>
    <s v="RODOBRAS TRANSPORTES RODOVIARIOS LT"/>
    <n v="51.83"/>
    <d v="2025-03-17T00:00:00"/>
  </r>
  <r>
    <n v="253956461"/>
    <n v="64732919"/>
    <s v="REB"/>
    <n v="9857733"/>
    <n v="671"/>
    <s v="DEV-ENVIADO PARA GESTÃO DE CONSEQUENCIA"/>
    <s v="TRANSPORTADORA"/>
    <x v="1"/>
    <n v="32856"/>
    <x v="60"/>
    <s v="PR"/>
    <n v="713"/>
    <s v="Key Account"/>
    <n v="1350"/>
    <s v="W10849469"/>
    <s v="Bombas"/>
    <x v="1"/>
    <n v="2000"/>
    <n v="5003024"/>
    <s v="RODOBRAS TRANSPORTES RODOVIARIOS LT"/>
    <n v="51.83"/>
    <d v="2025-03-17T00:00:00"/>
  </r>
  <r>
    <n v="254003853"/>
    <n v="64778411"/>
    <s v="REB"/>
    <n v="9881718"/>
    <n v="176"/>
    <s v="PEÇAS - Defeito de fabric./Interrompido"/>
    <s v="FUNCIONAL"/>
    <x v="2"/>
    <n v="3506"/>
    <x v="46"/>
    <s v="SP"/>
    <n v="931"/>
    <s v="Ats Off"/>
    <n v="1350"/>
    <s v="W10399715"/>
    <s v="Motores Ventiladores"/>
    <x v="1"/>
    <n v="1000"/>
    <n v="5004042"/>
    <s v="BRASIL WEB TRANSPORTES E LOGISTICA"/>
    <n v="51.81"/>
    <d v="2025-05-26T00:00:00"/>
  </r>
  <r>
    <n v="253993283"/>
    <n v="64771123"/>
    <s v="ROB"/>
    <n v="10004919"/>
    <n v="182"/>
    <s v="PEÇAS - Extravio - Volume a menor"/>
    <s v="TRANSPORTADORA"/>
    <x v="1"/>
    <n v="4523"/>
    <x v="261"/>
    <s v="SC"/>
    <n v="350"/>
    <s v="Ats On"/>
    <n v="1350"/>
    <n v="326015414"/>
    <s v="Anéis de Vedação"/>
    <x v="4"/>
    <n v="4000"/>
    <n v="5003024"/>
    <s v="RODOBRAS TRANSPORTES RODOVIARIOS LT"/>
    <n v="51.75"/>
    <d v="2025-05-15T00:00:00"/>
  </r>
  <r>
    <n v="253981411"/>
    <n v="64757969"/>
    <s v="REB"/>
    <n v="9979853"/>
    <n v="167"/>
    <s v="PEÇAS - Avaria - Quebrada/Depósito"/>
    <s v="LOGÍSTICA"/>
    <x v="2"/>
    <n v="25656"/>
    <x v="173"/>
    <s v="SP"/>
    <n v="931"/>
    <s v="Ats Off"/>
    <n v="1350"/>
    <s v="W10285319"/>
    <s v="Prateleiras"/>
    <x v="9"/>
    <n v="1000"/>
    <n v="5004042"/>
    <s v="BRASIL WEB TRANSPORTES E LOGISTICA"/>
    <n v="51.69"/>
    <d v="2025-04-25T00:00:00"/>
  </r>
  <r>
    <n v="253913169"/>
    <n v="64670593"/>
    <s v="REB"/>
    <n v="9659572"/>
    <n v="671"/>
    <s v="DEV-ENVIADO PARA GESTÃO DE CONSEQUENCIA"/>
    <s v="TRANSPORTADORA"/>
    <x v="1"/>
    <n v="67948"/>
    <x v="15"/>
    <s v="SC"/>
    <n v="713"/>
    <s v="Key Account"/>
    <n v="1350"/>
    <s v="W11243456"/>
    <s v="Redes Elétricas"/>
    <x v="1"/>
    <n v="1000"/>
    <n v="5003024"/>
    <s v="RODOBRAS TRANSPORTES RODOVIARIOS LT"/>
    <n v="51.62"/>
    <d v="2025-01-06T00:00:00"/>
  </r>
  <r>
    <s v="Sem TR"/>
    <n v="64806904"/>
    <s v="ZRDI"/>
    <n v="10106751"/>
    <s v="D35"/>
    <s v="DEV D2C - Prod difere do comprado"/>
    <s v="COMERCIAL"/>
    <x v="2"/>
    <n v="4382397"/>
    <x v="1805"/>
    <s v="SP"/>
    <n v="478"/>
    <s v="Corporativo"/>
    <n v="1352"/>
    <s v="W10288100"/>
    <s v="Conexões Hidráulicas"/>
    <x v="10"/>
    <n v="5000"/>
    <n v="5002359"/>
    <s v="EMPRESA BRASILEIRA DE CORREIOS E"/>
    <n v="51.6"/>
    <d v="2025-07-08T00:00:00"/>
  </r>
  <r>
    <s v="Sem TR"/>
    <n v="64806904"/>
    <s v="ZRDI"/>
    <n v="10106751"/>
    <s v="D35"/>
    <s v="DEV D2C - Prod difere do comprado"/>
    <s v="COMERCIAL"/>
    <x v="2"/>
    <n v="4382397"/>
    <x v="1805"/>
    <s v="SP"/>
    <n v="478"/>
    <s v="Corporativo"/>
    <n v="1352"/>
    <s v="W10288100"/>
    <s v="Conexões Hidráulicas"/>
    <x v="10"/>
    <n v="5000"/>
    <n v="5002359"/>
    <s v="EMPRESA BRASILEIRA DE CORREIOS E"/>
    <n v="51.6"/>
    <d v="2025-07-08T00:00:00"/>
  </r>
  <r>
    <s v="Sem TR"/>
    <n v="64814246"/>
    <s v="ZRDI"/>
    <n v="10141743"/>
    <s v="D10"/>
    <s v="DEV D2C - Comprou modelo errado"/>
    <s v="COMERCIAL"/>
    <x v="2"/>
    <n v="5821619"/>
    <x v="531"/>
    <s v="SP"/>
    <n v="474"/>
    <s v="Site Brastemp"/>
    <n v="1352"/>
    <s v="W10420716"/>
    <s v="Acessórios"/>
    <x v="7"/>
    <n v="1000"/>
    <n v="5002359"/>
    <s v="EMPRESA BRASILEIRA DE CORREIOS E"/>
    <n v="51.5"/>
    <d v="2025-07-22T00:00:00"/>
  </r>
  <r>
    <s v="Sem TR"/>
    <n v="64814246"/>
    <s v="ZRDI"/>
    <n v="10141743"/>
    <s v="D10"/>
    <s v="DEV D2C - Comprou modelo errado"/>
    <s v="COMERCIAL"/>
    <x v="2"/>
    <n v="5821619"/>
    <x v="531"/>
    <s v="SP"/>
    <n v="474"/>
    <s v="Site Brastemp"/>
    <n v="1352"/>
    <s v="W10420716"/>
    <s v="Acessórios"/>
    <x v="7"/>
    <n v="1000"/>
    <n v="5002359"/>
    <s v="EMPRESA BRASILEIRA DE CORREIOS E"/>
    <n v="51.5"/>
    <d v="2025-07-22T00:00:00"/>
  </r>
  <r>
    <s v="Sem TR"/>
    <n v="64799693"/>
    <s v="ZRDI"/>
    <n v="10048357"/>
    <s v="D25"/>
    <s v="DEV D2C - Prob na entrega (Não recebi)"/>
    <s v="TRANSPORTADORA"/>
    <x v="2"/>
    <n v="58005085"/>
    <x v="1766"/>
    <s v="SP"/>
    <n v="475"/>
    <s v="Site Consul"/>
    <n v="1352"/>
    <s v="W10212401"/>
    <s v="Prateleiras"/>
    <x v="9"/>
    <n v="1000"/>
    <n v="5003972"/>
    <s v="ICARO EXPRESS LOGISTICA LTDA"/>
    <n v="51.33"/>
    <d v="2025-06-27T00:00:00"/>
  </r>
  <r>
    <s v="Sem TR"/>
    <n v="64799693"/>
    <s v="ZRDI"/>
    <n v="10048357"/>
    <s v="D25"/>
    <s v="DEV D2C - Prob na entrega (Não recebi)"/>
    <s v="TRANSPORTADORA"/>
    <x v="2"/>
    <n v="58005085"/>
    <x v="1766"/>
    <s v="SP"/>
    <n v="475"/>
    <s v="Site Consul"/>
    <n v="1352"/>
    <s v="W10212401"/>
    <s v="Prateleiras"/>
    <x v="9"/>
    <n v="1000"/>
    <n v="5003972"/>
    <s v="ICARO EXPRESS LOGISTICA LTDA"/>
    <n v="51.33"/>
    <d v="2025-06-27T00:00:00"/>
  </r>
  <r>
    <n v="253961194"/>
    <n v="64737406"/>
    <s v="REB"/>
    <n v="9920942"/>
    <n v="90"/>
    <s v="CLIENTE-não solicitou"/>
    <s v="COMERCIAL"/>
    <x v="1"/>
    <n v="2159"/>
    <x v="156"/>
    <s v="MG"/>
    <n v="350"/>
    <s v="Ats On"/>
    <n v="1350"/>
    <s v="W10882241"/>
    <s v="Agitadores"/>
    <x v="2"/>
    <n v="1000"/>
    <n v="5004215"/>
    <s v="BRASIL WEB TRANSPORTES E LOGISTICA"/>
    <n v="51.29"/>
    <d v="2025-03-24T00:00:00"/>
  </r>
  <r>
    <s v="Sem TR"/>
    <n v="64798501"/>
    <s v="ZRDI"/>
    <n v="10098599"/>
    <s v="D11"/>
    <s v="DEV D2C - Comprou prod dimensão errada"/>
    <s v="COMERCIAL"/>
    <x v="2"/>
    <n v="58105096"/>
    <x v="1806"/>
    <s v="RJ"/>
    <n v="475"/>
    <s v="Site Consul"/>
    <n v="1352"/>
    <s v="W11189405"/>
    <s v="Filtros"/>
    <x v="5"/>
    <n v="1000"/>
    <n v="5002359"/>
    <s v="EMPRESA BRASILEIRA DE CORREIOS E"/>
    <n v="51.22"/>
    <d v="2025-06-27T00:00:00"/>
  </r>
  <r>
    <s v="Sem TR"/>
    <n v="64798501"/>
    <s v="ZRDI"/>
    <n v="10098599"/>
    <s v="D11"/>
    <s v="DEV D2C - Comprou prod dimensão errada"/>
    <s v="COMERCIAL"/>
    <x v="2"/>
    <n v="58105096"/>
    <x v="1806"/>
    <s v="RJ"/>
    <n v="475"/>
    <s v="Site Consul"/>
    <n v="1352"/>
    <s v="W11189405"/>
    <s v="Filtros"/>
    <x v="5"/>
    <n v="1000"/>
    <n v="5002359"/>
    <s v="EMPRESA BRASILEIRA DE CORREIOS E"/>
    <n v="51.22"/>
    <d v="2025-06-27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477178"/>
    <s v="Capas"/>
    <x v="6"/>
    <n v="2000"/>
    <n v="5004101"/>
    <s v="UNIDOCK'S ASSESSORIA E LOGISTICA DE"/>
    <n v="51.2"/>
    <d v="2025-07-29T00:00:00"/>
  </r>
  <r>
    <s v="Sem TR"/>
    <n v="64802340"/>
    <s v="ZRDI"/>
    <n v="10082569"/>
    <s v="D31"/>
    <s v="DEV D2C - Defeito estético manufatura"/>
    <s v="MANUFATURA"/>
    <x v="2"/>
    <n v="55283564"/>
    <x v="1034"/>
    <s v="MG"/>
    <n v="475"/>
    <s v="Site Consul"/>
    <n v="1352"/>
    <s v="W10476183"/>
    <s v="Prateleiras"/>
    <x v="9"/>
    <n v="1000"/>
    <n v="5002359"/>
    <s v="EMPRESA BRASILEIRA DE CORREIOS E"/>
    <n v="51.17"/>
    <d v="2025-07-01T00:00:00"/>
  </r>
  <r>
    <n v="254038159"/>
    <n v="64816129"/>
    <s v="ZRDI"/>
    <n v="10100647"/>
    <n v="208"/>
    <s v="DEV-Atraso entrega- LOGISTICA(Transp)"/>
    <s v="TRANSPORTADORA"/>
    <x v="2"/>
    <n v="58110208"/>
    <x v="1807"/>
    <s v="MA"/>
    <n v="474"/>
    <s v="Site Brastemp"/>
    <n v="1352"/>
    <s v="W11213068"/>
    <s v="Acessórios"/>
    <x v="7"/>
    <n v="1000"/>
    <n v="5002359"/>
    <s v="EMPRESA BRASILEIRA DE CORREIOS E"/>
    <n v="51.13"/>
    <d v="2025-07-23T00:00:00"/>
  </r>
  <r>
    <n v="254038159"/>
    <n v="64816129"/>
    <s v="ZRDI"/>
    <n v="10100647"/>
    <n v="208"/>
    <s v="DEV-Atraso entrega- LOGISTICA(Transp)"/>
    <s v="TRANSPORTADORA"/>
    <x v="2"/>
    <n v="58110208"/>
    <x v="1807"/>
    <s v="MA"/>
    <n v="474"/>
    <s v="Site Brastemp"/>
    <n v="1352"/>
    <s v="W11213068"/>
    <s v="Acessórios"/>
    <x v="7"/>
    <n v="1000"/>
    <n v="5002359"/>
    <s v="EMPRESA BRASILEIRA DE CORREIOS E"/>
    <n v="51.13"/>
    <d v="2025-07-23T00:00:00"/>
  </r>
  <r>
    <n v="254024146"/>
    <n v="64803798"/>
    <s v="ZRDI"/>
    <n v="10085280"/>
    <n v="208"/>
    <s v="DEV-Atraso entrega- LOGISTICA(Transp)"/>
    <s v="TRANSPORTADORA"/>
    <x v="2"/>
    <n v="58084928"/>
    <x v="1808"/>
    <s v="RJ"/>
    <n v="466"/>
    <s v="Sup ML Marketplace"/>
    <n v="1352"/>
    <s v="W11189405"/>
    <s v="Filtros"/>
    <x v="5"/>
    <n v="1000"/>
    <n v="5002359"/>
    <s v="EMPRESA BRASILEIRA DE CORREIOS E"/>
    <n v="51.12"/>
    <d v="2025-07-01T00:00:00"/>
  </r>
  <r>
    <n v="254007533"/>
    <n v="64782435"/>
    <s v="REB"/>
    <n v="9953811"/>
    <n v="173"/>
    <s v="PEÇAS - Defeito de fabric./Alta Amperage"/>
    <s v="FUNCIONAL"/>
    <x v="2"/>
    <n v="13757"/>
    <x v="14"/>
    <s v="SP"/>
    <n v="713"/>
    <s v="Key Account"/>
    <n v="1350"/>
    <s v="W10168510"/>
    <s v="Motores Ventiladores"/>
    <x v="1"/>
    <n v="1000"/>
    <n v="5004042"/>
    <s v="BRASIL WEB TRANSPORTES E LOGISTICA"/>
    <n v="51.02"/>
    <d v="2025-06-02T00:00:00"/>
  </r>
  <r>
    <n v="254003950"/>
    <n v="64777871"/>
    <s v="REB"/>
    <n v="9999334"/>
    <n v="176"/>
    <s v="PEÇAS - Defeito de fabric./Interrompido"/>
    <s v="FUNCIONAL"/>
    <x v="1"/>
    <n v="31738"/>
    <x v="412"/>
    <s v="RN"/>
    <n v="933"/>
    <s v="Top"/>
    <n v="1350"/>
    <s v="W10796892"/>
    <s v="Agitadores"/>
    <x v="2"/>
    <n v="1000"/>
    <n v="5004101"/>
    <s v="UNIDOCK'S ASSESSORIA E LOGISTICA DE"/>
    <n v="51"/>
    <d v="2025-05-26T00:00:00"/>
  </r>
  <r>
    <n v="254042088"/>
    <n v="64795426"/>
    <s v="REB"/>
    <n v="9967934"/>
    <n v="173"/>
    <s v="PEÇAS - Defeito de fabric./Alta Amperage"/>
    <s v="FUNCIONAL"/>
    <x v="0"/>
    <n v="70555"/>
    <x v="150"/>
    <s v="SC"/>
    <n v="648"/>
    <s v="Ultra"/>
    <n v="1350"/>
    <s v="W10630758"/>
    <s v="Resistências"/>
    <x v="1"/>
    <n v="1000"/>
    <n v="5003024"/>
    <s v="RODOBRAS TRANSPORTES RODOVIARIOS LT"/>
    <n v="50.94"/>
    <d v="2025-06-23T00:00:00"/>
  </r>
  <r>
    <s v="Sem TR"/>
    <n v="64811208"/>
    <s v="ZRDI"/>
    <n v="10134552"/>
    <s v="D18"/>
    <s v="DEV D2C - Arrependimento não quero mais"/>
    <s v="COMERCIAL"/>
    <x v="2"/>
    <n v="52907541"/>
    <x v="1809"/>
    <s v="SP"/>
    <n v="474"/>
    <s v="Site Brastemp"/>
    <n v="1352"/>
    <n v="326026625"/>
    <s v="Outros"/>
    <x v="7"/>
    <n v="1000"/>
    <n v="5003972"/>
    <s v="ICARO EXPRESS LOGISTICA LTDA"/>
    <n v="50.84"/>
    <d v="2025-07-19T00:00:00"/>
  </r>
  <r>
    <s v="Sem TR"/>
    <n v="64811208"/>
    <s v="ZRDI"/>
    <n v="10134552"/>
    <s v="D18"/>
    <s v="DEV D2C - Arrependimento não quero mais"/>
    <s v="COMERCIAL"/>
    <x v="2"/>
    <n v="52907541"/>
    <x v="1809"/>
    <s v="SP"/>
    <n v="474"/>
    <s v="Site Brastemp"/>
    <n v="1352"/>
    <n v="326026625"/>
    <s v="Outros"/>
    <x v="7"/>
    <n v="1000"/>
    <n v="5003972"/>
    <s v="ICARO EXPRESS LOGISTICA LTDA"/>
    <n v="50.84"/>
    <d v="2025-07-19T00:00:00"/>
  </r>
  <r>
    <s v="Sem TR"/>
    <n v="64799371"/>
    <s v="ZRDI"/>
    <n v="10093683"/>
    <s v="D10"/>
    <s v="DEV D2C - Comprou modelo errado"/>
    <s v="COMERCIAL"/>
    <x v="2"/>
    <n v="50138425"/>
    <x v="1810"/>
    <s v="MG"/>
    <n v="474"/>
    <s v="Site Brastemp"/>
    <n v="1352"/>
    <s v="W10420716"/>
    <s v="Acessórios"/>
    <x v="7"/>
    <n v="1000"/>
    <n v="5002359"/>
    <s v="EMPRESA BRASILEIRA DE CORREIOS E"/>
    <n v="50.79"/>
    <d v="2025-06-30T00:00:00"/>
  </r>
  <r>
    <n v="254038294"/>
    <n v="64814909"/>
    <s v="REB"/>
    <n v="9964570"/>
    <n v="176"/>
    <s v="PEÇAS - Defeito de fabric./Interrompido"/>
    <s v="FUNCIONAL"/>
    <x v="1"/>
    <n v="4318"/>
    <x v="89"/>
    <s v="SC"/>
    <n v="931"/>
    <s v="Ats Off"/>
    <n v="1350"/>
    <s v="W10364740"/>
    <s v="Placas de Interface"/>
    <x v="1"/>
    <n v="1000"/>
    <n v="5003024"/>
    <s v="RODOBRAS TRANSPORTES RODOVIARIOS LT"/>
    <n v="50.74"/>
    <d v="2025-07-22T00:00:00"/>
  </r>
  <r>
    <n v="254033938"/>
    <n v="64812466"/>
    <s v="ZRDI"/>
    <n v="10090972"/>
    <n v="208"/>
    <s v="DEV-Atraso entrega- LOGISTICA(Transp)"/>
    <s v="TRANSPORTADORA"/>
    <x v="2"/>
    <n v="58093313"/>
    <x v="1811"/>
    <s v="MG"/>
    <n v="475"/>
    <s v="Site Consul"/>
    <n v="1352"/>
    <s v="W10515645"/>
    <s v="Filtros"/>
    <x v="5"/>
    <n v="1000"/>
    <n v="5002359"/>
    <s v="EMPRESA BRASILEIRA DE CORREIOS E"/>
    <n v="50.69"/>
    <d v="2025-07-17T00:00:00"/>
  </r>
  <r>
    <s v="Sem TR"/>
    <n v="64778460"/>
    <s v="ZRDI"/>
    <n v="9996553"/>
    <s v="D35"/>
    <s v="DEV D2C - Prod difere do comprado"/>
    <s v="COMERCIAL"/>
    <x v="2"/>
    <n v="54548768"/>
    <x v="1812"/>
    <s v="RJ"/>
    <n v="474"/>
    <s v="Site Brastemp"/>
    <n v="1352"/>
    <s v="W11384823"/>
    <s v="Manípulos"/>
    <x v="6"/>
    <n v="2000"/>
    <n v="5002359"/>
    <s v="EMPRESA BRASILEIRA DE CORREIOS E"/>
    <n v="50.66"/>
    <d v="2025-05-27T00:00:00"/>
  </r>
  <r>
    <s v="Sem TR"/>
    <n v="64778460"/>
    <s v="ZRDI"/>
    <n v="9996553"/>
    <s v="D35"/>
    <s v="DEV D2C - Prod difere do comprado"/>
    <s v="COMERCIAL"/>
    <x v="2"/>
    <n v="54548768"/>
    <x v="1812"/>
    <s v="RJ"/>
    <n v="474"/>
    <s v="Site Brastemp"/>
    <n v="1352"/>
    <s v="W11384823"/>
    <s v="Manípulos"/>
    <x v="6"/>
    <n v="2000"/>
    <n v="5002359"/>
    <s v="EMPRESA BRASILEIRA DE CORREIOS E"/>
    <n v="50.66"/>
    <d v="2025-05-27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455517"/>
    <s v="Prateleiras"/>
    <x v="9"/>
    <n v="1000"/>
    <n v="5002359"/>
    <s v="EMPRESA BRASILEIRA DE CORREIOS E"/>
    <n v="50.63"/>
    <d v="2025-07-26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455517"/>
    <s v="Prateleiras"/>
    <x v="9"/>
    <n v="1000"/>
    <n v="5002359"/>
    <s v="EMPRESA BRASILEIRA DE CORREIOS E"/>
    <n v="50.63"/>
    <d v="2025-07-26T00:00:00"/>
  </r>
  <r>
    <n v="253948453"/>
    <n v="64725687"/>
    <s v="REB"/>
    <n v="9840914"/>
    <n v="167"/>
    <s v="PEÇAS - Avaria - Quebrada/Depósito"/>
    <s v="LOGÍSTICA"/>
    <x v="1"/>
    <n v="8975"/>
    <x v="90"/>
    <s v="MA"/>
    <n v="931"/>
    <s v="Ats Off"/>
    <n v="1350"/>
    <s v="W10287534"/>
    <s v="Prateleiras"/>
    <x v="9"/>
    <n v="2000"/>
    <n v="5004101"/>
    <s v="UNIDOCK'S ASSESSORIA E LOGISTICA DE"/>
    <n v="50.62"/>
    <d v="2025-03-07T00:00:00"/>
  </r>
  <r>
    <n v="253903251"/>
    <n v="64664471"/>
    <s v="REB"/>
    <n v="9746826"/>
    <n v="671"/>
    <s v="DEV-ENVIADO PARA GESTÃO DE CONSEQUENCIA"/>
    <s v="TRANSPORTADORA"/>
    <x v="1"/>
    <n v="76076"/>
    <x v="449"/>
    <s v="RS"/>
    <n v="931"/>
    <s v="Ats Off"/>
    <n v="1350"/>
    <n v="326047477"/>
    <s v="Gavetas"/>
    <x v="9"/>
    <n v="1000"/>
    <n v="5003024"/>
    <s v="RODOBRAS TRANSPORTES RODOVIARIOS LT"/>
    <n v="50.61"/>
    <d v="2024-12-16T00:00:00"/>
  </r>
  <r>
    <n v="254012433"/>
    <n v="64789510"/>
    <s v="REB"/>
    <n v="10048594"/>
    <n v="176"/>
    <s v="PEÇAS - Defeito de fabric./Interrompido"/>
    <s v="FUNCIONAL"/>
    <x v="2"/>
    <n v="66"/>
    <x v="73"/>
    <s v="GO"/>
    <n v="931"/>
    <s v="Ats Off"/>
    <n v="1350"/>
    <s v="W10706216"/>
    <s v="Válvulas de Segurança"/>
    <x v="12"/>
    <n v="1000"/>
    <n v="5002858"/>
    <s v="FAVORITA TRANSPORTES LTDA"/>
    <n v="50.55"/>
    <d v="2025-06-10T00:00:00"/>
  </r>
  <r>
    <s v="Sem TR"/>
    <n v="64768032"/>
    <s v="ROB"/>
    <n v="9978262"/>
    <n v="671"/>
    <s v="DEV-ENVIADO PARA GESTÃO DE CONSEQUENCIA"/>
    <s v="TRANSPORTADORA"/>
    <x v="1"/>
    <n v="28888"/>
    <x v="1423"/>
    <s v="SC"/>
    <n v="350"/>
    <s v="Ats On"/>
    <n v="1350"/>
    <s v="W10742654"/>
    <s v="Motores Ventiladores"/>
    <x v="1"/>
    <n v="1000"/>
    <n v="5003024"/>
    <s v="RODOBRAS TRANSPORTES RODOVIARIOS LT"/>
    <n v="50.55"/>
    <d v="2025-05-29T00:00:00"/>
  </r>
  <r>
    <n v="253961312"/>
    <n v="64733800"/>
    <s v="REB"/>
    <n v="9905339"/>
    <n v="167"/>
    <s v="PEÇAS - Avaria - Quebrada/Depósito"/>
    <s v="LOGÍSTICA"/>
    <x v="1"/>
    <n v="30847"/>
    <x v="87"/>
    <s v="SP"/>
    <n v="644"/>
    <s v="Plus"/>
    <n v="1350"/>
    <n v="326030492"/>
    <s v="Gavetas"/>
    <x v="9"/>
    <n v="1000"/>
    <n v="5004042"/>
    <s v="BRASIL WEB TRANSPORTES E LOGISTICA"/>
    <n v="50.53"/>
    <d v="2025-03-24T00:00:00"/>
  </r>
  <r>
    <n v="253915595"/>
    <n v="64687573"/>
    <s v="REB"/>
    <n v="9418821"/>
    <n v="176"/>
    <s v="PEÇAS - Defeito de fabric./Interrompido"/>
    <s v="FUNCIONAL"/>
    <x v="1"/>
    <n v="32455"/>
    <x v="92"/>
    <s v="SP"/>
    <n v="648"/>
    <s v="Ultra"/>
    <n v="1350"/>
    <s v="W10764578"/>
    <s v="Conjunto Varetas"/>
    <x v="8"/>
    <n v="1000"/>
    <n v="5003482"/>
    <s v="TMA TRANSPORTE LOTACAO E LOGISTICA"/>
    <n v="50.49"/>
    <d v="2025-01-09T00:00:00"/>
  </r>
  <r>
    <n v="254032522"/>
    <n v="64811486"/>
    <s v="ZRDI"/>
    <n v="10096042"/>
    <n v="208"/>
    <s v="DEV-Atraso entrega- LOGISTICA(Transp)"/>
    <s v="TRANSPORTADORA"/>
    <x v="2"/>
    <n v="58101803"/>
    <x v="1813"/>
    <s v="ES"/>
    <n v="474"/>
    <s v="Site Brastemp"/>
    <n v="1352"/>
    <s v="W11663004"/>
    <s v="Outros"/>
    <x v="7"/>
    <n v="1000"/>
    <n v="5002359"/>
    <s v="EMPRESA BRASILEIRA DE CORREIOS E"/>
    <n v="50.45"/>
    <d v="2025-07-16T00:00:00"/>
  </r>
  <r>
    <n v="253970943"/>
    <n v="64736077"/>
    <s v="REB"/>
    <n v="9952990"/>
    <n v="167"/>
    <s v="PEÇAS - Avaria - Quebrada/Depósito"/>
    <s v="LOGÍSTICA"/>
    <x v="1"/>
    <n v="75752"/>
    <x v="74"/>
    <s v="PR"/>
    <n v="648"/>
    <s v="Ultra"/>
    <n v="1350"/>
    <s v="W10287534"/>
    <s v="Prateleiras"/>
    <x v="9"/>
    <n v="2000"/>
    <n v="5003024"/>
    <s v="RODOBRAS TRANSPORTES RODOVIARIOS LT"/>
    <n v="50.44"/>
    <d v="2025-04-09T00:00:00"/>
  </r>
  <r>
    <n v="254035430"/>
    <n v="64807826"/>
    <s v="REB"/>
    <n v="10108768"/>
    <n v="167"/>
    <s v="PEÇAS - Avaria - Quebrada/Depósito"/>
    <s v="LOGÍSTICA"/>
    <x v="0"/>
    <n v="75752"/>
    <x v="74"/>
    <s v="PR"/>
    <n v="648"/>
    <s v="Ultra"/>
    <n v="1350"/>
    <s v="W10287534"/>
    <s v="Prateleiras"/>
    <x v="9"/>
    <n v="2000"/>
    <n v="5003024"/>
    <s v="RODOBRAS TRANSPORTES RODOVIARIOS LT"/>
    <n v="50.44"/>
    <d v="2025-07-17T00:00:00"/>
  </r>
  <r>
    <s v="Sem TR"/>
    <n v="64764124"/>
    <s v="ROB"/>
    <n v="50531"/>
    <n v="671"/>
    <s v="DEV-ENVIADO PARA GESTÃO DE CONSEQUENCIA"/>
    <s v="TRANSPORTADORA"/>
    <x v="2"/>
    <n v="34150"/>
    <x v="301"/>
    <s v="BA"/>
    <n v="350"/>
    <s v="Ats On"/>
    <n v="1550"/>
    <s v="W10310999"/>
    <s v="Motores Ventiladores"/>
    <x v="1"/>
    <n v="1000"/>
    <n v="5004391"/>
    <s v="JEONCEL TRANSPORTES LTDA"/>
    <n v="50.3"/>
    <d v="2025-05-05T00:00:00"/>
  </r>
  <r>
    <n v="254027639"/>
    <n v="64807241"/>
    <s v="ROB"/>
    <n v="10115324"/>
    <n v="240"/>
    <s v="DEV-Avaria - 2 trecho transp - Produto"/>
    <s v="QUALIDADE"/>
    <x v="0"/>
    <n v="67852"/>
    <x v="784"/>
    <s v="MT"/>
    <n v="350"/>
    <s v="Ats On"/>
    <n v="1350"/>
    <s v="W11369860"/>
    <s v="Motores Ventiladores"/>
    <x v="1"/>
    <n v="1000"/>
    <n v="5002573"/>
    <s v="CARVALIMA TRANSPORTES LTDA"/>
    <n v="50.27"/>
    <d v="2025-07-08T00:00:00"/>
  </r>
  <r>
    <n v="253970717"/>
    <n v="64748857"/>
    <s v="REB"/>
    <n v="9853586"/>
    <n v="177"/>
    <s v="PEÇAS - Defeito de fabric./Ruído"/>
    <s v="FUNCIONAL"/>
    <x v="1"/>
    <n v="4318"/>
    <x v="89"/>
    <s v="SC"/>
    <n v="931"/>
    <s v="Ats Off"/>
    <n v="1350"/>
    <s v="W11448418"/>
    <s v="Polias/Roldanas"/>
    <x v="2"/>
    <n v="6000"/>
    <n v="5003024"/>
    <s v="RODOBRAS TRANSPORTES RODOVIARIOS LT"/>
    <n v="50.26"/>
    <d v="2025-04-09T00:00:00"/>
  </r>
  <r>
    <n v="254024681"/>
    <n v="64804774"/>
    <s v="ZRDI"/>
    <n v="10014658"/>
    <n v="208"/>
    <s v="DEV-Atraso entrega- LOGISTICA(Transp)"/>
    <s v="TRANSPORTADORA"/>
    <x v="2"/>
    <n v="58001013"/>
    <x v="1814"/>
    <s v="CE"/>
    <n v="475"/>
    <s v="Site Consul"/>
    <n v="1352"/>
    <s v="W10515645"/>
    <s v="Filtros"/>
    <x v="5"/>
    <n v="1000"/>
    <n v="5002359"/>
    <s v="EMPRESA BRASILEIRA DE CORREIOS E"/>
    <n v="50.25"/>
    <d v="2025-07-02T00:00:00"/>
  </r>
  <r>
    <n v="254032509"/>
    <n v="64811473"/>
    <s v="ZRDI"/>
    <n v="10084498"/>
    <n v="208"/>
    <s v="DEV-Atraso entrega- LOGISTICA(Transp)"/>
    <s v="TRANSPORTADORA"/>
    <x v="2"/>
    <n v="52885607"/>
    <x v="733"/>
    <s v="GO"/>
    <n v="474"/>
    <s v="Site Brastemp"/>
    <n v="1352"/>
    <s v="W10420716"/>
    <s v="Acessórios"/>
    <x v="7"/>
    <n v="1000"/>
    <n v="5002359"/>
    <s v="EMPRESA BRASILEIRA DE CORREIOS E"/>
    <n v="50.21"/>
    <d v="2025-07-16T00:00:00"/>
  </r>
  <r>
    <n v="254018350"/>
    <n v="64792287"/>
    <s v="REB"/>
    <n v="10069938"/>
    <n v="170"/>
    <s v="PEÇAS - Avaria - Riscada/Depósito"/>
    <s v="LOGÍSTICA"/>
    <x v="2"/>
    <n v="69085"/>
    <x v="178"/>
    <s v="SP"/>
    <n v="641"/>
    <s v="CDP Diamante"/>
    <n v="1350"/>
    <n v="326030492"/>
    <s v="Gavetas"/>
    <x v="9"/>
    <n v="1000"/>
    <n v="5004042"/>
    <s v="BRASIL WEB TRANSPORTES E LOGISTICA"/>
    <n v="50.17"/>
    <d v="2025-06-16T00:00:00"/>
  </r>
  <r>
    <s v="Sem TR"/>
    <n v="64810571"/>
    <s v="REB"/>
    <n v="10138225"/>
    <n v="509"/>
    <s v="Qtd de peças a Menor dentro do Volume"/>
    <s v="LOGÍSTICA"/>
    <x v="1"/>
    <n v="2424"/>
    <x v="338"/>
    <s v="RJ"/>
    <n v="350"/>
    <s v="Ats On"/>
    <n v="1350"/>
    <s v="W11109516"/>
    <s v="Prateleiras"/>
    <x v="9"/>
    <n v="1000"/>
    <n v="5002359"/>
    <s v="EMPRESA BRASILEIRA DE CORREIOS E"/>
    <n v="50.1"/>
    <d v="2025-07-22T00:00:00"/>
  </r>
  <r>
    <n v="254033945"/>
    <n v="64812478"/>
    <s v="ZRDI"/>
    <n v="10093961"/>
    <n v="208"/>
    <s v="DEV-Atraso entrega- LOGISTICA(Transp)"/>
    <s v="TRANSPORTADORA"/>
    <x v="2"/>
    <n v="58096728"/>
    <x v="1815"/>
    <s v="GO"/>
    <n v="466"/>
    <s v="Sup ML Marketplace"/>
    <n v="1352"/>
    <s v="W11375416"/>
    <s v="Tampas Móveis"/>
    <x v="6"/>
    <n v="1000"/>
    <n v="5002359"/>
    <s v="EMPRESA BRASILEIRA DE CORREIOS E"/>
    <n v="50.06"/>
    <d v="2025-07-17T00:00:00"/>
  </r>
  <r>
    <s v="Sem TR"/>
    <n v="64812683"/>
    <s v="REB"/>
    <n v="10085406"/>
    <n v="509"/>
    <s v="Qtd de peças a Menor dentro do Volume"/>
    <s v="LOGÍSTICA"/>
    <x v="1"/>
    <n v="30990"/>
    <x v="26"/>
    <s v="ES"/>
    <n v="713"/>
    <s v="Key Account"/>
    <n v="1350"/>
    <s v="W11363944"/>
    <s v="Capas"/>
    <x v="6"/>
    <n v="2000"/>
    <n v="5002359"/>
    <s v="EMPRESA BRASILEIRA DE CORREIOS E"/>
    <n v="50.02"/>
    <d v="2025-07-17T00:00:00"/>
  </r>
  <r>
    <s v="Sem TR"/>
    <n v="64817046"/>
    <s v="ZRDI"/>
    <n v="10134575"/>
    <s v="D10"/>
    <s v="DEV D2C - Comprou modelo errado"/>
    <s v="COMERCIAL"/>
    <x v="2"/>
    <n v="58149391"/>
    <x v="1198"/>
    <s v="SP"/>
    <n v="475"/>
    <s v="Site Consul"/>
    <n v="1352"/>
    <s v="W11374521"/>
    <s v="Suportes"/>
    <x v="6"/>
    <n v="1000"/>
    <n v="5002359"/>
    <s v="EMPRESA BRASILEIRA DE CORREIOS E"/>
    <n v="49.98"/>
    <d v="2025-07-25T00:00:00"/>
  </r>
  <r>
    <s v="Sem TR"/>
    <n v="64817046"/>
    <s v="ZRDI"/>
    <n v="10134575"/>
    <s v="D10"/>
    <s v="DEV D2C - Comprou modelo errado"/>
    <s v="COMERCIAL"/>
    <x v="2"/>
    <n v="58149391"/>
    <x v="1198"/>
    <s v="SP"/>
    <n v="475"/>
    <s v="Site Consul"/>
    <n v="1352"/>
    <s v="W11374521"/>
    <s v="Suportes"/>
    <x v="6"/>
    <n v="1000"/>
    <n v="5002359"/>
    <s v="EMPRESA BRASILEIRA DE CORREIOS E"/>
    <n v="49.98"/>
    <d v="2025-07-25T00:00:00"/>
  </r>
  <r>
    <s v="Sem TR"/>
    <n v="64808443"/>
    <s v="ZRDI"/>
    <n v="10100946"/>
    <s v="D10"/>
    <s v="DEV D2C - Comprou modelo errado"/>
    <s v="COMERCIAL"/>
    <x v="2"/>
    <n v="52835785"/>
    <x v="1816"/>
    <s v="RJ"/>
    <n v="474"/>
    <s v="Site Brastemp"/>
    <n v="1352"/>
    <s v="W10455517"/>
    <s v="Prateleiras"/>
    <x v="9"/>
    <n v="1000"/>
    <n v="5002359"/>
    <s v="EMPRESA BRASILEIRA DE CORREIOS E"/>
    <n v="49.92"/>
    <d v="2025-07-11T00:00:00"/>
  </r>
  <r>
    <n v="254003869"/>
    <n v="64777874"/>
    <s v="REB"/>
    <n v="10029772"/>
    <n v="104"/>
    <s v="PEÇAS-Código trocado(embalag X conteúdo)"/>
    <s v="LOGÍSTICA"/>
    <x v="1"/>
    <n v="9991"/>
    <x v="86"/>
    <s v="DF"/>
    <n v="648"/>
    <s v="Ultra"/>
    <n v="1350"/>
    <s v="W10268576"/>
    <s v="Gaxetas"/>
    <x v="4"/>
    <n v="1000"/>
    <n v="5002858"/>
    <s v="FAVORITA TRANSPORTES LTDA"/>
    <n v="49.88"/>
    <d v="2025-05-26T00:00:00"/>
  </r>
  <r>
    <n v="254032580"/>
    <n v="64811521"/>
    <s v="ZRDI"/>
    <n v="10112324"/>
    <n v="208"/>
    <s v="DEV-Atraso entrega- LOGISTICA(Transp)"/>
    <s v="TRANSPORTADORA"/>
    <x v="2"/>
    <n v="4302422"/>
    <x v="1513"/>
    <s v="PB"/>
    <n v="475"/>
    <s v="Site Consul"/>
    <n v="1352"/>
    <s v="W10515645"/>
    <s v="Filtros"/>
    <x v="5"/>
    <n v="1000"/>
    <n v="5002359"/>
    <s v="EMPRESA BRASILEIRA DE CORREIOS E"/>
    <n v="49.82"/>
    <d v="2025-07-16T00:00:00"/>
  </r>
  <r>
    <n v="254032580"/>
    <n v="64811521"/>
    <s v="ZRDI"/>
    <n v="10112324"/>
    <n v="208"/>
    <s v="DEV-Atraso entrega- LOGISTICA(Transp)"/>
    <s v="TRANSPORTADORA"/>
    <x v="2"/>
    <n v="4302422"/>
    <x v="1513"/>
    <s v="PB"/>
    <n v="475"/>
    <s v="Site Consul"/>
    <n v="1352"/>
    <s v="W10515645"/>
    <s v="Filtros"/>
    <x v="5"/>
    <n v="1000"/>
    <n v="5002359"/>
    <s v="EMPRESA BRASILEIRA DE CORREIOS E"/>
    <n v="49.82"/>
    <d v="2025-07-16T00:00:00"/>
  </r>
  <r>
    <n v="253995236"/>
    <n v="64768331"/>
    <s v="REB"/>
    <n v="9672146"/>
    <n v="173"/>
    <s v="PEÇAS - Defeito de fabric./Alta Amperage"/>
    <s v="FUNCIONAL"/>
    <x v="2"/>
    <n v="81093"/>
    <x v="53"/>
    <s v="ES"/>
    <n v="713"/>
    <s v="Key Account"/>
    <n v="1350"/>
    <s v="W10849470"/>
    <s v="Bombas"/>
    <x v="1"/>
    <n v="2000"/>
    <n v="5004042"/>
    <s v="BRASIL WEB TRANSPORTES E LOGISTICA"/>
    <n v="49.7"/>
    <d v="2025-05-16T00:00:00"/>
  </r>
  <r>
    <s v="Sem TR"/>
    <n v="64731040"/>
    <s v="ROB"/>
    <n v="9901106"/>
    <n v="25"/>
    <s v="OC. 80 - EXTRAVIO TOTAL"/>
    <s v="TRANSPORTADORA"/>
    <x v="0"/>
    <n v="2159"/>
    <x v="156"/>
    <s v="MG"/>
    <n v="350"/>
    <s v="Ats On"/>
    <n v="1350"/>
    <n v="326047714"/>
    <s v="Prateleiras"/>
    <x v="9"/>
    <n v="1000"/>
    <n v="5004101"/>
    <s v="UNIDOCK'S ASSESSORIA E LOGISTICA DE"/>
    <n v="49.68"/>
    <d v="2025-03-13T00:00:00"/>
  </r>
  <r>
    <n v="254040418"/>
    <n v="64818322"/>
    <s v="ZRDI"/>
    <n v="10133665"/>
    <n v="208"/>
    <s v="DEV-Atraso entrega- LOGISTICA(Transp)"/>
    <s v="TRANSPORTADORA"/>
    <x v="2"/>
    <n v="58149843"/>
    <x v="1817"/>
    <s v="BA"/>
    <n v="466"/>
    <s v="Sup ML Marketplace"/>
    <n v="1352"/>
    <s v="W11693441"/>
    <s v="Outros"/>
    <x v="7"/>
    <n v="1000"/>
    <n v="5002359"/>
    <s v="EMPRESA BRASILEIRA DE CORREIOS E"/>
    <n v="49.67"/>
    <d v="2025-07-26T00:00:00"/>
  </r>
  <r>
    <n v="254040418"/>
    <n v="64818322"/>
    <s v="ZRDI"/>
    <n v="10133665"/>
    <n v="208"/>
    <s v="DEV-Atraso entrega- LOGISTICA(Transp)"/>
    <s v="TRANSPORTADORA"/>
    <x v="2"/>
    <n v="58149843"/>
    <x v="1817"/>
    <s v="BA"/>
    <n v="466"/>
    <s v="Sup ML Marketplace"/>
    <n v="1352"/>
    <s v="W11693441"/>
    <s v="Outros"/>
    <x v="7"/>
    <n v="1000"/>
    <n v="5002359"/>
    <s v="EMPRESA BRASILEIRA DE CORREIOS E"/>
    <n v="49.67"/>
    <d v="2025-07-26T00:00:00"/>
  </r>
  <r>
    <n v="253995065"/>
    <n v="64764802"/>
    <s v="REB"/>
    <n v="10000107"/>
    <n v="176"/>
    <s v="PEÇAS - Defeito de fabric./Interrompido"/>
    <s v="FUNCIONAL"/>
    <x v="2"/>
    <n v="3506"/>
    <x v="46"/>
    <s v="SP"/>
    <n v="931"/>
    <s v="Ats Off"/>
    <n v="1350"/>
    <s v="W10399715"/>
    <s v="Motores Ventiladores"/>
    <x v="1"/>
    <n v="1000"/>
    <n v="5004042"/>
    <s v="BRASIL WEB TRANSPORTES E LOGISTICA"/>
    <n v="49.6"/>
    <d v="2025-05-16T00:00:00"/>
  </r>
  <r>
    <n v="253970799"/>
    <n v="64748527"/>
    <s v="REB"/>
    <n v="9957912"/>
    <n v="170"/>
    <s v="PEÇAS - Avaria - Riscada/Depósito"/>
    <s v="LOGÍSTICA"/>
    <x v="1"/>
    <n v="38442"/>
    <x v="943"/>
    <s v="RS"/>
    <n v="641"/>
    <s v="CDP Diamante"/>
    <n v="1350"/>
    <n v="326047349"/>
    <s v="Portas"/>
    <x v="6"/>
    <n v="1000"/>
    <n v="5003024"/>
    <s v="RODOBRAS TRANSPORTES RODOVIARIOS LT"/>
    <n v="49.48"/>
    <d v="2025-04-09T00:00:00"/>
  </r>
  <r>
    <s v="Sem TR"/>
    <n v="64812753"/>
    <s v="ZRDI"/>
    <n v="10112369"/>
    <s v="D10"/>
    <s v="DEV D2C - Comprou modelo errado"/>
    <s v="COMERCIAL"/>
    <x v="2"/>
    <n v="51306770"/>
    <x v="1818"/>
    <s v="MG"/>
    <n v="475"/>
    <s v="Site Consul"/>
    <n v="1352"/>
    <n v="326040477"/>
    <s v="Pés"/>
    <x v="6"/>
    <n v="1000"/>
    <n v="5002359"/>
    <s v="EMPRESA BRASILEIRA DE CORREIOS E"/>
    <n v="49.47"/>
    <d v="2025-07-25T00:00:00"/>
  </r>
  <r>
    <s v="Sem TR"/>
    <n v="64812753"/>
    <s v="ZRDI"/>
    <n v="10112369"/>
    <s v="D10"/>
    <s v="DEV D2C - Comprou modelo errado"/>
    <s v="COMERCIAL"/>
    <x v="2"/>
    <n v="51306770"/>
    <x v="1818"/>
    <s v="MG"/>
    <n v="475"/>
    <s v="Site Consul"/>
    <n v="1352"/>
    <n v="326040477"/>
    <s v="Pés"/>
    <x v="6"/>
    <n v="1000"/>
    <n v="5002359"/>
    <s v="EMPRESA BRASILEIRA DE CORREIOS E"/>
    <n v="49.47"/>
    <d v="2025-07-25T00:00:00"/>
  </r>
  <r>
    <n v="253961250"/>
    <n v="64736492"/>
    <s v="REB"/>
    <n v="9906015"/>
    <n v="173"/>
    <s v="PEÇAS - Defeito de fabric./Alta Amperage"/>
    <s v="FUNCIONAL"/>
    <x v="1"/>
    <n v="13757"/>
    <x v="14"/>
    <s v="SP"/>
    <n v="713"/>
    <s v="Key Account"/>
    <n v="1350"/>
    <s v="W11082463"/>
    <s v="Termostatos"/>
    <x v="3"/>
    <n v="1000"/>
    <n v="5004042"/>
    <s v="BRASIL WEB TRANSPORTES E LOGISTICA"/>
    <n v="49.43"/>
    <d v="2025-03-24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s v="W10882241"/>
    <s v="Agitadores"/>
    <x v="2"/>
    <n v="1000"/>
    <n v="5004101"/>
    <s v="UNIDOCK'S ASSESSORIA E LOGISTICA DE"/>
    <n v="49.43"/>
    <d v="2025-07-30T00:00:00"/>
  </r>
  <r>
    <n v="254021293"/>
    <n v="64798939"/>
    <s v="ZRDI"/>
    <n v="10047624"/>
    <s v="D25"/>
    <s v="DEV D2C - Prob na entrega (Não recebi)"/>
    <s v="TRANSPORTADORA"/>
    <x v="2"/>
    <n v="54618653"/>
    <x v="986"/>
    <s v="RS"/>
    <n v="475"/>
    <s v="Site Consul"/>
    <n v="1352"/>
    <s v="W10476183"/>
    <s v="Prateleiras"/>
    <x v="9"/>
    <n v="1000"/>
    <n v="5002359"/>
    <s v="EMPRESA BRASILEIRA DE CORREIOS E"/>
    <n v="49.41"/>
    <d v="2025-06-26T00:00:00"/>
  </r>
  <r>
    <s v="Sem TR"/>
    <n v="64817742"/>
    <s v="ROB"/>
    <n v="10100882"/>
    <n v="25"/>
    <s v="OC. 80 - EXTRAVIO TOTAL"/>
    <s v="TRANSPORTADORA"/>
    <x v="0"/>
    <n v="1953"/>
    <x v="1159"/>
    <s v="MG"/>
    <n v="350"/>
    <s v="Ats On"/>
    <n v="1350"/>
    <s v="W11621541"/>
    <s v="Registros"/>
    <x v="12"/>
    <n v="6000"/>
    <n v="5004101"/>
    <s v="UNIDOCK'S ASSESSORIA E LOGISTICA DE"/>
    <n v="49.37"/>
    <d v="2025-07-25T00:00:00"/>
  </r>
  <r>
    <s v="Sem TR"/>
    <n v="64811027"/>
    <s v="ZRDI"/>
    <n v="10125479"/>
    <s v="D10"/>
    <s v="DEV D2C - Comprou modelo errado"/>
    <s v="COMERCIAL"/>
    <x v="2"/>
    <n v="58138779"/>
    <x v="1642"/>
    <s v="SP"/>
    <n v="475"/>
    <s v="Site Consul"/>
    <n v="1352"/>
    <s v="W10351689"/>
    <s v="Capas Queimadores"/>
    <x v="12"/>
    <n v="2000"/>
    <n v="5002359"/>
    <s v="EMPRESA BRASILEIRA DE CORREIOS E"/>
    <n v="49.34"/>
    <d v="2025-07-16T00:00:00"/>
  </r>
  <r>
    <n v="254018179"/>
    <n v="64793309"/>
    <s v="REB"/>
    <n v="10060630"/>
    <n v="176"/>
    <s v="PEÇAS - Defeito de fabric./Interrompido"/>
    <s v="FUNCIONAL"/>
    <x v="1"/>
    <n v="3506"/>
    <x v="46"/>
    <s v="SP"/>
    <n v="931"/>
    <s v="Ats Off"/>
    <n v="1350"/>
    <n v="326059491"/>
    <s v="Micro Chaves/Reed Switches"/>
    <x v="3"/>
    <n v="1000"/>
    <n v="5004042"/>
    <s v="BRASIL WEB TRANSPORTES E LOGISTICA"/>
    <n v="49.28"/>
    <d v="2025-06-17T00:00:00"/>
  </r>
  <r>
    <s v="Sem TR"/>
    <n v="64812788"/>
    <s v="REB"/>
    <n v="10109101"/>
    <n v="176"/>
    <s v="PEÇAS - Defeito de fabric./Interrompido"/>
    <s v="FUNCIONAL"/>
    <x v="1"/>
    <n v="67948"/>
    <x v="15"/>
    <s v="SC"/>
    <n v="713"/>
    <s v="Key Account"/>
    <n v="1350"/>
    <s v="W11344668"/>
    <s v="Válvulas de Água"/>
    <x v="5"/>
    <n v="1000"/>
    <n v="5003024"/>
    <s v="RODOBRAS TRANSPORTES RODOVIARIOS LT"/>
    <n v="49.27"/>
    <d v="2025-07-25T00:00:00"/>
  </r>
  <r>
    <n v="254033360"/>
    <n v="64807339"/>
    <s v="REB"/>
    <n v="10063050"/>
    <n v="173"/>
    <s v="PEÇAS - Defeito de fabric./Alta Amperage"/>
    <s v="FUNCIONAL"/>
    <x v="0"/>
    <n v="28991"/>
    <x v="65"/>
    <s v="MG"/>
    <n v="643"/>
    <s v="Elite"/>
    <n v="1350"/>
    <s v="W11428263"/>
    <s v="Atuadores"/>
    <x v="2"/>
    <n v="1000"/>
    <n v="5004215"/>
    <s v="BRASIL WEB TRANSPORTES E LOGISTICA"/>
    <n v="49.17"/>
    <d v="2025-07-08T00:00:00"/>
  </r>
  <r>
    <n v="254021262"/>
    <n v="64798917"/>
    <s v="ZRDI"/>
    <n v="10060895"/>
    <n v="208"/>
    <s v="DEV-Atraso entrega- LOGISTICA(Transp)"/>
    <s v="TRANSPORTADORA"/>
    <x v="2"/>
    <n v="58057040"/>
    <x v="430"/>
    <s v="GO"/>
    <n v="474"/>
    <s v="Site Brastemp"/>
    <n v="1352"/>
    <s v="W10866793"/>
    <s v="Outros"/>
    <x v="7"/>
    <n v="1000"/>
    <n v="5002359"/>
    <s v="EMPRESA BRASILEIRA DE CORREIOS E"/>
    <n v="49.12"/>
    <d v="2025-06-26T00:00:00"/>
  </r>
  <r>
    <s v="Sem TR"/>
    <n v="64815890"/>
    <s v="ZRDI"/>
    <n v="10112704"/>
    <s v="D25"/>
    <s v="DEV D2C - Prob na entrega (Não recebi)"/>
    <s v="TRANSPORTADORA"/>
    <x v="2"/>
    <n v="56120039"/>
    <x v="1819"/>
    <s v="ES"/>
    <n v="475"/>
    <s v="Site Consul"/>
    <n v="1352"/>
    <s v="W10515645"/>
    <s v="Filtros"/>
    <x v="5"/>
    <n v="1000"/>
    <n v="5002359"/>
    <s v="EMPRESA BRASILEIRA DE CORREIOS E"/>
    <n v="49.07"/>
    <d v="2025-07-24T00:00:00"/>
  </r>
  <r>
    <s v="Sem TR"/>
    <n v="64815890"/>
    <s v="ZRDI"/>
    <n v="10112704"/>
    <s v="D25"/>
    <s v="DEV D2C - Prob na entrega (Não recebi)"/>
    <s v="TRANSPORTADORA"/>
    <x v="2"/>
    <n v="56120039"/>
    <x v="1819"/>
    <s v="ES"/>
    <n v="475"/>
    <s v="Site Consul"/>
    <n v="1352"/>
    <s v="W10515645"/>
    <s v="Filtros"/>
    <x v="5"/>
    <n v="1000"/>
    <n v="5002359"/>
    <s v="EMPRESA BRASILEIRA DE CORREIOS E"/>
    <n v="49.07"/>
    <d v="2025-07-24T00:00:00"/>
  </r>
  <r>
    <n v="253953748"/>
    <n v="64730447"/>
    <s v="REB"/>
    <n v="9851831"/>
    <n v="90"/>
    <s v="CLIENTE-não solicitou"/>
    <s v="COMERCIAL"/>
    <x v="1"/>
    <n v="5096"/>
    <x v="1820"/>
    <s v="RS"/>
    <n v="350"/>
    <s v="Ats On"/>
    <n v="1350"/>
    <n v="326075366"/>
    <s v="Isolantes"/>
    <x v="4"/>
    <n v="1000"/>
    <n v="5003024"/>
    <s v="RODOBRAS TRANSPORTES RODOVIARIOS LT"/>
    <n v="49.05"/>
    <d v="2025-03-14T00:00:00"/>
  </r>
  <r>
    <n v="254042263"/>
    <n v="64796057"/>
    <s v="REB"/>
    <n v="10006784"/>
    <n v="176"/>
    <s v="PEÇAS - Defeito de fabric./Interrompido"/>
    <s v="FUNCIONAL"/>
    <x v="0"/>
    <n v="5136"/>
    <x v="181"/>
    <s v="RS"/>
    <n v="350"/>
    <s v="Ats On"/>
    <n v="1350"/>
    <s v="W11245249"/>
    <s v="Válvulas de Água"/>
    <x v="5"/>
    <n v="1000"/>
    <n v="5003024"/>
    <s v="RODOBRAS TRANSPORTES RODOVIARIOS LT"/>
    <n v="49.03"/>
    <d v="2025-06-23T00:00:00"/>
  </r>
  <r>
    <s v="Sem TR"/>
    <n v="64731032"/>
    <s v="ROB"/>
    <n v="9901099"/>
    <n v="25"/>
    <s v="OC. 80 - EXTRAVIO TOTAL"/>
    <s v="TRANSPORTADORA"/>
    <x v="0"/>
    <n v="2094"/>
    <x v="1821"/>
    <s v="MG"/>
    <n v="350"/>
    <s v="Ats On"/>
    <n v="1350"/>
    <n v="326067736"/>
    <s v="Prateleiras"/>
    <x v="9"/>
    <n v="2000"/>
    <n v="5004101"/>
    <s v="UNIDOCK'S ASSESSORIA E LOGISTICA DE"/>
    <n v="49.01"/>
    <d v="2025-03-13T00:00:00"/>
  </r>
  <r>
    <n v="254043555"/>
    <n v="64798328"/>
    <s v="REB"/>
    <n v="10111749"/>
    <n v="165"/>
    <s v="PEÇAS - Defeito de fabric./Incompleta"/>
    <s v="FUNCIONAL"/>
    <x v="0"/>
    <n v="578"/>
    <x v="232"/>
    <s v="MG"/>
    <n v="350"/>
    <s v="Ats On"/>
    <n v="1350"/>
    <s v="W10774833"/>
    <s v="Placas de Controle"/>
    <x v="1"/>
    <n v="1000"/>
    <n v="5004215"/>
    <s v="BRASIL WEB TRANSPORTES E LOGISTICA"/>
    <n v="48.99"/>
    <d v="2025-07-09T00:00:00"/>
  </r>
  <r>
    <n v="254042048"/>
    <n v="64799139"/>
    <s v="REB"/>
    <n v="10097694"/>
    <n v="176"/>
    <s v="PEÇAS - Defeito de fabric./Interrompido"/>
    <s v="FUNCIONAL"/>
    <x v="0"/>
    <n v="578"/>
    <x v="232"/>
    <s v="MG"/>
    <n v="350"/>
    <s v="Ats On"/>
    <n v="1350"/>
    <s v="W10774833"/>
    <s v="Placas de Controle"/>
    <x v="1"/>
    <n v="1000"/>
    <n v="5004215"/>
    <s v="BRASIL WEB TRANSPORTES E LOGISTICA"/>
    <n v="48.99"/>
    <d v="2025-06-27T00:00:00"/>
  </r>
  <r>
    <s v="Sem TR"/>
    <n v="64721361"/>
    <s v="REB"/>
    <n v="9823508"/>
    <n v="671"/>
    <s v="DEV-ENVIADO PARA GESTÃO DE CONSEQUENCIA"/>
    <s v="TRANSPORTADORA"/>
    <x v="1"/>
    <n v="81338"/>
    <x v="354"/>
    <s v="SP"/>
    <n v="644"/>
    <s v="Plus"/>
    <n v="1350"/>
    <n v="326047714"/>
    <s v="Prateleiras"/>
    <x v="9"/>
    <n v="1000"/>
    <n v="5004042"/>
    <s v="BRASIL WEB TRANSPORTES E LOGISTICA"/>
    <n v="48.97"/>
    <d v="2025-02-27T00:00:00"/>
  </r>
  <r>
    <n v="253889657"/>
    <n v="64658935"/>
    <s v="REB"/>
    <n v="9731828"/>
    <n v="170"/>
    <s v="PEÇAS - Avaria - Riscada/Depósito"/>
    <s v="LOGÍSTICA"/>
    <x v="1"/>
    <n v="69085"/>
    <x v="178"/>
    <s v="SP"/>
    <n v="644"/>
    <s v="Plus"/>
    <n v="1350"/>
    <s v="W10202553"/>
    <s v="Portas"/>
    <x v="6"/>
    <n v="1000"/>
    <n v="5003254"/>
    <s v="TMA TRANSPORTE LOTACAO E LOGISTICA"/>
    <n v="48.95"/>
    <d v="2024-12-04T00:00:00"/>
  </r>
  <r>
    <n v="254030015"/>
    <n v="64809491"/>
    <s v="ZRDI"/>
    <n v="10094231"/>
    <n v="208"/>
    <s v="DEV-Atraso entrega- LOGISTICA(Transp)"/>
    <s v="TRANSPORTADORA"/>
    <x v="2"/>
    <n v="56604972"/>
    <x v="1822"/>
    <s v="RS"/>
    <n v="475"/>
    <s v="Site Consul"/>
    <n v="1352"/>
    <s v="W10515645"/>
    <s v="Filtros"/>
    <x v="5"/>
    <n v="1000"/>
    <n v="5002359"/>
    <s v="EMPRESA BRASILEIRA DE CORREIOS E"/>
    <n v="48.94"/>
    <d v="2025-07-11T00:00:00"/>
  </r>
  <r>
    <s v="Sem TR"/>
    <n v="64813697"/>
    <s v="ZRDI"/>
    <n v="10119411"/>
    <s v="D15"/>
    <s v="DEV D2C - Arrependimento modelo comprado"/>
    <s v="COMERCIAL"/>
    <x v="2"/>
    <n v="56112241"/>
    <x v="1823"/>
    <s v="RS"/>
    <n v="475"/>
    <s v="Site Consul"/>
    <n v="1352"/>
    <s v="W10515645"/>
    <s v="Filtros"/>
    <x v="5"/>
    <n v="1000"/>
    <n v="5002359"/>
    <s v="EMPRESA BRASILEIRA DE CORREIOS E"/>
    <n v="48.94"/>
    <d v="2025-07-23T00:00:00"/>
  </r>
  <r>
    <s v="Sem TR"/>
    <n v="64813697"/>
    <s v="ZRDI"/>
    <n v="10119411"/>
    <s v="D15"/>
    <s v="DEV D2C - Arrependimento modelo comprado"/>
    <s v="COMERCIAL"/>
    <x v="2"/>
    <n v="56112241"/>
    <x v="1823"/>
    <s v="RS"/>
    <n v="475"/>
    <s v="Site Consul"/>
    <n v="1352"/>
    <s v="W10515645"/>
    <s v="Filtros"/>
    <x v="5"/>
    <n v="1000"/>
    <n v="5002359"/>
    <s v="EMPRESA BRASILEIRA DE CORREIOS E"/>
    <n v="48.94"/>
    <d v="2025-07-23T00:00:00"/>
  </r>
  <r>
    <n v="254012612"/>
    <n v="64789441"/>
    <s v="REB"/>
    <n v="9880015"/>
    <n v="173"/>
    <s v="PEÇAS - Defeito de fabric./Alta Amperage"/>
    <s v="FUNCIONAL"/>
    <x v="1"/>
    <n v="73003"/>
    <x v="294"/>
    <s v="SC"/>
    <n v="931"/>
    <s v="Ats Off"/>
    <n v="1350"/>
    <s v="W10168510"/>
    <s v="Motores Ventiladores"/>
    <x v="1"/>
    <n v="1000"/>
    <n v="5003024"/>
    <s v="RODOBRAS TRANSPORTES RODOVIARIOS LT"/>
    <n v="48.94"/>
    <d v="2025-06-10T00:00:00"/>
  </r>
  <r>
    <n v="254022054"/>
    <n v="64799702"/>
    <s v="ZRDI"/>
    <n v="10060185"/>
    <s v="D25"/>
    <s v="DEV D2C - Prob na entrega (Não recebi)"/>
    <s v="TRANSPORTADORA"/>
    <x v="2"/>
    <n v="58051259"/>
    <x v="1824"/>
    <s v="RJ"/>
    <n v="475"/>
    <s v="Site Consul"/>
    <n v="1352"/>
    <s v="W10476183"/>
    <s v="Prateleiras"/>
    <x v="9"/>
    <n v="1000"/>
    <n v="5003972"/>
    <s v="ICARO EXPRESS LOGISTICA LTDA"/>
    <n v="48.89"/>
    <d v="2025-06-27T00:00:00"/>
  </r>
  <r>
    <s v="Sem TR"/>
    <n v="64820439"/>
    <s v="ZRDI"/>
    <n v="10139739"/>
    <s v="D35"/>
    <s v="DEV D2C - Prod difere do comprado"/>
    <s v="COMERCIAL"/>
    <x v="1"/>
    <n v="58163383"/>
    <x v="1825"/>
    <s v="RJ"/>
    <n v="475"/>
    <s v="Site Consul"/>
    <n v="1352"/>
    <s v="W10476183"/>
    <s v="Prateleiras"/>
    <x v="9"/>
    <n v="1000"/>
    <n v="5002359"/>
    <s v="EMPRESA BRASILEIRA DE CORREIOS E"/>
    <n v="48.89"/>
    <d v="2025-07-30T00:00:00"/>
  </r>
  <r>
    <s v="Sem TR"/>
    <n v="64796957"/>
    <s v="ZRDI"/>
    <n v="10036100"/>
    <s v="D31"/>
    <s v="DEV D2C - Defeito estético manufatura"/>
    <s v="MANUFATURA"/>
    <x v="2"/>
    <n v="57860352"/>
    <x v="1826"/>
    <s v="BA"/>
    <n v="475"/>
    <s v="Site Consul"/>
    <n v="1352"/>
    <s v="W11375416"/>
    <s v="Tampas Móveis"/>
    <x v="6"/>
    <n v="1000"/>
    <n v="5002359"/>
    <s v="EMPRESA BRASILEIRA DE CORREIOS E"/>
    <n v="48.88"/>
    <d v="2025-07-03T00:00:00"/>
  </r>
  <r>
    <n v="254033965"/>
    <n v="64812524"/>
    <s v="ZRDI"/>
    <n v="10103987"/>
    <n v="208"/>
    <s v="DEV-Atraso entrega- LOGISTICA(Transp)"/>
    <s v="TRANSPORTADORA"/>
    <x v="2"/>
    <n v="53772581"/>
    <x v="1827"/>
    <s v="PE"/>
    <n v="466"/>
    <s v="Sup ML Marketplace"/>
    <n v="1352"/>
    <s v="W10212441"/>
    <s v="Prateleiras"/>
    <x v="9"/>
    <n v="1000"/>
    <n v="5002359"/>
    <s v="EMPRESA BRASILEIRA DE CORREIOS E"/>
    <n v="48.86"/>
    <d v="2025-07-17T00:00:00"/>
  </r>
  <r>
    <s v="Sem TR"/>
    <n v="64799380"/>
    <s v="ZRDI"/>
    <n v="10082552"/>
    <s v="D18"/>
    <s v="DEV D2C - Arrependimento não quero mais"/>
    <s v="COMERCIAL"/>
    <x v="2"/>
    <n v="54357984"/>
    <x v="1828"/>
    <s v="BA"/>
    <n v="475"/>
    <s v="Site Consul"/>
    <n v="1352"/>
    <s v="W10634389"/>
    <s v="Injetores"/>
    <x v="12"/>
    <n v="1000"/>
    <n v="5002359"/>
    <s v="EMPRESA BRASILEIRA DE CORREIOS E"/>
    <n v="48.82"/>
    <d v="2025-06-27T00:00:00"/>
  </r>
  <r>
    <s v="Sem TR"/>
    <n v="64726762"/>
    <s v="REB"/>
    <n v="8722558"/>
    <n v="160"/>
    <s v="OI Cancelada - Ver motivo no texto"/>
    <s v="OUTROS"/>
    <x v="1"/>
    <n v="53319"/>
    <x v="172"/>
    <s v="PR"/>
    <n v="644"/>
    <s v="Plus"/>
    <n v="1350"/>
    <s v="W11091875"/>
    <s v="Termostatos"/>
    <x v="3"/>
    <n v="1000"/>
    <n v="5003024"/>
    <s v="RODOBRAS TRANSPORTES RODOVIARIOS LT"/>
    <n v="48.78"/>
    <d v="2025-03-07T00:00:00"/>
  </r>
  <r>
    <n v="254022275"/>
    <n v="64799888"/>
    <s v="ZRDI"/>
    <n v="10093863"/>
    <n v="208"/>
    <s v="DEV-Atraso entrega- LOGISTICA(Transp)"/>
    <s v="TRANSPORTADORA"/>
    <x v="2"/>
    <n v="58098738"/>
    <x v="496"/>
    <s v="SC"/>
    <n v="474"/>
    <s v="Site Brastemp"/>
    <n v="1352"/>
    <s v="W10420716"/>
    <s v="Acessórios"/>
    <x v="7"/>
    <n v="1000"/>
    <n v="5002359"/>
    <s v="EMPRESA BRASILEIRA DE CORREIOS E"/>
    <n v="48.71"/>
    <d v="2025-06-27T00:00:00"/>
  </r>
  <r>
    <n v="254024656"/>
    <n v="64804759"/>
    <s v="ZRDI"/>
    <n v="10098010"/>
    <n v="208"/>
    <s v="DEV-Atraso entrega- LOGISTICA(Transp)"/>
    <s v="TRANSPORTADORA"/>
    <x v="2"/>
    <n v="58018624"/>
    <x v="1829"/>
    <s v="BA"/>
    <n v="475"/>
    <s v="Site Consul"/>
    <n v="1352"/>
    <s v="W10330009"/>
    <s v="Acessórios"/>
    <x v="7"/>
    <n v="2000"/>
    <n v="5002359"/>
    <s v="EMPRESA BRASILEIRA DE CORREIOS E"/>
    <n v="48.68"/>
    <d v="2025-07-02T00:00:00"/>
  </r>
  <r>
    <n v="254032575"/>
    <n v="64811510"/>
    <s v="ZRDI"/>
    <n v="10106339"/>
    <n v="208"/>
    <s v="DEV-Atraso entrega- LOGISTICA(Transp)"/>
    <s v="TRANSPORTADORA"/>
    <x v="2"/>
    <n v="58116481"/>
    <x v="1830"/>
    <s v="RJ"/>
    <n v="466"/>
    <s v="Sup ML Marketplace"/>
    <n v="1352"/>
    <s v="W10416685"/>
    <s v="Tubos Refrigeração"/>
    <x v="0"/>
    <n v="2000"/>
    <n v="5002359"/>
    <s v="EMPRESA BRASILEIRA DE CORREIOS E"/>
    <n v="48.68"/>
    <d v="2025-07-16T00:00:00"/>
  </r>
  <r>
    <n v="254032575"/>
    <n v="64811510"/>
    <s v="ZRDI"/>
    <n v="10106339"/>
    <n v="208"/>
    <s v="DEV-Atraso entrega- LOGISTICA(Transp)"/>
    <s v="TRANSPORTADORA"/>
    <x v="2"/>
    <n v="58116481"/>
    <x v="1830"/>
    <s v="RJ"/>
    <n v="466"/>
    <s v="Sup ML Marketplace"/>
    <n v="1352"/>
    <s v="W10416685"/>
    <s v="Tubos Refrigeração"/>
    <x v="0"/>
    <n v="2000"/>
    <n v="5002359"/>
    <s v="EMPRESA BRASILEIRA DE CORREIOS E"/>
    <n v="48.68"/>
    <d v="2025-07-16T00:00:00"/>
  </r>
  <r>
    <s v="Sem TR"/>
    <n v="64795154"/>
    <s v="ZRDI"/>
    <n v="10081430"/>
    <s v="D10"/>
    <s v="DEV D2C - Comprou modelo errado"/>
    <s v="COMERCIAL"/>
    <x v="2"/>
    <n v="58081792"/>
    <x v="1831"/>
    <s v="SC"/>
    <n v="475"/>
    <s v="Site Consul"/>
    <n v="1352"/>
    <s v="W10515645"/>
    <s v="Filtros"/>
    <x v="5"/>
    <n v="1000"/>
    <n v="5002359"/>
    <s v="EMPRESA BRASILEIRA DE CORREIOS E"/>
    <n v="48.61"/>
    <d v="2025-06-20T00:00:00"/>
  </r>
  <r>
    <n v="253988842"/>
    <n v="64764337"/>
    <s v="REB"/>
    <n v="9909184"/>
    <n v="173"/>
    <s v="PEÇAS - Defeito de fabric./Alta Amperage"/>
    <s v="FUNCIONAL"/>
    <x v="2"/>
    <n v="27511"/>
    <x v="470"/>
    <s v="SP"/>
    <n v="641"/>
    <s v="CDP Diamante"/>
    <n v="1350"/>
    <s v="W10399715"/>
    <s v="Motores Ventiladores"/>
    <x v="1"/>
    <n v="1000"/>
    <n v="5004042"/>
    <s v="BRASIL WEB TRANSPORTES E LOGISTICA"/>
    <n v="48.59"/>
    <d v="2025-05-05T00:00:00"/>
  </r>
  <r>
    <n v="253961394"/>
    <n v="64733656"/>
    <s v="REB"/>
    <n v="9909140"/>
    <n v="173"/>
    <s v="PEÇAS - Defeito de fabric./Alta Amperage"/>
    <s v="FUNCIONAL"/>
    <x v="1"/>
    <n v="72205"/>
    <x v="1092"/>
    <s v="SP"/>
    <n v="641"/>
    <s v="CDP Diamante"/>
    <n v="1350"/>
    <s v="W10399715"/>
    <s v="Motores Ventiladores"/>
    <x v="1"/>
    <n v="1000"/>
    <n v="5004042"/>
    <s v="BRASIL WEB TRANSPORTES E LOGISTICA"/>
    <n v="48.59"/>
    <d v="2025-03-25T00:00:00"/>
  </r>
  <r>
    <n v="254018349"/>
    <n v="64792372"/>
    <s v="REB"/>
    <n v="10066678"/>
    <n v="177"/>
    <s v="PEÇAS - Defeito de fabric./Ruído"/>
    <s v="FUNCIONAL"/>
    <x v="2"/>
    <n v="67948"/>
    <x v="15"/>
    <s v="SC"/>
    <n v="713"/>
    <s v="Key Account"/>
    <n v="1350"/>
    <s v="W11344669"/>
    <s v="Válvulas de Água"/>
    <x v="5"/>
    <n v="1000"/>
    <n v="5003024"/>
    <s v="RODOBRAS TRANSPORTES RODOVIARIOS LT"/>
    <n v="48.52"/>
    <d v="2025-06-16T00:00:00"/>
  </r>
  <r>
    <n v="254035413"/>
    <n v="64809747"/>
    <s v="REB"/>
    <n v="10117739"/>
    <n v="167"/>
    <s v="PEÇAS - Avaria - Quebrada/Depósito"/>
    <s v="LOGÍSTICA"/>
    <x v="1"/>
    <n v="69085"/>
    <x v="178"/>
    <s v="SP"/>
    <n v="641"/>
    <s v="CDP Diamante"/>
    <n v="1350"/>
    <n v="326026560"/>
    <s v="Capas"/>
    <x v="6"/>
    <n v="1000"/>
    <n v="5004042"/>
    <s v="BRASIL WEB TRANSPORTES E LOGISTICA"/>
    <n v="48.52"/>
    <d v="2025-07-17T00:00:00"/>
  </r>
  <r>
    <n v="253983914"/>
    <n v="64759709"/>
    <s v="REB"/>
    <n v="9988840"/>
    <n v="167"/>
    <s v="PEÇAS - Avaria - Quebrada/Depósito"/>
    <s v="LOGÍSTICA"/>
    <x v="1"/>
    <n v="31537"/>
    <x v="523"/>
    <s v="RS"/>
    <n v="641"/>
    <s v="CDP Diamante"/>
    <n v="1350"/>
    <s v="W10455522"/>
    <s v="Prateleiras"/>
    <x v="9"/>
    <n v="2000"/>
    <n v="5003024"/>
    <s v="RODOBRAS TRANSPORTES RODOVIARIOS LT"/>
    <n v="48.51"/>
    <d v="2025-04-28T00:00:00"/>
  </r>
  <r>
    <n v="253995071"/>
    <n v="64771064"/>
    <s v="REB"/>
    <n v="9888056"/>
    <n v="176"/>
    <s v="PEÇAS - Defeito de fabric./Interrompido"/>
    <s v="FUNCIONAL"/>
    <x v="1"/>
    <n v="4318"/>
    <x v="89"/>
    <s v="SC"/>
    <n v="931"/>
    <s v="Ats Off"/>
    <n v="1350"/>
    <s v="W10168510"/>
    <s v="Motores Ventiladores"/>
    <x v="1"/>
    <n v="1000"/>
    <n v="5003024"/>
    <s v="RODOBRAS TRANSPORTES RODOVIARIOS LT"/>
    <n v="48.51"/>
    <d v="2025-05-15T00:00:00"/>
  </r>
  <r>
    <n v="254042261"/>
    <n v="64796055"/>
    <s v="REB"/>
    <n v="9930519"/>
    <n v="173"/>
    <s v="PEÇAS - Defeito de fabric./Alta Amperage"/>
    <s v="FUNCIONAL"/>
    <x v="0"/>
    <n v="18949"/>
    <x v="264"/>
    <s v="SP"/>
    <n v="933"/>
    <s v="Top"/>
    <n v="1350"/>
    <s v="W11107297"/>
    <s v="Termostatos"/>
    <x v="3"/>
    <n v="1000"/>
    <n v="5004042"/>
    <s v="BRASIL WEB TRANSPORTES E LOGISTICA"/>
    <n v="48.47"/>
    <d v="2025-06-23T00:00:00"/>
  </r>
  <r>
    <n v="254033143"/>
    <n v="64811726"/>
    <s v="ZRDI"/>
    <n v="10086632"/>
    <s v="D25"/>
    <s v="DEV D2C - Prob na entrega (Não recebi)"/>
    <s v="TRANSPORTADORA"/>
    <x v="2"/>
    <n v="56574171"/>
    <x v="1832"/>
    <s v="RJ"/>
    <n v="475"/>
    <s v="Site Consul"/>
    <n v="1352"/>
    <s v="W10515645"/>
    <s v="Filtros"/>
    <x v="5"/>
    <n v="1000"/>
    <n v="5002359"/>
    <s v="EMPRESA BRASILEIRA DE CORREIOS E"/>
    <n v="48.42"/>
    <d v="2025-07-16T00:00:00"/>
  </r>
  <r>
    <n v="254035005"/>
    <n v="64813404"/>
    <s v="ZRDI"/>
    <n v="10093739"/>
    <n v="208"/>
    <s v="DEV-Atraso entrega- LOGISTICA(Transp)"/>
    <s v="TRANSPORTADORA"/>
    <x v="2"/>
    <n v="52143804"/>
    <x v="1833"/>
    <s v="RJ"/>
    <n v="475"/>
    <s v="Site Consul"/>
    <n v="1352"/>
    <s v="W10515645"/>
    <s v="Filtros"/>
    <x v="5"/>
    <n v="1000"/>
    <n v="5002359"/>
    <s v="EMPRESA BRASILEIRA DE CORREIOS E"/>
    <n v="48.42"/>
    <d v="2025-07-18T00:00:00"/>
  </r>
  <r>
    <n v="254033143"/>
    <n v="64811726"/>
    <s v="ZRDI"/>
    <n v="10086632"/>
    <s v="D25"/>
    <s v="DEV D2C - Prob na entrega (Não recebi)"/>
    <s v="TRANSPORTADORA"/>
    <x v="2"/>
    <n v="56574171"/>
    <x v="1832"/>
    <s v="RJ"/>
    <n v="475"/>
    <s v="Site Consul"/>
    <n v="1352"/>
    <s v="W10515645"/>
    <s v="Filtros"/>
    <x v="5"/>
    <n v="1000"/>
    <n v="5002359"/>
    <s v="EMPRESA BRASILEIRA DE CORREIOS E"/>
    <n v="48.42"/>
    <d v="2025-07-16T00:00:00"/>
  </r>
  <r>
    <s v="Sem TR"/>
    <n v="64812265"/>
    <s v="REB"/>
    <n v="10106365"/>
    <n v="509"/>
    <s v="Qtd de peças a Menor dentro do Volume"/>
    <s v="LOGÍSTICA"/>
    <x v="1"/>
    <n v="86964"/>
    <x v="345"/>
    <s v="PB"/>
    <n v="713"/>
    <s v="Key Account"/>
    <n v="1350"/>
    <s v="W10742654"/>
    <s v="Motores Ventiladores"/>
    <x v="1"/>
    <n v="1000"/>
    <n v="5002359"/>
    <s v="EMPRESA BRASILEIRA DE CORREIOS E"/>
    <n v="48.42"/>
    <d v="2025-07-17T00:00:00"/>
  </r>
  <r>
    <n v="254042302"/>
    <n v="64796043"/>
    <s v="REB"/>
    <n v="9948589"/>
    <n v="178"/>
    <s v="PEÇAS -Defeito de fabric./Sem Compressão"/>
    <s v="FUNCIONAL"/>
    <x v="0"/>
    <n v="30684"/>
    <x v="332"/>
    <s v="RS"/>
    <n v="641"/>
    <s v="CDP Diamante"/>
    <n v="1350"/>
    <s v="W10882241"/>
    <s v="Agitadores"/>
    <x v="2"/>
    <n v="1000"/>
    <n v="5003024"/>
    <s v="RODOBRAS TRANSPORTES RODOVIARIOS LT"/>
    <n v="48.4"/>
    <d v="2025-06-23T00:00:00"/>
  </r>
  <r>
    <n v="253981451"/>
    <n v="64757717"/>
    <s v="REB"/>
    <n v="9977586"/>
    <n v="167"/>
    <s v="PEÇAS - Avaria - Quebrada/Depósito"/>
    <s v="LOGÍSTICA"/>
    <x v="2"/>
    <n v="29112"/>
    <x v="255"/>
    <s v="SP"/>
    <n v="932"/>
    <s v="CDP Prata"/>
    <n v="1350"/>
    <s v="W10212144"/>
    <s v="Gavetas"/>
    <x v="9"/>
    <n v="1000"/>
    <n v="5004042"/>
    <s v="BRASIL WEB TRANSPORTES E LOGISTICA"/>
    <n v="48.37"/>
    <d v="2025-04-25T00:00:00"/>
  </r>
  <r>
    <n v="254024136"/>
    <n v="64803743"/>
    <s v="ZRDI"/>
    <n v="10065861"/>
    <n v="208"/>
    <s v="DEV-Atraso entrega- LOGISTICA(Transp)"/>
    <s v="TRANSPORTADORA"/>
    <x v="2"/>
    <n v="58062303"/>
    <x v="1834"/>
    <s v="CE"/>
    <n v="475"/>
    <s v="Site Consul"/>
    <n v="1352"/>
    <s v="W10515645"/>
    <s v="Filtros"/>
    <x v="5"/>
    <n v="1000"/>
    <n v="5002359"/>
    <s v="EMPRESA BRASILEIRA DE CORREIOS E"/>
    <n v="48.26"/>
    <d v="2025-07-01T00:00:00"/>
  </r>
  <r>
    <n v="254027327"/>
    <n v="64806740"/>
    <s v="ZRDI"/>
    <n v="10059449"/>
    <n v="208"/>
    <s v="DEV-Atraso entrega- LOGISTICA(Transp)"/>
    <s v="TRANSPORTADORA"/>
    <x v="2"/>
    <n v="57266396"/>
    <x v="1835"/>
    <s v="CE"/>
    <n v="475"/>
    <s v="Site Consul"/>
    <n v="1352"/>
    <s v="W10515645"/>
    <s v="Filtros"/>
    <x v="5"/>
    <n v="1000"/>
    <n v="5002359"/>
    <s v="EMPRESA BRASILEIRA DE CORREIOS E"/>
    <n v="48.26"/>
    <d v="2025-07-07T00:00:00"/>
  </r>
  <r>
    <s v="Sem TR"/>
    <n v="64808208"/>
    <s v="ZRDI"/>
    <n v="10093981"/>
    <s v="D10"/>
    <s v="DEV D2C - Comprou modelo errado"/>
    <s v="COMERCIAL"/>
    <x v="2"/>
    <n v="58098249"/>
    <x v="1836"/>
    <s v="CE"/>
    <n v="474"/>
    <s v="Site Brastemp"/>
    <n v="1352"/>
    <s v="W10608673"/>
    <s v="Cordões de Alimentação"/>
    <x v="1"/>
    <n v="1000"/>
    <n v="5002359"/>
    <s v="EMPRESA BRASILEIRA DE CORREIOS E"/>
    <n v="48.24"/>
    <d v="2025-07-10T00:00:00"/>
  </r>
  <r>
    <s v="Sem TR"/>
    <n v="64795927"/>
    <s v="ZRDI"/>
    <n v="10081931"/>
    <s v="D18"/>
    <s v="DEV D2C - Arrependimento não quero mais"/>
    <s v="COMERCIAL"/>
    <x v="2"/>
    <n v="55833450"/>
    <x v="443"/>
    <s v="SP"/>
    <n v="475"/>
    <s v="Site Consul"/>
    <n v="1352"/>
    <s v="W10866793"/>
    <s v="Outros"/>
    <x v="7"/>
    <n v="1000"/>
    <n v="5002359"/>
    <s v="EMPRESA BRASILEIRA DE CORREIOS E"/>
    <n v="48.11"/>
    <d v="2025-06-26T00:00:00"/>
  </r>
  <r>
    <n v="254024130"/>
    <n v="64803707"/>
    <s v="ZRDI"/>
    <n v="10054141"/>
    <n v="208"/>
    <s v="DEV-Atraso entrega- LOGISTICA(Transp)"/>
    <s v="TRANSPORTADORA"/>
    <x v="2"/>
    <n v="5706291"/>
    <x v="444"/>
    <s v="CE"/>
    <n v="474"/>
    <s v="Site Brastemp"/>
    <n v="1352"/>
    <s v="W10866793"/>
    <s v="Outros"/>
    <x v="7"/>
    <n v="1000"/>
    <n v="5002359"/>
    <s v="EMPRESA BRASILEIRA DE CORREIOS E"/>
    <n v="48.09"/>
    <d v="2025-07-01T00:00:00"/>
  </r>
  <r>
    <n v="254024130"/>
    <n v="64803707"/>
    <s v="ZRDI"/>
    <n v="10054141"/>
    <n v="208"/>
    <s v="DEV-Atraso entrega- LOGISTICA(Transp)"/>
    <s v="TRANSPORTADORA"/>
    <x v="2"/>
    <n v="5706291"/>
    <x v="444"/>
    <s v="CE"/>
    <n v="474"/>
    <s v="Site Brastemp"/>
    <n v="1352"/>
    <s v="W10866793"/>
    <s v="Outros"/>
    <x v="7"/>
    <n v="1000"/>
    <n v="5002359"/>
    <s v="EMPRESA BRASILEIRA DE CORREIOS E"/>
    <n v="48.09"/>
    <d v="2025-07-01T00:00:00"/>
  </r>
  <r>
    <n v="254038387"/>
    <n v="64814653"/>
    <s v="REB"/>
    <n v="10066678"/>
    <n v="176"/>
    <s v="PEÇAS - Defeito de fabric./Interrompido"/>
    <s v="FUNCIONAL"/>
    <x v="1"/>
    <n v="67948"/>
    <x v="15"/>
    <s v="SC"/>
    <n v="713"/>
    <s v="Key Account"/>
    <n v="1350"/>
    <s v="W10706137"/>
    <s v="Válvulas de Água"/>
    <x v="5"/>
    <n v="1000"/>
    <n v="5003024"/>
    <s v="RODOBRAS TRANSPORTES RODOVIARIOS LT"/>
    <n v="48.04"/>
    <d v="2025-07-22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s v="W10625296"/>
    <s v="Painéis Decorativos"/>
    <x v="6"/>
    <n v="2000"/>
    <n v="5004101"/>
    <s v="UNIDOCK'S ASSESSORIA E LOGISTICA DE"/>
    <n v="48.02"/>
    <d v="2025-07-29T00:00:00"/>
  </r>
  <r>
    <n v="253970704"/>
    <n v="64737873"/>
    <s v="REB"/>
    <n v="9894867"/>
    <n v="176"/>
    <s v="PEÇAS - Defeito de fabric./Interrompido"/>
    <s v="FUNCIONAL"/>
    <x v="2"/>
    <n v="3506"/>
    <x v="46"/>
    <s v="SP"/>
    <n v="931"/>
    <s v="Ats Off"/>
    <n v="1350"/>
    <s v="W11109516"/>
    <s v="Prateleiras"/>
    <x v="9"/>
    <n v="1000"/>
    <n v="5004042"/>
    <s v="BRASIL WEB TRANSPORTES E LOGISTICA"/>
    <n v="47.99"/>
    <d v="2025-04-09T00:00:00"/>
  </r>
  <r>
    <n v="253995101"/>
    <n v="64771205"/>
    <s v="REB"/>
    <n v="9550751"/>
    <n v="176"/>
    <s v="PEÇAS - Defeito de fabric./Interrompido"/>
    <s v="FUNCIONAL"/>
    <x v="2"/>
    <n v="24089"/>
    <x v="134"/>
    <s v="RJ"/>
    <n v="931"/>
    <s v="Ats Off"/>
    <n v="1350"/>
    <s v="W10160091"/>
    <s v="Isolantes"/>
    <x v="4"/>
    <n v="2000"/>
    <n v="5003176"/>
    <s v="J C THEDIN TRANSPORTES LTDA"/>
    <n v="47.97"/>
    <d v="2025-05-15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1082450"/>
    <s v="Termostatos"/>
    <x v="3"/>
    <n v="1000"/>
    <n v="5002359"/>
    <s v="EMPRESA BRASILEIRA DE CORREIOS E"/>
    <n v="47.97"/>
    <d v="2025-05-20T00:00:00"/>
  </r>
  <r>
    <n v="254039184"/>
    <n v="64817066"/>
    <s v="ZRDI"/>
    <n v="10109782"/>
    <n v="208"/>
    <s v="DEV-Atraso entrega- LOGISTICA(Transp)"/>
    <s v="TRANSPORTADORA"/>
    <x v="2"/>
    <n v="58120885"/>
    <x v="1837"/>
    <s v="GO"/>
    <n v="466"/>
    <s v="Sup ML Marketplace"/>
    <n v="1352"/>
    <s v="W10515645"/>
    <s v="Filtros"/>
    <x v="5"/>
    <n v="1000"/>
    <n v="5002359"/>
    <s v="EMPRESA BRASILEIRA DE CORREIOS E"/>
    <n v="47.91"/>
    <d v="2025-07-24T00:00:00"/>
  </r>
  <r>
    <n v="254039184"/>
    <n v="64817066"/>
    <s v="ZRDI"/>
    <n v="10109782"/>
    <n v="208"/>
    <s v="DEV-Atraso entrega- LOGISTICA(Transp)"/>
    <s v="TRANSPORTADORA"/>
    <x v="2"/>
    <n v="58120885"/>
    <x v="1837"/>
    <s v="GO"/>
    <n v="466"/>
    <s v="Sup ML Marketplace"/>
    <n v="1352"/>
    <s v="W10515645"/>
    <s v="Filtros"/>
    <x v="5"/>
    <n v="1000"/>
    <n v="5002359"/>
    <s v="EMPRESA BRASILEIRA DE CORREIOS E"/>
    <n v="47.91"/>
    <d v="2025-07-24T00:00:00"/>
  </r>
  <r>
    <n v="254024110"/>
    <n v="64803642"/>
    <s v="ZRDI"/>
    <n v="10038408"/>
    <n v="208"/>
    <s v="DEV-Atraso entrega- LOGISTICA(Transp)"/>
    <s v="TRANSPORTADORA"/>
    <x v="2"/>
    <n v="57144045"/>
    <x v="446"/>
    <s v="PA"/>
    <n v="474"/>
    <s v="Site Brastemp"/>
    <n v="1352"/>
    <s v="W11100356"/>
    <s v="Outros"/>
    <x v="7"/>
    <n v="1000"/>
    <n v="5002359"/>
    <s v="EMPRESA BRASILEIRA DE CORREIOS E"/>
    <n v="47.86"/>
    <d v="2025-07-01T00:00:00"/>
  </r>
  <r>
    <n v="253981464"/>
    <n v="64758049"/>
    <s v="REB"/>
    <n v="9852024"/>
    <n v="173"/>
    <s v="PEÇAS - Defeito de fabric./Alta Amperage"/>
    <s v="FUNCIONAL"/>
    <x v="2"/>
    <n v="29164"/>
    <x v="32"/>
    <s v="BA"/>
    <n v="648"/>
    <s v="Ultra"/>
    <n v="1350"/>
    <s v="W11082462"/>
    <s v="Termostatos"/>
    <x v="3"/>
    <n v="1000"/>
    <n v="5004101"/>
    <s v="UNIDOCK'S ASSESSORIA E LOGISTICA DE"/>
    <n v="47.84"/>
    <d v="2025-04-25T00:00:00"/>
  </r>
  <r>
    <n v="254004040"/>
    <n v="64778389"/>
    <s v="REB"/>
    <n v="9965623"/>
    <n v="176"/>
    <s v="PEÇAS - Defeito de fabric./Interrompido"/>
    <s v="FUNCIONAL"/>
    <x v="2"/>
    <n v="67948"/>
    <x v="15"/>
    <s v="SC"/>
    <n v="713"/>
    <s v="Key Account"/>
    <n v="1350"/>
    <s v="W10796892"/>
    <s v="Agitadores"/>
    <x v="2"/>
    <n v="1000"/>
    <n v="5003024"/>
    <s v="RODOBRAS TRANSPORTES RODOVIARIOS LT"/>
    <n v="47.74"/>
    <d v="2025-05-26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915953"/>
    <s v="Manípulos"/>
    <x v="6"/>
    <n v="6000"/>
    <n v="5002858"/>
    <s v="FAVORITA TRANSPORTES LTDA"/>
    <n v="47.74"/>
    <d v="2025-07-15T00:00:00"/>
  </r>
  <r>
    <n v="254033097"/>
    <n v="64807220"/>
    <s v="REB"/>
    <n v="10083497"/>
    <n v="173"/>
    <s v="PEÇAS - Defeito de fabric./Alta Amperage"/>
    <s v="FUNCIONAL"/>
    <x v="2"/>
    <n v="66"/>
    <x v="73"/>
    <s v="GO"/>
    <n v="931"/>
    <s v="Ats Off"/>
    <n v="1350"/>
    <s v="W11245250"/>
    <s v="Válvulas de Água"/>
    <x v="5"/>
    <n v="1000"/>
    <n v="5002858"/>
    <s v="FAVORITA TRANSPORTES LTDA"/>
    <n v="47.73"/>
    <d v="2025-07-08T00:00:00"/>
  </r>
  <r>
    <n v="254033096"/>
    <n v="64807629"/>
    <s v="REB"/>
    <n v="10083497"/>
    <n v="173"/>
    <s v="PEÇAS - Defeito de fabric./Alta Amperage"/>
    <s v="FUNCIONAL"/>
    <x v="2"/>
    <n v="66"/>
    <x v="73"/>
    <s v="GO"/>
    <n v="931"/>
    <s v="Ats Off"/>
    <n v="1350"/>
    <s v="W11245250"/>
    <s v="Válvulas de Água"/>
    <x v="5"/>
    <n v="1000"/>
    <n v="5002858"/>
    <s v="FAVORITA TRANSPORTES LTDA"/>
    <n v="47.73"/>
    <d v="2025-07-08T00:00:00"/>
  </r>
  <r>
    <n v="254038388"/>
    <n v="64814891"/>
    <s v="REB"/>
    <n v="10066678"/>
    <n v="173"/>
    <s v="PEÇAS - Defeito de fabric./Alta Amperage"/>
    <s v="FUNCIONAL"/>
    <x v="1"/>
    <n v="67948"/>
    <x v="15"/>
    <s v="SC"/>
    <n v="713"/>
    <s v="Key Account"/>
    <n v="1350"/>
    <s v="W10742654"/>
    <s v="Motores Ventiladores"/>
    <x v="1"/>
    <n v="1000"/>
    <n v="5003024"/>
    <s v="RODOBRAS TRANSPORTES RODOVIARIOS LT"/>
    <n v="47.73"/>
    <d v="2025-07-22T00:00:00"/>
  </r>
  <r>
    <n v="253970750"/>
    <n v="64748399"/>
    <s v="REB"/>
    <n v="9348839"/>
    <n v="176"/>
    <s v="PEÇAS - Defeito de fabric./Interrompido"/>
    <s v="FUNCIONAL"/>
    <x v="2"/>
    <n v="24089"/>
    <x v="134"/>
    <s v="RJ"/>
    <n v="931"/>
    <s v="Ats Off"/>
    <n v="1350"/>
    <s v="W11091875"/>
    <s v="Termostatos"/>
    <x v="3"/>
    <n v="1000"/>
    <n v="5003176"/>
    <s v="J C THEDIN TRANSPORTES LTDA"/>
    <n v="47.63"/>
    <d v="2025-04-09T00:00:00"/>
  </r>
  <r>
    <n v="253983872"/>
    <n v="64759656"/>
    <s v="REB"/>
    <n v="9449090"/>
    <n v="176"/>
    <s v="PEÇAS - Defeito de fabric./Interrompido"/>
    <s v="FUNCIONAL"/>
    <x v="2"/>
    <n v="24089"/>
    <x v="134"/>
    <s v="RJ"/>
    <n v="931"/>
    <s v="Ats Off"/>
    <n v="1350"/>
    <s v="W10710769"/>
    <s v="Termostatos"/>
    <x v="3"/>
    <n v="1000"/>
    <n v="5003176"/>
    <s v="J C THEDIN TRANSPORTES LTDA"/>
    <n v="47.63"/>
    <d v="2025-04-28T00:00:00"/>
  </r>
  <r>
    <n v="254020438"/>
    <n v="64798142"/>
    <s v="ZRDI"/>
    <n v="10047628"/>
    <n v="208"/>
    <s v="DEV-Atraso entrega- LOGISTICA(Transp)"/>
    <s v="TRANSPORTADORA"/>
    <x v="2"/>
    <n v="58039859"/>
    <x v="1838"/>
    <s v="BA"/>
    <n v="466"/>
    <s v="Sup ML Marketplace"/>
    <n v="1352"/>
    <s v="W10212441"/>
    <s v="Prateleiras"/>
    <x v="9"/>
    <n v="1000"/>
    <n v="5002359"/>
    <s v="EMPRESA BRASILEIRA DE CORREIOS E"/>
    <n v="47.62"/>
    <d v="2025-06-25T00:00:00"/>
  </r>
  <r>
    <s v="Sem TR"/>
    <n v="64807960"/>
    <s v="ZRDI"/>
    <n v="10077788"/>
    <s v="D18"/>
    <s v="DEV D2C - Arrependimento não quero mais"/>
    <s v="COMERCIAL"/>
    <x v="2"/>
    <n v="52739701"/>
    <x v="1839"/>
    <s v="BA"/>
    <n v="466"/>
    <s v="Sup ML Marketplace"/>
    <n v="1352"/>
    <s v="W10212441"/>
    <s v="Prateleiras"/>
    <x v="9"/>
    <n v="1000"/>
    <n v="5002359"/>
    <s v="EMPRESA BRASILEIRA DE CORREIOS E"/>
    <n v="47.62"/>
    <d v="2025-07-10T00:00:00"/>
  </r>
  <r>
    <s v="Sem TR"/>
    <n v="64816999"/>
    <s v="ZRDI"/>
    <n v="10106200"/>
    <s v="D11"/>
    <s v="DEV D2C - Comprou prod dimensão errada"/>
    <s v="COMERCIAL"/>
    <x v="2"/>
    <n v="58117160"/>
    <x v="1840"/>
    <s v="BA"/>
    <n v="466"/>
    <s v="Sup ML Marketplace"/>
    <n v="1352"/>
    <s v="W10212441"/>
    <s v="Prateleiras"/>
    <x v="9"/>
    <n v="1000"/>
    <n v="5002359"/>
    <s v="EMPRESA BRASILEIRA DE CORREIOS E"/>
    <n v="47.62"/>
    <d v="2025-07-24T00:00:00"/>
  </r>
  <r>
    <s v="Sem TR"/>
    <n v="64807960"/>
    <s v="ZRDI"/>
    <n v="10077788"/>
    <s v="D18"/>
    <s v="DEV D2C - Arrependimento não quero mais"/>
    <s v="COMERCIAL"/>
    <x v="2"/>
    <n v="52739701"/>
    <x v="1839"/>
    <s v="BA"/>
    <n v="466"/>
    <s v="Sup ML Marketplace"/>
    <n v="1352"/>
    <s v="W10212441"/>
    <s v="Prateleiras"/>
    <x v="9"/>
    <n v="1000"/>
    <n v="5002359"/>
    <s v="EMPRESA BRASILEIRA DE CORREIOS E"/>
    <n v="47.62"/>
    <d v="2025-07-10T00:00:00"/>
  </r>
  <r>
    <s v="Sem TR"/>
    <n v="64816999"/>
    <s v="ZRDI"/>
    <n v="10106200"/>
    <s v="D11"/>
    <s v="DEV D2C - Comprou prod dimensão errada"/>
    <s v="COMERCIAL"/>
    <x v="2"/>
    <n v="58117160"/>
    <x v="1840"/>
    <s v="BA"/>
    <n v="466"/>
    <s v="Sup ML Marketplace"/>
    <n v="1352"/>
    <s v="W10212441"/>
    <s v="Prateleiras"/>
    <x v="9"/>
    <n v="1000"/>
    <n v="5002359"/>
    <s v="EMPRESA BRASILEIRA DE CORREIOS E"/>
    <n v="47.62"/>
    <d v="2025-07-24T00:00:00"/>
  </r>
  <r>
    <n v="253961295"/>
    <n v="64737306"/>
    <s v="REB"/>
    <n v="9660438"/>
    <n v="173"/>
    <s v="PEÇAS - Defeito de fabric./Alta Amperage"/>
    <s v="FUNCIONAL"/>
    <x v="1"/>
    <n v="29095"/>
    <x v="368"/>
    <s v="SP"/>
    <n v="933"/>
    <s v="Top"/>
    <n v="1350"/>
    <s v="W10310999"/>
    <s v="Motores Ventiladores"/>
    <x v="1"/>
    <n v="1000"/>
    <n v="5004042"/>
    <s v="BRASIL WEB TRANSPORTES E LOGISTICA"/>
    <n v="47.61"/>
    <d v="2025-03-24T00:00:00"/>
  </r>
  <r>
    <s v="Sem TR"/>
    <n v="64807160"/>
    <s v="REB"/>
    <n v="10048796"/>
    <n v="509"/>
    <s v="Qtd de peças a Menor dentro do Volume"/>
    <s v="LOGÍSTICA"/>
    <x v="1"/>
    <n v="47026"/>
    <x v="16"/>
    <s v="BA"/>
    <n v="643"/>
    <s v="Elite"/>
    <n v="1350"/>
    <s v="W11633905"/>
    <s v="Outros"/>
    <x v="7"/>
    <n v="4000"/>
    <n v="5002359"/>
    <s v="EMPRESA BRASILEIRA DE CORREIOS E"/>
    <n v="47.59"/>
    <d v="2025-07-08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1374521"/>
    <s v="Suportes"/>
    <x v="6"/>
    <n v="1000"/>
    <n v="5002359"/>
    <s v="EMPRESA BRASILEIRA DE CORREIOS E"/>
    <n v="47.57"/>
    <d v="2025-07-11T00:00:00"/>
  </r>
  <r>
    <n v="253953818"/>
    <n v="64731092"/>
    <s v="REB"/>
    <n v="9678324"/>
    <n v="176"/>
    <s v="PEÇAS - Defeito de fabric./Interrompido"/>
    <s v="FUNCIONAL"/>
    <x v="1"/>
    <n v="56605"/>
    <x v="268"/>
    <s v="AL"/>
    <n v="934"/>
    <s v="CDP Ouro"/>
    <n v="1350"/>
    <s v="W10168510"/>
    <s v="Motores Ventiladores"/>
    <x v="1"/>
    <n v="1000"/>
    <n v="5004101"/>
    <s v="UNIDOCK'S ASSESSORIA E LOGISTICA DE"/>
    <n v="47.55"/>
    <d v="2025-03-14T00:00:00"/>
  </r>
  <r>
    <n v="254038387"/>
    <n v="64807487"/>
    <s v="REB"/>
    <n v="10090174"/>
    <n v="173"/>
    <s v="PEÇAS - Defeito de fabric./Alta Amperage"/>
    <s v="FUNCIONAL"/>
    <x v="1"/>
    <n v="67948"/>
    <x v="15"/>
    <s v="SC"/>
    <n v="713"/>
    <s v="Key Account"/>
    <n v="1350"/>
    <s v="W10796892"/>
    <s v="Agitadores"/>
    <x v="2"/>
    <n v="1000"/>
    <n v="5003024"/>
    <s v="RODOBRAS TRANSPORTES RODOVIARIOS LT"/>
    <n v="47.53"/>
    <d v="2025-07-22T00:00:00"/>
  </r>
  <r>
    <n v="254028924"/>
    <n v="64802755"/>
    <s v="REB"/>
    <n v="10090174"/>
    <n v="173"/>
    <s v="PEÇAS - Defeito de fabric./Alta Amperage"/>
    <s v="FUNCIONAL"/>
    <x v="1"/>
    <n v="67948"/>
    <x v="15"/>
    <s v="SC"/>
    <n v="713"/>
    <s v="Key Account"/>
    <n v="1350"/>
    <s v="W10796892"/>
    <s v="Agitadores"/>
    <x v="2"/>
    <n v="1000"/>
    <n v="5003024"/>
    <s v="RODOBRAS TRANSPORTES RODOVIARIOS LT"/>
    <n v="47.53"/>
    <d v="2025-07-01T00:00:00"/>
  </r>
  <r>
    <n v="254028850"/>
    <n v="64808561"/>
    <s v="ZRDI"/>
    <n v="10078273"/>
    <s v="D25"/>
    <s v="DEV D2C - Prob na entrega (Não recebi)"/>
    <s v="TRANSPORTADORA"/>
    <x v="2"/>
    <n v="58073802"/>
    <x v="1841"/>
    <s v="MG"/>
    <n v="466"/>
    <s v="Sup ML Marketplace"/>
    <n v="1352"/>
    <s v="W10212441"/>
    <s v="Prateleiras"/>
    <x v="9"/>
    <n v="1000"/>
    <n v="5002359"/>
    <s v="EMPRESA BRASILEIRA DE CORREIOS E"/>
    <n v="47.49"/>
    <d v="2025-07-10T00:00:00"/>
  </r>
  <r>
    <s v="Sem TR"/>
    <n v="64779308"/>
    <s v="ZRDI"/>
    <n v="10059171"/>
    <s v="D18"/>
    <s v="DEV D2C - Arrependimento não quero mais"/>
    <s v="COMERCIAL"/>
    <x v="2"/>
    <n v="5706452"/>
    <x v="1842"/>
    <s v="RN"/>
    <n v="475"/>
    <s v="Site Consul"/>
    <n v="1352"/>
    <s v="W11715713"/>
    <s v="Outros"/>
    <x v="7"/>
    <n v="1000"/>
    <n v="5002359"/>
    <s v="EMPRESA BRASILEIRA DE CORREIOS E"/>
    <n v="47.48"/>
    <d v="2025-06-17T00:00:00"/>
  </r>
  <r>
    <s v="Sem TR"/>
    <n v="64802076"/>
    <s v="ZRDI"/>
    <n v="10061426"/>
    <s v="D25"/>
    <s v="DEV D2C - Prob na entrega (Não recebi)"/>
    <s v="TRANSPORTADORA"/>
    <x v="2"/>
    <n v="58056767"/>
    <x v="1843"/>
    <s v="SE"/>
    <n v="475"/>
    <s v="Site Consul"/>
    <n v="1352"/>
    <s v="W10388134"/>
    <s v="Pés"/>
    <x v="6"/>
    <n v="2000"/>
    <n v="5002359"/>
    <s v="EMPRESA BRASILEIRA DE CORREIOS E"/>
    <n v="47.44"/>
    <d v="2025-07-01T00:00:00"/>
  </r>
  <r>
    <s v="Sem TR"/>
    <n v="64802076"/>
    <s v="ZRDI"/>
    <n v="10061426"/>
    <s v="D25"/>
    <s v="DEV D2C - Prob na entrega (Não recebi)"/>
    <s v="TRANSPORTADORA"/>
    <x v="2"/>
    <n v="58056767"/>
    <x v="1843"/>
    <s v="SE"/>
    <n v="475"/>
    <s v="Site Consul"/>
    <n v="1352"/>
    <s v="W10388134"/>
    <s v="Pés"/>
    <x v="6"/>
    <n v="2000"/>
    <n v="5002359"/>
    <s v="EMPRESA BRASILEIRA DE CORREIOS E"/>
    <n v="47.44"/>
    <d v="2025-07-01T00:00:00"/>
  </r>
  <r>
    <n v="254012497"/>
    <n v="64781647"/>
    <s v="REB"/>
    <n v="10041366"/>
    <n v="104"/>
    <s v="PEÇAS-Código trocado(embalag X conteúdo)"/>
    <s v="LOGÍSTICA"/>
    <x v="1"/>
    <n v="28303"/>
    <x v="1844"/>
    <s v="PB"/>
    <n v="641"/>
    <s v="CDP Diamante"/>
    <n v="1350"/>
    <s v="W10292562"/>
    <s v="Capas"/>
    <x v="6"/>
    <n v="2000"/>
    <n v="5004101"/>
    <s v="UNIDOCK'S ASSESSORIA E LOGISTICA DE"/>
    <n v="47.35"/>
    <d v="2025-06-10T00:00:00"/>
  </r>
  <r>
    <n v="254024627"/>
    <n v="64804722"/>
    <s v="ZRDI"/>
    <n v="10081633"/>
    <n v="208"/>
    <s v="DEV-Atraso entrega- LOGISTICA(Transp)"/>
    <s v="TRANSPORTADORA"/>
    <x v="2"/>
    <n v="52782168"/>
    <x v="1845"/>
    <s v="CE"/>
    <n v="474"/>
    <s v="Site Brastemp"/>
    <n v="1352"/>
    <s v="W10349302"/>
    <s v="Filtros"/>
    <x v="5"/>
    <n v="1000"/>
    <n v="5002359"/>
    <s v="EMPRESA BRASILEIRA DE CORREIOS E"/>
    <n v="47.35"/>
    <d v="2025-07-02T00:00:00"/>
  </r>
  <r>
    <n v="253886229"/>
    <n v="64653876"/>
    <s v="REB"/>
    <n v="9738479"/>
    <n v="173"/>
    <s v="PEÇAS - Defeito de fabric./Alta Amperage"/>
    <s v="FUNCIONAL"/>
    <x v="1"/>
    <n v="9452"/>
    <x v="42"/>
    <s v="SP"/>
    <n v="931"/>
    <s v="Ats Off"/>
    <n v="1350"/>
    <s v="W11309028"/>
    <s v="Dobradiças"/>
    <x v="10"/>
    <n v="1000"/>
    <n v="5003254"/>
    <s v="TMA TRANSPORTE LOTACAO E LOGISTICA"/>
    <n v="47.22"/>
    <d v="2024-11-29T00:00:00"/>
  </r>
  <r>
    <s v="Sem TR"/>
    <n v="64729888"/>
    <s v="REB"/>
    <n v="49015"/>
    <n v="509"/>
    <s v="Qtd de peças a Menor dentro do Volume"/>
    <s v="LOGÍSTICA"/>
    <x v="2"/>
    <n v="61868"/>
    <x v="290"/>
    <s v="MA"/>
    <n v="643"/>
    <s v="Elite"/>
    <n v="1550"/>
    <s v="W10882241"/>
    <s v="Agitadores"/>
    <x v="2"/>
    <n v="1000"/>
    <n v="5002359"/>
    <s v="EMPRESA BRASILEIRA DE CORREIOS E"/>
    <n v="47.17"/>
    <d v="2025-03-25T00:00:00"/>
  </r>
  <r>
    <n v="254033359"/>
    <n v="64799363"/>
    <s v="REB"/>
    <n v="10047933"/>
    <n v="168"/>
    <s v="PEÇAS-Def.Fabric.Empenamento/Abaulamento"/>
    <s v="FUNCIONAL"/>
    <x v="0"/>
    <n v="28991"/>
    <x v="65"/>
    <s v="MG"/>
    <n v="643"/>
    <s v="Elite"/>
    <n v="1350"/>
    <s v="W10882241"/>
    <s v="Agitadores"/>
    <x v="2"/>
    <n v="1000"/>
    <n v="5004215"/>
    <s v="BRASIL WEB TRANSPORTES E LOGISTICA"/>
    <n v="47.14"/>
    <d v="2025-07-08T00:00:00"/>
  </r>
  <r>
    <s v="Sem TR"/>
    <n v="64702152"/>
    <s v="REB"/>
    <n v="9815135"/>
    <n v="671"/>
    <s v="DEV-ENVIADO PARA GESTÃO DE CONSEQUENCIA"/>
    <s v="TRANSPORTADORA"/>
    <x v="1"/>
    <n v="68085"/>
    <x v="4"/>
    <s v="SP"/>
    <n v="643"/>
    <s v="Elite"/>
    <n v="1350"/>
    <s v="W10237733"/>
    <s v="Dobradiças"/>
    <x v="10"/>
    <n v="5000"/>
    <n v="5004042"/>
    <s v="BRASIL WEB TRANSPORTES E LOGISTICA"/>
    <n v="47"/>
    <d v="2025-01-29T00:00:00"/>
  </r>
  <r>
    <n v="253983978"/>
    <n v="64759666"/>
    <s v="ZDVP"/>
    <n v="9909504"/>
    <n v="176"/>
    <s v="PEÇAS - Defeito de fabric./Interrompido"/>
    <s v="FUNCIONAL"/>
    <x v="2"/>
    <n v="24089"/>
    <x v="134"/>
    <s v="RJ"/>
    <n v="931"/>
    <s v="Ats Off"/>
    <n v="1350"/>
    <s v="W10399715"/>
    <s v="Motores Ventiladores"/>
    <x v="1"/>
    <n v="1000"/>
    <n v="5003176"/>
    <s v="J C THEDIN TRANSPORTES LTDA"/>
    <n v="46.98"/>
    <d v="2025-04-28T00:00:00"/>
  </r>
  <r>
    <n v="254041605"/>
    <n v="64732104"/>
    <s v="ZDVP"/>
    <n v="9909504"/>
    <n v="176"/>
    <s v="PEÇAS - Defeito de fabric./Interrompido"/>
    <s v="FUNCIONAL"/>
    <x v="0"/>
    <n v="24089"/>
    <x v="134"/>
    <s v="RJ"/>
    <n v="931"/>
    <s v="Ats Off"/>
    <n v="1350"/>
    <s v="W10399715"/>
    <s v="Motores Ventiladores"/>
    <x v="1"/>
    <n v="1000"/>
    <n v="5003176"/>
    <s v="J C THEDIN TRANSPORTES LTDA"/>
    <n v="46.98"/>
    <d v="2025-03-14T00:00:00"/>
  </r>
  <r>
    <n v="254036526"/>
    <n v="64814348"/>
    <s v="ZRDI"/>
    <n v="10065535"/>
    <n v="208"/>
    <s v="DEV-Atraso entrega- LOGISTICA(Transp)"/>
    <s v="TRANSPORTADORA"/>
    <x v="2"/>
    <n v="58061647"/>
    <x v="1846"/>
    <s v="BA"/>
    <n v="475"/>
    <s v="Site Consul"/>
    <n v="1352"/>
    <s v="W11360276"/>
    <s v="Filtros"/>
    <x v="5"/>
    <n v="1000"/>
    <n v="5002359"/>
    <s v="EMPRESA BRASILEIRA DE CORREIOS E"/>
    <n v="46.92"/>
    <d v="2025-07-22T00:00:00"/>
  </r>
  <r>
    <n v="254007536"/>
    <n v="64782314"/>
    <s v="REB"/>
    <n v="10004699"/>
    <n v="176"/>
    <s v="PEÇAS - Defeito de fabric./Interrompido"/>
    <s v="FUNCIONAL"/>
    <x v="1"/>
    <n v="14474"/>
    <x v="25"/>
    <s v="RN"/>
    <n v="648"/>
    <s v="Ultra"/>
    <n v="1350"/>
    <s v="W10310999"/>
    <s v="Motores Ventiladores"/>
    <x v="1"/>
    <n v="1000"/>
    <n v="5004101"/>
    <s v="UNIDOCK'S ASSESSORIA E LOGISTICA DE"/>
    <n v="46.87"/>
    <d v="2025-06-02T00:00:00"/>
  </r>
  <r>
    <s v="Sem TR"/>
    <n v="64804870"/>
    <s v="ZRDI"/>
    <n v="10086948"/>
    <s v="D19"/>
    <s v="DEV D2C - Entrega atrasada"/>
    <s v="COMERCIAL"/>
    <x v="2"/>
    <n v="56110193"/>
    <x v="1847"/>
    <s v="SP"/>
    <n v="475"/>
    <s v="Site Consul"/>
    <n v="1352"/>
    <s v="W10476183"/>
    <s v="Prateleiras"/>
    <x v="9"/>
    <n v="1000"/>
    <n v="5003972"/>
    <s v="ICARO EXPRESS LOGISTICA LTDA"/>
    <n v="46.87"/>
    <d v="2025-07-03T00:00:00"/>
  </r>
  <r>
    <s v="Sem TR"/>
    <n v="64804870"/>
    <s v="ZRDI"/>
    <n v="10086948"/>
    <s v="D19"/>
    <s v="DEV D2C - Entrega atrasada"/>
    <s v="COMERCIAL"/>
    <x v="2"/>
    <n v="56110193"/>
    <x v="1847"/>
    <s v="SP"/>
    <n v="475"/>
    <s v="Site Consul"/>
    <n v="1352"/>
    <s v="W10476183"/>
    <s v="Prateleiras"/>
    <x v="9"/>
    <n v="1000"/>
    <n v="5003972"/>
    <s v="ICARO EXPRESS LOGISTICA LTDA"/>
    <n v="46.87"/>
    <d v="2025-07-03T00:00:00"/>
  </r>
  <r>
    <n v="253995224"/>
    <n v="64771194"/>
    <s v="REB"/>
    <n v="9993625"/>
    <n v="173"/>
    <s v="PEÇAS - Defeito de fabric./Alta Amperage"/>
    <s v="FUNCIONAL"/>
    <x v="2"/>
    <n v="72332"/>
    <x v="190"/>
    <s v="RJ"/>
    <n v="933"/>
    <s v="Top"/>
    <n v="1350"/>
    <s v="W10399715"/>
    <s v="Motores Ventiladores"/>
    <x v="1"/>
    <n v="1000"/>
    <n v="5003176"/>
    <s v="J C THEDIN TRANSPORTES LTDA"/>
    <n v="46.83"/>
    <d v="2025-05-15T00:00:00"/>
  </r>
  <r>
    <s v="Sem TR"/>
    <n v="64787814"/>
    <s v="ZRDI"/>
    <n v="10050287"/>
    <n v="160"/>
    <s v="OI Cancelada - Ver motivo no texto"/>
    <s v="OUTROS"/>
    <x v="2"/>
    <n v="58043557"/>
    <x v="1848"/>
    <s v="SC"/>
    <n v="474"/>
    <s v="Site Brastemp"/>
    <n v="1352"/>
    <s v="W10686098"/>
    <s v="Manípulos"/>
    <x v="6"/>
    <n v="1000"/>
    <n v="5002359"/>
    <s v="EMPRESA BRASILEIRA DE CORREIOS E"/>
    <n v="46.8"/>
    <d v="2025-06-06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1629065"/>
    <s v="Outros"/>
    <x v="7"/>
    <n v="4000"/>
    <n v="5004101"/>
    <s v="UNIDOCK'S ASSESSORIA E LOGISTICA DE"/>
    <n v="46.79"/>
    <d v="2025-03-13T00:00:00"/>
  </r>
  <r>
    <s v="Sem TR"/>
    <n v="64799396"/>
    <s v="ZRDI"/>
    <n v="10118604"/>
    <s v="D10"/>
    <s v="DEV D2C - Comprou modelo errado"/>
    <s v="COMERCIAL"/>
    <x v="1"/>
    <n v="57832012"/>
    <x v="1849"/>
    <s v="MS"/>
    <n v="474"/>
    <s v="Site Brastemp"/>
    <n v="1352"/>
    <s v="W10423222"/>
    <s v="Prateleiras"/>
    <x v="9"/>
    <n v="1000"/>
    <n v="5002359"/>
    <s v="EMPRESA BRASILEIRA DE CORREIOS E"/>
    <n v="46.74"/>
    <d v="2025-07-28T00:00:00"/>
  </r>
  <r>
    <n v="254042244"/>
    <n v="64795382"/>
    <s v="REB"/>
    <n v="9952866"/>
    <n v="176"/>
    <s v="PEÇAS - Defeito de fabric./Interrompido"/>
    <s v="FUNCIONAL"/>
    <x v="0"/>
    <n v="19716"/>
    <x v="252"/>
    <s v="SC"/>
    <n v="644"/>
    <s v="Plus"/>
    <n v="1350"/>
    <s v="W10882241"/>
    <s v="Agitadores"/>
    <x v="2"/>
    <n v="1000"/>
    <n v="5003024"/>
    <s v="RODOBRAS TRANSPORTES RODOVIARIOS LT"/>
    <n v="46.71"/>
    <d v="2025-06-23T00:00:00"/>
  </r>
  <r>
    <n v="254041952"/>
    <n v="64795895"/>
    <s v="REB"/>
    <n v="9952866"/>
    <n v="176"/>
    <s v="PEÇAS - Defeito de fabric./Interrompido"/>
    <s v="FUNCIONAL"/>
    <x v="0"/>
    <n v="19716"/>
    <x v="252"/>
    <s v="SC"/>
    <n v="644"/>
    <s v="Plus"/>
    <n v="1350"/>
    <s v="W10882241"/>
    <s v="Agitadores"/>
    <x v="2"/>
    <n v="1000"/>
    <n v="5003024"/>
    <s v="RODOBRAS TRANSPORTES RODOVIARIOS LT"/>
    <n v="46.71"/>
    <d v="2025-06-23T00:00:00"/>
  </r>
  <r>
    <n v="254027699"/>
    <n v="64807253"/>
    <s v="ZRDI"/>
    <n v="10102639"/>
    <n v="208"/>
    <s v="DEV-Atraso entrega- LOGISTICA(Transp)"/>
    <s v="TRANSPORTADORA"/>
    <x v="2"/>
    <n v="58111896"/>
    <x v="1850"/>
    <s v="MG"/>
    <n v="475"/>
    <s v="Site Consul"/>
    <n v="1352"/>
    <s v="W10515645"/>
    <s v="Filtros"/>
    <x v="5"/>
    <n v="1000"/>
    <n v="5002359"/>
    <s v="EMPRESA BRASILEIRA DE CORREIOS E"/>
    <n v="46.7"/>
    <d v="2025-07-08T00:00:00"/>
  </r>
  <r>
    <n v="254033967"/>
    <n v="64812526"/>
    <s v="ZRDI"/>
    <n v="10103463"/>
    <n v="208"/>
    <s v="DEV-Atraso entrega- LOGISTICA(Transp)"/>
    <s v="TRANSPORTADORA"/>
    <x v="2"/>
    <n v="58115420"/>
    <x v="1851"/>
    <s v="MG"/>
    <n v="475"/>
    <s v="Site Consul"/>
    <n v="1352"/>
    <s v="W10515645"/>
    <s v="Filtros"/>
    <x v="5"/>
    <n v="1000"/>
    <n v="5002359"/>
    <s v="EMPRESA BRASILEIRA DE CORREIOS E"/>
    <n v="46.7"/>
    <d v="2025-07-17T00:00:00"/>
  </r>
  <r>
    <n v="254040403"/>
    <n v="64818307"/>
    <s v="ZRDI"/>
    <n v="10106236"/>
    <n v="208"/>
    <s v="DEV-Atraso entrega- LOGISTICA(Transp)"/>
    <s v="TRANSPORTADORA"/>
    <x v="2"/>
    <n v="58117925"/>
    <x v="1852"/>
    <s v="MG"/>
    <n v="475"/>
    <s v="Site Consul"/>
    <n v="1352"/>
    <s v="W10515645"/>
    <s v="Filtros"/>
    <x v="5"/>
    <n v="1000"/>
    <n v="5002359"/>
    <s v="EMPRESA BRASILEIRA DE CORREIOS E"/>
    <n v="46.7"/>
    <d v="2025-07-26T00:00:00"/>
  </r>
  <r>
    <n v="254040403"/>
    <n v="64818307"/>
    <s v="ZRDI"/>
    <n v="10106236"/>
    <n v="208"/>
    <s v="DEV-Atraso entrega- LOGISTICA(Transp)"/>
    <s v="TRANSPORTADORA"/>
    <x v="2"/>
    <n v="58117925"/>
    <x v="1852"/>
    <s v="MG"/>
    <n v="475"/>
    <s v="Site Consul"/>
    <n v="1352"/>
    <s v="W10515645"/>
    <s v="Filtros"/>
    <x v="5"/>
    <n v="1000"/>
    <n v="5002359"/>
    <s v="EMPRESA BRASILEIRA DE CORREIOS E"/>
    <n v="46.7"/>
    <d v="2025-07-26T00:00:00"/>
  </r>
  <r>
    <n v="253970783"/>
    <n v="64747157"/>
    <s v="REB"/>
    <n v="9788340"/>
    <n v="176"/>
    <s v="PEÇAS - Defeito de fabric./Interrompido"/>
    <s v="FUNCIONAL"/>
    <x v="1"/>
    <n v="31537"/>
    <x v="523"/>
    <s v="RS"/>
    <n v="641"/>
    <s v="CDP Diamante"/>
    <n v="1350"/>
    <s v="W10714366"/>
    <s v="Válvulas de Água"/>
    <x v="5"/>
    <n v="1000"/>
    <n v="5003024"/>
    <s v="RODOBRAS TRANSPORTES RODOVIARIOS LT"/>
    <n v="46.7"/>
    <d v="2025-04-09T00:00:00"/>
  </r>
  <r>
    <n v="253883043"/>
    <n v="64649707"/>
    <s v="REB"/>
    <n v="9559285"/>
    <n v="173"/>
    <s v="PEÇAS - Defeito de fabric./Alta Amperage"/>
    <s v="FUNCIONAL"/>
    <x v="1"/>
    <n v="33661"/>
    <x v="0"/>
    <s v="SP"/>
    <n v="643"/>
    <s v="Elite"/>
    <n v="1350"/>
    <s v="W10764578"/>
    <s v="Conjunto Varetas"/>
    <x v="8"/>
    <n v="1000"/>
    <n v="5003254"/>
    <s v="TMA TRANSPORTE LOTACAO E LOGISTICA"/>
    <n v="46.7"/>
    <d v="2024-11-21T00:00:00"/>
  </r>
  <r>
    <n v="254026099"/>
    <n v="64800036"/>
    <s v="ZRDI"/>
    <n v="10021826"/>
    <n v="208"/>
    <s v="DEV-Atraso entrega- LOGISTICA(Transp)"/>
    <s v="TRANSPORTADORA"/>
    <x v="2"/>
    <n v="50244578"/>
    <x v="1853"/>
    <s v="PI"/>
    <n v="475"/>
    <s v="Site Consul"/>
    <n v="1352"/>
    <s v="W11715713"/>
    <s v="Outros"/>
    <x v="7"/>
    <n v="1000"/>
    <n v="5002359"/>
    <s v="EMPRESA BRASILEIRA DE CORREIOS E"/>
    <n v="46.68"/>
    <d v="2025-07-04T00:00:00"/>
  </r>
  <r>
    <n v="253998137"/>
    <n v="64729261"/>
    <s v="REB"/>
    <n v="9608816"/>
    <n v="173"/>
    <s v="PEÇAS - Defeito de fabric./Alta Amperage"/>
    <s v="FUNCIONAL"/>
    <x v="2"/>
    <n v="81093"/>
    <x v="53"/>
    <s v="ES"/>
    <n v="713"/>
    <s v="Key Account"/>
    <n v="1350"/>
    <s v="W10796892"/>
    <s v="Agitadores"/>
    <x v="2"/>
    <n v="1000"/>
    <n v="5004042"/>
    <s v="BRASIL WEB TRANSPORTES E LOGISTICA"/>
    <n v="46.57"/>
    <d v="2025-03-10T00:00:00"/>
  </r>
  <r>
    <n v="253983423"/>
    <n v="64761661"/>
    <s v="ROB"/>
    <n v="50601"/>
    <n v="205"/>
    <s v="DEV-Desacordo c/pedido-LOGISTICA(Transp)"/>
    <s v="TRANSPORTADORA"/>
    <x v="2"/>
    <n v="87267"/>
    <x v="1854"/>
    <s v="BA"/>
    <n v="350"/>
    <s v="Ats On"/>
    <n v="1550"/>
    <s v="W10882241"/>
    <s v="Agitadores"/>
    <x v="2"/>
    <n v="1000"/>
    <n v="5000253"/>
    <s v="TRANSPORTADOR GENERICO"/>
    <n v="46.56"/>
    <d v="2025-04-30T00:00:00"/>
  </r>
  <r>
    <n v="254004051"/>
    <n v="64776201"/>
    <s v="REB"/>
    <n v="9843157"/>
    <n v="173"/>
    <s v="PEÇAS - Defeito de fabric./Alta Amperage"/>
    <s v="FUNCIONAL"/>
    <x v="2"/>
    <n v="72253"/>
    <x v="349"/>
    <s v="SC"/>
    <n v="933"/>
    <s v="Top"/>
    <n v="1350"/>
    <s v="W11082454"/>
    <s v="Termostatos"/>
    <x v="3"/>
    <n v="1000"/>
    <n v="5003024"/>
    <s v="RODOBRAS TRANSPORTES RODOVIARIOS LT"/>
    <n v="46.5"/>
    <d v="2025-05-26T00:00:00"/>
  </r>
  <r>
    <s v="Sem TR"/>
    <n v="64810351"/>
    <s v="ZRDI"/>
    <n v="10108325"/>
    <s v="D31"/>
    <s v="DEV D2C - Defeito estético manufatura"/>
    <s v="MANUFATURA"/>
    <x v="2"/>
    <n v="56274995"/>
    <x v="1855"/>
    <s v="RJ"/>
    <n v="475"/>
    <s v="Site Consul"/>
    <n v="1352"/>
    <s v="W11375416"/>
    <s v="Tampas Móveis"/>
    <x v="6"/>
    <n v="1000"/>
    <n v="5002359"/>
    <s v="EMPRESA BRASILEIRA DE CORREIOS E"/>
    <n v="46.48"/>
    <d v="2025-07-15T00:00:00"/>
  </r>
  <r>
    <s v="Sem TR"/>
    <n v="64810351"/>
    <s v="ZRDI"/>
    <n v="10108325"/>
    <s v="D31"/>
    <s v="DEV D2C - Defeito estético manufatura"/>
    <s v="MANUFATURA"/>
    <x v="2"/>
    <n v="56274995"/>
    <x v="1855"/>
    <s v="RJ"/>
    <n v="475"/>
    <s v="Site Consul"/>
    <n v="1352"/>
    <s v="W11375416"/>
    <s v="Tampas Móveis"/>
    <x v="6"/>
    <n v="1000"/>
    <n v="5002359"/>
    <s v="EMPRESA BRASILEIRA DE CORREIOS E"/>
    <n v="46.48"/>
    <d v="2025-07-15T00:00:00"/>
  </r>
  <r>
    <n v="254033389"/>
    <n v="64802563"/>
    <s v="REB"/>
    <n v="10017966"/>
    <n v="90"/>
    <s v="CLIENTE-não solicitou"/>
    <s v="COMERCIAL"/>
    <x v="1"/>
    <n v="32856"/>
    <x v="60"/>
    <s v="PR"/>
    <n v="713"/>
    <s v="Key Account"/>
    <n v="1350"/>
    <s v="W11082462"/>
    <s v="Termostatos"/>
    <x v="3"/>
    <n v="1000"/>
    <n v="5003024"/>
    <s v="RODOBRAS TRANSPORTES RODOVIARIOS LT"/>
    <n v="46.47"/>
    <d v="2025-07-01T00:00:00"/>
  </r>
  <r>
    <n v="253913084"/>
    <n v="64684902"/>
    <s v="REB"/>
    <n v="9538386"/>
    <n v="176"/>
    <s v="PEÇAS - Defeito de fabric./Interrompido"/>
    <s v="FUNCIONAL"/>
    <x v="2"/>
    <n v="24089"/>
    <x v="134"/>
    <s v="RJ"/>
    <n v="931"/>
    <s v="Ats Off"/>
    <n v="1350"/>
    <s v="W10505773"/>
    <s v="Redes Elétricas"/>
    <x v="1"/>
    <n v="1000"/>
    <n v="5003176"/>
    <s v="J C THEDIN TRANSPORTES LTDA"/>
    <n v="46.43"/>
    <d v="2025-01-06T00:00:00"/>
  </r>
  <r>
    <s v="Sem TR"/>
    <n v="64815255"/>
    <s v="ZRDI"/>
    <n v="10132626"/>
    <s v="D35"/>
    <s v="DEV D2C - Prod difere do comprado"/>
    <s v="COMERCIAL"/>
    <x v="2"/>
    <n v="58151485"/>
    <x v="461"/>
    <s v="SP"/>
    <n v="474"/>
    <s v="Site Brastemp"/>
    <n v="1352"/>
    <s v="W10866793"/>
    <s v="Outros"/>
    <x v="7"/>
    <n v="1000"/>
    <n v="5002359"/>
    <s v="EMPRESA BRASILEIRA DE CORREIOS E"/>
    <n v="46.43"/>
    <d v="2025-07-24T00:00:00"/>
  </r>
  <r>
    <s v="Sem TR"/>
    <n v="64815255"/>
    <s v="ZRDI"/>
    <n v="10132626"/>
    <s v="D35"/>
    <s v="DEV D2C - Prod difere do comprado"/>
    <s v="COMERCIAL"/>
    <x v="2"/>
    <n v="58151485"/>
    <x v="461"/>
    <s v="SP"/>
    <n v="474"/>
    <s v="Site Brastemp"/>
    <n v="1352"/>
    <s v="W10866793"/>
    <s v="Outros"/>
    <x v="7"/>
    <n v="1000"/>
    <n v="5002359"/>
    <s v="EMPRESA BRASILEIRA DE CORREIOS E"/>
    <n v="46.43"/>
    <d v="2025-07-24T00:00:00"/>
  </r>
  <r>
    <n v="254032581"/>
    <n v="64811524"/>
    <s v="ZRDI"/>
    <n v="10112697"/>
    <n v="208"/>
    <s v="DEV-Atraso entrega- LOGISTICA(Transp)"/>
    <s v="TRANSPORTADORA"/>
    <x v="2"/>
    <n v="58124444"/>
    <x v="1856"/>
    <s v="SC"/>
    <n v="466"/>
    <s v="Sup ML Marketplace"/>
    <n v="1352"/>
    <s v="W10515645"/>
    <s v="Filtros"/>
    <x v="5"/>
    <n v="1000"/>
    <n v="5002359"/>
    <s v="EMPRESA BRASILEIRA DE CORREIOS E"/>
    <n v="46.42"/>
    <d v="2025-07-16T00:00:00"/>
  </r>
  <r>
    <n v="254032581"/>
    <n v="64811524"/>
    <s v="ZRDI"/>
    <n v="10112697"/>
    <n v="208"/>
    <s v="DEV-Atraso entrega- LOGISTICA(Transp)"/>
    <s v="TRANSPORTADORA"/>
    <x v="2"/>
    <n v="58124444"/>
    <x v="1856"/>
    <s v="SC"/>
    <n v="466"/>
    <s v="Sup ML Marketplace"/>
    <n v="1352"/>
    <s v="W10515645"/>
    <s v="Filtros"/>
    <x v="5"/>
    <n v="1000"/>
    <n v="5002359"/>
    <s v="EMPRESA BRASILEIRA DE CORREIOS E"/>
    <n v="46.42"/>
    <d v="2025-07-16T00:00:00"/>
  </r>
  <r>
    <s v="Sem TR"/>
    <n v="64799609"/>
    <s v="ZRDI"/>
    <n v="10086244"/>
    <s v="D25"/>
    <s v="DEV D2C - Prob na entrega (Não recebi)"/>
    <s v="TRANSPORTADORA"/>
    <x v="2"/>
    <n v="51313281"/>
    <x v="1857"/>
    <s v="SP"/>
    <n v="475"/>
    <s v="Site Consul"/>
    <n v="1352"/>
    <s v="W10515645"/>
    <s v="Filtros"/>
    <x v="5"/>
    <n v="1000"/>
    <n v="5002359"/>
    <s v="EMPRESA BRASILEIRA DE CORREIOS E"/>
    <n v="46.4"/>
    <d v="2025-06-27T00:00:00"/>
  </r>
  <r>
    <n v="254022272"/>
    <n v="64799883"/>
    <s v="ZRDI"/>
    <n v="10083830"/>
    <n v="208"/>
    <s v="DEV-Atraso entrega- LOGISTICA(Transp)"/>
    <s v="TRANSPORTADORA"/>
    <x v="2"/>
    <n v="53148542"/>
    <x v="1858"/>
    <s v="SP"/>
    <n v="475"/>
    <s v="Site Consul"/>
    <n v="1352"/>
    <s v="W10515645"/>
    <s v="Filtros"/>
    <x v="5"/>
    <n v="1000"/>
    <n v="5002359"/>
    <s v="EMPRESA BRASILEIRA DE CORREIOS E"/>
    <n v="46.4"/>
    <d v="2025-06-27T00:00:00"/>
  </r>
  <r>
    <s v="Sem TR"/>
    <n v="64799609"/>
    <s v="ZRDI"/>
    <n v="10086244"/>
    <s v="D25"/>
    <s v="DEV D2C - Prob na entrega (Não recebi)"/>
    <s v="TRANSPORTADORA"/>
    <x v="2"/>
    <n v="51313281"/>
    <x v="1857"/>
    <s v="SP"/>
    <n v="475"/>
    <s v="Site Consul"/>
    <n v="1352"/>
    <s v="W10515645"/>
    <s v="Filtros"/>
    <x v="5"/>
    <n v="1000"/>
    <n v="5002359"/>
    <s v="EMPRESA BRASILEIRA DE CORREIOS E"/>
    <n v="46.4"/>
    <d v="2025-06-27T00:00:00"/>
  </r>
  <r>
    <n v="254030456"/>
    <n v="64796053"/>
    <s v="REB"/>
    <n v="10082071"/>
    <n v="90"/>
    <s v="CLIENTE-não solicitou"/>
    <s v="COMERCIAL"/>
    <x v="1"/>
    <n v="3467"/>
    <x v="115"/>
    <s v="SP"/>
    <n v="931"/>
    <s v="Ats Off"/>
    <n v="1350"/>
    <s v="W11553928"/>
    <s v="Filtros"/>
    <x v="5"/>
    <n v="3000"/>
    <n v="5004042"/>
    <s v="BRASIL WEB TRANSPORTES E LOGISTICA"/>
    <n v="46.39"/>
    <d v="2025-07-01T00:00:00"/>
  </r>
  <r>
    <n v="254042205"/>
    <n v="64795941"/>
    <s v="REB"/>
    <n v="10004699"/>
    <n v="173"/>
    <s v="PEÇAS - Defeito de fabric./Alta Amperage"/>
    <s v="FUNCIONAL"/>
    <x v="0"/>
    <n v="14474"/>
    <x v="25"/>
    <s v="RN"/>
    <n v="648"/>
    <s v="Ultra"/>
    <n v="1350"/>
    <s v="W11082463"/>
    <s v="Termostatos"/>
    <x v="3"/>
    <n v="1000"/>
    <n v="5004101"/>
    <s v="UNIDOCK'S ASSESSORIA E LOGISTICA DE"/>
    <n v="46.38"/>
    <d v="2025-06-23T00:00:00"/>
  </r>
  <r>
    <s v="Sem TR"/>
    <n v="64727069"/>
    <s v="REB"/>
    <n v="9555700"/>
    <n v="160"/>
    <s v="OI Cancelada - Ver motivo no texto"/>
    <s v="OUTROS"/>
    <x v="1"/>
    <n v="3506"/>
    <x v="46"/>
    <s v="SP"/>
    <n v="931"/>
    <s v="Ats Off"/>
    <n v="1350"/>
    <n v="326059491"/>
    <s v="Micro Chaves/Reed Switches"/>
    <x v="3"/>
    <n v="1000"/>
    <n v="5004042"/>
    <s v="BRASIL WEB TRANSPORTES E LOGISTICA"/>
    <n v="46.28"/>
    <d v="2025-03-07T00:00:00"/>
  </r>
  <r>
    <n v="254032500"/>
    <n v="64811463"/>
    <s v="ZRDI"/>
    <n v="10060790"/>
    <n v="208"/>
    <s v="DEV-Atraso entrega- LOGISTICA(Transp)"/>
    <s v="TRANSPORTADORA"/>
    <x v="2"/>
    <n v="5976489"/>
    <x v="462"/>
    <s v="PE"/>
    <n v="474"/>
    <s v="Site Brastemp"/>
    <n v="1352"/>
    <s v="W11100356"/>
    <s v="Outros"/>
    <x v="7"/>
    <n v="1000"/>
    <n v="5002359"/>
    <s v="EMPRESA BRASILEIRA DE CORREIOS E"/>
    <n v="46.27"/>
    <d v="2025-07-16T00:00:00"/>
  </r>
  <r>
    <n v="254040395"/>
    <n v="64818299"/>
    <s v="ZRDI"/>
    <n v="10091735"/>
    <n v="208"/>
    <s v="DEV-Atraso entrega- LOGISTICA(Transp)"/>
    <s v="TRANSPORTADORA"/>
    <x v="2"/>
    <n v="58094257"/>
    <x v="1859"/>
    <s v="CE"/>
    <n v="474"/>
    <s v="Site Brastemp"/>
    <n v="1352"/>
    <s v="W10652956"/>
    <s v="Redes Elétricas"/>
    <x v="1"/>
    <n v="1000"/>
    <n v="5002359"/>
    <s v="EMPRESA BRASILEIRA DE CORREIOS E"/>
    <n v="46.26"/>
    <d v="2025-07-26T00:00:00"/>
  </r>
  <r>
    <n v="254040395"/>
    <n v="64818299"/>
    <s v="ZRDI"/>
    <n v="10091735"/>
    <n v="208"/>
    <s v="DEV-Atraso entrega- LOGISTICA(Transp)"/>
    <s v="TRANSPORTADORA"/>
    <x v="2"/>
    <n v="58094257"/>
    <x v="1859"/>
    <s v="CE"/>
    <n v="474"/>
    <s v="Site Brastemp"/>
    <n v="1352"/>
    <s v="W10652956"/>
    <s v="Redes Elétricas"/>
    <x v="1"/>
    <n v="1000"/>
    <n v="5002359"/>
    <s v="EMPRESA BRASILEIRA DE CORREIOS E"/>
    <n v="46.26"/>
    <d v="2025-07-26T00:00:00"/>
  </r>
  <r>
    <n v="254032518"/>
    <n v="64811482"/>
    <s v="ZRDI"/>
    <n v="10094321"/>
    <n v="208"/>
    <s v="DEV-Atraso entrega- LOGISTICA(Transp)"/>
    <s v="TRANSPORTADORA"/>
    <x v="2"/>
    <n v="55936506"/>
    <x v="1860"/>
    <s v="PE"/>
    <n v="474"/>
    <s v="Site Brastemp"/>
    <n v="1352"/>
    <n v="326031817"/>
    <s v="Mangueiras"/>
    <x v="5"/>
    <n v="1000"/>
    <n v="5002359"/>
    <s v="EMPRESA BRASILEIRA DE CORREIOS E"/>
    <n v="46.1"/>
    <d v="2025-07-16T00:00:00"/>
  </r>
  <r>
    <n v="254012440"/>
    <n v="64789100"/>
    <s v="REB"/>
    <n v="10058156"/>
    <n v="167"/>
    <s v="PEÇAS - Avaria - Quebrada/Depósito"/>
    <s v="LOGÍSTICA"/>
    <x v="2"/>
    <n v="3524"/>
    <x v="93"/>
    <s v="SP"/>
    <n v="931"/>
    <s v="Ats Off"/>
    <n v="1350"/>
    <s v="W11109180"/>
    <s v="Prateleiras"/>
    <x v="9"/>
    <n v="1000"/>
    <n v="5004042"/>
    <s v="BRASIL WEB TRANSPORTES E LOGISTICA"/>
    <n v="46.05"/>
    <d v="2025-06-10T00:00:00"/>
  </r>
  <r>
    <n v="254033257"/>
    <n v="64807439"/>
    <s v="REB"/>
    <n v="10060705"/>
    <n v="173"/>
    <s v="PEÇAS - Defeito de fabric./Alta Amperage"/>
    <s v="FUNCIONAL"/>
    <x v="1"/>
    <n v="3236"/>
    <x v="45"/>
    <s v="SP"/>
    <n v="931"/>
    <s v="Ats Off"/>
    <n v="1350"/>
    <s v="W11266866"/>
    <s v="Sensores"/>
    <x v="3"/>
    <n v="1000"/>
    <n v="5004042"/>
    <s v="BRASIL WEB TRANSPORTES E LOGISTICA"/>
    <n v="46"/>
    <d v="2025-07-08T00:00:00"/>
  </r>
  <r>
    <n v="254038334"/>
    <n v="64814323"/>
    <s v="REB"/>
    <n v="10128641"/>
    <n v="176"/>
    <s v="PEÇAS - Defeito de fabric./Interrompido"/>
    <s v="FUNCIONAL"/>
    <x v="0"/>
    <n v="21594"/>
    <x v="97"/>
    <s v="SP"/>
    <n v="931"/>
    <s v="Ats Off"/>
    <n v="1350"/>
    <s v="W11266866"/>
    <s v="Sensores"/>
    <x v="3"/>
    <n v="1000"/>
    <n v="5004042"/>
    <s v="BRASIL WEB TRANSPORTES E LOGISTICA"/>
    <n v="46"/>
    <d v="2025-07-22T00:00:00"/>
  </r>
  <r>
    <n v="253915560"/>
    <n v="64687765"/>
    <s v="REB"/>
    <n v="9645285"/>
    <n v="176"/>
    <s v="PEÇAS - Defeito de fabric./Interrompido"/>
    <s v="FUNCIONAL"/>
    <x v="1"/>
    <n v="14474"/>
    <x v="25"/>
    <s v="RN"/>
    <n v="643"/>
    <s v="Elite"/>
    <n v="1350"/>
    <s v="W10168510"/>
    <s v="Motores Ventiladores"/>
    <x v="1"/>
    <n v="1000"/>
    <n v="5004101"/>
    <s v="UNIDOCK'S ASSESSORIA E LOGISTICA DE"/>
    <n v="45.94"/>
    <d v="2025-01-09T00:00:00"/>
  </r>
  <r>
    <n v="254033998"/>
    <n v="64812592"/>
    <s v="ZRDI"/>
    <n v="10123605"/>
    <n v="208"/>
    <s v="DEV-Atraso entrega- LOGISTICA(Transp)"/>
    <s v="TRANSPORTADORA"/>
    <x v="2"/>
    <n v="58137055"/>
    <x v="1861"/>
    <s v="PR"/>
    <n v="466"/>
    <s v="Sup ML Marketplace"/>
    <n v="1352"/>
    <s v="W10212441"/>
    <s v="Prateleiras"/>
    <x v="9"/>
    <n v="1000"/>
    <n v="5002359"/>
    <s v="EMPRESA BRASILEIRA DE CORREIOS E"/>
    <n v="45.93"/>
    <d v="2025-07-17T00:00:00"/>
  </r>
  <r>
    <n v="254033998"/>
    <n v="64812592"/>
    <s v="ZRDI"/>
    <n v="10123605"/>
    <n v="208"/>
    <s v="DEV-Atraso entrega- LOGISTICA(Transp)"/>
    <s v="TRANSPORTADORA"/>
    <x v="2"/>
    <n v="58137055"/>
    <x v="1861"/>
    <s v="PR"/>
    <n v="466"/>
    <s v="Sup ML Marketplace"/>
    <n v="1352"/>
    <s v="W10212441"/>
    <s v="Prateleiras"/>
    <x v="9"/>
    <n v="1000"/>
    <n v="5002359"/>
    <s v="EMPRESA BRASILEIRA DE CORREIOS E"/>
    <n v="45.93"/>
    <d v="2025-07-17T00:00:00"/>
  </r>
  <r>
    <n v="254024152"/>
    <n v="64803819"/>
    <s v="ZRDI"/>
    <n v="10097948"/>
    <n v="208"/>
    <s v="DEV-Atraso entrega- LOGISTICA(Transp)"/>
    <s v="TRANSPORTADORA"/>
    <x v="2"/>
    <n v="5671306"/>
    <x v="1862"/>
    <s v="PR"/>
    <n v="475"/>
    <s v="Site Consul"/>
    <n v="1352"/>
    <s v="W10331814"/>
    <s v="Manípulos"/>
    <x v="6"/>
    <n v="1000"/>
    <n v="5002359"/>
    <s v="EMPRESA BRASILEIRA DE CORREIOS E"/>
    <n v="45.85"/>
    <d v="2025-07-01T00:00:00"/>
  </r>
  <r>
    <n v="254024152"/>
    <n v="64803819"/>
    <s v="ZRDI"/>
    <n v="10097948"/>
    <n v="208"/>
    <s v="DEV-Atraso entrega- LOGISTICA(Transp)"/>
    <s v="TRANSPORTADORA"/>
    <x v="2"/>
    <n v="5671306"/>
    <x v="1862"/>
    <s v="PR"/>
    <n v="475"/>
    <s v="Site Consul"/>
    <n v="1352"/>
    <s v="W10331814"/>
    <s v="Manípulos"/>
    <x v="6"/>
    <n v="1000"/>
    <n v="5002359"/>
    <s v="EMPRESA BRASILEIRA DE CORREIOS E"/>
    <n v="45.85"/>
    <d v="2025-07-01T00:00:00"/>
  </r>
  <r>
    <n v="254033684"/>
    <n v="64795642"/>
    <s v="REB"/>
    <n v="10061854"/>
    <n v="176"/>
    <s v="PEÇAS - Defeito de fabric./Interrompido"/>
    <s v="FUNCIONAL"/>
    <x v="1"/>
    <n v="24089"/>
    <x v="134"/>
    <s v="RJ"/>
    <n v="931"/>
    <s v="Ats Off"/>
    <n v="1350"/>
    <s v="W11245249"/>
    <s v="Válvulas de Água"/>
    <x v="5"/>
    <n v="1000"/>
    <n v="5003176"/>
    <s v="J C THEDIN TRANSPORTES LTDA"/>
    <n v="45.84"/>
    <d v="2025-06-23T00:00:00"/>
  </r>
  <r>
    <s v="Sem TR"/>
    <n v="64725741"/>
    <s v="ROB"/>
    <n v="9817143"/>
    <n v="221"/>
    <s v="DEV-Sinistro - SEGURO"/>
    <s v="TRANSPORTADORA"/>
    <x v="0"/>
    <n v="4687"/>
    <x v="685"/>
    <s v="SC"/>
    <n v="350"/>
    <s v="Ats On"/>
    <n v="1350"/>
    <s v="W10882241"/>
    <s v="Agitadores"/>
    <x v="2"/>
    <n v="1000"/>
    <n v="5003024"/>
    <s v="RODOBRAS TRANSPORTES RODOVIARIOS LT"/>
    <n v="45.84"/>
    <d v="2025-03-06T00:00:00"/>
  </r>
  <r>
    <n v="254018234"/>
    <n v="64788053"/>
    <s v="REB"/>
    <n v="10067616"/>
    <n v="167"/>
    <s v="PEÇAS - Avaria - Quebrada/Depósito"/>
    <s v="LOGÍSTICA"/>
    <x v="2"/>
    <n v="21594"/>
    <x v="97"/>
    <s v="SP"/>
    <n v="931"/>
    <s v="Ats Off"/>
    <n v="1350"/>
    <s v="W10753600"/>
    <s v="Suportes"/>
    <x v="6"/>
    <n v="1000"/>
    <n v="5004042"/>
    <s v="BRASIL WEB TRANSPORTES E LOGISTICA"/>
    <n v="45.82"/>
    <d v="2025-06-16T00:00:00"/>
  </r>
  <r>
    <n v="254018211"/>
    <n v="64793116"/>
    <s v="REB"/>
    <n v="10081339"/>
    <n v="173"/>
    <s v="PEÇAS - Defeito de fabric./Alta Amperage"/>
    <s v="FUNCIONAL"/>
    <x v="1"/>
    <n v="9452"/>
    <x v="42"/>
    <s v="SP"/>
    <n v="931"/>
    <s v="Ats Off"/>
    <n v="1350"/>
    <s v="W11354770"/>
    <s v="Aletas"/>
    <x v="5"/>
    <n v="1000"/>
    <n v="5004042"/>
    <s v="BRASIL WEB TRANSPORTES E LOGISTICA"/>
    <n v="45.82"/>
    <d v="2025-06-17T00:00:00"/>
  </r>
  <r>
    <s v="Sem TR"/>
    <n v="64812585"/>
    <s v="REB"/>
    <n v="10118858"/>
    <n v="173"/>
    <s v="PEÇAS - Defeito de fabric./Alta Amperage"/>
    <s v="FUNCIONAL"/>
    <x v="1"/>
    <n v="5039"/>
    <x v="298"/>
    <s v="RS"/>
    <n v="350"/>
    <s v="Ats On"/>
    <n v="1350"/>
    <s v="W11372416"/>
    <s v="Painéis Decorativos"/>
    <x v="6"/>
    <n v="1000"/>
    <n v="5003024"/>
    <s v="RODOBRAS TRANSPORTES RODOVIARIOS LT"/>
    <n v="45.77"/>
    <d v="2025-07-17T00:00:00"/>
  </r>
  <r>
    <n v="253970784"/>
    <n v="64748909"/>
    <s v="REB"/>
    <n v="9914464"/>
    <n v="173"/>
    <s v="PEÇAS - Defeito de fabric./Alta Amperage"/>
    <s v="FUNCIONAL"/>
    <x v="2"/>
    <n v="31587"/>
    <x v="135"/>
    <s v="SP"/>
    <n v="643"/>
    <s v="Elite"/>
    <n v="1350"/>
    <s v="W11082450"/>
    <s v="Termostatos"/>
    <x v="3"/>
    <n v="1000"/>
    <n v="5004042"/>
    <s v="BRASIL WEB TRANSPORTES E LOGISTICA"/>
    <n v="45.75"/>
    <d v="2025-04-09T00:00:00"/>
  </r>
  <r>
    <n v="254032623"/>
    <n v="64810007"/>
    <s v="ZRDI"/>
    <n v="10119350"/>
    <n v="208"/>
    <s v="DEV-Atraso entrega- LOGISTICA(Transp)"/>
    <s v="TRANSPORTADORA"/>
    <x v="2"/>
    <n v="53514598"/>
    <x v="469"/>
    <s v="SP"/>
    <n v="746"/>
    <s v="Marketplace B2W"/>
    <n v="1352"/>
    <s v="W10866793"/>
    <s v="Outros"/>
    <x v="7"/>
    <n v="1000"/>
    <n v="5002359"/>
    <s v="EMPRESA BRASILEIRA DE CORREIOS E"/>
    <n v="45.72"/>
    <d v="2025-07-16T00:00:00"/>
  </r>
  <r>
    <n v="254032623"/>
    <n v="64810007"/>
    <s v="ZRDI"/>
    <n v="10119350"/>
    <n v="208"/>
    <s v="DEV-Atraso entrega- LOGISTICA(Transp)"/>
    <s v="TRANSPORTADORA"/>
    <x v="2"/>
    <n v="53514598"/>
    <x v="469"/>
    <s v="SP"/>
    <n v="746"/>
    <s v="Marketplace B2W"/>
    <n v="1352"/>
    <s v="W10866793"/>
    <s v="Outros"/>
    <x v="7"/>
    <n v="1000"/>
    <n v="5002359"/>
    <s v="EMPRESA BRASILEIRA DE CORREIOS E"/>
    <n v="45.72"/>
    <d v="2025-07-16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1364881"/>
    <s v="Válvulas de Água"/>
    <x v="5"/>
    <n v="2000"/>
    <n v="5003024"/>
    <s v="RODOBRAS TRANSPORTES RODOVIARIOS LT"/>
    <n v="45.68"/>
    <d v="2025-01-16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326062041"/>
    <s v="Recipientes de Evaporação"/>
    <x v="9"/>
    <n v="3000"/>
    <n v="5004101"/>
    <s v="UNIDOCK'S ASSESSORIA E LOGISTICA DE"/>
    <n v="45.64"/>
    <d v="2025-03-13T00:00:00"/>
  </r>
  <r>
    <n v="254018253"/>
    <n v="64792237"/>
    <s v="REB"/>
    <n v="9764607"/>
    <n v="173"/>
    <s v="PEÇAS - Defeito de fabric./Alta Amperage"/>
    <s v="FUNCIONAL"/>
    <x v="1"/>
    <n v="27770"/>
    <x v="37"/>
    <s v="AL"/>
    <n v="641"/>
    <s v="CDP Diamante"/>
    <n v="1350"/>
    <s v="W10168510"/>
    <s v="Motores Ventiladores"/>
    <x v="1"/>
    <n v="1000"/>
    <n v="5004101"/>
    <s v="UNIDOCK'S ASSESSORIA E LOGISTICA DE"/>
    <n v="45.55"/>
    <d v="2025-06-17T00:00:00"/>
  </r>
  <r>
    <s v="Sem TR"/>
    <n v="64799274"/>
    <s v="ZRDI"/>
    <n v="10068510"/>
    <s v="D11"/>
    <s v="DEV D2C - Comprou prod dimensão errada"/>
    <s v="COMERCIAL"/>
    <x v="2"/>
    <n v="58065041"/>
    <x v="1863"/>
    <s v="ES"/>
    <n v="475"/>
    <s v="Site Consul"/>
    <n v="1352"/>
    <n v="326040477"/>
    <s v="Pés"/>
    <x v="6"/>
    <n v="1000"/>
    <n v="5002359"/>
    <s v="EMPRESA BRASILEIRA DE CORREIOS E"/>
    <n v="45.54"/>
    <d v="2025-06-27T00:00:00"/>
  </r>
  <r>
    <n v="254031869"/>
    <n v="64802560"/>
    <s v="REB"/>
    <n v="10046173"/>
    <n v="176"/>
    <s v="PEÇAS - Defeito de fabric./Interrompido"/>
    <s v="FUNCIONAL"/>
    <x v="1"/>
    <n v="3506"/>
    <x v="46"/>
    <s v="SP"/>
    <n v="931"/>
    <s v="Ats Off"/>
    <n v="1350"/>
    <s v="W10160037"/>
    <s v="Capacitores"/>
    <x v="1"/>
    <n v="1000"/>
    <n v="5004042"/>
    <s v="BRASIL WEB TRANSPORTES E LOGISTICA"/>
    <n v="45.53"/>
    <d v="2025-07-01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0866793"/>
    <s v="Outros"/>
    <x v="7"/>
    <n v="1000"/>
    <n v="5002359"/>
    <s v="EMPRESA BRASILEIRA DE CORREIOS E"/>
    <n v="45.47"/>
    <d v="2025-07-16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0866793"/>
    <s v="Outros"/>
    <x v="7"/>
    <n v="1000"/>
    <n v="5002359"/>
    <s v="EMPRESA BRASILEIRA DE CORREIOS E"/>
    <n v="45.47"/>
    <d v="2025-07-16T00:00:00"/>
  </r>
  <r>
    <n v="254012607"/>
    <n v="64789508"/>
    <s v="REB"/>
    <n v="10004017"/>
    <n v="173"/>
    <s v="PEÇAS - Defeito de fabric./Alta Amperage"/>
    <s v="FUNCIONAL"/>
    <x v="2"/>
    <n v="71476"/>
    <x v="265"/>
    <s v="RJ"/>
    <n v="934"/>
    <s v="CDP Ouro"/>
    <n v="1350"/>
    <s v="W10399715"/>
    <s v="Motores Ventiladores"/>
    <x v="1"/>
    <n v="1000"/>
    <n v="5003176"/>
    <s v="J C THEDIN TRANSPORTES LTDA"/>
    <n v="45.44"/>
    <d v="2025-06-10T00:00:00"/>
  </r>
  <r>
    <n v="253970704"/>
    <n v="64744863"/>
    <s v="REB"/>
    <n v="9884528"/>
    <n v="176"/>
    <s v="PEÇAS - Defeito de fabric./Interrompido"/>
    <s v="FUNCIONAL"/>
    <x v="2"/>
    <n v="3506"/>
    <x v="46"/>
    <s v="SP"/>
    <n v="931"/>
    <s v="Ats Off"/>
    <n v="1350"/>
    <s v="W10160037"/>
    <s v="Capacitores"/>
    <x v="1"/>
    <n v="1000"/>
    <n v="5004042"/>
    <s v="BRASIL WEB TRANSPORTES E LOGISTICA"/>
    <n v="45.43"/>
    <d v="2025-04-09T00:00:00"/>
  </r>
  <r>
    <n v="253970943"/>
    <n v="64736077"/>
    <s v="REB"/>
    <n v="9952990"/>
    <n v="167"/>
    <s v="PEÇAS - Avaria - Quebrada/Depósito"/>
    <s v="LOGÍSTICA"/>
    <x v="1"/>
    <n v="75752"/>
    <x v="74"/>
    <s v="PR"/>
    <n v="648"/>
    <s v="Ultra"/>
    <n v="1350"/>
    <s v="W11298033"/>
    <s v="Prateleiras"/>
    <x v="9"/>
    <n v="1000"/>
    <n v="5003024"/>
    <s v="RODOBRAS TRANSPORTES RODOVIARIOS LT"/>
    <n v="45.39"/>
    <d v="2025-04-09T00:00:00"/>
  </r>
  <r>
    <n v="254021293"/>
    <n v="64798939"/>
    <s v="ZRDI"/>
    <n v="10047624"/>
    <s v="D25"/>
    <s v="DEV D2C - Prob na entrega (Não recebi)"/>
    <s v="TRANSPORTADORA"/>
    <x v="2"/>
    <n v="54618653"/>
    <x v="986"/>
    <s v="RS"/>
    <n v="475"/>
    <s v="Site Consul"/>
    <n v="1352"/>
    <n v="326067736"/>
    <s v="Prateleiras"/>
    <x v="9"/>
    <n v="1000"/>
    <n v="5002359"/>
    <s v="EMPRESA BRASILEIRA DE CORREIOS E"/>
    <n v="45.26"/>
    <d v="2025-06-26T00:00:00"/>
  </r>
  <r>
    <s v="Sem TR"/>
    <n v="64800547"/>
    <s v="ZRDI"/>
    <n v="10100876"/>
    <s v="D10"/>
    <s v="DEV D2C - Comprou modelo errado"/>
    <s v="COMERCIAL"/>
    <x v="2"/>
    <n v="58110884"/>
    <x v="1864"/>
    <s v="RJ"/>
    <n v="466"/>
    <s v="Sup ML Marketplace"/>
    <n v="1352"/>
    <s v="W10212441"/>
    <s v="Prateleiras"/>
    <x v="9"/>
    <n v="1000"/>
    <n v="5002359"/>
    <s v="EMPRESA BRASILEIRA DE CORREIOS E"/>
    <n v="45.22"/>
    <d v="2025-07-02T00:00:00"/>
  </r>
  <r>
    <n v="254023993"/>
    <n v="64802781"/>
    <s v="ZRDI"/>
    <n v="10071707"/>
    <s v="D25"/>
    <s v="DEV D2C - Prob na entrega (Não recebi)"/>
    <s v="TRANSPORTADORA"/>
    <x v="2"/>
    <n v="52480491"/>
    <x v="1865"/>
    <s v="RJ"/>
    <n v="466"/>
    <s v="Sup ML Marketplace"/>
    <n v="1352"/>
    <s v="W10212441"/>
    <s v="Prateleiras"/>
    <x v="9"/>
    <n v="1000"/>
    <n v="5003972"/>
    <s v="ICARO EXPRESS LOGISTICA LTDA"/>
    <n v="45.22"/>
    <d v="2025-07-01T00:00:00"/>
  </r>
  <r>
    <s v="Sem TR"/>
    <n v="64809864"/>
    <s v="ZRDI"/>
    <n v="10094381"/>
    <s v="D18"/>
    <s v="DEV D2C - Arrependimento não quero mais"/>
    <s v="COMERCIAL"/>
    <x v="2"/>
    <n v="4873271"/>
    <x v="1866"/>
    <s v="RJ"/>
    <n v="466"/>
    <s v="Sup ML Marketplace"/>
    <n v="1352"/>
    <s v="W10212441"/>
    <s v="Prateleiras"/>
    <x v="9"/>
    <n v="1000"/>
    <n v="5002359"/>
    <s v="EMPRESA BRASILEIRA DE CORREIOS E"/>
    <n v="45.22"/>
    <d v="2025-07-14T00:00:00"/>
  </r>
  <r>
    <s v="Sem TR"/>
    <n v="64800547"/>
    <s v="ZRDI"/>
    <n v="10100876"/>
    <s v="D10"/>
    <s v="DEV D2C - Comprou modelo errado"/>
    <s v="COMERCIAL"/>
    <x v="2"/>
    <n v="58110884"/>
    <x v="1864"/>
    <s v="RJ"/>
    <n v="466"/>
    <s v="Sup ML Marketplace"/>
    <n v="1352"/>
    <s v="W10212441"/>
    <s v="Prateleiras"/>
    <x v="9"/>
    <n v="1000"/>
    <n v="5002359"/>
    <s v="EMPRESA BRASILEIRA DE CORREIOS E"/>
    <n v="45.22"/>
    <d v="2025-07-02T00:00:00"/>
  </r>
  <r>
    <s v="Sem TR"/>
    <n v="64809864"/>
    <s v="ZRDI"/>
    <n v="10094381"/>
    <s v="D18"/>
    <s v="DEV D2C - Arrependimento não quero mais"/>
    <s v="COMERCIAL"/>
    <x v="2"/>
    <n v="4873271"/>
    <x v="1866"/>
    <s v="RJ"/>
    <n v="466"/>
    <s v="Sup ML Marketplace"/>
    <n v="1352"/>
    <s v="W10212441"/>
    <s v="Prateleiras"/>
    <x v="9"/>
    <n v="1000"/>
    <n v="5002359"/>
    <s v="EMPRESA BRASILEIRA DE CORREIOS E"/>
    <n v="45.22"/>
    <d v="2025-07-14T00:00:00"/>
  </r>
  <r>
    <n v="254018187"/>
    <n v="64790647"/>
    <s v="REB"/>
    <n v="9939104"/>
    <n v="176"/>
    <s v="PEÇAS - Defeito de fabric./Interrompido"/>
    <s v="FUNCIONAL"/>
    <x v="1"/>
    <n v="4318"/>
    <x v="89"/>
    <s v="SC"/>
    <n v="931"/>
    <s v="Ats Off"/>
    <n v="1350"/>
    <s v="W11228299"/>
    <s v="Válvulas de Água"/>
    <x v="5"/>
    <n v="1000"/>
    <n v="5003024"/>
    <s v="RODOBRAS TRANSPORTES RODOVIARIOS LT"/>
    <n v="45.22"/>
    <d v="2025-06-17T00:00:00"/>
  </r>
  <r>
    <n v="253961329"/>
    <n v="64733622"/>
    <s v="REB"/>
    <n v="9860254"/>
    <n v="173"/>
    <s v="PEÇAS - Defeito de fabric./Alta Amperage"/>
    <s v="FUNCIONAL"/>
    <x v="2"/>
    <n v="34365"/>
    <x v="339"/>
    <s v="CE"/>
    <n v="931"/>
    <s v="Ats Off"/>
    <n v="1350"/>
    <s v="W10882241"/>
    <s v="Agitadores"/>
    <x v="2"/>
    <n v="1000"/>
    <n v="5004101"/>
    <s v="UNIDOCK'S ASSESSORIA E LOGISTICA DE"/>
    <n v="45.15"/>
    <d v="2025-03-24T00:00:00"/>
  </r>
  <r>
    <n v="254024152"/>
    <n v="64803819"/>
    <s v="ZRDI"/>
    <n v="10097948"/>
    <n v="208"/>
    <s v="DEV-Atraso entrega- LOGISTICA(Transp)"/>
    <s v="TRANSPORTADORA"/>
    <x v="2"/>
    <n v="5671306"/>
    <x v="1862"/>
    <s v="PR"/>
    <n v="475"/>
    <s v="Site Consul"/>
    <n v="1352"/>
    <s v="W10515645"/>
    <s v="Filtros"/>
    <x v="5"/>
    <n v="1000"/>
    <n v="5002359"/>
    <s v="EMPRESA BRASILEIRA DE CORREIOS E"/>
    <n v="45.14"/>
    <d v="2025-07-01T00:00:00"/>
  </r>
  <r>
    <n v="254032536"/>
    <n v="64811490"/>
    <s v="ZRDI"/>
    <n v="10098414"/>
    <n v="208"/>
    <s v="DEV-Atraso entrega- LOGISTICA(Transp)"/>
    <s v="TRANSPORTADORA"/>
    <x v="2"/>
    <n v="4266505"/>
    <x v="1867"/>
    <s v="PR"/>
    <n v="475"/>
    <s v="Site Consul"/>
    <n v="1352"/>
    <s v="W10515645"/>
    <s v="Filtros"/>
    <x v="5"/>
    <n v="1000"/>
    <n v="5002359"/>
    <s v="EMPRESA BRASILEIRA DE CORREIOS E"/>
    <n v="45.14"/>
    <d v="2025-07-16T00:00:00"/>
  </r>
  <r>
    <n v="254024152"/>
    <n v="64803819"/>
    <s v="ZRDI"/>
    <n v="10097948"/>
    <n v="208"/>
    <s v="DEV-Atraso entrega- LOGISTICA(Transp)"/>
    <s v="TRANSPORTADORA"/>
    <x v="2"/>
    <n v="5671306"/>
    <x v="1862"/>
    <s v="PR"/>
    <n v="475"/>
    <s v="Site Consul"/>
    <n v="1352"/>
    <s v="W10515645"/>
    <s v="Filtros"/>
    <x v="5"/>
    <n v="1000"/>
    <n v="5002359"/>
    <s v="EMPRESA BRASILEIRA DE CORREIOS E"/>
    <n v="45.14"/>
    <d v="2025-07-01T00:00:00"/>
  </r>
  <r>
    <n v="254032536"/>
    <n v="64811490"/>
    <s v="ZRDI"/>
    <n v="10098414"/>
    <n v="208"/>
    <s v="DEV-Atraso entrega- LOGISTICA(Transp)"/>
    <s v="TRANSPORTADORA"/>
    <x v="2"/>
    <n v="4266505"/>
    <x v="1867"/>
    <s v="PR"/>
    <n v="475"/>
    <s v="Site Consul"/>
    <n v="1352"/>
    <s v="W10515645"/>
    <s v="Filtros"/>
    <x v="5"/>
    <n v="1000"/>
    <n v="5002359"/>
    <s v="EMPRESA BRASILEIRA DE CORREIOS E"/>
    <n v="45.14"/>
    <d v="2025-07-16T00:00:00"/>
  </r>
  <r>
    <n v="253970961"/>
    <n v="64739138"/>
    <s v="REB"/>
    <n v="9907926"/>
    <n v="173"/>
    <s v="PEÇAS - Defeito de fabric./Alta Amperage"/>
    <s v="FUNCIONAL"/>
    <x v="2"/>
    <n v="87707"/>
    <x v="143"/>
    <s v="BA"/>
    <n v="648"/>
    <s v="Ultra"/>
    <n v="1350"/>
    <s v="W10776336"/>
    <s v="Válvulas de Água"/>
    <x v="5"/>
    <n v="1000"/>
    <n v="5004101"/>
    <s v="UNIDOCK'S ASSESSORIA E LOGISTICA DE"/>
    <n v="45.02"/>
    <d v="2025-04-09T00:00:00"/>
  </r>
  <r>
    <n v="253988005"/>
    <n v="64748580"/>
    <s v="REB"/>
    <n v="9957955"/>
    <n v="167"/>
    <s v="PEÇAS - Avaria - Quebrada/Depósito"/>
    <s v="LOGÍSTICA"/>
    <x v="1"/>
    <n v="61859"/>
    <x v="282"/>
    <s v="MG"/>
    <n v="934"/>
    <s v="CDP Ouro"/>
    <n v="1350"/>
    <s v="W10169457"/>
    <s v="Prateleiras"/>
    <x v="9"/>
    <n v="1000"/>
    <n v="5004215"/>
    <s v="BRASIL WEB TRANSPORTES E LOGISTICA"/>
    <n v="45.02"/>
    <d v="2025-04-09T00:00:00"/>
  </r>
  <r>
    <n v="254042282"/>
    <n v="64796002"/>
    <s v="REB"/>
    <n v="10055268"/>
    <n v="173"/>
    <s v="PEÇAS - Defeito de fabric./Alta Amperage"/>
    <s v="FUNCIONAL"/>
    <x v="0"/>
    <n v="30684"/>
    <x v="332"/>
    <s v="RS"/>
    <n v="641"/>
    <s v="CDP Diamante"/>
    <n v="1350"/>
    <s v="W11082463"/>
    <s v="Termostatos"/>
    <x v="3"/>
    <n v="1000"/>
    <n v="5003024"/>
    <s v="RODOBRAS TRANSPORTES RODOVIARIOS LT"/>
    <n v="45.01"/>
    <d v="2025-06-23T00:00:00"/>
  </r>
  <r>
    <n v="253983844"/>
    <n v="64759547"/>
    <s v="REB"/>
    <n v="9985704"/>
    <n v="167"/>
    <s v="PEÇAS - Avaria - Quebrada/Depósito"/>
    <s v="LOGÍSTICA"/>
    <x v="2"/>
    <n v="8192"/>
    <x v="118"/>
    <s v="PR"/>
    <n v="933"/>
    <s v="Top"/>
    <n v="1350"/>
    <s v="W10311954"/>
    <s v="Válvulas de Água"/>
    <x v="5"/>
    <n v="1000"/>
    <n v="5003024"/>
    <s v="RODOBRAS TRANSPORTES RODOVIARIOS LT"/>
    <n v="44.99"/>
    <d v="2025-04-28T00:00:00"/>
  </r>
  <r>
    <s v="Sem TR"/>
    <n v="64817395"/>
    <s v="ZRDI"/>
    <n v="10123912"/>
    <s v="D10"/>
    <s v="DEV D2C - Comprou modelo errado"/>
    <s v="COMERCIAL"/>
    <x v="1"/>
    <n v="58127564"/>
    <x v="1868"/>
    <s v="SP"/>
    <n v="474"/>
    <s v="Site Brastemp"/>
    <n v="1352"/>
    <s v="W10916385"/>
    <s v="Tampas Móveis"/>
    <x v="6"/>
    <n v="1000"/>
    <n v="5002359"/>
    <s v="EMPRESA BRASILEIRA DE CORREIOS E"/>
    <n v="44.98"/>
    <d v="2025-07-29T00:00:00"/>
  </r>
  <r>
    <n v="254031832"/>
    <n v="64793908"/>
    <s v="REB"/>
    <n v="10085962"/>
    <n v="176"/>
    <s v="PEÇAS - Defeito de fabric./Interrompido"/>
    <s v="FUNCIONAL"/>
    <x v="0"/>
    <n v="3506"/>
    <x v="46"/>
    <s v="SP"/>
    <n v="931"/>
    <s v="Ats Off"/>
    <n v="1350"/>
    <s v="W10754676"/>
    <s v="Suportes"/>
    <x v="6"/>
    <n v="1000"/>
    <n v="5004042"/>
    <s v="BRASIL WEB TRANSPORTES E LOGISTICA"/>
    <n v="44.91"/>
    <d v="2025-06-24T00:00:00"/>
  </r>
  <r>
    <n v="254042277"/>
    <n v="64795428"/>
    <s v="REB"/>
    <n v="10012165"/>
    <n v="173"/>
    <s v="PEÇAS - Defeito de fabric./Alta Amperage"/>
    <s v="FUNCIONAL"/>
    <x v="0"/>
    <n v="4384"/>
    <x v="1058"/>
    <s v="SC"/>
    <n v="644"/>
    <s v="Plus"/>
    <n v="1350"/>
    <s v="W10168510"/>
    <s v="Motores Ventiladores"/>
    <x v="1"/>
    <n v="1000"/>
    <n v="5003024"/>
    <s v="RODOBRAS TRANSPORTES RODOVIARIOS LT"/>
    <n v="44.87"/>
    <d v="2025-06-23T00:00:00"/>
  </r>
  <r>
    <n v="254012620"/>
    <n v="64764597"/>
    <s v="REB"/>
    <n v="10045489"/>
    <n v="167"/>
    <s v="PEÇAS - Avaria - Quebrada/Depósito"/>
    <s v="LOGÍSTICA"/>
    <x v="1"/>
    <n v="81075"/>
    <x v="223"/>
    <s v="BA"/>
    <n v="934"/>
    <s v="CDP Ouro"/>
    <n v="1350"/>
    <s v="W10856154"/>
    <s v="Capas"/>
    <x v="6"/>
    <n v="2000"/>
    <n v="5004101"/>
    <s v="UNIDOCK'S ASSESSORIA E LOGISTICA DE"/>
    <n v="44.82"/>
    <d v="2025-06-10T00:00:00"/>
  </r>
  <r>
    <n v="254042556"/>
    <n v="64792900"/>
    <s v="REB"/>
    <n v="10083756"/>
    <n v="170"/>
    <s v="PEÇAS - Avaria - Riscada/Depósito"/>
    <s v="LOGÍSTICA"/>
    <x v="0"/>
    <n v="22041"/>
    <x v="70"/>
    <s v="SP"/>
    <n v="931"/>
    <s v="Ats Off"/>
    <n v="1350"/>
    <s v="W10514965"/>
    <s v="Emblemas"/>
    <x v="11"/>
    <n v="1000"/>
    <n v="5004042"/>
    <s v="BRASIL WEB TRANSPORTES E LOGISTICA"/>
    <n v="44.82"/>
    <d v="2025-06-17T00:00:00"/>
  </r>
  <r>
    <s v="Sem TR"/>
    <n v="64807497"/>
    <s v="REB"/>
    <n v="10132201"/>
    <n v="167"/>
    <s v="PEÇAS - Avaria - Quebrada/Depósito"/>
    <s v="LOGÍSTICA"/>
    <x v="1"/>
    <n v="71898"/>
    <x v="1538"/>
    <s v="MG"/>
    <n v="641"/>
    <s v="CDP Diamante"/>
    <n v="1350"/>
    <n v="326066852"/>
    <s v="Prateleiras"/>
    <x v="9"/>
    <n v="1000"/>
    <n v="5004215"/>
    <s v="BRASIL WEB TRANSPORTES E LOGISTICA"/>
    <n v="44.78"/>
    <d v="2025-07-22T00:00:00"/>
  </r>
  <r>
    <n v="253983864"/>
    <n v="64759526"/>
    <s v="REB"/>
    <n v="9917582"/>
    <n v="173"/>
    <s v="PEÇAS - Defeito de fabric./Alta Amperage"/>
    <s v="FUNCIONAL"/>
    <x v="2"/>
    <n v="13757"/>
    <x v="14"/>
    <s v="SP"/>
    <n v="713"/>
    <s v="Key Account"/>
    <n v="1350"/>
    <s v="W10310999"/>
    <s v="Motores Ventiladores"/>
    <x v="1"/>
    <n v="1000"/>
    <n v="5004042"/>
    <s v="BRASIL WEB TRANSPORTES E LOGISTICA"/>
    <n v="44.78"/>
    <d v="2025-04-28T00:00:00"/>
  </r>
  <r>
    <n v="254003872"/>
    <n v="64777759"/>
    <s v="REB"/>
    <n v="9917582"/>
    <n v="173"/>
    <s v="PEÇAS - Defeito de fabric./Alta Amperage"/>
    <s v="FUNCIONAL"/>
    <x v="1"/>
    <n v="13757"/>
    <x v="14"/>
    <s v="SP"/>
    <n v="713"/>
    <s v="Key Account"/>
    <n v="1350"/>
    <s v="W10399715"/>
    <s v="Motores Ventiladores"/>
    <x v="1"/>
    <n v="1000"/>
    <n v="5004042"/>
    <s v="BRASIL WEB TRANSPORTES E LOGISTICA"/>
    <n v="44.78"/>
    <d v="2025-05-26T00:00:00"/>
  </r>
  <r>
    <n v="253988800"/>
    <n v="64764307"/>
    <s v="REB"/>
    <n v="9917582"/>
    <n v="173"/>
    <s v="PEÇAS - Defeito de fabric./Alta Amperage"/>
    <s v="FUNCIONAL"/>
    <x v="1"/>
    <n v="13757"/>
    <x v="14"/>
    <s v="SP"/>
    <n v="713"/>
    <s v="Key Account"/>
    <n v="1350"/>
    <s v="W10399715"/>
    <s v="Motores Ventiladores"/>
    <x v="1"/>
    <n v="1000"/>
    <n v="5004042"/>
    <s v="BRASIL WEB TRANSPORTES E LOGISTICA"/>
    <n v="44.78"/>
    <d v="2025-05-05T00:00:00"/>
  </r>
  <r>
    <n v="253989797"/>
    <n v="64766019"/>
    <s v="REB"/>
    <n v="9917582"/>
    <n v="173"/>
    <s v="PEÇAS - Defeito de fabric./Alta Amperage"/>
    <s v="FUNCIONAL"/>
    <x v="1"/>
    <n v="13757"/>
    <x v="14"/>
    <s v="SP"/>
    <n v="713"/>
    <s v="Key Account"/>
    <n v="1350"/>
    <s v="W10399715"/>
    <s v="Motores Ventiladores"/>
    <x v="1"/>
    <n v="1000"/>
    <n v="5004042"/>
    <s v="BRASIL WEB TRANSPORTES E LOGISTICA"/>
    <n v="44.78"/>
    <d v="2025-05-07T00:00:00"/>
  </r>
  <r>
    <n v="254042246"/>
    <n v="64796039"/>
    <s v="REB"/>
    <n v="10089234"/>
    <n v="167"/>
    <s v="PEÇAS - Avaria - Quebrada/Depósito"/>
    <s v="LOGÍSTICA"/>
    <x v="0"/>
    <n v="5136"/>
    <x v="181"/>
    <s v="RS"/>
    <n v="350"/>
    <s v="Ats On"/>
    <n v="1350"/>
    <s v="W10882241"/>
    <s v="Agitadores"/>
    <x v="2"/>
    <n v="1000"/>
    <n v="5003024"/>
    <s v="RODOBRAS TRANSPORTES RODOVIARIOS LT"/>
    <n v="44.74"/>
    <d v="2025-06-23T00:00:00"/>
  </r>
  <r>
    <n v="254037067"/>
    <n v="64814988"/>
    <s v="ZRDI"/>
    <n v="10121497"/>
    <n v="208"/>
    <s v="DEV-Atraso entrega- LOGISTICA(Transp)"/>
    <s v="TRANSPORTADORA"/>
    <x v="2"/>
    <n v="58134098"/>
    <x v="1869"/>
    <s v="MG"/>
    <n v="475"/>
    <s v="Site Consul"/>
    <n v="1352"/>
    <s v="W10515645"/>
    <s v="Filtros"/>
    <x v="5"/>
    <n v="1000"/>
    <n v="5002359"/>
    <s v="EMPRESA BRASILEIRA DE CORREIOS E"/>
    <n v="44.71"/>
    <d v="2025-07-22T00:00:00"/>
  </r>
  <r>
    <n v="254037067"/>
    <n v="64814988"/>
    <s v="ZRDI"/>
    <n v="10121497"/>
    <n v="208"/>
    <s v="DEV-Atraso entrega- LOGISTICA(Transp)"/>
    <s v="TRANSPORTADORA"/>
    <x v="2"/>
    <n v="58134098"/>
    <x v="1869"/>
    <s v="MG"/>
    <n v="475"/>
    <s v="Site Consul"/>
    <n v="1352"/>
    <s v="W10515645"/>
    <s v="Filtros"/>
    <x v="5"/>
    <n v="1000"/>
    <n v="5002359"/>
    <s v="EMPRESA BRASILEIRA DE CORREIOS E"/>
    <n v="44.71"/>
    <d v="2025-07-22T00:00:00"/>
  </r>
  <r>
    <s v="Sem TR"/>
    <n v="64817890"/>
    <s v="ZRDI"/>
    <n v="10123175"/>
    <s v="D31"/>
    <s v="DEV D2C - Defeito estético manufatura"/>
    <s v="MANUFATURA"/>
    <x v="1"/>
    <n v="50429503"/>
    <x v="1870"/>
    <s v="MG"/>
    <n v="475"/>
    <s v="Site Consul"/>
    <n v="1352"/>
    <s v="W10515645"/>
    <s v="Filtros"/>
    <x v="5"/>
    <n v="1000"/>
    <n v="5002359"/>
    <s v="EMPRESA BRASILEIRA DE CORREIOS E"/>
    <n v="44.71"/>
    <d v="2025-07-26T00:00:00"/>
  </r>
  <r>
    <n v="254035288"/>
    <n v="64799797"/>
    <s v="REB"/>
    <n v="10106835"/>
    <n v="167"/>
    <s v="PEÇAS - Avaria - Quebrada/Depósito"/>
    <s v="LOGÍSTICA"/>
    <x v="2"/>
    <n v="66"/>
    <x v="73"/>
    <s v="GO"/>
    <n v="931"/>
    <s v="Ats Off"/>
    <n v="1350"/>
    <s v="W11102563"/>
    <s v="Mangueiras"/>
    <x v="5"/>
    <n v="1000"/>
    <n v="5002858"/>
    <s v="FAVORITA TRANSPORTES LTDA"/>
    <n v="44.63"/>
    <d v="2025-07-17T00:00:00"/>
  </r>
  <r>
    <s v="Sem TR"/>
    <n v="64766729"/>
    <s v="ROB"/>
    <n v="50548"/>
    <n v="671"/>
    <s v="DEV-ENVIADO PARA GESTÃO DE CONSEQUENCIA"/>
    <s v="TRANSPORTADORA"/>
    <x v="2"/>
    <n v="65630"/>
    <x v="1167"/>
    <s v="BA"/>
    <n v="350"/>
    <s v="Ats On"/>
    <n v="1550"/>
    <s v="W10531315"/>
    <s v="Sensores"/>
    <x v="3"/>
    <n v="5000"/>
    <n v="5004391"/>
    <s v="JEONCEL TRANSPORTES LTDA"/>
    <n v="44.62"/>
    <d v="2025-05-08T00:00:00"/>
  </r>
  <r>
    <n v="254033933"/>
    <n v="64812461"/>
    <s v="ZRDI"/>
    <n v="10067832"/>
    <n v="208"/>
    <s v="DEV-Atraso entrega- LOGISTICA(Transp)"/>
    <s v="TRANSPORTADORA"/>
    <x v="2"/>
    <n v="52432489"/>
    <x v="1871"/>
    <s v="SC"/>
    <n v="475"/>
    <s v="Site Consul"/>
    <n v="1352"/>
    <s v="W10515645"/>
    <s v="Filtros"/>
    <x v="5"/>
    <n v="1000"/>
    <n v="5002359"/>
    <s v="EMPRESA BRASILEIRA DE CORREIOS E"/>
    <n v="44.62"/>
    <d v="2025-07-17T00:00:00"/>
  </r>
  <r>
    <n v="254033933"/>
    <n v="64812461"/>
    <s v="ZRDI"/>
    <n v="10067832"/>
    <n v="208"/>
    <s v="DEV-Atraso entrega- LOGISTICA(Transp)"/>
    <s v="TRANSPORTADORA"/>
    <x v="2"/>
    <n v="52432489"/>
    <x v="1871"/>
    <s v="SC"/>
    <n v="475"/>
    <s v="Site Consul"/>
    <n v="1352"/>
    <s v="W10515645"/>
    <s v="Filtros"/>
    <x v="5"/>
    <n v="1000"/>
    <n v="5002359"/>
    <s v="EMPRESA BRASILEIRA DE CORREIOS E"/>
    <n v="44.62"/>
    <d v="2025-07-17T00:00:00"/>
  </r>
  <r>
    <s v="Sem TR"/>
    <n v="64774193"/>
    <s v="REB"/>
    <n v="10129902"/>
    <n v="167"/>
    <s v="PEÇAS - Avaria - Quebrada/Depósito"/>
    <s v="LOGÍSTICA"/>
    <x v="1"/>
    <n v="28993"/>
    <x v="175"/>
    <s v="MG"/>
    <n v="644"/>
    <s v="Plus"/>
    <n v="1350"/>
    <s v="W10169457"/>
    <s v="Prateleiras"/>
    <x v="9"/>
    <n v="1000"/>
    <n v="5004215"/>
    <s v="BRASIL WEB TRANSPORTES E LOGISTICA"/>
    <n v="44.58"/>
    <d v="2025-07-21T00:00:00"/>
  </r>
  <r>
    <s v="Sem TR"/>
    <n v="64804098"/>
    <s v="ZRDI"/>
    <n v="10098307"/>
    <s v="D18"/>
    <s v="DEV D2C - Arrependimento não quero mais"/>
    <s v="COMERCIAL"/>
    <x v="2"/>
    <n v="58108002"/>
    <x v="1872"/>
    <s v="PA"/>
    <n v="474"/>
    <s v="Site Brastemp"/>
    <n v="1352"/>
    <s v="W11135728"/>
    <s v="Mangueiras"/>
    <x v="5"/>
    <n v="1000"/>
    <n v="5002359"/>
    <s v="EMPRESA BRASILEIRA DE CORREIOS E"/>
    <n v="44.54"/>
    <d v="2025-07-07T00:00:00"/>
  </r>
  <r>
    <s v="Sem TR"/>
    <n v="64804098"/>
    <s v="ZRDI"/>
    <n v="10098307"/>
    <s v="D18"/>
    <s v="DEV D2C - Arrependimento não quero mais"/>
    <s v="COMERCIAL"/>
    <x v="2"/>
    <n v="58108002"/>
    <x v="1872"/>
    <s v="PA"/>
    <n v="474"/>
    <s v="Site Brastemp"/>
    <n v="1352"/>
    <s v="W11135728"/>
    <s v="Mangueiras"/>
    <x v="5"/>
    <n v="1000"/>
    <n v="5002359"/>
    <s v="EMPRESA BRASILEIRA DE CORREIOS E"/>
    <n v="44.54"/>
    <d v="2025-07-07T00:00:00"/>
  </r>
  <r>
    <n v="254041822"/>
    <n v="64795601"/>
    <s v="REB"/>
    <n v="10008998"/>
    <n v="176"/>
    <s v="PEÇAS - Defeito de fabric./Interrompido"/>
    <s v="FUNCIONAL"/>
    <x v="0"/>
    <n v="33403"/>
    <x v="260"/>
    <s v="RN"/>
    <n v="648"/>
    <s v="Ultra"/>
    <n v="1350"/>
    <s v="W10168510"/>
    <s v="Motores Ventiladores"/>
    <x v="1"/>
    <n v="1000"/>
    <n v="5004101"/>
    <s v="UNIDOCK'S ASSESSORIA E LOGISTICA DE"/>
    <n v="44.53"/>
    <d v="2025-06-23T00:00:00"/>
  </r>
  <r>
    <s v="Sem TR"/>
    <n v="64805299"/>
    <s v="ZRDI"/>
    <n v="10098495"/>
    <s v="D18"/>
    <s v="DEV D2C - Arrependimento não quero mais"/>
    <s v="COMERCIAL"/>
    <x v="2"/>
    <n v="58081645"/>
    <x v="1873"/>
    <s v="BA"/>
    <n v="474"/>
    <s v="Site Brastemp"/>
    <n v="1352"/>
    <s v="W11213068"/>
    <s v="Acessórios"/>
    <x v="7"/>
    <n v="1000"/>
    <n v="5002359"/>
    <s v="EMPRESA BRASILEIRA DE CORREIOS E"/>
    <n v="44.5"/>
    <d v="2025-07-03T00:00:00"/>
  </r>
  <r>
    <n v="254027349"/>
    <n v="64806752"/>
    <s v="ZRDI"/>
    <n v="10086661"/>
    <n v="208"/>
    <s v="DEV-Atraso entrega- LOGISTICA(Transp)"/>
    <s v="TRANSPORTADORA"/>
    <x v="2"/>
    <n v="58088801"/>
    <x v="1874"/>
    <s v="BA"/>
    <n v="474"/>
    <s v="Site Brastemp"/>
    <n v="1352"/>
    <s v="W11213068"/>
    <s v="Acessórios"/>
    <x v="7"/>
    <n v="1000"/>
    <n v="5002359"/>
    <s v="EMPRESA BRASILEIRA DE CORREIOS E"/>
    <n v="44.5"/>
    <d v="2025-07-07T00:00:00"/>
  </r>
  <r>
    <s v="Sem TR"/>
    <n v="64811402"/>
    <s v="ZRDI"/>
    <n v="10114386"/>
    <s v="D11"/>
    <s v="DEV D2C - Comprou prod dimensão errada"/>
    <s v="COMERCIAL"/>
    <x v="2"/>
    <n v="58126543"/>
    <x v="928"/>
    <s v="BA"/>
    <n v="474"/>
    <s v="Site Brastemp"/>
    <n v="1352"/>
    <s v="W11213068"/>
    <s v="Acessórios"/>
    <x v="7"/>
    <n v="1000"/>
    <n v="5002359"/>
    <s v="EMPRESA BRASILEIRA DE CORREIOS E"/>
    <n v="44.5"/>
    <d v="2025-07-16T00:00:00"/>
  </r>
  <r>
    <n v="254033935"/>
    <n v="64812463"/>
    <s v="ZRDI"/>
    <n v="10088446"/>
    <n v="208"/>
    <s v="DEV-Atraso entrega- LOGISTICA(Transp)"/>
    <s v="TRANSPORTADORA"/>
    <x v="2"/>
    <n v="58091010"/>
    <x v="1875"/>
    <s v="BA"/>
    <n v="474"/>
    <s v="Site Brastemp"/>
    <n v="1352"/>
    <s v="W11213068"/>
    <s v="Acessórios"/>
    <x v="7"/>
    <n v="1000"/>
    <n v="5002359"/>
    <s v="EMPRESA BRASILEIRA DE CORREIOS E"/>
    <n v="44.5"/>
    <d v="2025-07-17T00:00:00"/>
  </r>
  <r>
    <n v="254033969"/>
    <n v="64812528"/>
    <s v="ZRDI"/>
    <n v="10103863"/>
    <n v="208"/>
    <s v="DEV-Atraso entrega- LOGISTICA(Transp)"/>
    <s v="TRANSPORTADORA"/>
    <x v="2"/>
    <n v="52444238"/>
    <x v="1041"/>
    <s v="PR"/>
    <n v="474"/>
    <s v="Site Brastemp"/>
    <n v="1352"/>
    <s v="W11213068"/>
    <s v="Acessórios"/>
    <x v="7"/>
    <n v="1000"/>
    <n v="5002359"/>
    <s v="EMPRESA BRASILEIRA DE CORREIOS E"/>
    <n v="44.5"/>
    <d v="2025-07-17T00:00:00"/>
  </r>
  <r>
    <n v="254037050"/>
    <n v="64814966"/>
    <s v="ZRDI"/>
    <n v="10086214"/>
    <n v="208"/>
    <s v="DEV-Atraso entrega- LOGISTICA(Transp)"/>
    <s v="TRANSPORTADORA"/>
    <x v="2"/>
    <n v="58088115"/>
    <x v="1876"/>
    <s v="BA"/>
    <n v="474"/>
    <s v="Site Brastemp"/>
    <n v="1352"/>
    <s v="W11213068"/>
    <s v="Acessórios"/>
    <x v="7"/>
    <n v="1000"/>
    <n v="5002359"/>
    <s v="EMPRESA BRASILEIRA DE CORREIOS E"/>
    <n v="44.5"/>
    <d v="2025-07-22T00:00:00"/>
  </r>
  <r>
    <n v="254033969"/>
    <n v="64812528"/>
    <s v="ZRDI"/>
    <n v="10103863"/>
    <n v="208"/>
    <s v="DEV-Atraso entrega- LOGISTICA(Transp)"/>
    <s v="TRANSPORTADORA"/>
    <x v="2"/>
    <n v="52444238"/>
    <x v="1041"/>
    <s v="PR"/>
    <n v="474"/>
    <s v="Site Brastemp"/>
    <n v="1352"/>
    <s v="W11213068"/>
    <s v="Acessórios"/>
    <x v="7"/>
    <n v="1000"/>
    <n v="5002359"/>
    <s v="EMPRESA BRASILEIRA DE CORREIOS E"/>
    <n v="44.5"/>
    <d v="2025-07-17T00:00:00"/>
  </r>
  <r>
    <n v="254037050"/>
    <n v="64814966"/>
    <s v="ZRDI"/>
    <n v="10086214"/>
    <n v="208"/>
    <s v="DEV-Atraso entrega- LOGISTICA(Transp)"/>
    <s v="TRANSPORTADORA"/>
    <x v="2"/>
    <n v="58088115"/>
    <x v="1876"/>
    <s v="BA"/>
    <n v="474"/>
    <s v="Site Brastemp"/>
    <n v="1352"/>
    <s v="W11213068"/>
    <s v="Acessórios"/>
    <x v="7"/>
    <n v="1000"/>
    <n v="5002359"/>
    <s v="EMPRESA BRASILEIRA DE CORREIOS E"/>
    <n v="44.5"/>
    <d v="2025-07-22T00:00:00"/>
  </r>
  <r>
    <s v="Sem TR"/>
    <n v="64819700"/>
    <s v="ZRDI"/>
    <n v="10103405"/>
    <s v="D31"/>
    <s v="DEV D2C - Defeito estético manufatura"/>
    <s v="MANUFATURA"/>
    <x v="1"/>
    <n v="58113889"/>
    <x v="1877"/>
    <s v="BA"/>
    <n v="474"/>
    <s v="Site Brastemp"/>
    <n v="1352"/>
    <s v="W11213068"/>
    <s v="Acessórios"/>
    <x v="7"/>
    <n v="1000"/>
    <n v="5002359"/>
    <s v="EMPRESA BRASILEIRA DE CORREIOS E"/>
    <n v="44.5"/>
    <d v="2025-07-29T00:00:00"/>
  </r>
  <r>
    <n v="253965864"/>
    <n v="64742944"/>
    <s v="REB"/>
    <n v="9946154"/>
    <n v="167"/>
    <s v="PEÇAS - Avaria - Quebrada/Depósito"/>
    <s v="LOGÍSTICA"/>
    <x v="1"/>
    <n v="30847"/>
    <x v="87"/>
    <s v="SP"/>
    <n v="644"/>
    <s v="Plus"/>
    <n v="1350"/>
    <s v="W11109166"/>
    <s v="Portas"/>
    <x v="6"/>
    <n v="1000"/>
    <n v="5004042"/>
    <s v="BRASIL WEB TRANSPORTES E LOGISTICA"/>
    <n v="44.47"/>
    <d v="2025-03-31T00:00:00"/>
  </r>
  <r>
    <n v="254022265"/>
    <n v="64799875"/>
    <s v="ZRDI"/>
    <n v="10059575"/>
    <n v="208"/>
    <s v="DEV-Atraso entrega- LOGISTICA(Transp)"/>
    <s v="TRANSPORTADORA"/>
    <x v="2"/>
    <n v="58052626"/>
    <x v="1878"/>
    <s v="RJ"/>
    <n v="475"/>
    <s v="Site Consul"/>
    <n v="1352"/>
    <s v="W10515645"/>
    <s v="Filtros"/>
    <x v="5"/>
    <n v="1000"/>
    <n v="5002359"/>
    <s v="EMPRESA BRASILEIRA DE CORREIOS E"/>
    <n v="44.43"/>
    <d v="2025-06-27T00:00:00"/>
  </r>
  <r>
    <n v="253961256"/>
    <n v="64737972"/>
    <s v="REB"/>
    <n v="9797760"/>
    <n v="176"/>
    <s v="PEÇAS - Defeito de fabric./Interrompido"/>
    <s v="FUNCIONAL"/>
    <x v="1"/>
    <n v="14474"/>
    <x v="25"/>
    <s v="RN"/>
    <n v="648"/>
    <s v="Ultra"/>
    <n v="1350"/>
    <s v="W10882241"/>
    <s v="Agitadores"/>
    <x v="2"/>
    <n v="1000"/>
    <n v="5004101"/>
    <s v="UNIDOCK'S ASSESSORIA E LOGISTICA DE"/>
    <n v="44.38"/>
    <d v="2025-03-25T00:00:00"/>
  </r>
  <r>
    <s v="Sem TR"/>
    <n v="64801347"/>
    <s v="ZRDI"/>
    <n v="10116045"/>
    <s v="D11"/>
    <s v="DEV D2C - Comprou prod dimensão errada"/>
    <s v="COMERCIAL"/>
    <x v="2"/>
    <n v="54387237"/>
    <x v="1751"/>
    <s v="MG"/>
    <n v="475"/>
    <s v="Site Consul"/>
    <n v="1352"/>
    <s v="W11375497"/>
    <s v="Prateleiras"/>
    <x v="9"/>
    <n v="1000"/>
    <n v="5002359"/>
    <s v="EMPRESA BRASILEIRA DE CORREIOS E"/>
    <n v="44.37"/>
    <d v="2025-07-07T00:00:00"/>
  </r>
  <r>
    <n v="254027642"/>
    <n v="64807245"/>
    <s v="ZRDI"/>
    <n v="10081745"/>
    <n v="208"/>
    <s v="DEV-Atraso entrega- LOGISTICA(Transp)"/>
    <s v="TRANSPORTADORA"/>
    <x v="2"/>
    <n v="57560958"/>
    <x v="1879"/>
    <s v="MG"/>
    <n v="474"/>
    <s v="Site Brastemp"/>
    <n v="1352"/>
    <s v="W11213068"/>
    <s v="Acessórios"/>
    <x v="7"/>
    <n v="1000"/>
    <n v="5002359"/>
    <s v="EMPRESA BRASILEIRA DE CORREIOS E"/>
    <n v="44.37"/>
    <d v="2025-07-08T00:00:00"/>
  </r>
  <r>
    <n v="254029245"/>
    <n v="64808752"/>
    <s v="ZRDI"/>
    <n v="10078990"/>
    <n v="208"/>
    <s v="DEV-Atraso entrega- LOGISTICA(Transp)"/>
    <s v="TRANSPORTADORA"/>
    <x v="2"/>
    <n v="52923046"/>
    <x v="1880"/>
    <s v="MG"/>
    <n v="474"/>
    <s v="Site Brastemp"/>
    <n v="1352"/>
    <s v="W11213068"/>
    <s v="Acessórios"/>
    <x v="7"/>
    <n v="1000"/>
    <n v="5002359"/>
    <s v="EMPRESA BRASILEIRA DE CORREIOS E"/>
    <n v="44.37"/>
    <d v="2025-07-10T00:00:00"/>
  </r>
  <r>
    <n v="254038156"/>
    <n v="64816121"/>
    <s v="ZRDI"/>
    <n v="10088247"/>
    <n v="208"/>
    <s v="DEV-Atraso entrega- LOGISTICA(Transp)"/>
    <s v="TRANSPORTADORA"/>
    <x v="2"/>
    <n v="4336187"/>
    <x v="1754"/>
    <s v="MG"/>
    <n v="474"/>
    <s v="Site Brastemp"/>
    <n v="1352"/>
    <s v="W11213068"/>
    <s v="Acessórios"/>
    <x v="7"/>
    <n v="1000"/>
    <n v="5002359"/>
    <s v="EMPRESA BRASILEIRA DE CORREIOS E"/>
    <n v="44.37"/>
    <d v="2025-07-23T00:00:00"/>
  </r>
  <r>
    <n v="254039188"/>
    <n v="64817070"/>
    <s v="ZRDI"/>
    <n v="10112579"/>
    <n v="208"/>
    <s v="DEV-Atraso entrega- LOGISTICA(Transp)"/>
    <s v="TRANSPORTADORA"/>
    <x v="2"/>
    <n v="53858738"/>
    <x v="1881"/>
    <s v="MG"/>
    <n v="474"/>
    <s v="Site Brastemp"/>
    <n v="1352"/>
    <s v="W11213068"/>
    <s v="Acessórios"/>
    <x v="7"/>
    <n v="1000"/>
    <n v="5002359"/>
    <s v="EMPRESA BRASILEIRA DE CORREIOS E"/>
    <n v="44.37"/>
    <d v="2025-07-24T00:00:00"/>
  </r>
  <r>
    <n v="254040384"/>
    <n v="64818288"/>
    <s v="ZRDI"/>
    <n v="10060891"/>
    <n v="208"/>
    <s v="DEV-Atraso entrega- LOGISTICA(Transp)"/>
    <s v="TRANSPORTADORA"/>
    <x v="2"/>
    <n v="58056657"/>
    <x v="1882"/>
    <s v="MG"/>
    <n v="474"/>
    <s v="Site Brastemp"/>
    <n v="1352"/>
    <s v="W11213068"/>
    <s v="Acessórios"/>
    <x v="7"/>
    <n v="1000"/>
    <n v="5002359"/>
    <s v="EMPRESA BRASILEIRA DE CORREIOS E"/>
    <n v="44.37"/>
    <d v="2025-07-26T00:00:00"/>
  </r>
  <r>
    <s v="Sem TR"/>
    <n v="64801347"/>
    <s v="ZRDI"/>
    <n v="10116045"/>
    <s v="D11"/>
    <s v="DEV D2C - Comprou prod dimensão errada"/>
    <s v="COMERCIAL"/>
    <x v="2"/>
    <n v="54387237"/>
    <x v="1751"/>
    <s v="MG"/>
    <n v="475"/>
    <s v="Site Consul"/>
    <n v="1352"/>
    <s v="W11375497"/>
    <s v="Prateleiras"/>
    <x v="9"/>
    <n v="1000"/>
    <n v="5002359"/>
    <s v="EMPRESA BRASILEIRA DE CORREIOS E"/>
    <n v="44.37"/>
    <d v="2025-07-07T00:00:00"/>
  </r>
  <r>
    <n v="254038156"/>
    <n v="64816121"/>
    <s v="ZRDI"/>
    <n v="10088247"/>
    <n v="208"/>
    <s v="DEV-Atraso entrega- LOGISTICA(Transp)"/>
    <s v="TRANSPORTADORA"/>
    <x v="2"/>
    <n v="4336187"/>
    <x v="1754"/>
    <s v="MG"/>
    <n v="474"/>
    <s v="Site Brastemp"/>
    <n v="1352"/>
    <s v="W11213068"/>
    <s v="Acessórios"/>
    <x v="7"/>
    <n v="1000"/>
    <n v="5002359"/>
    <s v="EMPRESA BRASILEIRA DE CORREIOS E"/>
    <n v="44.37"/>
    <d v="2025-07-23T00:00:00"/>
  </r>
  <r>
    <n v="254039188"/>
    <n v="64817070"/>
    <s v="ZRDI"/>
    <n v="10112579"/>
    <n v="208"/>
    <s v="DEV-Atraso entrega- LOGISTICA(Transp)"/>
    <s v="TRANSPORTADORA"/>
    <x v="2"/>
    <n v="53858738"/>
    <x v="1881"/>
    <s v="MG"/>
    <n v="474"/>
    <s v="Site Brastemp"/>
    <n v="1352"/>
    <s v="W11213068"/>
    <s v="Acessórios"/>
    <x v="7"/>
    <n v="1000"/>
    <n v="5002359"/>
    <s v="EMPRESA BRASILEIRA DE CORREIOS E"/>
    <n v="44.37"/>
    <d v="2025-07-24T00:00:00"/>
  </r>
  <r>
    <n v="254040384"/>
    <n v="64818288"/>
    <s v="ZRDI"/>
    <n v="10060891"/>
    <n v="208"/>
    <s v="DEV-Atraso entrega- LOGISTICA(Transp)"/>
    <s v="TRANSPORTADORA"/>
    <x v="2"/>
    <n v="58056657"/>
    <x v="1882"/>
    <s v="MG"/>
    <n v="474"/>
    <s v="Site Brastemp"/>
    <n v="1352"/>
    <s v="W11213068"/>
    <s v="Acessórios"/>
    <x v="7"/>
    <n v="1000"/>
    <n v="5002359"/>
    <s v="EMPRESA BRASILEIRA DE CORREIOS E"/>
    <n v="44.37"/>
    <d v="2025-07-26T00:00:00"/>
  </r>
  <r>
    <n v="254039281"/>
    <n v="64817220"/>
    <s v="ZRDI"/>
    <n v="10133731"/>
    <n v="208"/>
    <s v="DEV-Atraso entrega- LOGISTICA(Transp)"/>
    <s v="TRANSPORTADORA"/>
    <x v="2"/>
    <n v="58153578"/>
    <x v="1883"/>
    <s v="PE"/>
    <n v="466"/>
    <s v="Sup ML Marketplace"/>
    <n v="1352"/>
    <s v="W11375169"/>
    <s v="Tampas Móveis"/>
    <x v="6"/>
    <n v="1000"/>
    <n v="5002359"/>
    <s v="EMPRESA BRASILEIRA DE CORREIOS E"/>
    <n v="44.36"/>
    <d v="2025-07-24T00:00:00"/>
  </r>
  <r>
    <n v="254039281"/>
    <n v="64817220"/>
    <s v="ZRDI"/>
    <n v="10133731"/>
    <n v="208"/>
    <s v="DEV-Atraso entrega- LOGISTICA(Transp)"/>
    <s v="TRANSPORTADORA"/>
    <x v="2"/>
    <n v="58153578"/>
    <x v="1883"/>
    <s v="PE"/>
    <n v="466"/>
    <s v="Sup ML Marketplace"/>
    <n v="1352"/>
    <s v="W11375169"/>
    <s v="Tampas Móveis"/>
    <x v="6"/>
    <n v="1000"/>
    <n v="5002359"/>
    <s v="EMPRESA BRASILEIRA DE CORREIOS E"/>
    <n v="44.36"/>
    <d v="2025-07-24T00:00:00"/>
  </r>
  <r>
    <s v="Sem TR"/>
    <n v="64808481"/>
    <s v="ZRDI"/>
    <n v="10112268"/>
    <s v="D10"/>
    <s v="DEV D2C - Comprou modelo errado"/>
    <s v="COMERCIAL"/>
    <x v="2"/>
    <n v="58124563"/>
    <x v="1884"/>
    <s v="ES"/>
    <n v="474"/>
    <s v="Site Brastemp"/>
    <n v="1352"/>
    <s v="W10911543"/>
    <s v="Manípulos"/>
    <x v="6"/>
    <n v="2000"/>
    <n v="5002359"/>
    <s v="EMPRESA BRASILEIRA DE CORREIOS E"/>
    <n v="44.34"/>
    <d v="2025-07-14T00:00:00"/>
  </r>
  <r>
    <s v="Sem TR"/>
    <n v="64808481"/>
    <s v="ZRDI"/>
    <n v="10112268"/>
    <s v="D10"/>
    <s v="DEV D2C - Comprou modelo errado"/>
    <s v="COMERCIAL"/>
    <x v="2"/>
    <n v="58124563"/>
    <x v="1884"/>
    <s v="ES"/>
    <n v="474"/>
    <s v="Site Brastemp"/>
    <n v="1352"/>
    <s v="W10911543"/>
    <s v="Manípulos"/>
    <x v="6"/>
    <n v="2000"/>
    <n v="5002359"/>
    <s v="EMPRESA BRASILEIRA DE CORREIOS E"/>
    <n v="44.34"/>
    <d v="2025-07-14T00:00:00"/>
  </r>
  <r>
    <n v="253987986"/>
    <n v="64757740"/>
    <s v="REB"/>
    <n v="9929716"/>
    <n v="176"/>
    <s v="PEÇAS - Defeito de fabric./Interrompido"/>
    <s v="FUNCIONAL"/>
    <x v="1"/>
    <n v="31537"/>
    <x v="523"/>
    <s v="RS"/>
    <n v="641"/>
    <s v="CDP Diamante"/>
    <n v="1350"/>
    <s v="W11082463"/>
    <s v="Termostatos"/>
    <x v="3"/>
    <n v="1000"/>
    <n v="5003024"/>
    <s v="RODOBRAS TRANSPORTES RODOVIARIOS LT"/>
    <n v="44.34"/>
    <d v="2025-04-25T00:00:00"/>
  </r>
  <r>
    <n v="253992733"/>
    <n v="64768296"/>
    <s v="REB"/>
    <n v="9929716"/>
    <n v="176"/>
    <s v="PEÇAS - Defeito de fabric./Interrompido"/>
    <s v="FUNCIONAL"/>
    <x v="1"/>
    <n v="31537"/>
    <x v="523"/>
    <s v="RS"/>
    <n v="641"/>
    <s v="CDP Diamante"/>
    <n v="1350"/>
    <s v="W11082463"/>
    <s v="Termostatos"/>
    <x v="3"/>
    <n v="1000"/>
    <n v="5003024"/>
    <s v="RODOBRAS TRANSPORTES RODOVIARIOS LT"/>
    <n v="44.34"/>
    <d v="2025-05-12T00:00:00"/>
  </r>
  <r>
    <n v="254033412"/>
    <n v="64807606"/>
    <s v="REB"/>
    <n v="10039420"/>
    <n v="173"/>
    <s v="PEÇAS - Defeito de fabric./Alta Amperage"/>
    <s v="FUNCIONAL"/>
    <x v="1"/>
    <n v="47471"/>
    <x v="424"/>
    <s v="TO"/>
    <n v="643"/>
    <s v="Elite"/>
    <n v="1350"/>
    <s v="W10882241"/>
    <s v="Agitadores"/>
    <x v="2"/>
    <n v="1000"/>
    <n v="5002858"/>
    <s v="FAVORITA TRANSPORTES LTDA"/>
    <n v="44.24"/>
    <d v="2025-07-08T00:00:00"/>
  </r>
  <r>
    <s v="Sem TR"/>
    <n v="64815753"/>
    <s v="ZRDI"/>
    <n v="10119263"/>
    <s v="D25"/>
    <s v="DEV D2C - Prob na entrega (Não recebi)"/>
    <s v="TRANSPORTADORA"/>
    <x v="2"/>
    <n v="50940574"/>
    <x v="583"/>
    <s v="PR"/>
    <n v="488"/>
    <s v="Carteira A"/>
    <n v="1352"/>
    <s v="W10349302"/>
    <s v="Filtros"/>
    <x v="5"/>
    <n v="1000"/>
    <n v="5002359"/>
    <s v="EMPRESA BRASILEIRA DE CORREIOS E"/>
    <n v="44.23"/>
    <d v="2025-07-24T00:00:00"/>
  </r>
  <r>
    <s v="Sem TR"/>
    <n v="64815753"/>
    <s v="ZRDI"/>
    <n v="10119263"/>
    <s v="D25"/>
    <s v="DEV D2C - Prob na entrega (Não recebi)"/>
    <s v="TRANSPORTADORA"/>
    <x v="2"/>
    <n v="50940574"/>
    <x v="583"/>
    <s v="PR"/>
    <n v="488"/>
    <s v="Carteira A"/>
    <n v="1352"/>
    <s v="W10349302"/>
    <s v="Filtros"/>
    <x v="5"/>
    <n v="1000"/>
    <n v="5002359"/>
    <s v="EMPRESA BRASILEIRA DE CORREIOS E"/>
    <n v="44.23"/>
    <d v="2025-07-24T00:00:00"/>
  </r>
  <r>
    <s v="Sem TR"/>
    <n v="64802287"/>
    <s v="ZRDI"/>
    <n v="10082811"/>
    <s v="D10"/>
    <s v="DEV D2C - Comprou modelo errado"/>
    <s v="COMERCIAL"/>
    <x v="2"/>
    <n v="58078950"/>
    <x v="1161"/>
    <s v="PR"/>
    <n v="475"/>
    <s v="Site Consul"/>
    <n v="1352"/>
    <s v="W10212441"/>
    <s v="Prateleiras"/>
    <x v="9"/>
    <n v="1000"/>
    <n v="5002359"/>
    <s v="EMPRESA BRASILEIRA DE CORREIOS E"/>
    <n v="44.18"/>
    <d v="2025-07-02T00:00:00"/>
  </r>
  <r>
    <n v="254033972"/>
    <n v="64812531"/>
    <s v="ZRDI"/>
    <n v="10106232"/>
    <n v="208"/>
    <s v="DEV-Atraso entrega- LOGISTICA(Transp)"/>
    <s v="TRANSPORTADORA"/>
    <x v="2"/>
    <n v="58117904"/>
    <x v="1782"/>
    <s v="PR"/>
    <n v="475"/>
    <s v="Site Consul"/>
    <n v="1352"/>
    <s v="W10212441"/>
    <s v="Prateleiras"/>
    <x v="9"/>
    <n v="1000"/>
    <n v="5002359"/>
    <s v="EMPRESA BRASILEIRA DE CORREIOS E"/>
    <n v="44.18"/>
    <d v="2025-07-17T00:00:00"/>
  </r>
  <r>
    <n v="253948444"/>
    <n v="64726577"/>
    <s v="REB"/>
    <n v="9808490"/>
    <n v="160"/>
    <s v="OI Cancelada - Ver motivo no texto"/>
    <s v="OUTROS"/>
    <x v="0"/>
    <n v="3506"/>
    <x v="46"/>
    <s v="SP"/>
    <n v="931"/>
    <s v="Ats Off"/>
    <n v="1350"/>
    <s v="W10754676"/>
    <s v="Suportes"/>
    <x v="6"/>
    <n v="1000"/>
    <n v="5004042"/>
    <s v="BRASIL WEB TRANSPORTES E LOGISTICA"/>
    <n v="44.18"/>
    <d v="2025-03-07T00:00:00"/>
  </r>
  <r>
    <s v="Sem TR"/>
    <n v="64816363"/>
    <s v="ZRDI"/>
    <n v="10151585"/>
    <s v="D18"/>
    <s v="DEV D2C - Arrependimento não quero mais"/>
    <s v="COMERCIAL"/>
    <x v="2"/>
    <n v="58176049"/>
    <x v="1885"/>
    <s v="SP"/>
    <n v="474"/>
    <s v="Site Brastemp"/>
    <n v="1352"/>
    <s v="W11344672"/>
    <s v="Cordões de Alimentação"/>
    <x v="1"/>
    <n v="1000"/>
    <n v="5002359"/>
    <s v="EMPRESA BRASILEIRA DE CORREIOS E"/>
    <n v="44.15"/>
    <d v="2025-07-25T00:00:00"/>
  </r>
  <r>
    <s v="Sem TR"/>
    <n v="64816363"/>
    <s v="ZRDI"/>
    <n v="10151585"/>
    <s v="D18"/>
    <s v="DEV D2C - Arrependimento não quero mais"/>
    <s v="COMERCIAL"/>
    <x v="2"/>
    <n v="58176049"/>
    <x v="1885"/>
    <s v="SP"/>
    <n v="474"/>
    <s v="Site Brastemp"/>
    <n v="1352"/>
    <s v="W11344672"/>
    <s v="Cordões de Alimentação"/>
    <x v="1"/>
    <n v="1000"/>
    <n v="5002359"/>
    <s v="EMPRESA BRASILEIRA DE CORREIOS E"/>
    <n v="44.15"/>
    <d v="2025-07-25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0833441"/>
    <s v="Gaxetas"/>
    <x v="4"/>
    <n v="1000"/>
    <n v="5004042"/>
    <s v="BRASIL WEB TRANSPORTES E LOGISTICA"/>
    <n v="44.12"/>
    <d v="2025-06-24T00:00:00"/>
  </r>
  <r>
    <n v="253965914"/>
    <n v="64741232"/>
    <s v="REB"/>
    <n v="9911246"/>
    <n v="167"/>
    <s v="PEÇAS - Avaria - Quebrada/Depósito"/>
    <s v="LOGÍSTICA"/>
    <x v="1"/>
    <n v="81448"/>
    <x v="1668"/>
    <s v="PI"/>
    <n v="644"/>
    <s v="Plus"/>
    <n v="1350"/>
    <n v="326051022"/>
    <s v="Capas"/>
    <x v="6"/>
    <n v="1000"/>
    <n v="5004101"/>
    <s v="UNIDOCK'S ASSESSORIA E LOGISTICA DE"/>
    <n v="44.03"/>
    <d v="2025-03-31T00:00:00"/>
  </r>
  <r>
    <s v="Sem TR"/>
    <n v="64808109"/>
    <s v="ZRDI"/>
    <n v="10098304"/>
    <s v="D10"/>
    <s v="DEV D2C - Comprou modelo errado"/>
    <s v="COMERCIAL"/>
    <x v="2"/>
    <n v="58107874"/>
    <x v="1886"/>
    <s v="MS"/>
    <n v="475"/>
    <s v="Site Consul"/>
    <n v="1352"/>
    <s v="W11444697"/>
    <s v="Prateleiras"/>
    <x v="9"/>
    <n v="1000"/>
    <n v="5002359"/>
    <s v="EMPRESA BRASILEIRA DE CORREIOS E"/>
    <n v="44.01"/>
    <d v="2025-07-09T00:00:00"/>
  </r>
  <r>
    <s v="Sem TR"/>
    <n v="64808109"/>
    <s v="ZRDI"/>
    <n v="10098304"/>
    <s v="D10"/>
    <s v="DEV D2C - Comprou modelo errado"/>
    <s v="COMERCIAL"/>
    <x v="2"/>
    <n v="58107874"/>
    <x v="1886"/>
    <s v="MS"/>
    <n v="475"/>
    <s v="Site Consul"/>
    <n v="1352"/>
    <s v="W11444697"/>
    <s v="Prateleiras"/>
    <x v="9"/>
    <n v="1000"/>
    <n v="5002359"/>
    <s v="EMPRESA BRASILEIRA DE CORREIOS E"/>
    <n v="44.01"/>
    <d v="2025-07-09T00:00:00"/>
  </r>
  <r>
    <n v="253988917"/>
    <n v="64764449"/>
    <s v="REB"/>
    <n v="9716009"/>
    <n v="173"/>
    <s v="PEÇAS - Defeito de fabric./Alta Amperage"/>
    <s v="FUNCIONAL"/>
    <x v="1"/>
    <n v="73003"/>
    <x v="294"/>
    <s v="SC"/>
    <n v="931"/>
    <s v="Ats Off"/>
    <n v="1350"/>
    <s v="W10168510"/>
    <s v="Motores Ventiladores"/>
    <x v="1"/>
    <n v="1000"/>
    <n v="5003024"/>
    <s v="RODOBRAS TRANSPORTES RODOVIARIOS LT"/>
    <n v="44.01"/>
    <d v="2025-05-05T00:00:00"/>
  </r>
  <r>
    <s v="Sem TR"/>
    <n v="64813916"/>
    <s v="ZRDI"/>
    <n v="10094950"/>
    <n v="25"/>
    <s v="OC. 80 - EXTRAVIO TOTAL"/>
    <s v="TRANSPORTADORA"/>
    <x v="2"/>
    <n v="4070901"/>
    <x v="486"/>
    <s v="SP"/>
    <n v="475"/>
    <s v="Site Consul"/>
    <n v="1352"/>
    <s v="W11100356"/>
    <s v="Outros"/>
    <x v="7"/>
    <n v="1000"/>
    <n v="5002359"/>
    <s v="EMPRESA BRASILEIRA DE CORREIOS E"/>
    <n v="43.98"/>
    <d v="2025-07-21T00:00:00"/>
  </r>
  <r>
    <s v="Sem TR"/>
    <n v="64813916"/>
    <s v="ZRDI"/>
    <n v="10094950"/>
    <n v="25"/>
    <s v="OC. 80 - EXTRAVIO TOTAL"/>
    <s v="TRANSPORTADORA"/>
    <x v="2"/>
    <n v="4070901"/>
    <x v="486"/>
    <s v="SP"/>
    <n v="475"/>
    <s v="Site Consul"/>
    <n v="1352"/>
    <s v="W11100356"/>
    <s v="Outros"/>
    <x v="7"/>
    <n v="1000"/>
    <n v="5002359"/>
    <s v="EMPRESA BRASILEIRA DE CORREIOS E"/>
    <n v="43.98"/>
    <d v="2025-07-21T00:00:00"/>
  </r>
  <r>
    <n v="253970675"/>
    <n v="64748374"/>
    <s v="REB"/>
    <n v="9657637"/>
    <n v="173"/>
    <s v="PEÇAS - Defeito de fabric./Alta Amperage"/>
    <s v="FUNCIONAL"/>
    <x v="1"/>
    <n v="66"/>
    <x v="73"/>
    <s v="GO"/>
    <n v="931"/>
    <s v="Ats Off"/>
    <n v="1350"/>
    <s v="W10505774"/>
    <s v="Redes Elétricas"/>
    <x v="1"/>
    <n v="1000"/>
    <n v="5002858"/>
    <s v="FAVORITA TRANSPORTES LTDA"/>
    <n v="43.92"/>
    <d v="2025-04-09T00:00:00"/>
  </r>
  <r>
    <n v="253918550"/>
    <n v="64691671"/>
    <s v="REB"/>
    <n v="9645285"/>
    <n v="176"/>
    <s v="PEÇAS - Defeito de fabric./Interrompido"/>
    <s v="FUNCIONAL"/>
    <x v="1"/>
    <n v="14474"/>
    <x v="25"/>
    <s v="RN"/>
    <n v="643"/>
    <s v="Elite"/>
    <n v="1350"/>
    <s v="W10714366"/>
    <s v="Válvulas de Água"/>
    <x v="5"/>
    <n v="1000"/>
    <n v="5004101"/>
    <s v="UNIDOCK'S ASSESSORIA E LOGISTICA DE"/>
    <n v="43.82"/>
    <d v="2025-01-15T00:00:00"/>
  </r>
  <r>
    <n v="254033313"/>
    <n v="64802695"/>
    <s v="REB"/>
    <n v="10102277"/>
    <n v="173"/>
    <s v="PEÇAS - Defeito de fabric./Alta Amperage"/>
    <s v="FUNCIONAL"/>
    <x v="1"/>
    <n v="21594"/>
    <x v="97"/>
    <s v="SP"/>
    <n v="931"/>
    <s v="Ats Off"/>
    <n v="1350"/>
    <s v="W10160037"/>
    <s v="Capacitores"/>
    <x v="1"/>
    <n v="1000"/>
    <n v="5004042"/>
    <s v="BRASIL WEB TRANSPORTES E LOGISTICA"/>
    <n v="43.8"/>
    <d v="2025-07-01T00:00:00"/>
  </r>
  <r>
    <s v="Sem TR"/>
    <n v="64807660"/>
    <s v="ZRDI"/>
    <n v="10090907"/>
    <s v="D10"/>
    <s v="DEV D2C - Comprou modelo errado"/>
    <s v="COMERCIAL"/>
    <x v="2"/>
    <n v="50196536"/>
    <x v="964"/>
    <s v="SP"/>
    <n v="474"/>
    <s v="Site Brastemp"/>
    <n v="1352"/>
    <s v="W11213068"/>
    <s v="Acessórios"/>
    <x v="7"/>
    <n v="1000"/>
    <n v="5002359"/>
    <s v="EMPRESA BRASILEIRA DE CORREIOS E"/>
    <n v="43.79"/>
    <d v="2025-07-08T00:00:00"/>
  </r>
  <r>
    <s v="Sem TR"/>
    <n v="64807660"/>
    <s v="ZRDI"/>
    <n v="10090907"/>
    <s v="D10"/>
    <s v="DEV D2C - Comprou modelo errado"/>
    <s v="COMERCIAL"/>
    <x v="2"/>
    <n v="50196536"/>
    <x v="964"/>
    <s v="SP"/>
    <n v="474"/>
    <s v="Site Brastemp"/>
    <n v="1352"/>
    <s v="W11213068"/>
    <s v="Acessórios"/>
    <x v="7"/>
    <n v="1000"/>
    <n v="5002359"/>
    <s v="EMPRESA BRASILEIRA DE CORREIOS E"/>
    <n v="43.79"/>
    <d v="2025-07-08T00:00:00"/>
  </r>
  <r>
    <n v="254022393"/>
    <n v="64800005"/>
    <s v="ZRDI"/>
    <n v="10071842"/>
    <s v="D25"/>
    <s v="DEV D2C - Prob na entrega (Não recebi)"/>
    <s v="TRANSPORTADORA"/>
    <x v="2"/>
    <n v="58066816"/>
    <x v="490"/>
    <s v="RJ"/>
    <n v="474"/>
    <s v="Site Brastemp"/>
    <n v="1352"/>
    <s v="W11100356"/>
    <s v="Outros"/>
    <x v="7"/>
    <n v="1000"/>
    <n v="5003972"/>
    <s v="ICARO EXPRESS LOGISTICA LTDA"/>
    <n v="43.67"/>
    <d v="2025-06-28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236668"/>
    <s v="Registros"/>
    <x v="12"/>
    <n v="5000"/>
    <n v="5002858"/>
    <s v="FAVORITA TRANSPORTES LTDA"/>
    <n v="43.67"/>
    <d v="2025-07-15T00:00:00"/>
  </r>
  <r>
    <s v="Sem TR"/>
    <n v="64789136"/>
    <s v="REB"/>
    <n v="10043408"/>
    <n v="509"/>
    <s v="Qtd de peças a Menor dentro do Volume"/>
    <s v="LOGÍSTICA"/>
    <x v="1"/>
    <n v="54055"/>
    <x v="1887"/>
    <s v="MA"/>
    <n v="933"/>
    <s v="Top"/>
    <n v="1350"/>
    <s v="W10531315"/>
    <s v="Sensores"/>
    <x v="3"/>
    <n v="5000"/>
    <n v="5002359"/>
    <s v="EMPRESA BRASILEIRA DE CORREIOS E"/>
    <n v="43.67"/>
    <d v="2025-06-10T00:00:00"/>
  </r>
  <r>
    <s v="Sem TR"/>
    <n v="64805485"/>
    <s v="ZRDI"/>
    <n v="10095803"/>
    <s v="D10"/>
    <s v="DEV D2C - Comprou modelo errado"/>
    <s v="COMERCIAL"/>
    <x v="2"/>
    <n v="58104064"/>
    <x v="609"/>
    <s v="SC"/>
    <n v="475"/>
    <s v="Site Consul"/>
    <n v="1352"/>
    <s v="W10212441"/>
    <s v="Prateleiras"/>
    <x v="9"/>
    <n v="1000"/>
    <n v="5002359"/>
    <s v="EMPRESA BRASILEIRA DE CORREIOS E"/>
    <n v="43.66"/>
    <d v="2025-07-08T00:00:00"/>
  </r>
  <r>
    <s v="Sem TR"/>
    <n v="64806896"/>
    <s v="ZRDI"/>
    <n v="10095803"/>
    <s v="D10"/>
    <s v="DEV D2C - Comprou modelo errado"/>
    <s v="COMERCIAL"/>
    <x v="2"/>
    <n v="58104064"/>
    <x v="609"/>
    <s v="SC"/>
    <n v="475"/>
    <s v="Site Consul"/>
    <n v="1352"/>
    <s v="W10212441"/>
    <s v="Prateleiras"/>
    <x v="9"/>
    <n v="1000"/>
    <n v="5002359"/>
    <s v="EMPRESA BRASILEIRA DE CORREIOS E"/>
    <n v="43.66"/>
    <d v="2025-07-08T00:00:00"/>
  </r>
  <r>
    <n v="254031833"/>
    <n v="64796022"/>
    <s v="REB"/>
    <n v="10099216"/>
    <n v="176"/>
    <s v="PEÇAS - Defeito de fabric./Interrompido"/>
    <s v="FUNCIONAL"/>
    <x v="1"/>
    <n v="3506"/>
    <x v="46"/>
    <s v="SP"/>
    <n v="931"/>
    <s v="Ats Off"/>
    <n v="1350"/>
    <s v="W11238605"/>
    <s v="Redes Elétricas"/>
    <x v="1"/>
    <n v="1000"/>
    <n v="5004042"/>
    <s v="BRASIL WEB TRANSPORTES E LOGISTICA"/>
    <n v="43.65"/>
    <d v="2025-07-01T00:00:00"/>
  </r>
  <r>
    <n v="254018368"/>
    <n v="64793115"/>
    <s v="REB"/>
    <n v="9952720"/>
    <n v="90"/>
    <s v="CLIENTE-não solicitou"/>
    <s v="COMERCIAL"/>
    <x v="2"/>
    <n v="72786"/>
    <x v="41"/>
    <s v="SC"/>
    <n v="643"/>
    <s v="Elite"/>
    <n v="1350"/>
    <s v="W10169464"/>
    <s v="Defletores/Difusores"/>
    <x v="5"/>
    <n v="2000"/>
    <n v="5003024"/>
    <s v="RODOBRAS TRANSPORTES RODOVIARIOS LT"/>
    <n v="43.64"/>
    <d v="2025-06-17T00:00:00"/>
  </r>
  <r>
    <n v="254033558"/>
    <n v="64812024"/>
    <s v="ZRDI"/>
    <n v="10109765"/>
    <s v="D25"/>
    <s v="DEV D2C - Prob na entrega (Não recebi)"/>
    <s v="TRANSPORTADORA"/>
    <x v="2"/>
    <n v="58120672"/>
    <x v="493"/>
    <s v="SE"/>
    <n v="475"/>
    <s v="Site Consul"/>
    <n v="1352"/>
    <s v="W10866793"/>
    <s v="Outros"/>
    <x v="7"/>
    <n v="1000"/>
    <n v="5002359"/>
    <s v="EMPRESA BRASILEIRA DE CORREIOS E"/>
    <n v="43.63"/>
    <d v="2025-07-17T00:00:00"/>
  </r>
  <r>
    <n v="254033558"/>
    <n v="64812024"/>
    <s v="ZRDI"/>
    <n v="10109765"/>
    <s v="D25"/>
    <s v="DEV D2C - Prob na entrega (Não recebi)"/>
    <s v="TRANSPORTADORA"/>
    <x v="2"/>
    <n v="58120672"/>
    <x v="493"/>
    <s v="SE"/>
    <n v="475"/>
    <s v="Site Consul"/>
    <n v="1352"/>
    <s v="W10866793"/>
    <s v="Outros"/>
    <x v="7"/>
    <n v="1000"/>
    <n v="5002359"/>
    <s v="EMPRESA BRASILEIRA DE CORREIOS E"/>
    <n v="43.63"/>
    <d v="2025-07-17T00:00:00"/>
  </r>
  <r>
    <s v="Sem TR"/>
    <n v="64802699"/>
    <s v="ZRDI"/>
    <n v="10095727"/>
    <s v="D18"/>
    <s v="DEV D2C - Arrependimento não quero mais"/>
    <s v="COMERCIAL"/>
    <x v="2"/>
    <n v="50456457"/>
    <x v="494"/>
    <s v="BA"/>
    <n v="475"/>
    <s v="Site Consul"/>
    <n v="1352"/>
    <s v="W10866793"/>
    <s v="Outros"/>
    <x v="7"/>
    <n v="1000"/>
    <n v="5002359"/>
    <s v="EMPRESA BRASILEIRA DE CORREIOS E"/>
    <n v="43.6"/>
    <d v="2025-07-01T00:00:00"/>
  </r>
  <r>
    <n v="254042089"/>
    <n v="64795427"/>
    <s v="REB"/>
    <n v="10056279"/>
    <n v="90"/>
    <s v="CLIENTE-não solicitou"/>
    <s v="COMERCIAL"/>
    <x v="0"/>
    <n v="69166"/>
    <x v="129"/>
    <s v="RJ"/>
    <n v="931"/>
    <s v="Ats Off"/>
    <n v="1350"/>
    <s v="W10637593"/>
    <s v="Peças Mecanismos"/>
    <x v="2"/>
    <n v="1000"/>
    <n v="5003176"/>
    <s v="J C THEDIN TRANSPORTES LTDA"/>
    <n v="43.57"/>
    <d v="2025-06-23T00:00:00"/>
  </r>
  <r>
    <s v="Sem TR"/>
    <n v="64807550"/>
    <s v="ZRDI"/>
    <n v="10098562"/>
    <s v="D10"/>
    <s v="DEV D2C - Comprou modelo errado"/>
    <s v="COMERCIAL"/>
    <x v="2"/>
    <n v="50356651"/>
    <x v="1888"/>
    <s v="RJ"/>
    <n v="475"/>
    <s v="Site Consul"/>
    <n v="1352"/>
    <s v="W10212441"/>
    <s v="Prateleiras"/>
    <x v="9"/>
    <n v="1000"/>
    <n v="5002359"/>
    <s v="EMPRESA BRASILEIRA DE CORREIOS E"/>
    <n v="43.47"/>
    <d v="2025-07-16T00:00:00"/>
  </r>
  <r>
    <n v="254032630"/>
    <n v="64811538"/>
    <s v="ZRDI"/>
    <n v="10127970"/>
    <n v="208"/>
    <s v="DEV-Atraso entrega- LOGISTICA(Transp)"/>
    <s v="TRANSPORTADORA"/>
    <x v="2"/>
    <n v="58142951"/>
    <x v="1889"/>
    <s v="RJ"/>
    <n v="475"/>
    <s v="Site Consul"/>
    <n v="1352"/>
    <s v="W10212441"/>
    <s v="Prateleiras"/>
    <x v="9"/>
    <n v="1000"/>
    <n v="5002359"/>
    <s v="EMPRESA BRASILEIRA DE CORREIOS E"/>
    <n v="43.47"/>
    <d v="2025-07-16T00:00:00"/>
  </r>
  <r>
    <s v="Sem TR"/>
    <n v="64807550"/>
    <s v="ZRDI"/>
    <n v="10098562"/>
    <s v="D10"/>
    <s v="DEV D2C - Comprou modelo errado"/>
    <s v="COMERCIAL"/>
    <x v="2"/>
    <n v="50356651"/>
    <x v="1888"/>
    <s v="RJ"/>
    <n v="475"/>
    <s v="Site Consul"/>
    <n v="1352"/>
    <s v="W10212441"/>
    <s v="Prateleiras"/>
    <x v="9"/>
    <n v="1000"/>
    <n v="5002359"/>
    <s v="EMPRESA BRASILEIRA DE CORREIOS E"/>
    <n v="43.47"/>
    <d v="2025-07-16T00:00:00"/>
  </r>
  <r>
    <n v="254032630"/>
    <n v="64811538"/>
    <s v="ZRDI"/>
    <n v="10127970"/>
    <n v="208"/>
    <s v="DEV-Atraso entrega- LOGISTICA(Transp)"/>
    <s v="TRANSPORTADORA"/>
    <x v="2"/>
    <n v="58142951"/>
    <x v="1889"/>
    <s v="RJ"/>
    <n v="475"/>
    <s v="Site Consul"/>
    <n v="1352"/>
    <s v="W10212441"/>
    <s v="Prateleiras"/>
    <x v="9"/>
    <n v="1000"/>
    <n v="5002359"/>
    <s v="EMPRESA BRASILEIRA DE CORREIOS E"/>
    <n v="43.47"/>
    <d v="2025-07-16T00:00:00"/>
  </r>
  <r>
    <s v="Sem TR"/>
    <n v="64624263"/>
    <s v="ROB"/>
    <n v="9629183"/>
    <n v="25"/>
    <s v="OC. 80 - EXTRAVIO TOTAL"/>
    <s v="TRANSPORTADORA"/>
    <x v="0"/>
    <n v="14474"/>
    <x v="25"/>
    <s v="RN"/>
    <n v="643"/>
    <s v="Elite"/>
    <n v="1350"/>
    <s v="W10335914"/>
    <s v="Parafusos e afins"/>
    <x v="10"/>
    <n v="10000"/>
    <n v="5004101"/>
    <s v="UNIDOCK'S ASSESSORIA E LOGISTICA DE"/>
    <n v="43.45"/>
    <d v="2024-10-08T00:00:00"/>
  </r>
  <r>
    <s v="Sem TR"/>
    <n v="64768074"/>
    <s v="ZDVP"/>
    <n v="10017012"/>
    <n v="90"/>
    <s v="CLIENTE-não solicitou"/>
    <s v="COMERCIAL"/>
    <x v="1"/>
    <n v="64772"/>
    <x v="940"/>
    <s v="SP"/>
    <n v="350"/>
    <s v="Ats On"/>
    <n v="1350"/>
    <s v="W10531315"/>
    <s v="Sensores"/>
    <x v="3"/>
    <n v="5000"/>
    <n v="5004042"/>
    <s v="BRASIL WEB TRANSPORTES E LOGISTICA"/>
    <n v="43.4"/>
    <d v="2025-05-12T00:00:00"/>
  </r>
  <r>
    <s v="Sem TR"/>
    <n v="64808357"/>
    <s v="ZRDI"/>
    <n v="10096046"/>
    <s v="D31"/>
    <s v="DEV D2C - Defeito estético manufatura"/>
    <s v="MANUFATURA"/>
    <x v="2"/>
    <n v="58102194"/>
    <x v="1890"/>
    <s v="BA"/>
    <n v="474"/>
    <s v="Site Brastemp"/>
    <n v="1352"/>
    <s v="W11693441"/>
    <s v="Outros"/>
    <x v="7"/>
    <n v="1000"/>
    <n v="5002359"/>
    <s v="EMPRESA BRASILEIRA DE CORREIOS E"/>
    <n v="43.34"/>
    <d v="2025-07-11T00:00:00"/>
  </r>
  <r>
    <s v="Sem TR"/>
    <n v="64808357"/>
    <s v="ZRDI"/>
    <n v="10096046"/>
    <s v="D31"/>
    <s v="DEV D2C - Defeito estético manufatura"/>
    <s v="MANUFATURA"/>
    <x v="2"/>
    <n v="58102194"/>
    <x v="1890"/>
    <s v="BA"/>
    <n v="474"/>
    <s v="Site Brastemp"/>
    <n v="1352"/>
    <s v="W11693441"/>
    <s v="Outros"/>
    <x v="7"/>
    <n v="1000"/>
    <n v="5002359"/>
    <s v="EMPRESA BRASILEIRA DE CORREIOS E"/>
    <n v="43.34"/>
    <d v="2025-07-11T00:00:00"/>
  </r>
  <r>
    <n v="254044778"/>
    <n v="64810622"/>
    <s v="ZRDI"/>
    <n v="10143729"/>
    <s v="D18"/>
    <s v="DEV D2C - Arrependimento não quero mais"/>
    <s v="COMERCIAL"/>
    <x v="0"/>
    <n v="58159202"/>
    <x v="1891"/>
    <s v="SP"/>
    <n v="466"/>
    <s v="Sup ML Marketplace"/>
    <n v="1352"/>
    <s v="W10231322"/>
    <s v="Conexões Hidráulicas"/>
    <x v="10"/>
    <n v="1000"/>
    <n v="5003972"/>
    <s v="ICARO EXPRESS LOGISTICA LTDA"/>
    <n v="43.33"/>
    <d v="2025-07-31T00:00:00"/>
  </r>
  <r>
    <n v="253970693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0393975"/>
    <s v="Suportes"/>
    <x v="6"/>
    <n v="4000"/>
    <n v="5004042"/>
    <s v="BRASIL WEB TRANSPORTES E LOGISTICA"/>
    <n v="43.28"/>
    <d v="2025-04-09T00:00:00"/>
  </r>
  <r>
    <s v="Sem TR"/>
    <n v="64803551"/>
    <s v="ZRDI"/>
    <n v="10108410"/>
    <s v="D10"/>
    <s v="DEV D2C - Comprou modelo errado"/>
    <s v="COMERCIAL"/>
    <x v="2"/>
    <n v="58118231"/>
    <x v="1892"/>
    <s v="SP"/>
    <n v="466"/>
    <s v="Sup ML Marketplace"/>
    <n v="1352"/>
    <s v="W10212441"/>
    <s v="Prateleiras"/>
    <x v="9"/>
    <n v="1000"/>
    <n v="5002359"/>
    <s v="EMPRESA BRASILEIRA DE CORREIOS E"/>
    <n v="43.2"/>
    <d v="2025-07-02T00:00:00"/>
  </r>
  <r>
    <s v="Sem TR"/>
    <n v="64808771"/>
    <s v="ZRDI"/>
    <n v="10107946"/>
    <n v="208"/>
    <s v="DEV-Atraso entrega- LOGISTICA(Transp)"/>
    <s v="TRANSPORTADORA"/>
    <x v="2"/>
    <n v="58118204"/>
    <x v="1893"/>
    <s v="SP"/>
    <n v="466"/>
    <s v="Sup ML Marketplace"/>
    <n v="1352"/>
    <s v="W10212441"/>
    <s v="Prateleiras"/>
    <x v="9"/>
    <n v="1000"/>
    <n v="5002359"/>
    <s v="EMPRESA BRASILEIRA DE CORREIOS E"/>
    <n v="43.2"/>
    <d v="2025-07-10T00:00:00"/>
  </r>
  <r>
    <s v="Sem TR"/>
    <n v="64809118"/>
    <s v="ZRDI"/>
    <n v="10089072"/>
    <s v="D18"/>
    <s v="DEV D2C - Arrependimento não quero mais"/>
    <s v="COMERCIAL"/>
    <x v="2"/>
    <n v="58089684"/>
    <x v="1894"/>
    <s v="SP"/>
    <n v="466"/>
    <s v="Sup ML Marketplace"/>
    <n v="1352"/>
    <s v="W10212441"/>
    <s v="Prateleiras"/>
    <x v="9"/>
    <n v="1000"/>
    <n v="5002359"/>
    <s v="EMPRESA BRASILEIRA DE CORREIOS E"/>
    <n v="43.2"/>
    <d v="2025-07-22T00:00:00"/>
  </r>
  <r>
    <s v="Sem TR"/>
    <n v="64803551"/>
    <s v="ZRDI"/>
    <n v="10108410"/>
    <s v="D10"/>
    <s v="DEV D2C - Comprou modelo errado"/>
    <s v="COMERCIAL"/>
    <x v="2"/>
    <n v="58118231"/>
    <x v="1892"/>
    <s v="SP"/>
    <n v="466"/>
    <s v="Sup ML Marketplace"/>
    <n v="1352"/>
    <s v="W10212441"/>
    <s v="Prateleiras"/>
    <x v="9"/>
    <n v="1000"/>
    <n v="5002359"/>
    <s v="EMPRESA BRASILEIRA DE CORREIOS E"/>
    <n v="43.2"/>
    <d v="2025-07-02T00:00:00"/>
  </r>
  <r>
    <s v="Sem TR"/>
    <n v="64809118"/>
    <s v="ZRDI"/>
    <n v="10089072"/>
    <s v="D18"/>
    <s v="DEV D2C - Arrependimento não quero mais"/>
    <s v="COMERCIAL"/>
    <x v="2"/>
    <n v="58089684"/>
    <x v="1894"/>
    <s v="SP"/>
    <n v="466"/>
    <s v="Sup ML Marketplace"/>
    <n v="1352"/>
    <s v="W10212441"/>
    <s v="Prateleiras"/>
    <x v="9"/>
    <n v="1000"/>
    <n v="5002359"/>
    <s v="EMPRESA BRASILEIRA DE CORREIOS E"/>
    <n v="43.2"/>
    <d v="2025-07-22T00:00:00"/>
  </r>
  <r>
    <n v="254038132"/>
    <n v="64816098"/>
    <s v="ZRDI"/>
    <n v="10050252"/>
    <n v="208"/>
    <s v="DEV-Atraso entrega- LOGISTICA(Transp)"/>
    <s v="TRANSPORTADORA"/>
    <x v="2"/>
    <n v="58043169"/>
    <x v="499"/>
    <s v="DF"/>
    <n v="474"/>
    <s v="Site Brastemp"/>
    <n v="1352"/>
    <s v="W11100356"/>
    <s v="Outros"/>
    <x v="7"/>
    <n v="1000"/>
    <n v="5002359"/>
    <s v="EMPRESA BRASILEIRA DE CORREIOS E"/>
    <n v="43.16"/>
    <d v="2025-07-23T00:00:00"/>
  </r>
  <r>
    <n v="254038132"/>
    <n v="64816098"/>
    <s v="ZRDI"/>
    <n v="10050252"/>
    <n v="208"/>
    <s v="DEV-Atraso entrega- LOGISTICA(Transp)"/>
    <s v="TRANSPORTADORA"/>
    <x v="2"/>
    <n v="58043169"/>
    <x v="499"/>
    <s v="DF"/>
    <n v="474"/>
    <s v="Site Brastemp"/>
    <n v="1352"/>
    <s v="W11100356"/>
    <s v="Outros"/>
    <x v="7"/>
    <n v="1000"/>
    <n v="5002359"/>
    <s v="EMPRESA BRASILEIRA DE CORREIOS E"/>
    <n v="43.16"/>
    <d v="2025-07-23T00:00:00"/>
  </r>
  <r>
    <n v="254018235"/>
    <n v="64792272"/>
    <s v="REB"/>
    <n v="10058904"/>
    <n v="90"/>
    <s v="CLIENTE-não solicitou"/>
    <s v="COMERCIAL"/>
    <x v="1"/>
    <n v="21621"/>
    <x v="325"/>
    <s v="SP"/>
    <n v="350"/>
    <s v="Ats On"/>
    <n v="1350"/>
    <s v="W11090054"/>
    <s v="Interruptores"/>
    <x v="3"/>
    <n v="1000"/>
    <n v="5004042"/>
    <s v="BRASIL WEB TRANSPORTES E LOGISTICA"/>
    <n v="43.1"/>
    <d v="2025-06-16T00:00:00"/>
  </r>
  <r>
    <n v="254030530"/>
    <n v="64796182"/>
    <s v="REB"/>
    <n v="10091960"/>
    <n v="167"/>
    <s v="PEÇAS - Avaria - Quebrada/Depósito"/>
    <s v="LOGÍSTICA"/>
    <x v="1"/>
    <n v="35368"/>
    <x v="176"/>
    <s v="ES"/>
    <n v="350"/>
    <s v="Ats On"/>
    <n v="1350"/>
    <s v="W11298033"/>
    <s v="Prateleiras"/>
    <x v="9"/>
    <n v="1000"/>
    <n v="5004042"/>
    <s v="BRASIL WEB TRANSPORTES E LOGISTICA"/>
    <n v="43.05"/>
    <d v="2025-07-01T00:00:00"/>
  </r>
  <r>
    <n v="254033389"/>
    <n v="64805732"/>
    <s v="REB"/>
    <n v="10044808"/>
    <n v="90"/>
    <s v="CLIENTE-não solicitou"/>
    <s v="COMERCIAL"/>
    <x v="1"/>
    <n v="32856"/>
    <x v="60"/>
    <s v="PR"/>
    <n v="713"/>
    <s v="Key Account"/>
    <n v="1350"/>
    <n v="326054047"/>
    <s v="Suportes"/>
    <x v="6"/>
    <n v="2000"/>
    <n v="5003024"/>
    <s v="RODOBRAS TRANSPORTES RODOVIARIOS LT"/>
    <n v="43.05"/>
    <d v="2025-07-08T00:00:00"/>
  </r>
  <r>
    <s v="Sem TR"/>
    <n v="64733659"/>
    <s v="REB"/>
    <n v="9913110"/>
    <n v="125"/>
    <s v="DEV-Extravio de produto (Transportadora)"/>
    <s v="TRANSPORTADORA"/>
    <x v="0"/>
    <n v="61263"/>
    <x v="18"/>
    <s v="CE"/>
    <n v="648"/>
    <s v="Ultra"/>
    <n v="1350"/>
    <s v="W10545668"/>
    <s v="Hélices"/>
    <x v="5"/>
    <n v="11000"/>
    <n v="5004101"/>
    <s v="UNIDOCK'S ASSESSORIA E LOGISTICA DE"/>
    <n v="43.04"/>
    <d v="2025-03-18T00:00:00"/>
  </r>
  <r>
    <n v="254033297"/>
    <n v="64799646"/>
    <s v="REB"/>
    <n v="10085942"/>
    <n v="173"/>
    <s v="PEÇAS - Defeito de fabric./Alta Amperage"/>
    <s v="FUNCIONAL"/>
    <x v="1"/>
    <n v="18949"/>
    <x v="264"/>
    <s v="SP"/>
    <n v="933"/>
    <s v="Top"/>
    <n v="1350"/>
    <s v="W10619463"/>
    <s v="Pressostatos"/>
    <x v="3"/>
    <n v="1000"/>
    <n v="5004042"/>
    <s v="BRASIL WEB TRANSPORTES E LOGISTICA"/>
    <n v="43.04"/>
    <d v="2025-07-01T00:00:00"/>
  </r>
  <r>
    <n v="254033296"/>
    <n v="64807361"/>
    <s v="REB"/>
    <n v="10085942"/>
    <n v="173"/>
    <s v="PEÇAS - Defeito de fabric./Alta Amperage"/>
    <s v="FUNCIONAL"/>
    <x v="1"/>
    <n v="18949"/>
    <x v="264"/>
    <s v="SP"/>
    <n v="933"/>
    <s v="Top"/>
    <n v="1350"/>
    <s v="W10619463"/>
    <s v="Pressostatos"/>
    <x v="3"/>
    <n v="1000"/>
    <n v="5004042"/>
    <s v="BRASIL WEB TRANSPORTES E LOGISTICA"/>
    <n v="43.04"/>
    <d v="2025-07-08T00:00:00"/>
  </r>
  <r>
    <n v="254041868"/>
    <n v="64785947"/>
    <s v="REB"/>
    <n v="10072876"/>
    <n v="167"/>
    <s v="PEÇAS - Avaria - Quebrada/Depósito"/>
    <s v="LOGÍSTICA"/>
    <x v="0"/>
    <n v="27790"/>
    <x v="1895"/>
    <s v="SE"/>
    <n v="934"/>
    <s v="CDP Ouro"/>
    <n v="1350"/>
    <n v="326047714"/>
    <s v="Prateleiras"/>
    <x v="9"/>
    <n v="1000"/>
    <n v="5004101"/>
    <s v="UNIDOCK'S ASSESSORIA E LOGISTICA DE"/>
    <n v="43.04"/>
    <d v="2025-06-23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n v="326051022"/>
    <s v="Capas"/>
    <x v="6"/>
    <n v="1000"/>
    <n v="5004101"/>
    <s v="UNIDOCK'S ASSESSORIA E LOGISTICA DE"/>
    <n v="43.02"/>
    <d v="2025-06-24T00:00:00"/>
  </r>
  <r>
    <n v="254012554"/>
    <n v="64788460"/>
    <s v="REB"/>
    <n v="9941497"/>
    <n v="173"/>
    <s v="PEÇAS - Defeito de fabric./Alta Amperage"/>
    <s v="FUNCIONAL"/>
    <x v="2"/>
    <n v="61675"/>
    <x v="12"/>
    <s v="MG"/>
    <n v="643"/>
    <s v="Elite"/>
    <n v="1350"/>
    <s v="W10399715"/>
    <s v="Motores Ventiladores"/>
    <x v="1"/>
    <n v="1000"/>
    <n v="5004215"/>
    <s v="BRASIL WEB TRANSPORTES E LOGISTICA"/>
    <n v="42.92"/>
    <d v="2025-06-10T00:00:00"/>
  </r>
  <r>
    <s v="Sem TR"/>
    <n v="64809738"/>
    <s v="ZRDI"/>
    <n v="10100954"/>
    <s v="D11"/>
    <s v="DEV D2C - Comprou prod dimensão errada"/>
    <s v="COMERCIAL"/>
    <x v="2"/>
    <n v="54938561"/>
    <x v="1896"/>
    <s v="SP"/>
    <n v="475"/>
    <s v="Site Consul"/>
    <n v="1352"/>
    <s v="W10698255"/>
    <s v="Prateleiras"/>
    <x v="9"/>
    <n v="1000"/>
    <n v="5002359"/>
    <s v="EMPRESA BRASILEIRA DE CORREIOS E"/>
    <n v="42.91"/>
    <d v="2025-07-16T00:00:00"/>
  </r>
  <r>
    <s v="Sem TR"/>
    <n v="64809738"/>
    <s v="ZRDI"/>
    <n v="10100954"/>
    <s v="D11"/>
    <s v="DEV D2C - Comprou prod dimensão errada"/>
    <s v="COMERCIAL"/>
    <x v="2"/>
    <n v="54938561"/>
    <x v="1896"/>
    <s v="SP"/>
    <n v="475"/>
    <s v="Site Consul"/>
    <n v="1352"/>
    <s v="W10698255"/>
    <s v="Prateleiras"/>
    <x v="9"/>
    <n v="1000"/>
    <n v="5002359"/>
    <s v="EMPRESA BRASILEIRA DE CORREIOS E"/>
    <n v="42.91"/>
    <d v="2025-07-16T00:00:00"/>
  </r>
  <r>
    <s v="Sem TR"/>
    <n v="64804741"/>
    <s v="ZRDI"/>
    <n v="10093404"/>
    <n v="208"/>
    <s v="DEV-Atraso entrega- LOGISTICA(Transp)"/>
    <s v="TRANSPORTADORA"/>
    <x v="2"/>
    <n v="58096203"/>
    <x v="1897"/>
    <s v="SP"/>
    <n v="466"/>
    <s v="Sup ML Marketplace"/>
    <n v="1352"/>
    <s v="W11693441"/>
    <s v="Outros"/>
    <x v="7"/>
    <n v="1000"/>
    <n v="5002359"/>
    <s v="EMPRESA BRASILEIRA DE CORREIOS E"/>
    <n v="42.87"/>
    <d v="2025-07-02T00:00:00"/>
  </r>
  <r>
    <n v="253988815"/>
    <n v="64762910"/>
    <s v="REB"/>
    <n v="9940200"/>
    <n v="176"/>
    <s v="PEÇAS - Defeito de fabric./Interrompido"/>
    <s v="FUNCIONAL"/>
    <x v="1"/>
    <n v="14474"/>
    <x v="25"/>
    <s v="RN"/>
    <n v="648"/>
    <s v="Ultra"/>
    <n v="1350"/>
    <s v="W10882241"/>
    <s v="Agitadores"/>
    <x v="2"/>
    <n v="1000"/>
    <n v="5004101"/>
    <s v="UNIDOCK'S ASSESSORIA E LOGISTICA DE"/>
    <n v="42.87"/>
    <d v="2025-05-05T00:00:00"/>
  </r>
  <r>
    <n v="254037064"/>
    <n v="64814985"/>
    <s v="ZRDI"/>
    <n v="10117937"/>
    <n v="208"/>
    <s v="DEV-Atraso entrega- LOGISTICA(Transp)"/>
    <s v="TRANSPORTADORA"/>
    <x v="2"/>
    <n v="58128181"/>
    <x v="1627"/>
    <s v="PR"/>
    <n v="474"/>
    <s v="Site Brastemp"/>
    <n v="1352"/>
    <s v="W11213068"/>
    <s v="Acessórios"/>
    <x v="7"/>
    <n v="1000"/>
    <n v="5002359"/>
    <s v="EMPRESA BRASILEIRA DE CORREIOS E"/>
    <n v="42.81"/>
    <d v="2025-07-22T00:00:00"/>
  </r>
  <r>
    <n v="254037064"/>
    <n v="64814985"/>
    <s v="ZRDI"/>
    <n v="10117937"/>
    <n v="208"/>
    <s v="DEV-Atraso entrega- LOGISTICA(Transp)"/>
    <s v="TRANSPORTADORA"/>
    <x v="2"/>
    <n v="58128181"/>
    <x v="1627"/>
    <s v="PR"/>
    <n v="474"/>
    <s v="Site Brastemp"/>
    <n v="1352"/>
    <s v="W11213068"/>
    <s v="Acessórios"/>
    <x v="7"/>
    <n v="1000"/>
    <n v="5002359"/>
    <s v="EMPRESA BRASILEIRA DE CORREIOS E"/>
    <n v="42.81"/>
    <d v="2025-07-22T00:00:00"/>
  </r>
  <r>
    <s v="Sem TR"/>
    <n v="64817445"/>
    <s v="ZRDI"/>
    <n v="10130183"/>
    <s v="D18"/>
    <s v="DEV D2C - Arrependimento não quero mais"/>
    <s v="COMERCIAL"/>
    <x v="1"/>
    <n v="56820904"/>
    <x v="1898"/>
    <s v="PR"/>
    <n v="474"/>
    <s v="Site Brastemp"/>
    <n v="1352"/>
    <s v="W11213068"/>
    <s v="Acessórios"/>
    <x v="7"/>
    <n v="1000"/>
    <n v="5002359"/>
    <s v="EMPRESA BRASILEIRA DE CORREIOS E"/>
    <n v="42.81"/>
    <d v="2025-07-29T00:00:00"/>
  </r>
  <r>
    <n v="254018275"/>
    <n v="64793118"/>
    <s v="REB"/>
    <n v="10001496"/>
    <n v="176"/>
    <s v="PEÇAS - Defeito de fabric./Interrompido"/>
    <s v="FUNCIONAL"/>
    <x v="2"/>
    <n v="31063"/>
    <x v="308"/>
    <s v="RJ"/>
    <n v="644"/>
    <s v="Plus"/>
    <n v="1350"/>
    <s v="W11107297"/>
    <s v="Termostatos"/>
    <x v="3"/>
    <n v="1000"/>
    <n v="5003176"/>
    <s v="J C THEDIN TRANSPORTES LTDA"/>
    <n v="42.79"/>
    <d v="2025-06-17T00:00:00"/>
  </r>
  <r>
    <n v="253983948"/>
    <n v="64759619"/>
    <s v="REB"/>
    <n v="9801295"/>
    <n v="173"/>
    <s v="PEÇAS - Defeito de fabric./Alta Amperage"/>
    <s v="FUNCIONAL"/>
    <x v="2"/>
    <n v="66366"/>
    <x v="993"/>
    <s v="SP"/>
    <n v="934"/>
    <s v="CDP Ouro"/>
    <n v="1350"/>
    <s v="W11364167"/>
    <s v="Atuadores"/>
    <x v="2"/>
    <n v="1000"/>
    <n v="5004042"/>
    <s v="BRASIL WEB TRANSPORTES E LOGISTICA"/>
    <n v="42.69"/>
    <d v="2025-04-28T00:00:00"/>
  </r>
  <r>
    <n v="254018191"/>
    <n v="64790818"/>
    <s v="REB"/>
    <n v="10078382"/>
    <n v="90"/>
    <s v="CLIENTE-não solicitou"/>
    <s v="COMERCIAL"/>
    <x v="2"/>
    <n v="4585"/>
    <x v="555"/>
    <s v="SC"/>
    <n v="350"/>
    <s v="Ats On"/>
    <n v="1350"/>
    <s v="W10296410"/>
    <s v="Painéis de Controle"/>
    <x v="6"/>
    <n v="1000"/>
    <n v="5003024"/>
    <s v="RODOBRAS TRANSPORTES RODOVIARIOS LT"/>
    <n v="42.63"/>
    <d v="2025-06-17T00:00:00"/>
  </r>
  <r>
    <n v="254031566"/>
    <n v="64797558"/>
    <s v="ROB"/>
    <n v="10111986"/>
    <n v="115"/>
    <s v="PEÇAS-Recusa do cliente"/>
    <s v="COMERCIAL"/>
    <x v="2"/>
    <n v="52226"/>
    <x v="1899"/>
    <s v="CE"/>
    <n v="713"/>
    <s v="Key Account"/>
    <n v="1350"/>
    <s v="W10515645"/>
    <s v="Filtros"/>
    <x v="5"/>
    <n v="2000"/>
    <n v="5004101"/>
    <s v="UNIDOCK'S ASSESSORIA E LOGISTICA DE"/>
    <n v="42.58"/>
    <d v="2025-07-15T00:00:00"/>
  </r>
  <r>
    <n v="254031568"/>
    <n v="64806690"/>
    <s v="ROB"/>
    <n v="10111988"/>
    <n v="115"/>
    <s v="PEÇAS-Recusa do cliente"/>
    <s v="COMERCIAL"/>
    <x v="2"/>
    <n v="52226"/>
    <x v="1899"/>
    <s v="CE"/>
    <n v="713"/>
    <s v="Key Account"/>
    <n v="1350"/>
    <s v="W10515645"/>
    <s v="Filtros"/>
    <x v="5"/>
    <n v="2000"/>
    <n v="5004101"/>
    <s v="UNIDOCK'S ASSESSORIA E LOGISTICA DE"/>
    <n v="42.58"/>
    <d v="2025-07-15T00:00:00"/>
  </r>
  <r>
    <n v="254031567"/>
    <n v="64810670"/>
    <s v="ROB"/>
    <n v="10111987"/>
    <n v="115"/>
    <s v="PEÇAS-Recusa do cliente"/>
    <s v="COMERCIAL"/>
    <x v="2"/>
    <n v="52226"/>
    <x v="1899"/>
    <s v="CE"/>
    <n v="713"/>
    <s v="Key Account"/>
    <n v="1350"/>
    <s v="W10515645"/>
    <s v="Filtros"/>
    <x v="5"/>
    <n v="2000"/>
    <n v="5004101"/>
    <s v="UNIDOCK'S ASSESSORIA E LOGISTICA DE"/>
    <n v="42.58"/>
    <d v="2025-07-15T00:00:00"/>
  </r>
  <r>
    <n v="254027985"/>
    <n v="64807683"/>
    <s v="ZRDI"/>
    <n v="10074470"/>
    <s v="D25"/>
    <s v="DEV D2C - Prob na entrega (Não recebi)"/>
    <s v="TRANSPORTADORA"/>
    <x v="2"/>
    <n v="58069743"/>
    <x v="1900"/>
    <s v="SP"/>
    <n v="475"/>
    <s v="Site Consul"/>
    <n v="1352"/>
    <s v="W11360276"/>
    <s v="Filtros"/>
    <x v="5"/>
    <n v="1000"/>
    <n v="5003972"/>
    <s v="ICARO EXPRESS LOGISTICA LTDA"/>
    <n v="42.5"/>
    <d v="2025-07-08T00:00:00"/>
  </r>
  <r>
    <s v="Sem TR"/>
    <n v="64726662"/>
    <s v="REB"/>
    <n v="9795106"/>
    <n v="173"/>
    <s v="PEÇAS - Defeito de fabric./Alta Amperage"/>
    <s v="FUNCIONAL"/>
    <x v="1"/>
    <n v="9599"/>
    <x v="121"/>
    <s v="SP"/>
    <n v="931"/>
    <s v="Ats Off"/>
    <n v="1350"/>
    <s v="W11283283"/>
    <s v="Termostatos"/>
    <x v="3"/>
    <n v="1000"/>
    <n v="5004042"/>
    <s v="BRASIL WEB TRANSPORTES E LOGISTICA"/>
    <n v="42.45"/>
    <d v="2025-03-11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n v="326004792"/>
    <s v="Suportes"/>
    <x v="6"/>
    <n v="3000"/>
    <n v="5003024"/>
    <s v="RODOBRAS TRANSPORTES RODOVIARIOS LT"/>
    <n v="42.44"/>
    <d v="2025-01-16T00:00:00"/>
  </r>
  <r>
    <s v="Sem TR"/>
    <n v="64820544"/>
    <s v="ZRDI"/>
    <n v="10151507"/>
    <s v="D10"/>
    <s v="DEV D2C - Comprou modelo errado"/>
    <s v="COMERCIAL"/>
    <x v="1"/>
    <n v="58109916"/>
    <x v="1901"/>
    <s v="RJ"/>
    <n v="475"/>
    <s v="Site Consul"/>
    <n v="1352"/>
    <s v="W10515645"/>
    <s v="Filtros"/>
    <x v="5"/>
    <n v="1000"/>
    <n v="5002359"/>
    <s v="EMPRESA BRASILEIRA DE CORREIOS E"/>
    <n v="42.44"/>
    <d v="2025-07-30T00:00:00"/>
  </r>
  <r>
    <s v="Sem TR"/>
    <n v="64796762"/>
    <s v="ZRDI"/>
    <n v="10105331"/>
    <s v="D10"/>
    <s v="DEV D2C - Comprou modelo errado"/>
    <s v="COMERCIAL"/>
    <x v="2"/>
    <n v="58116705"/>
    <x v="1902"/>
    <s v="SP"/>
    <n v="475"/>
    <s v="Site Consul"/>
    <n v="1352"/>
    <s v="W10515645"/>
    <s v="Filtros"/>
    <x v="5"/>
    <n v="1000"/>
    <n v="5002359"/>
    <s v="EMPRESA BRASILEIRA DE CORREIOS E"/>
    <n v="42.41"/>
    <d v="2025-07-02T00:00:00"/>
  </r>
  <r>
    <s v="Sem TR"/>
    <n v="64799891"/>
    <s v="ZRDI"/>
    <n v="10097381"/>
    <n v="208"/>
    <s v="DEV-Atraso entrega- LOGISTICA(Transp)"/>
    <s v="TRANSPORTADORA"/>
    <x v="2"/>
    <n v="57705815"/>
    <x v="1903"/>
    <s v="SP"/>
    <n v="475"/>
    <s v="Site Consul"/>
    <n v="1352"/>
    <s v="W10515645"/>
    <s v="Filtros"/>
    <x v="5"/>
    <n v="1000"/>
    <n v="5002359"/>
    <s v="EMPRESA BRASILEIRA DE CORREIOS E"/>
    <n v="42.41"/>
    <d v="2025-06-27T00:00:00"/>
  </r>
  <r>
    <s v="Sem TR"/>
    <n v="64809495"/>
    <s v="ZRDI"/>
    <n v="10105327"/>
    <n v="208"/>
    <s v="DEV-Atraso entrega- LOGISTICA(Transp)"/>
    <s v="TRANSPORTADORA"/>
    <x v="2"/>
    <n v="58116493"/>
    <x v="1904"/>
    <s v="SP"/>
    <n v="475"/>
    <s v="Site Consul"/>
    <n v="1352"/>
    <s v="W10515645"/>
    <s v="Filtros"/>
    <x v="5"/>
    <n v="1000"/>
    <n v="5002359"/>
    <s v="EMPRESA BRASILEIRA DE CORREIOS E"/>
    <n v="42.41"/>
    <d v="2025-07-11T00:00:00"/>
  </r>
  <r>
    <n v="254032553"/>
    <n v="64811497"/>
    <s v="ZRDI"/>
    <n v="10102599"/>
    <n v="208"/>
    <s v="DEV-Atraso entrega- LOGISTICA(Transp)"/>
    <s v="TRANSPORTADORA"/>
    <x v="2"/>
    <n v="57716798"/>
    <x v="1905"/>
    <s v="SP"/>
    <n v="475"/>
    <s v="Site Consul"/>
    <n v="1352"/>
    <s v="W10515645"/>
    <s v="Filtros"/>
    <x v="5"/>
    <n v="1000"/>
    <n v="5002359"/>
    <s v="EMPRESA BRASILEIRA DE CORREIOS E"/>
    <n v="42.41"/>
    <d v="2025-07-16T00:00:00"/>
  </r>
  <r>
    <s v="Sem TR"/>
    <n v="64812603"/>
    <s v="ZRDI"/>
    <n v="10134387"/>
    <n v="208"/>
    <s v="DEV-Atraso entrega- LOGISTICA(Transp)"/>
    <s v="TRANSPORTADORA"/>
    <x v="2"/>
    <n v="57705815"/>
    <x v="1903"/>
    <s v="SP"/>
    <n v="475"/>
    <s v="Site Consul"/>
    <n v="1352"/>
    <s v="W10515645"/>
    <s v="Filtros"/>
    <x v="5"/>
    <n v="1000"/>
    <n v="5002359"/>
    <s v="EMPRESA BRASILEIRA DE CORREIOS E"/>
    <n v="42.41"/>
    <d v="2025-07-17T00:00:00"/>
  </r>
  <r>
    <s v="Sem TR"/>
    <n v="64796762"/>
    <s v="ZRDI"/>
    <n v="10105331"/>
    <s v="D10"/>
    <s v="DEV D2C - Comprou modelo errado"/>
    <s v="COMERCIAL"/>
    <x v="2"/>
    <n v="58116705"/>
    <x v="1902"/>
    <s v="SP"/>
    <n v="475"/>
    <s v="Site Consul"/>
    <n v="1352"/>
    <s v="W10515645"/>
    <s v="Filtros"/>
    <x v="5"/>
    <n v="1000"/>
    <n v="5002359"/>
    <s v="EMPRESA BRASILEIRA DE CORREIOS E"/>
    <n v="42.41"/>
    <d v="2025-07-02T00:00:00"/>
  </r>
  <r>
    <s v="Sem TR"/>
    <n v="64811996"/>
    <s v="ZRDI"/>
    <n v="10116366"/>
    <s v="D18"/>
    <s v="DEV D2C - Arrependimento não quero mais"/>
    <s v="COMERCIAL"/>
    <x v="2"/>
    <n v="58126237"/>
    <x v="1906"/>
    <s v="SP"/>
    <n v="475"/>
    <s v="Site Consul"/>
    <n v="1352"/>
    <s v="W10608673"/>
    <s v="Cordões de Alimentação"/>
    <x v="1"/>
    <n v="1000"/>
    <n v="5002359"/>
    <s v="EMPRESA BRASILEIRA DE CORREIOS E"/>
    <n v="42.39"/>
    <d v="2025-07-17T00:00:00"/>
  </r>
  <r>
    <s v="Sem TR"/>
    <n v="64811996"/>
    <s v="ZRDI"/>
    <n v="10116366"/>
    <s v="D18"/>
    <s v="DEV D2C - Arrependimento não quero mais"/>
    <s v="COMERCIAL"/>
    <x v="2"/>
    <n v="58126237"/>
    <x v="1906"/>
    <s v="SP"/>
    <n v="475"/>
    <s v="Site Consul"/>
    <n v="1352"/>
    <s v="W10608673"/>
    <s v="Cordões de Alimentação"/>
    <x v="1"/>
    <n v="1000"/>
    <n v="5002359"/>
    <s v="EMPRESA BRASILEIRA DE CORREIOS E"/>
    <n v="42.39"/>
    <d v="2025-07-17T00:00:00"/>
  </r>
  <r>
    <n v="253927633"/>
    <n v="64703190"/>
    <s v="REB"/>
    <n v="9837274"/>
    <n v="220"/>
    <s v="DEV-Avaria 1 trecho transp - Produto"/>
    <s v="QUALIDADE"/>
    <x v="1"/>
    <n v="27874"/>
    <x v="237"/>
    <s v="RS"/>
    <n v="933"/>
    <s v="Top"/>
    <n v="1350"/>
    <s v="W10169464"/>
    <s v="Defletores/Difusores"/>
    <x v="5"/>
    <n v="2000"/>
    <n v="5003024"/>
    <s v="RODOBRAS TRANSPORTES RODOVIARIOS LT"/>
    <n v="42.36"/>
    <d v="2025-01-30T00:00:00"/>
  </r>
  <r>
    <n v="254003927"/>
    <n v="64775173"/>
    <s v="REB"/>
    <n v="10018240"/>
    <n v="173"/>
    <s v="PEÇAS - Defeito de fabric./Alta Amperage"/>
    <s v="FUNCIONAL"/>
    <x v="1"/>
    <n v="28902"/>
    <x v="57"/>
    <s v="DF"/>
    <n v="648"/>
    <s v="Ultra"/>
    <n v="1350"/>
    <s v="W11082463"/>
    <s v="Termostatos"/>
    <x v="3"/>
    <n v="1000"/>
    <n v="5002858"/>
    <s v="FAVORITA TRANSPORTES LTDA"/>
    <n v="42.36"/>
    <d v="2025-05-26T00:00:00"/>
  </r>
  <r>
    <n v="254035431"/>
    <n v="64802966"/>
    <s v="REB"/>
    <n v="10094115"/>
    <n v="167"/>
    <s v="PEÇAS - Avaria - Quebrada/Depósito"/>
    <s v="LOGÍSTICA"/>
    <x v="0"/>
    <n v="76269"/>
    <x v="305"/>
    <s v="SC"/>
    <n v="931"/>
    <s v="Ats Off"/>
    <n v="1350"/>
    <s v="W10169464"/>
    <s v="Defletores/Difusores"/>
    <x v="5"/>
    <n v="2000"/>
    <n v="5003024"/>
    <s v="RODOBRAS TRANSPORTES RODOVIARIOS LT"/>
    <n v="42.32"/>
    <d v="2025-07-17T00:00:00"/>
  </r>
  <r>
    <n v="254024148"/>
    <n v="64803810"/>
    <s v="ZRDI"/>
    <n v="10086615"/>
    <n v="208"/>
    <s v="DEV-Atraso entrega- LOGISTICA(Transp)"/>
    <s v="TRANSPORTADORA"/>
    <x v="2"/>
    <n v="51024249"/>
    <x v="558"/>
    <s v="MG"/>
    <n v="488"/>
    <s v="Carteira A"/>
    <n v="1352"/>
    <s v="W11213068"/>
    <s v="Acessórios"/>
    <x v="7"/>
    <n v="1000"/>
    <n v="5002359"/>
    <s v="EMPRESA BRASILEIRA DE CORREIOS E"/>
    <n v="42.29"/>
    <d v="2025-07-01T00:00:00"/>
  </r>
  <r>
    <n v="254027353"/>
    <n v="64806756"/>
    <s v="ZRDI"/>
    <n v="10093670"/>
    <n v="208"/>
    <s v="DEV-Atraso entrega- LOGISTICA(Transp)"/>
    <s v="TRANSPORTADORA"/>
    <x v="2"/>
    <n v="58096411"/>
    <x v="1907"/>
    <s v="MS"/>
    <n v="474"/>
    <s v="Site Brastemp"/>
    <n v="1352"/>
    <s v="W11213068"/>
    <s v="Acessórios"/>
    <x v="7"/>
    <n v="1000"/>
    <n v="5002359"/>
    <s v="EMPRESA BRASILEIRA DE CORREIOS E"/>
    <n v="42.29"/>
    <d v="2025-07-07T00:00:00"/>
  </r>
  <r>
    <n v="254027353"/>
    <n v="64806756"/>
    <s v="ZRDI"/>
    <n v="10093670"/>
    <n v="208"/>
    <s v="DEV-Atraso entrega- LOGISTICA(Transp)"/>
    <s v="TRANSPORTADORA"/>
    <x v="2"/>
    <n v="58096411"/>
    <x v="1907"/>
    <s v="MS"/>
    <n v="474"/>
    <s v="Site Brastemp"/>
    <n v="1352"/>
    <s v="W11213068"/>
    <s v="Acessórios"/>
    <x v="7"/>
    <n v="1000"/>
    <n v="5002359"/>
    <s v="EMPRESA BRASILEIRA DE CORREIOS E"/>
    <n v="42.29"/>
    <d v="2025-07-07T00:00:00"/>
  </r>
  <r>
    <s v="Sem TR"/>
    <n v="64818608"/>
    <s v="ZRDI"/>
    <n v="10147052"/>
    <s v="D18"/>
    <s v="DEV D2C - Arrependimento não quero mais"/>
    <s v="COMERCIAL"/>
    <x v="1"/>
    <n v="5922567"/>
    <x v="1101"/>
    <s v="SC"/>
    <n v="474"/>
    <s v="Site Brastemp"/>
    <n v="1352"/>
    <s v="W11213068"/>
    <s v="Acessórios"/>
    <x v="7"/>
    <n v="1000"/>
    <n v="5002359"/>
    <s v="EMPRESA BRASILEIRA DE CORREIOS E"/>
    <n v="42.29"/>
    <d v="2025-07-30T00:00:00"/>
  </r>
  <r>
    <n v="254033470"/>
    <n v="64802372"/>
    <s v="REB"/>
    <n v="10099418"/>
    <n v="167"/>
    <s v="PEÇAS - Avaria - Quebrada/Depósito"/>
    <s v="LOGÍSTICA"/>
    <x v="1"/>
    <n v="83572"/>
    <x v="105"/>
    <s v="SP"/>
    <n v="931"/>
    <s v="Ats Off"/>
    <n v="1350"/>
    <s v="W10619463"/>
    <s v="Pressostatos"/>
    <x v="3"/>
    <n v="1000"/>
    <n v="5004042"/>
    <s v="BRASIL WEB TRANSPORTES E LOGISTICA"/>
    <n v="42.28"/>
    <d v="2025-07-08T00:00:00"/>
  </r>
  <r>
    <n v="254004040"/>
    <n v="64776202"/>
    <s v="REB"/>
    <n v="9864173"/>
    <n v="173"/>
    <s v="PEÇAS - Defeito de fabric./Alta Amperage"/>
    <s v="FUNCIONAL"/>
    <x v="2"/>
    <n v="67948"/>
    <x v="15"/>
    <s v="SC"/>
    <n v="713"/>
    <s v="Key Account"/>
    <n v="1350"/>
    <s v="W10706137"/>
    <s v="Válvulas de Água"/>
    <x v="5"/>
    <n v="1000"/>
    <n v="5003024"/>
    <s v="RODOBRAS TRANSPORTES RODOVIARIOS LT"/>
    <n v="42.24"/>
    <d v="2025-05-26T00:00:00"/>
  </r>
  <r>
    <n v="253992732"/>
    <n v="64768400"/>
    <s v="REB"/>
    <n v="10017952"/>
    <n v="104"/>
    <s v="PEÇAS-Código trocado(embalag X conteúdo)"/>
    <s v="LOGÍSTICA"/>
    <x v="1"/>
    <n v="30110"/>
    <x v="1908"/>
    <s v="RS"/>
    <n v="934"/>
    <s v="CDP Ouro"/>
    <n v="1350"/>
    <n v="326043145"/>
    <s v="Filtros"/>
    <x v="5"/>
    <n v="1000"/>
    <n v="5003024"/>
    <s v="RODOBRAS TRANSPORTES RODOVIARIOS LT"/>
    <n v="42.2"/>
    <d v="2025-05-12T00:00:00"/>
  </r>
  <r>
    <s v="Sem TR"/>
    <n v="64796933"/>
    <s v="ZRDI"/>
    <n v="10071750"/>
    <s v="D10"/>
    <s v="DEV D2C - Comprou modelo errado"/>
    <s v="COMERCIAL"/>
    <x v="2"/>
    <n v="54661221"/>
    <x v="1624"/>
    <s v="RJ"/>
    <n v="475"/>
    <s v="Site Consul"/>
    <n v="1352"/>
    <s v="W11375178"/>
    <s v="Acessórios"/>
    <x v="7"/>
    <n v="1000"/>
    <n v="5002359"/>
    <s v="EMPRESA BRASILEIRA DE CORREIOS E"/>
    <n v="42.1"/>
    <d v="2025-06-27T00:00:00"/>
  </r>
  <r>
    <n v="254024141"/>
    <n v="64803773"/>
    <s v="ZRDI"/>
    <n v="10073122"/>
    <n v="208"/>
    <s v="DEV-Atraso entrega- LOGISTICA(Transp)"/>
    <s v="TRANSPORTADORA"/>
    <x v="2"/>
    <n v="58061437"/>
    <x v="1909"/>
    <s v="RJ"/>
    <n v="474"/>
    <s v="Site Brastemp"/>
    <n v="1352"/>
    <s v="W11213068"/>
    <s v="Acessórios"/>
    <x v="7"/>
    <n v="1000"/>
    <n v="5002359"/>
    <s v="EMPRESA BRASILEIRA DE CORREIOS E"/>
    <n v="42.1"/>
    <d v="2025-07-01T00:00:00"/>
  </r>
  <r>
    <n v="254039192"/>
    <n v="64817074"/>
    <s v="ZRDI"/>
    <n v="10121594"/>
    <n v="208"/>
    <s v="DEV-Atraso entrega- LOGISTICA(Transp)"/>
    <s v="TRANSPORTADORA"/>
    <x v="2"/>
    <n v="58133744"/>
    <x v="1910"/>
    <s v="RJ"/>
    <n v="474"/>
    <s v="Site Brastemp"/>
    <n v="1352"/>
    <s v="W11213068"/>
    <s v="Acessórios"/>
    <x v="7"/>
    <n v="1000"/>
    <n v="5002359"/>
    <s v="EMPRESA BRASILEIRA DE CORREIOS E"/>
    <n v="42.1"/>
    <d v="2025-07-24T00:00:00"/>
  </r>
  <r>
    <n v="254039192"/>
    <n v="64817074"/>
    <s v="ZRDI"/>
    <n v="10121594"/>
    <n v="208"/>
    <s v="DEV-Atraso entrega- LOGISTICA(Transp)"/>
    <s v="TRANSPORTADORA"/>
    <x v="2"/>
    <n v="58133744"/>
    <x v="1910"/>
    <s v="RJ"/>
    <n v="474"/>
    <s v="Site Brastemp"/>
    <n v="1352"/>
    <s v="W11213068"/>
    <s v="Acessórios"/>
    <x v="7"/>
    <n v="1000"/>
    <n v="5002359"/>
    <s v="EMPRESA BRASILEIRA DE CORREIOS E"/>
    <n v="42.1"/>
    <d v="2025-07-24T00:00:00"/>
  </r>
  <r>
    <n v="254033417"/>
    <n v="64802478"/>
    <s v="REB"/>
    <n v="10050400"/>
    <n v="173"/>
    <s v="PEÇAS - Defeito de fabric./Alta Amperage"/>
    <s v="FUNCIONAL"/>
    <x v="0"/>
    <n v="51613"/>
    <x v="34"/>
    <s v="MG"/>
    <n v="643"/>
    <s v="Elite"/>
    <n v="1350"/>
    <s v="W10776336"/>
    <s v="Válvulas de Água"/>
    <x v="5"/>
    <n v="1000"/>
    <n v="5004215"/>
    <s v="BRASIL WEB TRANSPORTES E LOGISTICA"/>
    <n v="42.02"/>
    <d v="2025-07-01T00:00:00"/>
  </r>
  <r>
    <n v="254041949"/>
    <n v="64793582"/>
    <s v="REB"/>
    <n v="10082462"/>
    <n v="167"/>
    <s v="PEÇAS - Avaria - Quebrada/Depósito"/>
    <s v="LOGÍSTICA"/>
    <x v="0"/>
    <n v="35368"/>
    <x v="176"/>
    <s v="ES"/>
    <n v="350"/>
    <s v="Ats On"/>
    <n v="1350"/>
    <s v="W10483993"/>
    <s v="Capas"/>
    <x v="6"/>
    <n v="2000"/>
    <n v="5004042"/>
    <s v="BRASIL WEB TRANSPORTES E LOGISTICA"/>
    <n v="42.01"/>
    <d v="2025-06-23T00:00:00"/>
  </r>
  <r>
    <s v="Sem TR"/>
    <n v="64802152"/>
    <s v="ZRDI"/>
    <n v="10099774"/>
    <s v="D18"/>
    <s v="DEV D2C - Arrependimento não quero mais"/>
    <s v="COMERCIAL"/>
    <x v="2"/>
    <n v="58109141"/>
    <x v="512"/>
    <s v="SP"/>
    <n v="474"/>
    <s v="Site Brastemp"/>
    <n v="1352"/>
    <s v="W10866793"/>
    <s v="Outros"/>
    <x v="7"/>
    <n v="1000"/>
    <n v="5002359"/>
    <s v="EMPRESA BRASILEIRA DE CORREIOS E"/>
    <n v="41.96"/>
    <d v="2025-07-01T00:00:00"/>
  </r>
  <r>
    <s v="Sem TR"/>
    <n v="64802152"/>
    <s v="ZRDI"/>
    <n v="10099774"/>
    <s v="D18"/>
    <s v="DEV D2C - Arrependimento não quero mais"/>
    <s v="COMERCIAL"/>
    <x v="2"/>
    <n v="58109141"/>
    <x v="512"/>
    <s v="SP"/>
    <n v="474"/>
    <s v="Site Brastemp"/>
    <n v="1352"/>
    <s v="W10866793"/>
    <s v="Outros"/>
    <x v="7"/>
    <n v="1000"/>
    <n v="5002359"/>
    <s v="EMPRESA BRASILEIRA DE CORREIOS E"/>
    <n v="41.96"/>
    <d v="2025-07-01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1629065"/>
    <s v="Outros"/>
    <x v="7"/>
    <n v="1000"/>
    <n v="5002359"/>
    <s v="EMPRESA BRASILEIRA DE CORREIOS E"/>
    <n v="41.94"/>
    <d v="2025-07-11T00:00:00"/>
  </r>
  <r>
    <n v="253970693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0911706"/>
    <s v="Queimadores"/>
    <x v="12"/>
    <n v="1000"/>
    <n v="5004042"/>
    <s v="BRASIL WEB TRANSPORTES E LOGISTICA"/>
    <n v="41.92"/>
    <d v="2025-04-09T00:00:00"/>
  </r>
  <r>
    <n v="254031847"/>
    <n v="64796885"/>
    <s v="REB"/>
    <n v="10055925"/>
    <n v="176"/>
    <s v="PEÇAS - Defeito de fabric./Interrompido"/>
    <s v="FUNCIONAL"/>
    <x v="1"/>
    <n v="3506"/>
    <x v="46"/>
    <s v="SP"/>
    <n v="931"/>
    <s v="Ats Off"/>
    <n v="1350"/>
    <s v="W10911706"/>
    <s v="Queimadores"/>
    <x v="12"/>
    <n v="1000"/>
    <n v="5004042"/>
    <s v="BRASIL WEB TRANSPORTES E LOGISTICA"/>
    <n v="41.92"/>
    <d v="2025-06-24T00:00:00"/>
  </r>
  <r>
    <n v="254035329"/>
    <n v="64812328"/>
    <s v="REB"/>
    <n v="10010647"/>
    <n v="176"/>
    <s v="PEÇAS - Defeito de fabric./Interrompido"/>
    <s v="FUNCIONAL"/>
    <x v="0"/>
    <n v="3506"/>
    <x v="46"/>
    <s v="SP"/>
    <n v="931"/>
    <s v="Ats Off"/>
    <n v="1350"/>
    <s v="W10911706"/>
    <s v="Queimadores"/>
    <x v="12"/>
    <n v="1000"/>
    <n v="5004042"/>
    <s v="BRASIL WEB TRANSPORTES E LOGISTICA"/>
    <n v="41.92"/>
    <d v="2025-07-17T00:00:00"/>
  </r>
  <r>
    <n v="254022388"/>
    <n v="64800000"/>
    <s v="ZRDI"/>
    <n v="10104231"/>
    <s v="D10"/>
    <s v="DEV D2C - Comprou modelo errado"/>
    <s v="COMERCIAL"/>
    <x v="2"/>
    <n v="58113658"/>
    <x v="1215"/>
    <s v="RJ"/>
    <n v="475"/>
    <s v="Site Consul"/>
    <n v="1352"/>
    <s v="W10549265"/>
    <s v="Prateleiras"/>
    <x v="9"/>
    <n v="1000"/>
    <n v="5003972"/>
    <s v="ICARO EXPRESS LOGISTICA LTDA"/>
    <n v="41.91"/>
    <d v="2025-06-28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712759"/>
    <s v="Pés"/>
    <x v="6"/>
    <n v="10000"/>
    <n v="5002858"/>
    <s v="FAVORITA TRANSPORTES LTDA"/>
    <n v="41.89"/>
    <d v="2025-07-15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1082463"/>
    <s v="Termostatos"/>
    <x v="3"/>
    <n v="1000"/>
    <n v="5002359"/>
    <s v="EMPRESA BRASILEIRA DE CORREIOS E"/>
    <n v="41.86"/>
    <d v="2025-07-08T00:00:00"/>
  </r>
  <r>
    <n v="254007540"/>
    <n v="64783264"/>
    <s v="REB"/>
    <n v="9949621"/>
    <n v="176"/>
    <s v="PEÇAS - Defeito de fabric./Interrompido"/>
    <s v="FUNCIONAL"/>
    <x v="1"/>
    <n v="21295"/>
    <x v="2"/>
    <s v="SP"/>
    <n v="648"/>
    <s v="Ultra"/>
    <n v="1350"/>
    <s v="W10619463"/>
    <s v="Pressostatos"/>
    <x v="3"/>
    <n v="1000"/>
    <n v="5004042"/>
    <s v="BRASIL WEB TRANSPORTES E LOGISTICA"/>
    <n v="41.84"/>
    <d v="2025-06-02T00:00:00"/>
  </r>
  <r>
    <n v="254033276"/>
    <n v="64805788"/>
    <s v="REB"/>
    <n v="10095645"/>
    <n v="167"/>
    <s v="PEÇAS - Avaria - Quebrada/Depósito"/>
    <s v="LOGÍSTICA"/>
    <x v="1"/>
    <n v="8192"/>
    <x v="118"/>
    <s v="PR"/>
    <n v="933"/>
    <s v="Top"/>
    <n v="1350"/>
    <s v="W11109166"/>
    <s v="Portas"/>
    <x v="6"/>
    <n v="1000"/>
    <n v="5003024"/>
    <s v="RODOBRAS TRANSPORTES RODOVIARIOS LT"/>
    <n v="41.82"/>
    <d v="2025-07-08T00:00:00"/>
  </r>
  <r>
    <n v="254012479"/>
    <n v="64789397"/>
    <s v="REB"/>
    <n v="10046121"/>
    <n v="173"/>
    <s v="PEÇAS - Defeito de fabric./Alta Amperage"/>
    <s v="FUNCIONAL"/>
    <x v="1"/>
    <n v="21594"/>
    <x v="97"/>
    <s v="SP"/>
    <n v="931"/>
    <s v="Ats Off"/>
    <n v="1350"/>
    <s v="W10729458"/>
    <s v="Sensores"/>
    <x v="3"/>
    <n v="1000"/>
    <n v="5004042"/>
    <s v="BRASIL WEB TRANSPORTES E LOGISTICA"/>
    <n v="41.8"/>
    <d v="2025-06-10T00:00:00"/>
  </r>
  <r>
    <n v="254029997"/>
    <n v="64809472"/>
    <s v="ZRDI"/>
    <n v="10032504"/>
    <n v="208"/>
    <s v="DEV-Atraso entrega- LOGISTICA(Transp)"/>
    <s v="TRANSPORTADORA"/>
    <x v="2"/>
    <n v="58023322"/>
    <x v="1911"/>
    <s v="RO"/>
    <n v="475"/>
    <s v="Site Consul"/>
    <n v="1352"/>
    <s v="W10915953"/>
    <s v="Manípulos"/>
    <x v="6"/>
    <n v="1000"/>
    <n v="5002359"/>
    <s v="EMPRESA BRASILEIRA DE CORREIOS E"/>
    <n v="41.77"/>
    <d v="2025-07-11T00:00:00"/>
  </r>
  <r>
    <n v="254030456"/>
    <n v="64800348"/>
    <s v="REB"/>
    <n v="10084150"/>
    <n v="90"/>
    <s v="CLIENTE-não solicitou"/>
    <s v="COMERCIAL"/>
    <x v="1"/>
    <n v="3467"/>
    <x v="115"/>
    <s v="SP"/>
    <n v="931"/>
    <s v="Ats Off"/>
    <n v="1350"/>
    <n v="20369"/>
    <s v="Parafusos e afins"/>
    <x v="10"/>
    <n v="20000"/>
    <n v="5004042"/>
    <s v="BRASIL WEB TRANSPORTES E LOGISTICA"/>
    <n v="41.75"/>
    <d v="2025-07-01T00:00:00"/>
  </r>
  <r>
    <n v="254018235"/>
    <n v="64737289"/>
    <s v="REB"/>
    <n v="9922811"/>
    <n v="167"/>
    <s v="PEÇAS - Avaria - Quebrada/Depósito"/>
    <s v="LOGÍSTICA"/>
    <x v="1"/>
    <n v="21621"/>
    <x v="325"/>
    <s v="SP"/>
    <n v="350"/>
    <s v="Ats On"/>
    <n v="1350"/>
    <n v="326030548"/>
    <s v="Portas"/>
    <x v="6"/>
    <n v="1000"/>
    <n v="5004042"/>
    <s v="BRASIL WEB TRANSPORTES E LOGISTICA"/>
    <n v="41.71"/>
    <d v="2025-03-24T00:00:00"/>
  </r>
  <r>
    <n v="254033399"/>
    <n v="64799577"/>
    <s v="REB"/>
    <n v="10015525"/>
    <n v="173"/>
    <s v="PEÇAS - Defeito de fabric./Alta Amperage"/>
    <s v="FUNCIONAL"/>
    <x v="1"/>
    <n v="37434"/>
    <x v="95"/>
    <s v="GO"/>
    <n v="931"/>
    <s v="Ats Off"/>
    <n v="1350"/>
    <s v="W11245250"/>
    <s v="Válvulas de Água"/>
    <x v="5"/>
    <n v="1000"/>
    <n v="5002858"/>
    <s v="FAVORITA TRANSPORTES LTDA"/>
    <n v="41.64"/>
    <d v="2025-07-01T00:00:00"/>
  </r>
  <r>
    <n v="254018098"/>
    <n v="64792320"/>
    <s v="REB"/>
    <n v="10002251"/>
    <n v="176"/>
    <s v="PEÇAS - Defeito de fabric./Interrompido"/>
    <s v="FUNCIONAL"/>
    <x v="2"/>
    <n v="66"/>
    <x v="73"/>
    <s v="GO"/>
    <n v="931"/>
    <s v="Ats Off"/>
    <n v="1350"/>
    <s v="W10882241"/>
    <s v="Agitadores"/>
    <x v="2"/>
    <n v="1000"/>
    <n v="5002858"/>
    <s v="FAVORITA TRANSPORTES LTDA"/>
    <n v="41.62"/>
    <d v="2025-06-16T00:00:00"/>
  </r>
  <r>
    <s v="Sem TR"/>
    <n v="64672272"/>
    <s v="REB"/>
    <n v="9716169"/>
    <n v="125"/>
    <s v="DEV-Extravio de produto (Transportadora)"/>
    <s v="TRANSPORTADORA"/>
    <x v="0"/>
    <n v="29164"/>
    <x v="32"/>
    <s v="BA"/>
    <n v="648"/>
    <s v="Ultra"/>
    <n v="1350"/>
    <s v="W10856154"/>
    <s v="Capas"/>
    <x v="6"/>
    <n v="2000"/>
    <n v="5004101"/>
    <s v="UNIDOCK'S ASSESSORIA E LOGISTICA DE"/>
    <n v="41.53"/>
    <d v="2024-12-18T00:00:00"/>
  </r>
  <r>
    <n v="254022271"/>
    <n v="64799882"/>
    <s v="ZRDI"/>
    <n v="10079356"/>
    <n v="208"/>
    <s v="DEV-Atraso entrega- LOGISTICA(Transp)"/>
    <s v="TRANSPORTADORA"/>
    <x v="2"/>
    <n v="58073504"/>
    <x v="1912"/>
    <s v="PE"/>
    <n v="475"/>
    <s v="Site Consul"/>
    <n v="1352"/>
    <s v="W11715713"/>
    <s v="Outros"/>
    <x v="7"/>
    <n v="1000"/>
    <n v="5002359"/>
    <s v="EMPRESA BRASILEIRA DE CORREIOS E"/>
    <n v="41.48"/>
    <d v="2025-06-27T00:00:00"/>
  </r>
  <r>
    <n v="254026101"/>
    <n v="64800038"/>
    <s v="ZRDI"/>
    <n v="10050214"/>
    <n v="208"/>
    <s v="DEV-Atraso entrega- LOGISTICA(Transp)"/>
    <s v="TRANSPORTADORA"/>
    <x v="2"/>
    <n v="58042766"/>
    <x v="1913"/>
    <s v="PE"/>
    <n v="475"/>
    <s v="Site Consul"/>
    <n v="1352"/>
    <s v="W11715713"/>
    <s v="Outros"/>
    <x v="7"/>
    <n v="1000"/>
    <n v="5002359"/>
    <s v="EMPRESA BRASILEIRA DE CORREIOS E"/>
    <n v="41.48"/>
    <d v="2025-07-04T00:00:00"/>
  </r>
  <r>
    <n v="254033387"/>
    <n v="64800183"/>
    <s v="REB"/>
    <n v="10096443"/>
    <n v="509"/>
    <s v="Qtd de peças a Menor dentro do Volume"/>
    <s v="LOGÍSTICA"/>
    <x v="2"/>
    <n v="32272"/>
    <x v="312"/>
    <s v="PR"/>
    <n v="933"/>
    <s v="Top"/>
    <n v="1350"/>
    <s v="W10531315"/>
    <s v="Sensores"/>
    <x v="3"/>
    <n v="5000"/>
    <n v="5003024"/>
    <s v="RODOBRAS TRANSPORTES RODOVIARIOS LT"/>
    <n v="41.48"/>
    <d v="2025-07-08T00:00:00"/>
  </r>
  <r>
    <n v="254040383"/>
    <n v="64818287"/>
    <s v="ZRDI"/>
    <n v="10023353"/>
    <n v="208"/>
    <s v="DEV-Atraso entrega- LOGISTICA(Transp)"/>
    <s v="TRANSPORTADORA"/>
    <x v="2"/>
    <n v="58013135"/>
    <x v="1533"/>
    <s v="PE"/>
    <n v="475"/>
    <s v="Site Consul"/>
    <n v="1352"/>
    <s v="W11715713"/>
    <s v="Outros"/>
    <x v="7"/>
    <n v="1000"/>
    <n v="5002359"/>
    <s v="EMPRESA BRASILEIRA DE CORREIOS E"/>
    <n v="41.48"/>
    <d v="2025-07-26T00:00:00"/>
  </r>
  <r>
    <n v="254022271"/>
    <n v="64799882"/>
    <s v="ZRDI"/>
    <n v="10079356"/>
    <n v="208"/>
    <s v="DEV-Atraso entrega- LOGISTICA(Transp)"/>
    <s v="TRANSPORTADORA"/>
    <x v="2"/>
    <n v="58073504"/>
    <x v="1912"/>
    <s v="PE"/>
    <n v="475"/>
    <s v="Site Consul"/>
    <n v="1352"/>
    <s v="W11715713"/>
    <s v="Outros"/>
    <x v="7"/>
    <n v="1000"/>
    <n v="5002359"/>
    <s v="EMPRESA BRASILEIRA DE CORREIOS E"/>
    <n v="41.48"/>
    <d v="2025-06-27T00:00:00"/>
  </r>
  <r>
    <n v="254040383"/>
    <n v="64818287"/>
    <s v="ZRDI"/>
    <n v="10023353"/>
    <n v="208"/>
    <s v="DEV-Atraso entrega- LOGISTICA(Transp)"/>
    <s v="TRANSPORTADORA"/>
    <x v="2"/>
    <n v="58013135"/>
    <x v="1533"/>
    <s v="PE"/>
    <n v="475"/>
    <s v="Site Consul"/>
    <n v="1352"/>
    <s v="W11715713"/>
    <s v="Outros"/>
    <x v="7"/>
    <n v="1000"/>
    <n v="5002359"/>
    <s v="EMPRESA BRASILEIRA DE CORREIOS E"/>
    <n v="41.48"/>
    <d v="2025-07-26T00:00:00"/>
  </r>
  <r>
    <n v="253970698"/>
    <n v="64748347"/>
    <s v="REB"/>
    <n v="9562138"/>
    <n v="176"/>
    <s v="PEÇAS - Defeito de fabric./Interrompido"/>
    <s v="FUNCIONAL"/>
    <x v="2"/>
    <n v="3506"/>
    <x v="46"/>
    <s v="SP"/>
    <n v="931"/>
    <s v="Ats Off"/>
    <n v="1350"/>
    <s v="W11283283"/>
    <s v="Termostatos"/>
    <x v="3"/>
    <n v="1000"/>
    <n v="5004042"/>
    <s v="BRASIL WEB TRANSPORTES E LOGISTICA"/>
    <n v="41.46"/>
    <d v="2025-04-09T00:00:00"/>
  </r>
  <r>
    <n v="254038143"/>
    <n v="64816104"/>
    <s v="ZRDI"/>
    <n v="10063813"/>
    <n v="208"/>
    <s v="DEV-Atraso entrega- LOGISTICA(Transp)"/>
    <s v="TRANSPORTADORA"/>
    <x v="2"/>
    <n v="53327032"/>
    <x v="1914"/>
    <s v="SC"/>
    <n v="474"/>
    <s v="Site Brastemp"/>
    <n v="1352"/>
    <s v="W11118270"/>
    <s v="Capacitores"/>
    <x v="1"/>
    <n v="1000"/>
    <n v="5002359"/>
    <s v="EMPRESA BRASILEIRA DE CORREIOS E"/>
    <n v="41.46"/>
    <d v="2025-07-23T00:00:00"/>
  </r>
  <r>
    <n v="254038143"/>
    <n v="64816104"/>
    <s v="ZRDI"/>
    <n v="10063813"/>
    <n v="208"/>
    <s v="DEV-Atraso entrega- LOGISTICA(Transp)"/>
    <s v="TRANSPORTADORA"/>
    <x v="2"/>
    <n v="53327032"/>
    <x v="1914"/>
    <s v="SC"/>
    <n v="474"/>
    <s v="Site Brastemp"/>
    <n v="1352"/>
    <s v="W11118270"/>
    <s v="Capacitores"/>
    <x v="1"/>
    <n v="1000"/>
    <n v="5002359"/>
    <s v="EMPRESA BRASILEIRA DE CORREIOS E"/>
    <n v="41.46"/>
    <d v="2025-07-23T00:00:00"/>
  </r>
  <r>
    <s v="Sem TR"/>
    <n v="64812736"/>
    <s v="ZRDI"/>
    <n v="10139208"/>
    <s v="D10"/>
    <s v="DEV D2C - Comprou modelo errado"/>
    <s v="COMERCIAL"/>
    <x v="2"/>
    <n v="52929493"/>
    <x v="1195"/>
    <s v="SP"/>
    <n v="475"/>
    <s v="Site Consul"/>
    <n v="1352"/>
    <s v="W10212441"/>
    <s v="Prateleiras"/>
    <x v="9"/>
    <n v="1000"/>
    <n v="5002359"/>
    <s v="EMPRESA BRASILEIRA DE CORREIOS E"/>
    <n v="41.45"/>
    <d v="2025-07-21T00:00:00"/>
  </r>
  <r>
    <s v="Sem TR"/>
    <n v="64814314"/>
    <s v="ZRDI"/>
    <n v="10141064"/>
    <s v="D18"/>
    <s v="DEV D2C - Arrependimento não quero mais"/>
    <s v="COMERCIAL"/>
    <x v="2"/>
    <n v="58166132"/>
    <x v="1915"/>
    <s v="SP"/>
    <n v="475"/>
    <s v="Site Consul"/>
    <n v="1352"/>
    <s v="W10212441"/>
    <s v="Prateleiras"/>
    <x v="9"/>
    <n v="1000"/>
    <n v="5002359"/>
    <s v="EMPRESA BRASILEIRA DE CORREIOS E"/>
    <n v="41.45"/>
    <d v="2025-07-22T00:00:00"/>
  </r>
  <r>
    <s v="Sem TR"/>
    <n v="64817046"/>
    <s v="ZRDI"/>
    <n v="10134575"/>
    <s v="D10"/>
    <s v="DEV D2C - Comprou modelo errado"/>
    <s v="COMERCIAL"/>
    <x v="2"/>
    <n v="58149391"/>
    <x v="1198"/>
    <s v="SP"/>
    <n v="475"/>
    <s v="Site Consul"/>
    <n v="1352"/>
    <s v="W10212441"/>
    <s v="Prateleiras"/>
    <x v="9"/>
    <n v="1000"/>
    <n v="5002359"/>
    <s v="EMPRESA BRASILEIRA DE CORREIOS E"/>
    <n v="41.45"/>
    <d v="2025-07-25T00:00:00"/>
  </r>
  <r>
    <s v="Sem TR"/>
    <n v="64812736"/>
    <s v="ZRDI"/>
    <n v="10139208"/>
    <s v="D10"/>
    <s v="DEV D2C - Comprou modelo errado"/>
    <s v="COMERCIAL"/>
    <x v="2"/>
    <n v="52929493"/>
    <x v="1195"/>
    <s v="SP"/>
    <n v="475"/>
    <s v="Site Consul"/>
    <n v="1352"/>
    <s v="W10212441"/>
    <s v="Prateleiras"/>
    <x v="9"/>
    <n v="1000"/>
    <n v="5002359"/>
    <s v="EMPRESA BRASILEIRA DE CORREIOS E"/>
    <n v="41.45"/>
    <d v="2025-07-21T00:00:00"/>
  </r>
  <r>
    <s v="Sem TR"/>
    <n v="64814314"/>
    <s v="ZRDI"/>
    <n v="10141064"/>
    <s v="D18"/>
    <s v="DEV D2C - Arrependimento não quero mais"/>
    <s v="COMERCIAL"/>
    <x v="2"/>
    <n v="58166132"/>
    <x v="1915"/>
    <s v="SP"/>
    <n v="475"/>
    <s v="Site Consul"/>
    <n v="1352"/>
    <s v="W10212441"/>
    <s v="Prateleiras"/>
    <x v="9"/>
    <n v="1000"/>
    <n v="5002359"/>
    <s v="EMPRESA BRASILEIRA DE CORREIOS E"/>
    <n v="41.45"/>
    <d v="2025-07-22T00:00:00"/>
  </r>
  <r>
    <s v="Sem TR"/>
    <n v="64817046"/>
    <s v="ZRDI"/>
    <n v="10134575"/>
    <s v="D10"/>
    <s v="DEV D2C - Comprou modelo errado"/>
    <s v="COMERCIAL"/>
    <x v="2"/>
    <n v="58149391"/>
    <x v="1198"/>
    <s v="SP"/>
    <n v="475"/>
    <s v="Site Consul"/>
    <n v="1352"/>
    <s v="W10212441"/>
    <s v="Prateleiras"/>
    <x v="9"/>
    <n v="1000"/>
    <n v="5002359"/>
    <s v="EMPRESA BRASILEIRA DE CORREIOS E"/>
    <n v="41.45"/>
    <d v="2025-07-25T00:00:00"/>
  </r>
  <r>
    <s v="Sem TR"/>
    <n v="64814406"/>
    <s v="ZRDI"/>
    <n v="10149513"/>
    <s v="D10"/>
    <s v="DEV D2C - Comprou modelo errado"/>
    <s v="COMERCIAL"/>
    <x v="1"/>
    <n v="58141444"/>
    <x v="1916"/>
    <s v="SP"/>
    <n v="475"/>
    <s v="Site Consul"/>
    <n v="1352"/>
    <s v="W10212441"/>
    <s v="Prateleiras"/>
    <x v="9"/>
    <n v="1000"/>
    <n v="5002359"/>
    <s v="EMPRESA BRASILEIRA DE CORREIOS E"/>
    <n v="41.45"/>
    <d v="2025-07-28T00:00:00"/>
  </r>
  <r>
    <s v="Sem TR"/>
    <n v="64810775"/>
    <s v="ZRDI"/>
    <n v="10088712"/>
    <s v="D18"/>
    <s v="DEV D2C - Arrependimento não quero mais"/>
    <s v="COMERCIAL"/>
    <x v="2"/>
    <n v="58091753"/>
    <x v="1917"/>
    <s v="DF"/>
    <n v="474"/>
    <s v="Site Brastemp"/>
    <n v="1352"/>
    <s v="W11213068"/>
    <s v="Acessórios"/>
    <x v="7"/>
    <n v="1000"/>
    <n v="5002359"/>
    <s v="EMPRESA BRASILEIRA DE CORREIOS E"/>
    <n v="41.38"/>
    <d v="2025-07-16T00:00:00"/>
  </r>
  <r>
    <n v="254039284"/>
    <n v="64817223"/>
    <s v="ZRDI"/>
    <n v="10136567"/>
    <n v="208"/>
    <s v="DEV-Atraso entrega- LOGISTICA(Transp)"/>
    <s v="TRANSPORTADORA"/>
    <x v="2"/>
    <n v="54414701"/>
    <x v="1918"/>
    <s v="DF"/>
    <n v="474"/>
    <s v="Site Brastemp"/>
    <n v="1352"/>
    <s v="W11213068"/>
    <s v="Acessórios"/>
    <x v="7"/>
    <n v="1000"/>
    <n v="5002359"/>
    <s v="EMPRESA BRASILEIRA DE CORREIOS E"/>
    <n v="41.38"/>
    <d v="2025-07-24T00:00:00"/>
  </r>
  <r>
    <n v="254039284"/>
    <n v="64817223"/>
    <s v="ZRDI"/>
    <n v="10136567"/>
    <n v="208"/>
    <s v="DEV-Atraso entrega- LOGISTICA(Transp)"/>
    <s v="TRANSPORTADORA"/>
    <x v="2"/>
    <n v="54414701"/>
    <x v="1918"/>
    <s v="DF"/>
    <n v="474"/>
    <s v="Site Brastemp"/>
    <n v="1352"/>
    <s v="W11213068"/>
    <s v="Acessórios"/>
    <x v="7"/>
    <n v="1000"/>
    <n v="5002359"/>
    <s v="EMPRESA BRASILEIRA DE CORREIOS E"/>
    <n v="41.38"/>
    <d v="2025-07-24T00:00:00"/>
  </r>
  <r>
    <n v="254020433"/>
    <n v="64798137"/>
    <s v="ZRDI"/>
    <n v="10038532"/>
    <n v="208"/>
    <s v="DEV-Atraso entrega- LOGISTICA(Transp)"/>
    <s v="TRANSPORTADORA"/>
    <x v="2"/>
    <n v="56576413"/>
    <x v="1919"/>
    <s v="CE"/>
    <n v="466"/>
    <s v="Sup ML Marketplace"/>
    <n v="1352"/>
    <s v="W11112652"/>
    <s v="Botões"/>
    <x v="6"/>
    <n v="1000"/>
    <n v="5002359"/>
    <s v="EMPRESA BRASILEIRA DE CORREIOS E"/>
    <n v="41.27"/>
    <d v="2025-06-25T00:00:00"/>
  </r>
  <r>
    <n v="254032572"/>
    <n v="64810006"/>
    <s v="ZRDI"/>
    <n v="10118594"/>
    <n v="208"/>
    <s v="DEV-Atraso entrega- LOGISTICA(Transp)"/>
    <s v="TRANSPORTADORA"/>
    <x v="2"/>
    <n v="54383675"/>
    <x v="1920"/>
    <s v="PR"/>
    <n v="474"/>
    <s v="Site Brastemp"/>
    <n v="1352"/>
    <n v="326051091"/>
    <s v="Micro Chaves/Reed Switches"/>
    <x v="3"/>
    <n v="1000"/>
    <n v="5002359"/>
    <s v="EMPRESA BRASILEIRA DE CORREIOS E"/>
    <n v="41.23"/>
    <d v="2025-07-16T00:00:00"/>
  </r>
  <r>
    <n v="254032572"/>
    <n v="64810006"/>
    <s v="ZRDI"/>
    <n v="10118594"/>
    <n v="208"/>
    <s v="DEV-Atraso entrega- LOGISTICA(Transp)"/>
    <s v="TRANSPORTADORA"/>
    <x v="2"/>
    <n v="54383675"/>
    <x v="1920"/>
    <s v="PR"/>
    <n v="474"/>
    <s v="Site Brastemp"/>
    <n v="1352"/>
    <n v="326051091"/>
    <s v="Micro Chaves/Reed Switches"/>
    <x v="3"/>
    <n v="1000"/>
    <n v="5002359"/>
    <s v="EMPRESA BRASILEIRA DE CORREIOS E"/>
    <n v="41.23"/>
    <d v="2025-07-16T00:00:00"/>
  </r>
  <r>
    <n v="253988938"/>
    <n v="64763730"/>
    <s v="REB"/>
    <n v="9737964"/>
    <n v="178"/>
    <s v="PEÇAS -Defeito de fabric./Sem Compressão"/>
    <s v="FUNCIONAL"/>
    <x v="1"/>
    <n v="83098"/>
    <x v="1921"/>
    <s v="PE"/>
    <n v="934"/>
    <s v="CDP Ouro"/>
    <n v="1350"/>
    <s v="W11510292"/>
    <s v="Interruptores"/>
    <x v="3"/>
    <n v="1000"/>
    <n v="5004101"/>
    <s v="UNIDOCK'S ASSESSORIA E LOGISTICA DE"/>
    <n v="41.19"/>
    <d v="2025-05-05T00:00:00"/>
  </r>
  <r>
    <s v="Sem TR"/>
    <n v="64777911"/>
    <s v="REB"/>
    <n v="9658328"/>
    <n v="176"/>
    <s v="PEÇAS - Defeito de fabric./Interrompido"/>
    <s v="FUNCIONAL"/>
    <x v="1"/>
    <n v="27804"/>
    <x v="466"/>
    <s v="SP"/>
    <n v="641"/>
    <s v="CDP Diamante"/>
    <n v="1350"/>
    <s v="W10471975"/>
    <s v="Interruptores"/>
    <x v="3"/>
    <n v="1000"/>
    <n v="5004042"/>
    <s v="BRASIL WEB TRANSPORTES E LOGISTICA"/>
    <n v="41.12"/>
    <d v="2025-05-26T00:00:00"/>
  </r>
  <r>
    <n v="254031620"/>
    <n v="64787202"/>
    <s v="REB"/>
    <n v="10065565"/>
    <n v="176"/>
    <s v="PEÇAS - Defeito de fabric./Interrompido"/>
    <s v="FUNCIONAL"/>
    <x v="0"/>
    <n v="3506"/>
    <x v="46"/>
    <s v="SP"/>
    <n v="931"/>
    <s v="Ats Off"/>
    <n v="1350"/>
    <n v="326061164"/>
    <s v="Queimadores"/>
    <x v="12"/>
    <n v="1000"/>
    <n v="5004042"/>
    <s v="BRASIL WEB TRANSPORTES E LOGISTICA"/>
    <n v="41.11"/>
    <d v="2025-06-24T00:00:00"/>
  </r>
  <r>
    <n v="253992761"/>
    <n v="64768381"/>
    <s v="REB"/>
    <n v="9992635"/>
    <n v="167"/>
    <s v="PEÇAS - Avaria - Quebrada/Depósito"/>
    <s v="LOGÍSTICA"/>
    <x v="1"/>
    <n v="69085"/>
    <x v="178"/>
    <s v="SP"/>
    <n v="641"/>
    <s v="CDP Diamante"/>
    <n v="1350"/>
    <s v="W10246170"/>
    <s v="Prateleiras"/>
    <x v="9"/>
    <n v="1000"/>
    <n v="5004042"/>
    <s v="BRASIL WEB TRANSPORTES E LOGISTICA"/>
    <n v="41.08"/>
    <d v="2025-05-12T00:00:00"/>
  </r>
  <r>
    <n v="253992760"/>
    <n v="64768386"/>
    <s v="REB"/>
    <n v="9944892"/>
    <n v="176"/>
    <s v="PEÇAS - Defeito de fabric./Interrompido"/>
    <s v="FUNCIONAL"/>
    <x v="1"/>
    <n v="64683"/>
    <x v="56"/>
    <s v="RS"/>
    <n v="648"/>
    <s v="Ultra"/>
    <n v="1350"/>
    <s v="W10882241"/>
    <s v="Agitadores"/>
    <x v="2"/>
    <n v="1000"/>
    <n v="5003024"/>
    <s v="RODOBRAS TRANSPORTES RODOVIARIOS LT"/>
    <n v="41.01"/>
    <d v="2025-05-12T00:00:00"/>
  </r>
  <r>
    <n v="253952464"/>
    <n v="64727541"/>
    <s v="REB"/>
    <n v="9851372"/>
    <n v="671"/>
    <s v="DEV-ENVIADO PARA GESTÃO DE CONSEQUENCIA"/>
    <s v="TRANSPORTADORA"/>
    <x v="1"/>
    <n v="72032"/>
    <x v="1922"/>
    <s v="SC"/>
    <n v="932"/>
    <s v="CDP Prata"/>
    <n v="1350"/>
    <s v="W10367625"/>
    <s v="Gaxetas"/>
    <x v="4"/>
    <n v="1000"/>
    <n v="5003024"/>
    <s v="RODOBRAS TRANSPORTES RODOVIARIOS LT"/>
    <n v="41.01"/>
    <d v="2025-03-10T00:00:00"/>
  </r>
  <r>
    <n v="254035954"/>
    <n v="64814049"/>
    <s v="ZRDI"/>
    <n v="10133696"/>
    <n v="208"/>
    <s v="DEV-Atraso entrega- LOGISTICA(Transp)"/>
    <s v="TRANSPORTADORA"/>
    <x v="2"/>
    <n v="58151516"/>
    <x v="1923"/>
    <s v="MG"/>
    <n v="475"/>
    <s v="Site Consul"/>
    <n v="1352"/>
    <s v="W11135728"/>
    <s v="Mangueiras"/>
    <x v="5"/>
    <n v="1000"/>
    <n v="5002359"/>
    <s v="EMPRESA BRASILEIRA DE CORREIOS E"/>
    <n v="40.97"/>
    <d v="2025-07-21T00:00:00"/>
  </r>
  <r>
    <n v="254035954"/>
    <n v="64814049"/>
    <s v="ZRDI"/>
    <n v="10133696"/>
    <n v="208"/>
    <s v="DEV-Atraso entrega- LOGISTICA(Transp)"/>
    <s v="TRANSPORTADORA"/>
    <x v="2"/>
    <n v="58151516"/>
    <x v="1923"/>
    <s v="MG"/>
    <n v="475"/>
    <s v="Site Consul"/>
    <n v="1352"/>
    <s v="W11135728"/>
    <s v="Mangueiras"/>
    <x v="5"/>
    <n v="1000"/>
    <n v="5002359"/>
    <s v="EMPRESA BRASILEIRA DE CORREIOS E"/>
    <n v="40.97"/>
    <d v="2025-07-21T00:00:00"/>
  </r>
  <r>
    <s v="Sem TR"/>
    <n v="64799786"/>
    <s v="ZRDI"/>
    <n v="10100851"/>
    <s v="D10"/>
    <s v="DEV D2C - Comprou modelo errado"/>
    <s v="COMERCIAL"/>
    <x v="2"/>
    <n v="58108230"/>
    <x v="1924"/>
    <s v="RJ"/>
    <n v="474"/>
    <s v="Site Brastemp"/>
    <n v="1352"/>
    <s v="W10686098"/>
    <s v="Manípulos"/>
    <x v="6"/>
    <n v="1000"/>
    <n v="5002359"/>
    <s v="EMPRESA BRASILEIRA DE CORREIOS E"/>
    <n v="40.93"/>
    <d v="2025-06-30T00:00:00"/>
  </r>
  <r>
    <n v="254040405"/>
    <n v="64818309"/>
    <s v="ZRDI"/>
    <n v="10108055"/>
    <n v="208"/>
    <s v="DEV-Atraso entrega- LOGISTICA(Transp)"/>
    <s v="TRANSPORTADORA"/>
    <x v="2"/>
    <n v="5616413"/>
    <x v="1683"/>
    <s v="ES"/>
    <n v="474"/>
    <s v="Site Brastemp"/>
    <n v="1352"/>
    <s v="W11213068"/>
    <s v="Acessórios"/>
    <x v="7"/>
    <n v="1000"/>
    <n v="5002359"/>
    <s v="EMPRESA BRASILEIRA DE CORREIOS E"/>
    <n v="40.93"/>
    <d v="2025-07-26T00:00:00"/>
  </r>
  <r>
    <n v="254040405"/>
    <n v="64818309"/>
    <s v="ZRDI"/>
    <n v="10108055"/>
    <n v="208"/>
    <s v="DEV-Atraso entrega- LOGISTICA(Transp)"/>
    <s v="TRANSPORTADORA"/>
    <x v="2"/>
    <n v="5616413"/>
    <x v="1683"/>
    <s v="ES"/>
    <n v="474"/>
    <s v="Site Brastemp"/>
    <n v="1352"/>
    <s v="W11213068"/>
    <s v="Acessórios"/>
    <x v="7"/>
    <n v="1000"/>
    <n v="5002359"/>
    <s v="EMPRESA BRASILEIRA DE CORREIOS E"/>
    <n v="40.93"/>
    <d v="2025-07-26T00:00:00"/>
  </r>
  <r>
    <n v="254033378"/>
    <n v="64802353"/>
    <s v="REB"/>
    <n v="10102376"/>
    <n v="167"/>
    <s v="PEÇAS - Avaria - Quebrada/Depósito"/>
    <s v="LOGÍSTICA"/>
    <x v="1"/>
    <n v="30847"/>
    <x v="87"/>
    <s v="SP"/>
    <n v="644"/>
    <s v="Plus"/>
    <n v="1350"/>
    <s v="W10200101"/>
    <s v="Prateleiras"/>
    <x v="9"/>
    <n v="1000"/>
    <n v="5004042"/>
    <s v="BRASIL WEB TRANSPORTES E LOGISTICA"/>
    <n v="40.93"/>
    <d v="2025-07-08T00:00:00"/>
  </r>
  <r>
    <n v="254026102"/>
    <n v="64805674"/>
    <s v="ZRDI"/>
    <n v="10067938"/>
    <n v="208"/>
    <s v="DEV-Atraso entrega- LOGISTICA(Transp)"/>
    <s v="TRANSPORTADORA"/>
    <x v="2"/>
    <n v="58063723"/>
    <x v="1925"/>
    <s v="ES"/>
    <n v="474"/>
    <s v="Site Brastemp"/>
    <n v="1352"/>
    <s v="W11213068"/>
    <s v="Acessórios"/>
    <x v="7"/>
    <n v="1000"/>
    <n v="5002359"/>
    <s v="EMPRESA BRASILEIRA DE CORREIOS E"/>
    <n v="40.92"/>
    <d v="2025-07-04T00:00:00"/>
  </r>
  <r>
    <n v="253918546"/>
    <n v="64689557"/>
    <s v="REB"/>
    <n v="9784056"/>
    <n v="671"/>
    <s v="DEV-ENVIADO PARA GESTÃO DE CONSEQUENCIA"/>
    <s v="TRANSPORTADORA"/>
    <x v="2"/>
    <n v="9015"/>
    <x v="72"/>
    <s v="SC"/>
    <n v="931"/>
    <s v="Ats Off"/>
    <n v="1350"/>
    <s v="W10437111"/>
    <s v="Gavetas"/>
    <x v="9"/>
    <n v="1000"/>
    <n v="5003024"/>
    <s v="RODOBRAS TRANSPORTES RODOVIARIOS LT"/>
    <n v="40.909999999999997"/>
    <d v="2025-01-15T00:00:00"/>
  </r>
  <r>
    <n v="254033416"/>
    <n v="64802535"/>
    <s v="REB"/>
    <n v="10015049"/>
    <n v="173"/>
    <s v="PEÇAS - Defeito de fabric./Alta Amperage"/>
    <s v="FUNCIONAL"/>
    <x v="0"/>
    <n v="51613"/>
    <x v="34"/>
    <s v="MG"/>
    <n v="643"/>
    <s v="Elite"/>
    <n v="1350"/>
    <s v="W10399715"/>
    <s v="Motores Ventiladores"/>
    <x v="1"/>
    <n v="1000"/>
    <n v="5004215"/>
    <s v="BRASIL WEB TRANSPORTES E LOGISTICA"/>
    <n v="40.9"/>
    <d v="2025-07-01T00:00:00"/>
  </r>
  <r>
    <n v="254033417"/>
    <n v="64802539"/>
    <s v="REB"/>
    <n v="10015049"/>
    <n v="173"/>
    <s v="PEÇAS - Defeito de fabric./Alta Amperage"/>
    <s v="FUNCIONAL"/>
    <x v="0"/>
    <n v="51613"/>
    <x v="34"/>
    <s v="MG"/>
    <n v="643"/>
    <s v="Elite"/>
    <n v="1350"/>
    <s v="W10399715"/>
    <s v="Motores Ventiladores"/>
    <x v="1"/>
    <n v="1000"/>
    <n v="5004215"/>
    <s v="BRASIL WEB TRANSPORTES E LOGISTICA"/>
    <n v="40.9"/>
    <d v="2025-07-01T00:00:00"/>
  </r>
  <r>
    <s v="Sem TR"/>
    <n v="64799826"/>
    <s v="ZRDI"/>
    <n v="10081862"/>
    <s v="D10"/>
    <s v="DEV D2C - Comprou modelo errado"/>
    <s v="COMERCIAL"/>
    <x v="2"/>
    <n v="58081067"/>
    <x v="1926"/>
    <s v="PB"/>
    <n v="474"/>
    <s v="Site Brastemp"/>
    <n v="1352"/>
    <s v="W11629019"/>
    <s v="Recipientes de Evaporação"/>
    <x v="9"/>
    <n v="1000"/>
    <n v="5002359"/>
    <s v="EMPRESA BRASILEIRA DE CORREIOS E"/>
    <n v="40.89"/>
    <d v="2025-07-02T00:00:00"/>
  </r>
  <r>
    <s v="Sem TR"/>
    <n v="64799826"/>
    <s v="ZRDI"/>
    <n v="10081862"/>
    <s v="D10"/>
    <s v="DEV D2C - Comprou modelo errado"/>
    <s v="COMERCIAL"/>
    <x v="2"/>
    <n v="58081067"/>
    <x v="1926"/>
    <s v="PB"/>
    <n v="474"/>
    <s v="Site Brastemp"/>
    <n v="1352"/>
    <s v="W11629019"/>
    <s v="Recipientes de Evaporação"/>
    <x v="9"/>
    <n v="1000"/>
    <n v="5002359"/>
    <s v="EMPRESA BRASILEIRA DE CORREIOS E"/>
    <n v="40.89"/>
    <d v="2025-07-02T00:00:00"/>
  </r>
  <r>
    <n v="254042018"/>
    <n v="64795944"/>
    <s v="REB"/>
    <n v="10088773"/>
    <n v="167"/>
    <s v="PEÇAS - Avaria - Quebrada/Depósito"/>
    <s v="LOGÍSTICA"/>
    <x v="0"/>
    <n v="3389"/>
    <x v="327"/>
    <s v="SP"/>
    <n v="350"/>
    <s v="Ats On"/>
    <n v="1350"/>
    <s v="W10619463"/>
    <s v="Pressostatos"/>
    <x v="3"/>
    <n v="1000"/>
    <n v="5004042"/>
    <s v="BRASIL WEB TRANSPORTES E LOGISTICA"/>
    <n v="40.89"/>
    <d v="2025-06-23T00:00:00"/>
  </r>
  <r>
    <n v="254031839"/>
    <n v="64796845"/>
    <s v="REB"/>
    <n v="10072575"/>
    <n v="176"/>
    <s v="PEÇAS - Defeito de fabric./Interrompido"/>
    <s v="FUNCIONAL"/>
    <x v="1"/>
    <n v="3506"/>
    <x v="46"/>
    <s v="SP"/>
    <n v="931"/>
    <s v="Ats Off"/>
    <n v="1350"/>
    <s v="W10699240"/>
    <s v="Filtro Secadores"/>
    <x v="0"/>
    <n v="5000"/>
    <n v="5004042"/>
    <s v="BRASIL WEB TRANSPORTES E LOGISTICA"/>
    <n v="40.85"/>
    <d v="2025-06-24T00:00:00"/>
  </r>
  <r>
    <s v="Sem TR"/>
    <n v="64682674"/>
    <s v="REB"/>
    <n v="9760933"/>
    <n v="125"/>
    <s v="DEV-Extravio de produto (Transportadora)"/>
    <s v="TRANSPORTADORA"/>
    <x v="0"/>
    <n v="3118"/>
    <x v="1717"/>
    <s v="PE"/>
    <n v="931"/>
    <s v="Ats Off"/>
    <n v="1350"/>
    <s v="W11629967"/>
    <s v="Gaxetas"/>
    <x v="4"/>
    <n v="1000"/>
    <n v="5004101"/>
    <s v="UNIDOCK'S ASSESSORIA E LOGISTICA DE"/>
    <n v="40.729999999999997"/>
    <d v="2025-01-02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5"/>
    <s v="Capas Queimadores"/>
    <x v="12"/>
    <n v="1000"/>
    <n v="5002359"/>
    <s v="EMPRESA BRASILEIRA DE CORREIOS E"/>
    <n v="40.67"/>
    <d v="2025-07-26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5"/>
    <s v="Capas Queimadores"/>
    <x v="12"/>
    <n v="1000"/>
    <n v="5002359"/>
    <s v="EMPRESA BRASILEIRA DE CORREIOS E"/>
    <n v="40.67"/>
    <d v="2025-07-26T00:00:00"/>
  </r>
  <r>
    <n v="254021072"/>
    <n v="64797517"/>
    <s v="ZRDI"/>
    <n v="9999490"/>
    <s v="D25"/>
    <s v="DEV D2C - Prob na entrega (Não recebi)"/>
    <s v="TRANSPORTADORA"/>
    <x v="2"/>
    <n v="57984305"/>
    <x v="1928"/>
    <s v="SP"/>
    <n v="466"/>
    <s v="Sup ML Marketplace"/>
    <n v="1352"/>
    <s v="W10212441"/>
    <s v="Prateleiras"/>
    <x v="9"/>
    <n v="1000"/>
    <n v="5003972"/>
    <s v="ICARO EXPRESS LOGISTICA LTDA"/>
    <n v="40.630000000000003"/>
    <d v="2025-06-26T00:00:00"/>
  </r>
  <r>
    <n v="254003848"/>
    <n v="64778033"/>
    <s v="REB"/>
    <n v="10027638"/>
    <n v="176"/>
    <s v="PEÇAS - Defeito de fabric./Interrompido"/>
    <s v="FUNCIONAL"/>
    <x v="2"/>
    <n v="3506"/>
    <x v="46"/>
    <s v="SP"/>
    <n v="931"/>
    <s v="Ats Off"/>
    <n v="1350"/>
    <s v="W10896456"/>
    <s v="Termostatos"/>
    <x v="3"/>
    <n v="2000"/>
    <n v="5004042"/>
    <s v="BRASIL WEB TRANSPORTES E LOGISTICA"/>
    <n v="40.6"/>
    <d v="2025-05-26T00:00:00"/>
  </r>
  <r>
    <n v="253970783"/>
    <n v="64748275"/>
    <s v="REB"/>
    <n v="9707683"/>
    <n v="168"/>
    <s v="PEÇAS-Def.Fabric.Empenamento/Abaulamento"/>
    <s v="FUNCIONAL"/>
    <x v="1"/>
    <n v="31537"/>
    <x v="523"/>
    <s v="RS"/>
    <n v="641"/>
    <s v="CDP Diamante"/>
    <n v="1350"/>
    <n v="326006286"/>
    <s v="Agitadores"/>
    <x v="2"/>
    <n v="1000"/>
    <n v="5003024"/>
    <s v="RODOBRAS TRANSPORTES RODOVIARIOS LT"/>
    <n v="40.54"/>
    <d v="2025-04-09T00:00:00"/>
  </r>
  <r>
    <s v="Sem TR"/>
    <n v="64799503"/>
    <s v="ZRDI"/>
    <n v="10081865"/>
    <s v="D18"/>
    <s v="DEV D2C - Arrependimento não quero mais"/>
    <s v="COMERCIAL"/>
    <x v="2"/>
    <n v="58081131"/>
    <x v="1929"/>
    <s v="PR"/>
    <n v="466"/>
    <s v="Sup ML Marketplace"/>
    <n v="1352"/>
    <s v="W10393996"/>
    <s v="Capas Queimadores"/>
    <x v="12"/>
    <n v="1000"/>
    <n v="5002359"/>
    <s v="EMPRESA BRASILEIRA DE CORREIOS E"/>
    <n v="40.49"/>
    <d v="2025-07-02T00:00:00"/>
  </r>
  <r>
    <s v="Sem TR"/>
    <n v="64799503"/>
    <s v="ZRDI"/>
    <n v="10081865"/>
    <s v="D18"/>
    <s v="DEV D2C - Arrependimento não quero mais"/>
    <s v="COMERCIAL"/>
    <x v="2"/>
    <n v="58081131"/>
    <x v="1929"/>
    <s v="PR"/>
    <n v="466"/>
    <s v="Sup ML Marketplace"/>
    <n v="1352"/>
    <s v="W10393996"/>
    <s v="Capas Queimadores"/>
    <x v="12"/>
    <n v="1000"/>
    <n v="5002359"/>
    <s v="EMPRESA BRASILEIRA DE CORREIOS E"/>
    <n v="40.49"/>
    <d v="2025-07-02T00:00:00"/>
  </r>
  <r>
    <n v="254018238"/>
    <n v="64793117"/>
    <s v="REB"/>
    <n v="10066074"/>
    <n v="176"/>
    <s v="PEÇAS - Defeito de fabric./Interrompido"/>
    <s v="FUNCIONAL"/>
    <x v="1"/>
    <n v="24089"/>
    <x v="134"/>
    <s v="RJ"/>
    <n v="931"/>
    <s v="Ats Off"/>
    <n v="1350"/>
    <s v="W11045219"/>
    <s v="Motores Ventiladores"/>
    <x v="1"/>
    <n v="1000"/>
    <n v="5003176"/>
    <s v="J C THEDIN TRANSPORTES LTDA"/>
    <n v="40.49"/>
    <d v="2025-06-17T00:00:00"/>
  </r>
  <r>
    <s v="Sem TR"/>
    <n v="64812284"/>
    <s v="REB"/>
    <n v="10118247"/>
    <n v="104"/>
    <s v="PEÇAS-Código trocado(embalag X conteúdo)"/>
    <s v="LOGÍSTICA"/>
    <x v="1"/>
    <n v="20602"/>
    <x v="355"/>
    <s v="SP"/>
    <n v="350"/>
    <s v="Ats On"/>
    <n v="1350"/>
    <s v="W10246170"/>
    <s v="Prateleiras"/>
    <x v="9"/>
    <n v="1000"/>
    <n v="5004042"/>
    <s v="BRASIL WEB TRANSPORTES E LOGISTICA"/>
    <n v="40.479999999999997"/>
    <d v="2025-07-17T00:00:00"/>
  </r>
  <r>
    <n v="254018302"/>
    <n v="64792278"/>
    <s v="REB"/>
    <n v="9945191"/>
    <n v="173"/>
    <s v="PEÇAS - Defeito de fabric./Alta Amperage"/>
    <s v="FUNCIONAL"/>
    <x v="2"/>
    <n v="47471"/>
    <x v="424"/>
    <s v="TO"/>
    <n v="643"/>
    <s v="Elite"/>
    <n v="1350"/>
    <s v="W10882241"/>
    <s v="Agitadores"/>
    <x v="2"/>
    <n v="1000"/>
    <n v="5002858"/>
    <s v="FAVORITA TRANSPORTES LTDA"/>
    <n v="40.450000000000003"/>
    <d v="2025-06-16T00:00:00"/>
  </r>
  <r>
    <s v="Sem TR"/>
    <n v="64817574"/>
    <s v="REB"/>
    <n v="10015473"/>
    <n v="176"/>
    <s v="PEÇAS - Defeito de fabric./Interrompido"/>
    <s v="FUNCIONAL"/>
    <x v="1"/>
    <n v="66"/>
    <x v="73"/>
    <s v="GO"/>
    <n v="931"/>
    <s v="Ats Off"/>
    <n v="1350"/>
    <s v="W10764578"/>
    <s v="Conjunto Varetas"/>
    <x v="8"/>
    <n v="1000"/>
    <n v="5002858"/>
    <s v="FAVORITA TRANSPORTES LTDA"/>
    <n v="40.44"/>
    <d v="2025-07-25T00:00:00"/>
  </r>
  <r>
    <n v="253961314"/>
    <n v="64737214"/>
    <s v="REB"/>
    <n v="9905345"/>
    <n v="167"/>
    <s v="PEÇAS - Avaria - Quebrada/Depósito"/>
    <s v="LOGÍSTICA"/>
    <x v="2"/>
    <n v="30847"/>
    <x v="87"/>
    <s v="SP"/>
    <n v="644"/>
    <s v="Plus"/>
    <n v="1350"/>
    <s v="W10287534"/>
    <s v="Prateleiras"/>
    <x v="9"/>
    <n v="1000"/>
    <n v="5004042"/>
    <s v="BRASIL WEB TRANSPORTES E LOGISTICA"/>
    <n v="40.43"/>
    <d v="2025-03-24T00:00:00"/>
  </r>
  <r>
    <n v="253961312"/>
    <n v="64737212"/>
    <s v="REB"/>
    <n v="9905345"/>
    <n v="167"/>
    <s v="PEÇAS - Avaria - Quebrada/Depósito"/>
    <s v="LOGÍSTICA"/>
    <x v="1"/>
    <n v="30847"/>
    <x v="87"/>
    <s v="SP"/>
    <n v="644"/>
    <s v="Plus"/>
    <n v="1350"/>
    <s v="W10287534"/>
    <s v="Prateleiras"/>
    <x v="9"/>
    <n v="1000"/>
    <n v="5004042"/>
    <s v="BRASIL WEB TRANSPORTES E LOGISTICA"/>
    <n v="40.43"/>
    <d v="2025-03-24T00:00:00"/>
  </r>
  <r>
    <n v="253964074"/>
    <n v="64743035"/>
    <s v="ROB"/>
    <n v="48888"/>
    <n v="115"/>
    <s v="PEÇAS-Recusa do cliente"/>
    <s v="COMERCIAL"/>
    <x v="2"/>
    <n v="93416"/>
    <x v="1166"/>
    <s v="PE"/>
    <n v="698"/>
    <s v="CDP Bronze"/>
    <n v="1550"/>
    <s v="W11197973"/>
    <s v="Pressostatos"/>
    <x v="3"/>
    <n v="1000"/>
    <n v="5000253"/>
    <s v="TRANSPORTADOR GENERICO"/>
    <n v="40.32"/>
    <d v="2025-03-31T00:00:00"/>
  </r>
  <r>
    <s v="Sem TR"/>
    <n v="64805599"/>
    <s v="ZRDI"/>
    <n v="10105429"/>
    <s v="D18"/>
    <s v="DEV D2C - Arrependimento não quero mais"/>
    <s v="COMERCIAL"/>
    <x v="2"/>
    <n v="51310100"/>
    <x v="1930"/>
    <s v="SP"/>
    <n v="474"/>
    <s v="Site Brastemp"/>
    <n v="1352"/>
    <n v="326031817"/>
    <s v="Mangueiras"/>
    <x v="5"/>
    <n v="1000"/>
    <n v="5002359"/>
    <s v="EMPRESA BRASILEIRA DE CORREIOS E"/>
    <n v="40.270000000000003"/>
    <d v="2025-07-04T00:00:00"/>
  </r>
  <r>
    <s v="Sem TR"/>
    <n v="64806461"/>
    <s v="ZRDI"/>
    <n v="10106755"/>
    <s v="D10"/>
    <s v="DEV D2C - Comprou modelo errado"/>
    <s v="COMERCIAL"/>
    <x v="2"/>
    <n v="52829555"/>
    <x v="1931"/>
    <s v="SP"/>
    <n v="474"/>
    <s v="Site Brastemp"/>
    <n v="1352"/>
    <n v="326031817"/>
    <s v="Mangueiras"/>
    <x v="5"/>
    <n v="1000"/>
    <n v="5002359"/>
    <s v="EMPRESA BRASILEIRA DE CORREIOS E"/>
    <n v="40.270000000000003"/>
    <d v="2025-07-07T00:00:00"/>
  </r>
  <r>
    <s v="Sem TR"/>
    <n v="64806461"/>
    <s v="ZRDI"/>
    <n v="10106755"/>
    <s v="D10"/>
    <s v="DEV D2C - Comprou modelo errado"/>
    <s v="COMERCIAL"/>
    <x v="2"/>
    <n v="52829555"/>
    <x v="1931"/>
    <s v="SP"/>
    <n v="474"/>
    <s v="Site Brastemp"/>
    <n v="1352"/>
    <n v="326031817"/>
    <s v="Mangueiras"/>
    <x v="5"/>
    <n v="1000"/>
    <n v="5002359"/>
    <s v="EMPRESA BRASILEIRA DE CORREIOS E"/>
    <n v="40.270000000000003"/>
    <d v="2025-07-07T00:00:00"/>
  </r>
  <r>
    <n v="254028846"/>
    <n v="64794437"/>
    <s v="ZRDI"/>
    <n v="10082759"/>
    <s v="D25"/>
    <s v="DEV D2C - Prob na entrega (Não recebi)"/>
    <s v="TRANSPORTADORA"/>
    <x v="2"/>
    <n v="58022531"/>
    <x v="1932"/>
    <s v="BA"/>
    <n v="466"/>
    <s v="Sup ML Marketplace"/>
    <n v="1352"/>
    <s v="W11629019"/>
    <s v="Recipientes de Evaporação"/>
    <x v="9"/>
    <n v="1000"/>
    <n v="5002359"/>
    <s v="EMPRESA BRASILEIRA DE CORREIOS E"/>
    <n v="40.26"/>
    <d v="2025-07-10T00:00:00"/>
  </r>
  <r>
    <n v="254024103"/>
    <n v="64803625"/>
    <s v="ZRDI"/>
    <n v="10033040"/>
    <n v="208"/>
    <s v="DEV-Atraso entrega- LOGISTICA(Transp)"/>
    <s v="TRANSPORTADORA"/>
    <x v="2"/>
    <n v="58022531"/>
    <x v="1932"/>
    <s v="BA"/>
    <n v="466"/>
    <s v="Sup ML Marketplace"/>
    <n v="1352"/>
    <s v="W11629019"/>
    <s v="Recipientes de Evaporação"/>
    <x v="9"/>
    <n v="1000"/>
    <n v="5002359"/>
    <s v="EMPRESA BRASILEIRA DE CORREIOS E"/>
    <n v="40.26"/>
    <d v="2025-07-01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283290"/>
    <s v="Dobradiças"/>
    <x v="10"/>
    <n v="5000"/>
    <n v="5004101"/>
    <s v="UNIDOCK'S ASSESSORIA E LOGISTICA DE"/>
    <n v="40.25"/>
    <d v="2025-02-25T00:00:00"/>
  </r>
  <r>
    <s v="Sem TR"/>
    <n v="64798053"/>
    <s v="ZRDI"/>
    <n v="10086227"/>
    <s v="D10"/>
    <s v="DEV D2C - Comprou modelo errado"/>
    <s v="COMERCIAL"/>
    <x v="2"/>
    <n v="58088359"/>
    <x v="1933"/>
    <s v="MG"/>
    <n v="466"/>
    <s v="Sup ML Marketplace"/>
    <n v="1352"/>
    <s v="W11629019"/>
    <s v="Recipientes de Evaporação"/>
    <x v="9"/>
    <n v="1000"/>
    <n v="5002359"/>
    <s v="EMPRESA BRASILEIRA DE CORREIOS E"/>
    <n v="40.17"/>
    <d v="2025-06-26T00:00:00"/>
  </r>
  <r>
    <s v="Sem TR"/>
    <n v="64805967"/>
    <s v="ZRDI"/>
    <n v="10106203"/>
    <s v="D10"/>
    <s v="DEV D2C - Comprou modelo errado"/>
    <s v="COMERCIAL"/>
    <x v="2"/>
    <n v="58117238"/>
    <x v="1934"/>
    <s v="MG"/>
    <n v="466"/>
    <s v="Sup ML Marketplace"/>
    <n v="1352"/>
    <s v="W11629019"/>
    <s v="Recipientes de Evaporação"/>
    <x v="9"/>
    <n v="1000"/>
    <n v="5002359"/>
    <s v="EMPRESA BRASILEIRA DE CORREIOS E"/>
    <n v="40.17"/>
    <d v="2025-07-08T00:00:00"/>
  </r>
  <r>
    <s v="Sem TR"/>
    <n v="64805967"/>
    <s v="ZRDI"/>
    <n v="10106203"/>
    <s v="D10"/>
    <s v="DEV D2C - Comprou modelo errado"/>
    <s v="COMERCIAL"/>
    <x v="2"/>
    <n v="58117238"/>
    <x v="1934"/>
    <s v="MG"/>
    <n v="466"/>
    <s v="Sup ML Marketplace"/>
    <n v="1352"/>
    <s v="W11629019"/>
    <s v="Recipientes de Evaporação"/>
    <x v="9"/>
    <n v="1000"/>
    <n v="5002359"/>
    <s v="EMPRESA BRASILEIRA DE CORREIOS E"/>
    <n v="40.17"/>
    <d v="2025-07-08T00:00:00"/>
  </r>
  <r>
    <s v="Sem TR"/>
    <n v="64799885"/>
    <s v="ZRDI"/>
    <n v="10088631"/>
    <n v="208"/>
    <s v="DEV-Atraso entrega- LOGISTICA(Transp)"/>
    <s v="TRANSPORTADORA"/>
    <x v="2"/>
    <n v="52380765"/>
    <x v="1009"/>
    <s v="SP"/>
    <n v="474"/>
    <s v="Site Brastemp"/>
    <n v="1352"/>
    <s v="W11213068"/>
    <s v="Acessórios"/>
    <x v="7"/>
    <n v="1000"/>
    <n v="5002359"/>
    <s v="EMPRESA BRASILEIRA DE CORREIOS E"/>
    <n v="40.08"/>
    <d v="2025-06-27T00:00:00"/>
  </r>
  <r>
    <s v="Sem TR"/>
    <n v="64800640"/>
    <s v="ZRDI"/>
    <n v="10094995"/>
    <s v="D18"/>
    <s v="DEV D2C - Arrependimento não quero mais"/>
    <s v="COMERCIAL"/>
    <x v="2"/>
    <n v="53418330"/>
    <x v="1935"/>
    <s v="SP"/>
    <n v="474"/>
    <s v="Site Brastemp"/>
    <n v="1352"/>
    <s v="W11213068"/>
    <s v="Acessórios"/>
    <x v="7"/>
    <n v="1000"/>
    <n v="5002359"/>
    <s v="EMPRESA BRASILEIRA DE CORREIOS E"/>
    <n v="40.08"/>
    <d v="2025-07-01T00:00:00"/>
  </r>
  <r>
    <n v="254032579"/>
    <n v="64811520"/>
    <s v="ZRDI"/>
    <n v="10112737"/>
    <n v="208"/>
    <s v="DEV-Atraso entrega- LOGISTICA(Transp)"/>
    <s v="TRANSPORTADORA"/>
    <x v="2"/>
    <n v="56624124"/>
    <x v="1936"/>
    <s v="SP"/>
    <n v="474"/>
    <s v="Site Brastemp"/>
    <n v="1352"/>
    <s v="W11213068"/>
    <s v="Acessórios"/>
    <x v="7"/>
    <n v="1000"/>
    <n v="5002359"/>
    <s v="EMPRESA BRASILEIRA DE CORREIOS E"/>
    <n v="40.08"/>
    <d v="2025-07-16T00:00:00"/>
  </r>
  <r>
    <s v="Sem TR"/>
    <n v="64813356"/>
    <s v="ZRDI"/>
    <n v="10061682"/>
    <n v="208"/>
    <s v="DEV-Atraso entrega- LOGISTICA(Transp)"/>
    <s v="TRANSPORTADORA"/>
    <x v="2"/>
    <n v="51063062"/>
    <x v="1937"/>
    <s v="SP"/>
    <n v="474"/>
    <s v="Site Brastemp"/>
    <n v="1352"/>
    <s v="W11213068"/>
    <s v="Acessórios"/>
    <x v="7"/>
    <n v="1000"/>
    <n v="5002359"/>
    <s v="EMPRESA BRASILEIRA DE CORREIOS E"/>
    <n v="40.08"/>
    <d v="2025-07-18T00:00:00"/>
  </r>
  <r>
    <s v="Sem TR"/>
    <n v="64809026"/>
    <s v="ZRVP"/>
    <n v="10114506"/>
    <n v="182"/>
    <s v="PEÇAS - Extravio - Volume a menor"/>
    <s v="TRANSPORTADORA"/>
    <x v="1"/>
    <n v="61371"/>
    <x v="96"/>
    <s v="DF"/>
    <n v="933"/>
    <s v="Top"/>
    <n v="1350"/>
    <s v="W10531315"/>
    <s v="Sensores"/>
    <x v="3"/>
    <n v="5000"/>
    <n v="5002858"/>
    <s v="FAVORITA TRANSPORTES LTDA"/>
    <n v="40.04"/>
    <d v="2025-07-11T00:00:00"/>
  </r>
  <r>
    <s v="Sem TR"/>
    <n v="64766728"/>
    <s v="ROB"/>
    <n v="50526"/>
    <n v="25"/>
    <s v="OC. 80 - EXTRAVIO TOTAL"/>
    <s v="TRANSPORTADORA"/>
    <x v="2"/>
    <n v="31083"/>
    <x v="123"/>
    <s v="PI"/>
    <n v="350"/>
    <s v="Ats On"/>
    <n v="1550"/>
    <s v="W11112652"/>
    <s v="Botões"/>
    <x v="6"/>
    <n v="5000"/>
    <n v="5004391"/>
    <s v="JEONCEL TRANSPORTES LTDA"/>
    <n v="40"/>
    <d v="2025-05-08T00:00:00"/>
  </r>
  <r>
    <n v="253965870"/>
    <n v="64742243"/>
    <s v="REB"/>
    <n v="9916844"/>
    <n v="167"/>
    <s v="PEÇAS - Avaria - Quebrada/Depósito"/>
    <s v="LOGÍSTICA"/>
    <x v="1"/>
    <n v="33403"/>
    <x v="260"/>
    <s v="RN"/>
    <n v="648"/>
    <s v="Ultra"/>
    <n v="1350"/>
    <n v="326047714"/>
    <s v="Prateleiras"/>
    <x v="9"/>
    <n v="1000"/>
    <n v="5004101"/>
    <s v="UNIDOCK'S ASSESSORIA E LOGISTICA DE"/>
    <n v="40"/>
    <d v="2025-03-31T00:00:00"/>
  </r>
  <r>
    <n v="253961229"/>
    <n v="64733170"/>
    <s v="REB"/>
    <n v="9906375"/>
    <n v="167"/>
    <s v="PEÇAS - Avaria - Quebrada/Depósito"/>
    <s v="LOGÍSTICA"/>
    <x v="1"/>
    <n v="8192"/>
    <x v="118"/>
    <s v="PR"/>
    <n v="933"/>
    <s v="Top"/>
    <n v="1350"/>
    <n v="326052930"/>
    <s v="Hélices"/>
    <x v="5"/>
    <n v="1000"/>
    <n v="5003024"/>
    <s v="RODOBRAS TRANSPORTES RODOVIARIOS LT"/>
    <n v="39.92"/>
    <d v="2025-03-24T00:00:00"/>
  </r>
  <r>
    <n v="254033411"/>
    <n v="64807159"/>
    <s v="REB"/>
    <n v="10048796"/>
    <n v="167"/>
    <s v="PEÇAS - Avaria - Quebrada/Depósito"/>
    <s v="LOGÍSTICA"/>
    <x v="1"/>
    <n v="47026"/>
    <x v="16"/>
    <s v="BA"/>
    <n v="643"/>
    <s v="Elite"/>
    <n v="1350"/>
    <s v="W10616687"/>
    <s v="Capas"/>
    <x v="6"/>
    <n v="2000"/>
    <n v="5004101"/>
    <s v="UNIDOCK'S ASSESSORIA E LOGISTICA DE"/>
    <n v="39.909999999999997"/>
    <d v="2025-07-08T00:00:00"/>
  </r>
  <r>
    <n v="254035313"/>
    <n v="64805128"/>
    <s v="REB"/>
    <n v="10101314"/>
    <n v="173"/>
    <s v="PEÇAS - Defeito de fabric./Alta Amperage"/>
    <s v="FUNCIONAL"/>
    <x v="2"/>
    <n v="66"/>
    <x v="73"/>
    <s v="GO"/>
    <n v="931"/>
    <s v="Ats Off"/>
    <n v="1350"/>
    <s v="W11280712"/>
    <s v="Redes Elétricas"/>
    <x v="1"/>
    <n v="1000"/>
    <n v="5002858"/>
    <s v="FAVORITA TRANSPORTES LTDA"/>
    <n v="39.89"/>
    <d v="2025-07-17T00:00:00"/>
  </r>
  <r>
    <n v="254035288"/>
    <n v="64810112"/>
    <s v="REB"/>
    <n v="10101314"/>
    <n v="173"/>
    <s v="PEÇAS - Defeito de fabric./Alta Amperage"/>
    <s v="FUNCIONAL"/>
    <x v="2"/>
    <n v="66"/>
    <x v="73"/>
    <s v="GO"/>
    <n v="931"/>
    <s v="Ats Off"/>
    <n v="1350"/>
    <s v="W11280712"/>
    <s v="Redes Elétricas"/>
    <x v="1"/>
    <n v="1000"/>
    <n v="5002858"/>
    <s v="FAVORITA TRANSPORTES LTDA"/>
    <n v="39.89"/>
    <d v="2025-07-17T00:00:00"/>
  </r>
  <r>
    <n v="254035291"/>
    <n v="64807432"/>
    <s v="REB"/>
    <n v="10101314"/>
    <n v="173"/>
    <s v="PEÇAS - Defeito de fabric./Alta Amperage"/>
    <s v="FUNCIONAL"/>
    <x v="1"/>
    <n v="66"/>
    <x v="73"/>
    <s v="GO"/>
    <n v="931"/>
    <s v="Ats Off"/>
    <n v="1350"/>
    <s v="W11280712"/>
    <s v="Redes Elétricas"/>
    <x v="1"/>
    <n v="1000"/>
    <n v="5002858"/>
    <s v="FAVORITA TRANSPORTES LTDA"/>
    <n v="39.89"/>
    <d v="2025-07-17T00:00:00"/>
  </r>
  <r>
    <s v="Sem TR"/>
    <n v="64812788"/>
    <s v="REB"/>
    <n v="10109101"/>
    <n v="176"/>
    <s v="PEÇAS - Defeito de fabric./Interrompido"/>
    <s v="FUNCIONAL"/>
    <x v="1"/>
    <n v="67948"/>
    <x v="15"/>
    <s v="SC"/>
    <n v="713"/>
    <s v="Key Account"/>
    <n v="1350"/>
    <s v="W11082463"/>
    <s v="Termostatos"/>
    <x v="3"/>
    <n v="1000"/>
    <n v="5003024"/>
    <s v="RODOBRAS TRANSPORTES RODOVIARIOS LT"/>
    <n v="39.85"/>
    <d v="2025-07-25T00:00:00"/>
  </r>
  <r>
    <n v="254039176"/>
    <n v="64817057"/>
    <s v="ZRDI"/>
    <n v="10076102"/>
    <n v="208"/>
    <s v="DEV-Atraso entrega- LOGISTICA(Transp)"/>
    <s v="TRANSPORTADORA"/>
    <x v="2"/>
    <n v="50289893"/>
    <x v="1938"/>
    <s v="SE"/>
    <n v="475"/>
    <s v="Site Consul"/>
    <n v="1352"/>
    <s v="W11629019"/>
    <s v="Recipientes de Evaporação"/>
    <x v="9"/>
    <n v="1000"/>
    <n v="5002359"/>
    <s v="EMPRESA BRASILEIRA DE CORREIOS E"/>
    <n v="39.85"/>
    <d v="2025-07-24T00:00:00"/>
  </r>
  <r>
    <n v="254039176"/>
    <n v="64817057"/>
    <s v="ZRDI"/>
    <n v="10076102"/>
    <n v="208"/>
    <s v="DEV-Atraso entrega- LOGISTICA(Transp)"/>
    <s v="TRANSPORTADORA"/>
    <x v="2"/>
    <n v="50289893"/>
    <x v="1938"/>
    <s v="SE"/>
    <n v="475"/>
    <s v="Site Consul"/>
    <n v="1352"/>
    <s v="W11629019"/>
    <s v="Recipientes de Evaporação"/>
    <x v="9"/>
    <n v="1000"/>
    <n v="5002359"/>
    <s v="EMPRESA BRASILEIRA DE CORREIOS E"/>
    <n v="39.85"/>
    <d v="2025-07-24T00:00:00"/>
  </r>
  <r>
    <n v="253924902"/>
    <n v="64700833"/>
    <s v="ROB"/>
    <n v="9776571"/>
    <n v="268"/>
    <s v="DEV-APREENSÃO FISCAL - VENDAS"/>
    <s v="COMERCIAL"/>
    <x v="1"/>
    <n v="67561"/>
    <x v="47"/>
    <s v="CE"/>
    <n v="934"/>
    <s v="CDP Ouro"/>
    <n v="1350"/>
    <s v="W10212441"/>
    <s v="Prateleiras"/>
    <x v="9"/>
    <n v="2000"/>
    <n v="5004101"/>
    <s v="UNIDOCK'S ASSESSORIA E LOGISTICA DE"/>
    <n v="39.82"/>
    <d v="2025-01-27T00:00:00"/>
  </r>
  <r>
    <s v="Sem TR"/>
    <n v="64800772"/>
    <s v="ZRDI"/>
    <n v="10100599"/>
    <s v="D10"/>
    <s v="DEV D2C - Comprou modelo errado"/>
    <s v="COMERCIAL"/>
    <x v="2"/>
    <n v="58109499"/>
    <x v="1939"/>
    <s v="MG"/>
    <n v="474"/>
    <s v="Site Brastemp"/>
    <n v="1352"/>
    <s v="W11294885"/>
    <s v="Micro Chaves/Reed Switches"/>
    <x v="3"/>
    <n v="1000"/>
    <n v="5002359"/>
    <s v="EMPRESA BRASILEIRA DE CORREIOS E"/>
    <n v="39.700000000000003"/>
    <d v="2025-07-03T00:00:00"/>
  </r>
  <r>
    <s v="Sem TR"/>
    <n v="64809943"/>
    <s v="ZRDI"/>
    <n v="10130126"/>
    <s v="D20"/>
    <s v="DEV D2C - Demora na entrega"/>
    <s v="COMERCIAL"/>
    <x v="2"/>
    <n v="55051056"/>
    <x v="553"/>
    <s v="RJ"/>
    <n v="474"/>
    <s v="Site Brastemp"/>
    <n v="1352"/>
    <s v="W11100356"/>
    <s v="Outros"/>
    <x v="7"/>
    <n v="1000"/>
    <n v="5002359"/>
    <s v="EMPRESA BRASILEIRA DE CORREIOS E"/>
    <n v="39.700000000000003"/>
    <d v="2025-07-16T00:00:00"/>
  </r>
  <r>
    <n v="253970693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0390576"/>
    <s v="Capas Queimadores"/>
    <x v="12"/>
    <n v="2000"/>
    <n v="5004042"/>
    <s v="BRASIL WEB TRANSPORTES E LOGISTICA"/>
    <n v="39.67"/>
    <d v="2025-04-09T00:00:00"/>
  </r>
  <r>
    <s v="Sem TR"/>
    <n v="64808480"/>
    <s v="ZRDI"/>
    <n v="10098009"/>
    <s v="D18"/>
    <s v="DEV D2C - Arrependimento não quero mais"/>
    <s v="COMERCIAL"/>
    <x v="2"/>
    <n v="58005587"/>
    <x v="1940"/>
    <s v="MT"/>
    <n v="475"/>
    <s v="Site Consul"/>
    <n v="1352"/>
    <s v="W11629019"/>
    <s v="Recipientes de Evaporação"/>
    <x v="9"/>
    <n v="1000"/>
    <n v="5002359"/>
    <s v="EMPRESA BRASILEIRA DE CORREIOS E"/>
    <n v="39.659999999999997"/>
    <d v="2025-07-10T00:00:00"/>
  </r>
  <r>
    <s v="Sem TR"/>
    <n v="64808480"/>
    <s v="ZRDI"/>
    <n v="10098009"/>
    <s v="D18"/>
    <s v="DEV D2C - Arrependimento não quero mais"/>
    <s v="COMERCIAL"/>
    <x v="2"/>
    <n v="58005587"/>
    <x v="1940"/>
    <s v="MT"/>
    <n v="475"/>
    <s v="Site Consul"/>
    <n v="1352"/>
    <s v="W11629019"/>
    <s v="Recipientes de Evaporação"/>
    <x v="9"/>
    <n v="1000"/>
    <n v="5002359"/>
    <s v="EMPRESA BRASILEIRA DE CORREIOS E"/>
    <n v="39.659999999999997"/>
    <d v="2025-07-10T00:00:00"/>
  </r>
  <r>
    <n v="254019188"/>
    <n v="64796798"/>
    <s v="ROB"/>
    <n v="10041444"/>
    <n v="268"/>
    <s v="DEV-APREENSÃO FISCAL - VENDAS"/>
    <s v="COMERCIAL"/>
    <x v="0"/>
    <n v="87213"/>
    <x v="201"/>
    <s v="CE"/>
    <n v="932"/>
    <s v="CDP Prata"/>
    <n v="1350"/>
    <s v="W11181075"/>
    <s v="Interruptores"/>
    <x v="3"/>
    <n v="3000"/>
    <n v="5004101"/>
    <s v="UNIDOCK'S ASSESSORIA E LOGISTICA DE"/>
    <n v="39.58"/>
    <d v="2025-06-24T00:00:00"/>
  </r>
  <r>
    <s v="Sem TR"/>
    <n v="64817608"/>
    <s v="REB"/>
    <n v="9737170"/>
    <n v="173"/>
    <s v="PEÇAS - Defeito de fabric./Alta Amperage"/>
    <s v="FUNCIONAL"/>
    <x v="1"/>
    <n v="32533"/>
    <x v="194"/>
    <s v="PE"/>
    <n v="713"/>
    <s v="Key Account"/>
    <n v="1350"/>
    <s v="W10310999"/>
    <s v="Motores Ventiladores"/>
    <x v="1"/>
    <n v="1000"/>
    <n v="5004101"/>
    <s v="UNIDOCK'S ASSESSORIA E LOGISTICA DE"/>
    <n v="39.549999999999997"/>
    <d v="2025-07-25T00:00:00"/>
  </r>
  <r>
    <n v="254007587"/>
    <n v="64780883"/>
    <s v="REB"/>
    <n v="9692124"/>
    <n v="176"/>
    <s v="PEÇAS - Defeito de fabric./Interrompido"/>
    <s v="FUNCIONAL"/>
    <x v="1"/>
    <n v="46272"/>
    <x v="194"/>
    <s v="CE"/>
    <n v="713"/>
    <s v="Key Account"/>
    <n v="1350"/>
    <s v="W10310999"/>
    <s v="Motores Ventiladores"/>
    <x v="1"/>
    <n v="1000"/>
    <n v="5004101"/>
    <s v="UNIDOCK'S ASSESSORIA E LOGISTICA DE"/>
    <n v="39.549999999999997"/>
    <d v="2025-06-02T00:00:00"/>
  </r>
  <r>
    <n v="254033458"/>
    <n v="64807184"/>
    <s v="REB"/>
    <n v="10096420"/>
    <n v="170"/>
    <s v="PEÇAS - Avaria - Riscada/Depósito"/>
    <s v="LOGÍSTICA"/>
    <x v="0"/>
    <n v="78757"/>
    <x v="50"/>
    <s v="RS"/>
    <n v="643"/>
    <s v="Elite"/>
    <n v="1350"/>
    <s v="W11431350"/>
    <s v="Capas"/>
    <x v="6"/>
    <n v="2000"/>
    <n v="5003024"/>
    <s v="RODOBRAS TRANSPORTES RODOVIARIOS LT"/>
    <n v="39.549999999999997"/>
    <d v="2025-07-08T00:00:00"/>
  </r>
  <r>
    <s v="Sem TR"/>
    <n v="64817385"/>
    <s v="REB"/>
    <n v="10109048"/>
    <n v="168"/>
    <s v="PEÇAS-Def.Fabric.Empenamento/Abaulamento"/>
    <s v="FUNCIONAL"/>
    <x v="1"/>
    <n v="67948"/>
    <x v="15"/>
    <s v="SC"/>
    <n v="713"/>
    <s v="Key Account"/>
    <n v="1350"/>
    <n v="326051022"/>
    <s v="Capas"/>
    <x v="6"/>
    <n v="1000"/>
    <n v="5003024"/>
    <s v="RODOBRAS TRANSPORTES RODOVIARIOS LT"/>
    <n v="39.53"/>
    <d v="2025-07-25T00:00:00"/>
  </r>
  <r>
    <n v="254012504"/>
    <n v="64787528"/>
    <s v="REB"/>
    <n v="10054384"/>
    <n v="167"/>
    <s v="PEÇAS - Avaria - Quebrada/Depósito"/>
    <s v="LOGÍSTICA"/>
    <x v="1"/>
    <n v="29112"/>
    <x v="255"/>
    <s v="SP"/>
    <n v="932"/>
    <s v="CDP Prata"/>
    <n v="1350"/>
    <s v="W10287524"/>
    <s v="Prateleiras"/>
    <x v="9"/>
    <n v="1000"/>
    <n v="5004042"/>
    <s v="BRASIL WEB TRANSPORTES E LOGISTICA"/>
    <n v="39.49"/>
    <d v="2025-06-10T00:00:00"/>
  </r>
  <r>
    <n v="254018102"/>
    <n v="64792285"/>
    <s v="REB"/>
    <n v="10068190"/>
    <n v="167"/>
    <s v="PEÇAS - Avaria - Quebrada/Depósito"/>
    <s v="LOGÍSTICA"/>
    <x v="1"/>
    <n v="2666"/>
    <x v="219"/>
    <s v="RJ"/>
    <n v="931"/>
    <s v="Ats Off"/>
    <n v="1350"/>
    <s v="W11622875"/>
    <s v="Conexões Hidráulicas"/>
    <x v="10"/>
    <n v="1000"/>
    <n v="5003176"/>
    <s v="J C THEDIN TRANSPORTES LTDA"/>
    <n v="39.479999999999997"/>
    <d v="2025-06-16T00:00:00"/>
  </r>
  <r>
    <n v="254033417"/>
    <n v="64802478"/>
    <s v="REB"/>
    <n v="10050400"/>
    <n v="173"/>
    <s v="PEÇAS - Defeito de fabric./Alta Amperage"/>
    <s v="FUNCIONAL"/>
    <x v="0"/>
    <n v="51613"/>
    <x v="34"/>
    <s v="MG"/>
    <n v="643"/>
    <s v="Elite"/>
    <n v="1350"/>
    <s v="W11283280"/>
    <s v="Termostatos"/>
    <x v="3"/>
    <n v="1000"/>
    <n v="5004215"/>
    <s v="BRASIL WEB TRANSPORTES E LOGISTICA"/>
    <n v="39.46"/>
    <d v="2025-07-01T00:00:00"/>
  </r>
  <r>
    <n v="254024641"/>
    <n v="64804742"/>
    <s v="ZRDI"/>
    <n v="10093675"/>
    <n v="208"/>
    <s v="DEV-Atraso entrega- LOGISTICA(Transp)"/>
    <s v="TRANSPORTADORA"/>
    <x v="2"/>
    <n v="5706128"/>
    <x v="557"/>
    <s v="RN"/>
    <n v="474"/>
    <s v="Site Brastemp"/>
    <n v="1352"/>
    <s v="W10866793"/>
    <s v="Outros"/>
    <x v="7"/>
    <n v="1000"/>
    <n v="5002359"/>
    <s v="EMPRESA BRASILEIRA DE CORREIOS E"/>
    <n v="39.43"/>
    <d v="2025-07-02T00:00:00"/>
  </r>
  <r>
    <n v="254031305"/>
    <n v="64800342"/>
    <s v="ZRDI"/>
    <n v="10093709"/>
    <s v="D25"/>
    <s v="DEV D2C - Prob na entrega (Não recebi)"/>
    <s v="TRANSPORTADORA"/>
    <x v="2"/>
    <n v="51242263"/>
    <x v="560"/>
    <s v="CE"/>
    <n v="474"/>
    <s v="Site Brastemp"/>
    <n v="1352"/>
    <s v="W10866793"/>
    <s v="Outros"/>
    <x v="7"/>
    <n v="1000"/>
    <n v="5002359"/>
    <s v="EMPRESA BRASILEIRA DE CORREIOS E"/>
    <n v="39.409999999999997"/>
    <d v="2025-07-15T00:00:00"/>
  </r>
  <r>
    <n v="254033995"/>
    <n v="64812589"/>
    <s v="ZRDI"/>
    <n v="10122069"/>
    <n v="208"/>
    <s v="DEV-Atraso entrega- LOGISTICA(Transp)"/>
    <s v="TRANSPORTADORA"/>
    <x v="2"/>
    <n v="53143581"/>
    <x v="564"/>
    <s v="BA"/>
    <n v="474"/>
    <s v="Site Brastemp"/>
    <n v="1352"/>
    <s v="W10866793"/>
    <s v="Outros"/>
    <x v="7"/>
    <n v="1000"/>
    <n v="5002359"/>
    <s v="EMPRESA BRASILEIRA DE CORREIOS E"/>
    <n v="39.409999999999997"/>
    <d v="2025-07-17T00:00:00"/>
  </r>
  <r>
    <n v="254033995"/>
    <n v="64812589"/>
    <s v="ZRDI"/>
    <n v="10122069"/>
    <n v="208"/>
    <s v="DEV-Atraso entrega- LOGISTICA(Transp)"/>
    <s v="TRANSPORTADORA"/>
    <x v="2"/>
    <n v="53143581"/>
    <x v="564"/>
    <s v="BA"/>
    <n v="474"/>
    <s v="Site Brastemp"/>
    <n v="1352"/>
    <s v="W10866793"/>
    <s v="Outros"/>
    <x v="7"/>
    <n v="1000"/>
    <n v="5002359"/>
    <s v="EMPRESA BRASILEIRA DE CORREIOS E"/>
    <n v="39.409999999999997"/>
    <d v="2025-07-17T00:00:00"/>
  </r>
  <r>
    <s v="Sem TR"/>
    <n v="64806233"/>
    <s v="ZRDI"/>
    <n v="10105860"/>
    <s v="D30"/>
    <s v="DEV D2C - Defeito funcional manufatura"/>
    <s v="MANUFATURA"/>
    <x v="2"/>
    <n v="51622244"/>
    <x v="567"/>
    <s v="MG"/>
    <n v="474"/>
    <s v="Site Brastemp"/>
    <n v="1352"/>
    <s v="W10866793"/>
    <s v="Outros"/>
    <x v="7"/>
    <n v="1000"/>
    <n v="5002359"/>
    <s v="EMPRESA BRASILEIRA DE CORREIOS E"/>
    <n v="39.39"/>
    <d v="2025-07-12T00:00:00"/>
  </r>
  <r>
    <n v="254033988"/>
    <n v="64812558"/>
    <s v="ZRDI"/>
    <n v="10119302"/>
    <n v="208"/>
    <s v="DEV-Atraso entrega- LOGISTICA(Transp)"/>
    <s v="TRANSPORTADORA"/>
    <x v="2"/>
    <n v="51687257"/>
    <x v="568"/>
    <s v="MG"/>
    <n v="474"/>
    <s v="Site Brastemp"/>
    <n v="1352"/>
    <s v="W10866793"/>
    <s v="Outros"/>
    <x v="7"/>
    <n v="1000"/>
    <n v="5002359"/>
    <s v="EMPRESA BRASILEIRA DE CORREIOS E"/>
    <n v="39.39"/>
    <d v="2025-07-17T00:00:00"/>
  </r>
  <r>
    <n v="253870826"/>
    <n v="64636438"/>
    <s v="REB"/>
    <n v="9688367"/>
    <n v="167"/>
    <s v="PEÇAS - Avaria - Quebrada/Depósito"/>
    <s v="LOGÍSTICA"/>
    <x v="1"/>
    <n v="3649"/>
    <x v="148"/>
    <s v="SP"/>
    <n v="931"/>
    <s v="Ats Off"/>
    <n v="1350"/>
    <s v="W10619463"/>
    <s v="Pressostatos"/>
    <x v="3"/>
    <n v="1000"/>
    <n v="5003254"/>
    <s v="TMA TRANSPORTE LOTACAO E LOGISTICA"/>
    <n v="39.39"/>
    <d v="2024-11-05T00:00:00"/>
  </r>
  <r>
    <n v="254024648"/>
    <n v="64804749"/>
    <s v="ZRDI"/>
    <n v="10093969"/>
    <n v="208"/>
    <s v="DEV-Atraso entrega- LOGISTICA(Transp)"/>
    <s v="TRANSPORTADORA"/>
    <x v="2"/>
    <n v="58097444"/>
    <x v="1941"/>
    <s v="MG"/>
    <n v="475"/>
    <s v="Site Consul"/>
    <n v="1352"/>
    <s v="W11715713"/>
    <s v="Outros"/>
    <x v="7"/>
    <n v="1000"/>
    <n v="5002359"/>
    <s v="EMPRESA BRASILEIRA DE CORREIOS E"/>
    <n v="39.380000000000003"/>
    <d v="2025-07-02T00:00:00"/>
  </r>
  <r>
    <s v="Sem TR"/>
    <n v="64811499"/>
    <s v="ZRDI"/>
    <n v="10103333"/>
    <n v="208"/>
    <s v="DEV-Atraso entrega- LOGISTICA(Transp)"/>
    <s v="TRANSPORTADORA"/>
    <x v="2"/>
    <n v="52221358"/>
    <x v="569"/>
    <s v="GO"/>
    <n v="474"/>
    <s v="Site Brastemp"/>
    <n v="1352"/>
    <s v="W10866793"/>
    <s v="Outros"/>
    <x v="7"/>
    <n v="1000"/>
    <n v="5002359"/>
    <s v="EMPRESA BRASILEIRA DE CORREIOS E"/>
    <n v="39.380000000000003"/>
    <d v="2025-07-16T00:00:00"/>
  </r>
  <r>
    <n v="254037047"/>
    <n v="64814963"/>
    <s v="ZRDI"/>
    <n v="10073291"/>
    <n v="208"/>
    <s v="DEV-Atraso entrega- LOGISTICA(Transp)"/>
    <s v="TRANSPORTADORA"/>
    <x v="2"/>
    <n v="58070106"/>
    <x v="1942"/>
    <s v="MG"/>
    <n v="475"/>
    <s v="Site Consul"/>
    <n v="1352"/>
    <s v="W11715713"/>
    <s v="Outros"/>
    <x v="7"/>
    <n v="1000"/>
    <n v="5002359"/>
    <s v="EMPRESA BRASILEIRA DE CORREIOS E"/>
    <n v="39.380000000000003"/>
    <d v="2025-07-22T00:00:00"/>
  </r>
  <r>
    <s v="Sem TR"/>
    <n v="64811499"/>
    <s v="ZRDI"/>
    <n v="10103333"/>
    <n v="208"/>
    <s v="DEV-Atraso entrega- LOGISTICA(Transp)"/>
    <s v="TRANSPORTADORA"/>
    <x v="2"/>
    <n v="52221358"/>
    <x v="569"/>
    <s v="GO"/>
    <n v="474"/>
    <s v="Site Brastemp"/>
    <n v="1352"/>
    <s v="W10866793"/>
    <s v="Outros"/>
    <x v="7"/>
    <n v="1000"/>
    <n v="5002359"/>
    <s v="EMPRESA BRASILEIRA DE CORREIOS E"/>
    <n v="39.380000000000003"/>
    <d v="2025-07-16T00:00:00"/>
  </r>
  <r>
    <n v="254037047"/>
    <n v="64814963"/>
    <s v="ZRDI"/>
    <n v="10073291"/>
    <n v="208"/>
    <s v="DEV-Atraso entrega- LOGISTICA(Transp)"/>
    <s v="TRANSPORTADORA"/>
    <x v="2"/>
    <n v="58070106"/>
    <x v="1942"/>
    <s v="MG"/>
    <n v="475"/>
    <s v="Site Consul"/>
    <n v="1352"/>
    <s v="W11715713"/>
    <s v="Outros"/>
    <x v="7"/>
    <n v="1000"/>
    <n v="5002359"/>
    <s v="EMPRESA BRASILEIRA DE CORREIOS E"/>
    <n v="39.380000000000003"/>
    <d v="2025-07-22T00:00:00"/>
  </r>
  <r>
    <s v="Sem TR"/>
    <n v="64799420"/>
    <s v="ZRDI"/>
    <n v="10102479"/>
    <s v="D10"/>
    <s v="DEV D2C - Comprou modelo errado"/>
    <s v="COMERCIAL"/>
    <x v="2"/>
    <n v="58111221"/>
    <x v="570"/>
    <s v="SP"/>
    <n v="474"/>
    <s v="Site Brastemp"/>
    <n v="1352"/>
    <s v="W10866793"/>
    <s v="Outros"/>
    <x v="7"/>
    <n v="1000"/>
    <n v="5002359"/>
    <s v="EMPRESA BRASILEIRA DE CORREIOS E"/>
    <n v="39.369999999999997"/>
    <d v="2025-06-27T00:00:00"/>
  </r>
  <r>
    <n v="254036561"/>
    <n v="64814530"/>
    <s v="ZRDI"/>
    <n v="10091484"/>
    <n v="208"/>
    <s v="DEV-Atraso entrega- LOGISTICA(Transp)"/>
    <s v="TRANSPORTADORA"/>
    <x v="2"/>
    <n v="58094840"/>
    <x v="571"/>
    <s v="SC"/>
    <n v="474"/>
    <s v="Site Brastemp"/>
    <n v="1352"/>
    <s v="W10866793"/>
    <s v="Outros"/>
    <x v="7"/>
    <n v="1000"/>
    <n v="5002359"/>
    <s v="EMPRESA BRASILEIRA DE CORREIOS E"/>
    <n v="39.369999999999997"/>
    <d v="2025-07-22T00:00:00"/>
  </r>
  <r>
    <n v="254035912"/>
    <n v="64814032"/>
    <s v="ZRDI"/>
    <n v="10123259"/>
    <n v="208"/>
    <s v="DEV-Atraso entrega- LOGISTICA(Transp)"/>
    <s v="TRANSPORTADORA"/>
    <x v="2"/>
    <n v="53169629"/>
    <x v="572"/>
    <s v="RJ"/>
    <n v="474"/>
    <s v="Site Brastemp"/>
    <n v="1352"/>
    <s v="W10866793"/>
    <s v="Outros"/>
    <x v="7"/>
    <n v="1000"/>
    <n v="5002359"/>
    <s v="EMPRESA BRASILEIRA DE CORREIOS E"/>
    <n v="39.36"/>
    <d v="2025-07-21T00:00:00"/>
  </r>
  <r>
    <s v="Sem TR"/>
    <n v="64779147"/>
    <s v="ZRDI"/>
    <n v="10102302"/>
    <s v="D20"/>
    <s v="DEV D2C - Demora na entrega"/>
    <s v="COMERCIAL"/>
    <x v="2"/>
    <n v="58115421"/>
    <x v="576"/>
    <s v="SP"/>
    <n v="474"/>
    <s v="Site Brastemp"/>
    <n v="1352"/>
    <s v="W10866793"/>
    <s v="Outros"/>
    <x v="7"/>
    <n v="1000"/>
    <n v="5002359"/>
    <s v="EMPRESA BRASILEIRA DE CORREIOS E"/>
    <n v="39.340000000000003"/>
    <d v="2025-07-10T00:00:00"/>
  </r>
  <r>
    <n v="254021291"/>
    <n v="64798937"/>
    <s v="ZRDI"/>
    <n v="10102309"/>
    <n v="208"/>
    <s v="DEV-Atraso entrega- LOGISTICA(Transp)"/>
    <s v="TRANSPORTADORA"/>
    <x v="2"/>
    <n v="58115495"/>
    <x v="577"/>
    <s v="SP"/>
    <n v="474"/>
    <s v="Site Brastemp"/>
    <n v="1352"/>
    <s v="W10866793"/>
    <s v="Outros"/>
    <x v="7"/>
    <n v="1000"/>
    <n v="5002359"/>
    <s v="EMPRESA BRASILEIRA DE CORREIOS E"/>
    <n v="39.340000000000003"/>
    <d v="2025-06-26T00:00:00"/>
  </r>
  <r>
    <s v="Sem TR"/>
    <n v="64779147"/>
    <s v="ZRDI"/>
    <n v="10102302"/>
    <s v="D20"/>
    <s v="DEV D2C - Demora na entrega"/>
    <s v="COMERCIAL"/>
    <x v="2"/>
    <n v="58115421"/>
    <x v="576"/>
    <s v="SP"/>
    <n v="474"/>
    <s v="Site Brastemp"/>
    <n v="1352"/>
    <s v="W10866793"/>
    <s v="Outros"/>
    <x v="7"/>
    <n v="1000"/>
    <n v="5002359"/>
    <s v="EMPRESA BRASILEIRA DE CORREIOS E"/>
    <n v="39.340000000000003"/>
    <d v="2025-07-10T00:00:00"/>
  </r>
  <r>
    <n v="254021291"/>
    <n v="64798937"/>
    <s v="ZRDI"/>
    <n v="10102309"/>
    <n v="208"/>
    <s v="DEV-Atraso entrega- LOGISTICA(Transp)"/>
    <s v="TRANSPORTADORA"/>
    <x v="2"/>
    <n v="58115495"/>
    <x v="577"/>
    <s v="SP"/>
    <n v="474"/>
    <s v="Site Brastemp"/>
    <n v="1352"/>
    <s v="W10866793"/>
    <s v="Outros"/>
    <x v="7"/>
    <n v="1000"/>
    <n v="5002359"/>
    <s v="EMPRESA BRASILEIRA DE CORREIOS E"/>
    <n v="39.340000000000003"/>
    <d v="2025-06-26T00:00:00"/>
  </r>
  <r>
    <n v="254030534"/>
    <n v="64799602"/>
    <s v="REB"/>
    <n v="10082992"/>
    <n v="167"/>
    <s v="PEÇAS - Avaria - Quebrada/Depósito"/>
    <s v="LOGÍSTICA"/>
    <x v="1"/>
    <n v="71476"/>
    <x v="265"/>
    <s v="RJ"/>
    <n v="934"/>
    <s v="CDP Ouro"/>
    <n v="1350"/>
    <s v="W11363944"/>
    <s v="Capas"/>
    <x v="6"/>
    <n v="1000"/>
    <n v="5003176"/>
    <s v="J C THEDIN TRANSPORTES LTDA"/>
    <n v="39.33"/>
    <d v="2025-07-01T00:00:00"/>
  </r>
  <r>
    <n v="254018389"/>
    <n v="64793182"/>
    <s v="REB"/>
    <n v="9971019"/>
    <n v="173"/>
    <s v="PEÇAS - Defeito de fabric./Alta Amperage"/>
    <s v="FUNCIONAL"/>
    <x v="2"/>
    <n v="85703"/>
    <x v="164"/>
    <s v="DF"/>
    <n v="350"/>
    <s v="Ats On"/>
    <n v="1350"/>
    <s v="W11622875"/>
    <s v="Conexões Hidráulicas"/>
    <x v="10"/>
    <n v="1000"/>
    <n v="5002858"/>
    <s v="FAVORITA TRANSPORTES LTDA"/>
    <n v="39.31"/>
    <d v="2025-06-17T00:00:00"/>
  </r>
  <r>
    <n v="253992746"/>
    <n v="64766437"/>
    <s v="REB"/>
    <n v="10009199"/>
    <n v="104"/>
    <s v="PEÇAS-Código trocado(embalag X conteúdo)"/>
    <s v="LOGÍSTICA"/>
    <x v="1"/>
    <n v="47475"/>
    <x v="117"/>
    <s v="SC"/>
    <n v="350"/>
    <s v="Ats On"/>
    <n v="1350"/>
    <s v="W11498695"/>
    <s v="Capas"/>
    <x v="6"/>
    <n v="1000"/>
    <n v="5003024"/>
    <s v="RODOBRAS TRANSPORTES RODOVIARIOS LT"/>
    <n v="39.31"/>
    <d v="2025-05-12T00:00:00"/>
  </r>
  <r>
    <n v="253952362"/>
    <n v="64725356"/>
    <s v="REB"/>
    <n v="9900084"/>
    <n v="167"/>
    <s v="PEÇAS - Avaria - Quebrada/Depósito"/>
    <s v="LOGÍSTICA"/>
    <x v="1"/>
    <n v="55093"/>
    <x v="231"/>
    <s v="SP"/>
    <n v="648"/>
    <s v="Ultra"/>
    <n v="1350"/>
    <s v="W11363944"/>
    <s v="Capas"/>
    <x v="6"/>
    <n v="1000"/>
    <n v="5004042"/>
    <s v="BRASIL WEB TRANSPORTES E LOGISTICA"/>
    <n v="39.22"/>
    <d v="2025-03-10T00:00:00"/>
  </r>
  <r>
    <n v="254030022"/>
    <n v="64809499"/>
    <s v="ZRDI"/>
    <n v="10107593"/>
    <n v="208"/>
    <s v="DEV-Atraso entrega- LOGISTICA(Transp)"/>
    <s v="TRANSPORTADORA"/>
    <x v="2"/>
    <n v="56527064"/>
    <x v="580"/>
    <s v="SP"/>
    <n v="474"/>
    <s v="Site Brastemp"/>
    <n v="1352"/>
    <s v="W11100356"/>
    <s v="Outros"/>
    <x v="7"/>
    <n v="1000"/>
    <n v="5002359"/>
    <s v="EMPRESA BRASILEIRA DE CORREIOS E"/>
    <n v="39.200000000000003"/>
    <d v="2025-07-11T00:00:00"/>
  </r>
  <r>
    <n v="254043001"/>
    <n v="64795088"/>
    <s v="REB"/>
    <n v="10083085"/>
    <n v="104"/>
    <s v="PEÇAS-Código trocado(embalag X conteúdo)"/>
    <s v="LOGÍSTICA"/>
    <x v="0"/>
    <n v="9272"/>
    <x v="395"/>
    <s v="RS"/>
    <n v="931"/>
    <s v="Ats Off"/>
    <n v="1350"/>
    <s v="W11316366"/>
    <s v="Gaxetas"/>
    <x v="4"/>
    <n v="1000"/>
    <n v="5003024"/>
    <s v="RODOBRAS TRANSPORTES RODOVIARIOS LT"/>
    <n v="39.18"/>
    <d v="2025-06-25T00:00:00"/>
  </r>
  <r>
    <n v="254007535"/>
    <n v="64782315"/>
    <s v="REB"/>
    <n v="9889764"/>
    <n v="173"/>
    <s v="PEÇAS - Defeito de fabric./Alta Amperage"/>
    <s v="FUNCIONAL"/>
    <x v="1"/>
    <n v="14474"/>
    <x v="25"/>
    <s v="RN"/>
    <n v="648"/>
    <s v="Ultra"/>
    <n v="1350"/>
    <s v="W10737624"/>
    <s v="Pressostatos"/>
    <x v="3"/>
    <n v="1000"/>
    <n v="5004101"/>
    <s v="UNIDOCK'S ASSESSORIA E LOGISTICA DE"/>
    <n v="39.159999999999997"/>
    <d v="2025-06-02T00:00:00"/>
  </r>
  <r>
    <n v="254032511"/>
    <n v="64811475"/>
    <s v="ZRDI"/>
    <n v="10086216"/>
    <n v="208"/>
    <s v="DEV-Atraso entrega- LOGISTICA(Transp)"/>
    <s v="TRANSPORTADORA"/>
    <x v="2"/>
    <n v="58088148"/>
    <x v="1943"/>
    <s v="GO"/>
    <n v="466"/>
    <s v="Sup ML Marketplace"/>
    <n v="1352"/>
    <s v="W11112652"/>
    <s v="Botões"/>
    <x v="6"/>
    <n v="1000"/>
    <n v="5002359"/>
    <s v="EMPRESA BRASILEIRA DE CORREIOS E"/>
    <n v="39.119999999999997"/>
    <d v="2025-07-16T00:00:00"/>
  </r>
  <r>
    <s v="Sem TR"/>
    <n v="64812422"/>
    <s v="REB"/>
    <n v="10121875"/>
    <n v="167"/>
    <s v="PEÇAS - Avaria - Quebrada/Depósito"/>
    <s v="LOGÍSTICA"/>
    <x v="1"/>
    <n v="85599"/>
    <x v="124"/>
    <s v="SP"/>
    <n v="934"/>
    <s v="CDP Ouro"/>
    <n v="1350"/>
    <s v="W10287534"/>
    <s v="Prateleiras"/>
    <x v="9"/>
    <n v="1000"/>
    <n v="5004042"/>
    <s v="BRASIL WEB TRANSPORTES E LOGISTICA"/>
    <n v="39.090000000000003"/>
    <d v="2025-07-17T00:00:00"/>
  </r>
  <r>
    <n v="254007535"/>
    <n v="64779372"/>
    <s v="REB"/>
    <n v="9940200"/>
    <n v="173"/>
    <s v="PEÇAS - Defeito de fabric./Alta Amperage"/>
    <s v="FUNCIONAL"/>
    <x v="1"/>
    <n v="14474"/>
    <x v="25"/>
    <s v="RN"/>
    <n v="648"/>
    <s v="Ultra"/>
    <n v="1350"/>
    <s v="W10619463"/>
    <s v="Pressostatos"/>
    <x v="3"/>
    <n v="1000"/>
    <n v="5004101"/>
    <s v="UNIDOCK'S ASSESSORIA E LOGISTICA DE"/>
    <n v="39.090000000000003"/>
    <d v="2025-06-02T00:00:00"/>
  </r>
  <r>
    <n v="254035379"/>
    <n v="64812659"/>
    <s v="REB"/>
    <n v="9842247"/>
    <n v="176"/>
    <s v="PEÇAS - Defeito de fabric./Interrompido"/>
    <s v="FUNCIONAL"/>
    <x v="1"/>
    <n v="32488"/>
    <x v="270"/>
    <s v="RJ"/>
    <n v="933"/>
    <s v="Top"/>
    <n v="1350"/>
    <s v="W10311954"/>
    <s v="Válvulas de Água"/>
    <x v="5"/>
    <n v="2000"/>
    <n v="5003176"/>
    <s v="J C THEDIN TRANSPORTES LTDA"/>
    <n v="39.08"/>
    <d v="2025-07-17T00:00:00"/>
  </r>
  <r>
    <n v="254040390"/>
    <n v="64818294"/>
    <s v="ZRDI"/>
    <n v="10078276"/>
    <n v="208"/>
    <s v="DEV-Atraso entrega- LOGISTICA(Transp)"/>
    <s v="TRANSPORTADORA"/>
    <x v="2"/>
    <n v="58073918"/>
    <x v="1944"/>
    <s v="SC"/>
    <n v="466"/>
    <s v="Sup ML Marketplace"/>
    <n v="1352"/>
    <s v="W11294885"/>
    <s v="Micro Chaves/Reed Switches"/>
    <x v="3"/>
    <n v="1000"/>
    <n v="5002359"/>
    <s v="EMPRESA BRASILEIRA DE CORREIOS E"/>
    <n v="39.07"/>
    <d v="2025-07-26T00:00:00"/>
  </r>
  <r>
    <n v="254040390"/>
    <n v="64818294"/>
    <s v="ZRDI"/>
    <n v="10078276"/>
    <n v="208"/>
    <s v="DEV-Atraso entrega- LOGISTICA(Transp)"/>
    <s v="TRANSPORTADORA"/>
    <x v="2"/>
    <n v="58073918"/>
    <x v="1944"/>
    <s v="SC"/>
    <n v="466"/>
    <s v="Sup ML Marketplace"/>
    <n v="1352"/>
    <s v="W11294885"/>
    <s v="Micro Chaves/Reed Switches"/>
    <x v="3"/>
    <n v="1000"/>
    <n v="5002359"/>
    <s v="EMPRESA BRASILEIRA DE CORREIOS E"/>
    <n v="39.07"/>
    <d v="2025-07-26T00:00:00"/>
  </r>
  <r>
    <s v="Sem TR"/>
    <n v="64731044"/>
    <s v="ROB"/>
    <n v="9901170"/>
    <n v="25"/>
    <s v="OC. 80 - EXTRAVIO TOTAL"/>
    <s v="TRANSPORTADORA"/>
    <x v="0"/>
    <n v="32823"/>
    <x v="758"/>
    <s v="MG"/>
    <n v="350"/>
    <s v="Ats On"/>
    <n v="1350"/>
    <s v="W11551361"/>
    <s v="Peças Mecanismos"/>
    <x v="2"/>
    <n v="3000"/>
    <n v="5004101"/>
    <s v="UNIDOCK'S ASSESSORIA E LOGISTICA DE"/>
    <n v="38.93"/>
    <d v="2025-03-13T00:00:00"/>
  </r>
  <r>
    <n v="254003843"/>
    <n v="64777878"/>
    <s v="REB"/>
    <n v="10026154"/>
    <n v="177"/>
    <s v="PEÇAS - Defeito de fabric./Ruído"/>
    <s v="FUNCIONAL"/>
    <x v="1"/>
    <n v="2274"/>
    <x v="435"/>
    <s v="MG"/>
    <n v="350"/>
    <s v="Ats On"/>
    <n v="1350"/>
    <s v="W11045219"/>
    <s v="Motores Ventiladores"/>
    <x v="1"/>
    <n v="1000"/>
    <n v="5004215"/>
    <s v="BRASIL WEB TRANSPORTES E LOGISTICA"/>
    <n v="38.92"/>
    <d v="2025-05-26T00:00:00"/>
  </r>
  <r>
    <n v="254007301"/>
    <n v="64782142"/>
    <s v="REB"/>
    <n v="10049505"/>
    <n v="167"/>
    <s v="PEÇAS - Avaria - Quebrada/Depósito"/>
    <s v="LOGÍSTICA"/>
    <x v="0"/>
    <n v="3389"/>
    <x v="327"/>
    <s v="SP"/>
    <n v="350"/>
    <s v="Ats On"/>
    <n v="1350"/>
    <s v="W10287534"/>
    <s v="Prateleiras"/>
    <x v="9"/>
    <n v="1000"/>
    <n v="5004042"/>
    <s v="BRASIL WEB TRANSPORTES E LOGISTICA"/>
    <n v="38.9"/>
    <d v="2025-06-02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345152"/>
    <s v="Painéis Decorativos"/>
    <x v="6"/>
    <n v="1000"/>
    <n v="5004101"/>
    <s v="UNIDOCK'S ASSESSORIA E LOGISTICA DE"/>
    <n v="38.880000000000003"/>
    <d v="2025-03-13T00:00:00"/>
  </r>
  <r>
    <s v="Sem TR"/>
    <n v="64811609"/>
    <s v="ZRDI"/>
    <n v="10110778"/>
    <s v="D18"/>
    <s v="DEV D2C - Arrependimento não quero mais"/>
    <s v="COMERCIAL"/>
    <x v="2"/>
    <n v="52282594"/>
    <x v="1945"/>
    <s v="SP"/>
    <n v="474"/>
    <s v="Site Brastemp"/>
    <n v="1352"/>
    <s v="W11555162"/>
    <s v="Espargidores"/>
    <x v="2"/>
    <n v="1000"/>
    <n v="5002359"/>
    <s v="EMPRESA BRASILEIRA DE CORREIOS E"/>
    <n v="38.86"/>
    <d v="2025-07-16T00:00:00"/>
  </r>
  <r>
    <s v="Sem TR"/>
    <n v="64811609"/>
    <s v="ZRDI"/>
    <n v="10110778"/>
    <s v="D18"/>
    <s v="DEV D2C - Arrependimento não quero mais"/>
    <s v="COMERCIAL"/>
    <x v="2"/>
    <n v="52282594"/>
    <x v="1945"/>
    <s v="SP"/>
    <n v="474"/>
    <s v="Site Brastemp"/>
    <n v="1352"/>
    <s v="W11555162"/>
    <s v="Espargidores"/>
    <x v="2"/>
    <n v="1000"/>
    <n v="5002359"/>
    <s v="EMPRESA BRASILEIRA DE CORREIOS E"/>
    <n v="38.86"/>
    <d v="2025-07-16T00:00:00"/>
  </r>
  <r>
    <n v="254003906"/>
    <n v="64775498"/>
    <s v="REB"/>
    <n v="9747311"/>
    <n v="173"/>
    <s v="PEÇAS - Defeito de fabric./Alta Amperage"/>
    <s v="FUNCIONAL"/>
    <x v="1"/>
    <n v="27770"/>
    <x v="37"/>
    <s v="AL"/>
    <n v="641"/>
    <s v="CDP Diamante"/>
    <n v="1350"/>
    <s v="W10310999"/>
    <s v="Motores Ventiladores"/>
    <x v="1"/>
    <n v="1000"/>
    <n v="5004101"/>
    <s v="UNIDOCK'S ASSESSORIA E LOGISTICA DE"/>
    <n v="38.85"/>
    <d v="2025-05-26T00:00:00"/>
  </r>
  <r>
    <n v="254018253"/>
    <n v="64792238"/>
    <s v="REB"/>
    <n v="9747311"/>
    <n v="173"/>
    <s v="PEÇAS - Defeito de fabric./Alta Amperage"/>
    <s v="FUNCIONAL"/>
    <x v="1"/>
    <n v="27770"/>
    <x v="37"/>
    <s v="AL"/>
    <n v="641"/>
    <s v="CDP Diamante"/>
    <n v="1350"/>
    <s v="W10310999"/>
    <s v="Motores Ventiladores"/>
    <x v="1"/>
    <n v="1000"/>
    <n v="5004101"/>
    <s v="UNIDOCK'S ASSESSORIA E LOGISTICA DE"/>
    <n v="38.85"/>
    <d v="2025-06-17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632360"/>
    <s v="Dobradiças"/>
    <x v="10"/>
    <n v="5000"/>
    <n v="5004101"/>
    <s v="UNIDOCK'S ASSESSORIA E LOGISTICA DE"/>
    <n v="38.85"/>
    <d v="2025-02-25T00:00:00"/>
  </r>
  <r>
    <n v="253948444"/>
    <n v="64726364"/>
    <s v="REB"/>
    <n v="9681554"/>
    <n v="160"/>
    <s v="OI Cancelada - Ver motivo no texto"/>
    <s v="OUTROS"/>
    <x v="0"/>
    <n v="3506"/>
    <x v="46"/>
    <s v="SP"/>
    <n v="931"/>
    <s v="Ats Off"/>
    <n v="1350"/>
    <s v="W11045219"/>
    <s v="Motores Ventiladores"/>
    <x v="1"/>
    <n v="1000"/>
    <n v="5004042"/>
    <s v="BRASIL WEB TRANSPORTES E LOGISTICA"/>
    <n v="38.76"/>
    <d v="2025-03-07T00:00:00"/>
  </r>
  <r>
    <n v="253988787"/>
    <n v="64764092"/>
    <s v="REB"/>
    <n v="9905314"/>
    <n v="176"/>
    <s v="PEÇAS - Defeito de fabric./Interrompido"/>
    <s v="FUNCIONAL"/>
    <x v="2"/>
    <n v="3506"/>
    <x v="46"/>
    <s v="SP"/>
    <n v="931"/>
    <s v="Ats Off"/>
    <n v="1350"/>
    <n v="326009198"/>
    <s v="Gaxetas"/>
    <x v="4"/>
    <n v="1000"/>
    <n v="5004042"/>
    <s v="BRASIL WEB TRANSPORTES E LOGISTICA"/>
    <n v="38.700000000000003"/>
    <d v="2025-05-05T00:00:00"/>
  </r>
  <r>
    <n v="253998005"/>
    <n v="64774044"/>
    <s v="REB"/>
    <n v="10034801"/>
    <n v="167"/>
    <s v="PEÇAS - Avaria - Quebrada/Depósito"/>
    <s v="LOGÍSTICA"/>
    <x v="1"/>
    <n v="72205"/>
    <x v="1092"/>
    <s v="SP"/>
    <n v="641"/>
    <s v="CDP Diamante"/>
    <n v="1350"/>
    <s v="W10287534"/>
    <s v="Prateleiras"/>
    <x v="9"/>
    <n v="1000"/>
    <n v="5004042"/>
    <s v="BRASIL WEB TRANSPORTES E LOGISTICA"/>
    <n v="38.69"/>
    <d v="2025-05-20T00:00:00"/>
  </r>
  <r>
    <n v="254012608"/>
    <n v="64789099"/>
    <s v="REB"/>
    <n v="10058408"/>
    <n v="167"/>
    <s v="PEÇAS - Avaria - Quebrada/Depósito"/>
    <s v="LOGÍSTICA"/>
    <x v="1"/>
    <n v="72205"/>
    <x v="1092"/>
    <s v="SP"/>
    <n v="641"/>
    <s v="CDP Diamante"/>
    <n v="1350"/>
    <s v="W10200101"/>
    <s v="Prateleiras"/>
    <x v="9"/>
    <n v="1000"/>
    <n v="5004042"/>
    <s v="BRASIL WEB TRANSPORTES E LOGISTICA"/>
    <n v="38.69"/>
    <d v="2025-06-10T00:00:00"/>
  </r>
  <r>
    <s v="Sem TR"/>
    <n v="64800524"/>
    <s v="ZRDI"/>
    <n v="10065348"/>
    <s v="D35"/>
    <s v="DEV D2C - Prod difere do comprado"/>
    <s v="COMERCIAL"/>
    <x v="2"/>
    <n v="51022581"/>
    <x v="1946"/>
    <s v="MG"/>
    <n v="474"/>
    <s v="Site Brastemp"/>
    <n v="1352"/>
    <s v="W11629019"/>
    <s v="Recipientes de Evaporação"/>
    <x v="9"/>
    <n v="1000"/>
    <n v="5002359"/>
    <s v="EMPRESA BRASILEIRA DE CORREIOS E"/>
    <n v="38.630000000000003"/>
    <d v="2025-06-30T00:00:00"/>
  </r>
  <r>
    <n v="254032502"/>
    <n v="64811465"/>
    <s v="ZRDI"/>
    <n v="10065782"/>
    <n v="208"/>
    <s v="DEV-Atraso entrega- LOGISTICA(Transp)"/>
    <s v="TRANSPORTADORA"/>
    <x v="2"/>
    <n v="52991304"/>
    <x v="1947"/>
    <s v="MG"/>
    <n v="474"/>
    <s v="Site Brastemp"/>
    <n v="1352"/>
    <s v="W11629019"/>
    <s v="Recipientes de Evaporação"/>
    <x v="9"/>
    <n v="1000"/>
    <n v="5002359"/>
    <s v="EMPRESA BRASILEIRA DE CORREIOS E"/>
    <n v="38.630000000000003"/>
    <d v="2025-07-16T00:00:00"/>
  </r>
  <r>
    <s v="Sem TR"/>
    <n v="64793311"/>
    <s v="REB"/>
    <n v="10085879"/>
    <n v="176"/>
    <s v="PEÇAS - Defeito de fabric./Interrompido"/>
    <s v="FUNCIONAL"/>
    <x v="1"/>
    <n v="3524"/>
    <x v="93"/>
    <s v="SP"/>
    <n v="931"/>
    <s v="Ats Off"/>
    <n v="1350"/>
    <s v="W11043743"/>
    <s v="Cordões de Alimentação"/>
    <x v="1"/>
    <n v="1000"/>
    <n v="5004042"/>
    <s v="BRASIL WEB TRANSPORTES E LOGISTICA"/>
    <n v="38.619999999999997"/>
    <d v="2025-06-17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0349302"/>
    <s v="Filtros"/>
    <x v="5"/>
    <n v="1000"/>
    <n v="5002359"/>
    <s v="EMPRESA BRASILEIRA DE CORREIOS E"/>
    <n v="38.61"/>
    <d v="2025-07-16T00:00:00"/>
  </r>
  <r>
    <n v="254032493"/>
    <n v="64811457"/>
    <s v="ZRDI"/>
    <n v="9846075"/>
    <n v="208"/>
    <s v="DEV-Atraso entrega- LOGISTICA(Transp)"/>
    <s v="TRANSPORTADORA"/>
    <x v="2"/>
    <n v="55362735"/>
    <x v="474"/>
    <s v="SP"/>
    <n v="474"/>
    <s v="Site Brastemp"/>
    <n v="1352"/>
    <s v="W10349302"/>
    <s v="Filtros"/>
    <x v="5"/>
    <n v="1000"/>
    <n v="5002359"/>
    <s v="EMPRESA BRASILEIRA DE CORREIOS E"/>
    <n v="38.61"/>
    <d v="2025-07-16T00:00:00"/>
  </r>
  <r>
    <n v="254029974"/>
    <n v="64806107"/>
    <s v="ZRDI"/>
    <n v="10104324"/>
    <s v="D19"/>
    <s v="DEV D2C - Entrega atrasada"/>
    <s v="COMERCIAL"/>
    <x v="2"/>
    <n v="58115143"/>
    <x v="1948"/>
    <s v="RJ"/>
    <n v="466"/>
    <s v="Sup ML Marketplace"/>
    <n v="1352"/>
    <s v="W11629019"/>
    <s v="Recipientes de Evaporação"/>
    <x v="9"/>
    <n v="1000"/>
    <n v="5003972"/>
    <s v="ICARO EXPRESS LOGISTICA LTDA"/>
    <n v="38.520000000000003"/>
    <d v="2025-07-12T00:00:00"/>
  </r>
  <r>
    <n v="254038269"/>
    <n v="64814799"/>
    <s v="REB"/>
    <n v="10000145"/>
    <n v="173"/>
    <s v="PEÇAS - Defeito de fabric./Alta Amperage"/>
    <s v="FUNCIONAL"/>
    <x v="0"/>
    <n v="4167"/>
    <x v="63"/>
    <s v="SP"/>
    <n v="931"/>
    <s v="Ats Off"/>
    <n v="1350"/>
    <s v="W10602056"/>
    <s v="Botões"/>
    <x v="6"/>
    <n v="3000"/>
    <n v="5004042"/>
    <s v="BRASIL WEB TRANSPORTES E LOGISTICA"/>
    <n v="38.46"/>
    <d v="2025-07-22T00:00:00"/>
  </r>
  <r>
    <n v="253913198"/>
    <n v="64684905"/>
    <s v="ZDVP"/>
    <n v="9795989"/>
    <n v="176"/>
    <s v="PEÇAS - Defeito de fabric./Interrompido"/>
    <s v="FUNCIONAL"/>
    <x v="2"/>
    <n v="24089"/>
    <x v="134"/>
    <s v="RJ"/>
    <n v="931"/>
    <s v="Ats Off"/>
    <n v="1350"/>
    <s v="W11266866"/>
    <s v="Sensores"/>
    <x v="3"/>
    <n v="1000"/>
    <n v="5003176"/>
    <s v="J C THEDIN TRANSPORTES LTDA"/>
    <n v="38.450000000000003"/>
    <d v="2025-01-06T00:00:00"/>
  </r>
  <r>
    <s v="Sem TR"/>
    <n v="64802098"/>
    <s v="ZRDI"/>
    <n v="10077813"/>
    <s v="D10"/>
    <s v="DEV D2C - Comprou modelo errado"/>
    <s v="COMERCIAL"/>
    <x v="2"/>
    <n v="58074221"/>
    <x v="1949"/>
    <s v="MG"/>
    <n v="475"/>
    <s v="Site Consul"/>
    <n v="1352"/>
    <s v="W11444707"/>
    <s v="Prateleiras"/>
    <x v="9"/>
    <n v="1000"/>
    <n v="5002359"/>
    <s v="EMPRESA BRASILEIRA DE CORREIOS E"/>
    <n v="38.44"/>
    <d v="2025-07-09T00:00:00"/>
  </r>
  <r>
    <s v="Sem TR"/>
    <n v="64802098"/>
    <s v="ZRDI"/>
    <n v="10077813"/>
    <s v="D10"/>
    <s v="DEV D2C - Comprou modelo errado"/>
    <s v="COMERCIAL"/>
    <x v="2"/>
    <n v="58074221"/>
    <x v="1949"/>
    <s v="MG"/>
    <n v="475"/>
    <s v="Site Consul"/>
    <n v="1352"/>
    <s v="W11444707"/>
    <s v="Prateleiras"/>
    <x v="9"/>
    <n v="1000"/>
    <n v="5002359"/>
    <s v="EMPRESA BRASILEIRA DE CORREIOS E"/>
    <n v="38.44"/>
    <d v="2025-07-09T00:00:00"/>
  </r>
  <r>
    <n v="253992761"/>
    <n v="64768381"/>
    <s v="REB"/>
    <n v="9992635"/>
    <n v="167"/>
    <s v="PEÇAS - Avaria - Quebrada/Depósito"/>
    <s v="LOGÍSTICA"/>
    <x v="1"/>
    <n v="69085"/>
    <x v="178"/>
    <s v="SP"/>
    <n v="641"/>
    <s v="CDP Diamante"/>
    <n v="1350"/>
    <s v="W10746509"/>
    <s v="Manípulos"/>
    <x v="6"/>
    <n v="1000"/>
    <n v="5004042"/>
    <s v="BRASIL WEB TRANSPORTES E LOGISTICA"/>
    <n v="38.4"/>
    <d v="2025-05-12T00:00:00"/>
  </r>
  <r>
    <n v="253961288"/>
    <n v="64737364"/>
    <s v="REB"/>
    <n v="9934025"/>
    <n v="90"/>
    <s v="CLIENTE-não solicitou"/>
    <s v="COMERCIAL"/>
    <x v="1"/>
    <n v="28549"/>
    <x v="1099"/>
    <s v="RJ"/>
    <n v="933"/>
    <s v="Top"/>
    <n v="1350"/>
    <s v="W11307335"/>
    <s v="Capas"/>
    <x v="6"/>
    <n v="1000"/>
    <n v="5003176"/>
    <s v="J C THEDIN TRANSPORTES LTDA"/>
    <n v="38.4"/>
    <d v="2025-03-24T00:00:00"/>
  </r>
  <r>
    <n v="253992726"/>
    <n v="64760372"/>
    <s v="REB"/>
    <n v="10011195"/>
    <n v="90"/>
    <s v="CLIENTE-não solicitou"/>
    <s v="COMERCIAL"/>
    <x v="1"/>
    <n v="28549"/>
    <x v="1099"/>
    <s v="RJ"/>
    <n v="933"/>
    <s v="Top"/>
    <n v="1350"/>
    <s v="W11307335"/>
    <s v="Capas"/>
    <x v="6"/>
    <n v="1000"/>
    <n v="5003176"/>
    <s v="J C THEDIN TRANSPORTES LTDA"/>
    <n v="38.4"/>
    <d v="2025-05-12T00:00:00"/>
  </r>
  <r>
    <n v="253961256"/>
    <n v="64737913"/>
    <s v="REB"/>
    <n v="9804126"/>
    <n v="176"/>
    <s v="PEÇAS - Defeito de fabric./Interrompido"/>
    <s v="FUNCIONAL"/>
    <x v="1"/>
    <n v="14474"/>
    <x v="25"/>
    <s v="RN"/>
    <n v="648"/>
    <s v="Ultra"/>
    <n v="1350"/>
    <s v="W10754807"/>
    <s v="Agitadores"/>
    <x v="2"/>
    <n v="1000"/>
    <n v="5004101"/>
    <s v="UNIDOCK'S ASSESSORIA E LOGISTICA DE"/>
    <n v="38.39"/>
    <d v="2025-03-25T00:00:00"/>
  </r>
  <r>
    <s v="Sem TR"/>
    <n v="64799792"/>
    <s v="REB"/>
    <n v="10085842"/>
    <n v="509"/>
    <s v="Qtd de peças a Menor dentro do Volume"/>
    <s v="LOGÍSTICA"/>
    <x v="2"/>
    <n v="64523"/>
    <x v="21"/>
    <s v="PB"/>
    <n v="713"/>
    <s v="Key Account"/>
    <n v="1350"/>
    <s v="W11498695"/>
    <s v="Capas"/>
    <x v="6"/>
    <n v="1000"/>
    <n v="5002359"/>
    <s v="EMPRESA BRASILEIRA DE CORREIOS E"/>
    <n v="38.340000000000003"/>
    <d v="2025-07-08T00:00:00"/>
  </r>
  <r>
    <n v="253995098"/>
    <n v="64770850"/>
    <s v="REB"/>
    <n v="9847771"/>
    <n v="173"/>
    <s v="PEÇAS - Defeito de fabric./Alta Amperage"/>
    <s v="FUNCIONAL"/>
    <x v="1"/>
    <n v="21594"/>
    <x v="97"/>
    <s v="SP"/>
    <n v="931"/>
    <s v="Ats Off"/>
    <n v="1350"/>
    <n v="326069971"/>
    <s v="Placas de Controle"/>
    <x v="1"/>
    <n v="1000"/>
    <n v="5004042"/>
    <s v="BRASIL WEB TRANSPORTES E LOGISTICA"/>
    <n v="38.299999999999997"/>
    <d v="2025-05-15T00:00:00"/>
  </r>
  <r>
    <n v="254040393"/>
    <n v="64818297"/>
    <s v="ZRDI"/>
    <n v="10086626"/>
    <n v="208"/>
    <s v="DEV-Atraso entrega- LOGISTICA(Transp)"/>
    <s v="TRANSPORTADORA"/>
    <x v="2"/>
    <n v="54447704"/>
    <x v="1310"/>
    <s v="RJ"/>
    <n v="474"/>
    <s v="Site Brastemp"/>
    <n v="1352"/>
    <s v="W10349302"/>
    <s v="Filtros"/>
    <x v="5"/>
    <n v="1000"/>
    <n v="5002359"/>
    <s v="EMPRESA BRASILEIRA DE CORREIOS E"/>
    <n v="38.270000000000003"/>
    <d v="2025-07-26T00:00:00"/>
  </r>
  <r>
    <n v="254040393"/>
    <n v="64818297"/>
    <s v="ZRDI"/>
    <n v="10086626"/>
    <n v="208"/>
    <s v="DEV-Atraso entrega- LOGISTICA(Transp)"/>
    <s v="TRANSPORTADORA"/>
    <x v="2"/>
    <n v="54447704"/>
    <x v="1310"/>
    <s v="RJ"/>
    <n v="474"/>
    <s v="Site Brastemp"/>
    <n v="1352"/>
    <s v="W10349302"/>
    <s v="Filtros"/>
    <x v="5"/>
    <n v="1000"/>
    <n v="5002359"/>
    <s v="EMPRESA BRASILEIRA DE CORREIOS E"/>
    <n v="38.270000000000003"/>
    <d v="2025-07-26T00:00:00"/>
  </r>
  <r>
    <n v="254012590"/>
    <n v="64788471"/>
    <s v="REB"/>
    <n v="7922153"/>
    <n v="177"/>
    <s v="PEÇAS - Defeito de fabric./Ruído"/>
    <s v="FUNCIONAL"/>
    <x v="1"/>
    <n v="67948"/>
    <x v="15"/>
    <s v="SC"/>
    <n v="713"/>
    <s v="Key Account"/>
    <n v="1350"/>
    <s v="W10329947"/>
    <s v="Suportes"/>
    <x v="6"/>
    <n v="1000"/>
    <n v="5003024"/>
    <s v="RODOBRAS TRANSPORTES RODOVIARIOS LT"/>
    <n v="38.25"/>
    <d v="2025-06-10T00:00:00"/>
  </r>
  <r>
    <n v="253903157"/>
    <n v="64664122"/>
    <s v="REB"/>
    <n v="9759328"/>
    <n v="173"/>
    <s v="PEÇAS - Defeito de fabric./Alta Amperage"/>
    <s v="FUNCIONAL"/>
    <x v="1"/>
    <n v="9452"/>
    <x v="42"/>
    <s v="SP"/>
    <n v="931"/>
    <s v="Ats Off"/>
    <n v="1350"/>
    <s v="W10267642"/>
    <s v="Mangueiras"/>
    <x v="5"/>
    <n v="1000"/>
    <n v="5003254"/>
    <s v="TMA TRANSPORTE LOTACAO E LOGISTICA"/>
    <n v="38.24"/>
    <d v="2024-12-18T00:00:00"/>
  </r>
  <r>
    <s v="Sem TR"/>
    <n v="64812740"/>
    <s v="REB"/>
    <n v="10020864"/>
    <n v="176"/>
    <s v="PEÇAS - Defeito de fabric./Interrompido"/>
    <s v="FUNCIONAL"/>
    <x v="1"/>
    <n v="27031"/>
    <x v="239"/>
    <s v="SP"/>
    <n v="932"/>
    <s v="CDP Prata"/>
    <n v="1350"/>
    <s v="W10518616"/>
    <s v="Atuadores"/>
    <x v="2"/>
    <n v="1000"/>
    <n v="5004042"/>
    <s v="BRASIL WEB TRANSPORTES E LOGISTICA"/>
    <n v="38.17"/>
    <d v="2025-07-17T00:00:00"/>
  </r>
  <r>
    <n v="253988926"/>
    <n v="64763935"/>
    <s v="REB"/>
    <n v="9949051"/>
    <n v="176"/>
    <s v="PEÇAS - Defeito de fabric./Interrompido"/>
    <s v="FUNCIONAL"/>
    <x v="2"/>
    <n v="80432"/>
    <x v="3"/>
    <s v="ES"/>
    <n v="713"/>
    <s v="Key Account"/>
    <n v="1350"/>
    <s v="W11428263"/>
    <s v="Atuadores"/>
    <x v="2"/>
    <n v="1000"/>
    <n v="5004042"/>
    <s v="BRASIL WEB TRANSPORTES E LOGISTICA"/>
    <n v="38.14"/>
    <d v="2025-05-05T00:00:00"/>
  </r>
  <r>
    <n v="253970749"/>
    <n v="64748367"/>
    <s v="REB"/>
    <n v="9927810"/>
    <n v="176"/>
    <s v="PEÇAS - Defeito de fabric./Interrompido"/>
    <s v="FUNCIONAL"/>
    <x v="2"/>
    <n v="24089"/>
    <x v="134"/>
    <s v="RJ"/>
    <n v="931"/>
    <s v="Ats Off"/>
    <n v="1350"/>
    <s v="W11316366"/>
    <s v="Gaxetas"/>
    <x v="4"/>
    <n v="1000"/>
    <n v="5003176"/>
    <s v="J C THEDIN TRANSPORTES LTDA"/>
    <n v="38.090000000000003"/>
    <d v="2025-04-09T00:00:00"/>
  </r>
  <r>
    <n v="254033098"/>
    <n v="64807085"/>
    <s v="REB"/>
    <n v="10034317"/>
    <n v="173"/>
    <s v="PEÇAS - Defeito de fabric./Alta Amperage"/>
    <s v="FUNCIONAL"/>
    <x v="2"/>
    <n v="66"/>
    <x v="73"/>
    <s v="GO"/>
    <n v="931"/>
    <s v="Ats Off"/>
    <n v="1350"/>
    <s v="W10160038"/>
    <s v="Capacitores"/>
    <x v="1"/>
    <n v="1000"/>
    <n v="5002858"/>
    <s v="FAVORITA TRANSPORTES LTDA"/>
    <n v="38.04"/>
    <d v="2025-07-08T00:00:00"/>
  </r>
  <r>
    <n v="253981561"/>
    <n v="64743613"/>
    <s v="REB"/>
    <n v="9860023"/>
    <n v="173"/>
    <s v="PEÇAS - Defeito de fabric./Alta Amperage"/>
    <s v="FUNCIONAL"/>
    <x v="1"/>
    <n v="63300"/>
    <x v="17"/>
    <s v="MG"/>
    <n v="643"/>
    <s v="Elite"/>
    <n v="1350"/>
    <s v="W10882241"/>
    <s v="Agitadores"/>
    <x v="2"/>
    <n v="1000"/>
    <n v="5004215"/>
    <s v="BRASIL WEB TRANSPORTES E LOGISTICA"/>
    <n v="38.020000000000003"/>
    <d v="2025-04-23T00:00:00"/>
  </r>
  <r>
    <n v="254035822"/>
    <n v="64814021"/>
    <s v="ZRDI"/>
    <n v="10094018"/>
    <n v="208"/>
    <s v="DEV-Atraso entrega- LOGISTICA(Transp)"/>
    <s v="TRANSPORTADORA"/>
    <x v="2"/>
    <n v="58100154"/>
    <x v="1950"/>
    <s v="RJ"/>
    <n v="474"/>
    <s v="Site Brastemp"/>
    <n v="1352"/>
    <s v="W10471600"/>
    <s v="Embalagens Papelão"/>
    <x v="11"/>
    <n v="1000"/>
    <n v="5002359"/>
    <s v="EMPRESA BRASILEIRA DE CORREIOS E"/>
    <n v="38.01"/>
    <d v="2025-07-21T00:00:00"/>
  </r>
  <r>
    <n v="254035822"/>
    <n v="64814021"/>
    <s v="ZRDI"/>
    <n v="10094018"/>
    <n v="208"/>
    <s v="DEV-Atraso entrega- LOGISTICA(Transp)"/>
    <s v="TRANSPORTADORA"/>
    <x v="2"/>
    <n v="58100154"/>
    <x v="1950"/>
    <s v="RJ"/>
    <n v="474"/>
    <s v="Site Brastemp"/>
    <n v="1352"/>
    <s v="W10471600"/>
    <s v="Embalagens Papelão"/>
    <x v="11"/>
    <n v="1000"/>
    <n v="5002359"/>
    <s v="EMPRESA BRASILEIRA DE CORREIOS E"/>
    <n v="38.01"/>
    <d v="2025-07-21T00:00:00"/>
  </r>
  <r>
    <n v="253981565"/>
    <n v="64743258"/>
    <s v="REB"/>
    <n v="9909138"/>
    <n v="173"/>
    <s v="PEÇAS - Defeito de fabric./Alta Amperage"/>
    <s v="FUNCIONAL"/>
    <x v="2"/>
    <n v="69921"/>
    <x v="205"/>
    <s v="SP"/>
    <n v="934"/>
    <s v="CDP Ouro"/>
    <n v="1350"/>
    <s v="W10828358"/>
    <s v="Pressostatos"/>
    <x v="3"/>
    <n v="1000"/>
    <n v="5004042"/>
    <s v="BRASIL WEB TRANSPORTES E LOGISTICA"/>
    <n v="37.979999999999997"/>
    <d v="2025-04-16T00:00:00"/>
  </r>
  <r>
    <n v="254021854"/>
    <n v="64776621"/>
    <s v="REB"/>
    <n v="10024340"/>
    <n v="90"/>
    <s v="CLIENTE-não solicitou"/>
    <s v="COMERCIAL"/>
    <x v="1"/>
    <n v="38442"/>
    <x v="943"/>
    <s v="RS"/>
    <n v="641"/>
    <s v="CDP Diamante"/>
    <n v="1350"/>
    <s v="W11186097"/>
    <s v="Dispensers"/>
    <x v="9"/>
    <n v="1000"/>
    <n v="5003024"/>
    <s v="RODOBRAS TRANSPORTES RODOVIARIOS LT"/>
    <n v="37.89"/>
    <d v="2025-05-26T00:00:00"/>
  </r>
  <r>
    <n v="253952534"/>
    <n v="64729114"/>
    <s v="REB"/>
    <n v="9878718"/>
    <n v="176"/>
    <s v="PEÇAS - Defeito de fabric./Interrompido"/>
    <s v="FUNCIONAL"/>
    <x v="1"/>
    <n v="81365"/>
    <x v="216"/>
    <s v="SP"/>
    <n v="934"/>
    <s v="CDP Ouro"/>
    <n v="1350"/>
    <s v="W11510292"/>
    <s v="Interruptores"/>
    <x v="3"/>
    <n v="1000"/>
    <n v="5004042"/>
    <s v="BRASIL WEB TRANSPORTES E LOGISTICA"/>
    <n v="37.86"/>
    <d v="2025-03-10T00:00:00"/>
  </r>
  <r>
    <n v="253988792"/>
    <n v="64763863"/>
    <s v="REB"/>
    <n v="9985131"/>
    <n v="178"/>
    <s v="PEÇAS -Defeito de fabric./Sem Compressão"/>
    <s v="FUNCIONAL"/>
    <x v="1"/>
    <n v="3694"/>
    <x v="137"/>
    <s v="SP"/>
    <n v="350"/>
    <s v="Ats On"/>
    <n v="1350"/>
    <s v="W10231316"/>
    <s v="Válvulas de Água"/>
    <x v="5"/>
    <n v="1000"/>
    <n v="5004042"/>
    <s v="BRASIL WEB TRANSPORTES E LOGISTICA"/>
    <n v="37.86"/>
    <d v="2025-05-05T00:00:00"/>
  </r>
  <r>
    <n v="254039283"/>
    <n v="64817222"/>
    <s v="ZRDI"/>
    <n v="10134448"/>
    <n v="208"/>
    <s v="DEV-Atraso entrega- LOGISTICA(Transp)"/>
    <s v="TRANSPORTADORA"/>
    <x v="2"/>
    <n v="57233075"/>
    <x v="1951"/>
    <s v="RS"/>
    <n v="475"/>
    <s v="Site Consul"/>
    <n v="1352"/>
    <s v="W11360276"/>
    <s v="Filtros"/>
    <x v="5"/>
    <n v="1000"/>
    <n v="5002359"/>
    <s v="EMPRESA BRASILEIRA DE CORREIOS E"/>
    <n v="37.840000000000003"/>
    <d v="2025-07-24T00:00:00"/>
  </r>
  <r>
    <n v="254039283"/>
    <n v="64817222"/>
    <s v="ZRDI"/>
    <n v="10134448"/>
    <n v="208"/>
    <s v="DEV-Atraso entrega- LOGISTICA(Transp)"/>
    <s v="TRANSPORTADORA"/>
    <x v="2"/>
    <n v="57233075"/>
    <x v="1951"/>
    <s v="RS"/>
    <n v="475"/>
    <s v="Site Consul"/>
    <n v="1352"/>
    <s v="W11360276"/>
    <s v="Filtros"/>
    <x v="5"/>
    <n v="1000"/>
    <n v="5002359"/>
    <s v="EMPRESA BRASILEIRA DE CORREIOS E"/>
    <n v="37.840000000000003"/>
    <d v="2025-07-24T00:00:00"/>
  </r>
  <r>
    <n v="253983844"/>
    <n v="64758577"/>
    <s v="REB"/>
    <n v="9985705"/>
    <n v="167"/>
    <s v="PEÇAS - Avaria - Quebrada/Depósito"/>
    <s v="LOGÍSTICA"/>
    <x v="2"/>
    <n v="8192"/>
    <x v="118"/>
    <s v="PR"/>
    <n v="933"/>
    <s v="Top"/>
    <n v="1350"/>
    <s v="W10287524"/>
    <s v="Prateleiras"/>
    <x v="9"/>
    <n v="1000"/>
    <n v="5003024"/>
    <s v="RODOBRAS TRANSPORTES RODOVIARIOS LT"/>
    <n v="37.82"/>
    <d v="2025-04-28T00:00:00"/>
  </r>
  <r>
    <n v="254033951"/>
    <n v="64812510"/>
    <s v="ZRDI"/>
    <n v="10099994"/>
    <n v="208"/>
    <s v="DEV-Atraso entrega- LOGISTICA(Transp)"/>
    <s v="TRANSPORTADORA"/>
    <x v="2"/>
    <n v="58103823"/>
    <x v="611"/>
    <s v="RN"/>
    <n v="474"/>
    <s v="Site Brastemp"/>
    <n v="1352"/>
    <s v="W11100356"/>
    <s v="Outros"/>
    <x v="7"/>
    <n v="1000"/>
    <n v="5002359"/>
    <s v="EMPRESA BRASILEIRA DE CORREIOS E"/>
    <n v="37.79"/>
    <d v="2025-07-17T00:00:00"/>
  </r>
  <r>
    <n v="254033951"/>
    <n v="64812510"/>
    <s v="ZRDI"/>
    <n v="10099994"/>
    <n v="208"/>
    <s v="DEV-Atraso entrega- LOGISTICA(Transp)"/>
    <s v="TRANSPORTADORA"/>
    <x v="2"/>
    <n v="58103823"/>
    <x v="611"/>
    <s v="RN"/>
    <n v="474"/>
    <s v="Site Brastemp"/>
    <n v="1352"/>
    <s v="W11100356"/>
    <s v="Outros"/>
    <x v="7"/>
    <n v="1000"/>
    <n v="5002359"/>
    <s v="EMPRESA BRASILEIRA DE CORREIOS E"/>
    <n v="37.79"/>
    <d v="2025-07-17T00:00:00"/>
  </r>
  <r>
    <n v="254039176"/>
    <n v="64817057"/>
    <s v="ZRDI"/>
    <n v="10076102"/>
    <n v="208"/>
    <s v="DEV-Atraso entrega- LOGISTICA(Transp)"/>
    <s v="TRANSPORTADORA"/>
    <x v="2"/>
    <n v="50289893"/>
    <x v="1938"/>
    <s v="SE"/>
    <n v="475"/>
    <s v="Site Consul"/>
    <n v="1352"/>
    <s v="W11542497"/>
    <s v="Pés"/>
    <x v="6"/>
    <n v="1000"/>
    <n v="5002359"/>
    <s v="EMPRESA BRASILEIRA DE CORREIOS E"/>
    <n v="37.68"/>
    <d v="2025-07-24T00:00:00"/>
  </r>
  <r>
    <n v="254039176"/>
    <n v="64817057"/>
    <s v="ZRDI"/>
    <n v="10076102"/>
    <n v="208"/>
    <s v="DEV-Atraso entrega- LOGISTICA(Transp)"/>
    <s v="TRANSPORTADORA"/>
    <x v="2"/>
    <n v="50289893"/>
    <x v="1938"/>
    <s v="SE"/>
    <n v="475"/>
    <s v="Site Consul"/>
    <n v="1352"/>
    <s v="W11542497"/>
    <s v="Pés"/>
    <x v="6"/>
    <n v="1000"/>
    <n v="5002359"/>
    <s v="EMPRESA BRASILEIRA DE CORREIOS E"/>
    <n v="37.68"/>
    <d v="2025-07-24T00:00:00"/>
  </r>
  <r>
    <s v="Sem TR"/>
    <n v="64797820"/>
    <s v="ZRDI"/>
    <n v="10099595"/>
    <s v="D35"/>
    <s v="DEV D2C - Prod difere do comprado"/>
    <s v="COMERCIAL"/>
    <x v="2"/>
    <n v="52011451"/>
    <x v="621"/>
    <s v="SP"/>
    <n v="474"/>
    <s v="Site Brastemp"/>
    <n v="1352"/>
    <s v="W11100356"/>
    <s v="Outros"/>
    <x v="7"/>
    <n v="1000"/>
    <n v="5002359"/>
    <s v="EMPRESA BRASILEIRA DE CORREIOS E"/>
    <n v="37.67"/>
    <d v="2025-06-26T00:00:00"/>
  </r>
  <r>
    <n v="253981411"/>
    <n v="64757205"/>
    <s v="REB"/>
    <n v="9977862"/>
    <n v="176"/>
    <s v="PEÇAS - Defeito de fabric./Interrompido"/>
    <s v="FUNCIONAL"/>
    <x v="2"/>
    <n v="25656"/>
    <x v="173"/>
    <s v="SP"/>
    <n v="931"/>
    <s v="Ats Off"/>
    <n v="1350"/>
    <s v="W11629019"/>
    <s v="Recipientes de Evaporação"/>
    <x v="9"/>
    <n v="2000"/>
    <n v="5004042"/>
    <s v="BRASIL WEB TRANSPORTES E LOGISTICA"/>
    <n v="37.659999999999997"/>
    <d v="2025-04-25T00:00:00"/>
  </r>
  <r>
    <n v="253981469"/>
    <n v="64758044"/>
    <s v="REB"/>
    <n v="9716169"/>
    <n v="173"/>
    <s v="PEÇAS - Defeito de fabric./Alta Amperage"/>
    <s v="FUNCIONAL"/>
    <x v="2"/>
    <n v="29164"/>
    <x v="32"/>
    <s v="BA"/>
    <n v="648"/>
    <s v="Ultra"/>
    <n v="1350"/>
    <s v="W11082463"/>
    <s v="Termostatos"/>
    <x v="3"/>
    <n v="1000"/>
    <n v="5004101"/>
    <s v="UNIDOCK'S ASSESSORIA E LOGISTICA DE"/>
    <n v="37.58"/>
    <d v="2025-04-25T00:00:00"/>
  </r>
  <r>
    <n v="254033437"/>
    <n v="64807181"/>
    <s v="REB"/>
    <n v="9664794"/>
    <n v="176"/>
    <s v="PEÇAS - Defeito de fabric./Interrompido"/>
    <s v="FUNCIONAL"/>
    <x v="1"/>
    <n v="67948"/>
    <x v="15"/>
    <s v="SC"/>
    <n v="713"/>
    <s v="Key Account"/>
    <n v="1350"/>
    <s v="W11498695"/>
    <s v="Capas"/>
    <x v="6"/>
    <n v="1000"/>
    <n v="5003024"/>
    <s v="RODOBRAS TRANSPORTES RODOVIARIOS LT"/>
    <n v="37.53"/>
    <d v="2025-07-08T00:00:00"/>
  </r>
  <r>
    <s v="Sem TR"/>
    <n v="64800680"/>
    <s v="ZRDI"/>
    <n v="10073369"/>
    <s v="D10"/>
    <s v="DEV D2C - Comprou modelo errado"/>
    <s v="COMERCIAL"/>
    <x v="2"/>
    <n v="55194918"/>
    <x v="1952"/>
    <s v="DF"/>
    <n v="475"/>
    <s v="Site Consul"/>
    <n v="1352"/>
    <s v="W11629065"/>
    <s v="Outros"/>
    <x v="7"/>
    <n v="1000"/>
    <n v="5002359"/>
    <s v="EMPRESA BRASILEIRA DE CORREIOS E"/>
    <n v="37.520000000000003"/>
    <d v="2025-07-01T00:00:00"/>
  </r>
  <r>
    <n v="254033948"/>
    <n v="64812497"/>
    <s v="ZRDI"/>
    <n v="10098064"/>
    <n v="208"/>
    <s v="DEV-Atraso entrega- LOGISTICA(Transp)"/>
    <s v="TRANSPORTADORA"/>
    <x v="2"/>
    <n v="58106418"/>
    <x v="1953"/>
    <s v="MT"/>
    <n v="474"/>
    <s v="Site Brastemp"/>
    <n v="1352"/>
    <s v="W11536834"/>
    <s v="Micro Chaves/Reed Switches"/>
    <x v="3"/>
    <n v="1000"/>
    <n v="5002359"/>
    <s v="EMPRESA BRASILEIRA DE CORREIOS E"/>
    <n v="37.520000000000003"/>
    <d v="2025-07-17T00:00:00"/>
  </r>
  <r>
    <n v="254033948"/>
    <n v="64812497"/>
    <s v="ZRDI"/>
    <n v="10098064"/>
    <n v="208"/>
    <s v="DEV-Atraso entrega- LOGISTICA(Transp)"/>
    <s v="TRANSPORTADORA"/>
    <x v="2"/>
    <n v="58106418"/>
    <x v="1953"/>
    <s v="MT"/>
    <n v="474"/>
    <s v="Site Brastemp"/>
    <n v="1352"/>
    <s v="W11536834"/>
    <s v="Micro Chaves/Reed Switches"/>
    <x v="3"/>
    <n v="1000"/>
    <n v="5002359"/>
    <s v="EMPRESA BRASILEIRA DE CORREIOS E"/>
    <n v="37.520000000000003"/>
    <d v="2025-07-17T00:00:00"/>
  </r>
  <r>
    <n v="254003947"/>
    <n v="64775155"/>
    <s v="REB"/>
    <n v="10007418"/>
    <n v="167"/>
    <s v="PEÇAS - Avaria - Quebrada/Depósito"/>
    <s v="LOGÍSTICA"/>
    <x v="2"/>
    <n v="30990"/>
    <x v="26"/>
    <s v="ES"/>
    <n v="713"/>
    <s v="Key Account"/>
    <n v="1350"/>
    <n v="326051022"/>
    <s v="Capas"/>
    <x v="6"/>
    <n v="1000"/>
    <n v="5004042"/>
    <s v="BRASIL WEB TRANSPORTES E LOGISTICA"/>
    <n v="37.5"/>
    <d v="2025-05-26T00:00:00"/>
  </r>
  <r>
    <n v="253915629"/>
    <n v="64687596"/>
    <s v="REB"/>
    <n v="9797729"/>
    <n v="167"/>
    <s v="PEÇAS - Avaria - Quebrada/Depósito"/>
    <s v="LOGÍSTICA"/>
    <x v="1"/>
    <n v="80537"/>
    <x v="1954"/>
    <s v="SE"/>
    <n v="934"/>
    <s v="CDP Ouro"/>
    <n v="1350"/>
    <s v="W10619463"/>
    <s v="Pressostatos"/>
    <x v="3"/>
    <n v="1000"/>
    <n v="5004101"/>
    <s v="UNIDOCK'S ASSESSORIA E LOGISTICA DE"/>
    <n v="37.5"/>
    <d v="2025-01-09T00:00:00"/>
  </r>
  <r>
    <s v="Sem TR"/>
    <n v="64810009"/>
    <s v="ZRDI"/>
    <n v="10085205"/>
    <s v="D30"/>
    <s v="DEV D2C - Defeito funcional manufatura"/>
    <s v="MANUFATURA"/>
    <x v="2"/>
    <n v="50731046"/>
    <x v="1955"/>
    <s v="MG"/>
    <n v="475"/>
    <s v="Site Consul"/>
    <n v="1352"/>
    <s v="W11652005"/>
    <s v="Lâmpadas"/>
    <x v="1"/>
    <n v="1000"/>
    <n v="5002359"/>
    <s v="EMPRESA BRASILEIRA DE CORREIOS E"/>
    <n v="37.42"/>
    <d v="2025-07-14T00:00:00"/>
  </r>
  <r>
    <s v="Sem TR"/>
    <n v="64810009"/>
    <s v="ZRDI"/>
    <n v="10085205"/>
    <s v="D30"/>
    <s v="DEV D2C - Defeito funcional manufatura"/>
    <s v="MANUFATURA"/>
    <x v="2"/>
    <n v="50731046"/>
    <x v="1955"/>
    <s v="MG"/>
    <n v="475"/>
    <s v="Site Consul"/>
    <n v="1352"/>
    <s v="W11652005"/>
    <s v="Lâmpadas"/>
    <x v="1"/>
    <n v="1000"/>
    <n v="5002359"/>
    <s v="EMPRESA BRASILEIRA DE CORREIOS E"/>
    <n v="37.42"/>
    <d v="2025-07-14T00:00:00"/>
  </r>
  <r>
    <n v="254024623"/>
    <n v="64804718"/>
    <s v="ZRDI"/>
    <n v="10076147"/>
    <n v="208"/>
    <s v="DEV-Atraso entrega- LOGISTICA(Transp)"/>
    <s v="TRANSPORTADORA"/>
    <x v="2"/>
    <n v="56458168"/>
    <x v="1956"/>
    <s v="RJ"/>
    <n v="475"/>
    <s v="Site Consul"/>
    <n v="1352"/>
    <s v="W11444707"/>
    <s v="Prateleiras"/>
    <x v="9"/>
    <n v="1000"/>
    <n v="5002359"/>
    <s v="EMPRESA BRASILEIRA DE CORREIOS E"/>
    <n v="37.380000000000003"/>
    <d v="2025-07-02T00:00:00"/>
  </r>
  <r>
    <n v="254033383"/>
    <n v="64807161"/>
    <s v="REB"/>
    <n v="10095481"/>
    <n v="167"/>
    <s v="PEÇAS - Avaria - Quebrada/Depósito"/>
    <s v="LOGÍSTICA"/>
    <x v="1"/>
    <n v="31063"/>
    <x v="308"/>
    <s v="RJ"/>
    <n v="644"/>
    <s v="Plus"/>
    <n v="1350"/>
    <s v="W11363944"/>
    <s v="Capas"/>
    <x v="6"/>
    <n v="1000"/>
    <n v="5003176"/>
    <s v="J C THEDIN TRANSPORTES LTDA"/>
    <n v="37.340000000000003"/>
    <d v="2025-07-08T00:00:00"/>
  </r>
  <r>
    <n v="254040424"/>
    <n v="64818328"/>
    <s v="ZRDI"/>
    <n v="10139744"/>
    <n v="208"/>
    <s v="DEV-Atraso entrega- LOGISTICA(Transp)"/>
    <s v="TRANSPORTADORA"/>
    <x v="2"/>
    <n v="58163444"/>
    <x v="1957"/>
    <s v="RJ"/>
    <n v="475"/>
    <s v="Site Consul"/>
    <n v="1352"/>
    <s v="W11360276"/>
    <s v="Filtros"/>
    <x v="5"/>
    <n v="1000"/>
    <n v="5002359"/>
    <s v="EMPRESA BRASILEIRA DE CORREIOS E"/>
    <n v="37.32"/>
    <d v="2025-07-26T00:00:00"/>
  </r>
  <r>
    <n v="254040424"/>
    <n v="64818328"/>
    <s v="ZRDI"/>
    <n v="10139744"/>
    <n v="208"/>
    <s v="DEV-Atraso entrega- LOGISTICA(Transp)"/>
    <s v="TRANSPORTADORA"/>
    <x v="2"/>
    <n v="58163444"/>
    <x v="1957"/>
    <s v="RJ"/>
    <n v="475"/>
    <s v="Site Consul"/>
    <n v="1352"/>
    <s v="W11360276"/>
    <s v="Filtros"/>
    <x v="5"/>
    <n v="1000"/>
    <n v="5002359"/>
    <s v="EMPRESA BRASILEIRA DE CORREIOS E"/>
    <n v="37.32"/>
    <d v="2025-07-26T00:00:00"/>
  </r>
  <r>
    <n v="253931021"/>
    <n v="64704054"/>
    <s v="REB"/>
    <n v="9849035"/>
    <n v="671"/>
    <s v="DEV-ENVIADO PARA GESTÃO DE CONSEQUENCIA"/>
    <s v="TRANSPORTADORA"/>
    <x v="1"/>
    <n v="9015"/>
    <x v="72"/>
    <s v="SC"/>
    <n v="931"/>
    <s v="Ats Off"/>
    <n v="1350"/>
    <s v="W10160038"/>
    <s v="Capacitores"/>
    <x v="1"/>
    <n v="1000"/>
    <n v="5003024"/>
    <s v="RODOBRAS TRANSPORTES RODOVIARIOS LT"/>
    <n v="37.26"/>
    <d v="2025-01-31T00:00:00"/>
  </r>
  <r>
    <n v="254024099"/>
    <n v="64803606"/>
    <s v="ZRDI"/>
    <n v="10023587"/>
    <n v="208"/>
    <s v="DEV-Atraso entrega- LOGISTICA(Transp)"/>
    <s v="TRANSPORTADORA"/>
    <x v="2"/>
    <n v="5990963"/>
    <x v="1958"/>
    <s v="ES"/>
    <n v="474"/>
    <s v="Site Brastemp"/>
    <n v="1352"/>
    <s v="W10816563"/>
    <s v="Capas Queimadores"/>
    <x v="12"/>
    <n v="1000"/>
    <n v="5002359"/>
    <s v="EMPRESA BRASILEIRA DE CORREIOS E"/>
    <n v="37.22"/>
    <d v="2025-07-01T00:00:00"/>
  </r>
  <r>
    <n v="253952241"/>
    <n v="64729029"/>
    <s v="REB"/>
    <n v="5916235"/>
    <n v="176"/>
    <s v="PEÇAS - Defeito de fabric./Interrompido"/>
    <s v="FUNCIONAL"/>
    <x v="2"/>
    <n v="29706"/>
    <x v="149"/>
    <s v="RN"/>
    <n v="644"/>
    <s v="Plus"/>
    <n v="1350"/>
    <s v="W11082463"/>
    <s v="Termostatos"/>
    <x v="3"/>
    <n v="1000"/>
    <n v="5004101"/>
    <s v="UNIDOCK'S ASSESSORIA E LOGISTICA DE"/>
    <n v="37.17"/>
    <d v="2025-03-10T00:00:00"/>
  </r>
  <r>
    <s v="Sem TR"/>
    <n v="64756917"/>
    <s v="REB"/>
    <n v="9904265"/>
    <n v="173"/>
    <s v="PEÇAS - Defeito de fabric./Alta Amperage"/>
    <s v="FUNCIONAL"/>
    <x v="1"/>
    <n v="80567"/>
    <x v="1561"/>
    <s v="ES"/>
    <n v="350"/>
    <s v="Ats On"/>
    <n v="1350"/>
    <s v="W11370233"/>
    <s v="Gaxetas"/>
    <x v="4"/>
    <n v="1000"/>
    <n v="5004042"/>
    <s v="BRASIL WEB TRANSPORTES E LOGISTICA"/>
    <n v="37.11"/>
    <d v="2025-04-28T00:00:00"/>
  </r>
  <r>
    <s v="Sem TR"/>
    <n v="64809238"/>
    <s v="ZRDI"/>
    <n v="10116079"/>
    <s v="D10"/>
    <s v="DEV D2C - Comprou modelo errado"/>
    <s v="COMERCIAL"/>
    <x v="2"/>
    <n v="50399396"/>
    <x v="1959"/>
    <s v="RJ"/>
    <n v="475"/>
    <s v="Site Consul"/>
    <n v="1352"/>
    <s v="W10864809"/>
    <s v="Gaxetas"/>
    <x v="4"/>
    <n v="1000"/>
    <n v="5002359"/>
    <s v="EMPRESA BRASILEIRA DE CORREIOS E"/>
    <n v="37.06"/>
    <d v="2025-07-18T00:00:00"/>
  </r>
  <r>
    <n v="254029813"/>
    <n v="64809364"/>
    <s v="ZRDI"/>
    <n v="10045198"/>
    <s v="D25"/>
    <s v="DEV D2C - Prob na entrega (Não recebi)"/>
    <s v="TRANSPORTADORA"/>
    <x v="2"/>
    <n v="58037151"/>
    <x v="1960"/>
    <s v="SP"/>
    <n v="466"/>
    <s v="Sup ML Marketplace"/>
    <n v="1352"/>
    <s v="W11629019"/>
    <s v="Recipientes de Evaporação"/>
    <x v="9"/>
    <n v="1000"/>
    <n v="5003972"/>
    <s v="ICARO EXPRESS LOGISTICA LTDA"/>
    <n v="37.06"/>
    <d v="2025-07-11T00:00:00"/>
  </r>
  <r>
    <s v="Sem TR"/>
    <n v="64814156"/>
    <s v="ZRDI"/>
    <n v="10116291"/>
    <s v="D35"/>
    <s v="DEV D2C - Prod difere do comprado"/>
    <s v="COMERCIAL"/>
    <x v="2"/>
    <n v="4541061"/>
    <x v="1961"/>
    <s v="SP"/>
    <n v="466"/>
    <s v="Sup ML Marketplace"/>
    <n v="1352"/>
    <s v="W11629019"/>
    <s v="Recipientes de Evaporação"/>
    <x v="9"/>
    <n v="1000"/>
    <n v="5002359"/>
    <s v="EMPRESA BRASILEIRA DE CORREIOS E"/>
    <n v="37.06"/>
    <d v="2025-07-23T00:00:00"/>
  </r>
  <r>
    <s v="Sem TR"/>
    <n v="64809238"/>
    <s v="ZRDI"/>
    <n v="10116079"/>
    <s v="D10"/>
    <s v="DEV D2C - Comprou modelo errado"/>
    <s v="COMERCIAL"/>
    <x v="2"/>
    <n v="50399396"/>
    <x v="1959"/>
    <s v="RJ"/>
    <n v="475"/>
    <s v="Site Consul"/>
    <n v="1352"/>
    <s v="W10864809"/>
    <s v="Gaxetas"/>
    <x v="4"/>
    <n v="1000"/>
    <n v="5002359"/>
    <s v="EMPRESA BRASILEIRA DE CORREIOS E"/>
    <n v="37.06"/>
    <d v="2025-07-18T00:00:00"/>
  </r>
  <r>
    <s v="Sem TR"/>
    <n v="64814156"/>
    <s v="ZRDI"/>
    <n v="10116291"/>
    <s v="D35"/>
    <s v="DEV D2C - Prod difere do comprado"/>
    <s v="COMERCIAL"/>
    <x v="2"/>
    <n v="4541061"/>
    <x v="1961"/>
    <s v="SP"/>
    <n v="466"/>
    <s v="Sup ML Marketplace"/>
    <n v="1352"/>
    <s v="W11629019"/>
    <s v="Recipientes de Evaporação"/>
    <x v="9"/>
    <n v="1000"/>
    <n v="5002359"/>
    <s v="EMPRESA BRASILEIRA DE CORREIOS E"/>
    <n v="37.06"/>
    <d v="2025-07-23T00:00:00"/>
  </r>
  <r>
    <n v="253903210"/>
    <n v="64671740"/>
    <s v="REB"/>
    <n v="9655806"/>
    <n v="671"/>
    <s v="DEV-ENVIADO PARA GESTÃO DE CONSEQUENCIA"/>
    <s v="TRANSPORTADORA"/>
    <x v="1"/>
    <n v="46511"/>
    <x v="281"/>
    <s v="SC"/>
    <n v="932"/>
    <s v="CDP Prata"/>
    <n v="1350"/>
    <s v="W11082463"/>
    <s v="Termostatos"/>
    <x v="3"/>
    <n v="1000"/>
    <n v="5003024"/>
    <s v="RODOBRAS TRANSPORTES RODOVIARIOS LT"/>
    <n v="37.01"/>
    <d v="2024-12-18T00:00:00"/>
  </r>
  <r>
    <s v="Sem TR"/>
    <n v="64814500"/>
    <s v="REB"/>
    <n v="10121820"/>
    <n v="167"/>
    <s v="PEÇAS - Avaria - Quebrada/Depósito"/>
    <s v="LOGÍSTICA"/>
    <x v="1"/>
    <n v="25656"/>
    <x v="173"/>
    <s v="SP"/>
    <n v="931"/>
    <s v="Ats Off"/>
    <n v="1350"/>
    <s v="W10246170"/>
    <s v="Prateleiras"/>
    <x v="9"/>
    <n v="1000"/>
    <n v="5004042"/>
    <s v="BRASIL WEB TRANSPORTES E LOGISTICA"/>
    <n v="36.909999999999997"/>
    <d v="2025-07-22T00:00:00"/>
  </r>
  <r>
    <n v="253983920"/>
    <n v="64759213"/>
    <s v="REB"/>
    <n v="9904255"/>
    <n v="173"/>
    <s v="PEÇAS - Defeito de fabric./Alta Amperage"/>
    <s v="FUNCIONAL"/>
    <x v="1"/>
    <n v="35368"/>
    <x v="176"/>
    <s v="ES"/>
    <n v="350"/>
    <s v="Ats On"/>
    <n v="1350"/>
    <s v="W10619463"/>
    <s v="Pressostatos"/>
    <x v="3"/>
    <n v="1000"/>
    <n v="5004042"/>
    <s v="BRASIL WEB TRANSPORTES E LOGISTICA"/>
    <n v="36.869999999999997"/>
    <d v="2025-04-28T00:00:00"/>
  </r>
  <r>
    <n v="254018274"/>
    <n v="64790827"/>
    <s v="REB"/>
    <n v="10081315"/>
    <n v="167"/>
    <s v="PEÇAS - Avaria - Quebrada/Depósito"/>
    <s v="LOGÍSTICA"/>
    <x v="2"/>
    <n v="30847"/>
    <x v="87"/>
    <s v="SP"/>
    <n v="644"/>
    <s v="Plus"/>
    <n v="1350"/>
    <s v="W10455522"/>
    <s v="Prateleiras"/>
    <x v="9"/>
    <n v="1000"/>
    <n v="5004042"/>
    <s v="BRASIL WEB TRANSPORTES E LOGISTICA"/>
    <n v="36.840000000000003"/>
    <d v="2025-06-16T00:00:00"/>
  </r>
  <r>
    <n v="253970960"/>
    <n v="64748171"/>
    <s v="REB"/>
    <n v="9900032"/>
    <n v="173"/>
    <s v="PEÇAS - Defeito de fabric./Alta Amperage"/>
    <s v="FUNCIONAL"/>
    <x v="2"/>
    <n v="87707"/>
    <x v="143"/>
    <s v="BA"/>
    <n v="648"/>
    <s v="Ultra"/>
    <n v="1350"/>
    <s v="W10619463"/>
    <s v="Pressostatos"/>
    <x v="3"/>
    <n v="1000"/>
    <n v="5004101"/>
    <s v="UNIDOCK'S ASSESSORIA E LOGISTICA DE"/>
    <n v="36.83"/>
    <d v="2025-04-09T00:00:00"/>
  </r>
  <r>
    <n v="254037057"/>
    <n v="64814973"/>
    <s v="ZRDI"/>
    <n v="10103266"/>
    <n v="208"/>
    <s v="DEV-Atraso entrega- LOGISTICA(Transp)"/>
    <s v="TRANSPORTADORA"/>
    <x v="2"/>
    <n v="58114900"/>
    <x v="1962"/>
    <s v="MA"/>
    <n v="497"/>
    <s v="Site KA(novo)"/>
    <n v="1352"/>
    <s v="W10311979"/>
    <s v="Gaxetas"/>
    <x v="4"/>
    <n v="1000"/>
    <n v="5002359"/>
    <s v="EMPRESA BRASILEIRA DE CORREIOS E"/>
    <n v="36.79"/>
    <d v="2025-07-22T00:00:00"/>
  </r>
  <r>
    <n v="254037057"/>
    <n v="64814973"/>
    <s v="ZRDI"/>
    <n v="10103266"/>
    <n v="208"/>
    <s v="DEV-Atraso entrega- LOGISTICA(Transp)"/>
    <s v="TRANSPORTADORA"/>
    <x v="2"/>
    <n v="58114900"/>
    <x v="1962"/>
    <s v="MA"/>
    <n v="497"/>
    <s v="Site KA(novo)"/>
    <n v="1352"/>
    <s v="W10311979"/>
    <s v="Gaxetas"/>
    <x v="4"/>
    <n v="1000"/>
    <n v="5002359"/>
    <s v="EMPRESA BRASILEIRA DE CORREIOS E"/>
    <n v="36.79"/>
    <d v="2025-07-22T00:00:00"/>
  </r>
  <r>
    <n v="254013133"/>
    <n v="64737668"/>
    <s v="REB"/>
    <n v="9889930"/>
    <n v="176"/>
    <s v="PEÇAS - Defeito de fabric./Interrompido"/>
    <s v="FUNCIONAL"/>
    <x v="2"/>
    <n v="22041"/>
    <x v="70"/>
    <s v="SP"/>
    <n v="931"/>
    <s v="Ats Off"/>
    <n v="1350"/>
    <n v="326008340"/>
    <s v="Anéis de Vedação"/>
    <x v="4"/>
    <n v="2000"/>
    <n v="5004042"/>
    <s v="BRASIL WEB TRANSPORTES E LOGISTICA"/>
    <n v="36.76"/>
    <d v="2025-03-25T00:00:00"/>
  </r>
  <r>
    <n v="253981403"/>
    <n v="64737669"/>
    <s v="REB"/>
    <n v="9917345"/>
    <n v="176"/>
    <s v="PEÇAS - Defeito de fabric./Interrompido"/>
    <s v="FUNCIONAL"/>
    <x v="1"/>
    <n v="22041"/>
    <x v="70"/>
    <s v="SP"/>
    <n v="931"/>
    <s v="Ats Off"/>
    <n v="1350"/>
    <n v="326008340"/>
    <s v="Anéis de Vedação"/>
    <x v="4"/>
    <n v="2000"/>
    <n v="5004042"/>
    <s v="BRASIL WEB TRANSPORTES E LOGISTICA"/>
    <n v="36.76"/>
    <d v="2025-03-25T00:00:00"/>
  </r>
  <r>
    <n v="254044378"/>
    <n v="64730106"/>
    <s v="REB"/>
    <n v="9909268"/>
    <n v="176"/>
    <s v="PEÇAS - Defeito de fabric./Interrompido"/>
    <s v="FUNCIONAL"/>
    <x v="0"/>
    <n v="22041"/>
    <x v="70"/>
    <s v="SP"/>
    <n v="931"/>
    <s v="Ats Off"/>
    <n v="1350"/>
    <n v="326008340"/>
    <s v="Anéis de Vedação"/>
    <x v="4"/>
    <n v="2000"/>
    <n v="5004042"/>
    <s v="BRASIL WEB TRANSPORTES E LOGISTICA"/>
    <n v="36.76"/>
    <d v="2025-03-12T00:00:00"/>
  </r>
  <r>
    <n v="254044175"/>
    <n v="64774730"/>
    <s v="REB"/>
    <n v="9956446"/>
    <n v="176"/>
    <s v="PEÇAS - Defeito de fabric./Interrompido"/>
    <s v="FUNCIONAL"/>
    <x v="0"/>
    <n v="22041"/>
    <x v="70"/>
    <s v="SP"/>
    <n v="931"/>
    <s v="Ats Off"/>
    <n v="1350"/>
    <n v="326008340"/>
    <s v="Anéis de Vedação"/>
    <x v="4"/>
    <n v="2000"/>
    <n v="5004042"/>
    <s v="BRASIL WEB TRANSPORTES E LOGISTICA"/>
    <n v="36.76"/>
    <d v="2025-05-21T00:00:00"/>
  </r>
  <r>
    <s v="Sem TR"/>
    <n v="64804087"/>
    <s v="ZRDI"/>
    <n v="10095897"/>
    <s v="D18"/>
    <s v="DEV D2C - Arrependimento não quero mais"/>
    <s v="COMERCIAL"/>
    <x v="2"/>
    <n v="58096661"/>
    <x v="1963"/>
    <s v="SP"/>
    <n v="474"/>
    <s v="Site Brastemp"/>
    <n v="1352"/>
    <s v="W11135728"/>
    <s v="Mangueiras"/>
    <x v="5"/>
    <n v="1000"/>
    <n v="5002359"/>
    <s v="EMPRESA BRASILEIRA DE CORREIOS E"/>
    <n v="36.68"/>
    <d v="2025-07-07T00:00:00"/>
  </r>
  <r>
    <n v="254032561"/>
    <n v="64811505"/>
    <s v="ZRDI"/>
    <n v="10103109"/>
    <n v="208"/>
    <s v="DEV-Atraso entrega- LOGISTICA(Transp)"/>
    <s v="TRANSPORTADORA"/>
    <x v="2"/>
    <n v="58111941"/>
    <x v="1964"/>
    <s v="RS"/>
    <n v="475"/>
    <s v="Site Consul"/>
    <n v="1352"/>
    <s v="W11715713"/>
    <s v="Outros"/>
    <x v="7"/>
    <n v="1000"/>
    <n v="5002359"/>
    <s v="EMPRESA BRASILEIRA DE CORREIOS E"/>
    <n v="36.68"/>
    <d v="2025-07-16T00:00:00"/>
  </r>
  <r>
    <n v="254036539"/>
    <n v="64814372"/>
    <s v="ZRDI"/>
    <n v="10086760"/>
    <n v="208"/>
    <s v="DEV-Atraso entrega- LOGISTICA(Transp)"/>
    <s v="TRANSPORTADORA"/>
    <x v="2"/>
    <n v="58088787"/>
    <x v="1965"/>
    <s v="RS"/>
    <n v="475"/>
    <s v="Site Consul"/>
    <n v="1352"/>
    <s v="W11715713"/>
    <s v="Outros"/>
    <x v="7"/>
    <n v="1000"/>
    <n v="5002359"/>
    <s v="EMPRESA BRASILEIRA DE CORREIOS E"/>
    <n v="36.68"/>
    <d v="2025-07-22T00:00:00"/>
  </r>
  <r>
    <n v="254032561"/>
    <n v="64811505"/>
    <s v="ZRDI"/>
    <n v="10103109"/>
    <n v="208"/>
    <s v="DEV-Atraso entrega- LOGISTICA(Transp)"/>
    <s v="TRANSPORTADORA"/>
    <x v="2"/>
    <n v="58111941"/>
    <x v="1964"/>
    <s v="RS"/>
    <n v="475"/>
    <s v="Site Consul"/>
    <n v="1352"/>
    <s v="W11715713"/>
    <s v="Outros"/>
    <x v="7"/>
    <n v="1000"/>
    <n v="5002359"/>
    <s v="EMPRESA BRASILEIRA DE CORREIOS E"/>
    <n v="36.68"/>
    <d v="2025-07-16T00:00:00"/>
  </r>
  <r>
    <s v="Sem TR"/>
    <n v="64807327"/>
    <s v="ZRDI"/>
    <n v="10082586"/>
    <s v="D37"/>
    <s v="DEV D2C - Prod recebido em duplicidade"/>
    <s v="COMERCIAL"/>
    <x v="2"/>
    <n v="4775752"/>
    <x v="1687"/>
    <s v="DF"/>
    <n v="474"/>
    <s v="Site Brastemp"/>
    <n v="1352"/>
    <n v="326050119"/>
    <s v="Capas Queimadores"/>
    <x v="12"/>
    <n v="1000"/>
    <n v="5002359"/>
    <s v="EMPRESA BRASILEIRA DE CORREIOS E"/>
    <n v="36.61"/>
    <d v="2025-07-10T00:00:00"/>
  </r>
  <r>
    <s v="Sem TR"/>
    <n v="64816016"/>
    <s v="ZRDI"/>
    <n v="10144014"/>
    <s v="D31"/>
    <s v="DEV D2C - Defeito estético manufatura"/>
    <s v="MANUFATURA"/>
    <x v="2"/>
    <n v="55335746"/>
    <x v="1966"/>
    <s v="SP"/>
    <n v="475"/>
    <s v="Site Consul"/>
    <n v="1352"/>
    <s v="W11375498"/>
    <s v="Prateleiras"/>
    <x v="9"/>
    <n v="1000"/>
    <n v="5002359"/>
    <s v="EMPRESA BRASILEIRA DE CORREIOS E"/>
    <n v="36.61"/>
    <d v="2025-07-23T00:00:00"/>
  </r>
  <r>
    <s v="Sem TR"/>
    <n v="64807327"/>
    <s v="ZRDI"/>
    <n v="10082586"/>
    <s v="D37"/>
    <s v="DEV D2C - Prod recebido em duplicidade"/>
    <s v="COMERCIAL"/>
    <x v="2"/>
    <n v="4775752"/>
    <x v="1687"/>
    <s v="DF"/>
    <n v="474"/>
    <s v="Site Brastemp"/>
    <n v="1352"/>
    <n v="326050119"/>
    <s v="Capas Queimadores"/>
    <x v="12"/>
    <n v="1000"/>
    <n v="5002359"/>
    <s v="EMPRESA BRASILEIRA DE CORREIOS E"/>
    <n v="36.61"/>
    <d v="2025-07-10T00:00:00"/>
  </r>
  <r>
    <s v="Sem TR"/>
    <n v="64816016"/>
    <s v="ZRDI"/>
    <n v="10144014"/>
    <s v="D31"/>
    <s v="DEV D2C - Defeito estético manufatura"/>
    <s v="MANUFATURA"/>
    <x v="2"/>
    <n v="55335746"/>
    <x v="1966"/>
    <s v="SP"/>
    <n v="475"/>
    <s v="Site Consul"/>
    <n v="1352"/>
    <s v="W11375498"/>
    <s v="Prateleiras"/>
    <x v="9"/>
    <n v="1000"/>
    <n v="5002359"/>
    <s v="EMPRESA BRASILEIRA DE CORREIOS E"/>
    <n v="36.61"/>
    <d v="2025-07-23T00:00:00"/>
  </r>
  <r>
    <n v="253983832"/>
    <n v="64759513"/>
    <s v="REB"/>
    <n v="9983756"/>
    <n v="167"/>
    <s v="PEÇAS - Avaria - Quebrada/Depósito"/>
    <s v="LOGÍSTICA"/>
    <x v="2"/>
    <n v="5011"/>
    <x v="189"/>
    <s v="RS"/>
    <n v="350"/>
    <s v="Ats On"/>
    <n v="1350"/>
    <s v="W11132264"/>
    <s v="Trempes"/>
    <x v="6"/>
    <n v="1000"/>
    <n v="5003024"/>
    <s v="RODOBRAS TRANSPORTES RODOVIARIOS LT"/>
    <n v="36.549999999999997"/>
    <d v="2025-04-28T00:00:00"/>
  </r>
  <r>
    <n v="254037072"/>
    <n v="64814995"/>
    <s v="ZRDI"/>
    <n v="10126503"/>
    <n v="208"/>
    <s v="DEV-Atraso entrega- LOGISTICA(Transp)"/>
    <s v="TRANSPORTADORA"/>
    <x v="2"/>
    <n v="58138714"/>
    <x v="1967"/>
    <s v="RS"/>
    <n v="466"/>
    <s v="Sup ML Marketplace"/>
    <n v="1352"/>
    <s v="W10602056"/>
    <s v="Botões"/>
    <x v="6"/>
    <n v="1000"/>
    <n v="5002359"/>
    <s v="EMPRESA BRASILEIRA DE CORREIOS E"/>
    <n v="36.5"/>
    <d v="2025-07-22T00:00:00"/>
  </r>
  <r>
    <n v="254037072"/>
    <n v="64814995"/>
    <s v="ZRDI"/>
    <n v="10126503"/>
    <n v="208"/>
    <s v="DEV-Atraso entrega- LOGISTICA(Transp)"/>
    <s v="TRANSPORTADORA"/>
    <x v="2"/>
    <n v="58138714"/>
    <x v="1967"/>
    <s v="RS"/>
    <n v="466"/>
    <s v="Sup ML Marketplace"/>
    <n v="1352"/>
    <s v="W10602056"/>
    <s v="Botões"/>
    <x v="6"/>
    <n v="1000"/>
    <n v="5002359"/>
    <s v="EMPRESA BRASILEIRA DE CORREIOS E"/>
    <n v="36.5"/>
    <d v="2025-07-22T00:00:00"/>
  </r>
  <r>
    <s v="Sem TR"/>
    <n v="64782432"/>
    <s v="REB"/>
    <n v="10066829"/>
    <n v="509"/>
    <s v="Qtd de peças a Menor dentro do Volume"/>
    <s v="LOGÍSTICA"/>
    <x v="1"/>
    <n v="86964"/>
    <x v="345"/>
    <s v="PB"/>
    <n v="713"/>
    <s v="Key Account"/>
    <n v="1350"/>
    <s v="W11498695"/>
    <s v="Capas"/>
    <x v="6"/>
    <n v="1000"/>
    <n v="5002359"/>
    <s v="EMPRESA BRASILEIRA DE CORREIOS E"/>
    <n v="36.479999999999997"/>
    <d v="2025-06-24T00:00:00"/>
  </r>
  <r>
    <n v="254042290"/>
    <n v="64796058"/>
    <s v="REB"/>
    <n v="9968109"/>
    <n v="176"/>
    <s v="PEÇAS - Defeito de fabric./Interrompido"/>
    <s v="FUNCIONAL"/>
    <x v="0"/>
    <n v="13757"/>
    <x v="14"/>
    <s v="SP"/>
    <n v="713"/>
    <s v="Key Account"/>
    <n v="1350"/>
    <s v="W10882241"/>
    <s v="Agitadores"/>
    <x v="2"/>
    <n v="1000"/>
    <n v="5004042"/>
    <s v="BRASIL WEB TRANSPORTES E LOGISTICA"/>
    <n v="36.43"/>
    <d v="2025-06-23T00:00:00"/>
  </r>
  <r>
    <s v="Sem TR"/>
    <n v="64809069"/>
    <s v="ZRDI"/>
    <n v="10120289"/>
    <s v="D10"/>
    <s v="DEV D2C - Comprou modelo errado"/>
    <s v="COMERCIAL"/>
    <x v="2"/>
    <n v="53069199"/>
    <x v="1968"/>
    <s v="SP"/>
    <n v="474"/>
    <s v="Site Brastemp"/>
    <n v="1352"/>
    <s v="W10816563"/>
    <s v="Capas Queimadores"/>
    <x v="12"/>
    <n v="1000"/>
    <n v="5002359"/>
    <s v="EMPRESA BRASILEIRA DE CORREIOS E"/>
    <n v="36.380000000000003"/>
    <d v="2025-07-11T00:00:00"/>
  </r>
  <r>
    <s v="Sem TR"/>
    <n v="64814496"/>
    <s v="ZRDI"/>
    <n v="10142186"/>
    <s v="D10"/>
    <s v="DEV D2C - Comprou modelo errado"/>
    <s v="COMERCIAL"/>
    <x v="2"/>
    <n v="5734339"/>
    <x v="601"/>
    <s v="SP"/>
    <n v="474"/>
    <s v="Site Brastemp"/>
    <n v="1352"/>
    <s v="W10816563"/>
    <s v="Capas Queimadores"/>
    <x v="12"/>
    <n v="1000"/>
    <n v="5002359"/>
    <s v="EMPRESA BRASILEIRA DE CORREIOS E"/>
    <n v="36.380000000000003"/>
    <d v="2025-07-23T00:00:00"/>
  </r>
  <r>
    <s v="Sem TR"/>
    <n v="64814512"/>
    <s v="ZRDI"/>
    <n v="10142186"/>
    <s v="D10"/>
    <s v="DEV D2C - Comprou modelo errado"/>
    <s v="COMERCIAL"/>
    <x v="2"/>
    <n v="5734339"/>
    <x v="601"/>
    <s v="SP"/>
    <n v="474"/>
    <s v="Site Brastemp"/>
    <n v="1352"/>
    <s v="W10816563"/>
    <s v="Capas Queimadores"/>
    <x v="12"/>
    <n v="1000"/>
    <n v="5002359"/>
    <s v="EMPRESA BRASILEIRA DE CORREIOS E"/>
    <n v="36.380000000000003"/>
    <d v="2025-07-23T00:00:00"/>
  </r>
  <r>
    <s v="Sem TR"/>
    <n v="64814512"/>
    <s v="ZRDI"/>
    <n v="10142186"/>
    <s v="D10"/>
    <s v="DEV D2C - Comprou modelo errado"/>
    <s v="COMERCIAL"/>
    <x v="2"/>
    <n v="5734339"/>
    <x v="601"/>
    <s v="SP"/>
    <n v="474"/>
    <s v="Site Brastemp"/>
    <n v="1352"/>
    <s v="W10816563"/>
    <s v="Capas Queimadores"/>
    <x v="12"/>
    <n v="1000"/>
    <n v="5002359"/>
    <s v="EMPRESA BRASILEIRA DE CORREIOS E"/>
    <n v="36.380000000000003"/>
    <d v="2025-07-23T00:00:00"/>
  </r>
  <r>
    <s v="Sem TR"/>
    <n v="64819882"/>
    <s v="ZRDI"/>
    <n v="10144607"/>
    <s v="D10"/>
    <s v="DEV D2C - Comprou modelo errado"/>
    <s v="COMERCIAL"/>
    <x v="1"/>
    <n v="50190855"/>
    <x v="1969"/>
    <s v="SP"/>
    <n v="474"/>
    <s v="Site Brastemp"/>
    <n v="1352"/>
    <n v="326061177"/>
    <s v="Capas Queimadores"/>
    <x v="12"/>
    <n v="1000"/>
    <n v="5002359"/>
    <s v="EMPRESA BRASILEIRA DE CORREIOS E"/>
    <n v="36.380000000000003"/>
    <d v="2025-07-30T00:00:00"/>
  </r>
  <r>
    <n v="254041631"/>
    <n v="64782257"/>
    <s v="REB"/>
    <n v="10015485"/>
    <n v="173"/>
    <s v="PEÇAS - Defeito de fabric./Alta Amperage"/>
    <s v="FUNCIONAL"/>
    <x v="1"/>
    <n v="66"/>
    <x v="73"/>
    <s v="GO"/>
    <n v="931"/>
    <s v="Ats Off"/>
    <n v="1350"/>
    <s v="W11622875"/>
    <s v="Conexões Hidráulicas"/>
    <x v="10"/>
    <n v="1000"/>
    <n v="5002858"/>
    <s v="FAVORITA TRANSPORTES LTDA"/>
    <n v="36.369999999999997"/>
    <d v="2025-06-24T00:00:00"/>
  </r>
  <r>
    <n v="253998011"/>
    <n v="64769036"/>
    <s v="REB"/>
    <n v="10018820"/>
    <n v="167"/>
    <s v="PEÇAS - Avaria - Quebrada/Depósito"/>
    <s v="LOGÍSTICA"/>
    <x v="1"/>
    <n v="82087"/>
    <x v="1970"/>
    <s v="SP"/>
    <n v="350"/>
    <s v="Ats On"/>
    <n v="1350"/>
    <s v="W10347208"/>
    <s v="Prateleiras"/>
    <x v="9"/>
    <n v="1000"/>
    <n v="5004042"/>
    <s v="BRASIL WEB TRANSPORTES E LOGISTICA"/>
    <n v="36.299999999999997"/>
    <d v="2025-05-16T00:00:00"/>
  </r>
  <r>
    <n v="253970693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1442772"/>
    <s v="Válvulas de Segurança"/>
    <x v="12"/>
    <n v="1000"/>
    <n v="5004042"/>
    <s v="BRASIL WEB TRANSPORTES E LOGISTICA"/>
    <n v="36.28"/>
    <d v="2025-04-09T00:00:00"/>
  </r>
  <r>
    <n v="254024101"/>
    <n v="64803608"/>
    <s v="ZRDI"/>
    <n v="10026401"/>
    <n v="208"/>
    <s v="DEV-Atraso entrega- LOGISTICA(Transp)"/>
    <s v="TRANSPORTADORA"/>
    <x v="2"/>
    <n v="57798121"/>
    <x v="1971"/>
    <s v="MT"/>
    <n v="474"/>
    <s v="Site Brastemp"/>
    <n v="1352"/>
    <n v="326035077"/>
    <s v="Registros"/>
    <x v="12"/>
    <n v="1000"/>
    <n v="5002359"/>
    <s v="EMPRESA BRASILEIRA DE CORREIOS E"/>
    <n v="36.26"/>
    <d v="2025-07-01T00:00:00"/>
  </r>
  <r>
    <n v="254033393"/>
    <n v="64788773"/>
    <s v="REB"/>
    <n v="10111445"/>
    <n v="173"/>
    <s v="PEÇAS - Defeito de fabric./Alta Amperage"/>
    <s v="FUNCIONAL"/>
    <x v="1"/>
    <n v="37434"/>
    <x v="95"/>
    <s v="GO"/>
    <n v="931"/>
    <s v="Ats Off"/>
    <n v="1350"/>
    <s v="W10737624"/>
    <s v="Pressostatos"/>
    <x v="3"/>
    <n v="1000"/>
    <n v="5002858"/>
    <s v="FAVORITA TRANSPORTES LTDA"/>
    <n v="36.229999999999997"/>
    <d v="2025-07-08T00:00:00"/>
  </r>
  <r>
    <n v="253927633"/>
    <n v="64703190"/>
    <s v="REB"/>
    <n v="9837274"/>
    <n v="220"/>
    <s v="DEV-Avaria 1 trecho transp - Produto"/>
    <s v="QUALIDADE"/>
    <x v="1"/>
    <n v="27874"/>
    <x v="237"/>
    <s v="RS"/>
    <n v="933"/>
    <s v="Top"/>
    <n v="1350"/>
    <n v="326047714"/>
    <s v="Prateleiras"/>
    <x v="9"/>
    <n v="1000"/>
    <n v="5003024"/>
    <s v="RODOBRAS TRANSPORTES RODOVIARIOS LT"/>
    <n v="36.229999999999997"/>
    <d v="2025-01-30T00:00:00"/>
  </r>
  <r>
    <n v="253995081"/>
    <n v="64769677"/>
    <s v="REB"/>
    <n v="9938447"/>
    <n v="173"/>
    <s v="PEÇAS - Defeito de fabric./Alta Amperage"/>
    <s v="FUNCIONAL"/>
    <x v="1"/>
    <n v="18949"/>
    <x v="264"/>
    <s v="SP"/>
    <n v="933"/>
    <s v="Top"/>
    <n v="1350"/>
    <s v="W10849469"/>
    <s v="Bombas"/>
    <x v="1"/>
    <n v="1000"/>
    <n v="5004042"/>
    <s v="BRASIL WEB TRANSPORTES E LOGISTICA"/>
    <n v="36.19"/>
    <d v="2025-05-15T00:00:00"/>
  </r>
  <r>
    <n v="254012491"/>
    <n v="64789374"/>
    <s v="REB"/>
    <n v="10069903"/>
    <n v="167"/>
    <s v="PEÇAS - Avaria - Quebrada/Depósito"/>
    <s v="LOGÍSTICA"/>
    <x v="1"/>
    <n v="27574"/>
    <x v="938"/>
    <s v="SP"/>
    <n v="641"/>
    <s v="CDP Diamante"/>
    <n v="1350"/>
    <s v="W10616687"/>
    <s v="Capas"/>
    <x v="6"/>
    <n v="1000"/>
    <n v="5004042"/>
    <s v="BRASIL WEB TRANSPORTES E LOGISTICA"/>
    <n v="36.19"/>
    <d v="2025-06-10T00:00:00"/>
  </r>
  <r>
    <n v="254007515"/>
    <n v="64783414"/>
    <s v="REB"/>
    <n v="10058339"/>
    <n v="176"/>
    <s v="PEÇAS - Defeito de fabric./Interrompido"/>
    <s v="FUNCIONAL"/>
    <x v="2"/>
    <n v="3649"/>
    <x v="148"/>
    <s v="SP"/>
    <n v="350"/>
    <s v="Ats On"/>
    <n v="1350"/>
    <s v="W10518617"/>
    <s v="Atuadores"/>
    <x v="2"/>
    <n v="1000"/>
    <n v="5004042"/>
    <s v="BRASIL WEB TRANSPORTES E LOGISTICA"/>
    <n v="36.18"/>
    <d v="2025-06-02T00:00:00"/>
  </r>
  <r>
    <n v="254040414"/>
    <n v="64818318"/>
    <s v="ZRDI"/>
    <n v="10129888"/>
    <n v="208"/>
    <s v="DEV-Atraso entrega- LOGISTICA(Transp)"/>
    <s v="TRANSPORTADORA"/>
    <x v="2"/>
    <n v="58146912"/>
    <x v="1972"/>
    <s v="SC"/>
    <n v="475"/>
    <s v="Site Consul"/>
    <n v="1352"/>
    <s v="W11715713"/>
    <s v="Outros"/>
    <x v="7"/>
    <n v="1000"/>
    <n v="5002359"/>
    <s v="EMPRESA BRASILEIRA DE CORREIOS E"/>
    <n v="36.18"/>
    <d v="2025-07-26T00:00:00"/>
  </r>
  <r>
    <n v="254040414"/>
    <n v="64818318"/>
    <s v="ZRDI"/>
    <n v="10129888"/>
    <n v="208"/>
    <s v="DEV-Atraso entrega- LOGISTICA(Transp)"/>
    <s v="TRANSPORTADORA"/>
    <x v="2"/>
    <n v="58146912"/>
    <x v="1972"/>
    <s v="SC"/>
    <n v="475"/>
    <s v="Site Consul"/>
    <n v="1352"/>
    <s v="W11715713"/>
    <s v="Outros"/>
    <x v="7"/>
    <n v="1000"/>
    <n v="5002359"/>
    <s v="EMPRESA BRASILEIRA DE CORREIOS E"/>
    <n v="36.18"/>
    <d v="2025-07-26T00:00:00"/>
  </r>
  <r>
    <s v="Sem TR"/>
    <n v="64804457"/>
    <s v="REB"/>
    <n v="10048796"/>
    <n v="509"/>
    <s v="Qtd de peças a Menor dentro do Volume"/>
    <s v="LOGÍSTICA"/>
    <x v="1"/>
    <n v="47026"/>
    <x v="16"/>
    <s v="BA"/>
    <n v="643"/>
    <s v="Elite"/>
    <n v="1350"/>
    <n v="326062041"/>
    <s v="Recipientes de Evaporação"/>
    <x v="9"/>
    <n v="3000"/>
    <n v="5002359"/>
    <s v="EMPRESA BRASILEIRA DE CORREIOS E"/>
    <n v="36.090000000000003"/>
    <d v="2025-07-08T00:00:00"/>
  </r>
  <r>
    <n v="254030537"/>
    <n v="64800098"/>
    <s v="REB"/>
    <n v="10094945"/>
    <n v="165"/>
    <s v="PEÇAS - Defeito de fabric./Incompleta"/>
    <s v="FUNCIONAL"/>
    <x v="0"/>
    <n v="80164"/>
    <x v="437"/>
    <s v="SP"/>
    <n v="641"/>
    <s v="CDP Diamante"/>
    <n v="1350"/>
    <s v="W10828358"/>
    <s v="Pressostatos"/>
    <x v="3"/>
    <n v="1000"/>
    <n v="5004042"/>
    <s v="BRASIL WEB TRANSPORTES E LOGISTICA"/>
    <n v="36.020000000000003"/>
    <d v="2025-07-01T00:00:00"/>
  </r>
  <r>
    <n v="253931018"/>
    <n v="64698242"/>
    <s v="REB"/>
    <n v="9719408"/>
    <n v="177"/>
    <s v="PEÇAS - Defeito de fabric./Ruído"/>
    <s v="FUNCIONAL"/>
    <x v="1"/>
    <n v="8975"/>
    <x v="90"/>
    <s v="MA"/>
    <n v="931"/>
    <s v="Ats Off"/>
    <n v="1350"/>
    <s v="W10764578"/>
    <s v="Conjunto Varetas"/>
    <x v="8"/>
    <n v="1000"/>
    <n v="5004101"/>
    <s v="UNIDOCK'S ASSESSORIA E LOGISTICA DE"/>
    <n v="36"/>
    <d v="2025-01-31T00:00:00"/>
  </r>
  <r>
    <n v="254038272"/>
    <n v="64814879"/>
    <s v="REB"/>
    <n v="10122292"/>
    <n v="176"/>
    <s v="PEÇAS - Defeito de fabric./Interrompido"/>
    <s v="FUNCIONAL"/>
    <x v="1"/>
    <n v="4318"/>
    <x v="89"/>
    <s v="SC"/>
    <n v="931"/>
    <s v="Ats Off"/>
    <n v="1350"/>
    <s v="W10284848"/>
    <s v="Correias"/>
    <x v="2"/>
    <n v="1000"/>
    <n v="5003024"/>
    <s v="RODOBRAS TRANSPORTES RODOVIARIOS LT"/>
    <n v="35.99"/>
    <d v="2025-07-22T00:00:00"/>
  </r>
  <r>
    <s v="Sem TR"/>
    <n v="64814455"/>
    <s v="ZRDI"/>
    <n v="10134643"/>
    <s v="D18"/>
    <s v="DEV D2C - Arrependimento não quero mais"/>
    <s v="COMERCIAL"/>
    <x v="2"/>
    <n v="58153834"/>
    <x v="1973"/>
    <s v="SP"/>
    <n v="475"/>
    <s v="Site Consul"/>
    <n v="1352"/>
    <s v="W10602480"/>
    <s v="Sensores"/>
    <x v="3"/>
    <n v="1000"/>
    <n v="5002359"/>
    <s v="EMPRESA BRASILEIRA DE CORREIOS E"/>
    <n v="35.979999999999997"/>
    <d v="2025-07-22T00:00:00"/>
  </r>
  <r>
    <s v="Sem TR"/>
    <n v="64814455"/>
    <s v="ZRDI"/>
    <n v="10134643"/>
    <s v="D18"/>
    <s v="DEV D2C - Arrependimento não quero mais"/>
    <s v="COMERCIAL"/>
    <x v="2"/>
    <n v="58153834"/>
    <x v="1973"/>
    <s v="SP"/>
    <n v="475"/>
    <s v="Site Consul"/>
    <n v="1352"/>
    <s v="W10602480"/>
    <s v="Sensores"/>
    <x v="3"/>
    <n v="1000"/>
    <n v="5002359"/>
    <s v="EMPRESA BRASILEIRA DE CORREIOS E"/>
    <n v="35.979999999999997"/>
    <d v="2025-07-22T00:00:00"/>
  </r>
  <r>
    <n v="254038293"/>
    <n v="64814527"/>
    <s v="REB"/>
    <n v="10082321"/>
    <n v="177"/>
    <s v="PEÇAS - Defeito de fabric./Ruído"/>
    <s v="FUNCIONAL"/>
    <x v="1"/>
    <n v="4318"/>
    <x v="89"/>
    <s v="SC"/>
    <n v="931"/>
    <s v="Ats Off"/>
    <n v="1350"/>
    <s v="W10284848"/>
    <s v="Correias"/>
    <x v="2"/>
    <n v="1000"/>
    <n v="5003024"/>
    <s v="RODOBRAS TRANSPORTES RODOVIARIOS LT"/>
    <n v="35.950000000000003"/>
    <d v="2025-07-22T00:00:00"/>
  </r>
  <r>
    <n v="254035336"/>
    <n v="64812406"/>
    <s v="REB"/>
    <n v="10079680"/>
    <n v="176"/>
    <s v="PEÇAS - Defeito de fabric./Interrompido"/>
    <s v="FUNCIONAL"/>
    <x v="1"/>
    <n v="4318"/>
    <x v="89"/>
    <s v="SC"/>
    <n v="931"/>
    <s v="Ats Off"/>
    <n v="1350"/>
    <s v="W10284848"/>
    <s v="Correias"/>
    <x v="2"/>
    <n v="1000"/>
    <n v="5003024"/>
    <s v="RODOBRAS TRANSPORTES RODOVIARIOS LT"/>
    <n v="35.950000000000003"/>
    <d v="2025-07-17T00:00:00"/>
  </r>
  <r>
    <s v="Sem TR"/>
    <n v="64802635"/>
    <s v="ZRDI"/>
    <n v="10116140"/>
    <s v="D11"/>
    <s v="DEV D2C - Comprou prod dimensão errada"/>
    <s v="COMERCIAL"/>
    <x v="2"/>
    <n v="57032067"/>
    <x v="1974"/>
    <s v="SP"/>
    <n v="474"/>
    <s v="Site Brastemp"/>
    <n v="1352"/>
    <s v="W11515690"/>
    <s v="Pés"/>
    <x v="6"/>
    <n v="1000"/>
    <n v="5002359"/>
    <s v="EMPRESA BRASILEIRA DE CORREIOS E"/>
    <n v="35.89"/>
    <d v="2025-07-07T00:00:00"/>
  </r>
  <r>
    <s v="Sem TR"/>
    <n v="64802635"/>
    <s v="ZRDI"/>
    <n v="10116140"/>
    <s v="D11"/>
    <s v="DEV D2C - Comprou prod dimensão errada"/>
    <s v="COMERCIAL"/>
    <x v="2"/>
    <n v="57032067"/>
    <x v="1974"/>
    <s v="SP"/>
    <n v="474"/>
    <s v="Site Brastemp"/>
    <n v="1352"/>
    <s v="W11515690"/>
    <s v="Pés"/>
    <x v="6"/>
    <n v="1000"/>
    <n v="5002359"/>
    <s v="EMPRESA BRASILEIRA DE CORREIOS E"/>
    <n v="35.89"/>
    <d v="2025-07-07T00:00:00"/>
  </r>
  <r>
    <n v="254032508"/>
    <n v="64811472"/>
    <s v="ZRDI"/>
    <n v="10085223"/>
    <n v="208"/>
    <s v="DEV-Atraso entrega- LOGISTICA(Transp)"/>
    <s v="TRANSPORTADORA"/>
    <x v="2"/>
    <n v="55042719"/>
    <x v="1975"/>
    <s v="PR"/>
    <n v="475"/>
    <s v="Site Consul"/>
    <n v="1352"/>
    <s v="W11715713"/>
    <s v="Outros"/>
    <x v="7"/>
    <n v="1000"/>
    <n v="5002359"/>
    <s v="EMPRESA BRASILEIRA DE CORREIOS E"/>
    <n v="35.880000000000003"/>
    <d v="2025-07-16T00:00:00"/>
  </r>
  <r>
    <n v="254033981"/>
    <n v="64812546"/>
    <s v="ZRDI"/>
    <n v="10116174"/>
    <n v="208"/>
    <s v="DEV-Atraso entrega- LOGISTICA(Transp)"/>
    <s v="TRANSPORTADORA"/>
    <x v="2"/>
    <n v="58125447"/>
    <x v="1976"/>
    <s v="RJ"/>
    <n v="475"/>
    <s v="Site Consul"/>
    <n v="1352"/>
    <s v="W11715713"/>
    <s v="Outros"/>
    <x v="7"/>
    <n v="1000"/>
    <n v="5002359"/>
    <s v="EMPRESA BRASILEIRA DE CORREIOS E"/>
    <n v="35.880000000000003"/>
    <d v="2025-07-17T00:00:00"/>
  </r>
  <r>
    <n v="254033981"/>
    <n v="64812546"/>
    <s v="ZRDI"/>
    <n v="10116174"/>
    <n v="208"/>
    <s v="DEV-Atraso entrega- LOGISTICA(Transp)"/>
    <s v="TRANSPORTADORA"/>
    <x v="2"/>
    <n v="58125447"/>
    <x v="1976"/>
    <s v="RJ"/>
    <n v="475"/>
    <s v="Site Consul"/>
    <n v="1352"/>
    <s v="W11715713"/>
    <s v="Outros"/>
    <x v="7"/>
    <n v="1000"/>
    <n v="5002359"/>
    <s v="EMPRESA BRASILEIRA DE CORREIOS E"/>
    <n v="35.880000000000003"/>
    <d v="2025-07-17T00:00:00"/>
  </r>
  <r>
    <n v="254041070"/>
    <n v="64818856"/>
    <s v="ZRDI"/>
    <n v="10129208"/>
    <n v="208"/>
    <s v="DEV-Atraso entrega- LOGISTICA(Transp)"/>
    <s v="TRANSPORTADORA"/>
    <x v="1"/>
    <n v="57877694"/>
    <x v="1977"/>
    <s v="RJ"/>
    <n v="475"/>
    <s v="Site Consul"/>
    <n v="1352"/>
    <s v="W11715713"/>
    <s v="Outros"/>
    <x v="7"/>
    <n v="1000"/>
    <n v="5002359"/>
    <s v="EMPRESA BRASILEIRA DE CORREIOS E"/>
    <n v="35.880000000000003"/>
    <d v="2025-07-28T00:00:00"/>
  </r>
  <r>
    <n v="254018254"/>
    <n v="64792385"/>
    <s v="REB"/>
    <n v="10073236"/>
    <n v="167"/>
    <s v="PEÇAS - Avaria - Quebrada/Depósito"/>
    <s v="LOGÍSTICA"/>
    <x v="1"/>
    <n v="27825"/>
    <x v="116"/>
    <s v="SP"/>
    <n v="641"/>
    <s v="CDP Diamante"/>
    <n v="1350"/>
    <s v="W10849469"/>
    <s v="Bombas"/>
    <x v="1"/>
    <n v="1000"/>
    <n v="5004042"/>
    <s v="BRASIL WEB TRANSPORTES E LOGISTICA"/>
    <n v="35.659999999999997"/>
    <d v="2025-06-16T00:00:00"/>
  </r>
  <r>
    <n v="253922587"/>
    <n v="64693196"/>
    <s v="REB"/>
    <n v="9448525"/>
    <n v="173"/>
    <s v="PEÇAS - Defeito de fabric./Alta Amperage"/>
    <s v="FUNCIONAL"/>
    <x v="1"/>
    <n v="76236"/>
    <x v="286"/>
    <s v="SP"/>
    <n v="644"/>
    <s v="Plus"/>
    <n v="1350"/>
    <s v="W11369860"/>
    <s v="Motores Ventiladores"/>
    <x v="1"/>
    <n v="1000"/>
    <n v="5003482"/>
    <s v="TMA TRANSPORTE LOTACAO E LOGISTICA"/>
    <n v="35.630000000000003"/>
    <d v="2025-01-20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289381"/>
    <s v="Queimadores"/>
    <x v="12"/>
    <n v="1000"/>
    <n v="5004101"/>
    <s v="UNIDOCK'S ASSESSORIA E LOGISTICA DE"/>
    <n v="35.619999999999997"/>
    <d v="2025-03-13T00:00:00"/>
  </r>
  <r>
    <n v="254038339"/>
    <n v="64814480"/>
    <s v="REB"/>
    <n v="10135786"/>
    <n v="167"/>
    <s v="PEÇAS - Avaria - Quebrada/Depósito"/>
    <s v="LOGÍSTICA"/>
    <x v="1"/>
    <n v="28016"/>
    <x v="331"/>
    <s v="RJ"/>
    <n v="933"/>
    <s v="Top"/>
    <n v="1350"/>
    <s v="W10553055"/>
    <s v="Prateleiras"/>
    <x v="9"/>
    <n v="1000"/>
    <n v="5003176"/>
    <s v="J C THEDIN TRANSPORTES LTDA"/>
    <n v="35.58"/>
    <d v="2025-07-22T00:00:00"/>
  </r>
  <r>
    <n v="254042466"/>
    <n v="64796969"/>
    <s v="REB"/>
    <n v="9964313"/>
    <n v="173"/>
    <s v="PEÇAS - Defeito de fabric./Alta Amperage"/>
    <s v="FUNCIONAL"/>
    <x v="0"/>
    <n v="27825"/>
    <x v="116"/>
    <s v="SP"/>
    <n v="641"/>
    <s v="CDP Diamante"/>
    <n v="1350"/>
    <s v="W10849469"/>
    <s v="Bombas"/>
    <x v="1"/>
    <n v="1000"/>
    <n v="5004042"/>
    <s v="BRASIL WEB TRANSPORTES E LOGISTICA"/>
    <n v="35.58"/>
    <d v="2025-06-24T00:00:00"/>
  </r>
  <r>
    <s v="Sem TR"/>
    <n v="64770466"/>
    <s v="ZRDI"/>
    <n v="10031378"/>
    <s v="D10"/>
    <s v="DEV D2C - Comprou modelo errado"/>
    <s v="COMERCIAL"/>
    <x v="2"/>
    <n v="58021812"/>
    <x v="1978"/>
    <s v="SP"/>
    <n v="474"/>
    <s v="Site Brastemp"/>
    <n v="1352"/>
    <s v="W11629019"/>
    <s v="Recipientes de Evaporação"/>
    <x v="9"/>
    <n v="1000"/>
    <n v="5002359"/>
    <s v="EMPRESA BRASILEIRA DE CORREIOS E"/>
    <n v="35.520000000000003"/>
    <d v="2025-05-16T00:00:00"/>
  </r>
  <r>
    <n v="253995221"/>
    <n v="64772294"/>
    <s v="REB"/>
    <n v="9909140"/>
    <n v="173"/>
    <s v="PEÇAS - Defeito de fabric./Alta Amperage"/>
    <s v="FUNCIONAL"/>
    <x v="2"/>
    <n v="72205"/>
    <x v="1092"/>
    <s v="SP"/>
    <n v="641"/>
    <s v="CDP Diamante"/>
    <n v="1350"/>
    <s v="W10518616"/>
    <s v="Atuadores"/>
    <x v="2"/>
    <n v="1000"/>
    <n v="5004042"/>
    <s v="BRASIL WEB TRANSPORTES E LOGISTICA"/>
    <n v="35.520000000000003"/>
    <d v="2025-05-16T00:00:00"/>
  </r>
  <r>
    <s v="Sem TR"/>
    <n v="64795788"/>
    <s v="ZRDI"/>
    <n v="10086315"/>
    <s v="D31"/>
    <s v="DEV D2C - Defeito estético manufatura"/>
    <s v="MANUFATURA"/>
    <x v="2"/>
    <n v="57262570"/>
    <x v="1979"/>
    <s v="SP"/>
    <n v="475"/>
    <s v="Site Consul"/>
    <n v="1352"/>
    <s v="W11629019"/>
    <s v="Recipientes de Evaporação"/>
    <x v="9"/>
    <n v="1000"/>
    <n v="5002359"/>
    <s v="EMPRESA BRASILEIRA DE CORREIOS E"/>
    <n v="35.520000000000003"/>
    <d v="2025-06-25T00:00:00"/>
  </r>
  <r>
    <s v="Sem TR"/>
    <n v="64797130"/>
    <s v="ZRDI"/>
    <n v="10066247"/>
    <s v="D10"/>
    <s v="DEV D2C - Comprou modelo errado"/>
    <s v="COMERCIAL"/>
    <x v="2"/>
    <n v="58061683"/>
    <x v="1035"/>
    <s v="SP"/>
    <n v="474"/>
    <s v="Site Brastemp"/>
    <n v="1352"/>
    <s v="W11629019"/>
    <s v="Recipientes de Evaporação"/>
    <x v="9"/>
    <n v="1000"/>
    <n v="5002359"/>
    <s v="EMPRESA BRASILEIRA DE CORREIOS E"/>
    <n v="35.520000000000003"/>
    <d v="2025-06-25T00:00:00"/>
  </r>
  <r>
    <s v="Sem TR"/>
    <n v="64770466"/>
    <s v="ZRDI"/>
    <n v="10031378"/>
    <s v="D10"/>
    <s v="DEV D2C - Comprou modelo errado"/>
    <s v="COMERCIAL"/>
    <x v="2"/>
    <n v="58021812"/>
    <x v="1978"/>
    <s v="SP"/>
    <n v="474"/>
    <s v="Site Brastemp"/>
    <n v="1352"/>
    <s v="W11629019"/>
    <s v="Recipientes de Evaporação"/>
    <x v="9"/>
    <n v="1000"/>
    <n v="5002359"/>
    <s v="EMPRESA BRASILEIRA DE CORREIOS E"/>
    <n v="35.520000000000003"/>
    <d v="2025-05-16T00:00:00"/>
  </r>
  <r>
    <n v="253961394"/>
    <n v="64733656"/>
    <s v="REB"/>
    <n v="9909140"/>
    <n v="173"/>
    <s v="PEÇAS - Defeito de fabric./Alta Amperage"/>
    <s v="FUNCIONAL"/>
    <x v="1"/>
    <n v="72205"/>
    <x v="1092"/>
    <s v="SP"/>
    <n v="641"/>
    <s v="CDP Diamante"/>
    <n v="1350"/>
    <s v="W10518616"/>
    <s v="Atuadores"/>
    <x v="2"/>
    <n v="1000"/>
    <n v="5004042"/>
    <s v="BRASIL WEB TRANSPORTES E LOGISTICA"/>
    <n v="35.520000000000003"/>
    <d v="2025-03-25T00:00:00"/>
  </r>
  <r>
    <n v="254031845"/>
    <n v="64796881"/>
    <s v="REB"/>
    <n v="9976748"/>
    <n v="176"/>
    <s v="PEÇAS - Defeito de fabric./Interrompido"/>
    <s v="FUNCIONAL"/>
    <x v="1"/>
    <n v="3506"/>
    <x v="46"/>
    <s v="SP"/>
    <n v="931"/>
    <s v="Ats Off"/>
    <n v="1350"/>
    <s v="W11510292"/>
    <s v="Interruptores"/>
    <x v="3"/>
    <n v="1000"/>
    <n v="5004042"/>
    <s v="BRASIL WEB TRANSPORTES E LOGISTICA"/>
    <n v="35.51"/>
    <d v="2025-06-24T00:00:00"/>
  </r>
  <r>
    <n v="253988908"/>
    <n v="64763945"/>
    <s v="REB"/>
    <n v="9995298"/>
    <n v="173"/>
    <s v="PEÇAS - Defeito de fabric./Alta Amperage"/>
    <s v="FUNCIONAL"/>
    <x v="1"/>
    <n v="70149"/>
    <x v="147"/>
    <s v="SP"/>
    <n v="963"/>
    <s v="Ats Distribuidoras"/>
    <n v="1350"/>
    <s v="W10231316"/>
    <s v="Válvulas de Água"/>
    <x v="5"/>
    <n v="1000"/>
    <n v="5004042"/>
    <s v="BRASIL WEB TRANSPORTES E LOGISTICA"/>
    <n v="35.49"/>
    <d v="2025-05-05T00:00:00"/>
  </r>
  <r>
    <n v="253997962"/>
    <n v="64774007"/>
    <s v="REB"/>
    <n v="10026677"/>
    <n v="104"/>
    <s v="PEÇAS-Código trocado(embalag X conteúdo)"/>
    <s v="LOGÍSTICA"/>
    <x v="2"/>
    <n v="38744"/>
    <x v="492"/>
    <s v="SC"/>
    <n v="350"/>
    <s v="Ats On"/>
    <n v="1350"/>
    <s v="W10284848"/>
    <s v="Correias"/>
    <x v="2"/>
    <n v="1000"/>
    <n v="5003024"/>
    <s v="RODOBRAS TRANSPORTES RODOVIARIOS LT"/>
    <n v="35.450000000000003"/>
    <d v="2025-05-20T00:00:00"/>
  </r>
  <r>
    <n v="254024140"/>
    <n v="64803772"/>
    <s v="ZRDI"/>
    <n v="10073059"/>
    <n v="208"/>
    <s v="DEV-Atraso entrega- LOGISTICA(Transp)"/>
    <s v="TRANSPORTADORA"/>
    <x v="2"/>
    <n v="58069483"/>
    <x v="1980"/>
    <s v="ES"/>
    <n v="466"/>
    <s v="Sup ML Marketplace"/>
    <n v="1352"/>
    <s v="W10602056"/>
    <s v="Botões"/>
    <x v="6"/>
    <n v="1000"/>
    <n v="5002359"/>
    <s v="EMPRESA BRASILEIRA DE CORREIOS E"/>
    <n v="35.409999999999997"/>
    <d v="2025-07-01T00:00:00"/>
  </r>
  <r>
    <s v="Sem TR"/>
    <n v="64736077"/>
    <s v="REB"/>
    <n v="9952990"/>
    <n v="167"/>
    <s v="PEÇAS - Avaria - Quebrada/Depósito"/>
    <s v="LOGÍSTICA"/>
    <x v="1"/>
    <n v="75752"/>
    <x v="74"/>
    <s v="PR"/>
    <n v="648"/>
    <s v="Ultra"/>
    <n v="1350"/>
    <s v="W10347199"/>
    <s v="Gavetas"/>
    <x v="9"/>
    <n v="1000"/>
    <n v="5003024"/>
    <s v="RODOBRAS TRANSPORTES RODOVIARIOS LT"/>
    <n v="35.299999999999997"/>
    <d v="2025-04-09T00:00:00"/>
  </r>
  <r>
    <n v="253952488"/>
    <n v="64729031"/>
    <s v="REB"/>
    <n v="9891023"/>
    <n v="167"/>
    <s v="PEÇAS - Avaria - Quebrada/Depósito"/>
    <s v="LOGÍSTICA"/>
    <x v="1"/>
    <n v="75752"/>
    <x v="74"/>
    <s v="PR"/>
    <n v="648"/>
    <s v="Ultra"/>
    <n v="1350"/>
    <s v="W10347199"/>
    <s v="Gavetas"/>
    <x v="9"/>
    <n v="1000"/>
    <n v="5003024"/>
    <s v="RODOBRAS TRANSPORTES RODOVIARIOS LT"/>
    <n v="35.25"/>
    <d v="2025-03-10T00:00:00"/>
  </r>
  <r>
    <s v="Sem TR"/>
    <n v="64792157"/>
    <s v="REB"/>
    <n v="10060296"/>
    <n v="509"/>
    <s v="Qtd de peças a Menor dentro do Volume"/>
    <s v="LOGÍSTICA"/>
    <x v="1"/>
    <n v="80432"/>
    <x v="3"/>
    <s v="ES"/>
    <n v="713"/>
    <s v="Key Account"/>
    <n v="1350"/>
    <s v="W10754807"/>
    <s v="Agitadores"/>
    <x v="2"/>
    <n v="1000"/>
    <n v="5002359"/>
    <s v="EMPRESA BRASILEIRA DE CORREIOS E"/>
    <n v="35.18"/>
    <d v="2025-06-23T00:00:00"/>
  </r>
  <r>
    <s v="Sem TR"/>
    <n v="64795917"/>
    <s v="ZRDI"/>
    <n v="9932632"/>
    <s v="D31"/>
    <s v="DEV D2C - Defeito estético manufatura"/>
    <s v="MANUFATURA"/>
    <x v="2"/>
    <n v="50238466"/>
    <x v="1981"/>
    <s v="PR"/>
    <n v="475"/>
    <s v="Site Consul"/>
    <n v="1352"/>
    <s v="W10602056"/>
    <s v="Botões"/>
    <x v="6"/>
    <n v="1000"/>
    <n v="5002359"/>
    <s v="EMPRESA BRASILEIRA DE CORREIOS E"/>
    <n v="35.17"/>
    <d v="2025-06-27T00:00:00"/>
  </r>
  <r>
    <n v="254003849"/>
    <n v="64778120"/>
    <s v="REB"/>
    <n v="10027640"/>
    <n v="176"/>
    <s v="PEÇAS - Defeito de fabric./Interrompido"/>
    <s v="FUNCIONAL"/>
    <x v="2"/>
    <n v="3506"/>
    <x v="46"/>
    <s v="SP"/>
    <n v="931"/>
    <s v="Ats Off"/>
    <n v="1350"/>
    <s v="W10531315"/>
    <s v="Sensores"/>
    <x v="3"/>
    <n v="4000"/>
    <n v="5004042"/>
    <s v="BRASIL WEB TRANSPORTES E LOGISTICA"/>
    <n v="35.15"/>
    <d v="2025-05-26T00:00:00"/>
  </r>
  <r>
    <n v="254018177"/>
    <n v="64793231"/>
    <s v="REB"/>
    <n v="10027640"/>
    <n v="176"/>
    <s v="PEÇAS - Defeito de fabric./Interrompido"/>
    <s v="FUNCIONAL"/>
    <x v="1"/>
    <n v="3506"/>
    <x v="46"/>
    <s v="SP"/>
    <n v="931"/>
    <s v="Ats Off"/>
    <n v="1350"/>
    <s v="W10531315"/>
    <s v="Sensores"/>
    <x v="3"/>
    <n v="4000"/>
    <n v="5004042"/>
    <s v="BRASIL WEB TRANSPORTES E LOGISTICA"/>
    <n v="35.15"/>
    <d v="2025-06-17T00:00:00"/>
  </r>
  <r>
    <n v="253970251"/>
    <n v="64746104"/>
    <s v="REB"/>
    <n v="9947039"/>
    <n v="167"/>
    <s v="PEÇAS - Avaria - Quebrada/Depósito"/>
    <s v="LOGÍSTICA"/>
    <x v="1"/>
    <n v="86897"/>
    <x v="1982"/>
    <s v="RJ"/>
    <n v="698"/>
    <s v="CDP Bronze"/>
    <n v="1350"/>
    <s v="W10553055"/>
    <s v="Prateleiras"/>
    <x v="9"/>
    <n v="1000"/>
    <n v="5003176"/>
    <s v="J C THEDIN TRANSPORTES LTDA"/>
    <n v="35.090000000000003"/>
    <d v="2025-04-04T00:00:00"/>
  </r>
  <r>
    <n v="254033419"/>
    <n v="64802477"/>
    <s v="REB"/>
    <n v="10043408"/>
    <n v="173"/>
    <s v="PEÇAS - Defeito de fabric./Alta Amperage"/>
    <s v="FUNCIONAL"/>
    <x v="1"/>
    <n v="54055"/>
    <x v="1887"/>
    <s v="MA"/>
    <n v="933"/>
    <s v="Top"/>
    <n v="1350"/>
    <s v="W10518617"/>
    <s v="Atuadores"/>
    <x v="2"/>
    <n v="1000"/>
    <n v="5004101"/>
    <s v="UNIDOCK'S ASSESSORIA E LOGISTICA DE"/>
    <n v="35.020000000000003"/>
    <d v="2025-07-01T00:00:00"/>
  </r>
  <r>
    <n v="254033976"/>
    <n v="64812541"/>
    <s v="ZRDI"/>
    <n v="10110973"/>
    <n v="208"/>
    <s v="DEV-Atraso entrega- LOGISTICA(Transp)"/>
    <s v="TRANSPORTADORA"/>
    <x v="2"/>
    <n v="58121660"/>
    <x v="1983"/>
    <s v="MS"/>
    <n v="474"/>
    <s v="Site Brastemp"/>
    <n v="1352"/>
    <s v="W10318268"/>
    <s v="Amortecedores"/>
    <x v="8"/>
    <n v="1000"/>
    <n v="5002359"/>
    <s v="EMPRESA BRASILEIRA DE CORREIOS E"/>
    <n v="35.020000000000003"/>
    <d v="2025-07-17T00:00:00"/>
  </r>
  <r>
    <n v="254033976"/>
    <n v="64812541"/>
    <s v="ZRDI"/>
    <n v="10110973"/>
    <n v="208"/>
    <s v="DEV-Atraso entrega- LOGISTICA(Transp)"/>
    <s v="TRANSPORTADORA"/>
    <x v="2"/>
    <n v="58121660"/>
    <x v="1983"/>
    <s v="MS"/>
    <n v="474"/>
    <s v="Site Brastemp"/>
    <n v="1352"/>
    <s v="W10318268"/>
    <s v="Amortecedores"/>
    <x v="8"/>
    <n v="1000"/>
    <n v="5002359"/>
    <s v="EMPRESA BRASILEIRA DE CORREIOS E"/>
    <n v="35.020000000000003"/>
    <d v="2025-07-17T00:00:00"/>
  </r>
  <r>
    <n v="254007517"/>
    <n v="64782204"/>
    <s v="REB"/>
    <n v="10011834"/>
    <n v="167"/>
    <s v="PEÇAS - Avaria - Quebrada/Depósito"/>
    <s v="LOGÍSTICA"/>
    <x v="1"/>
    <n v="4446"/>
    <x v="392"/>
    <s v="PR"/>
    <n v="350"/>
    <s v="Ats On"/>
    <n v="1350"/>
    <s v="W10398757"/>
    <s v="Prateleiras"/>
    <x v="9"/>
    <n v="1000"/>
    <n v="5003024"/>
    <s v="RODOBRAS TRANSPORTES RODOVIARIOS LT"/>
    <n v="35.01"/>
    <d v="2025-06-02T00:00:00"/>
  </r>
  <r>
    <s v="Sem TR"/>
    <n v="64731044"/>
    <s v="ROB"/>
    <n v="9901170"/>
    <n v="25"/>
    <s v="OC. 80 - EXTRAVIO TOTAL"/>
    <s v="TRANSPORTADORA"/>
    <x v="0"/>
    <n v="32823"/>
    <x v="758"/>
    <s v="MG"/>
    <n v="350"/>
    <s v="Ats On"/>
    <n v="1350"/>
    <s v="W11448418"/>
    <s v="Polias/Roldanas"/>
    <x v="2"/>
    <n v="4000"/>
    <n v="5004101"/>
    <s v="UNIDOCK'S ASSESSORIA E LOGISTICA DE"/>
    <n v="35.01"/>
    <d v="2025-03-13T00:00:00"/>
  </r>
  <r>
    <n v="253970784"/>
    <n v="64748767"/>
    <s v="REB"/>
    <n v="9959027"/>
    <n v="173"/>
    <s v="PEÇAS - Defeito de fabric./Alta Amperage"/>
    <s v="FUNCIONAL"/>
    <x v="1"/>
    <n v="31587"/>
    <x v="135"/>
    <s v="SP"/>
    <n v="643"/>
    <s v="Elite"/>
    <n v="1350"/>
    <s v="W10518616"/>
    <s v="Atuadores"/>
    <x v="2"/>
    <n v="1000"/>
    <n v="5004042"/>
    <s v="BRASIL WEB TRANSPORTES E LOGISTICA"/>
    <n v="34.96"/>
    <d v="2025-04-09T00:00:00"/>
  </r>
  <r>
    <n v="253992670"/>
    <n v="64766846"/>
    <s v="REB"/>
    <n v="10022403"/>
    <n v="173"/>
    <s v="PEÇAS - Defeito de fabric./Alta Amperage"/>
    <s v="FUNCIONAL"/>
    <x v="1"/>
    <n v="3625"/>
    <x v="324"/>
    <s v="SP"/>
    <n v="350"/>
    <s v="Ats On"/>
    <n v="1350"/>
    <s v="W10849469"/>
    <s v="Bombas"/>
    <x v="1"/>
    <n v="1000"/>
    <n v="5004042"/>
    <s v="BRASIL WEB TRANSPORTES E LOGISTICA"/>
    <n v="34.93"/>
    <d v="2025-05-12T00:00:00"/>
  </r>
  <r>
    <n v="254018238"/>
    <n v="64787143"/>
    <s v="REB"/>
    <n v="9259043"/>
    <n v="176"/>
    <s v="PEÇAS - Defeito de fabric./Interrompido"/>
    <s v="FUNCIONAL"/>
    <x v="1"/>
    <n v="24089"/>
    <x v="134"/>
    <s v="RJ"/>
    <n v="931"/>
    <s v="Ats Off"/>
    <n v="1350"/>
    <s v="W10274105"/>
    <s v="Capacitores"/>
    <x v="1"/>
    <n v="1000"/>
    <n v="5003176"/>
    <s v="J C THEDIN TRANSPORTES LTDA"/>
    <n v="34.880000000000003"/>
    <d v="2025-06-17T00:00:00"/>
  </r>
  <r>
    <n v="254012503"/>
    <n v="64787200"/>
    <s v="REB"/>
    <n v="10042333"/>
    <n v="176"/>
    <s v="PEÇAS - Defeito de fabric./Interrompido"/>
    <s v="FUNCIONAL"/>
    <x v="2"/>
    <n v="29095"/>
    <x v="368"/>
    <s v="SP"/>
    <n v="933"/>
    <s v="Top"/>
    <n v="1350"/>
    <s v="W10828358"/>
    <s v="Pressostatos"/>
    <x v="3"/>
    <n v="1000"/>
    <n v="5004042"/>
    <s v="BRASIL WEB TRANSPORTES E LOGISTICA"/>
    <n v="34.82"/>
    <d v="2025-06-10T00:00:00"/>
  </r>
  <r>
    <n v="254030540"/>
    <n v="64802454"/>
    <s v="REB"/>
    <n v="9904213"/>
    <n v="176"/>
    <s v="PEÇAS - Defeito de fabric./Interrompido"/>
    <s v="FUNCIONAL"/>
    <x v="1"/>
    <n v="81988"/>
    <x v="38"/>
    <s v="MG"/>
    <n v="648"/>
    <s v="Ultra"/>
    <n v="1350"/>
    <s v="W10518616"/>
    <s v="Atuadores"/>
    <x v="2"/>
    <n v="1000"/>
    <n v="5004215"/>
    <s v="BRASIL WEB TRANSPORTES E LOGISTICA"/>
    <n v="34.78"/>
    <d v="2025-07-01T00:00:00"/>
  </r>
  <r>
    <s v="Sem TR"/>
    <n v="64808692"/>
    <s v="REB"/>
    <n v="10113339"/>
    <n v="509"/>
    <s v="Qtd de peças a Menor dentro do Volume"/>
    <s v="LOGÍSTICA"/>
    <x v="1"/>
    <n v="55093"/>
    <x v="231"/>
    <s v="SP"/>
    <n v="648"/>
    <s v="Ultra"/>
    <n v="1350"/>
    <s v="W10531315"/>
    <s v="Sensores"/>
    <x v="3"/>
    <n v="4000"/>
    <n v="5002359"/>
    <s v="EMPRESA BRASILEIRA DE CORREIOS E"/>
    <n v="34.72"/>
    <d v="2025-07-17T00:00:00"/>
  </r>
  <r>
    <n v="253988841"/>
    <n v="64763846"/>
    <s v="REB"/>
    <n v="9995991"/>
    <n v="173"/>
    <s v="PEÇAS - Defeito de fabric./Alta Amperage"/>
    <s v="FUNCIONAL"/>
    <x v="1"/>
    <n v="27511"/>
    <x v="470"/>
    <s v="SP"/>
    <n v="641"/>
    <s v="CDP Diamante"/>
    <n v="1350"/>
    <n v="326013733"/>
    <s v="Termostatos"/>
    <x v="3"/>
    <n v="1000"/>
    <n v="5004042"/>
    <s v="BRASIL WEB TRANSPORTES E LOGISTICA"/>
    <n v="34.659999999999997"/>
    <d v="2025-05-05T00:00:00"/>
  </r>
  <r>
    <s v="Sem TR"/>
    <n v="64813850"/>
    <s v="REB"/>
    <n v="10122260"/>
    <n v="509"/>
    <s v="Qtd de peças a Menor dentro do Volume"/>
    <s v="LOGÍSTICA"/>
    <x v="1"/>
    <n v="27511"/>
    <x v="470"/>
    <s v="SP"/>
    <n v="641"/>
    <s v="CDP Diamante"/>
    <n v="1350"/>
    <s v="W10828358"/>
    <s v="Pressostatos"/>
    <x v="3"/>
    <n v="1000"/>
    <n v="5002359"/>
    <s v="EMPRESA BRASILEIRA DE CORREIOS E"/>
    <n v="34.659999999999997"/>
    <d v="2025-07-22T00:00:00"/>
  </r>
  <r>
    <n v="254042209"/>
    <n v="64792083"/>
    <s v="REB"/>
    <n v="10046917"/>
    <n v="176"/>
    <s v="PEÇAS - Defeito de fabric./Interrompido"/>
    <s v="FUNCIONAL"/>
    <x v="0"/>
    <n v="64522"/>
    <x v="158"/>
    <s v="SP"/>
    <n v="643"/>
    <s v="Elite"/>
    <n v="1350"/>
    <s v="W10828358"/>
    <s v="Pressostatos"/>
    <x v="3"/>
    <n v="1000"/>
    <n v="5004042"/>
    <s v="BRASIL WEB TRANSPORTES E LOGISTICA"/>
    <n v="34.64"/>
    <d v="2025-06-23T00:00:00"/>
  </r>
  <r>
    <n v="254038157"/>
    <n v="64816122"/>
    <s v="ZRDI"/>
    <n v="10093945"/>
    <n v="208"/>
    <s v="DEV-Atraso entrega- LOGISTICA(Transp)"/>
    <s v="TRANSPORTADORA"/>
    <x v="2"/>
    <n v="58095681"/>
    <x v="1984"/>
    <s v="MA"/>
    <n v="475"/>
    <s v="Site Consul"/>
    <n v="1352"/>
    <n v="326069471"/>
    <s v="Gaxetas"/>
    <x v="4"/>
    <n v="1000"/>
    <n v="5002359"/>
    <s v="EMPRESA BRASILEIRA DE CORREIOS E"/>
    <n v="34.549999999999997"/>
    <d v="2025-07-23T00:00:00"/>
  </r>
  <r>
    <n v="254038157"/>
    <n v="64816122"/>
    <s v="ZRDI"/>
    <n v="10093945"/>
    <n v="208"/>
    <s v="DEV-Atraso entrega- LOGISTICA(Transp)"/>
    <s v="TRANSPORTADORA"/>
    <x v="2"/>
    <n v="58095681"/>
    <x v="1984"/>
    <s v="MA"/>
    <n v="475"/>
    <s v="Site Consul"/>
    <n v="1352"/>
    <n v="326069471"/>
    <s v="Gaxetas"/>
    <x v="4"/>
    <n v="1000"/>
    <n v="5002359"/>
    <s v="EMPRESA BRASILEIRA DE CORREIOS E"/>
    <n v="34.549999999999997"/>
    <d v="2025-07-23T00:00:00"/>
  </r>
  <r>
    <n v="254035325"/>
    <n v="64812359"/>
    <s v="REB"/>
    <n v="10046173"/>
    <n v="168"/>
    <s v="PEÇAS-Def.Fabric.Empenamento/Abaulamento"/>
    <s v="FUNCIONAL"/>
    <x v="0"/>
    <n v="3506"/>
    <x v="46"/>
    <s v="SP"/>
    <n v="931"/>
    <s v="Ats Off"/>
    <n v="1350"/>
    <s v="W10616687"/>
    <s v="Capas"/>
    <x v="6"/>
    <n v="1000"/>
    <n v="5004042"/>
    <s v="BRASIL WEB TRANSPORTES E LOGISTICA"/>
    <n v="34.54"/>
    <d v="2025-07-17T00:00:00"/>
  </r>
  <r>
    <n v="254007516"/>
    <n v="64780900"/>
    <s v="REB"/>
    <n v="9783172"/>
    <n v="176"/>
    <s v="PEÇAS - Defeito de fabric./Interrompido"/>
    <s v="FUNCIONAL"/>
    <x v="1"/>
    <n v="4425"/>
    <x v="305"/>
    <s v="SC"/>
    <n v="931"/>
    <s v="Ats Off"/>
    <n v="1350"/>
    <s v="W11283283"/>
    <s v="Termostatos"/>
    <x v="3"/>
    <n v="1000"/>
    <n v="5003024"/>
    <s v="RODOBRAS TRANSPORTES RODOVIARIOS LT"/>
    <n v="34.46"/>
    <d v="2025-06-02T00:00:00"/>
  </r>
  <r>
    <n v="254038296"/>
    <n v="64778236"/>
    <s v="REB"/>
    <n v="10075241"/>
    <n v="173"/>
    <s v="PEÇAS - Defeito de fabric./Alta Amperage"/>
    <s v="FUNCIONAL"/>
    <x v="0"/>
    <n v="9599"/>
    <x v="121"/>
    <s v="SP"/>
    <n v="931"/>
    <s v="Ats Off"/>
    <n v="1350"/>
    <s v="W10892434"/>
    <s v="Interruptores horário"/>
    <x v="3"/>
    <n v="1000"/>
    <n v="5004042"/>
    <s v="BRASIL WEB TRANSPORTES E LOGISTICA"/>
    <n v="34.46"/>
    <d v="2025-07-22T00:00:00"/>
  </r>
  <r>
    <n v="254033452"/>
    <n v="64800616"/>
    <s v="REB"/>
    <n v="10009649"/>
    <n v="173"/>
    <s v="PEÇAS - Defeito de fabric./Alta Amperage"/>
    <s v="FUNCIONAL"/>
    <x v="1"/>
    <n v="76165"/>
    <x v="433"/>
    <s v="TO"/>
    <n v="641"/>
    <s v="CDP Diamante"/>
    <n v="1350"/>
    <s v="W10518617"/>
    <s v="Atuadores"/>
    <x v="2"/>
    <n v="1000"/>
    <n v="5002858"/>
    <s v="FAVORITA TRANSPORTES LTDA"/>
    <n v="34.450000000000003"/>
    <d v="2025-07-01T00:00:00"/>
  </r>
  <r>
    <n v="254033382"/>
    <n v="64802589"/>
    <s v="REB"/>
    <n v="10046924"/>
    <n v="176"/>
    <s v="PEÇAS - Defeito de fabric./Interrompido"/>
    <s v="FUNCIONAL"/>
    <x v="1"/>
    <n v="31063"/>
    <x v="308"/>
    <s v="RJ"/>
    <n v="644"/>
    <s v="Plus"/>
    <n v="1350"/>
    <s v="W10518616"/>
    <s v="Atuadores"/>
    <x v="2"/>
    <n v="1000"/>
    <n v="5003176"/>
    <s v="J C THEDIN TRANSPORTES LTDA"/>
    <n v="34.4"/>
    <d v="2025-07-01T00:00:00"/>
  </r>
  <r>
    <s v="Sem TR"/>
    <n v="64818334"/>
    <s v="ZRDI"/>
    <n v="10150902"/>
    <n v="208"/>
    <s v="DEV-Atraso entrega- LOGISTICA(Transp)"/>
    <s v="TRANSPORTADORA"/>
    <x v="2"/>
    <n v="56460259"/>
    <x v="1985"/>
    <s v="MG"/>
    <n v="474"/>
    <s v="Site Brastemp"/>
    <n v="1352"/>
    <s v="W10451657"/>
    <s v="Queimadores"/>
    <x v="12"/>
    <n v="1000"/>
    <n v="5002359"/>
    <s v="EMPRESA BRASILEIRA DE CORREIOS E"/>
    <n v="34.35"/>
    <d v="2025-07-26T00:00:00"/>
  </r>
  <r>
    <n v="254031851"/>
    <n v="64796890"/>
    <s v="REB"/>
    <n v="10065563"/>
    <n v="176"/>
    <s v="PEÇAS - Defeito de fabric./Interrompido"/>
    <s v="FUNCIONAL"/>
    <x v="1"/>
    <n v="3506"/>
    <x v="46"/>
    <s v="SP"/>
    <n v="931"/>
    <s v="Ats Off"/>
    <n v="1350"/>
    <n v="326013733"/>
    <s v="Termostatos"/>
    <x v="3"/>
    <n v="1000"/>
    <n v="5004042"/>
    <s v="BRASIL WEB TRANSPORTES E LOGISTICA"/>
    <n v="34.35"/>
    <d v="2025-06-24T00:00:00"/>
  </r>
  <r>
    <n v="254031879"/>
    <n v="64807473"/>
    <s v="REB"/>
    <n v="10078961"/>
    <n v="176"/>
    <s v="PEÇAS - Defeito de fabric./Interrompido"/>
    <s v="FUNCIONAL"/>
    <x v="0"/>
    <n v="3506"/>
    <x v="46"/>
    <s v="SP"/>
    <n v="931"/>
    <s v="Ats Off"/>
    <n v="1350"/>
    <n v="326008096"/>
    <s v="Termostatos"/>
    <x v="3"/>
    <n v="1000"/>
    <n v="5004042"/>
    <s v="BRASIL WEB TRANSPORTES E LOGISTICA"/>
    <n v="34.35"/>
    <d v="2025-07-08T00:00:00"/>
  </r>
  <r>
    <n v="254031883"/>
    <n v="64807624"/>
    <s v="REB"/>
    <n v="10113100"/>
    <n v="176"/>
    <s v="PEÇAS - Defeito de fabric./Interrompido"/>
    <s v="FUNCIONAL"/>
    <x v="0"/>
    <n v="3506"/>
    <x v="46"/>
    <s v="SP"/>
    <n v="931"/>
    <s v="Ats Off"/>
    <n v="1350"/>
    <n v="326013733"/>
    <s v="Termostatos"/>
    <x v="3"/>
    <n v="1000"/>
    <n v="5004042"/>
    <s v="BRASIL WEB TRANSPORTES E LOGISTICA"/>
    <n v="34.35"/>
    <d v="2025-07-08T00:00:00"/>
  </r>
  <r>
    <n v="253988842"/>
    <n v="64759711"/>
    <s v="REB"/>
    <n v="9995991"/>
    <n v="167"/>
    <s v="PEÇAS - Avaria - Quebrada/Depósito"/>
    <s v="LOGÍSTICA"/>
    <x v="2"/>
    <n v="27511"/>
    <x v="470"/>
    <s v="SP"/>
    <n v="641"/>
    <s v="CDP Diamante"/>
    <n v="1350"/>
    <s v="W10849469"/>
    <s v="Bombas"/>
    <x v="1"/>
    <n v="1000"/>
    <n v="5004042"/>
    <s v="BRASIL WEB TRANSPORTES E LOGISTICA"/>
    <n v="34.31"/>
    <d v="2025-05-05T00:00:00"/>
  </r>
  <r>
    <n v="253988840"/>
    <n v="64763781"/>
    <s v="REB"/>
    <n v="9995991"/>
    <n v="165"/>
    <s v="PEÇAS - Defeito de fabric./Incompleta"/>
    <s v="FUNCIONAL"/>
    <x v="2"/>
    <n v="27511"/>
    <x v="470"/>
    <s v="SP"/>
    <n v="641"/>
    <s v="CDP Diamante"/>
    <n v="1350"/>
    <s v="W10849469"/>
    <s v="Bombas"/>
    <x v="1"/>
    <n v="1000"/>
    <n v="5004042"/>
    <s v="BRASIL WEB TRANSPORTES E LOGISTICA"/>
    <n v="34.31"/>
    <d v="2025-05-05T00:00:00"/>
  </r>
  <r>
    <n v="253995221"/>
    <n v="64772294"/>
    <s v="REB"/>
    <n v="9909140"/>
    <n v="173"/>
    <s v="PEÇAS - Defeito de fabric./Alta Amperage"/>
    <s v="FUNCIONAL"/>
    <x v="2"/>
    <n v="72205"/>
    <x v="1092"/>
    <s v="SP"/>
    <n v="641"/>
    <s v="CDP Diamante"/>
    <n v="1350"/>
    <s v="W10849469"/>
    <s v="Bombas"/>
    <x v="1"/>
    <n v="1000"/>
    <n v="5004042"/>
    <s v="BRASIL WEB TRANSPORTES E LOGISTICA"/>
    <n v="34.31"/>
    <d v="2025-05-16T00:00:00"/>
  </r>
  <r>
    <n v="253995221"/>
    <n v="64772294"/>
    <s v="REB"/>
    <n v="9909140"/>
    <n v="173"/>
    <s v="PEÇAS - Defeito de fabric./Alta Amperage"/>
    <s v="FUNCIONAL"/>
    <x v="2"/>
    <n v="72205"/>
    <x v="1092"/>
    <s v="SP"/>
    <n v="641"/>
    <s v="CDP Diamante"/>
    <n v="1350"/>
    <s v="W10849470"/>
    <s v="Bombas"/>
    <x v="1"/>
    <n v="1000"/>
    <n v="5004042"/>
    <s v="BRASIL WEB TRANSPORTES E LOGISTICA"/>
    <n v="34.31"/>
    <d v="2025-05-16T00:00:00"/>
  </r>
  <r>
    <s v="Sem TR"/>
    <n v="64733656"/>
    <s v="REB"/>
    <n v="9909140"/>
    <n v="173"/>
    <s v="PEÇAS - Defeito de fabric./Alta Amperage"/>
    <s v="FUNCIONAL"/>
    <x v="1"/>
    <n v="72205"/>
    <x v="1092"/>
    <s v="SP"/>
    <n v="641"/>
    <s v="CDP Diamante"/>
    <n v="1350"/>
    <s v="W10849469"/>
    <s v="Bombas"/>
    <x v="1"/>
    <n v="1000"/>
    <n v="5004042"/>
    <s v="BRASIL WEB TRANSPORTES E LOGISTICA"/>
    <n v="34.31"/>
    <d v="2025-03-25T00:00:00"/>
  </r>
  <r>
    <n v="254018365"/>
    <n v="64792464"/>
    <s v="REB"/>
    <n v="9909140"/>
    <n v="177"/>
    <s v="PEÇAS - Defeito de fabric./Ruído"/>
    <s v="FUNCIONAL"/>
    <x v="1"/>
    <n v="72205"/>
    <x v="1092"/>
    <s v="SP"/>
    <n v="641"/>
    <s v="CDP Diamante"/>
    <n v="1350"/>
    <s v="W10849469"/>
    <s v="Bombas"/>
    <x v="1"/>
    <n v="1000"/>
    <n v="5004042"/>
    <s v="BRASIL WEB TRANSPORTES E LOGISTICA"/>
    <n v="34.31"/>
    <d v="2025-06-16T00:00:00"/>
  </r>
  <r>
    <s v="Sem TR"/>
    <n v="64791092"/>
    <s v="REB"/>
    <n v="10069061"/>
    <n v="509"/>
    <s v="Qtd de peças a Menor dentro do Volume"/>
    <s v="LOGÍSTICA"/>
    <x v="1"/>
    <n v="78757"/>
    <x v="50"/>
    <s v="RS"/>
    <n v="643"/>
    <s v="Elite"/>
    <n v="1350"/>
    <n v="326009101"/>
    <s v="Correias"/>
    <x v="2"/>
    <n v="1000"/>
    <n v="5002359"/>
    <s v="EMPRESA BRASILEIRA DE CORREIOS E"/>
    <n v="34.28"/>
    <d v="2025-06-16T00:00:00"/>
  </r>
  <r>
    <s v="Sem TR"/>
    <n v="64812264"/>
    <s v="REB"/>
    <n v="10085840"/>
    <n v="167"/>
    <s v="PEÇAS - Avaria - Quebrada/Depósito"/>
    <s v="LOGÍSTICA"/>
    <x v="1"/>
    <n v="32265"/>
    <x v="519"/>
    <s v="PB"/>
    <n v="934"/>
    <s v="CDP Ouro"/>
    <n v="1350"/>
    <s v="W11113069"/>
    <s v="Prateleiras"/>
    <x v="9"/>
    <n v="1000"/>
    <n v="5004101"/>
    <s v="UNIDOCK'S ASSESSORIA E LOGISTICA DE"/>
    <n v="34.270000000000003"/>
    <d v="2025-07-17T00:00:00"/>
  </r>
  <r>
    <n v="254032572"/>
    <n v="64810006"/>
    <s v="ZRDI"/>
    <n v="10118594"/>
    <n v="208"/>
    <s v="DEV-Atraso entrega- LOGISTICA(Transp)"/>
    <s v="TRANSPORTADORA"/>
    <x v="2"/>
    <n v="54383675"/>
    <x v="1920"/>
    <s v="PR"/>
    <n v="474"/>
    <s v="Site Brastemp"/>
    <n v="1352"/>
    <s v="W10339563"/>
    <s v="Termostatos"/>
    <x v="3"/>
    <n v="1000"/>
    <n v="5002359"/>
    <s v="EMPRESA BRASILEIRA DE CORREIOS E"/>
    <n v="34.24"/>
    <d v="2025-07-16T00:00:00"/>
  </r>
  <r>
    <n v="254032572"/>
    <n v="64810006"/>
    <s v="ZRDI"/>
    <n v="10118594"/>
    <n v="208"/>
    <s v="DEV-Atraso entrega- LOGISTICA(Transp)"/>
    <s v="TRANSPORTADORA"/>
    <x v="2"/>
    <n v="54383675"/>
    <x v="1920"/>
    <s v="PR"/>
    <n v="474"/>
    <s v="Site Brastemp"/>
    <n v="1352"/>
    <s v="W10339563"/>
    <s v="Termostatos"/>
    <x v="3"/>
    <n v="1000"/>
    <n v="5002359"/>
    <s v="EMPRESA BRASILEIRA DE CORREIOS E"/>
    <n v="34.24"/>
    <d v="2025-07-16T00:00:00"/>
  </r>
  <r>
    <s v="Sem TR"/>
    <n v="64789338"/>
    <s v="REB"/>
    <n v="10063000"/>
    <n v="509"/>
    <s v="Qtd de peças a Menor dentro do Volume"/>
    <s v="LOGÍSTICA"/>
    <x v="1"/>
    <n v="26939"/>
    <x v="126"/>
    <s v="PR"/>
    <n v="643"/>
    <s v="Elite"/>
    <n v="1350"/>
    <n v="326021045"/>
    <s v="Recipientes de Evaporação"/>
    <x v="9"/>
    <n v="5000"/>
    <n v="5002359"/>
    <s v="EMPRESA BRASILEIRA DE CORREIOS E"/>
    <n v="34.24"/>
    <d v="2025-06-10T00:00:00"/>
  </r>
  <r>
    <n v="254003872"/>
    <n v="64774422"/>
    <s v="REB"/>
    <n v="9909158"/>
    <n v="173"/>
    <s v="PEÇAS - Defeito de fabric./Alta Amperage"/>
    <s v="FUNCIONAL"/>
    <x v="1"/>
    <n v="13757"/>
    <x v="14"/>
    <s v="SP"/>
    <n v="713"/>
    <s v="Key Account"/>
    <n v="1350"/>
    <s v="W10617044"/>
    <s v="Pressostatos"/>
    <x v="3"/>
    <n v="1000"/>
    <n v="5004042"/>
    <s v="BRASIL WEB TRANSPORTES E LOGISTICA"/>
    <n v="34.200000000000003"/>
    <d v="2025-05-26T00:00:00"/>
  </r>
  <r>
    <n v="253970902"/>
    <n v="64748209"/>
    <s v="REB"/>
    <n v="9918257"/>
    <n v="173"/>
    <s v="PEÇAS - Defeito de fabric./Alta Amperage"/>
    <s v="FUNCIONAL"/>
    <x v="1"/>
    <n v="64522"/>
    <x v="158"/>
    <s v="SP"/>
    <n v="643"/>
    <s v="Elite"/>
    <n v="1350"/>
    <s v="W10849469"/>
    <s v="Bombas"/>
    <x v="1"/>
    <n v="1000"/>
    <n v="5004042"/>
    <s v="BRASIL WEB TRANSPORTES E LOGISTICA"/>
    <n v="34.19"/>
    <d v="2025-04-09T00:00:00"/>
  </r>
  <r>
    <n v="254033425"/>
    <n v="64804492"/>
    <s v="REB"/>
    <n v="10045883"/>
    <n v="173"/>
    <s v="PEÇAS - Defeito de fabric./Alta Amperage"/>
    <s v="FUNCIONAL"/>
    <x v="1"/>
    <n v="61467"/>
    <x v="451"/>
    <s v="CE"/>
    <n v="644"/>
    <s v="Plus"/>
    <n v="1350"/>
    <s v="W10518617"/>
    <s v="Atuadores"/>
    <x v="2"/>
    <n v="1000"/>
    <n v="5004101"/>
    <s v="UNIDOCK'S ASSESSORIA E LOGISTICA DE"/>
    <n v="34.18"/>
    <d v="2025-07-08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1621541"/>
    <s v="Registros"/>
    <x v="12"/>
    <n v="4000"/>
    <n v="5004101"/>
    <s v="UNIDOCK'S ASSESSORIA E LOGISTICA DE"/>
    <n v="34.159999999999997"/>
    <d v="2025-03-13T00:00:00"/>
  </r>
  <r>
    <n v="253961254"/>
    <n v="64726938"/>
    <s v="REB"/>
    <n v="9889764"/>
    <n v="173"/>
    <s v="PEÇAS - Defeito de fabric./Alta Amperage"/>
    <s v="FUNCIONAL"/>
    <x v="1"/>
    <n v="14474"/>
    <x v="25"/>
    <s v="RN"/>
    <n v="648"/>
    <s v="Ultra"/>
    <n v="1350"/>
    <s v="W10518617"/>
    <s v="Atuadores"/>
    <x v="2"/>
    <n v="1000"/>
    <n v="5004101"/>
    <s v="UNIDOCK'S ASSESSORIA E LOGISTICA DE"/>
    <n v="34.15"/>
    <d v="2025-03-25T00:00:00"/>
  </r>
  <r>
    <n v="254042083"/>
    <n v="64796109"/>
    <s v="REB"/>
    <n v="10031532"/>
    <n v="173"/>
    <s v="PEÇAS - Defeito de fabric./Alta Amperage"/>
    <s v="FUNCIONAL"/>
    <x v="0"/>
    <n v="4384"/>
    <x v="1058"/>
    <s v="SC"/>
    <n v="644"/>
    <s v="Plus"/>
    <n v="1350"/>
    <s v="W10518617"/>
    <s v="Atuadores"/>
    <x v="2"/>
    <n v="1000"/>
    <n v="5003024"/>
    <s v="RODOBRAS TRANSPORTES RODOVIARIOS LT"/>
    <n v="34.15"/>
    <d v="2025-06-23T00:00:00"/>
  </r>
  <r>
    <s v="Sem TR"/>
    <n v="64726992"/>
    <s v="REB"/>
    <n v="9852358"/>
    <n v="509"/>
    <s v="Qtd de peças a Menor dentro do Volume"/>
    <s v="LOGÍSTICA"/>
    <x v="2"/>
    <n v="42038"/>
    <x v="1986"/>
    <s v="MG"/>
    <n v="643"/>
    <s v="Elite"/>
    <n v="1350"/>
    <n v="326000539"/>
    <s v="Pressostatos"/>
    <x v="3"/>
    <n v="1000"/>
    <n v="5002359"/>
    <s v="EMPRESA BRASILEIRA DE CORREIOS E"/>
    <n v="34.130000000000003"/>
    <d v="2025-03-07T00:00:00"/>
  </r>
  <r>
    <n v="254027347"/>
    <n v="64806750"/>
    <s v="ZRDI"/>
    <n v="10082156"/>
    <n v="208"/>
    <s v="DEV-Atraso entrega- LOGISTICA(Transp)"/>
    <s v="TRANSPORTADORA"/>
    <x v="2"/>
    <n v="58077235"/>
    <x v="1987"/>
    <s v="ES"/>
    <n v="475"/>
    <s v="Site Consul"/>
    <n v="1352"/>
    <s v="W11715713"/>
    <s v="Outros"/>
    <x v="7"/>
    <n v="1000"/>
    <n v="5002359"/>
    <s v="EMPRESA BRASILEIRA DE CORREIOS E"/>
    <n v="34.08"/>
    <d v="2025-07-07T00:00:00"/>
  </r>
  <r>
    <n v="254031853"/>
    <n v="64796895"/>
    <s v="REB"/>
    <n v="10065563"/>
    <n v="176"/>
    <s v="PEÇAS - Defeito de fabric./Interrompido"/>
    <s v="FUNCIONAL"/>
    <x v="1"/>
    <n v="3506"/>
    <x v="46"/>
    <s v="SP"/>
    <n v="931"/>
    <s v="Ats Off"/>
    <n v="1350"/>
    <s v="W10849469"/>
    <s v="Bombas"/>
    <x v="1"/>
    <n v="1000"/>
    <n v="5004042"/>
    <s v="BRASIL WEB TRANSPORTES E LOGISTICA"/>
    <n v="34.020000000000003"/>
    <d v="2025-06-24T00:00:00"/>
  </r>
  <r>
    <n v="254018298"/>
    <n v="64792339"/>
    <s v="REB"/>
    <n v="8656903"/>
    <n v="168"/>
    <s v="PEÇAS-Def.Fabric.Empenamento/Abaulamento"/>
    <s v="FUNCIONAL"/>
    <x v="1"/>
    <n v="46272"/>
    <x v="194"/>
    <s v="CE"/>
    <n v="713"/>
    <s v="Key Account"/>
    <n v="1350"/>
    <s v="W10882241"/>
    <s v="Agitadores"/>
    <x v="2"/>
    <n v="1000"/>
    <n v="5004101"/>
    <s v="UNIDOCK'S ASSESSORIA E LOGISTICA DE"/>
    <n v="34"/>
    <d v="2025-06-16T00:00:00"/>
  </r>
  <r>
    <n v="253995072"/>
    <n v="64765032"/>
    <s v="REB"/>
    <n v="10016924"/>
    <n v="176"/>
    <s v="PEÇAS - Defeito de fabric./Interrompido"/>
    <s v="FUNCIONAL"/>
    <x v="1"/>
    <n v="4425"/>
    <x v="305"/>
    <s v="SC"/>
    <n v="931"/>
    <s v="Ats Off"/>
    <n v="1350"/>
    <s v="W11102588"/>
    <s v="Acessórios"/>
    <x v="7"/>
    <n v="1000"/>
    <n v="5003024"/>
    <s v="RODOBRAS TRANSPORTES RODOVIARIOS LT"/>
    <n v="33.979999999999997"/>
    <d v="2025-05-16T00:00:00"/>
  </r>
  <r>
    <s v="Sem TR"/>
    <n v="64812665"/>
    <s v="REB"/>
    <n v="10123675"/>
    <n v="176"/>
    <s v="PEÇAS - Defeito de fabric./Interrompido"/>
    <s v="FUNCIONAL"/>
    <x v="1"/>
    <n v="21621"/>
    <x v="325"/>
    <s v="SP"/>
    <n v="350"/>
    <s v="Ats On"/>
    <n v="1350"/>
    <n v="326013733"/>
    <s v="Termostatos"/>
    <x v="3"/>
    <n v="1000"/>
    <n v="5004042"/>
    <s v="BRASIL WEB TRANSPORTES E LOGISTICA"/>
    <n v="33.950000000000003"/>
    <d v="2025-07-17T00:00:00"/>
  </r>
  <r>
    <n v="254003855"/>
    <n v="64777302"/>
    <s v="REB"/>
    <n v="9884528"/>
    <n v="176"/>
    <s v="PEÇAS - Defeito de fabric./Interrompido"/>
    <s v="FUNCIONAL"/>
    <x v="2"/>
    <n v="3506"/>
    <x v="46"/>
    <s v="SP"/>
    <n v="931"/>
    <s v="Ats Off"/>
    <n v="1350"/>
    <s v="W10849469"/>
    <s v="Bombas"/>
    <x v="1"/>
    <n v="1000"/>
    <n v="5004042"/>
    <s v="BRASIL WEB TRANSPORTES E LOGISTICA"/>
    <n v="33.950000000000003"/>
    <d v="2025-05-26T00:00:00"/>
  </r>
  <r>
    <n v="253965799"/>
    <n v="64739998"/>
    <s v="REB"/>
    <n v="9939478"/>
    <n v="167"/>
    <s v="PEÇAS - Avaria - Quebrada/Depósito"/>
    <s v="LOGÍSTICA"/>
    <x v="1"/>
    <n v="2374"/>
    <x v="242"/>
    <s v="MG"/>
    <n v="350"/>
    <s v="Ats On"/>
    <n v="1350"/>
    <s v="W10160037"/>
    <s v="Capacitores"/>
    <x v="1"/>
    <n v="1000"/>
    <n v="5004215"/>
    <s v="BRASIL WEB TRANSPORTES E LOGISTICA"/>
    <n v="33.94"/>
    <d v="2025-03-31T00:00:00"/>
  </r>
  <r>
    <n v="254044330"/>
    <n v="64805498"/>
    <s v="REB"/>
    <n v="9996112"/>
    <n v="176"/>
    <s v="PEÇAS - Defeito de fabric./Interrompido"/>
    <s v="FUNCIONAL"/>
    <x v="0"/>
    <n v="42455"/>
    <x v="81"/>
    <s v="SP"/>
    <n v="931"/>
    <s v="Ats Off"/>
    <n v="1350"/>
    <s v="W10892757"/>
    <s v="Interruptores horário"/>
    <x v="3"/>
    <n v="1000"/>
    <n v="5004042"/>
    <s v="BRASIL WEB TRANSPORTES E LOGISTICA"/>
    <n v="33.909999999999997"/>
    <d v="2025-07-04T00:00:00"/>
  </r>
  <r>
    <n v="253970742"/>
    <n v="64748663"/>
    <s v="REB"/>
    <n v="9958990"/>
    <n v="173"/>
    <s v="PEÇAS - Defeito de fabric./Alta Amperage"/>
    <s v="FUNCIONAL"/>
    <x v="1"/>
    <n v="21594"/>
    <x v="97"/>
    <s v="SP"/>
    <n v="931"/>
    <s v="Ats Off"/>
    <n v="1350"/>
    <s v="W10518616"/>
    <s v="Atuadores"/>
    <x v="2"/>
    <n v="1000"/>
    <n v="5004042"/>
    <s v="BRASIL WEB TRANSPORTES E LOGISTICA"/>
    <n v="33.9"/>
    <d v="2025-04-09T00:00:00"/>
  </r>
  <r>
    <n v="254043440"/>
    <n v="64800378"/>
    <s v="REB"/>
    <n v="10103058"/>
    <n v="167"/>
    <s v="PEÇAS - Avaria - Quebrada/Depósito"/>
    <s v="LOGÍSTICA"/>
    <x v="0"/>
    <n v="44739"/>
    <x v="106"/>
    <s v="PR"/>
    <n v="350"/>
    <s v="Ats On"/>
    <n v="1350"/>
    <s v="W11316367"/>
    <s v="Gaxetas"/>
    <x v="4"/>
    <n v="1000"/>
    <n v="5003024"/>
    <s v="RODOBRAS TRANSPORTES RODOVIARIOS LT"/>
    <n v="33.880000000000003"/>
    <d v="2025-07-04T00:00:00"/>
  </r>
  <r>
    <n v="254012584"/>
    <n v="64782243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12580"/>
    <n v="64788476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12579"/>
    <n v="64788477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12583"/>
    <n v="64789428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12581"/>
    <n v="64789519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12578"/>
    <n v="64789524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12582"/>
    <n v="64789529"/>
    <s v="REB"/>
    <n v="9972475"/>
    <n v="173"/>
    <s v="PEÇAS - Defeito de fabric./Alta Amperage"/>
    <s v="FUNCIONAL"/>
    <x v="2"/>
    <n v="63620"/>
    <x v="328"/>
    <s v="MG"/>
    <n v="934"/>
    <s v="CDP Ouro"/>
    <n v="1350"/>
    <s v="W10849469"/>
    <s v="Bombas"/>
    <x v="1"/>
    <n v="1000"/>
    <n v="5004215"/>
    <s v="BRASIL WEB TRANSPORTES E LOGISTICA"/>
    <n v="33.81"/>
    <d v="2025-06-10T00:00:00"/>
  </r>
  <r>
    <n v="254038272"/>
    <n v="64814643"/>
    <s v="REB"/>
    <n v="10122295"/>
    <n v="176"/>
    <s v="PEÇAS - Defeito de fabric./Interrompido"/>
    <s v="FUNCIONAL"/>
    <x v="1"/>
    <n v="4318"/>
    <x v="89"/>
    <s v="SC"/>
    <n v="931"/>
    <s v="Ats Off"/>
    <n v="1350"/>
    <n v="326009101"/>
    <s v="Correias"/>
    <x v="2"/>
    <n v="1000"/>
    <n v="5003024"/>
    <s v="RODOBRAS TRANSPORTES RODOVIARIOS LT"/>
    <n v="33.79"/>
    <d v="2025-07-22T00:00:00"/>
  </r>
  <r>
    <n v="253927633"/>
    <n v="64703190"/>
    <s v="REB"/>
    <n v="9837274"/>
    <n v="220"/>
    <s v="DEV-Avaria 1 trecho transp - Produto"/>
    <s v="QUALIDADE"/>
    <x v="1"/>
    <n v="27874"/>
    <x v="237"/>
    <s v="RS"/>
    <n v="933"/>
    <s v="Top"/>
    <n v="1350"/>
    <s v="W10169459"/>
    <s v="Prateleiras"/>
    <x v="9"/>
    <n v="2000"/>
    <n v="5003024"/>
    <s v="RODOBRAS TRANSPORTES RODOVIARIOS LT"/>
    <n v="33.76"/>
    <d v="2025-01-30T00:00:00"/>
  </r>
  <r>
    <n v="253913084"/>
    <n v="64682727"/>
    <s v="REB"/>
    <n v="9774813"/>
    <n v="176"/>
    <s v="PEÇAS - Defeito de fabric./Interrompido"/>
    <s v="FUNCIONAL"/>
    <x v="2"/>
    <n v="24089"/>
    <x v="134"/>
    <s v="RJ"/>
    <n v="931"/>
    <s v="Ats Off"/>
    <n v="1350"/>
    <s v="W10640258"/>
    <s v="Trempes"/>
    <x v="6"/>
    <n v="1000"/>
    <n v="5003176"/>
    <s v="J C THEDIN TRANSPORTES LTDA"/>
    <n v="33.74"/>
    <d v="2025-01-06T00:00:00"/>
  </r>
  <r>
    <n v="254042074"/>
    <n v="64795662"/>
    <s v="REB"/>
    <n v="10078314"/>
    <n v="167"/>
    <s v="PEÇAS - Avaria - Quebrada/Depósito"/>
    <s v="LOGÍSTICA"/>
    <x v="0"/>
    <n v="69578"/>
    <x v="197"/>
    <s v="MG"/>
    <n v="933"/>
    <s v="Top"/>
    <n v="1350"/>
    <n v="4197305"/>
    <s v="Dobradiças"/>
    <x v="10"/>
    <n v="1000"/>
    <n v="5004215"/>
    <s v="BRASIL WEB TRANSPORTES E LOGISTICA"/>
    <n v="33.74"/>
    <d v="2025-06-23T00:00:00"/>
  </r>
  <r>
    <n v="254036649"/>
    <n v="64814547"/>
    <s v="ZRDI"/>
    <n v="10098400"/>
    <s v="D25"/>
    <s v="DEV D2C - Prob na entrega (Não recebi)"/>
    <s v="TRANSPORTADORA"/>
    <x v="2"/>
    <n v="51084202"/>
    <x v="1029"/>
    <s v="MG"/>
    <n v="474"/>
    <s v="Site Brastemp"/>
    <n v="1352"/>
    <s v="W10883967"/>
    <s v="Molduras"/>
    <x v="6"/>
    <n v="1000"/>
    <n v="5003972"/>
    <s v="ICARO EXPRESS LOGISTICA LTDA"/>
    <n v="33.71"/>
    <d v="2025-07-22T00:00:00"/>
  </r>
  <r>
    <n v="254036649"/>
    <n v="64814547"/>
    <s v="ZRDI"/>
    <n v="10098400"/>
    <s v="D25"/>
    <s v="DEV D2C - Prob na entrega (Não recebi)"/>
    <s v="TRANSPORTADORA"/>
    <x v="2"/>
    <n v="51084202"/>
    <x v="1029"/>
    <s v="MG"/>
    <n v="474"/>
    <s v="Site Brastemp"/>
    <n v="1352"/>
    <s v="W10883967"/>
    <s v="Molduras"/>
    <x v="6"/>
    <n v="1000"/>
    <n v="5003972"/>
    <s v="ICARO EXPRESS LOGISTICA LTDA"/>
    <n v="33.71"/>
    <d v="2025-07-22T00:00:00"/>
  </r>
  <r>
    <n v="254038131"/>
    <n v="64816097"/>
    <s v="ZRDI"/>
    <n v="10040758"/>
    <n v="208"/>
    <s v="DEV-Atraso entrega- LOGISTICA(Transp)"/>
    <s v="TRANSPORTADORA"/>
    <x v="2"/>
    <n v="56982900"/>
    <x v="1988"/>
    <s v="BA"/>
    <n v="475"/>
    <s v="Site Consul"/>
    <n v="1352"/>
    <s v="W11112652"/>
    <s v="Botões"/>
    <x v="6"/>
    <n v="1000"/>
    <n v="5002359"/>
    <s v="EMPRESA BRASILEIRA DE CORREIOS E"/>
    <n v="33.700000000000003"/>
    <d v="2025-07-23T00:00:00"/>
  </r>
  <r>
    <n v="254038131"/>
    <n v="64816097"/>
    <s v="ZRDI"/>
    <n v="10040758"/>
    <n v="208"/>
    <s v="DEV-Atraso entrega- LOGISTICA(Transp)"/>
    <s v="TRANSPORTADORA"/>
    <x v="2"/>
    <n v="56982900"/>
    <x v="1988"/>
    <s v="BA"/>
    <n v="475"/>
    <s v="Site Consul"/>
    <n v="1352"/>
    <s v="W11112652"/>
    <s v="Botões"/>
    <x v="6"/>
    <n v="1000"/>
    <n v="5002359"/>
    <s v="EMPRESA BRASILEIRA DE CORREIOS E"/>
    <n v="33.700000000000003"/>
    <d v="2025-07-23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0800172"/>
    <s v="Dobradiças"/>
    <x v="10"/>
    <n v="5000"/>
    <n v="5004101"/>
    <s v="UNIDOCK'S ASSESSORIA E LOGISTICA DE"/>
    <n v="33.700000000000003"/>
    <d v="2025-02-25T00:00:00"/>
  </r>
  <r>
    <n v="253913185"/>
    <n v="64684467"/>
    <s v="REB"/>
    <n v="9650990"/>
    <n v="173"/>
    <s v="PEÇAS - Defeito de fabric./Alta Amperage"/>
    <s v="FUNCIONAL"/>
    <x v="1"/>
    <n v="77676"/>
    <x v="278"/>
    <s v="DF"/>
    <n v="931"/>
    <s v="Ats Off"/>
    <n v="1350"/>
    <s v="W11224155"/>
    <s v="Sensores"/>
    <x v="3"/>
    <n v="1000"/>
    <n v="5002858"/>
    <s v="FAVORITA TRANSPORTES LTDA"/>
    <n v="33.68"/>
    <d v="2025-01-06T00:00:00"/>
  </r>
  <r>
    <n v="254018179"/>
    <n v="64769877"/>
    <s v="REB"/>
    <n v="9987538"/>
    <n v="176"/>
    <s v="PEÇAS - Defeito de fabric./Interrompido"/>
    <s v="FUNCIONAL"/>
    <x v="1"/>
    <n v="3506"/>
    <x v="46"/>
    <s v="SP"/>
    <n v="931"/>
    <s v="Ats Off"/>
    <n v="1350"/>
    <s v="W11623159"/>
    <s v="Capacitores"/>
    <x v="1"/>
    <n v="1000"/>
    <n v="5004042"/>
    <s v="BRASIL WEB TRANSPORTES E LOGISTICA"/>
    <n v="33.659999999999997"/>
    <d v="2025-06-17T00:00:00"/>
  </r>
  <r>
    <n v="254012436"/>
    <n v="64781392"/>
    <s v="REB"/>
    <n v="10050055"/>
    <n v="167"/>
    <s v="PEÇAS - Avaria - Quebrada/Depósito"/>
    <s v="LOGÍSTICA"/>
    <x v="1"/>
    <n v="2159"/>
    <x v="156"/>
    <s v="MG"/>
    <n v="350"/>
    <s v="Ats On"/>
    <n v="1350"/>
    <s v="W10397599"/>
    <s v="Prateleiras"/>
    <x v="9"/>
    <n v="1000"/>
    <n v="5004215"/>
    <s v="BRASIL WEB TRANSPORTES E LOGISTICA"/>
    <n v="33.65"/>
    <d v="2025-06-10T00:00:00"/>
  </r>
  <r>
    <n v="254018371"/>
    <n v="64792431"/>
    <s v="REB"/>
    <n v="10055658"/>
    <n v="173"/>
    <s v="PEÇAS - Defeito de fabric./Alta Amperage"/>
    <s v="FUNCIONAL"/>
    <x v="1"/>
    <n v="77746"/>
    <x v="119"/>
    <s v="GO"/>
    <n v="933"/>
    <s v="Top"/>
    <n v="1350"/>
    <s v="W10518617"/>
    <s v="Atuadores"/>
    <x v="2"/>
    <n v="1000"/>
    <n v="5002858"/>
    <s v="FAVORITA TRANSPORTES LTDA"/>
    <n v="33.619999999999997"/>
    <d v="2025-06-16T00:00:00"/>
  </r>
  <r>
    <n v="254018386"/>
    <n v="64788332"/>
    <s v="REB"/>
    <n v="9936500"/>
    <n v="173"/>
    <s v="PEÇAS - Defeito de fabric./Alta Amperage"/>
    <s v="FUNCIONAL"/>
    <x v="2"/>
    <n v="81988"/>
    <x v="38"/>
    <s v="MG"/>
    <n v="648"/>
    <s v="Ultra"/>
    <n v="1350"/>
    <s v="W10849469"/>
    <s v="Bombas"/>
    <x v="1"/>
    <n v="1000"/>
    <n v="5004215"/>
    <s v="BRASIL WEB TRANSPORTES E LOGISTICA"/>
    <n v="33.6"/>
    <d v="2025-06-16T00:00:00"/>
  </r>
  <r>
    <n v="254023779"/>
    <n v="64802487"/>
    <s v="ZRDI"/>
    <n v="10086482"/>
    <s v="D25"/>
    <s v="DEV D2C - Prob na entrega (Não recebi)"/>
    <s v="TRANSPORTADORA"/>
    <x v="2"/>
    <n v="58040887"/>
    <x v="1743"/>
    <s v="MG"/>
    <n v="475"/>
    <s v="Site Consul"/>
    <n v="1352"/>
    <s v="W11112652"/>
    <s v="Botões"/>
    <x v="6"/>
    <n v="1000"/>
    <n v="5002359"/>
    <s v="EMPRESA BRASILEIRA DE CORREIOS E"/>
    <n v="33.57"/>
    <d v="2025-07-01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1102573"/>
    <s v="Suportes"/>
    <x v="6"/>
    <n v="1000"/>
    <n v="5004042"/>
    <s v="BRASIL WEB TRANSPORTES E LOGISTICA"/>
    <n v="33.479999999999997"/>
    <d v="2025-06-24T00:00:00"/>
  </r>
  <r>
    <n v="253992714"/>
    <n v="64768204"/>
    <s v="REB"/>
    <n v="9964225"/>
    <n v="176"/>
    <s v="PEÇAS - Defeito de fabric./Interrompido"/>
    <s v="FUNCIONAL"/>
    <x v="2"/>
    <n v="24089"/>
    <x v="134"/>
    <s v="RJ"/>
    <n v="931"/>
    <s v="Ats Off"/>
    <n v="1350"/>
    <s v="W10616687"/>
    <s v="Capas"/>
    <x v="6"/>
    <n v="1000"/>
    <n v="5003176"/>
    <s v="J C THEDIN TRANSPORTES LTDA"/>
    <n v="33.42"/>
    <d v="2025-05-12T00:00:00"/>
  </r>
  <r>
    <n v="253970783"/>
    <n v="64748276"/>
    <s v="REB"/>
    <n v="9888627"/>
    <n v="176"/>
    <s v="PEÇAS - Defeito de fabric./Interrompido"/>
    <s v="FUNCIONAL"/>
    <x v="1"/>
    <n v="31537"/>
    <x v="523"/>
    <s v="RS"/>
    <n v="641"/>
    <s v="CDP Diamante"/>
    <n v="1350"/>
    <n v="326004753"/>
    <s v="Válvulas de Água"/>
    <x v="5"/>
    <n v="1000"/>
    <n v="5003024"/>
    <s v="RODOBRAS TRANSPORTES RODOVIARIOS LT"/>
    <n v="33.42"/>
    <d v="2025-04-09T00:00:00"/>
  </r>
  <r>
    <n v="254012507"/>
    <n v="64789405"/>
    <s v="REB"/>
    <n v="10015320"/>
    <n v="173"/>
    <s v="PEÇAS - Defeito de fabric./Alta Amperage"/>
    <s v="FUNCIONAL"/>
    <x v="2"/>
    <n v="29731"/>
    <x v="14"/>
    <s v="RS"/>
    <n v="713"/>
    <s v="Key Account"/>
    <n v="1350"/>
    <s v="W10518617"/>
    <s v="Atuadores"/>
    <x v="2"/>
    <n v="1000"/>
    <n v="5003024"/>
    <s v="RODOBRAS TRANSPORTES RODOVIARIOS LT"/>
    <n v="33.4"/>
    <d v="2025-06-10T00:00:00"/>
  </r>
  <r>
    <n v="253961221"/>
    <n v="64739194"/>
    <s v="REB"/>
    <n v="9944907"/>
    <n v="168"/>
    <s v="PEÇAS-Def.Fabric.Empenamento/Abaulamento"/>
    <s v="FUNCIONAL"/>
    <x v="1"/>
    <n v="4585"/>
    <x v="555"/>
    <s v="SC"/>
    <n v="350"/>
    <s v="Ats On"/>
    <n v="1350"/>
    <s v="W10754676"/>
    <s v="Suportes"/>
    <x v="6"/>
    <n v="1000"/>
    <n v="5003024"/>
    <s v="RODOBRAS TRANSPORTES RODOVIARIOS LT"/>
    <n v="33.369999999999997"/>
    <d v="2025-03-26T00:00:00"/>
  </r>
  <r>
    <s v="Sem TR"/>
    <n v="64719691"/>
    <s v="ROB"/>
    <n v="9861839"/>
    <n v="25"/>
    <s v="OC. 80 - EXTRAVIO TOTAL"/>
    <s v="TRANSPORTADORA"/>
    <x v="0"/>
    <n v="83115"/>
    <x v="819"/>
    <s v="MG"/>
    <n v="932"/>
    <s v="CDP Prata"/>
    <n v="1350"/>
    <s v="W11530337"/>
    <s v="Acessórios"/>
    <x v="7"/>
    <n v="4000"/>
    <n v="5004101"/>
    <s v="UNIDOCK'S ASSESSORIA E LOGISTICA DE"/>
    <n v="33.31"/>
    <d v="2025-02-25T00:00:00"/>
  </r>
  <r>
    <n v="253948444"/>
    <n v="64726810"/>
    <s v="REB"/>
    <n v="9829768"/>
    <n v="160"/>
    <s v="OI Cancelada - Ver motivo no texto"/>
    <s v="OUTROS"/>
    <x v="0"/>
    <n v="3506"/>
    <x v="46"/>
    <s v="SP"/>
    <n v="931"/>
    <s v="Ats Off"/>
    <n v="1350"/>
    <s v="W10896453"/>
    <s v="Queimadores"/>
    <x v="12"/>
    <n v="1000"/>
    <n v="5004042"/>
    <s v="BRASIL WEB TRANSPORTES E LOGISTICA"/>
    <n v="33.229999999999997"/>
    <d v="2025-03-07T00:00:00"/>
  </r>
  <r>
    <s v="Sem TR"/>
    <n v="64783140"/>
    <s v="REB"/>
    <n v="10063098"/>
    <n v="509"/>
    <s v="Qtd de peças a Menor dentro do Volume"/>
    <s v="LOGÍSTICA"/>
    <x v="1"/>
    <n v="74067"/>
    <x v="1989"/>
    <s v="MG"/>
    <n v="932"/>
    <s v="CDP Prata"/>
    <n v="1350"/>
    <s v="W10820633"/>
    <s v="Mangueiras"/>
    <x v="5"/>
    <n v="2000"/>
    <n v="5002359"/>
    <s v="EMPRESA BRASILEIRA DE CORREIOS E"/>
    <n v="33.229999999999997"/>
    <d v="2025-06-16T00:00:00"/>
  </r>
  <r>
    <s v="Sem TR"/>
    <n v="64793378"/>
    <s v="ZRDI"/>
    <n v="10094374"/>
    <s v="D15"/>
    <s v="DEV D2C - Arrependimento modelo comprado"/>
    <s v="COMERCIAL"/>
    <x v="2"/>
    <n v="57314320"/>
    <x v="1990"/>
    <s v="SP"/>
    <n v="474"/>
    <s v="Site Brastemp"/>
    <n v="1352"/>
    <s v="W11582776"/>
    <s v="Pés"/>
    <x v="6"/>
    <n v="2000"/>
    <n v="5002359"/>
    <s v="EMPRESA BRASILEIRA DE CORREIOS E"/>
    <n v="33.22"/>
    <d v="2025-06-26T00:00:00"/>
  </r>
  <r>
    <s v="Sem TR"/>
    <n v="64805854"/>
    <s v="ZRDI"/>
    <n v="10116049"/>
    <s v="D10"/>
    <s v="DEV D2C - Comprou modelo errado"/>
    <s v="COMERCIAL"/>
    <x v="2"/>
    <n v="56907367"/>
    <x v="1991"/>
    <s v="SP"/>
    <n v="474"/>
    <s v="Site Brastemp"/>
    <n v="1352"/>
    <s v="W11582776"/>
    <s v="Pés"/>
    <x v="6"/>
    <n v="2000"/>
    <n v="5002359"/>
    <s v="EMPRESA BRASILEIRA DE CORREIOS E"/>
    <n v="33.22"/>
    <d v="2025-07-04T00:00:00"/>
  </r>
  <r>
    <s v="Sem TR"/>
    <n v="64793378"/>
    <s v="ZRDI"/>
    <n v="10094374"/>
    <s v="D15"/>
    <s v="DEV D2C - Arrependimento modelo comprado"/>
    <s v="COMERCIAL"/>
    <x v="2"/>
    <n v="57314320"/>
    <x v="1990"/>
    <s v="SP"/>
    <n v="474"/>
    <s v="Site Brastemp"/>
    <n v="1352"/>
    <s v="W11582776"/>
    <s v="Pés"/>
    <x v="6"/>
    <n v="2000"/>
    <n v="5002359"/>
    <s v="EMPRESA BRASILEIRA DE CORREIOS E"/>
    <n v="33.22"/>
    <d v="2025-06-26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n v="326021045"/>
    <s v="Recipientes de Evaporação"/>
    <x v="9"/>
    <n v="5000"/>
    <n v="5004101"/>
    <s v="UNIDOCK'S ASSESSORIA E LOGISTICA DE"/>
    <n v="33.22"/>
    <d v="2025-03-13T00:00:00"/>
  </r>
  <r>
    <n v="254004055"/>
    <n v="64778230"/>
    <s v="REB"/>
    <n v="9981183"/>
    <n v="176"/>
    <s v="PEÇAS - Defeito de fabric./Interrompido"/>
    <s v="FUNCIONAL"/>
    <x v="1"/>
    <n v="78757"/>
    <x v="50"/>
    <s v="RS"/>
    <n v="643"/>
    <s v="Elite"/>
    <n v="1350"/>
    <s v="W10518617"/>
    <s v="Atuadores"/>
    <x v="2"/>
    <n v="1000"/>
    <n v="5003024"/>
    <s v="RODOBRAS TRANSPORTES RODOVIARIOS LT"/>
    <n v="33.200000000000003"/>
    <d v="2025-05-26T00:00:00"/>
  </r>
  <r>
    <s v="Sem TR"/>
    <n v="64773231"/>
    <s v="ROB"/>
    <n v="9994338"/>
    <n v="671"/>
    <s v="DEV-ENVIADO PARA GESTÃO DE CONSEQUENCIA"/>
    <s v="TRANSPORTADORA"/>
    <x v="2"/>
    <n v="81081"/>
    <x v="1992"/>
    <s v="SC"/>
    <n v="934"/>
    <s v="CDP Ouro"/>
    <n v="1350"/>
    <s v="W10767286"/>
    <s v="Capas"/>
    <x v="6"/>
    <n v="2000"/>
    <n v="5003024"/>
    <s v="RODOBRAS TRANSPORTES RODOVIARIOS LT"/>
    <n v="33.19"/>
    <d v="2025-05-20T00:00:00"/>
  </r>
  <r>
    <n v="254018368"/>
    <n v="64785647"/>
    <s v="REB"/>
    <n v="10064971"/>
    <n v="90"/>
    <s v="CLIENTE-não solicitou"/>
    <s v="COMERCIAL"/>
    <x v="2"/>
    <n v="72786"/>
    <x v="41"/>
    <s v="SC"/>
    <n v="643"/>
    <s v="Elite"/>
    <n v="1350"/>
    <s v="W11109180"/>
    <s v="Prateleiras"/>
    <x v="9"/>
    <n v="1000"/>
    <n v="5003024"/>
    <s v="RODOBRAS TRANSPORTES RODOVIARIOS LT"/>
    <n v="33.159999999999997"/>
    <d v="2025-06-17T00:00:00"/>
  </r>
  <r>
    <s v="Sem TR"/>
    <n v="64817443"/>
    <s v="ZRDI"/>
    <n v="10115569"/>
    <s v="D25"/>
    <s v="DEV D2C - Prob na entrega (Não recebi)"/>
    <s v="TRANSPORTADORA"/>
    <x v="1"/>
    <n v="55433470"/>
    <x v="1485"/>
    <s v="RJ"/>
    <n v="475"/>
    <s v="Site Consul"/>
    <n v="1352"/>
    <s v="W10231323"/>
    <s v="Mangueiras"/>
    <x v="5"/>
    <n v="1000"/>
    <n v="5002359"/>
    <s v="EMPRESA BRASILEIRA DE CORREIOS E"/>
    <n v="33.130000000000003"/>
    <d v="2025-07-28T00:00:00"/>
  </r>
  <r>
    <n v="253970921"/>
    <n v="64748303"/>
    <s v="REB"/>
    <n v="9864173"/>
    <n v="173"/>
    <s v="PEÇAS - Defeito de fabric./Alta Amperage"/>
    <s v="FUNCIONAL"/>
    <x v="2"/>
    <n v="67948"/>
    <x v="15"/>
    <s v="SC"/>
    <n v="713"/>
    <s v="Key Account"/>
    <n v="1350"/>
    <s v="W11082463"/>
    <s v="Termostatos"/>
    <x v="3"/>
    <n v="1000"/>
    <n v="5003024"/>
    <s v="RODOBRAS TRANSPORTES RODOVIARIOS LT"/>
    <n v="33.11"/>
    <d v="2025-04-09T00:00:00"/>
  </r>
  <r>
    <n v="254031864"/>
    <n v="64802402"/>
    <s v="REB"/>
    <n v="10048968"/>
    <n v="176"/>
    <s v="PEÇAS - Defeito de fabric./Interrompido"/>
    <s v="FUNCIONAL"/>
    <x v="1"/>
    <n v="3506"/>
    <x v="46"/>
    <s v="SP"/>
    <n v="931"/>
    <s v="Ats Off"/>
    <n v="1350"/>
    <n v="326013733"/>
    <s v="Termostatos"/>
    <x v="3"/>
    <n v="1000"/>
    <n v="5004042"/>
    <s v="BRASIL WEB TRANSPORTES E LOGISTICA"/>
    <n v="33.049999999999997"/>
    <d v="2025-07-01T00:00:00"/>
  </r>
  <r>
    <n v="254003930"/>
    <n v="64777769"/>
    <s v="REB"/>
    <n v="9894097"/>
    <n v="173"/>
    <s v="PEÇAS - Defeito de fabric./Alta Amperage"/>
    <s v="FUNCIONAL"/>
    <x v="1"/>
    <n v="29164"/>
    <x v="32"/>
    <s v="BA"/>
    <n v="648"/>
    <s v="Ultra"/>
    <n v="1350"/>
    <s v="W10849470"/>
    <s v="Bombas"/>
    <x v="1"/>
    <n v="1000"/>
    <n v="5004101"/>
    <s v="UNIDOCK'S ASSESSORIA E LOGISTICA DE"/>
    <n v="32.99"/>
    <d v="2025-05-26T00:00:00"/>
  </r>
  <r>
    <n v="254012550"/>
    <n v="64789443"/>
    <s v="REB"/>
    <n v="10002974"/>
    <n v="173"/>
    <s v="PEÇAS - Defeito de fabric./Alta Amperage"/>
    <s v="FUNCIONAL"/>
    <x v="1"/>
    <n v="58276"/>
    <x v="78"/>
    <s v="CE"/>
    <n v="644"/>
    <s v="Plus"/>
    <n v="1350"/>
    <s v="W10849470"/>
    <s v="Bombas"/>
    <x v="1"/>
    <n v="1000"/>
    <n v="5004101"/>
    <s v="UNIDOCK'S ASSESSORIA E LOGISTICA DE"/>
    <n v="32.99"/>
    <d v="2025-06-10T00:00:00"/>
  </r>
  <r>
    <n v="254035373"/>
    <n v="64805238"/>
    <s v="REB"/>
    <n v="10110569"/>
    <n v="167"/>
    <s v="PEÇAS - Avaria - Quebrada/Depósito"/>
    <s v="LOGÍSTICA"/>
    <x v="1"/>
    <n v="31063"/>
    <x v="308"/>
    <s v="RJ"/>
    <n v="644"/>
    <s v="Plus"/>
    <n v="1350"/>
    <s v="W10397307"/>
    <s v="Defletores/Difusores"/>
    <x v="5"/>
    <n v="1000"/>
    <n v="5003176"/>
    <s v="J C THEDIN TRANSPORTES LTDA"/>
    <n v="32.99"/>
    <d v="2025-07-17T00:00:00"/>
  </r>
  <r>
    <n v="254041865"/>
    <n v="64796159"/>
    <s v="REB"/>
    <n v="10053897"/>
    <n v="173"/>
    <s v="PEÇAS - Defeito de fabric./Alta Amperage"/>
    <s v="FUNCIONAL"/>
    <x v="0"/>
    <n v="13757"/>
    <x v="14"/>
    <s v="SP"/>
    <n v="713"/>
    <s v="Key Account"/>
    <n v="1350"/>
    <s v="W10171528"/>
    <s v="Pressostatos"/>
    <x v="3"/>
    <n v="1000"/>
    <n v="5004042"/>
    <s v="BRASIL WEB TRANSPORTES E LOGISTICA"/>
    <n v="32.97"/>
    <d v="2025-06-23T00:00:00"/>
  </r>
  <r>
    <n v="254038393"/>
    <n v="64811703"/>
    <s v="REB"/>
    <n v="10124591"/>
    <n v="104"/>
    <s v="PEÇAS-Código trocado(embalag X conteúdo)"/>
    <s v="LOGÍSTICA"/>
    <x v="1"/>
    <n v="72786"/>
    <x v="41"/>
    <s v="SC"/>
    <n v="643"/>
    <s v="Elite"/>
    <n v="1350"/>
    <s v="W10169457"/>
    <s v="Prateleiras"/>
    <x v="9"/>
    <n v="1000"/>
    <n v="5003024"/>
    <s v="RODOBRAS TRANSPORTES RODOVIARIOS LT"/>
    <n v="32.96"/>
    <d v="2025-07-22T00:00:00"/>
  </r>
  <r>
    <n v="254042161"/>
    <n v="64792812"/>
    <s v="REB"/>
    <n v="10031532"/>
    <n v="173"/>
    <s v="PEÇAS - Defeito de fabric./Alta Amperage"/>
    <s v="FUNCIONAL"/>
    <x v="0"/>
    <n v="4384"/>
    <x v="1058"/>
    <s v="SC"/>
    <n v="644"/>
    <s v="Plus"/>
    <n v="1350"/>
    <s v="W10849470"/>
    <s v="Bombas"/>
    <x v="1"/>
    <n v="1000"/>
    <n v="5003024"/>
    <s v="RODOBRAS TRANSPORTES RODOVIARIOS LT"/>
    <n v="32.96"/>
    <d v="2025-06-23T00:00:00"/>
  </r>
  <r>
    <n v="254030535"/>
    <n v="64802430"/>
    <s v="REB"/>
    <n v="10083009"/>
    <n v="167"/>
    <s v="PEÇAS - Avaria - Quebrada/Depósito"/>
    <s v="LOGÍSTICA"/>
    <x v="1"/>
    <n v="72786"/>
    <x v="41"/>
    <s v="SC"/>
    <n v="643"/>
    <s v="Elite"/>
    <n v="1350"/>
    <n v="326066852"/>
    <s v="Prateleiras"/>
    <x v="9"/>
    <n v="1000"/>
    <n v="5003024"/>
    <s v="RODOBRAS TRANSPORTES RODOVIARIOS LT"/>
    <n v="32.950000000000003"/>
    <d v="2025-07-01T00:00:00"/>
  </r>
  <r>
    <n v="254012435"/>
    <n v="64789534"/>
    <s v="REB"/>
    <n v="9994657"/>
    <n v="173"/>
    <s v="PEÇAS - Defeito de fabric./Alta Amperage"/>
    <s v="FUNCIONAL"/>
    <x v="1"/>
    <n v="1334"/>
    <x v="188"/>
    <s v="PI"/>
    <n v="350"/>
    <s v="Ats On"/>
    <n v="1350"/>
    <s v="W10632303"/>
    <s v="Válvulas de Água"/>
    <x v="5"/>
    <n v="1000"/>
    <n v="5004101"/>
    <s v="UNIDOCK'S ASSESSORIA E LOGISTICA DE"/>
    <n v="32.869999999999997"/>
    <d v="2025-06-10T00:00:00"/>
  </r>
  <r>
    <n v="254033295"/>
    <n v="64806252"/>
    <s v="REB"/>
    <n v="10009337"/>
    <n v="176"/>
    <s v="PEÇAS - Defeito de fabric./Interrompido"/>
    <s v="FUNCIONAL"/>
    <x v="1"/>
    <n v="18805"/>
    <x v="307"/>
    <s v="PR"/>
    <n v="648"/>
    <s v="Ultra"/>
    <n v="1350"/>
    <s v="W10897149"/>
    <s v="Rolamentos"/>
    <x v="2"/>
    <n v="4000"/>
    <n v="5003024"/>
    <s v="RODOBRAS TRANSPORTES RODOVIARIOS LT"/>
    <n v="32.86"/>
    <d v="2025-07-10T00:00:00"/>
  </r>
  <r>
    <n v="254018224"/>
    <n v="64792295"/>
    <s v="REB"/>
    <n v="9949531"/>
    <n v="176"/>
    <s v="PEÇAS - Defeito de fabric./Interrompido"/>
    <s v="FUNCIONAL"/>
    <x v="1"/>
    <n v="13757"/>
    <x v="14"/>
    <s v="SP"/>
    <n v="713"/>
    <s v="Key Account"/>
    <n v="1350"/>
    <s v="W10171528"/>
    <s v="Pressostatos"/>
    <x v="3"/>
    <n v="1000"/>
    <n v="5004042"/>
    <s v="BRASIL WEB TRANSPORTES E LOGISTICA"/>
    <n v="32.85"/>
    <d v="2025-06-16T00:00:00"/>
  </r>
  <r>
    <n v="254021071"/>
    <n v="64797516"/>
    <s v="ZRDI"/>
    <n v="9994260"/>
    <s v="D25"/>
    <s v="DEV D2C - Prob na entrega (Não recebi)"/>
    <s v="TRANSPORTADORA"/>
    <x v="2"/>
    <n v="51612835"/>
    <x v="1993"/>
    <s v="SP"/>
    <n v="475"/>
    <s v="Site Consul"/>
    <n v="1352"/>
    <s v="W11715713"/>
    <s v="Outros"/>
    <x v="7"/>
    <n v="1000"/>
    <n v="5003972"/>
    <s v="ICARO EXPRESS LOGISTICA LTDA"/>
    <n v="32.78"/>
    <d v="2025-06-26T00:00:00"/>
  </r>
  <r>
    <s v="Sem TR"/>
    <n v="64814989"/>
    <s v="ZRDI"/>
    <n v="10121124"/>
    <n v="208"/>
    <s v="DEV-Atraso entrega- LOGISTICA(Transp)"/>
    <s v="TRANSPORTADORA"/>
    <x v="2"/>
    <n v="5619569"/>
    <x v="1994"/>
    <s v="SP"/>
    <n v="475"/>
    <s v="Site Consul"/>
    <n v="1352"/>
    <s v="W11715713"/>
    <s v="Outros"/>
    <x v="7"/>
    <n v="1000"/>
    <n v="5002359"/>
    <s v="EMPRESA BRASILEIRA DE CORREIOS E"/>
    <n v="32.78"/>
    <d v="2025-07-22T00:00:00"/>
  </r>
  <r>
    <s v="Sem TR"/>
    <n v="64814989"/>
    <s v="ZRDI"/>
    <n v="10121124"/>
    <n v="208"/>
    <s v="DEV-Atraso entrega- LOGISTICA(Transp)"/>
    <s v="TRANSPORTADORA"/>
    <x v="2"/>
    <n v="5619569"/>
    <x v="1994"/>
    <s v="SP"/>
    <n v="475"/>
    <s v="Site Consul"/>
    <n v="1352"/>
    <s v="W11715713"/>
    <s v="Outros"/>
    <x v="7"/>
    <n v="1000"/>
    <n v="5002359"/>
    <s v="EMPRESA BRASILEIRA DE CORREIOS E"/>
    <n v="32.78"/>
    <d v="2025-07-22T00:00:00"/>
  </r>
  <r>
    <s v="Sem TR"/>
    <n v="64789136"/>
    <s v="REB"/>
    <n v="10043408"/>
    <n v="509"/>
    <s v="Qtd de peças a Menor dentro do Volume"/>
    <s v="LOGÍSTICA"/>
    <x v="1"/>
    <n v="54055"/>
    <x v="1887"/>
    <s v="MA"/>
    <n v="933"/>
    <s v="Top"/>
    <n v="1350"/>
    <s v="W10696196"/>
    <s v="Válvulas de Água"/>
    <x v="5"/>
    <n v="1000"/>
    <n v="5002359"/>
    <s v="EMPRESA BRASILEIRA DE CORREIOS E"/>
    <n v="32.770000000000003"/>
    <d v="2025-06-10T00:00:00"/>
  </r>
  <r>
    <n v="254038272"/>
    <n v="64814880"/>
    <s v="REB"/>
    <n v="10124127"/>
    <n v="176"/>
    <s v="PEÇAS - Defeito de fabric./Interrompido"/>
    <s v="FUNCIONAL"/>
    <x v="1"/>
    <n v="4318"/>
    <x v="89"/>
    <s v="SC"/>
    <n v="931"/>
    <s v="Ats Off"/>
    <n v="1350"/>
    <s v="W10531315"/>
    <s v="Sensores"/>
    <x v="3"/>
    <n v="4000"/>
    <n v="5003024"/>
    <s v="RODOBRAS TRANSPORTES RODOVIARIOS LT"/>
    <n v="32.76"/>
    <d v="2025-07-22T00:00:00"/>
  </r>
  <r>
    <n v="253872481"/>
    <n v="64641937"/>
    <s v="REB"/>
    <n v="9692456"/>
    <n v="167"/>
    <s v="PEÇAS - Avaria - Quebrada/Depósito"/>
    <s v="LOGÍSTICA"/>
    <x v="1"/>
    <n v="83572"/>
    <x v="105"/>
    <s v="SP"/>
    <n v="931"/>
    <s v="Ats Off"/>
    <n v="1350"/>
    <s v="W10397307"/>
    <s v="Defletores/Difusores"/>
    <x v="5"/>
    <n v="1000"/>
    <n v="5003254"/>
    <s v="TMA TRANSPORTE LOTACAO E LOGISTICA"/>
    <n v="32.630000000000003"/>
    <d v="2024-11-11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n v="326028183"/>
    <s v="Pressostatos"/>
    <x v="3"/>
    <n v="1000"/>
    <n v="5004042"/>
    <s v="BRASIL WEB TRANSPORTES E LOGISTICA"/>
    <n v="32.619999999999997"/>
    <d v="2025-07-08T00:00:00"/>
  </r>
  <r>
    <n v="253970783"/>
    <n v="64748149"/>
    <s v="REB"/>
    <n v="9937445"/>
    <n v="90"/>
    <s v="CLIENTE-não solicitou"/>
    <s v="COMERCIAL"/>
    <x v="1"/>
    <n v="31537"/>
    <x v="523"/>
    <s v="RS"/>
    <n v="641"/>
    <s v="CDP Diamante"/>
    <n v="1350"/>
    <n v="326065990"/>
    <s v="Recipientes de Evaporação"/>
    <x v="9"/>
    <n v="3000"/>
    <n v="5003024"/>
    <s v="RODOBRAS TRANSPORTES RODOVIARIOS LT"/>
    <n v="32.56"/>
    <d v="2025-04-09T00:00:00"/>
  </r>
  <r>
    <n v="254042338"/>
    <n v="64791136"/>
    <s v="ZDVP"/>
    <n v="9997508"/>
    <n v="176"/>
    <s v="PEÇAS - Defeito de fabric./Interrompido"/>
    <s v="FUNCIONAL"/>
    <x v="0"/>
    <n v="14474"/>
    <x v="25"/>
    <s v="RN"/>
    <n v="648"/>
    <s v="Ultra"/>
    <n v="1350"/>
    <s v="W10518617"/>
    <s v="Atuadores"/>
    <x v="2"/>
    <n v="1000"/>
    <n v="5004101"/>
    <s v="UNIDOCK'S ASSESSORIA E LOGISTICA DE"/>
    <n v="32.54"/>
    <d v="2025-06-24T00:00:00"/>
  </r>
  <r>
    <n v="254035004"/>
    <n v="64813403"/>
    <s v="ZRDI"/>
    <n v="10084568"/>
    <n v="208"/>
    <s v="DEV-Atraso entrega- LOGISTICA(Transp)"/>
    <s v="TRANSPORTADORA"/>
    <x v="2"/>
    <n v="58086685"/>
    <x v="1995"/>
    <s v="SC"/>
    <n v="475"/>
    <s v="Site Consul"/>
    <n v="1352"/>
    <s v="W11551361"/>
    <s v="Peças Mecanismos"/>
    <x v="2"/>
    <n v="1000"/>
    <n v="5002359"/>
    <s v="EMPRESA BRASILEIRA DE CORREIOS E"/>
    <n v="32.46"/>
    <d v="2025-07-18T00:00:00"/>
  </r>
  <r>
    <n v="254035004"/>
    <n v="64813403"/>
    <s v="ZRDI"/>
    <n v="10084568"/>
    <n v="208"/>
    <s v="DEV-Atraso entrega- LOGISTICA(Transp)"/>
    <s v="TRANSPORTADORA"/>
    <x v="2"/>
    <n v="58086685"/>
    <x v="1995"/>
    <s v="SC"/>
    <n v="475"/>
    <s v="Site Consul"/>
    <n v="1352"/>
    <s v="W11551361"/>
    <s v="Peças Mecanismos"/>
    <x v="2"/>
    <n v="1000"/>
    <n v="5002359"/>
    <s v="EMPRESA BRASILEIRA DE CORREIOS E"/>
    <n v="32.46"/>
    <d v="2025-07-18T00:00:00"/>
  </r>
  <r>
    <n v="254033387"/>
    <n v="64800183"/>
    <s v="REB"/>
    <n v="10096443"/>
    <n v="509"/>
    <s v="Qtd de peças a Menor dentro do Volume"/>
    <s v="LOGÍSTICA"/>
    <x v="2"/>
    <n v="32272"/>
    <x v="312"/>
    <s v="PR"/>
    <n v="933"/>
    <s v="Top"/>
    <n v="1350"/>
    <n v="326008096"/>
    <s v="Termostatos"/>
    <x v="3"/>
    <n v="1000"/>
    <n v="5003024"/>
    <s v="RODOBRAS TRANSPORTES RODOVIARIOS LT"/>
    <n v="32.44"/>
    <d v="2025-07-08T00:00:00"/>
  </r>
  <r>
    <n v="254030538"/>
    <n v="64802425"/>
    <s v="REB"/>
    <n v="10091593"/>
    <n v="167"/>
    <s v="PEÇAS - Avaria - Quebrada/Depósito"/>
    <s v="LOGÍSTICA"/>
    <x v="1"/>
    <n v="81365"/>
    <x v="216"/>
    <s v="SP"/>
    <n v="934"/>
    <s v="CDP Ouro"/>
    <n v="1350"/>
    <s v="W10292562"/>
    <s v="Capas"/>
    <x v="6"/>
    <n v="1000"/>
    <n v="5004042"/>
    <s v="BRASIL WEB TRANSPORTES E LOGISTICA"/>
    <n v="32.44"/>
    <d v="2025-07-01T00:00:00"/>
  </r>
  <r>
    <n v="254038302"/>
    <n v="64814786"/>
    <s v="REB"/>
    <n v="10114024"/>
    <n v="173"/>
    <s v="PEÇAS - Defeito de fabric./Alta Amperage"/>
    <s v="FUNCIONAL"/>
    <x v="1"/>
    <n v="18805"/>
    <x v="307"/>
    <s v="PR"/>
    <n v="648"/>
    <s v="Ultra"/>
    <n v="1350"/>
    <s v="W10518616"/>
    <s v="Atuadores"/>
    <x v="2"/>
    <n v="1000"/>
    <n v="5003024"/>
    <s v="RODOBRAS TRANSPORTES RODOVIARIOS LT"/>
    <n v="32.43"/>
    <d v="2025-07-22T00:00:00"/>
  </r>
  <r>
    <s v="Sem TR"/>
    <n v="64812263"/>
    <s v="ZRDI"/>
    <n v="10088357"/>
    <s v="D35"/>
    <s v="DEV D2C - Prod difere do comprado"/>
    <s v="COMERCIAL"/>
    <x v="1"/>
    <n v="58089395"/>
    <x v="1996"/>
    <s v="BA"/>
    <n v="475"/>
    <s v="Site Consul"/>
    <n v="1352"/>
    <s v="W10915953"/>
    <s v="Manípulos"/>
    <x v="6"/>
    <n v="1000"/>
    <n v="5002359"/>
    <s v="EMPRESA BRASILEIRA DE CORREIOS E"/>
    <n v="32.409999999999997"/>
    <d v="2025-07-29T00:00:00"/>
  </r>
  <r>
    <n v="254004010"/>
    <n v="64767832"/>
    <s v="REB"/>
    <n v="9788917"/>
    <n v="173"/>
    <s v="PEÇAS - Defeito de fabric./Alta Amperage"/>
    <s v="FUNCIONAL"/>
    <x v="1"/>
    <n v="55093"/>
    <x v="231"/>
    <s v="SP"/>
    <n v="648"/>
    <s v="Ultra"/>
    <n v="1350"/>
    <n v="326000539"/>
    <s v="Pressostatos"/>
    <x v="3"/>
    <n v="1000"/>
    <n v="5004042"/>
    <s v="BRASIL WEB TRANSPORTES E LOGISTICA"/>
    <n v="32.380000000000003"/>
    <d v="2025-05-26T00:00:00"/>
  </r>
  <r>
    <n v="253883050"/>
    <n v="64649925"/>
    <s v="REB"/>
    <n v="9695770"/>
    <n v="671"/>
    <s v="DEV-ENVIADO PARA GESTÃO DE CONSEQUENCIA"/>
    <s v="TRANSPORTADORA"/>
    <x v="1"/>
    <n v="38442"/>
    <x v="943"/>
    <s v="RS"/>
    <n v="644"/>
    <s v="Plus"/>
    <n v="1350"/>
    <n v="326030548"/>
    <s v="Portas"/>
    <x v="6"/>
    <n v="1000"/>
    <n v="5003024"/>
    <s v="RODOBRAS TRANSPORTES RODOVIARIOS LT"/>
    <n v="32.32"/>
    <d v="2024-11-21T00:00:00"/>
  </r>
  <r>
    <n v="253948458"/>
    <n v="64726714"/>
    <s v="REB"/>
    <n v="9730533"/>
    <n v="173"/>
    <s v="PEÇAS - Defeito de fabric./Alta Amperage"/>
    <s v="FUNCIONAL"/>
    <x v="2"/>
    <n v="13757"/>
    <x v="14"/>
    <s v="SP"/>
    <n v="713"/>
    <s v="Key Account"/>
    <n v="1350"/>
    <s v="W10828358"/>
    <s v="Pressostatos"/>
    <x v="3"/>
    <n v="1000"/>
    <n v="5004042"/>
    <s v="BRASIL WEB TRANSPORTES E LOGISTICA"/>
    <n v="32.29"/>
    <d v="2025-03-07T00:00:00"/>
  </r>
  <r>
    <n v="253992789"/>
    <n v="64768049"/>
    <s v="REB"/>
    <n v="10015856"/>
    <n v="167"/>
    <s v="PEÇAS - Avaria - Quebrada/Depósito"/>
    <s v="LOGÍSTICA"/>
    <x v="1"/>
    <n v="86642"/>
    <x v="315"/>
    <s v="SP"/>
    <n v="932"/>
    <s v="CDP Prata"/>
    <n v="1350"/>
    <s v="W10477178"/>
    <s v="Capas"/>
    <x v="6"/>
    <n v="1000"/>
    <n v="5004042"/>
    <s v="BRASIL WEB TRANSPORTES E LOGISTICA"/>
    <n v="32.29"/>
    <d v="2025-05-12T00:00:00"/>
  </r>
  <r>
    <s v="Sem TR"/>
    <n v="64805083"/>
    <s v="ZRDI"/>
    <n v="10082628"/>
    <s v="D10"/>
    <s v="DEV D2C - Comprou modelo errado"/>
    <s v="COMERCIAL"/>
    <x v="2"/>
    <n v="50465591"/>
    <x v="1997"/>
    <s v="SC"/>
    <n v="474"/>
    <s v="Site Brastemp"/>
    <n v="1352"/>
    <s v="W10451657"/>
    <s v="Queimadores"/>
    <x v="12"/>
    <n v="1000"/>
    <n v="5002359"/>
    <s v="EMPRESA BRASILEIRA DE CORREIOS E"/>
    <n v="32.270000000000003"/>
    <d v="2025-07-08T00:00:00"/>
  </r>
  <r>
    <n v="254031823"/>
    <n v="64789581"/>
    <s v="REB"/>
    <n v="10092665"/>
    <n v="176"/>
    <s v="PEÇAS - Defeito de fabric./Interrompido"/>
    <s v="FUNCIONAL"/>
    <x v="1"/>
    <n v="3506"/>
    <x v="46"/>
    <s v="SP"/>
    <n v="931"/>
    <s v="Ats Off"/>
    <n v="1350"/>
    <s v="W10686098"/>
    <s v="Manípulos"/>
    <x v="6"/>
    <n v="1000"/>
    <n v="5004042"/>
    <s v="BRASIL WEB TRANSPORTES E LOGISTICA"/>
    <n v="32.25"/>
    <d v="2025-06-24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n v="326041211"/>
    <s v="Capas"/>
    <x v="6"/>
    <n v="1000"/>
    <n v="5002359"/>
    <s v="EMPRESA BRASILEIRA DE CORREIOS E"/>
    <n v="32.229999999999997"/>
    <d v="2025-07-11T00:00:00"/>
  </r>
  <r>
    <n v="254038272"/>
    <n v="64814038"/>
    <s v="REB"/>
    <n v="10129331"/>
    <n v="176"/>
    <s v="PEÇAS - Defeito de fabric./Interrompido"/>
    <s v="FUNCIONAL"/>
    <x v="1"/>
    <n v="4318"/>
    <x v="89"/>
    <s v="SC"/>
    <n v="931"/>
    <s v="Ats Off"/>
    <n v="1350"/>
    <s v="W10471975"/>
    <s v="Interruptores"/>
    <x v="3"/>
    <n v="1000"/>
    <n v="5003024"/>
    <s v="RODOBRAS TRANSPORTES RODOVIARIOS LT"/>
    <n v="32.15"/>
    <d v="2025-07-22T00:00:00"/>
  </r>
  <r>
    <n v="254018187"/>
    <n v="64793104"/>
    <s v="REB"/>
    <n v="9955500"/>
    <n v="176"/>
    <s v="PEÇAS - Defeito de fabric./Interrompido"/>
    <s v="FUNCIONAL"/>
    <x v="1"/>
    <n v="4318"/>
    <x v="89"/>
    <s v="SC"/>
    <n v="931"/>
    <s v="Ats Off"/>
    <n v="1350"/>
    <s v="W11378831"/>
    <s v="Sensores"/>
    <x v="3"/>
    <n v="1000"/>
    <n v="5003024"/>
    <s v="RODOBRAS TRANSPORTES RODOVIARIOS LT"/>
    <n v="32.130000000000003"/>
    <d v="2025-06-17T00:00:00"/>
  </r>
  <r>
    <n v="253995248"/>
    <n v="64769897"/>
    <s v="REB"/>
    <n v="9766488"/>
    <n v="173"/>
    <s v="PEÇAS - Defeito de fabric./Alta Amperage"/>
    <s v="FUNCIONAL"/>
    <x v="2"/>
    <n v="90421"/>
    <x v="1768"/>
    <s v="SP"/>
    <n v="934"/>
    <s v="CDP Ouro"/>
    <n v="1350"/>
    <s v="W10518616"/>
    <s v="Atuadores"/>
    <x v="2"/>
    <n v="1000"/>
    <n v="5004042"/>
    <s v="BRASIL WEB TRANSPORTES E LOGISTICA"/>
    <n v="32.06"/>
    <d v="2025-05-15T00:00:00"/>
  </r>
  <r>
    <n v="254018300"/>
    <n v="64790801"/>
    <s v="REB"/>
    <n v="10053475"/>
    <n v="167"/>
    <s v="PEÇAS - Avaria - Quebrada/Depósito"/>
    <s v="LOGÍSTICA"/>
    <x v="2"/>
    <n v="47026"/>
    <x v="16"/>
    <s v="BA"/>
    <n v="643"/>
    <s v="Elite"/>
    <n v="1350"/>
    <n v="326030489"/>
    <s v="Gavetas"/>
    <x v="9"/>
    <n v="1000"/>
    <n v="5004101"/>
    <s v="UNIDOCK'S ASSESSORIA E LOGISTICA DE"/>
    <n v="32"/>
    <d v="2025-06-16T00:00:00"/>
  </r>
  <r>
    <n v="254033389"/>
    <n v="64802563"/>
    <s v="REB"/>
    <n v="10017966"/>
    <n v="90"/>
    <s v="CLIENTE-não solicitou"/>
    <s v="COMERCIAL"/>
    <x v="1"/>
    <n v="32856"/>
    <x v="60"/>
    <s v="PR"/>
    <n v="713"/>
    <s v="Key Account"/>
    <n v="1350"/>
    <s v="W10754676"/>
    <s v="Suportes"/>
    <x v="6"/>
    <n v="1000"/>
    <n v="5003024"/>
    <s v="RODOBRAS TRANSPORTES RODOVIARIOS LT"/>
    <n v="31.98"/>
    <d v="2025-07-01T00:00:00"/>
  </r>
  <r>
    <n v="254007536"/>
    <n v="64780845"/>
    <s v="REB"/>
    <n v="9940200"/>
    <n v="173"/>
    <s v="PEÇAS - Defeito de fabric./Alta Amperage"/>
    <s v="FUNCIONAL"/>
    <x v="1"/>
    <n v="14474"/>
    <x v="25"/>
    <s v="RN"/>
    <n v="648"/>
    <s v="Ultra"/>
    <n v="1350"/>
    <s v="W10696196"/>
    <s v="Válvulas de Água"/>
    <x v="5"/>
    <n v="1000"/>
    <n v="5004101"/>
    <s v="UNIDOCK'S ASSESSORIA E LOGISTICA DE"/>
    <n v="31.96"/>
    <d v="2025-06-02T00:00:00"/>
  </r>
  <r>
    <n v="254033400"/>
    <n v="64793428"/>
    <s v="REB"/>
    <n v="10015525"/>
    <n v="173"/>
    <s v="PEÇAS - Defeito de fabric./Alta Amperage"/>
    <s v="FUNCIONAL"/>
    <x v="1"/>
    <n v="37434"/>
    <x v="95"/>
    <s v="GO"/>
    <n v="931"/>
    <s v="Ats Off"/>
    <n v="1350"/>
    <s v="W10632303"/>
    <s v="Válvulas de Água"/>
    <x v="5"/>
    <n v="1000"/>
    <n v="5002858"/>
    <s v="FAVORITA TRANSPORTES LTDA"/>
    <n v="31.91"/>
    <d v="2025-07-01T00:00:00"/>
  </r>
  <r>
    <n v="254033380"/>
    <n v="64805312"/>
    <s v="REB"/>
    <n v="10046924"/>
    <n v="176"/>
    <s v="PEÇAS - Defeito de fabric./Interrompido"/>
    <s v="FUNCIONAL"/>
    <x v="1"/>
    <n v="31063"/>
    <x v="308"/>
    <s v="RJ"/>
    <n v="644"/>
    <s v="Plus"/>
    <n v="1350"/>
    <s v="W10171528"/>
    <s v="Pressostatos"/>
    <x v="3"/>
    <n v="1000"/>
    <n v="5003176"/>
    <s v="J C THEDIN TRANSPORTES LTDA"/>
    <n v="31.88"/>
    <d v="2025-07-08T00:00:00"/>
  </r>
  <r>
    <n v="253953850"/>
    <n v="64731931"/>
    <s v="REB"/>
    <n v="9783415"/>
    <n v="173"/>
    <s v="PEÇAS - Defeito de fabric./Alta Amperage"/>
    <s v="FUNCIONAL"/>
    <x v="2"/>
    <n v="79953"/>
    <x v="309"/>
    <s v="SP"/>
    <n v="932"/>
    <s v="CDP Prata"/>
    <n v="1350"/>
    <s v="W10518616"/>
    <s v="Atuadores"/>
    <x v="2"/>
    <n v="1000"/>
    <n v="5004042"/>
    <s v="BRASIL WEB TRANSPORTES E LOGISTICA"/>
    <n v="31.83"/>
    <d v="2025-03-14T00:00:00"/>
  </r>
  <r>
    <n v="254024095"/>
    <n v="64803592"/>
    <s v="ZRDI"/>
    <n v="10005239"/>
    <n v="208"/>
    <s v="DEV-Atraso entrega- LOGISTICA(Transp)"/>
    <s v="TRANSPORTADORA"/>
    <x v="2"/>
    <n v="57991234"/>
    <x v="1998"/>
    <s v="MS"/>
    <n v="474"/>
    <s v="Site Brastemp"/>
    <n v="1352"/>
    <s v="W10289734"/>
    <s v="Pés"/>
    <x v="6"/>
    <n v="1000"/>
    <n v="5002359"/>
    <s v="EMPRESA BRASILEIRA DE CORREIOS E"/>
    <n v="31.83"/>
    <d v="2025-07-01T00:00:00"/>
  </r>
  <r>
    <n v="253883065"/>
    <n v="64653315"/>
    <s v="REB"/>
    <n v="9718290"/>
    <n v="671"/>
    <s v="DEV-ENVIADO PARA GESTÃO DE CONSEQUENCIA"/>
    <s v="TRANSPORTADORA"/>
    <x v="1"/>
    <n v="53871"/>
    <x v="141"/>
    <s v="SC"/>
    <n v="931"/>
    <s v="Ats Off"/>
    <n v="1350"/>
    <s v="W10610100"/>
    <s v="Gavetas"/>
    <x v="9"/>
    <n v="1000"/>
    <n v="5003024"/>
    <s v="RODOBRAS TRANSPORTES RODOVIARIOS LT"/>
    <n v="31.75"/>
    <d v="2024-11-27T00:00:00"/>
  </r>
  <r>
    <n v="253970749"/>
    <n v="64748389"/>
    <s v="REB"/>
    <n v="9895290"/>
    <n v="176"/>
    <s v="PEÇAS - Defeito de fabric./Interrompido"/>
    <s v="FUNCIONAL"/>
    <x v="2"/>
    <n v="24089"/>
    <x v="134"/>
    <s v="RJ"/>
    <n v="931"/>
    <s v="Ats Off"/>
    <n v="1350"/>
    <s v="W10518616"/>
    <s v="Atuadores"/>
    <x v="2"/>
    <n v="1000"/>
    <n v="5003176"/>
    <s v="J C THEDIN TRANSPORTES LTDA"/>
    <n v="31.74"/>
    <d v="2025-04-09T00:00:00"/>
  </r>
  <r>
    <n v="253983952"/>
    <n v="64759516"/>
    <s v="REB"/>
    <n v="9975662"/>
    <n v="173"/>
    <s v="PEÇAS - Defeito de fabric./Alta Amperage"/>
    <s v="FUNCIONAL"/>
    <x v="1"/>
    <n v="69166"/>
    <x v="129"/>
    <s v="RJ"/>
    <n v="931"/>
    <s v="Ats Off"/>
    <n v="1350"/>
    <s v="W10518616"/>
    <s v="Atuadores"/>
    <x v="2"/>
    <n v="1000"/>
    <n v="5003176"/>
    <s v="J C THEDIN TRANSPORTES LTDA"/>
    <n v="31.74"/>
    <d v="2025-04-28T00:00:00"/>
  </r>
  <r>
    <s v="Sem TR"/>
    <n v="64810027"/>
    <s v="REB"/>
    <n v="10112958"/>
    <n v="509"/>
    <s v="Qtd de peças a Menor dentro do Volume"/>
    <s v="LOGÍSTICA"/>
    <x v="1"/>
    <n v="28162"/>
    <x v="203"/>
    <s v="SP"/>
    <n v="641"/>
    <s v="CDP Diamante"/>
    <n v="1350"/>
    <s v="W11364881"/>
    <s v="Válvulas de Água"/>
    <x v="5"/>
    <n v="1000"/>
    <n v="5002359"/>
    <s v="EMPRESA BRASILEIRA DE CORREIOS E"/>
    <n v="31.72"/>
    <d v="2025-07-17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777733"/>
    <s v="Usinas"/>
    <x v="12"/>
    <n v="2000"/>
    <n v="5002858"/>
    <s v="FAVORITA TRANSPORTES LTDA"/>
    <n v="31.67"/>
    <d v="2025-07-15T00:00:00"/>
  </r>
  <r>
    <n v="253995071"/>
    <n v="64769838"/>
    <s v="REB"/>
    <n v="9890630"/>
    <n v="177"/>
    <s v="PEÇAS - Defeito de fabric./Ruído"/>
    <s v="FUNCIONAL"/>
    <x v="1"/>
    <n v="4318"/>
    <x v="89"/>
    <s v="SC"/>
    <n v="931"/>
    <s v="Ats Off"/>
    <n v="1350"/>
    <s v="W10849470"/>
    <s v="Bombas"/>
    <x v="1"/>
    <n v="1000"/>
    <n v="5003024"/>
    <s v="RODOBRAS TRANSPORTES RODOVIARIOS LT"/>
    <n v="31.64"/>
    <d v="2025-05-15T00:00:00"/>
  </r>
  <r>
    <n v="254018173"/>
    <n v="64792430"/>
    <s v="REB"/>
    <n v="10075730"/>
    <n v="90"/>
    <s v="CLIENTE-não solicitou"/>
    <s v="COMERCIAL"/>
    <x v="1"/>
    <n v="2809"/>
    <x v="28"/>
    <s v="RJ"/>
    <n v="350"/>
    <s v="Ats On"/>
    <n v="1350"/>
    <s v="W11310109"/>
    <s v="Espargidores"/>
    <x v="2"/>
    <n v="1000"/>
    <n v="5003176"/>
    <s v="J C THEDIN TRANSPORTES LTDA"/>
    <n v="31.63"/>
    <d v="2025-06-16T00:00:00"/>
  </r>
  <r>
    <n v="254018181"/>
    <n v="64793269"/>
    <s v="REB"/>
    <n v="9477959"/>
    <n v="176"/>
    <s v="PEÇAS - Defeito de fabric./Interrompido"/>
    <s v="FUNCIONAL"/>
    <x v="1"/>
    <n v="3506"/>
    <x v="46"/>
    <s v="SP"/>
    <n v="931"/>
    <s v="Ats Off"/>
    <n v="1350"/>
    <s v="W10892757"/>
    <s v="Interruptores horário"/>
    <x v="3"/>
    <n v="1000"/>
    <n v="5004042"/>
    <s v="BRASIL WEB TRANSPORTES E LOGISTICA"/>
    <n v="31.61"/>
    <d v="2025-06-17T00:00:00"/>
  </r>
  <r>
    <n v="254033256"/>
    <n v="64799508"/>
    <s v="REB"/>
    <n v="10093105"/>
    <n v="176"/>
    <s v="PEÇAS - Defeito de fabric./Interrompido"/>
    <s v="FUNCIONAL"/>
    <x v="1"/>
    <n v="2424"/>
    <x v="338"/>
    <s v="RJ"/>
    <n v="350"/>
    <s v="Ats On"/>
    <n v="1350"/>
    <s v="W10632302"/>
    <s v="Válvulas de Água"/>
    <x v="5"/>
    <n v="1000"/>
    <n v="5003176"/>
    <s v="J C THEDIN TRANSPORTES LTDA"/>
    <n v="31.61"/>
    <d v="2025-07-08T00:00:00"/>
  </r>
  <r>
    <n v="254024489"/>
    <n v="64804714"/>
    <s v="ZRPJ"/>
    <n v="10070816"/>
    <n v="208"/>
    <s v="DEV-Atraso entrega- LOGISTICA(Transp)"/>
    <s v="TRANSPORTADORA"/>
    <x v="2"/>
    <n v="58068666"/>
    <x v="1999"/>
    <s v="SC"/>
    <n v="498"/>
    <s v="PJ Online"/>
    <n v="1352"/>
    <s v="W10846521"/>
    <s v="Acessórios"/>
    <x v="7"/>
    <n v="1000"/>
    <n v="5002359"/>
    <s v="EMPRESA BRASILEIRA DE CORREIOS E"/>
    <n v="31.51"/>
    <d v="2025-07-02T00:00:00"/>
  </r>
  <r>
    <n v="254038405"/>
    <n v="64810238"/>
    <s v="ZDVP"/>
    <n v="10062703"/>
    <n v="173"/>
    <s v="PEÇAS - Defeito de fabric./Alta Amperage"/>
    <s v="FUNCIONAL"/>
    <x v="0"/>
    <n v="14474"/>
    <x v="25"/>
    <s v="RN"/>
    <n v="648"/>
    <s v="Ultra"/>
    <n v="1350"/>
    <s v="W10849470"/>
    <s v="Bombas"/>
    <x v="1"/>
    <n v="1000"/>
    <n v="5004101"/>
    <s v="UNIDOCK'S ASSESSORIA E LOGISTICA DE"/>
    <n v="31.41"/>
    <d v="2025-07-22T00:00:00"/>
  </r>
  <r>
    <n v="254032557"/>
    <n v="64811502"/>
    <s v="ZRDI"/>
    <n v="10103413"/>
    <n v="208"/>
    <s v="DEV-Atraso entrega- LOGISTICA(Transp)"/>
    <s v="TRANSPORTADORA"/>
    <x v="2"/>
    <n v="58114157"/>
    <x v="2000"/>
    <s v="RJ"/>
    <n v="475"/>
    <s v="Site Consul"/>
    <n v="1352"/>
    <s v="W10846521"/>
    <s v="Acessórios"/>
    <x v="7"/>
    <n v="1000"/>
    <n v="5002359"/>
    <s v="EMPRESA BRASILEIRA DE CORREIOS E"/>
    <n v="31.36"/>
    <d v="2025-07-16T00:00:00"/>
  </r>
  <r>
    <n v="254018231"/>
    <n v="64793345"/>
    <s v="REB"/>
    <n v="9951076"/>
    <n v="173"/>
    <s v="PEÇAS - Defeito de fabric./Alta Amperage"/>
    <s v="FUNCIONAL"/>
    <x v="2"/>
    <n v="18949"/>
    <x v="264"/>
    <s v="SP"/>
    <n v="933"/>
    <s v="Top"/>
    <n v="1350"/>
    <n v="326002674"/>
    <s v="Mangueiras"/>
    <x v="5"/>
    <n v="1000"/>
    <n v="5004042"/>
    <s v="BRASIL WEB TRANSPORTES E LOGISTICA"/>
    <n v="31.35"/>
    <d v="2025-06-17T00:00:00"/>
  </r>
  <r>
    <n v="253992782"/>
    <n v="64768208"/>
    <s v="REB"/>
    <n v="10022598"/>
    <n v="167"/>
    <s v="PEÇAS - Avaria - Quebrada/Depósito"/>
    <s v="LOGÍSTICA"/>
    <x v="1"/>
    <n v="83572"/>
    <x v="105"/>
    <s v="SP"/>
    <n v="931"/>
    <s v="Ats Off"/>
    <n v="1350"/>
    <s v="W11364875"/>
    <s v="Válvulas de Água"/>
    <x v="5"/>
    <n v="1000"/>
    <n v="5004042"/>
    <s v="BRASIL WEB TRANSPORTES E LOGISTICA"/>
    <n v="31.35"/>
    <d v="2025-05-12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451678"/>
    <s v="Injetores"/>
    <x v="12"/>
    <n v="4000"/>
    <n v="5004101"/>
    <s v="UNIDOCK'S ASSESSORIA E LOGISTICA DE"/>
    <n v="31.35"/>
    <d v="2025-03-13T00:00:00"/>
  </r>
  <r>
    <n v="254018319"/>
    <n v="64789942"/>
    <s v="REB"/>
    <n v="9977772"/>
    <n v="176"/>
    <s v="PEÇAS - Defeito de fabric./Interrompido"/>
    <s v="FUNCIONAL"/>
    <x v="2"/>
    <n v="52520"/>
    <x v="292"/>
    <s v="RJ"/>
    <n v="713"/>
    <s v="Key Account"/>
    <n v="1350"/>
    <s v="W10849469"/>
    <s v="Bombas"/>
    <x v="1"/>
    <n v="1000"/>
    <n v="5003176"/>
    <s v="J C THEDIN TRANSPORTES LTDA"/>
    <n v="31.34"/>
    <d v="2025-06-17T00:00:00"/>
  </r>
  <r>
    <n v="254033262"/>
    <n v="64805730"/>
    <s v="REB"/>
    <n v="10091220"/>
    <n v="167"/>
    <s v="PEÇAS - Avaria - Quebrada/Depósito"/>
    <s v="LOGÍSTICA"/>
    <x v="0"/>
    <n v="4585"/>
    <x v="555"/>
    <s v="SC"/>
    <n v="350"/>
    <s v="Ats On"/>
    <n v="1350"/>
    <s v="W10849470"/>
    <s v="Bombas"/>
    <x v="1"/>
    <n v="1000"/>
    <n v="5003024"/>
    <s v="RODOBRAS TRANSPORTES RODOVIARIOS LT"/>
    <n v="31.32"/>
    <d v="2025-07-08T00:00:00"/>
  </r>
  <r>
    <n v="254038159"/>
    <n v="64816129"/>
    <s v="ZRDI"/>
    <n v="10100647"/>
    <n v="208"/>
    <s v="DEV-Atraso entrega- LOGISTICA(Transp)"/>
    <s v="TRANSPORTADORA"/>
    <x v="2"/>
    <n v="58110208"/>
    <x v="1807"/>
    <s v="MA"/>
    <n v="474"/>
    <s v="Site Brastemp"/>
    <n v="1352"/>
    <s v="W10330009"/>
    <s v="Acessórios"/>
    <x v="7"/>
    <n v="1000"/>
    <n v="5002359"/>
    <s v="EMPRESA BRASILEIRA DE CORREIOS E"/>
    <n v="31.31"/>
    <d v="2025-07-23T00:00:00"/>
  </r>
  <r>
    <n v="254038159"/>
    <n v="64816129"/>
    <s v="ZRDI"/>
    <n v="10100647"/>
    <n v="208"/>
    <s v="DEV-Atraso entrega- LOGISTICA(Transp)"/>
    <s v="TRANSPORTADORA"/>
    <x v="2"/>
    <n v="58110208"/>
    <x v="1807"/>
    <s v="MA"/>
    <n v="474"/>
    <s v="Site Brastemp"/>
    <n v="1352"/>
    <s v="W10330009"/>
    <s v="Acessórios"/>
    <x v="7"/>
    <n v="1000"/>
    <n v="5002359"/>
    <s v="EMPRESA BRASILEIRA DE CORREIOS E"/>
    <n v="31.31"/>
    <d v="2025-07-23T00:00:00"/>
  </r>
  <r>
    <n v="254004041"/>
    <n v="64778379"/>
    <s v="REB"/>
    <n v="9965623"/>
    <n v="173"/>
    <s v="PEÇAS - Defeito de fabric./Alta Amperage"/>
    <s v="FUNCIONAL"/>
    <x v="2"/>
    <n v="67948"/>
    <x v="15"/>
    <s v="SC"/>
    <n v="713"/>
    <s v="Key Account"/>
    <n v="1350"/>
    <s v="W10518617"/>
    <s v="Atuadores"/>
    <x v="2"/>
    <n v="1000"/>
    <n v="5003024"/>
    <s v="RODOBRAS TRANSPORTES RODOVIARIOS LT"/>
    <n v="31.25"/>
    <d v="2025-05-26T00:00:00"/>
  </r>
  <r>
    <n v="254012592"/>
    <n v="64787105"/>
    <s v="REB"/>
    <n v="9965623"/>
    <n v="173"/>
    <s v="PEÇAS - Defeito de fabric./Alta Amperage"/>
    <s v="FUNCIONAL"/>
    <x v="1"/>
    <n v="67948"/>
    <x v="15"/>
    <s v="SC"/>
    <n v="713"/>
    <s v="Key Account"/>
    <n v="1350"/>
    <s v="W10518617"/>
    <s v="Atuadores"/>
    <x v="2"/>
    <n v="1000"/>
    <n v="5003024"/>
    <s v="RODOBRAS TRANSPORTES RODOVIARIOS LT"/>
    <n v="31.25"/>
    <d v="2025-06-10T00:00:00"/>
  </r>
  <r>
    <n v="254003989"/>
    <n v="64774431"/>
    <s v="REB"/>
    <n v="10017734"/>
    <n v="173"/>
    <s v="PEÇAS - Defeito de fabric./Alta Amperage"/>
    <s v="FUNCIONAL"/>
    <x v="2"/>
    <n v="47026"/>
    <x v="16"/>
    <s v="BA"/>
    <n v="643"/>
    <s v="Elite"/>
    <n v="1350"/>
    <s v="W10518616"/>
    <s v="Atuadores"/>
    <x v="2"/>
    <n v="1000"/>
    <n v="5004101"/>
    <s v="UNIDOCK'S ASSESSORIA E LOGISTICA DE"/>
    <n v="31.15"/>
    <d v="2025-05-26T00:00:00"/>
  </r>
  <r>
    <n v="254037104"/>
    <n v="64815018"/>
    <s v="ZRDI"/>
    <n v="10144585"/>
    <n v="208"/>
    <s v="DEV-Atraso entrega- LOGISTICA(Transp)"/>
    <s v="TRANSPORTADORA"/>
    <x v="2"/>
    <n v="51668766"/>
    <x v="1298"/>
    <s v="SP"/>
    <n v="475"/>
    <s v="Site Consul"/>
    <n v="1352"/>
    <s v="W10231323"/>
    <s v="Mangueiras"/>
    <x v="5"/>
    <n v="1000"/>
    <n v="5002359"/>
    <s v="EMPRESA BRASILEIRA DE CORREIOS E"/>
    <n v="31.11"/>
    <d v="2025-07-22T00:00:00"/>
  </r>
  <r>
    <n v="254037104"/>
    <n v="64815018"/>
    <s v="ZRDI"/>
    <n v="10144585"/>
    <n v="208"/>
    <s v="DEV-Atraso entrega- LOGISTICA(Transp)"/>
    <s v="TRANSPORTADORA"/>
    <x v="2"/>
    <n v="51668766"/>
    <x v="1298"/>
    <s v="SP"/>
    <n v="475"/>
    <s v="Site Consul"/>
    <n v="1352"/>
    <s v="W10231323"/>
    <s v="Mangueiras"/>
    <x v="5"/>
    <n v="1000"/>
    <n v="5002359"/>
    <s v="EMPRESA BRASILEIRA DE CORREIOS E"/>
    <n v="31.11"/>
    <d v="2025-07-22T00:00:00"/>
  </r>
  <r>
    <n v="253992773"/>
    <n v="64766961"/>
    <s v="REB"/>
    <n v="9893902"/>
    <n v="173"/>
    <s v="PEÇAS - Defeito de fabric./Alta Amperage"/>
    <s v="FUNCIONAL"/>
    <x v="1"/>
    <n v="77746"/>
    <x v="119"/>
    <s v="GO"/>
    <n v="933"/>
    <s v="Top"/>
    <n v="1350"/>
    <s v="W10171528"/>
    <s v="Pressostatos"/>
    <x v="3"/>
    <n v="1000"/>
    <n v="5002858"/>
    <s v="FAVORITA TRANSPORTES LTDA"/>
    <n v="31.05"/>
    <d v="2025-05-12T00:00:00"/>
  </r>
  <r>
    <n v="253948453"/>
    <n v="64725687"/>
    <s v="REB"/>
    <n v="9840914"/>
    <n v="167"/>
    <s v="PEÇAS - Avaria - Quebrada/Depósito"/>
    <s v="LOGÍSTICA"/>
    <x v="1"/>
    <n v="8975"/>
    <x v="90"/>
    <s v="MA"/>
    <n v="931"/>
    <s v="Ats Off"/>
    <n v="1350"/>
    <s v="W11375169"/>
    <s v="Tampas Móveis"/>
    <x v="6"/>
    <n v="4000"/>
    <n v="5004101"/>
    <s v="UNIDOCK'S ASSESSORIA E LOGISTICA DE"/>
    <n v="31.04"/>
    <d v="2025-03-07T00:00:00"/>
  </r>
  <r>
    <n v="254012544"/>
    <n v="64789104"/>
    <s v="REB"/>
    <n v="10048243"/>
    <n v="167"/>
    <s v="PEÇAS - Avaria - Quebrada/Depósito"/>
    <s v="LOGÍSTICA"/>
    <x v="2"/>
    <n v="56043"/>
    <x v="48"/>
    <s v="PR"/>
    <n v="963"/>
    <s v="Ats Distribuidoras"/>
    <n v="1350"/>
    <s v="W10549270"/>
    <s v="Prateleiras"/>
    <x v="9"/>
    <n v="1000"/>
    <n v="5003024"/>
    <s v="RODOBRAS TRANSPORTES RODOVIARIOS LT"/>
    <n v="31.03"/>
    <d v="2025-06-10T00:00:00"/>
  </r>
  <r>
    <n v="254030534"/>
    <n v="64799602"/>
    <s v="REB"/>
    <n v="10082992"/>
    <n v="167"/>
    <s v="PEÇAS - Avaria - Quebrada/Depósito"/>
    <s v="LOGÍSTICA"/>
    <x v="1"/>
    <n v="71476"/>
    <x v="265"/>
    <s v="RJ"/>
    <n v="934"/>
    <s v="CDP Ouro"/>
    <n v="1350"/>
    <s v="W10169464"/>
    <s v="Defletores/Difusores"/>
    <x v="5"/>
    <n v="1000"/>
    <n v="5003176"/>
    <s v="J C THEDIN TRANSPORTES LTDA"/>
    <n v="31.03"/>
    <d v="2025-07-01T00:00:00"/>
  </r>
  <r>
    <n v="253988888"/>
    <n v="64763876"/>
    <s v="REB"/>
    <n v="9998604"/>
    <n v="167"/>
    <s v="PEÇAS - Avaria - Quebrada/Depósito"/>
    <s v="LOGÍSTICA"/>
    <x v="2"/>
    <n v="54465"/>
    <x v="207"/>
    <s v="SP"/>
    <n v="644"/>
    <s v="Plus"/>
    <n v="1350"/>
    <s v="W10483993"/>
    <s v="Capas"/>
    <x v="6"/>
    <n v="1000"/>
    <n v="5004042"/>
    <s v="BRASIL WEB TRANSPORTES E LOGISTICA"/>
    <n v="31.01"/>
    <d v="2025-05-05T00:00:00"/>
  </r>
  <r>
    <n v="254024151"/>
    <n v="64803813"/>
    <s v="ZRDI"/>
    <n v="10093975"/>
    <n v="208"/>
    <s v="DEV-Atraso entrega- LOGISTICA(Transp)"/>
    <s v="TRANSPORTADORA"/>
    <x v="2"/>
    <n v="58097954"/>
    <x v="2001"/>
    <s v="MG"/>
    <n v="474"/>
    <s v="Site Brastemp"/>
    <n v="1352"/>
    <s v="W10451658"/>
    <s v="Queimadores"/>
    <x v="12"/>
    <n v="1000"/>
    <n v="5002359"/>
    <s v="EMPRESA BRASILEIRA DE CORREIOS E"/>
    <n v="31"/>
    <d v="2025-07-01T00:00:00"/>
  </r>
  <r>
    <s v="Sem TR"/>
    <n v="64816301"/>
    <s v="REB"/>
    <n v="9759269"/>
    <n v="173"/>
    <s v="PEÇAS - Defeito de fabric./Alta Amperage"/>
    <s v="FUNCIONAL"/>
    <x v="1"/>
    <n v="4167"/>
    <x v="63"/>
    <s v="SP"/>
    <n v="931"/>
    <s v="Ats Off"/>
    <n v="1350"/>
    <s v="W10397307"/>
    <s v="Defletores/Difusores"/>
    <x v="5"/>
    <n v="1000"/>
    <n v="5004042"/>
    <s v="BRASIL WEB TRANSPORTES E LOGISTICA"/>
    <n v="30.92"/>
    <d v="2025-07-25T00:00:00"/>
  </r>
  <r>
    <n v="254024099"/>
    <n v="64803606"/>
    <s v="ZRDI"/>
    <n v="10023587"/>
    <n v="208"/>
    <s v="DEV-Atraso entrega- LOGISTICA(Transp)"/>
    <s v="TRANSPORTADORA"/>
    <x v="2"/>
    <n v="5990963"/>
    <x v="1958"/>
    <s v="ES"/>
    <n v="474"/>
    <s v="Site Brastemp"/>
    <n v="1352"/>
    <s v="W10451657"/>
    <s v="Queimadores"/>
    <x v="12"/>
    <n v="1000"/>
    <n v="5002359"/>
    <s v="EMPRESA BRASILEIRA DE CORREIOS E"/>
    <n v="30.91"/>
    <d v="2025-07-01T00:00:00"/>
  </r>
  <r>
    <n v="254034408"/>
    <n v="64813035"/>
    <s v="ROB"/>
    <n v="10113493"/>
    <n v="208"/>
    <s v="DEV-Atraso entrega- LOGISTICA(Transp)"/>
    <s v="TRANSPORTADORA"/>
    <x v="0"/>
    <n v="3625"/>
    <x v="324"/>
    <s v="SP"/>
    <n v="350"/>
    <s v="Ats On"/>
    <n v="1350"/>
    <s v="W11551361"/>
    <s v="Peças Mecanismos"/>
    <x v="2"/>
    <n v="2000"/>
    <n v="5004101"/>
    <s v="UNIDOCK'S ASSESSORIA E LOGISTICA DE"/>
    <n v="30.9"/>
    <d v="2025-07-18T00:00:00"/>
  </r>
  <r>
    <s v="Sem TR"/>
    <n v="64774193"/>
    <s v="REB"/>
    <n v="10129902"/>
    <n v="167"/>
    <s v="PEÇAS - Avaria - Quebrada/Depósito"/>
    <s v="LOGÍSTICA"/>
    <x v="1"/>
    <n v="28993"/>
    <x v="175"/>
    <s v="MG"/>
    <n v="644"/>
    <s v="Plus"/>
    <n v="1350"/>
    <s v="W10455522"/>
    <s v="Prateleiras"/>
    <x v="9"/>
    <n v="1000"/>
    <n v="5004215"/>
    <s v="BRASIL WEB TRANSPORTES E LOGISTICA"/>
    <n v="30.86"/>
    <d v="2025-07-21T00:00:00"/>
  </r>
  <r>
    <s v="Sem TR"/>
    <n v="64811882"/>
    <s v="ZRDI"/>
    <n v="10120312"/>
    <s v="D18"/>
    <s v="DEV D2C - Arrependimento não quero mais"/>
    <s v="COMERCIAL"/>
    <x v="2"/>
    <n v="58130587"/>
    <x v="2002"/>
    <s v="SP"/>
    <n v="474"/>
    <s v="Site Brastemp"/>
    <n v="1352"/>
    <s v="W10470951"/>
    <s v="Correias"/>
    <x v="2"/>
    <n v="1000"/>
    <n v="5002359"/>
    <s v="EMPRESA BRASILEIRA DE CORREIOS E"/>
    <n v="30.84"/>
    <d v="2025-07-22T00:00:00"/>
  </r>
  <r>
    <s v="Sem TR"/>
    <n v="64811882"/>
    <s v="ZRDI"/>
    <n v="10120312"/>
    <s v="D18"/>
    <s v="DEV D2C - Arrependimento não quero mais"/>
    <s v="COMERCIAL"/>
    <x v="2"/>
    <n v="58130587"/>
    <x v="2002"/>
    <s v="SP"/>
    <n v="474"/>
    <s v="Site Brastemp"/>
    <n v="1352"/>
    <s v="W10470951"/>
    <s v="Correias"/>
    <x v="2"/>
    <n v="1000"/>
    <n v="5002359"/>
    <s v="EMPRESA BRASILEIRA DE CORREIOS E"/>
    <n v="30.84"/>
    <d v="2025-07-22T00:00:00"/>
  </r>
  <r>
    <n v="254007533"/>
    <n v="64782435"/>
    <s v="REB"/>
    <n v="9953811"/>
    <n v="173"/>
    <s v="PEÇAS - Defeito de fabric./Alta Amperage"/>
    <s v="FUNCIONAL"/>
    <x v="2"/>
    <n v="13757"/>
    <x v="14"/>
    <s v="SP"/>
    <n v="713"/>
    <s v="Key Account"/>
    <n v="1350"/>
    <s v="W10828358"/>
    <s v="Pressostatos"/>
    <x v="3"/>
    <n v="1000"/>
    <n v="5004042"/>
    <s v="BRASIL WEB TRANSPORTES E LOGISTICA"/>
    <n v="30.81"/>
    <d v="2025-06-02T00:00:00"/>
  </r>
  <r>
    <s v="Sem TR"/>
    <n v="64813008"/>
    <s v="ZRDI"/>
    <n v="10152463"/>
    <s v="D30"/>
    <s v="DEV D2C - Defeito funcional manufatura"/>
    <s v="MANUFATURA"/>
    <x v="2"/>
    <n v="58182334"/>
    <x v="2003"/>
    <s v="MG"/>
    <n v="475"/>
    <s v="Site Consul"/>
    <n v="1352"/>
    <s v="W10851854"/>
    <s v="Manípulos"/>
    <x v="6"/>
    <n v="1000"/>
    <n v="5002359"/>
    <s v="EMPRESA BRASILEIRA DE CORREIOS E"/>
    <n v="30.79"/>
    <d v="2025-07-24T00:00:00"/>
  </r>
  <r>
    <s v="Sem TR"/>
    <n v="64813008"/>
    <s v="ZRDI"/>
    <n v="10152463"/>
    <s v="D30"/>
    <s v="DEV D2C - Defeito funcional manufatura"/>
    <s v="MANUFATURA"/>
    <x v="2"/>
    <n v="58182334"/>
    <x v="2003"/>
    <s v="MG"/>
    <n v="475"/>
    <s v="Site Consul"/>
    <n v="1352"/>
    <s v="W10851854"/>
    <s v="Manípulos"/>
    <x v="6"/>
    <n v="1000"/>
    <n v="5002359"/>
    <s v="EMPRESA BRASILEIRA DE CORREIOS E"/>
    <n v="30.79"/>
    <d v="2025-07-24T00:00:00"/>
  </r>
  <r>
    <n v="254033334"/>
    <n v="64807129"/>
    <s v="REB"/>
    <n v="10093771"/>
    <n v="167"/>
    <s v="PEÇAS - Avaria - Quebrada/Depósito"/>
    <s v="LOGÍSTICA"/>
    <x v="1"/>
    <n v="27337"/>
    <x v="145"/>
    <s v="RJ"/>
    <n v="641"/>
    <s v="CDP Diamante"/>
    <n v="1350"/>
    <s v="W10169464"/>
    <s v="Defletores/Difusores"/>
    <x v="5"/>
    <n v="1000"/>
    <n v="5003176"/>
    <s v="J C THEDIN TRANSPORTES LTDA"/>
    <n v="30.79"/>
    <d v="2025-07-08T00:00:00"/>
  </r>
  <r>
    <s v="Sem TR"/>
    <n v="64792158"/>
    <s v="REB"/>
    <n v="10084196"/>
    <n v="167"/>
    <s v="PEÇAS - Avaria - Quebrada/Depósito"/>
    <s v="LOGÍSTICA"/>
    <x v="1"/>
    <n v="3694"/>
    <x v="137"/>
    <s v="SP"/>
    <n v="350"/>
    <s v="Ats On"/>
    <n v="1350"/>
    <s v="W10169464"/>
    <s v="Defletores/Difusores"/>
    <x v="5"/>
    <n v="1000"/>
    <n v="5004042"/>
    <s v="BRASIL WEB TRANSPORTES E LOGISTICA"/>
    <n v="30.69"/>
    <d v="2025-06-23T00:00:00"/>
  </r>
  <r>
    <n v="253913161"/>
    <n v="64684771"/>
    <s v="REB"/>
    <n v="9733296"/>
    <n v="173"/>
    <s v="PEÇAS - Defeito de fabric./Alta Amperage"/>
    <s v="FUNCIONAL"/>
    <x v="1"/>
    <n v="63300"/>
    <x v="17"/>
    <s v="MG"/>
    <n v="643"/>
    <s v="Elite"/>
    <n v="1350"/>
    <s v="W10632302"/>
    <s v="Válvulas de Água"/>
    <x v="5"/>
    <n v="1000"/>
    <n v="5004215"/>
    <s v="BRASIL WEB TRANSPORTES E LOGISTICA"/>
    <n v="30.69"/>
    <d v="2025-01-06T00:00:00"/>
  </r>
  <r>
    <s v="Sem TR"/>
    <n v="64807611"/>
    <s v="ZRDI"/>
    <n v="10100530"/>
    <s v="D35"/>
    <s v="DEV D2C - Prod difere do comprado"/>
    <s v="COMERCIAL"/>
    <x v="2"/>
    <n v="58108096"/>
    <x v="2004"/>
    <s v="MG"/>
    <n v="475"/>
    <s v="Site Consul"/>
    <n v="1352"/>
    <s v="W10531315"/>
    <s v="Sensores"/>
    <x v="3"/>
    <n v="1000"/>
    <n v="5002359"/>
    <s v="EMPRESA BRASILEIRA DE CORREIOS E"/>
    <n v="30.66"/>
    <d v="2025-07-09T00:00:00"/>
  </r>
  <r>
    <s v="Sem TR"/>
    <n v="64807611"/>
    <s v="ZRDI"/>
    <n v="10100530"/>
    <s v="D35"/>
    <s v="DEV D2C - Prod difere do comprado"/>
    <s v="COMERCIAL"/>
    <x v="2"/>
    <n v="58108096"/>
    <x v="2004"/>
    <s v="MG"/>
    <n v="475"/>
    <s v="Site Consul"/>
    <n v="1352"/>
    <s v="W10531315"/>
    <s v="Sensores"/>
    <x v="3"/>
    <n v="1000"/>
    <n v="5002359"/>
    <s v="EMPRESA BRASILEIRA DE CORREIOS E"/>
    <n v="30.66"/>
    <d v="2025-07-09T00:00:00"/>
  </r>
  <r>
    <s v="Sem TR"/>
    <n v="64777877"/>
    <s v="REB"/>
    <n v="10034479"/>
    <n v="509"/>
    <s v="Qtd de peças a Menor dentro do Volume"/>
    <s v="LOGÍSTICA"/>
    <x v="1"/>
    <n v="9991"/>
    <x v="86"/>
    <s v="DF"/>
    <n v="648"/>
    <s v="Ultra"/>
    <n v="1350"/>
    <s v="W10171528"/>
    <s v="Pressostatos"/>
    <x v="3"/>
    <n v="1000"/>
    <n v="5002359"/>
    <s v="EMPRESA BRASILEIRA DE CORREIOS E"/>
    <n v="30.53"/>
    <d v="2025-05-26T00:00:00"/>
  </r>
  <r>
    <s v="Sem TR"/>
    <n v="64813724"/>
    <s v="REB"/>
    <n v="10138042"/>
    <n v="173"/>
    <s v="PEÇAS - Defeito de fabric./Alta Amperage"/>
    <s v="FUNCIONAL"/>
    <x v="1"/>
    <n v="72911"/>
    <x v="61"/>
    <s v="SP"/>
    <n v="931"/>
    <s v="Ats Off"/>
    <n v="1350"/>
    <s v="W10390025"/>
    <s v="Dobradiças"/>
    <x v="10"/>
    <n v="1000"/>
    <n v="5004042"/>
    <s v="BRASIL WEB TRANSPORTES E LOGISTICA"/>
    <n v="30.4"/>
    <d v="2025-07-20T00:00:00"/>
  </r>
  <r>
    <n v="253970961"/>
    <n v="64748174"/>
    <s v="REB"/>
    <n v="9935400"/>
    <n v="173"/>
    <s v="PEÇAS - Defeito de fabric./Alta Amperage"/>
    <s v="FUNCIONAL"/>
    <x v="2"/>
    <n v="87707"/>
    <x v="143"/>
    <s v="BA"/>
    <n v="648"/>
    <s v="Ultra"/>
    <n v="1350"/>
    <s v="W10828358"/>
    <s v="Pressostatos"/>
    <x v="3"/>
    <n v="1000"/>
    <n v="5004101"/>
    <s v="UNIDOCK'S ASSESSORIA E LOGISTICA DE"/>
    <n v="30.39"/>
    <d v="2025-04-09T00:00:00"/>
  </r>
  <r>
    <n v="254026128"/>
    <n v="64805680"/>
    <s v="ZRDI"/>
    <n v="10086860"/>
    <n v="208"/>
    <s v="DEV-Atraso entrega- LOGISTICA(Transp)"/>
    <s v="TRANSPORTADORA"/>
    <x v="2"/>
    <n v="50952906"/>
    <x v="2005"/>
    <s v="PR"/>
    <n v="497"/>
    <s v="Site KA(novo)"/>
    <n v="1352"/>
    <s v="W10311979"/>
    <s v="Gaxetas"/>
    <x v="4"/>
    <n v="1000"/>
    <n v="5002359"/>
    <s v="EMPRESA BRASILEIRA DE CORREIOS E"/>
    <n v="30.39"/>
    <d v="2025-07-04T00:00:00"/>
  </r>
  <r>
    <n v="254018297"/>
    <n v="64792279"/>
    <s v="REB"/>
    <n v="10062975"/>
    <n v="167"/>
    <s v="PEÇAS - Avaria - Quebrada/Depósito"/>
    <s v="LOGÍSTICA"/>
    <x v="2"/>
    <n v="45440"/>
    <x v="226"/>
    <s v="MG"/>
    <n v="350"/>
    <s v="Ats On"/>
    <n v="1350"/>
    <s v="W10553055"/>
    <s v="Prateleiras"/>
    <x v="9"/>
    <n v="1000"/>
    <n v="5004215"/>
    <s v="BRASIL WEB TRANSPORTES E LOGISTICA"/>
    <n v="30.36"/>
    <d v="2025-06-16T00:00:00"/>
  </r>
  <r>
    <s v="Sem TR"/>
    <n v="64812788"/>
    <s v="REB"/>
    <n v="10109101"/>
    <n v="176"/>
    <s v="PEÇAS - Defeito de fabric./Interrompido"/>
    <s v="FUNCIONAL"/>
    <x v="1"/>
    <n v="67948"/>
    <x v="15"/>
    <s v="SC"/>
    <n v="713"/>
    <s v="Key Account"/>
    <n v="1350"/>
    <n v="326013733"/>
    <s v="Termostatos"/>
    <x v="3"/>
    <n v="1000"/>
    <n v="5003024"/>
    <s v="RODOBRAS TRANSPORTES RODOVIARIOS LT"/>
    <n v="30.33"/>
    <d v="2025-07-25T00:00:00"/>
  </r>
  <r>
    <n v="254007559"/>
    <n v="64780823"/>
    <s v="REB"/>
    <n v="9990489"/>
    <n v="176"/>
    <s v="PEÇAS - Defeito de fabric./Interrompido"/>
    <s v="FUNCIONAL"/>
    <x v="2"/>
    <n v="28681"/>
    <x v="277"/>
    <s v="SP"/>
    <n v="643"/>
    <s v="Elite"/>
    <n v="1350"/>
    <n v="326028183"/>
    <s v="Pressostatos"/>
    <x v="3"/>
    <n v="1000"/>
    <n v="5004042"/>
    <s v="BRASIL WEB TRANSPORTES E LOGISTICA"/>
    <n v="30.32"/>
    <d v="2025-06-02T00:00:00"/>
  </r>
  <r>
    <n v="254042367"/>
    <n v="64778263"/>
    <s v="REB"/>
    <n v="10084126"/>
    <n v="90"/>
    <s v="CLIENTE-não solicitou"/>
    <s v="COMERCIAL"/>
    <x v="0"/>
    <n v="3361"/>
    <x v="351"/>
    <s v="SP"/>
    <n v="350"/>
    <s v="Ats On"/>
    <n v="1350"/>
    <s v="W10905603"/>
    <s v="Sensores"/>
    <x v="3"/>
    <n v="1000"/>
    <n v="5004042"/>
    <s v="BRASIL WEB TRANSPORTES E LOGISTICA"/>
    <n v="30.16"/>
    <d v="2025-06-24T00:00:00"/>
  </r>
  <r>
    <n v="254042638"/>
    <n v="64797724"/>
    <s v="REB"/>
    <n v="9993742"/>
    <n v="110"/>
    <s v="PEÇAS-Troca de produtos"/>
    <s v="GESTÃO DE TROCAS"/>
    <x v="0"/>
    <n v="92025"/>
    <x v="452"/>
    <s v="MG"/>
    <n v="350"/>
    <s v="Ats On"/>
    <n v="1350"/>
    <s v="W11223698"/>
    <s v="Prateleiras"/>
    <x v="9"/>
    <n v="1000"/>
    <n v="5004215"/>
    <s v="BRASIL WEB TRANSPORTES E LOGISTICA"/>
    <n v="30.13"/>
    <d v="2025-06-25T00:00:00"/>
  </r>
  <r>
    <n v="253953811"/>
    <n v="64732027"/>
    <s v="REB"/>
    <n v="9888782"/>
    <n v="671"/>
    <s v="DEV-ENVIADO PARA GESTÃO DE CONSEQUENCIA"/>
    <s v="TRANSPORTADORA"/>
    <x v="1"/>
    <n v="38442"/>
    <x v="943"/>
    <s v="RS"/>
    <n v="641"/>
    <s v="CDP Diamante"/>
    <n v="1350"/>
    <s v="W11364881"/>
    <s v="Válvulas de Água"/>
    <x v="5"/>
    <n v="1000"/>
    <n v="5003024"/>
    <s v="RODOBRAS TRANSPORTES RODOVIARIOS LT"/>
    <n v="30.12"/>
    <d v="2025-03-14T00:00:00"/>
  </r>
  <r>
    <s v="Sem TR"/>
    <n v="64804289"/>
    <s v="ZRDI"/>
    <n v="10109958"/>
    <s v="D10"/>
    <s v="DEV D2C - Comprou modelo errado"/>
    <s v="COMERCIAL"/>
    <x v="2"/>
    <n v="58121546"/>
    <x v="1785"/>
    <s v="SP"/>
    <n v="474"/>
    <s v="Site Brastemp"/>
    <n v="1352"/>
    <s v="W10451657"/>
    <s v="Queimadores"/>
    <x v="12"/>
    <n v="1000"/>
    <n v="5002359"/>
    <s v="EMPRESA BRASILEIRA DE CORREIOS E"/>
    <n v="30.06"/>
    <d v="2025-07-02T00:00:00"/>
  </r>
  <r>
    <n v="253970224"/>
    <n v="64746097"/>
    <s v="REB"/>
    <n v="9954731"/>
    <n v="167"/>
    <s v="PEÇAS - Avaria - Quebrada/Depósito"/>
    <s v="LOGÍSTICA"/>
    <x v="1"/>
    <n v="28684"/>
    <x v="235"/>
    <s v="SP"/>
    <n v="648"/>
    <s v="Ultra"/>
    <n v="1350"/>
    <s v="W10476183"/>
    <s v="Prateleiras"/>
    <x v="9"/>
    <n v="1000"/>
    <n v="5004042"/>
    <s v="BRASIL WEB TRANSPORTES E LOGISTICA"/>
    <n v="30.06"/>
    <d v="2025-04-04T00:00:00"/>
  </r>
  <r>
    <s v="Sem TR"/>
    <n v="64719690"/>
    <s v="ROB"/>
    <n v="9861838"/>
    <n v="671"/>
    <s v="DEV-ENVIADO PARA GESTÃO DE CONSEQUENCIA"/>
    <s v="TRANSPORTADORA"/>
    <x v="1"/>
    <n v="83115"/>
    <x v="819"/>
    <s v="MG"/>
    <n v="932"/>
    <s v="CDP Prata"/>
    <n v="1350"/>
    <n v="326064526"/>
    <s v="Prateleiras"/>
    <x v="9"/>
    <n v="1000"/>
    <n v="5004101"/>
    <s v="UNIDOCK'S ASSESSORIA E LOGISTICA DE"/>
    <n v="30.06"/>
    <d v="2025-02-25T00:00:00"/>
  </r>
  <r>
    <n v="253961256"/>
    <n v="64726937"/>
    <s v="REB"/>
    <n v="9843617"/>
    <n v="173"/>
    <s v="PEÇAS - Defeito de fabric./Alta Amperage"/>
    <s v="FUNCIONAL"/>
    <x v="1"/>
    <n v="14474"/>
    <x v="25"/>
    <s v="RN"/>
    <n v="648"/>
    <s v="Ultra"/>
    <n v="1350"/>
    <s v="W10617044"/>
    <s v="Pressostatos"/>
    <x v="3"/>
    <n v="1000"/>
    <n v="5004101"/>
    <s v="UNIDOCK'S ASSESSORIA E LOGISTICA DE"/>
    <n v="30.01"/>
    <d v="2025-03-25T00:00:00"/>
  </r>
  <r>
    <n v="254042370"/>
    <n v="64796911"/>
    <s v="REB"/>
    <n v="10047936"/>
    <n v="173"/>
    <s v="PEÇAS - Defeito de fabric./Alta Amperage"/>
    <s v="FUNCIONAL"/>
    <x v="0"/>
    <n v="28016"/>
    <x v="331"/>
    <s v="RJ"/>
    <n v="933"/>
    <s v="Top"/>
    <n v="1350"/>
    <s v="W11364875"/>
    <s v="Válvulas de Água"/>
    <x v="5"/>
    <n v="1000"/>
    <n v="5003176"/>
    <s v="J C THEDIN TRANSPORTES LTDA"/>
    <n v="29.92"/>
    <d v="2025-06-24T00:00:00"/>
  </r>
  <r>
    <n v="253988935"/>
    <n v="64762717"/>
    <s v="REB"/>
    <n v="9608812"/>
    <n v="173"/>
    <s v="PEÇAS - Defeito de fabric./Alta Amperage"/>
    <s v="FUNCIONAL"/>
    <x v="1"/>
    <n v="81093"/>
    <x v="53"/>
    <s v="ES"/>
    <n v="713"/>
    <s v="Key Account"/>
    <n v="1350"/>
    <s v="W10632302"/>
    <s v="Válvulas de Água"/>
    <x v="5"/>
    <n v="1000"/>
    <n v="5004042"/>
    <s v="BRASIL WEB TRANSPORTES E LOGISTICA"/>
    <n v="29.91"/>
    <d v="2025-05-05T00:00:00"/>
  </r>
  <r>
    <s v="Sem TR"/>
    <n v="64805299"/>
    <s v="ZRDI"/>
    <n v="10098495"/>
    <s v="D18"/>
    <s v="DEV D2C - Arrependimento não quero mais"/>
    <s v="COMERCIAL"/>
    <x v="2"/>
    <n v="58081645"/>
    <x v="1873"/>
    <s v="BA"/>
    <n v="474"/>
    <s v="Site Brastemp"/>
    <n v="1352"/>
    <s v="W10620706"/>
    <s v="Outros"/>
    <x v="7"/>
    <n v="1000"/>
    <n v="5002359"/>
    <s v="EMPRESA BRASILEIRA DE CORREIOS E"/>
    <n v="29.84"/>
    <d v="2025-07-03T00:00:00"/>
  </r>
  <r>
    <n v="254037050"/>
    <n v="64814966"/>
    <s v="ZRDI"/>
    <n v="10086214"/>
    <n v="208"/>
    <s v="DEV-Atraso entrega- LOGISTICA(Transp)"/>
    <s v="TRANSPORTADORA"/>
    <x v="2"/>
    <n v="58088115"/>
    <x v="1876"/>
    <s v="BA"/>
    <n v="474"/>
    <s v="Site Brastemp"/>
    <n v="1352"/>
    <s v="W10620706"/>
    <s v="Outros"/>
    <x v="7"/>
    <n v="1000"/>
    <n v="5002359"/>
    <s v="EMPRESA BRASILEIRA DE CORREIOS E"/>
    <n v="29.84"/>
    <d v="2025-07-22T00:00:00"/>
  </r>
  <r>
    <n v="254037050"/>
    <n v="64814966"/>
    <s v="ZRDI"/>
    <n v="10086214"/>
    <n v="208"/>
    <s v="DEV-Atraso entrega- LOGISTICA(Transp)"/>
    <s v="TRANSPORTADORA"/>
    <x v="2"/>
    <n v="58088115"/>
    <x v="1876"/>
    <s v="BA"/>
    <n v="474"/>
    <s v="Site Brastemp"/>
    <n v="1352"/>
    <s v="W10620706"/>
    <s v="Outros"/>
    <x v="7"/>
    <n v="1000"/>
    <n v="5002359"/>
    <s v="EMPRESA BRASILEIRA DE CORREIOS E"/>
    <n v="29.84"/>
    <d v="2025-07-22T00:00:00"/>
  </r>
  <r>
    <s v="Sem TR"/>
    <n v="64811031"/>
    <s v="REB"/>
    <n v="10115025"/>
    <n v="509"/>
    <s v="Qtd de peças a Menor dentro do Volume"/>
    <s v="LOGÍSTICA"/>
    <x v="2"/>
    <n v="32265"/>
    <x v="519"/>
    <s v="PB"/>
    <n v="934"/>
    <s v="CDP Ouro"/>
    <n v="1350"/>
    <s v="W11363944"/>
    <s v="Capas"/>
    <x v="6"/>
    <n v="1000"/>
    <n v="5002359"/>
    <s v="EMPRESA BRASILEIRA DE CORREIOS E"/>
    <n v="29.81"/>
    <d v="2025-07-22T00:00:00"/>
  </r>
  <r>
    <n v="254004039"/>
    <n v="64778080"/>
    <s v="REB"/>
    <n v="8393932"/>
    <n v="173"/>
    <s v="PEÇAS - Defeito de fabric./Alta Amperage"/>
    <s v="FUNCIONAL"/>
    <x v="2"/>
    <n v="67948"/>
    <x v="15"/>
    <s v="SC"/>
    <n v="713"/>
    <s v="Key Account"/>
    <n v="1350"/>
    <s v="W10311957"/>
    <s v="Válvulas de Água"/>
    <x v="5"/>
    <n v="1000"/>
    <n v="5003024"/>
    <s v="RODOBRAS TRANSPORTES RODOVIARIOS LT"/>
    <n v="29.8"/>
    <d v="2025-05-26T00:00:00"/>
  </r>
  <r>
    <n v="254007622"/>
    <n v="64782414"/>
    <s v="REB"/>
    <n v="9894289"/>
    <n v="173"/>
    <s v="PEÇAS - Defeito de fabric./Alta Amperage"/>
    <s v="FUNCIONAL"/>
    <x v="2"/>
    <n v="84297"/>
    <x v="2006"/>
    <s v="PE"/>
    <n v="644"/>
    <s v="Plus"/>
    <n v="1350"/>
    <s v="W11364881"/>
    <s v="Válvulas de Água"/>
    <x v="5"/>
    <n v="1000"/>
    <n v="5004101"/>
    <s v="UNIDOCK'S ASSESSORIA E LOGISTICA DE"/>
    <n v="29.77"/>
    <d v="2025-06-02T00:00:00"/>
  </r>
  <r>
    <n v="254030017"/>
    <n v="64809493"/>
    <s v="ZRDI"/>
    <n v="10105856"/>
    <n v="208"/>
    <s v="DEV-Atraso entrega- LOGISTICA(Transp)"/>
    <s v="TRANSPORTADORA"/>
    <x v="2"/>
    <n v="51421547"/>
    <x v="908"/>
    <s v="SP"/>
    <n v="475"/>
    <s v="Site Consul"/>
    <n v="1352"/>
    <s v="W10257566"/>
    <s v="Fusíveis/Fusíveis térmicos"/>
    <x v="1"/>
    <n v="1000"/>
    <n v="5002359"/>
    <s v="EMPRESA BRASILEIRA DE CORREIOS E"/>
    <n v="29.75"/>
    <d v="2025-07-11T00:00:00"/>
  </r>
  <r>
    <n v="253988889"/>
    <n v="64763465"/>
    <s v="REB"/>
    <n v="9480709"/>
    <n v="176"/>
    <s v="PEÇAS - Defeito de fabric./Interrompido"/>
    <s v="FUNCIONAL"/>
    <x v="1"/>
    <n v="56605"/>
    <x v="268"/>
    <s v="AL"/>
    <n v="934"/>
    <s v="CDP Ouro"/>
    <n v="1350"/>
    <s v="W11082462"/>
    <s v="Termostatos"/>
    <x v="3"/>
    <n v="1000"/>
    <n v="5004101"/>
    <s v="UNIDOCK'S ASSESSORIA E LOGISTICA DE"/>
    <n v="29.75"/>
    <d v="2025-05-05T00:00:00"/>
  </r>
  <r>
    <n v="254029245"/>
    <n v="64808752"/>
    <s v="ZRDI"/>
    <n v="10078990"/>
    <n v="208"/>
    <s v="DEV-Atraso entrega- LOGISTICA(Transp)"/>
    <s v="TRANSPORTADORA"/>
    <x v="2"/>
    <n v="52923046"/>
    <x v="1880"/>
    <s v="MG"/>
    <n v="474"/>
    <s v="Site Brastemp"/>
    <n v="1352"/>
    <s v="W10620706"/>
    <s v="Outros"/>
    <x v="7"/>
    <n v="1000"/>
    <n v="5002359"/>
    <s v="EMPRESA BRASILEIRA DE CORREIOS E"/>
    <n v="29.71"/>
    <d v="2025-07-10T00:00:00"/>
  </r>
  <r>
    <n v="254033952"/>
    <n v="64812511"/>
    <s v="ZRDI"/>
    <n v="10100597"/>
    <n v="208"/>
    <s v="DEV-Atraso entrega- LOGISTICA(Transp)"/>
    <s v="TRANSPORTADORA"/>
    <x v="2"/>
    <n v="58109492"/>
    <x v="2007"/>
    <s v="PR"/>
    <n v="466"/>
    <s v="Sup ML Marketplace"/>
    <n v="1352"/>
    <s v="W10915953"/>
    <s v="Manípulos"/>
    <x v="6"/>
    <n v="1000"/>
    <n v="5002359"/>
    <s v="EMPRESA BRASILEIRA DE CORREIOS E"/>
    <n v="29.71"/>
    <d v="2025-07-17T00:00:00"/>
  </r>
  <r>
    <n v="254036634"/>
    <n v="64814531"/>
    <s v="ZRDI"/>
    <n v="10099931"/>
    <n v="208"/>
    <s v="DEV-Atraso entrega- LOGISTICA(Transp)"/>
    <s v="TRANSPORTADORA"/>
    <x v="2"/>
    <n v="55701259"/>
    <x v="2008"/>
    <s v="PR"/>
    <n v="466"/>
    <s v="Sup ML Marketplace"/>
    <n v="1352"/>
    <s v="W10915953"/>
    <s v="Manípulos"/>
    <x v="6"/>
    <n v="1000"/>
    <n v="5002359"/>
    <s v="EMPRESA BRASILEIRA DE CORREIOS E"/>
    <n v="29.71"/>
    <d v="2025-07-22T00:00:00"/>
  </r>
  <r>
    <n v="254038147"/>
    <n v="64816107"/>
    <s v="ZRDI"/>
    <n v="10070960"/>
    <n v="208"/>
    <s v="DEV-Atraso entrega- LOGISTICA(Transp)"/>
    <s v="TRANSPORTADORA"/>
    <x v="2"/>
    <n v="55850227"/>
    <x v="2009"/>
    <s v="AL"/>
    <n v="466"/>
    <s v="Sup ML Marketplace"/>
    <n v="1352"/>
    <s v="W10851854"/>
    <s v="Manípulos"/>
    <x v="6"/>
    <n v="1000"/>
    <n v="5002359"/>
    <s v="EMPRESA BRASILEIRA DE CORREIOS E"/>
    <n v="29.71"/>
    <d v="2025-07-23T00:00:00"/>
  </r>
  <r>
    <n v="254040384"/>
    <n v="64818288"/>
    <s v="ZRDI"/>
    <n v="10060891"/>
    <n v="208"/>
    <s v="DEV-Atraso entrega- LOGISTICA(Transp)"/>
    <s v="TRANSPORTADORA"/>
    <x v="2"/>
    <n v="58056657"/>
    <x v="1882"/>
    <s v="MG"/>
    <n v="474"/>
    <s v="Site Brastemp"/>
    <n v="1352"/>
    <s v="W10620706"/>
    <s v="Outros"/>
    <x v="7"/>
    <n v="1000"/>
    <n v="5002359"/>
    <s v="EMPRESA BRASILEIRA DE CORREIOS E"/>
    <n v="29.71"/>
    <d v="2025-07-26T00:00:00"/>
  </r>
  <r>
    <n v="254038147"/>
    <n v="64816107"/>
    <s v="ZRDI"/>
    <n v="10070960"/>
    <n v="208"/>
    <s v="DEV-Atraso entrega- LOGISTICA(Transp)"/>
    <s v="TRANSPORTADORA"/>
    <x v="2"/>
    <n v="55850227"/>
    <x v="2009"/>
    <s v="AL"/>
    <n v="466"/>
    <s v="Sup ML Marketplace"/>
    <n v="1352"/>
    <s v="W10851854"/>
    <s v="Manípulos"/>
    <x v="6"/>
    <n v="1000"/>
    <n v="5002359"/>
    <s v="EMPRESA BRASILEIRA DE CORREIOS E"/>
    <n v="29.71"/>
    <d v="2025-07-23T00:00:00"/>
  </r>
  <r>
    <n v="254040384"/>
    <n v="64818288"/>
    <s v="ZRDI"/>
    <n v="10060891"/>
    <n v="208"/>
    <s v="DEV-Atraso entrega- LOGISTICA(Transp)"/>
    <s v="TRANSPORTADORA"/>
    <x v="2"/>
    <n v="58056657"/>
    <x v="1882"/>
    <s v="MG"/>
    <n v="474"/>
    <s v="Site Brastemp"/>
    <n v="1352"/>
    <s v="W10620706"/>
    <s v="Outros"/>
    <x v="7"/>
    <n v="1000"/>
    <n v="5002359"/>
    <s v="EMPRESA BRASILEIRA DE CORREIOS E"/>
    <n v="29.71"/>
    <d v="2025-07-26T00:00:00"/>
  </r>
  <r>
    <n v="253903210"/>
    <n v="64668888"/>
    <s v="REB"/>
    <n v="9547498"/>
    <n v="671"/>
    <s v="DEV-ENVIADO PARA GESTÃO DE CONSEQUENCIA"/>
    <s v="TRANSPORTADORA"/>
    <x v="1"/>
    <n v="46511"/>
    <x v="281"/>
    <s v="SC"/>
    <n v="932"/>
    <s v="CDP Prata"/>
    <n v="1350"/>
    <s v="W10518617"/>
    <s v="Atuadores"/>
    <x v="2"/>
    <n v="1000"/>
    <n v="5003024"/>
    <s v="RODOBRAS TRANSPORTES RODOVIARIOS LT"/>
    <n v="29.61"/>
    <d v="2024-12-18T00:00:00"/>
  </r>
  <r>
    <n v="254018237"/>
    <n v="64792379"/>
    <s v="REB"/>
    <n v="10001349"/>
    <n v="173"/>
    <s v="PEÇAS - Defeito de fabric./Alta Amperage"/>
    <s v="FUNCIONAL"/>
    <x v="2"/>
    <n v="22985"/>
    <x v="247"/>
    <s v="SC"/>
    <n v="641"/>
    <s v="CDP Diamante"/>
    <n v="1350"/>
    <s v="W10828358"/>
    <s v="Pressostatos"/>
    <x v="3"/>
    <n v="1000"/>
    <n v="5003024"/>
    <s v="RODOBRAS TRANSPORTES RODOVIARIOS LT"/>
    <n v="29.6"/>
    <d v="2025-06-16T00:00:00"/>
  </r>
  <r>
    <n v="254018204"/>
    <n v="64793305"/>
    <s v="REB"/>
    <n v="10006784"/>
    <n v="176"/>
    <s v="PEÇAS - Defeito de fabric./Interrompido"/>
    <s v="FUNCIONAL"/>
    <x v="2"/>
    <n v="5136"/>
    <x v="181"/>
    <s v="RS"/>
    <n v="350"/>
    <s v="Ats On"/>
    <n v="1350"/>
    <s v="W10231316"/>
    <s v="Válvulas de Água"/>
    <x v="5"/>
    <n v="1000"/>
    <n v="5003024"/>
    <s v="RODOBRAS TRANSPORTES RODOVIARIOS LT"/>
    <n v="29.6"/>
    <d v="2025-06-17T00:00:00"/>
  </r>
  <r>
    <n v="254018205"/>
    <n v="64793359"/>
    <s v="REB"/>
    <n v="10006784"/>
    <n v="176"/>
    <s v="PEÇAS - Defeito de fabric./Interrompido"/>
    <s v="FUNCIONAL"/>
    <x v="2"/>
    <n v="5136"/>
    <x v="181"/>
    <s v="RS"/>
    <n v="350"/>
    <s v="Ats On"/>
    <n v="1350"/>
    <s v="W10231316"/>
    <s v="Válvulas de Água"/>
    <x v="5"/>
    <n v="1000"/>
    <n v="5003024"/>
    <s v="RODOBRAS TRANSPORTES RODOVIARIOS LT"/>
    <n v="29.6"/>
    <d v="2025-06-17T00:00:00"/>
  </r>
  <r>
    <n v="254042279"/>
    <n v="64796116"/>
    <s v="REB"/>
    <n v="9997808"/>
    <n v="173"/>
    <s v="PEÇAS - Defeito de fabric./Alta Amperage"/>
    <s v="FUNCIONAL"/>
    <x v="0"/>
    <n v="55093"/>
    <x v="231"/>
    <s v="SP"/>
    <n v="648"/>
    <s v="Ultra"/>
    <n v="1350"/>
    <s v="W11364881"/>
    <s v="Válvulas de Água"/>
    <x v="5"/>
    <n v="1000"/>
    <n v="5004042"/>
    <s v="BRASIL WEB TRANSPORTES E LOGISTICA"/>
    <n v="29.59"/>
    <d v="2025-06-23T00:00:00"/>
  </r>
  <r>
    <n v="254018184"/>
    <n v="64792608"/>
    <s v="REB"/>
    <n v="9980185"/>
    <n v="176"/>
    <s v="PEÇAS - Defeito de fabric./Interrompido"/>
    <s v="FUNCIONAL"/>
    <x v="1"/>
    <n v="4318"/>
    <x v="89"/>
    <s v="SC"/>
    <n v="931"/>
    <s v="Ats Off"/>
    <n v="1350"/>
    <s v="W11428264"/>
    <s v="Atuadores"/>
    <x v="2"/>
    <n v="1000"/>
    <n v="5003024"/>
    <s v="RODOBRAS TRANSPORTES RODOVIARIOS LT"/>
    <n v="29.56"/>
    <d v="2025-06-17T00:00:00"/>
  </r>
  <r>
    <n v="253981410"/>
    <n v="64757767"/>
    <s v="REB"/>
    <n v="9977862"/>
    <n v="167"/>
    <s v="PEÇAS - Avaria - Quebrada/Depósito"/>
    <s v="LOGÍSTICA"/>
    <x v="2"/>
    <n v="25656"/>
    <x v="173"/>
    <s v="SP"/>
    <n v="931"/>
    <s v="Ats Off"/>
    <n v="1350"/>
    <s v="W10539793"/>
    <s v="Capas"/>
    <x v="6"/>
    <n v="1000"/>
    <n v="5004042"/>
    <s v="BRASIL WEB TRANSPORTES E LOGISTICA"/>
    <n v="29.54"/>
    <d v="2025-04-25T00:00:00"/>
  </r>
  <r>
    <n v="253981411"/>
    <n v="64757885"/>
    <s v="REB"/>
    <n v="9977865"/>
    <n v="167"/>
    <s v="PEÇAS - Avaria - Quebrada/Depósito"/>
    <s v="LOGÍSTICA"/>
    <x v="2"/>
    <n v="25656"/>
    <x v="173"/>
    <s v="SP"/>
    <n v="931"/>
    <s v="Ats Off"/>
    <n v="1350"/>
    <s v="W10292562"/>
    <s v="Capas"/>
    <x v="6"/>
    <n v="1000"/>
    <n v="5004042"/>
    <s v="BRASIL WEB TRANSPORTES E LOGISTICA"/>
    <n v="29.54"/>
    <d v="2025-04-25T00:00:00"/>
  </r>
  <r>
    <n v="253992715"/>
    <n v="64767076"/>
    <s v="REB"/>
    <n v="10018798"/>
    <n v="167"/>
    <s v="PEÇAS - Avaria - Quebrada/Depósito"/>
    <s v="LOGÍSTICA"/>
    <x v="1"/>
    <n v="25656"/>
    <x v="173"/>
    <s v="SP"/>
    <n v="931"/>
    <s v="Ats Off"/>
    <n v="1350"/>
    <s v="W10292562"/>
    <s v="Capas"/>
    <x v="6"/>
    <n v="1000"/>
    <n v="5004042"/>
    <s v="BRASIL WEB TRANSPORTES E LOGISTICA"/>
    <n v="29.54"/>
    <d v="2025-05-12T00:00:00"/>
  </r>
  <r>
    <n v="253931098"/>
    <n v="64702956"/>
    <s v="REB"/>
    <n v="9844451"/>
    <n v="167"/>
    <s v="PEÇAS - Avaria - Quebrada/Depósito"/>
    <s v="LOGÍSTICA"/>
    <x v="1"/>
    <n v="28162"/>
    <x v="203"/>
    <s v="SP"/>
    <n v="933"/>
    <s v="Top"/>
    <n v="1350"/>
    <s v="W10169464"/>
    <s v="Defletores/Difusores"/>
    <x v="5"/>
    <n v="1000"/>
    <n v="5003482"/>
    <s v="TMA TRANSPORTE LOTACAO E LOGISTICA"/>
    <n v="29.54"/>
    <d v="2025-01-31T00:00:00"/>
  </r>
  <r>
    <n v="254035325"/>
    <n v="64808121"/>
    <s v="REB"/>
    <n v="10099214"/>
    <n v="168"/>
    <s v="PEÇAS-Def.Fabric.Empenamento/Abaulamento"/>
    <s v="FUNCIONAL"/>
    <x v="0"/>
    <n v="3506"/>
    <x v="46"/>
    <s v="SP"/>
    <n v="931"/>
    <s v="Ats Off"/>
    <n v="1350"/>
    <s v="W10477178"/>
    <s v="Capas"/>
    <x v="6"/>
    <n v="1000"/>
    <n v="5004042"/>
    <s v="BRASIL WEB TRANSPORTES E LOGISTICA"/>
    <n v="29.54"/>
    <d v="2025-07-17T00:00:00"/>
  </r>
  <r>
    <s v="Sem TR"/>
    <n v="64782432"/>
    <s v="REB"/>
    <n v="10066829"/>
    <n v="509"/>
    <s v="Qtd de peças a Menor dentro do Volume"/>
    <s v="LOGÍSTICA"/>
    <x v="1"/>
    <n v="86964"/>
    <x v="345"/>
    <s v="PB"/>
    <n v="713"/>
    <s v="Key Account"/>
    <n v="1350"/>
    <s v="W10531315"/>
    <s v="Sensores"/>
    <x v="3"/>
    <n v="4000"/>
    <n v="5002359"/>
    <s v="EMPRESA BRASILEIRA DE CORREIOS E"/>
    <n v="29.52"/>
    <d v="2025-06-24T00:00:00"/>
  </r>
  <r>
    <n v="253970690"/>
    <n v="64748210"/>
    <s v="REB"/>
    <n v="9927252"/>
    <n v="176"/>
    <s v="PEÇAS - Defeito de fabric./Interrompido"/>
    <s v="FUNCIONAL"/>
    <x v="2"/>
    <n v="3506"/>
    <x v="46"/>
    <s v="SP"/>
    <n v="931"/>
    <s v="Ats Off"/>
    <n v="1350"/>
    <s v="W10477178"/>
    <s v="Capas"/>
    <x v="6"/>
    <n v="1000"/>
    <n v="5004042"/>
    <s v="BRASIL WEB TRANSPORTES E LOGISTICA"/>
    <n v="29.48"/>
    <d v="2025-04-09T00:00:00"/>
  </r>
  <r>
    <n v="254018189"/>
    <n v="64792805"/>
    <s v="REB"/>
    <n v="10073563"/>
    <n v="176"/>
    <s v="PEÇAS - Defeito de fabric./Interrompido"/>
    <s v="FUNCIONAL"/>
    <x v="1"/>
    <n v="4425"/>
    <x v="305"/>
    <s v="SC"/>
    <n v="931"/>
    <s v="Ats Off"/>
    <n v="1350"/>
    <n v="326030548"/>
    <s v="Portas"/>
    <x v="6"/>
    <n v="1000"/>
    <n v="5003024"/>
    <s v="RODOBRAS TRANSPORTES RODOVIARIOS LT"/>
    <n v="29.47"/>
    <d v="2025-06-17T00:00:00"/>
  </r>
  <r>
    <n v="253961280"/>
    <n v="64736547"/>
    <s v="REB"/>
    <n v="9850123"/>
    <n v="176"/>
    <s v="PEÇAS - Defeito de fabric./Interrompido"/>
    <s v="FUNCIONAL"/>
    <x v="1"/>
    <n v="27425"/>
    <x v="746"/>
    <s v="PA"/>
    <n v="641"/>
    <s v="CDP Diamante"/>
    <n v="1350"/>
    <s v="W10518616"/>
    <s v="Atuadores"/>
    <x v="2"/>
    <n v="1000"/>
    <n v="5002858"/>
    <s v="FAVORITA TRANSPORTES LTDA"/>
    <n v="29.45"/>
    <d v="2025-03-26T00:00:00"/>
  </r>
  <r>
    <n v="253931021"/>
    <n v="64704054"/>
    <s v="REB"/>
    <n v="9849035"/>
    <n v="671"/>
    <s v="DEV-ENVIADO PARA GESTÃO DE CONSEQUENCIA"/>
    <s v="TRANSPORTADORA"/>
    <x v="1"/>
    <n v="9015"/>
    <x v="72"/>
    <s v="SC"/>
    <n v="931"/>
    <s v="Ats Off"/>
    <n v="1350"/>
    <s v="W10732253"/>
    <s v="Capacitores"/>
    <x v="1"/>
    <n v="1000"/>
    <n v="5003024"/>
    <s v="RODOBRAS TRANSPORTES RODOVIARIOS LT"/>
    <n v="29.44"/>
    <d v="2025-01-31T00:00:00"/>
  </r>
  <r>
    <s v="Sem TR"/>
    <n v="64816347"/>
    <s v="REB"/>
    <n v="9959068"/>
    <n v="173"/>
    <s v="PEÇAS - Defeito de fabric./Alta Amperage"/>
    <s v="FUNCIONAL"/>
    <x v="1"/>
    <n v="4167"/>
    <x v="63"/>
    <s v="SP"/>
    <n v="931"/>
    <s v="Ats Off"/>
    <n v="1350"/>
    <s v="W11203650"/>
    <s v="Sensores"/>
    <x v="3"/>
    <n v="1000"/>
    <n v="5004042"/>
    <s v="BRASIL WEB TRANSPORTES E LOGISTICA"/>
    <n v="29.38"/>
    <d v="2025-07-25T00:00:00"/>
  </r>
  <r>
    <n v="254018240"/>
    <n v="64792286"/>
    <s v="REB"/>
    <n v="10068034"/>
    <n v="167"/>
    <s v="PEÇAS - Avaria - Quebrada/Depósito"/>
    <s v="LOGÍSTICA"/>
    <x v="1"/>
    <n v="27337"/>
    <x v="145"/>
    <s v="RJ"/>
    <n v="641"/>
    <s v="CDP Diamante"/>
    <n v="1350"/>
    <s v="W11364875"/>
    <s v="Válvulas de Água"/>
    <x v="5"/>
    <n v="1000"/>
    <n v="5003176"/>
    <s v="J C THEDIN TRANSPORTES LTDA"/>
    <n v="29.38"/>
    <d v="2025-06-16T00:00:00"/>
  </r>
  <r>
    <n v="254042250"/>
    <n v="64796042"/>
    <s v="REB"/>
    <n v="10051018"/>
    <n v="173"/>
    <s v="PEÇAS - Defeito de fabric./Alta Amperage"/>
    <s v="FUNCIONAL"/>
    <x v="0"/>
    <n v="4384"/>
    <x v="1058"/>
    <s v="SC"/>
    <n v="644"/>
    <s v="Plus"/>
    <n v="1350"/>
    <s v="W11364881"/>
    <s v="Válvulas de Água"/>
    <x v="5"/>
    <n v="1000"/>
    <n v="5003024"/>
    <s v="RODOBRAS TRANSPORTES RODOVIARIOS LT"/>
    <n v="29.38"/>
    <d v="2025-06-23T00:00:00"/>
  </r>
  <r>
    <n v="253870867"/>
    <n v="64638927"/>
    <s v="REB"/>
    <n v="9679088"/>
    <n v="167"/>
    <s v="PEÇAS - Avaria - Quebrada/Depósito"/>
    <s v="LOGÍSTICA"/>
    <x v="1"/>
    <n v="25656"/>
    <x v="173"/>
    <s v="SP"/>
    <n v="931"/>
    <s v="Ats Off"/>
    <n v="1350"/>
    <s v="W10483993"/>
    <s v="Capas"/>
    <x v="6"/>
    <n v="1000"/>
    <n v="5003482"/>
    <s v="TMA TRANSPORTE LOTACAO E LOGISTICA"/>
    <n v="29.36"/>
    <d v="2024-11-05T00:00:00"/>
  </r>
  <r>
    <n v="254033098"/>
    <n v="64807205"/>
    <s v="REB"/>
    <n v="10048592"/>
    <n v="173"/>
    <s v="PEÇAS - Defeito de fabric./Alta Amperage"/>
    <s v="FUNCIONAL"/>
    <x v="2"/>
    <n v="66"/>
    <x v="73"/>
    <s v="GO"/>
    <n v="931"/>
    <s v="Ats Off"/>
    <n v="1350"/>
    <s v="W11045219"/>
    <s v="Motores Ventiladores"/>
    <x v="1"/>
    <n v="1000"/>
    <n v="5002858"/>
    <s v="FAVORITA TRANSPORTES LTDA"/>
    <n v="29.35"/>
    <d v="2025-07-08T00:00:00"/>
  </r>
  <r>
    <n v="254034408"/>
    <n v="64813035"/>
    <s v="ROB"/>
    <n v="10113493"/>
    <n v="208"/>
    <s v="DEV-Atraso entrega- LOGISTICA(Transp)"/>
    <s v="TRANSPORTADORA"/>
    <x v="0"/>
    <n v="3625"/>
    <x v="324"/>
    <s v="SP"/>
    <n v="350"/>
    <s v="Ats On"/>
    <n v="1350"/>
    <s v="W10791633"/>
    <s v="Retentores"/>
    <x v="4"/>
    <n v="3000"/>
    <n v="5004101"/>
    <s v="UNIDOCK'S ASSESSORIA E LOGISTICA DE"/>
    <n v="29.35"/>
    <d v="2025-07-18T00:00:00"/>
  </r>
  <r>
    <n v="253989818"/>
    <n v="64763836"/>
    <s v="REB"/>
    <n v="9839612"/>
    <n v="176"/>
    <s v="PEÇAS - Defeito de fabric./Interrompido"/>
    <s v="FUNCIONAL"/>
    <x v="1"/>
    <n v="31537"/>
    <x v="523"/>
    <s v="RS"/>
    <n v="641"/>
    <s v="CDP Diamante"/>
    <n v="1350"/>
    <s v="W10828358"/>
    <s v="Pressostatos"/>
    <x v="3"/>
    <n v="1000"/>
    <n v="5003024"/>
    <s v="RODOBRAS TRANSPORTES RODOVIARIOS LT"/>
    <n v="29.33"/>
    <d v="2025-05-05T00:00:00"/>
  </r>
  <r>
    <s v="Sem TR"/>
    <n v="64813724"/>
    <s v="REB"/>
    <n v="10138042"/>
    <n v="173"/>
    <s v="PEÇAS - Defeito de fabric./Alta Amperage"/>
    <s v="FUNCIONAL"/>
    <x v="1"/>
    <n v="72911"/>
    <x v="61"/>
    <s v="SP"/>
    <n v="931"/>
    <s v="Ats Off"/>
    <n v="1350"/>
    <s v="W10410547"/>
    <s v="Dobradiças"/>
    <x v="10"/>
    <n v="1000"/>
    <n v="5004042"/>
    <s v="BRASIL WEB TRANSPORTES E LOGISTICA"/>
    <n v="29.32"/>
    <d v="2025-07-20T00:00:00"/>
  </r>
  <r>
    <n v="253956461"/>
    <n v="64731016"/>
    <s v="REB"/>
    <n v="9857734"/>
    <n v="671"/>
    <s v="DEV-ENVIADO PARA GESTÃO DE CONSEQUENCIA"/>
    <s v="TRANSPORTADORA"/>
    <x v="1"/>
    <n v="32856"/>
    <x v="60"/>
    <s v="PR"/>
    <n v="713"/>
    <s v="Key Account"/>
    <n v="1350"/>
    <n v="326065990"/>
    <s v="Recipientes de Evaporação"/>
    <x v="9"/>
    <n v="3000"/>
    <n v="5003024"/>
    <s v="RODOBRAS TRANSPORTES RODOVIARIOS LT"/>
    <n v="29.2"/>
    <d v="2025-03-17T00:00:00"/>
  </r>
  <r>
    <n v="254030335"/>
    <n v="64805317"/>
    <s v="REB"/>
    <n v="10094942"/>
    <n v="167"/>
    <s v="PEÇAS - Avaria - Quebrada/Depósito"/>
    <s v="LOGÍSTICA"/>
    <x v="1"/>
    <n v="81459"/>
    <x v="221"/>
    <s v="SP"/>
    <n v="648"/>
    <s v="Ultra"/>
    <n v="1350"/>
    <s v="W10477178"/>
    <s v="Capas"/>
    <x v="6"/>
    <n v="1000"/>
    <n v="5004042"/>
    <s v="BRASIL WEB TRANSPORTES E LOGISTICA"/>
    <n v="29.19"/>
    <d v="2025-07-08T00:00:00"/>
  </r>
  <r>
    <n v="253992750"/>
    <n v="64768205"/>
    <s v="REB"/>
    <n v="9678324"/>
    <n v="176"/>
    <s v="PEÇAS - Defeito de fabric./Interrompido"/>
    <s v="FUNCIONAL"/>
    <x v="2"/>
    <n v="56605"/>
    <x v="268"/>
    <s v="AL"/>
    <n v="934"/>
    <s v="CDP Ouro"/>
    <n v="1350"/>
    <s v="W10518617"/>
    <s v="Atuadores"/>
    <x v="2"/>
    <n v="1000"/>
    <n v="5004101"/>
    <s v="UNIDOCK'S ASSESSORIA E LOGISTICA DE"/>
    <n v="29.1"/>
    <d v="2025-05-12T00:00:00"/>
  </r>
  <r>
    <n v="254033464"/>
    <n v="64795598"/>
    <s v="REB"/>
    <n v="10098692"/>
    <n v="509"/>
    <s v="Qtd de peças a Menor dentro do Volume"/>
    <s v="LOGÍSTICA"/>
    <x v="2"/>
    <n v="81338"/>
    <x v="354"/>
    <s v="SP"/>
    <n v="644"/>
    <s v="Plus"/>
    <n v="1350"/>
    <s v="W10476183"/>
    <s v="Prateleiras"/>
    <x v="9"/>
    <n v="1000"/>
    <n v="5004042"/>
    <s v="BRASIL WEB TRANSPORTES E LOGISTICA"/>
    <n v="29.07"/>
    <d v="2025-07-08T00:00:00"/>
  </r>
  <r>
    <n v="253948444"/>
    <n v="64727064"/>
    <s v="REB"/>
    <n v="9788961"/>
    <n v="176"/>
    <s v="PEÇAS - Defeito de fabric./Interrompido"/>
    <s v="FUNCIONAL"/>
    <x v="2"/>
    <n v="3506"/>
    <x v="46"/>
    <s v="SP"/>
    <n v="931"/>
    <s v="Ats Off"/>
    <n v="1350"/>
    <s v="W10849469"/>
    <s v="Bombas"/>
    <x v="1"/>
    <n v="1000"/>
    <n v="5004042"/>
    <s v="BRASIL WEB TRANSPORTES E LOGISTICA"/>
    <n v="29.04"/>
    <d v="2025-03-07T00:00:00"/>
  </r>
  <r>
    <n v="254018372"/>
    <n v="64792300"/>
    <s v="REB"/>
    <n v="10064981"/>
    <n v="167"/>
    <s v="PEÇAS - Avaria - Quebrada/Depósito"/>
    <s v="LOGÍSTICA"/>
    <x v="2"/>
    <n v="78757"/>
    <x v="50"/>
    <s v="RS"/>
    <n v="643"/>
    <s v="Elite"/>
    <n v="1350"/>
    <s v="W10169475"/>
    <s v="Dutos"/>
    <x v="0"/>
    <n v="2000"/>
    <n v="5003024"/>
    <s v="RODOBRAS TRANSPORTES RODOVIARIOS LT"/>
    <n v="29.04"/>
    <d v="2025-06-16T00:00:00"/>
  </r>
  <r>
    <n v="254035356"/>
    <n v="64812343"/>
    <s v="REB"/>
    <n v="10079863"/>
    <n v="176"/>
    <s v="PEÇAS - Defeito de fabric./Interrompido"/>
    <s v="FUNCIONAL"/>
    <x v="1"/>
    <n v="22211"/>
    <x v="146"/>
    <s v="SC"/>
    <n v="644"/>
    <s v="Plus"/>
    <n v="1350"/>
    <s v="W11364881"/>
    <s v="Válvulas de Água"/>
    <x v="5"/>
    <n v="1000"/>
    <n v="5003024"/>
    <s v="RODOBRAS TRANSPORTES RODOVIARIOS LT"/>
    <n v="29.04"/>
    <d v="2025-07-17T00:00:00"/>
  </r>
  <r>
    <n v="253988814"/>
    <n v="64763879"/>
    <s v="REB"/>
    <n v="9940200"/>
    <n v="173"/>
    <s v="PEÇAS - Defeito de fabric./Alta Amperage"/>
    <s v="FUNCIONAL"/>
    <x v="2"/>
    <n v="14474"/>
    <x v="25"/>
    <s v="RN"/>
    <n v="648"/>
    <s v="Ultra"/>
    <n v="1350"/>
    <s v="W11364881"/>
    <s v="Válvulas de Água"/>
    <x v="5"/>
    <n v="1000"/>
    <n v="5004101"/>
    <s v="UNIDOCK'S ASSESSORIA E LOGISTICA DE"/>
    <n v="29.03"/>
    <d v="2025-05-05T00:00:00"/>
  </r>
  <r>
    <n v="254020435"/>
    <n v="64798139"/>
    <s v="ZRDI"/>
    <n v="10044497"/>
    <n v="208"/>
    <s v="DEV-Atraso entrega- LOGISTICA(Transp)"/>
    <s v="TRANSPORTADORA"/>
    <x v="2"/>
    <n v="58036100"/>
    <x v="2010"/>
    <s v="BA"/>
    <n v="466"/>
    <s v="Sup ML Marketplace"/>
    <n v="1352"/>
    <s v="W11582776"/>
    <s v="Pés"/>
    <x v="6"/>
    <n v="2000"/>
    <n v="5002359"/>
    <s v="EMPRESA BRASILEIRA DE CORREIOS E"/>
    <n v="29"/>
    <d v="2025-06-25T00:00:00"/>
  </r>
  <r>
    <s v="Sem TR"/>
    <n v="64778029"/>
    <s v="REB"/>
    <n v="9795036"/>
    <n v="176"/>
    <s v="PEÇAS - Defeito de fabric./Interrompido"/>
    <s v="FUNCIONAL"/>
    <x v="1"/>
    <n v="27804"/>
    <x v="466"/>
    <s v="SP"/>
    <n v="641"/>
    <s v="CDP Diamante"/>
    <n v="1350"/>
    <s v="W10171528"/>
    <s v="Pressostatos"/>
    <x v="3"/>
    <n v="1000"/>
    <n v="5004042"/>
    <s v="BRASIL WEB TRANSPORTES E LOGISTICA"/>
    <n v="28.93"/>
    <d v="2025-05-26T00:00:00"/>
  </r>
  <r>
    <s v="Sem TR"/>
    <n v="64816060"/>
    <s v="ZRDI"/>
    <n v="10066250"/>
    <n v="25"/>
    <s v="OC. 80 - EXTRAVIO TOTAL"/>
    <s v="TRANSPORTADORA"/>
    <x v="2"/>
    <n v="4258779"/>
    <x v="2011"/>
    <s v="SP"/>
    <n v="475"/>
    <s v="Site Consul"/>
    <n v="1352"/>
    <s v="W10257565"/>
    <s v="Fusíveis/Fusíveis térmicos"/>
    <x v="1"/>
    <n v="1000"/>
    <n v="5003972"/>
    <s v="ICARO EXPRESS LOGISTICA LTDA"/>
    <n v="28.93"/>
    <d v="2025-07-23T00:00:00"/>
  </r>
  <r>
    <s v="Sem TR"/>
    <n v="64816060"/>
    <s v="ZRDI"/>
    <n v="10066250"/>
    <n v="25"/>
    <s v="OC. 80 - EXTRAVIO TOTAL"/>
    <s v="TRANSPORTADORA"/>
    <x v="2"/>
    <n v="4258779"/>
    <x v="2011"/>
    <s v="SP"/>
    <n v="475"/>
    <s v="Site Consul"/>
    <n v="1352"/>
    <s v="W10531315"/>
    <s v="Sensores"/>
    <x v="3"/>
    <n v="1000"/>
    <n v="5003972"/>
    <s v="ICARO EXPRESS LOGISTICA LTDA"/>
    <n v="28.93"/>
    <d v="2025-07-23T00:00:00"/>
  </r>
  <r>
    <s v="Sem TR"/>
    <n v="64816060"/>
    <s v="ZRDI"/>
    <n v="10066250"/>
    <n v="25"/>
    <s v="OC. 80 - EXTRAVIO TOTAL"/>
    <s v="TRANSPORTADORA"/>
    <x v="2"/>
    <n v="4258779"/>
    <x v="2011"/>
    <s v="SP"/>
    <n v="475"/>
    <s v="Site Consul"/>
    <n v="1352"/>
    <s v="W10257565"/>
    <s v="Fusíveis/Fusíveis térmicos"/>
    <x v="1"/>
    <n v="1000"/>
    <n v="5003972"/>
    <s v="ICARO EXPRESS LOGISTICA LTDA"/>
    <n v="28.93"/>
    <d v="2025-07-23T00:00:00"/>
  </r>
  <r>
    <s v="Sem TR"/>
    <n v="64816060"/>
    <s v="ZRDI"/>
    <n v="10066250"/>
    <n v="25"/>
    <s v="OC. 80 - EXTRAVIO TOTAL"/>
    <s v="TRANSPORTADORA"/>
    <x v="2"/>
    <n v="4258779"/>
    <x v="2011"/>
    <s v="SP"/>
    <n v="475"/>
    <s v="Site Consul"/>
    <n v="1352"/>
    <s v="W10531315"/>
    <s v="Sensores"/>
    <x v="3"/>
    <n v="1000"/>
    <n v="5003972"/>
    <s v="ICARO EXPRESS LOGISTICA LTDA"/>
    <n v="28.93"/>
    <d v="2025-07-23T00:00:00"/>
  </r>
  <r>
    <n v="253961314"/>
    <n v="64737232"/>
    <s v="REB"/>
    <n v="9909105"/>
    <n v="167"/>
    <s v="PEÇAS - Avaria - Quebrada/Depósito"/>
    <s v="LOGÍSTICA"/>
    <x v="2"/>
    <n v="30847"/>
    <x v="87"/>
    <s v="SP"/>
    <n v="644"/>
    <s v="Plus"/>
    <n v="1350"/>
    <s v="W11633905"/>
    <s v="Outros"/>
    <x v="7"/>
    <n v="1000"/>
    <n v="5004042"/>
    <s v="BRASIL WEB TRANSPORTES E LOGISTICA"/>
    <n v="28.92"/>
    <d v="2025-03-24T00:00:00"/>
  </r>
  <r>
    <n v="254026371"/>
    <n v="64805837"/>
    <s v="ZRDI"/>
    <n v="10086857"/>
    <n v="208"/>
    <s v="DEV-Atraso entrega- LOGISTICA(Transp)"/>
    <s v="TRANSPORTADORA"/>
    <x v="2"/>
    <n v="4895047"/>
    <x v="1271"/>
    <s v="SC"/>
    <n v="474"/>
    <s v="Site Brastemp"/>
    <n v="1352"/>
    <s v="W10451655"/>
    <s v="Injetores"/>
    <x v="12"/>
    <n v="1000"/>
    <n v="5002359"/>
    <s v="EMPRESA BRASILEIRA DE CORREIOS E"/>
    <n v="28.92"/>
    <d v="2025-07-04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1374521"/>
    <s v="Suportes"/>
    <x v="6"/>
    <n v="1000"/>
    <n v="5004101"/>
    <s v="UNIDOCK'S ASSESSORIA E LOGISTICA DE"/>
    <n v="28.92"/>
    <d v="2025-03-13T00:00:00"/>
  </r>
  <r>
    <n v="254003852"/>
    <n v="64762816"/>
    <s v="REB"/>
    <n v="9751376"/>
    <n v="176"/>
    <s v="PEÇAS - Defeito de fabric./Interrompido"/>
    <s v="FUNCIONAL"/>
    <x v="2"/>
    <n v="3506"/>
    <x v="46"/>
    <s v="SP"/>
    <n v="931"/>
    <s v="Ats Off"/>
    <n v="1350"/>
    <s v="W10746442"/>
    <s v="Termostatos"/>
    <x v="3"/>
    <n v="1000"/>
    <n v="5004042"/>
    <s v="BRASIL WEB TRANSPORTES E LOGISTICA"/>
    <n v="28.91"/>
    <d v="2025-05-26T00:00:00"/>
  </r>
  <r>
    <n v="253953761"/>
    <n v="64732134"/>
    <s v="REB"/>
    <n v="9852878"/>
    <n v="173"/>
    <s v="PEÇAS - Defeito de fabric./Alta Amperage"/>
    <s v="FUNCIONAL"/>
    <x v="1"/>
    <n v="21594"/>
    <x v="97"/>
    <s v="SP"/>
    <n v="931"/>
    <s v="Ats Off"/>
    <n v="1350"/>
    <s v="W10606424"/>
    <s v="Usinas"/>
    <x v="12"/>
    <n v="1000"/>
    <n v="5004042"/>
    <s v="BRASIL WEB TRANSPORTES E LOGISTICA"/>
    <n v="28.87"/>
    <d v="2025-03-14T00:00:00"/>
  </r>
  <r>
    <n v="254018187"/>
    <n v="64791652"/>
    <s v="REB"/>
    <n v="9955503"/>
    <n v="176"/>
    <s v="PEÇAS - Defeito de fabric./Interrompido"/>
    <s v="FUNCIONAL"/>
    <x v="1"/>
    <n v="4318"/>
    <x v="89"/>
    <s v="SC"/>
    <n v="931"/>
    <s v="Ats Off"/>
    <n v="1350"/>
    <s v="W11045219"/>
    <s v="Motores Ventiladores"/>
    <x v="1"/>
    <n v="1000"/>
    <n v="5003024"/>
    <s v="RODOBRAS TRANSPORTES RODOVIARIOS LT"/>
    <n v="28.87"/>
    <d v="2025-06-17T00:00:00"/>
  </r>
  <r>
    <n v="254041950"/>
    <n v="64796284"/>
    <s v="REB"/>
    <n v="9823998"/>
    <n v="173"/>
    <s v="PEÇAS - Defeito de fabric./Alta Amperage"/>
    <s v="FUNCIONAL"/>
    <x v="0"/>
    <n v="30121"/>
    <x v="23"/>
    <s v="SP"/>
    <n v="648"/>
    <s v="Ultra"/>
    <n v="1350"/>
    <s v="W10849469"/>
    <s v="Bombas"/>
    <x v="1"/>
    <n v="1000"/>
    <n v="5004042"/>
    <s v="BRASIL WEB TRANSPORTES E LOGISTICA"/>
    <n v="28.81"/>
    <d v="2025-06-23T00:00:00"/>
  </r>
  <r>
    <n v="254030335"/>
    <n v="64805317"/>
    <s v="REB"/>
    <n v="10094942"/>
    <n v="167"/>
    <s v="PEÇAS - Avaria - Quebrada/Depósito"/>
    <s v="LOGÍSTICA"/>
    <x v="1"/>
    <n v="81459"/>
    <x v="221"/>
    <s v="SP"/>
    <n v="648"/>
    <s v="Ultra"/>
    <n v="1350"/>
    <s v="W10292562"/>
    <s v="Capas"/>
    <x v="6"/>
    <n v="1000"/>
    <n v="5004042"/>
    <s v="BRASIL WEB TRANSPORTES E LOGISTICA"/>
    <n v="28.75"/>
    <d v="2025-07-08T00:00:00"/>
  </r>
  <r>
    <n v="253870826"/>
    <n v="64636438"/>
    <s v="REB"/>
    <n v="9688367"/>
    <n v="167"/>
    <s v="PEÇAS - Avaria - Quebrada/Depósito"/>
    <s v="LOGÍSTICA"/>
    <x v="1"/>
    <n v="3649"/>
    <x v="148"/>
    <s v="SP"/>
    <n v="931"/>
    <s v="Ats Off"/>
    <n v="1350"/>
    <s v="W10849469"/>
    <s v="Bombas"/>
    <x v="1"/>
    <n v="1000"/>
    <n v="5003254"/>
    <s v="TMA TRANSPORTE LOTACAO E LOGISTICA"/>
    <n v="28.71"/>
    <d v="2024-11-05T00:00:00"/>
  </r>
  <r>
    <s v="Sem TR"/>
    <n v="64812245"/>
    <s v="REB"/>
    <n v="10108624"/>
    <n v="509"/>
    <s v="Qtd de peças a Menor dentro do Volume"/>
    <s v="LOGÍSTICA"/>
    <x v="1"/>
    <n v="80567"/>
    <x v="1561"/>
    <s v="ES"/>
    <n v="350"/>
    <s v="Ats On"/>
    <n v="1350"/>
    <s v="W10698525"/>
    <s v="Dobradiças"/>
    <x v="10"/>
    <n v="1000"/>
    <n v="5002359"/>
    <s v="EMPRESA BRASILEIRA DE CORREIOS E"/>
    <n v="28.7"/>
    <d v="2025-07-17T00:00:00"/>
  </r>
  <r>
    <n v="253948580"/>
    <n v="64726783"/>
    <s v="REB"/>
    <n v="9591303"/>
    <n v="173"/>
    <s v="PEÇAS - Defeito de fabric./Alta Amperage"/>
    <s v="FUNCIONAL"/>
    <x v="1"/>
    <n v="80573"/>
    <x v="186"/>
    <s v="MA"/>
    <n v="643"/>
    <s v="Elite"/>
    <n v="1350"/>
    <s v="W10828358"/>
    <s v="Pressostatos"/>
    <x v="3"/>
    <n v="1000"/>
    <n v="5004101"/>
    <s v="UNIDOCK'S ASSESSORIA E LOGISTICA DE"/>
    <n v="28.68"/>
    <d v="2025-03-07T00:00:00"/>
  </r>
  <r>
    <n v="254031838"/>
    <n v="64796838"/>
    <s v="REB"/>
    <n v="10027640"/>
    <n v="176"/>
    <s v="PEÇAS - Defeito de fabric./Interrompido"/>
    <s v="FUNCIONAL"/>
    <x v="1"/>
    <n v="3506"/>
    <x v="46"/>
    <s v="SP"/>
    <n v="931"/>
    <s v="Ats Off"/>
    <n v="1350"/>
    <s v="W11135728"/>
    <s v="Mangueiras"/>
    <x v="5"/>
    <n v="2000"/>
    <n v="5004042"/>
    <s v="BRASIL WEB TRANSPORTES E LOGISTICA"/>
    <n v="28.68"/>
    <d v="2025-06-24T00:00:00"/>
  </r>
  <r>
    <n v="254018387"/>
    <n v="64791773"/>
    <s v="REB"/>
    <n v="9627698"/>
    <n v="173"/>
    <s v="PEÇAS - Defeito de fabric./Alta Amperage"/>
    <s v="FUNCIONAL"/>
    <x v="2"/>
    <n v="81988"/>
    <x v="38"/>
    <s v="MG"/>
    <n v="648"/>
    <s v="Ultra"/>
    <n v="1350"/>
    <s v="W10849469"/>
    <s v="Bombas"/>
    <x v="1"/>
    <n v="1000"/>
    <n v="5004215"/>
    <s v="BRASIL WEB TRANSPORTES E LOGISTICA"/>
    <n v="28.65"/>
    <d v="2025-06-16T00:00:00"/>
  </r>
  <r>
    <n v="253970749"/>
    <n v="64748183"/>
    <s v="REB"/>
    <n v="9941285"/>
    <n v="176"/>
    <s v="PEÇAS - Defeito de fabric./Interrompido"/>
    <s v="FUNCIONAL"/>
    <x v="2"/>
    <n v="24089"/>
    <x v="134"/>
    <s v="RJ"/>
    <n v="931"/>
    <s v="Ats Off"/>
    <n v="1350"/>
    <s v="W10292562"/>
    <s v="Capas"/>
    <x v="6"/>
    <n v="1000"/>
    <n v="5003176"/>
    <s v="J C THEDIN TRANSPORTES LTDA"/>
    <n v="28.64"/>
    <d v="2025-04-09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n v="326035882"/>
    <s v="Capas"/>
    <x v="6"/>
    <n v="1000"/>
    <n v="5002359"/>
    <s v="EMPRESA BRASILEIRA DE CORREIOS E"/>
    <n v="28.64"/>
    <d v="2025-07-11T00:00:00"/>
  </r>
  <r>
    <n v="254035382"/>
    <n v="64812358"/>
    <s v="REB"/>
    <n v="10073902"/>
    <n v="173"/>
    <s v="PEÇAS - Defeito de fabric./Alta Amperage"/>
    <s v="FUNCIONAL"/>
    <x v="0"/>
    <n v="47026"/>
    <x v="16"/>
    <s v="BA"/>
    <n v="643"/>
    <s v="Elite"/>
    <n v="1350"/>
    <n v="326005854"/>
    <s v="Sensores"/>
    <x v="3"/>
    <n v="1000"/>
    <n v="5004101"/>
    <s v="UNIDOCK'S ASSESSORIA E LOGISTICA DE"/>
    <n v="28.6"/>
    <d v="2025-07-17T00:00:00"/>
  </r>
  <r>
    <n v="254040410"/>
    <n v="64818314"/>
    <s v="ZRDI"/>
    <n v="10128133"/>
    <n v="208"/>
    <s v="DEV-Atraso entrega- LOGISTICA(Transp)"/>
    <s v="TRANSPORTADORA"/>
    <x v="2"/>
    <n v="55233064"/>
    <x v="2012"/>
    <s v="PI"/>
    <n v="475"/>
    <s v="Site Consul"/>
    <n v="1352"/>
    <s v="W10531315"/>
    <s v="Sensores"/>
    <x v="3"/>
    <n v="1000"/>
    <n v="5002359"/>
    <s v="EMPRESA BRASILEIRA DE CORREIOS E"/>
    <n v="28.58"/>
    <d v="2025-07-26T00:00:00"/>
  </r>
  <r>
    <n v="254040410"/>
    <n v="64818314"/>
    <s v="ZRDI"/>
    <n v="10128133"/>
    <n v="208"/>
    <s v="DEV-Atraso entrega- LOGISTICA(Transp)"/>
    <s v="TRANSPORTADORA"/>
    <x v="2"/>
    <n v="55233064"/>
    <x v="2012"/>
    <s v="PI"/>
    <n v="475"/>
    <s v="Site Consul"/>
    <n v="1352"/>
    <s v="W10531315"/>
    <s v="Sensores"/>
    <x v="3"/>
    <n v="1000"/>
    <n v="5002359"/>
    <s v="EMPRESA BRASILEIRA DE CORREIOS E"/>
    <n v="28.58"/>
    <d v="2025-07-26T00:00:00"/>
  </r>
  <r>
    <n v="253992698"/>
    <n v="64768056"/>
    <s v="REB"/>
    <n v="10004695"/>
    <n v="167"/>
    <s v="PEÇAS - Avaria - Quebrada/Depósito"/>
    <s v="LOGÍSTICA"/>
    <x v="1"/>
    <n v="10164"/>
    <x v="183"/>
    <s v="PB"/>
    <n v="931"/>
    <s v="Ats Off"/>
    <n v="1350"/>
    <s v="W10420716"/>
    <s v="Acessórios"/>
    <x v="7"/>
    <n v="1000"/>
    <n v="5004101"/>
    <s v="UNIDOCK'S ASSESSORIA E LOGISTICA DE"/>
    <n v="28.57"/>
    <d v="2025-05-12T00:00:00"/>
  </r>
  <r>
    <n v="253988926"/>
    <n v="64764451"/>
    <s v="REB"/>
    <n v="9962530"/>
    <n v="173"/>
    <s v="PEÇAS - Defeito de fabric./Alta Amperage"/>
    <s v="FUNCIONAL"/>
    <x v="2"/>
    <n v="80432"/>
    <x v="3"/>
    <s v="ES"/>
    <n v="713"/>
    <s v="Key Account"/>
    <n v="1350"/>
    <s v="W10849469"/>
    <s v="Bombas"/>
    <x v="1"/>
    <n v="1000"/>
    <n v="5004042"/>
    <s v="BRASIL WEB TRANSPORTES E LOGISTICA"/>
    <n v="28.54"/>
    <d v="2025-05-05T00:00:00"/>
  </r>
  <r>
    <n v="253952273"/>
    <n v="64727426"/>
    <s v="REB"/>
    <n v="9716703"/>
    <n v="173"/>
    <s v="PEÇAS - Defeito de fabric./Alta Amperage"/>
    <s v="FUNCIONAL"/>
    <x v="1"/>
    <n v="31587"/>
    <x v="135"/>
    <s v="SP"/>
    <n v="643"/>
    <s v="Elite"/>
    <n v="1350"/>
    <n v="326013733"/>
    <s v="Termostatos"/>
    <x v="3"/>
    <n v="1000"/>
    <n v="5004042"/>
    <s v="BRASIL WEB TRANSPORTES E LOGISTICA"/>
    <n v="28.54"/>
    <d v="2025-03-08T00:00:00"/>
  </r>
  <r>
    <n v="254033440"/>
    <n v="64802453"/>
    <s v="REB"/>
    <n v="10064065"/>
    <n v="173"/>
    <s v="PEÇAS - Defeito de fabric./Alta Amperage"/>
    <s v="FUNCIONAL"/>
    <x v="1"/>
    <n v="69166"/>
    <x v="129"/>
    <s v="RJ"/>
    <n v="931"/>
    <s v="Ats Off"/>
    <n v="1350"/>
    <s v="W11364875"/>
    <s v="Válvulas de Água"/>
    <x v="5"/>
    <n v="1000"/>
    <n v="5003176"/>
    <s v="J C THEDIN TRANSPORTES LTDA"/>
    <n v="28.41"/>
    <d v="2025-07-01T00:00:00"/>
  </r>
  <r>
    <n v="253948533"/>
    <n v="64725271"/>
    <s v="REB"/>
    <n v="9765763"/>
    <n v="173"/>
    <s v="PEÇAS - Defeito de fabric./Alta Amperage"/>
    <s v="FUNCIONAL"/>
    <x v="1"/>
    <n v="61868"/>
    <x v="290"/>
    <s v="MA"/>
    <n v="643"/>
    <s v="Elite"/>
    <n v="1350"/>
    <s v="W10754676"/>
    <s v="Suportes"/>
    <x v="6"/>
    <n v="1000"/>
    <n v="5004101"/>
    <s v="UNIDOCK'S ASSESSORIA E LOGISTICA DE"/>
    <n v="28.4"/>
    <d v="2025-03-07T00:00:00"/>
  </r>
  <r>
    <n v="254005347"/>
    <n v="64778765"/>
    <s v="REB"/>
    <n v="9848106"/>
    <n v="176"/>
    <s v="PEÇAS - Defeito de fabric./Interrompido"/>
    <s v="FUNCIONAL"/>
    <x v="1"/>
    <n v="81365"/>
    <x v="216"/>
    <s v="SP"/>
    <n v="934"/>
    <s v="CDP Ouro"/>
    <n v="1350"/>
    <s v="W10844744"/>
    <s v="Lâmpadas"/>
    <x v="1"/>
    <n v="1000"/>
    <n v="5004042"/>
    <s v="BRASIL WEB TRANSPORTES E LOGISTICA"/>
    <n v="28.39"/>
    <d v="2025-05-26T00:00:00"/>
  </r>
  <r>
    <n v="254003951"/>
    <n v="64777905"/>
    <s v="REB"/>
    <n v="10012761"/>
    <n v="173"/>
    <s v="PEÇAS - Defeito de fabric./Alta Amperage"/>
    <s v="FUNCIONAL"/>
    <x v="1"/>
    <n v="31738"/>
    <x v="412"/>
    <s v="RN"/>
    <n v="933"/>
    <s v="Top"/>
    <n v="1350"/>
    <s v="W11364881"/>
    <s v="Válvulas de Água"/>
    <x v="5"/>
    <n v="1000"/>
    <n v="5004101"/>
    <s v="UNIDOCK'S ASSESSORIA E LOGISTICA DE"/>
    <n v="28.38"/>
    <d v="2025-05-26T00:00:00"/>
  </r>
  <r>
    <s v="Sem TR"/>
    <n v="64731044"/>
    <s v="ROB"/>
    <n v="9901170"/>
    <n v="25"/>
    <s v="OC. 80 - EXTRAVIO TOTAL"/>
    <s v="TRANSPORTADORA"/>
    <x v="0"/>
    <n v="32823"/>
    <x v="758"/>
    <s v="MG"/>
    <n v="350"/>
    <s v="Ats On"/>
    <n v="1350"/>
    <s v="W10470951"/>
    <s v="Correias"/>
    <x v="2"/>
    <n v="3000"/>
    <n v="5004101"/>
    <s v="UNIDOCK'S ASSESSORIA E LOGISTICA DE"/>
    <n v="28.34"/>
    <d v="2025-03-13T00:00:00"/>
  </r>
  <r>
    <n v="253952177"/>
    <n v="64727335"/>
    <s v="REB"/>
    <n v="9766055"/>
    <n v="173"/>
    <s v="PEÇAS - Defeito de fabric./Alta Amperage"/>
    <s v="FUNCIONAL"/>
    <x v="2"/>
    <n v="13757"/>
    <x v="14"/>
    <s v="SP"/>
    <n v="713"/>
    <s v="Key Account"/>
    <n v="1350"/>
    <s v="W10737624"/>
    <s v="Pressostatos"/>
    <x v="3"/>
    <n v="1000"/>
    <n v="5004042"/>
    <s v="BRASIL WEB TRANSPORTES E LOGISTICA"/>
    <n v="28.26"/>
    <d v="2025-03-08T00:00:00"/>
  </r>
  <r>
    <n v="253988788"/>
    <n v="64763844"/>
    <s v="REB"/>
    <n v="9844676"/>
    <n v="176"/>
    <s v="PEÇAS - Defeito de fabric./Interrompido"/>
    <s v="FUNCIONAL"/>
    <x v="1"/>
    <n v="3506"/>
    <x v="46"/>
    <s v="SP"/>
    <n v="931"/>
    <s v="Ats Off"/>
    <n v="1350"/>
    <s v="W10905603"/>
    <s v="Sensores"/>
    <x v="3"/>
    <n v="1000"/>
    <n v="5004042"/>
    <s v="BRASIL WEB TRANSPORTES E LOGISTICA"/>
    <n v="28.24"/>
    <d v="2025-05-05T00:00:00"/>
  </r>
  <r>
    <n v="253965852"/>
    <n v="64741272"/>
    <s v="REB"/>
    <n v="9925700"/>
    <n v="167"/>
    <s v="PEÇAS - Avaria - Quebrada/Depósito"/>
    <s v="LOGÍSTICA"/>
    <x v="1"/>
    <n v="30000"/>
    <x v="457"/>
    <s v="SC"/>
    <n v="350"/>
    <s v="Ats On"/>
    <n v="1350"/>
    <s v="W11363944"/>
    <s v="Capas"/>
    <x v="6"/>
    <n v="1000"/>
    <n v="5003024"/>
    <s v="RODOBRAS TRANSPORTES RODOVIARIOS LT"/>
    <n v="28.19"/>
    <d v="2025-03-31T00:00:00"/>
  </r>
  <r>
    <s v="Sem TR"/>
    <n v="64796513"/>
    <s v="ZRDI"/>
    <n v="10057119"/>
    <n v="25"/>
    <s v="OC. 80 - EXTRAVIO TOTAL"/>
    <s v="TRANSPORTADORA"/>
    <x v="2"/>
    <n v="58049725"/>
    <x v="2013"/>
    <s v="SE"/>
    <n v="474"/>
    <s v="Site Brastemp"/>
    <n v="1352"/>
    <s v="W10911543"/>
    <s v="Manípulos"/>
    <x v="6"/>
    <n v="1000"/>
    <n v="5002359"/>
    <s v="EMPRESA BRASILEIRA DE CORREIOS E"/>
    <n v="28.18"/>
    <d v="2025-07-22T00:00:00"/>
  </r>
  <r>
    <s v="Sem TR"/>
    <n v="64796513"/>
    <s v="ZRDI"/>
    <n v="10057119"/>
    <n v="25"/>
    <s v="OC. 80 - EXTRAVIO TOTAL"/>
    <s v="TRANSPORTADORA"/>
    <x v="2"/>
    <n v="58049725"/>
    <x v="2013"/>
    <s v="SE"/>
    <n v="474"/>
    <s v="Site Brastemp"/>
    <n v="1352"/>
    <s v="W10911543"/>
    <s v="Manípulos"/>
    <x v="6"/>
    <n v="1000"/>
    <n v="5002359"/>
    <s v="EMPRESA BRASILEIRA DE CORREIOS E"/>
    <n v="28.18"/>
    <d v="2025-07-22T00:00:00"/>
  </r>
  <r>
    <n v="254033316"/>
    <n v="64799540"/>
    <s v="REB"/>
    <n v="10098200"/>
    <n v="173"/>
    <s v="PEÇAS - Defeito de fabric./Alta Amperage"/>
    <s v="FUNCIONAL"/>
    <x v="0"/>
    <n v="22985"/>
    <x v="247"/>
    <s v="SC"/>
    <n v="641"/>
    <s v="CDP Diamante"/>
    <n v="1350"/>
    <s v="W11364881"/>
    <s v="Válvulas de Água"/>
    <x v="5"/>
    <n v="1000"/>
    <n v="5003024"/>
    <s v="RODOBRAS TRANSPORTES RODOVIARIOS LT"/>
    <n v="28.15"/>
    <d v="2025-07-08T00:00:00"/>
  </r>
  <r>
    <s v="Sem TR"/>
    <n v="64805316"/>
    <s v="ZRDI"/>
    <n v="10099866"/>
    <s v="D10"/>
    <s v="DEV D2C - Comprou modelo errado"/>
    <s v="COMERCIAL"/>
    <x v="2"/>
    <n v="50583290"/>
    <x v="2014"/>
    <s v="RS"/>
    <n v="474"/>
    <s v="Site Brastemp"/>
    <n v="1352"/>
    <s v="W10224624"/>
    <s v="Queimadores"/>
    <x v="12"/>
    <n v="2000"/>
    <n v="5002359"/>
    <s v="EMPRESA BRASILEIRA DE CORREIOS E"/>
    <n v="28.08"/>
    <d v="2025-07-07T00:00:00"/>
  </r>
  <r>
    <s v="Sem TR"/>
    <n v="64805316"/>
    <s v="ZRDI"/>
    <n v="10099866"/>
    <s v="D10"/>
    <s v="DEV D2C - Comprou modelo errado"/>
    <s v="COMERCIAL"/>
    <x v="2"/>
    <n v="50583290"/>
    <x v="2014"/>
    <s v="RS"/>
    <n v="474"/>
    <s v="Site Brastemp"/>
    <n v="1352"/>
    <n v="326055047"/>
    <s v="Capas Queimadores"/>
    <x v="12"/>
    <n v="2000"/>
    <n v="5002359"/>
    <s v="EMPRESA BRASILEIRA DE CORREIOS E"/>
    <n v="28.08"/>
    <d v="2025-07-07T00:00:00"/>
  </r>
  <r>
    <n v="253988908"/>
    <n v="64763938"/>
    <s v="REB"/>
    <n v="9823217"/>
    <n v="173"/>
    <s v="PEÇAS - Defeito de fabric./Alta Amperage"/>
    <s v="FUNCIONAL"/>
    <x v="1"/>
    <n v="70149"/>
    <x v="147"/>
    <s v="SP"/>
    <n v="963"/>
    <s v="Ats Distribuidoras"/>
    <n v="1350"/>
    <s v="W10849469"/>
    <s v="Bombas"/>
    <x v="1"/>
    <n v="1000"/>
    <n v="5004042"/>
    <s v="BRASIL WEB TRANSPORTES E LOGISTICA"/>
    <n v="28.05"/>
    <d v="2025-05-05T00:00:00"/>
  </r>
  <r>
    <s v="Sem TR"/>
    <n v="64658415"/>
    <s v="ROB"/>
    <n v="9675575"/>
    <n v="25"/>
    <s v="OC. 80 - EXTRAVIO TOTAL"/>
    <s v="TRANSPORTADORA"/>
    <x v="0"/>
    <n v="31978"/>
    <x v="370"/>
    <s v="PE"/>
    <n v="350"/>
    <s v="Ats On"/>
    <n v="1350"/>
    <s v="W10200101"/>
    <s v="Prateleiras"/>
    <x v="9"/>
    <n v="1000"/>
    <n v="5004101"/>
    <s v="UNIDOCK'S ASSESSORIA E LOGISTICA DE"/>
    <n v="28.03"/>
    <d v="2024-12-03T00:00:00"/>
  </r>
  <r>
    <s v="Sem TR"/>
    <n v="64819990"/>
    <s v="ROB"/>
    <n v="10146796"/>
    <n v="184"/>
    <s v="PEÇAS - Emissão de Nota Fiscal Errada"/>
    <s v="LOGÍSTICA"/>
    <x v="1"/>
    <n v="31790"/>
    <x v="160"/>
    <s v="SP"/>
    <n v="350"/>
    <s v="Ats On"/>
    <n v="1350"/>
    <s v="W10666152"/>
    <s v="Bandejas"/>
    <x v="9"/>
    <n v="1000"/>
    <n v="5003173"/>
    <s v="DISPLAN ENCOMENDAS URGENTES LTDA"/>
    <n v="28.02"/>
    <d v="2025-07-29T00:00:00"/>
  </r>
  <r>
    <n v="254033100"/>
    <n v="64807621"/>
    <s v="REB"/>
    <n v="9986835"/>
    <n v="173"/>
    <s v="PEÇAS - Defeito de fabric./Alta Amperage"/>
    <s v="FUNCIONAL"/>
    <x v="2"/>
    <n v="66"/>
    <x v="73"/>
    <s v="GO"/>
    <n v="931"/>
    <s v="Ats Off"/>
    <n v="1350"/>
    <s v="W10231316"/>
    <s v="Válvulas de Água"/>
    <x v="5"/>
    <n v="1000"/>
    <n v="5002858"/>
    <s v="FAVORITA TRANSPORTES LTDA"/>
    <n v="28"/>
    <d v="2025-07-08T00:00:00"/>
  </r>
  <r>
    <s v="Sem TR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0393967"/>
    <s v="Parafusos e afins"/>
    <x v="10"/>
    <n v="10000"/>
    <n v="5004042"/>
    <s v="BRASIL WEB TRANSPORTES E LOGISTICA"/>
    <n v="27.9"/>
    <d v="2025-04-09T00:00:00"/>
  </r>
  <r>
    <n v="254012524"/>
    <n v="64789224"/>
    <s v="REB"/>
    <n v="10057657"/>
    <n v="167"/>
    <s v="PEÇAS - Avaria - Quebrada/Depósito"/>
    <s v="LOGÍSTICA"/>
    <x v="1"/>
    <n v="38442"/>
    <x v="943"/>
    <s v="RS"/>
    <n v="641"/>
    <s v="CDP Diamante"/>
    <n v="1350"/>
    <s v="W10287534"/>
    <s v="Prateleiras"/>
    <x v="9"/>
    <n v="1000"/>
    <n v="5003024"/>
    <s v="RODOBRAS TRANSPORTES RODOVIARIOS LT"/>
    <n v="27.9"/>
    <d v="2025-06-10T00:00:00"/>
  </r>
  <r>
    <n v="254031830"/>
    <n v="64792152"/>
    <s v="REB"/>
    <n v="10034602"/>
    <n v="176"/>
    <s v="PEÇAS - Defeito de fabric./Interrompido"/>
    <s v="FUNCIONAL"/>
    <x v="1"/>
    <n v="3506"/>
    <x v="46"/>
    <s v="SP"/>
    <n v="931"/>
    <s v="Ats Off"/>
    <n v="1350"/>
    <s v="W10905603"/>
    <s v="Sensores"/>
    <x v="3"/>
    <n v="1000"/>
    <n v="5004042"/>
    <s v="BRASIL WEB TRANSPORTES E LOGISTICA"/>
    <n v="27.89"/>
    <d v="2025-06-24T00:00:00"/>
  </r>
  <r>
    <n v="254031837"/>
    <n v="64796530"/>
    <s v="REB"/>
    <n v="10085961"/>
    <n v="176"/>
    <s v="PEÇAS - Defeito de fabric./Interrompido"/>
    <s v="FUNCIONAL"/>
    <x v="0"/>
    <n v="3506"/>
    <x v="46"/>
    <s v="SP"/>
    <n v="931"/>
    <s v="Ats Off"/>
    <n v="1350"/>
    <s v="W10905603"/>
    <s v="Sensores"/>
    <x v="3"/>
    <n v="1000"/>
    <n v="5004042"/>
    <s v="BRASIL WEB TRANSPORTES E LOGISTICA"/>
    <n v="27.89"/>
    <d v="2025-06-24T00:00:00"/>
  </r>
  <r>
    <n v="253995065"/>
    <n v="64772599"/>
    <s v="REB"/>
    <n v="10007963"/>
    <n v="176"/>
    <s v="PEÇAS - Defeito de fabric./Interrompido"/>
    <s v="FUNCIONAL"/>
    <x v="2"/>
    <n v="3506"/>
    <x v="46"/>
    <s v="SP"/>
    <n v="931"/>
    <s v="Ats Off"/>
    <n v="1350"/>
    <s v="W10476183"/>
    <s v="Prateleiras"/>
    <x v="9"/>
    <n v="1000"/>
    <n v="5004042"/>
    <s v="BRASIL WEB TRANSPORTES E LOGISTICA"/>
    <n v="27.88"/>
    <d v="2025-05-16T00:00:00"/>
  </r>
  <r>
    <n v="254012484"/>
    <n v="64789168"/>
    <s v="REB"/>
    <n v="10056610"/>
    <n v="167"/>
    <s v="PEÇAS - Avaria - Quebrada/Depósito"/>
    <s v="LOGÍSTICA"/>
    <x v="0"/>
    <n v="25656"/>
    <x v="173"/>
    <s v="SP"/>
    <n v="931"/>
    <s v="Ats Off"/>
    <n v="1350"/>
    <s v="W10476183"/>
    <s v="Prateleiras"/>
    <x v="9"/>
    <n v="1000"/>
    <n v="5004042"/>
    <s v="BRASIL WEB TRANSPORTES E LOGISTICA"/>
    <n v="27.88"/>
    <d v="2025-06-10T00:00:00"/>
  </r>
  <r>
    <s v="Sem TR"/>
    <n v="64812788"/>
    <s v="REB"/>
    <n v="10109101"/>
    <n v="176"/>
    <s v="PEÇAS - Defeito de fabric./Interrompido"/>
    <s v="FUNCIONAL"/>
    <x v="1"/>
    <n v="67948"/>
    <x v="15"/>
    <s v="SC"/>
    <n v="713"/>
    <s v="Key Account"/>
    <n v="1350"/>
    <s v="W10619463"/>
    <s v="Pressostatos"/>
    <x v="3"/>
    <n v="1000"/>
    <n v="5003024"/>
    <s v="RODOBRAS TRANSPORTES RODOVIARIOS LT"/>
    <n v="27.87"/>
    <d v="2025-07-25T00:00:00"/>
  </r>
  <r>
    <n v="254038294"/>
    <n v="64814781"/>
    <s v="REB"/>
    <n v="10066130"/>
    <n v="176"/>
    <s v="PEÇAS - Defeito de fabric./Interrompido"/>
    <s v="FUNCIONAL"/>
    <x v="1"/>
    <n v="4318"/>
    <x v="89"/>
    <s v="SC"/>
    <n v="931"/>
    <s v="Ats Off"/>
    <n v="1350"/>
    <s v="W11510292"/>
    <s v="Interruptores"/>
    <x v="3"/>
    <n v="1000"/>
    <n v="5003024"/>
    <s v="RODOBRAS TRANSPORTES RODOVIARIOS LT"/>
    <n v="27.79"/>
    <d v="2025-07-22T00:00:00"/>
  </r>
  <r>
    <n v="253995212"/>
    <n v="64771153"/>
    <s v="REB"/>
    <n v="9953763"/>
    <n v="173"/>
    <s v="PEÇAS - Defeito de fabric./Alta Amperage"/>
    <s v="FUNCIONAL"/>
    <x v="2"/>
    <n v="65059"/>
    <x v="1"/>
    <s v="SP"/>
    <n v="643"/>
    <s v="Elite"/>
    <n v="1350"/>
    <s v="W10476183"/>
    <s v="Prateleiras"/>
    <x v="9"/>
    <n v="1000"/>
    <n v="5004042"/>
    <s v="BRASIL WEB TRANSPORTES E LOGISTICA"/>
    <n v="27.73"/>
    <d v="2025-05-16T00:00:00"/>
  </r>
  <r>
    <s v="Sem TR"/>
    <n v="64792993"/>
    <s v="REB"/>
    <n v="10073145"/>
    <n v="167"/>
    <s v="PEÇAS - Avaria - Quebrada/Depósito"/>
    <s v="LOGÍSTICA"/>
    <x v="2"/>
    <n v="27511"/>
    <x v="470"/>
    <s v="SP"/>
    <n v="641"/>
    <s v="CDP Diamante"/>
    <n v="1350"/>
    <s v="W10721910"/>
    <s v="Pressostatos"/>
    <x v="3"/>
    <n v="1000"/>
    <n v="5004042"/>
    <s v="BRASIL WEB TRANSPORTES E LOGISTICA"/>
    <n v="27.62"/>
    <d v="2025-06-23T00:00:00"/>
  </r>
  <r>
    <n v="254038398"/>
    <n v="64814999"/>
    <s v="REB"/>
    <n v="10067297"/>
    <n v="176"/>
    <s v="PEÇAS - Defeito de fabric./Interrompido"/>
    <s v="FUNCIONAL"/>
    <x v="0"/>
    <n v="80432"/>
    <x v="3"/>
    <s v="ES"/>
    <n v="713"/>
    <s v="Key Account"/>
    <n v="1350"/>
    <s v="W10257565"/>
    <s v="Fusíveis/Fusíveis térmicos"/>
    <x v="1"/>
    <n v="3000"/>
    <n v="5004042"/>
    <s v="BRASIL WEB TRANSPORTES E LOGISTICA"/>
    <n v="27.62"/>
    <d v="2025-07-22T00:00:00"/>
  </r>
  <r>
    <n v="253995065"/>
    <n v="64766443"/>
    <s v="REB"/>
    <n v="9979678"/>
    <n v="176"/>
    <s v="PEÇAS - Defeito de fabric./Interrompido"/>
    <s v="FUNCIONAL"/>
    <x v="2"/>
    <n v="3506"/>
    <x v="46"/>
    <s v="SP"/>
    <n v="931"/>
    <s v="Ats Off"/>
    <n v="1350"/>
    <s v="W10602126"/>
    <s v="Mangueiras"/>
    <x v="5"/>
    <n v="1000"/>
    <n v="5004042"/>
    <s v="BRASIL WEB TRANSPORTES E LOGISTICA"/>
    <n v="27.6"/>
    <d v="2025-05-16T00:00:00"/>
  </r>
  <r>
    <n v="254035392"/>
    <n v="64812293"/>
    <s v="REB"/>
    <n v="10100501"/>
    <n v="173"/>
    <s v="PEÇAS - Defeito de fabric./Alta Amperage"/>
    <s v="FUNCIONAL"/>
    <x v="1"/>
    <n v="52520"/>
    <x v="292"/>
    <s v="RJ"/>
    <n v="713"/>
    <s v="Key Account"/>
    <n v="1350"/>
    <s v="W11364875"/>
    <s v="Válvulas de Água"/>
    <x v="5"/>
    <n v="1000"/>
    <n v="5003176"/>
    <s v="J C THEDIN TRANSPORTES LTDA"/>
    <n v="27.6"/>
    <d v="2025-07-17T00:00:00"/>
  </r>
  <r>
    <n v="254012485"/>
    <n v="64789178"/>
    <s v="REB"/>
    <n v="10056610"/>
    <n v="165"/>
    <s v="PEÇAS - Defeito de fabric./Incompleta"/>
    <s v="FUNCIONAL"/>
    <x v="0"/>
    <n v="25656"/>
    <x v="173"/>
    <s v="SP"/>
    <n v="931"/>
    <s v="Ats Off"/>
    <n v="1350"/>
    <s v="W10621640"/>
    <s v="Bandejas"/>
    <x v="9"/>
    <n v="1000"/>
    <n v="5004042"/>
    <s v="BRASIL WEB TRANSPORTES E LOGISTICA"/>
    <n v="27.59"/>
    <d v="2025-06-10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330009"/>
    <s v="Acessórios"/>
    <x v="7"/>
    <n v="1000"/>
    <n v="5002359"/>
    <s v="EMPRESA BRASILEIRA DE CORREIOS E"/>
    <n v="27.57"/>
    <d v="2025-07-26T00:00:00"/>
  </r>
  <r>
    <n v="254040387"/>
    <n v="64818291"/>
    <s v="ZRDI"/>
    <n v="10070687"/>
    <n v="208"/>
    <s v="DEV-Atraso entrega- LOGISTICA(Transp)"/>
    <s v="TRANSPORTADORA"/>
    <x v="2"/>
    <n v="54162454"/>
    <x v="1057"/>
    <s v="PR"/>
    <n v="474"/>
    <s v="Site Brastemp"/>
    <n v="1352"/>
    <s v="W10330009"/>
    <s v="Acessórios"/>
    <x v="7"/>
    <n v="1000"/>
    <n v="5002359"/>
    <s v="EMPRESA BRASILEIRA DE CORREIOS E"/>
    <n v="27.57"/>
    <d v="2025-07-26T00:00:00"/>
  </r>
  <r>
    <n v="254044092"/>
    <n v="64820495"/>
    <s v="ROB"/>
    <n v="10120743"/>
    <n v="92"/>
    <s v="PEÇAS-Preço divergente"/>
    <s v="COMERCIAL"/>
    <x v="0"/>
    <n v="73499"/>
    <x v="66"/>
    <s v="CE"/>
    <n v="932"/>
    <s v="CDP Prata"/>
    <n v="1350"/>
    <n v="326003319"/>
    <s v="Recipientes de Evaporação"/>
    <x v="9"/>
    <n v="2000"/>
    <n v="5004101"/>
    <s v="UNIDOCK'S ASSESSORIA E LOGISTICA DE"/>
    <n v="27.57"/>
    <d v="2025-07-30T00:00:00"/>
  </r>
  <r>
    <n v="254033313"/>
    <n v="64807374"/>
    <s v="REB"/>
    <n v="10099436"/>
    <n v="177"/>
    <s v="PEÇAS - Defeito de fabric./Ruído"/>
    <s v="FUNCIONAL"/>
    <x v="1"/>
    <n v="21594"/>
    <x v="97"/>
    <s v="SP"/>
    <n v="931"/>
    <s v="Ats Off"/>
    <n v="1350"/>
    <s v="W10606422"/>
    <s v="Usinas"/>
    <x v="12"/>
    <n v="1000"/>
    <n v="5004042"/>
    <s v="BRASIL WEB TRANSPORTES E LOGISTICA"/>
    <n v="27.5"/>
    <d v="2025-07-08T00:00:00"/>
  </r>
  <r>
    <n v="254030454"/>
    <n v="64800023"/>
    <s v="REB"/>
    <n v="10083494"/>
    <n v="173"/>
    <s v="PEÇAS - Defeito de fabric./Alta Amperage"/>
    <s v="FUNCIONAL"/>
    <x v="2"/>
    <n v="66"/>
    <x v="73"/>
    <s v="GO"/>
    <n v="931"/>
    <s v="Ats Off"/>
    <n v="1350"/>
    <n v="326011600"/>
    <s v="Válvulas de Água"/>
    <x v="5"/>
    <n v="1000"/>
    <n v="5002858"/>
    <s v="FAVORITA TRANSPORTES LTDA"/>
    <n v="27.48"/>
    <d v="2025-07-01T00:00:00"/>
  </r>
  <r>
    <n v="253970693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0390577"/>
    <s v="Capas Queimadores"/>
    <x v="12"/>
    <n v="2000"/>
    <n v="5004042"/>
    <s v="BRASIL WEB TRANSPORTES E LOGISTICA"/>
    <n v="27.47"/>
    <d v="2025-04-09T00:00:00"/>
  </r>
  <r>
    <n v="253992702"/>
    <n v="64757798"/>
    <s v="REB"/>
    <n v="10008058"/>
    <n v="168"/>
    <s v="PEÇAS-Def.Fabric.Empenamento/Abaulamento"/>
    <s v="FUNCIONAL"/>
    <x v="1"/>
    <n v="21594"/>
    <x v="97"/>
    <s v="SP"/>
    <n v="931"/>
    <s v="Ats Off"/>
    <n v="1350"/>
    <s v="W10390577"/>
    <s v="Capas Queimadores"/>
    <x v="12"/>
    <n v="2000"/>
    <n v="5004042"/>
    <s v="BRASIL WEB TRANSPORTES E LOGISTICA"/>
    <n v="27.47"/>
    <d v="2025-05-12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7"/>
    <s v="Capas Queimadores"/>
    <x v="12"/>
    <n v="1000"/>
    <n v="5002359"/>
    <s v="EMPRESA BRASILEIRA DE CORREIOS E"/>
    <n v="27.42"/>
    <d v="2025-07-26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7"/>
    <s v="Capas Queimadores"/>
    <x v="12"/>
    <n v="1000"/>
    <n v="5002359"/>
    <s v="EMPRESA BRASILEIRA DE CORREIOS E"/>
    <n v="27.42"/>
    <d v="2025-07-26T00:00:00"/>
  </r>
  <r>
    <n v="254038403"/>
    <n v="64814499"/>
    <s v="REB"/>
    <n v="10127543"/>
    <n v="167"/>
    <s v="PEÇAS - Avaria - Quebrada/Depósito"/>
    <s v="LOGÍSTICA"/>
    <x v="1"/>
    <n v="88969"/>
    <x v="101"/>
    <s v="SC"/>
    <n v="641"/>
    <s v="CDP Diamante"/>
    <n v="1350"/>
    <s v="W10287534"/>
    <s v="Prateleiras"/>
    <x v="9"/>
    <n v="1000"/>
    <n v="5003024"/>
    <s v="RODOBRAS TRANSPORTES RODOVIARIOS LT"/>
    <n v="27.37"/>
    <d v="2025-07-22T00:00:00"/>
  </r>
  <r>
    <s v="Sem TR"/>
    <n v="64814599"/>
    <s v="REB"/>
    <n v="10132201"/>
    <n v="167"/>
    <s v="PEÇAS - Avaria - Quebrada/Depósito"/>
    <s v="LOGÍSTICA"/>
    <x v="1"/>
    <n v="71898"/>
    <x v="1538"/>
    <s v="MG"/>
    <n v="641"/>
    <s v="CDP Diamante"/>
    <n v="1350"/>
    <s v="W10169464"/>
    <s v="Defletores/Difusores"/>
    <x v="5"/>
    <n v="1000"/>
    <n v="5004215"/>
    <s v="BRASIL WEB TRANSPORTES E LOGISTICA"/>
    <n v="27.36"/>
    <d v="2025-07-22T00:00:00"/>
  </r>
  <r>
    <n v="254028925"/>
    <n v="64802944"/>
    <s v="REB"/>
    <n v="10109048"/>
    <n v="173"/>
    <s v="PEÇAS - Defeito de fabric./Alta Amperage"/>
    <s v="FUNCIONAL"/>
    <x v="1"/>
    <n v="67948"/>
    <x v="15"/>
    <s v="SC"/>
    <n v="713"/>
    <s v="Key Account"/>
    <n v="1350"/>
    <s v="W11364167"/>
    <s v="Atuadores"/>
    <x v="2"/>
    <n v="1000"/>
    <n v="5003024"/>
    <s v="RODOBRAS TRANSPORTES RODOVIARIOS LT"/>
    <n v="27.36"/>
    <d v="2025-07-01T00:00:00"/>
  </r>
  <r>
    <n v="254033334"/>
    <n v="64807129"/>
    <s v="REB"/>
    <n v="10093771"/>
    <n v="167"/>
    <s v="PEÇAS - Avaria - Quebrada/Depósito"/>
    <s v="LOGÍSTICA"/>
    <x v="1"/>
    <n v="27337"/>
    <x v="145"/>
    <s v="RJ"/>
    <n v="641"/>
    <s v="CDP Diamante"/>
    <n v="1350"/>
    <s v="W10212441"/>
    <s v="Prateleiras"/>
    <x v="9"/>
    <n v="1000"/>
    <n v="5003176"/>
    <s v="J C THEDIN TRANSPORTES LTDA"/>
    <n v="27.35"/>
    <d v="2025-07-08T00:00:00"/>
  </r>
  <r>
    <n v="253948447"/>
    <n v="64722060"/>
    <s v="REB"/>
    <n v="9881564"/>
    <n v="109"/>
    <s v="PEÇAS-Erro de catálogo/BT"/>
    <s v="ENGENHARIA"/>
    <x v="2"/>
    <n v="3677"/>
    <x v="360"/>
    <s v="SP"/>
    <n v="931"/>
    <s v="Ats Off"/>
    <n v="1350"/>
    <s v="W10666152"/>
    <s v="Bandejas"/>
    <x v="9"/>
    <n v="1000"/>
    <n v="5004042"/>
    <s v="BRASIL WEB TRANSPORTES E LOGISTICA"/>
    <n v="27.31"/>
    <d v="2025-02-28T00:00:00"/>
  </r>
  <r>
    <n v="253997978"/>
    <n v="64774139"/>
    <s v="REB"/>
    <n v="9894538"/>
    <n v="173"/>
    <s v="PEÇAS - Defeito de fabric./Alta Amperage"/>
    <s v="FUNCIONAL"/>
    <x v="2"/>
    <n v="49243"/>
    <x v="67"/>
    <s v="MS"/>
    <n v="643"/>
    <s v="Elite"/>
    <n v="1350"/>
    <s v="W10851011"/>
    <s v="Pressostatos"/>
    <x v="3"/>
    <n v="1000"/>
    <n v="5002573"/>
    <s v="CARVALIMA TRANSPORTES LTDA"/>
    <n v="27.31"/>
    <d v="2025-05-20T00:00:00"/>
  </r>
  <r>
    <n v="253961187"/>
    <n v="64731148"/>
    <s v="REB"/>
    <n v="9814224"/>
    <n v="506"/>
    <s v="Qtd de peças a Maior dentro do Volume"/>
    <s v="LOGÍSTICA"/>
    <x v="1"/>
    <n v="134"/>
    <x v="2015"/>
    <s v="SP"/>
    <n v="350"/>
    <s v="Ats On"/>
    <n v="1350"/>
    <s v="W11036296"/>
    <s v="Calhas/Canaletas"/>
    <x v="9"/>
    <n v="1000"/>
    <n v="5004042"/>
    <s v="BRASIL WEB TRANSPORTES E LOGISTICA"/>
    <n v="27.31"/>
    <d v="2025-03-24T00:00:00"/>
  </r>
  <r>
    <n v="253870903"/>
    <n v="64638177"/>
    <s v="REB"/>
    <n v="9544703"/>
    <n v="173"/>
    <s v="PEÇAS - Defeito de fabric./Alta Amperage"/>
    <s v="FUNCIONAL"/>
    <x v="1"/>
    <n v="30345"/>
    <x v="330"/>
    <s v="SP"/>
    <n v="644"/>
    <s v="Plus"/>
    <n v="1350"/>
    <s v="W10721910"/>
    <s v="Pressostatos"/>
    <x v="3"/>
    <n v="1000"/>
    <n v="5004042"/>
    <s v="BRASIL WEB TRANSPORTES E LOGISTICA"/>
    <n v="27.29"/>
    <d v="2024-11-04T00:00:00"/>
  </r>
  <r>
    <n v="254012608"/>
    <n v="64789099"/>
    <s v="REB"/>
    <n v="10058408"/>
    <n v="167"/>
    <s v="PEÇAS - Avaria - Quebrada/Depósito"/>
    <s v="LOGÍSTICA"/>
    <x v="1"/>
    <n v="72205"/>
    <x v="1092"/>
    <s v="SP"/>
    <n v="641"/>
    <s v="CDP Diamante"/>
    <n v="1350"/>
    <s v="W10212441"/>
    <s v="Prateleiras"/>
    <x v="9"/>
    <n v="1000"/>
    <n v="5004042"/>
    <s v="BRASIL WEB TRANSPORTES E LOGISTICA"/>
    <n v="27.29"/>
    <d v="2025-06-10T00:00:00"/>
  </r>
  <r>
    <s v="Sem TR"/>
    <n v="64805745"/>
    <s v="REB"/>
    <n v="10060282"/>
    <n v="509"/>
    <s v="Qtd de peças a Menor dentro do Volume"/>
    <s v="LOGÍSTICA"/>
    <x v="1"/>
    <n v="64728"/>
    <x v="2016"/>
    <s v="RS"/>
    <n v="932"/>
    <s v="CDP Prata"/>
    <n v="1350"/>
    <s v="W10897149"/>
    <s v="Rolamentos"/>
    <x v="2"/>
    <n v="3000"/>
    <n v="5002359"/>
    <s v="EMPRESA BRASILEIRA DE CORREIOS E"/>
    <n v="27.29"/>
    <d v="2025-07-08T00:00:00"/>
  </r>
  <r>
    <n v="254018391"/>
    <n v="64791093"/>
    <s v="REB"/>
    <n v="10066354"/>
    <n v="167"/>
    <s v="PEÇAS - Avaria - Quebrada/Depósito"/>
    <s v="LOGÍSTICA"/>
    <x v="1"/>
    <n v="87707"/>
    <x v="143"/>
    <s v="BA"/>
    <n v="648"/>
    <s v="Ultra"/>
    <n v="1350"/>
    <s v="W11363944"/>
    <s v="Capas"/>
    <x v="6"/>
    <n v="1000"/>
    <n v="5004101"/>
    <s v="UNIDOCK'S ASSESSORIA E LOGISTICA DE"/>
    <n v="27.28"/>
    <d v="2025-06-16T00:00:00"/>
  </r>
  <r>
    <n v="253988953"/>
    <n v="64763875"/>
    <s v="REB"/>
    <n v="9988824"/>
    <n v="167"/>
    <s v="PEÇAS - Avaria - Quebrada/Depósito"/>
    <s v="LOGÍSTICA"/>
    <x v="1"/>
    <n v="87707"/>
    <x v="143"/>
    <s v="BA"/>
    <n v="648"/>
    <s v="Ultra"/>
    <n v="1350"/>
    <s v="W11363944"/>
    <s v="Capas"/>
    <x v="6"/>
    <n v="1000"/>
    <n v="5004101"/>
    <s v="UNIDOCK'S ASSESSORIA E LOGISTICA DE"/>
    <n v="27.28"/>
    <d v="2025-05-05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169459"/>
    <s v="Prateleiras"/>
    <x v="9"/>
    <n v="1000"/>
    <n v="5004101"/>
    <s v="UNIDOCK'S ASSESSORIA E LOGISTICA DE"/>
    <n v="27.24"/>
    <d v="2025-03-13T00:00:00"/>
  </r>
  <r>
    <n v="254033440"/>
    <n v="64802817"/>
    <s v="REB"/>
    <n v="10100324"/>
    <n v="173"/>
    <s v="PEÇAS - Defeito de fabric./Alta Amperage"/>
    <s v="FUNCIONAL"/>
    <x v="1"/>
    <n v="69166"/>
    <x v="129"/>
    <s v="RJ"/>
    <n v="931"/>
    <s v="Ats Off"/>
    <n v="1350"/>
    <n v="326075422"/>
    <s v="Redes Elétricas"/>
    <x v="1"/>
    <n v="1000"/>
    <n v="5003176"/>
    <s v="J C THEDIN TRANSPORTES LTDA"/>
    <n v="27.21"/>
    <d v="2025-07-01T00:00:00"/>
  </r>
  <r>
    <n v="254033362"/>
    <n v="64790197"/>
    <s v="REB"/>
    <n v="10101411"/>
    <n v="173"/>
    <s v="PEÇAS - Defeito de fabric./Alta Amperage"/>
    <s v="FUNCIONAL"/>
    <x v="2"/>
    <n v="29331"/>
    <x v="384"/>
    <s v="GO"/>
    <n v="641"/>
    <s v="CDP Diamante"/>
    <n v="1350"/>
    <s v="W11364881"/>
    <s v="Válvulas de Água"/>
    <x v="5"/>
    <n v="1000"/>
    <n v="5002858"/>
    <s v="FAVORITA TRANSPORTES LTDA"/>
    <n v="27.07"/>
    <d v="2025-07-08T00:00:00"/>
  </r>
  <r>
    <s v="Sem TR"/>
    <n v="64807370"/>
    <s v="ZRDI"/>
    <n v="10109947"/>
    <s v="D10"/>
    <s v="DEV D2C - Comprou modelo errado"/>
    <s v="COMERCIAL"/>
    <x v="2"/>
    <n v="53429068"/>
    <x v="2017"/>
    <s v="MG"/>
    <n v="474"/>
    <s v="Site Brastemp"/>
    <n v="1352"/>
    <s v="W10589010"/>
    <s v="Tubos Queima"/>
    <x v="12"/>
    <n v="1000"/>
    <n v="5002359"/>
    <s v="EMPRESA BRASILEIRA DE CORREIOS E"/>
    <n v="27.07"/>
    <d v="2025-07-08T00:00:00"/>
  </r>
  <r>
    <n v="254037058"/>
    <n v="64814979"/>
    <s v="ZRDI"/>
    <n v="10103899"/>
    <n v="208"/>
    <s v="DEV-Atraso entrega- LOGISTICA(Transp)"/>
    <s v="TRANSPORTADORA"/>
    <x v="2"/>
    <n v="58116033"/>
    <x v="2018"/>
    <s v="SC"/>
    <n v="475"/>
    <s v="Site Consul"/>
    <n v="1352"/>
    <s v="W10330009"/>
    <s v="Acessórios"/>
    <x v="7"/>
    <n v="1000"/>
    <n v="5002359"/>
    <s v="EMPRESA BRASILEIRA DE CORREIOS E"/>
    <n v="27.05"/>
    <d v="2025-07-22T00:00:00"/>
  </r>
  <r>
    <n v="254037058"/>
    <n v="64814979"/>
    <s v="ZRDI"/>
    <n v="10103899"/>
    <n v="208"/>
    <s v="DEV-Atraso entrega- LOGISTICA(Transp)"/>
    <s v="TRANSPORTADORA"/>
    <x v="2"/>
    <n v="58116033"/>
    <x v="2018"/>
    <s v="SC"/>
    <n v="475"/>
    <s v="Site Consul"/>
    <n v="1352"/>
    <s v="W10330009"/>
    <s v="Acessórios"/>
    <x v="7"/>
    <n v="1000"/>
    <n v="5002359"/>
    <s v="EMPRESA BRASILEIRA DE CORREIOS E"/>
    <n v="27.05"/>
    <d v="2025-07-22T00:00:00"/>
  </r>
  <r>
    <n v="254033405"/>
    <n v="64807196"/>
    <s v="REB"/>
    <n v="10009525"/>
    <n v="173"/>
    <s v="PEÇAS - Defeito de fabric./Alta Amperage"/>
    <s v="FUNCIONAL"/>
    <x v="1"/>
    <n v="40998"/>
    <x v="8"/>
    <s v="GO"/>
    <n v="648"/>
    <s v="Ultra"/>
    <n v="1350"/>
    <s v="W11364881"/>
    <s v="Válvulas de Água"/>
    <x v="5"/>
    <n v="1000"/>
    <n v="5002858"/>
    <s v="FAVORITA TRANSPORTES LTDA"/>
    <n v="26.97"/>
    <d v="2025-07-08T00:00:00"/>
  </r>
  <r>
    <s v="Sem TR"/>
    <n v="64817570"/>
    <s v="ZRDI"/>
    <n v="10144566"/>
    <s v="D10"/>
    <s v="DEV D2C - Comprou modelo errado"/>
    <s v="COMERCIAL"/>
    <x v="1"/>
    <n v="52044091"/>
    <x v="2019"/>
    <s v="SP"/>
    <n v="474"/>
    <s v="Site Brastemp"/>
    <n v="1352"/>
    <s v="W11621541"/>
    <s v="Registros"/>
    <x v="12"/>
    <n v="1000"/>
    <n v="5002359"/>
    <s v="EMPRESA BRASILEIRA DE CORREIOS E"/>
    <n v="26.97"/>
    <d v="2025-07-28T00:00:00"/>
  </r>
  <r>
    <n v="254044329"/>
    <n v="64762044"/>
    <s v="REB"/>
    <n v="10013354"/>
    <n v="176"/>
    <s v="PEÇAS - Defeito de fabric./Interrompido"/>
    <s v="FUNCIONAL"/>
    <x v="0"/>
    <n v="22041"/>
    <x v="70"/>
    <s v="SP"/>
    <n v="931"/>
    <s v="Ats Off"/>
    <n v="1350"/>
    <s v="W10170954"/>
    <s v="Tubos Refrigeração"/>
    <x v="0"/>
    <n v="1000"/>
    <n v="5004042"/>
    <s v="BRASIL WEB TRANSPORTES E LOGISTICA"/>
    <n v="26.86"/>
    <d v="2025-05-01T00:00:00"/>
  </r>
  <r>
    <n v="254023966"/>
    <n v="64802717"/>
    <s v="ZRDI"/>
    <n v="10056947"/>
    <s v="D25"/>
    <s v="DEV D2C - Prob na entrega (Não recebi)"/>
    <s v="TRANSPORTADORA"/>
    <x v="2"/>
    <n v="50892896"/>
    <x v="937"/>
    <s v="RJ"/>
    <n v="475"/>
    <s v="Site Consul"/>
    <n v="1352"/>
    <s v="W11375486"/>
    <s v="Acessórios"/>
    <x v="7"/>
    <n v="1000"/>
    <n v="5002359"/>
    <s v="EMPRESA BRASILEIRA DE CORREIOS E"/>
    <n v="26.85"/>
    <d v="2025-07-01T00:00:00"/>
  </r>
  <r>
    <n v="253983844"/>
    <n v="64759684"/>
    <s v="REB"/>
    <n v="9994309"/>
    <n v="167"/>
    <s v="PEÇAS - Avaria - Quebrada/Depósito"/>
    <s v="LOGÍSTICA"/>
    <x v="2"/>
    <n v="8192"/>
    <x v="118"/>
    <s v="PR"/>
    <n v="933"/>
    <s v="Top"/>
    <n v="1350"/>
    <s v="W11126518"/>
    <s v="Prateleiras"/>
    <x v="9"/>
    <n v="1000"/>
    <n v="5003024"/>
    <s v="RODOBRAS TRANSPORTES RODOVIARIOS LT"/>
    <n v="26.84"/>
    <d v="2025-04-28T00:00:00"/>
  </r>
  <r>
    <n v="254033097"/>
    <n v="64807208"/>
    <s v="REB"/>
    <n v="10057443"/>
    <n v="173"/>
    <s v="PEÇAS - Defeito de fabric./Alta Amperage"/>
    <s v="FUNCIONAL"/>
    <x v="2"/>
    <n v="66"/>
    <x v="73"/>
    <s v="GO"/>
    <n v="931"/>
    <s v="Ats Off"/>
    <n v="1350"/>
    <s v="W11510292"/>
    <s v="Interruptores"/>
    <x v="3"/>
    <n v="1000"/>
    <n v="5002858"/>
    <s v="FAVORITA TRANSPORTES LTDA"/>
    <n v="26.84"/>
    <d v="2025-07-08T00:00:00"/>
  </r>
  <r>
    <n v="254035317"/>
    <n v="64812680"/>
    <s v="REB"/>
    <n v="10057443"/>
    <n v="176"/>
    <s v="PEÇAS - Defeito de fabric./Interrompido"/>
    <s v="FUNCIONAL"/>
    <x v="2"/>
    <n v="66"/>
    <x v="73"/>
    <s v="GO"/>
    <n v="931"/>
    <s v="Ats Off"/>
    <n v="1350"/>
    <s v="W11510292"/>
    <s v="Interruptores"/>
    <x v="3"/>
    <n v="1000"/>
    <n v="5002858"/>
    <s v="FAVORITA TRANSPORTES LTDA"/>
    <n v="26.84"/>
    <d v="2025-07-17T00:00:00"/>
  </r>
  <r>
    <n v="254013133"/>
    <n v="64737668"/>
    <s v="REB"/>
    <n v="9889930"/>
    <n v="176"/>
    <s v="PEÇAS - Defeito de fabric./Interrompido"/>
    <s v="FUNCIONAL"/>
    <x v="2"/>
    <n v="22041"/>
    <x v="70"/>
    <s v="SP"/>
    <n v="931"/>
    <s v="Ats Off"/>
    <n v="1350"/>
    <s v="W10170954"/>
    <s v="Tubos Refrigeração"/>
    <x v="0"/>
    <n v="1000"/>
    <n v="5004042"/>
    <s v="BRASIL WEB TRANSPORTES E LOGISTICA"/>
    <n v="26.8"/>
    <d v="2025-03-25T00:00:00"/>
  </r>
  <r>
    <n v="254044378"/>
    <n v="64730106"/>
    <s v="REB"/>
    <n v="9909268"/>
    <n v="176"/>
    <s v="PEÇAS - Defeito de fabric./Interrompido"/>
    <s v="FUNCIONAL"/>
    <x v="0"/>
    <n v="22041"/>
    <x v="70"/>
    <s v="SP"/>
    <n v="931"/>
    <s v="Ats Off"/>
    <n v="1350"/>
    <s v="W10170954"/>
    <s v="Tubos Refrigeração"/>
    <x v="0"/>
    <n v="1000"/>
    <n v="5004042"/>
    <s v="BRASIL WEB TRANSPORTES E LOGISTICA"/>
    <n v="26.8"/>
    <d v="2025-03-12T00:00:00"/>
  </r>
  <r>
    <n v="254003853"/>
    <n v="64778060"/>
    <s v="REB"/>
    <n v="9795263"/>
    <n v="176"/>
    <s v="PEÇAS - Defeito de fabric./Interrompido"/>
    <s v="FUNCIONAL"/>
    <x v="2"/>
    <n v="3506"/>
    <x v="46"/>
    <s v="SP"/>
    <n v="931"/>
    <s v="Ats Off"/>
    <n v="1350"/>
    <s v="W10606423"/>
    <s v="Evaporadores"/>
    <x v="0"/>
    <n v="1000"/>
    <n v="5004042"/>
    <s v="BRASIL WEB TRANSPORTES E LOGISTICA"/>
    <n v="26.79"/>
    <d v="2025-05-26T00:00:00"/>
  </r>
  <r>
    <n v="253913119"/>
    <n v="64680767"/>
    <s v="REB"/>
    <n v="9641387"/>
    <n v="173"/>
    <s v="PEÇAS - Defeito de fabric./Alta Amperage"/>
    <s v="FUNCIONAL"/>
    <x v="1"/>
    <n v="30345"/>
    <x v="330"/>
    <s v="SP"/>
    <n v="644"/>
    <s v="Plus"/>
    <n v="1350"/>
    <s v="W10581537"/>
    <s v="Pressostatos"/>
    <x v="3"/>
    <n v="1000"/>
    <n v="5003482"/>
    <s v="TMA TRANSPORTE LOTACAO E LOGISTICA"/>
    <n v="26.7"/>
    <d v="2025-01-06T00:00:00"/>
  </r>
  <r>
    <n v="253918568"/>
    <n v="64691696"/>
    <s v="REB"/>
    <n v="9714954"/>
    <n v="173"/>
    <s v="PEÇAS - Defeito de fabric./Alta Amperage"/>
    <s v="FUNCIONAL"/>
    <x v="1"/>
    <n v="30345"/>
    <x v="330"/>
    <s v="SP"/>
    <n v="644"/>
    <s v="Plus"/>
    <n v="1350"/>
    <s v="W10581537"/>
    <s v="Pressostatos"/>
    <x v="3"/>
    <n v="1000"/>
    <n v="5003482"/>
    <s v="TMA TRANSPORTE LOTACAO E LOGISTICA"/>
    <n v="26.7"/>
    <d v="2025-01-15T00:00:00"/>
  </r>
  <r>
    <s v="Sem TR"/>
    <n v="64805731"/>
    <s v="REB"/>
    <n v="10086816"/>
    <n v="509"/>
    <s v="Qtd de peças a Menor dentro do Volume"/>
    <s v="LOGÍSTICA"/>
    <x v="1"/>
    <n v="48597"/>
    <x v="60"/>
    <s v="MG"/>
    <n v="713"/>
    <s v="Key Account"/>
    <n v="1350"/>
    <s v="W11364875"/>
    <s v="Válvulas de Água"/>
    <x v="5"/>
    <n v="1000"/>
    <n v="5002359"/>
    <s v="EMPRESA BRASILEIRA DE CORREIOS E"/>
    <n v="26.67"/>
    <d v="2025-07-08T00:00:00"/>
  </r>
  <r>
    <n v="253952561"/>
    <n v="64728439"/>
    <s v="REB"/>
    <n v="9834576"/>
    <n v="167"/>
    <s v="PEÇAS - Avaria - Quebrada/Depósito"/>
    <s v="LOGÍSTICA"/>
    <x v="2"/>
    <n v="87407"/>
    <x v="208"/>
    <s v="SP"/>
    <n v="644"/>
    <s v="Plus"/>
    <n v="1350"/>
    <n v="326064042"/>
    <s v="Prateleiras"/>
    <x v="9"/>
    <n v="1000"/>
    <n v="5004042"/>
    <s v="BRASIL WEB TRANSPORTES E LOGISTICA"/>
    <n v="26.65"/>
    <d v="2025-03-10T00:00:00"/>
  </r>
  <r>
    <n v="253981567"/>
    <n v="64757844"/>
    <s v="REB"/>
    <n v="9881784"/>
    <n v="167"/>
    <s v="PEÇAS - Avaria - Quebrada/Depósito"/>
    <s v="LOGÍSTICA"/>
    <x v="1"/>
    <n v="74019"/>
    <x v="376"/>
    <s v="SP"/>
    <n v="934"/>
    <s v="CDP Ouro"/>
    <n v="1350"/>
    <s v="W11178623"/>
    <s v="Portas"/>
    <x v="6"/>
    <n v="1000"/>
    <n v="5004042"/>
    <s v="BRASIL WEB TRANSPORTES E LOGISTICA"/>
    <n v="26.63"/>
    <d v="2025-04-25T00:00:00"/>
  </r>
  <r>
    <s v="Sem TR"/>
    <n v="64799556"/>
    <s v="ZRDI"/>
    <n v="10084244"/>
    <s v="D15"/>
    <s v="DEV D2C - Arrependimento modelo comprado"/>
    <s v="COMERCIAL"/>
    <x v="2"/>
    <n v="58084656"/>
    <x v="1473"/>
    <s v="PR"/>
    <n v="474"/>
    <s v="Site Brastemp"/>
    <n v="1352"/>
    <s v="W11561657"/>
    <s v="Suportes"/>
    <x v="6"/>
    <n v="1000"/>
    <n v="5002359"/>
    <s v="EMPRESA BRASILEIRA DE CORREIOS E"/>
    <n v="26.57"/>
    <d v="2025-06-27T00:00:00"/>
  </r>
  <r>
    <n v="254018328"/>
    <n v="64791696"/>
    <s v="REB"/>
    <n v="10045883"/>
    <n v="173"/>
    <s v="PEÇAS - Defeito de fabric./Alta Amperage"/>
    <s v="FUNCIONAL"/>
    <x v="1"/>
    <n v="61467"/>
    <x v="451"/>
    <s v="CE"/>
    <n v="644"/>
    <s v="Plus"/>
    <n v="1350"/>
    <s v="W10721910"/>
    <s v="Pressostatos"/>
    <x v="3"/>
    <n v="1000"/>
    <n v="5004101"/>
    <s v="UNIDOCK'S ASSESSORIA E LOGISTICA DE"/>
    <n v="26.57"/>
    <d v="2025-06-16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0915953"/>
    <s v="Manípulos"/>
    <x v="6"/>
    <n v="3000"/>
    <n v="5004101"/>
    <s v="UNIDOCK'S ASSESSORIA E LOGISTICA DE"/>
    <n v="26.57"/>
    <d v="2025-03-13T00:00:00"/>
  </r>
  <r>
    <n v="253891483"/>
    <n v="64658051"/>
    <s v="REB"/>
    <n v="9732253"/>
    <n v="167"/>
    <s v="PEÇAS - Avaria - Quebrada/Depósito"/>
    <s v="LOGÍSTICA"/>
    <x v="1"/>
    <n v="28684"/>
    <x v="235"/>
    <s v="SP"/>
    <n v="648"/>
    <s v="Ultra"/>
    <n v="1350"/>
    <s v="W11363944"/>
    <s v="Capas"/>
    <x v="6"/>
    <n v="1000"/>
    <n v="5003254"/>
    <s v="TMA TRANSPORTE LOTACAO E LOGISTICA"/>
    <n v="26.51"/>
    <d v="2024-12-04T00:00:00"/>
  </r>
  <r>
    <s v="Sem TR"/>
    <n v="64726802"/>
    <s v="REB"/>
    <n v="9851913"/>
    <n v="160"/>
    <s v="OI Cancelada - Ver motivo no texto"/>
    <s v="OUTROS"/>
    <x v="1"/>
    <n v="56043"/>
    <x v="48"/>
    <s v="PR"/>
    <n v="963"/>
    <s v="Ats Distribuidoras"/>
    <n v="1350"/>
    <s v="W10476183"/>
    <s v="Prateleiras"/>
    <x v="9"/>
    <n v="1000"/>
    <n v="5003024"/>
    <s v="RODOBRAS TRANSPORTES RODOVIARIOS LT"/>
    <n v="26.46"/>
    <d v="2025-03-07T00:00:00"/>
  </r>
  <r>
    <n v="253998041"/>
    <n v="64729243"/>
    <s v="REB"/>
    <n v="9659332"/>
    <n v="173"/>
    <s v="PEÇAS - Defeito de fabric./Alta Amperage"/>
    <s v="FUNCIONAL"/>
    <x v="2"/>
    <n v="81093"/>
    <x v="53"/>
    <s v="ES"/>
    <n v="713"/>
    <s v="Key Account"/>
    <n v="1350"/>
    <s v="W10518616"/>
    <s v="Atuadores"/>
    <x v="2"/>
    <n v="1000"/>
    <n v="5004042"/>
    <s v="BRASIL WEB TRANSPORTES E LOGISTICA"/>
    <n v="26.42"/>
    <d v="2025-03-10T00:00:00"/>
  </r>
  <r>
    <n v="253988788"/>
    <n v="64763820"/>
    <s v="REB"/>
    <n v="9788961"/>
    <n v="176"/>
    <s v="PEÇAS - Defeito de fabric./Interrompido"/>
    <s v="FUNCIONAL"/>
    <x v="1"/>
    <n v="3506"/>
    <x v="46"/>
    <s v="SP"/>
    <n v="931"/>
    <s v="Ats Off"/>
    <n v="1350"/>
    <s v="W11431350"/>
    <s v="Capas"/>
    <x v="6"/>
    <n v="1000"/>
    <n v="5004042"/>
    <s v="BRASIL WEB TRANSPORTES E LOGISTICA"/>
    <n v="26.4"/>
    <d v="2025-05-05T00:00:00"/>
  </r>
  <r>
    <n v="254021263"/>
    <n v="64798918"/>
    <s v="ZRDI"/>
    <n v="10061508"/>
    <n v="208"/>
    <s v="DEV-Atraso entrega- LOGISTICA(Transp)"/>
    <s v="TRANSPORTADORA"/>
    <x v="2"/>
    <n v="55938686"/>
    <x v="2020"/>
    <s v="ES"/>
    <n v="466"/>
    <s v="Sup ML Marketplace"/>
    <n v="1352"/>
    <s v="W11582776"/>
    <s v="Pés"/>
    <x v="6"/>
    <n v="2000"/>
    <n v="5002359"/>
    <s v="EMPRESA BRASILEIRA DE CORREIOS E"/>
    <n v="26.38"/>
    <d v="2025-06-26T00:00:00"/>
  </r>
  <r>
    <n v="254027639"/>
    <n v="64807241"/>
    <s v="ROB"/>
    <n v="10115324"/>
    <n v="240"/>
    <s v="DEV-Avaria - 2 trecho transp - Produto"/>
    <s v="QUALIDADE"/>
    <x v="0"/>
    <n v="67852"/>
    <x v="784"/>
    <s v="MT"/>
    <n v="350"/>
    <s v="Ats On"/>
    <n v="1350"/>
    <s v="W10292562"/>
    <s v="Capas"/>
    <x v="6"/>
    <n v="1000"/>
    <n v="5002573"/>
    <s v="CARVALIMA TRANSPORTES LTDA"/>
    <n v="26.37"/>
    <d v="2025-07-08T00:00:00"/>
  </r>
  <r>
    <n v="254018179"/>
    <n v="64793254"/>
    <s v="REB"/>
    <n v="10046173"/>
    <n v="176"/>
    <s v="PEÇAS - Defeito de fabric./Interrompido"/>
    <s v="FUNCIONAL"/>
    <x v="1"/>
    <n v="3506"/>
    <x v="46"/>
    <s v="SP"/>
    <n v="931"/>
    <s v="Ats Off"/>
    <n v="1350"/>
    <s v="W10531315"/>
    <s v="Sensores"/>
    <x v="3"/>
    <n v="3000"/>
    <n v="5004042"/>
    <s v="BRASIL WEB TRANSPORTES E LOGISTICA"/>
    <n v="26.36"/>
    <d v="2025-06-17T00:00:00"/>
  </r>
  <r>
    <n v="254012612"/>
    <n v="64789382"/>
    <s v="REB"/>
    <n v="9787543"/>
    <n v="173"/>
    <s v="PEÇAS - Defeito de fabric./Alta Amperage"/>
    <s v="FUNCIONAL"/>
    <x v="1"/>
    <n v="73003"/>
    <x v="294"/>
    <s v="SC"/>
    <n v="931"/>
    <s v="Ats Off"/>
    <n v="1350"/>
    <s v="W10849470"/>
    <s v="Bombas"/>
    <x v="1"/>
    <n v="1000"/>
    <n v="5003024"/>
    <s v="RODOBRAS TRANSPORTES RODOVIARIOS LT"/>
    <n v="26.34"/>
    <d v="2025-06-10T00:00:00"/>
  </r>
  <r>
    <n v="254041578"/>
    <n v="64727594"/>
    <s v="ZDVP"/>
    <n v="9691771"/>
    <n v="160"/>
    <s v="OI Cancelada - Ver motivo no texto"/>
    <s v="OUTROS"/>
    <x v="0"/>
    <n v="73003"/>
    <x v="294"/>
    <s v="SC"/>
    <n v="963"/>
    <s v="Ats Distribuidoras"/>
    <n v="1350"/>
    <s v="W10849470"/>
    <s v="Bombas"/>
    <x v="1"/>
    <n v="1000"/>
    <n v="5003024"/>
    <s v="RODOBRAS TRANSPORTES RODOVIARIOS LT"/>
    <n v="26.34"/>
    <d v="2025-03-08T00:00:00"/>
  </r>
  <r>
    <s v="Sem TR"/>
    <n v="64811392"/>
    <s v="REB"/>
    <n v="10100223"/>
    <n v="167"/>
    <s v="PEÇAS - Avaria - Quebrada/Depósito"/>
    <s v="LOGÍSTICA"/>
    <x v="1"/>
    <n v="83581"/>
    <x v="929"/>
    <s v="SP"/>
    <n v="932"/>
    <s v="CDP Prata"/>
    <n v="1350"/>
    <s v="W10212401"/>
    <s v="Prateleiras"/>
    <x v="9"/>
    <n v="1000"/>
    <n v="5004042"/>
    <s v="BRASIL WEB TRANSPORTES E LOGISTICA"/>
    <n v="26.3"/>
    <d v="2025-07-17T00:00:00"/>
  </r>
  <r>
    <s v="Sem TR"/>
    <n v="64794496"/>
    <s v="REB"/>
    <n v="10060296"/>
    <n v="509"/>
    <s v="Qtd de peças a Menor dentro do Volume"/>
    <s v="LOGÍSTICA"/>
    <x v="1"/>
    <n v="80432"/>
    <x v="3"/>
    <s v="ES"/>
    <n v="713"/>
    <s v="Key Account"/>
    <n v="1350"/>
    <s v="W11510292"/>
    <s v="Interruptores"/>
    <x v="3"/>
    <n v="1000"/>
    <n v="5002359"/>
    <s v="EMPRESA BRASILEIRA DE CORREIOS E"/>
    <n v="26.23"/>
    <d v="2025-06-23T00:00:00"/>
  </r>
  <r>
    <s v="Sem TR"/>
    <n v="64805083"/>
    <s v="ZRDI"/>
    <n v="10082628"/>
    <s v="D10"/>
    <s v="DEV D2C - Comprou modelo errado"/>
    <s v="COMERCIAL"/>
    <x v="2"/>
    <n v="50465591"/>
    <x v="1997"/>
    <s v="SC"/>
    <n v="474"/>
    <s v="Site Brastemp"/>
    <n v="1352"/>
    <s v="W10911543"/>
    <s v="Manípulos"/>
    <x v="6"/>
    <n v="1000"/>
    <n v="5002359"/>
    <s v="EMPRESA BRASILEIRA DE CORREIOS E"/>
    <n v="26.15"/>
    <d v="2025-07-08T00:00:00"/>
  </r>
  <r>
    <n v="254018238"/>
    <n v="64792167"/>
    <s v="REB"/>
    <n v="10061857"/>
    <n v="176"/>
    <s v="PEÇAS - Defeito de fabric./Interrompido"/>
    <s v="FUNCIONAL"/>
    <x v="2"/>
    <n v="24089"/>
    <x v="134"/>
    <s v="RJ"/>
    <n v="931"/>
    <s v="Ats Off"/>
    <n v="1350"/>
    <s v="W10652508"/>
    <s v="Resistências"/>
    <x v="1"/>
    <n v="1000"/>
    <n v="5003176"/>
    <s v="J C THEDIN TRANSPORTES LTDA"/>
    <n v="26.12"/>
    <d v="2025-06-17T00:00:00"/>
  </r>
  <r>
    <n v="253961184"/>
    <n v="64736546"/>
    <s v="REB"/>
    <n v="9729104"/>
    <n v="173"/>
    <s v="PEÇAS - Defeito de fabric./Alta Amperage"/>
    <s v="FUNCIONAL"/>
    <x v="1"/>
    <n v="66"/>
    <x v="73"/>
    <s v="GO"/>
    <n v="931"/>
    <s v="Ats Off"/>
    <n v="1350"/>
    <s v="W10518617"/>
    <s v="Atuadores"/>
    <x v="2"/>
    <n v="1000"/>
    <n v="5002858"/>
    <s v="FAVORITA TRANSPORTES LTDA"/>
    <n v="26.12"/>
    <d v="2025-03-26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0268585"/>
    <s v="Capas"/>
    <x v="6"/>
    <n v="1000"/>
    <n v="5002359"/>
    <s v="EMPRESA BRASILEIRA DE CORREIOS E"/>
    <n v="25.98"/>
    <d v="2025-07-11T00:00:00"/>
  </r>
  <r>
    <n v="253995071"/>
    <n v="64770712"/>
    <s v="REB"/>
    <n v="9925562"/>
    <n v="176"/>
    <s v="PEÇAS - Defeito de fabric./Interrompido"/>
    <s v="FUNCIONAL"/>
    <x v="1"/>
    <n v="4318"/>
    <x v="89"/>
    <s v="SC"/>
    <n v="931"/>
    <s v="Ats Off"/>
    <n v="1350"/>
    <s v="W10637050"/>
    <s v="Capacitores"/>
    <x v="1"/>
    <n v="1000"/>
    <n v="5003024"/>
    <s v="RODOBRAS TRANSPORTES RODOVIARIOS LT"/>
    <n v="25.93"/>
    <d v="2025-05-15T00:00:00"/>
  </r>
  <r>
    <n v="254041601"/>
    <n v="64727508"/>
    <s v="ZDVP"/>
    <n v="9727927"/>
    <n v="173"/>
    <s v="PEÇAS - Defeito de fabric./Alta Amperage"/>
    <s v="FUNCIONAL"/>
    <x v="0"/>
    <n v="67948"/>
    <x v="15"/>
    <s v="SC"/>
    <n v="713"/>
    <s v="Key Account"/>
    <n v="1350"/>
    <s v="W10849470"/>
    <s v="Bombas"/>
    <x v="1"/>
    <n v="1000"/>
    <n v="5003024"/>
    <s v="RODOBRAS TRANSPORTES RODOVIARIOS LT"/>
    <n v="25.91"/>
    <d v="2025-03-10T00:00:00"/>
  </r>
  <r>
    <n v="253970750"/>
    <n v="64748776"/>
    <s v="REB"/>
    <n v="9419162"/>
    <n v="176"/>
    <s v="PEÇAS - Defeito de fabric./Interrompido"/>
    <s v="FUNCIONAL"/>
    <x v="2"/>
    <n v="24089"/>
    <x v="134"/>
    <s v="RJ"/>
    <n v="931"/>
    <s v="Ats Off"/>
    <n v="1350"/>
    <s v="W11082462"/>
    <s v="Termostatos"/>
    <x v="3"/>
    <n v="1000"/>
    <n v="5003176"/>
    <s v="J C THEDIN TRANSPORTES LTDA"/>
    <n v="25.89"/>
    <d v="2025-04-09T00:00:00"/>
  </r>
  <r>
    <n v="254034408"/>
    <n v="64813035"/>
    <s v="ROB"/>
    <n v="10113493"/>
    <n v="208"/>
    <s v="DEV-Atraso entrega- LOGISTICA(Transp)"/>
    <s v="TRANSPORTADORA"/>
    <x v="0"/>
    <n v="3625"/>
    <x v="324"/>
    <s v="SP"/>
    <n v="350"/>
    <s v="Ats On"/>
    <n v="1350"/>
    <s v="W10515645"/>
    <s v="Filtros"/>
    <x v="5"/>
    <n v="1000"/>
    <n v="5004101"/>
    <s v="UNIDOCK'S ASSESSORIA E LOGISTICA DE"/>
    <n v="25.89"/>
    <d v="2025-07-18T00:00:00"/>
  </r>
  <r>
    <n v="253872356"/>
    <n v="64641781"/>
    <s v="REB"/>
    <n v="9658281"/>
    <n v="173"/>
    <s v="PEÇAS - Defeito de fabric./Alta Amperage"/>
    <s v="FUNCIONAL"/>
    <x v="1"/>
    <n v="13757"/>
    <x v="14"/>
    <s v="SP"/>
    <n v="713"/>
    <s v="Key Account"/>
    <n v="1350"/>
    <s v="W10721910"/>
    <s v="Pressostatos"/>
    <x v="3"/>
    <n v="1000"/>
    <n v="5003254"/>
    <s v="TMA TRANSPORTE LOTACAO E LOGISTICA"/>
    <n v="25.86"/>
    <d v="2024-11-11T00:00:00"/>
  </r>
  <r>
    <n v="253992715"/>
    <n v="64768201"/>
    <s v="REB"/>
    <n v="10013926"/>
    <n v="167"/>
    <s v="PEÇAS - Avaria - Quebrada/Depósito"/>
    <s v="LOGÍSTICA"/>
    <x v="1"/>
    <n v="25656"/>
    <x v="173"/>
    <s v="SP"/>
    <n v="931"/>
    <s v="Ats Off"/>
    <n v="1350"/>
    <s v="W11431350"/>
    <s v="Capas"/>
    <x v="6"/>
    <n v="1000"/>
    <n v="5004042"/>
    <s v="BRASIL WEB TRANSPORTES E LOGISTICA"/>
    <n v="25.85"/>
    <d v="2025-05-12T00:00:00"/>
  </r>
  <r>
    <n v="254030456"/>
    <n v="64796053"/>
    <s v="REB"/>
    <n v="10082071"/>
    <n v="90"/>
    <s v="CLIENTE-não solicitou"/>
    <s v="COMERCIAL"/>
    <x v="1"/>
    <n v="3467"/>
    <x v="115"/>
    <s v="SP"/>
    <n v="931"/>
    <s v="Ats Off"/>
    <n v="1350"/>
    <s v="W10170954"/>
    <s v="Tubos Refrigeração"/>
    <x v="0"/>
    <n v="1000"/>
    <n v="5004042"/>
    <s v="BRASIL WEB TRANSPORTES E LOGISTICA"/>
    <n v="25.85"/>
    <d v="2025-07-01T00:00:00"/>
  </r>
  <r>
    <n v="253970690"/>
    <n v="64748426"/>
    <s v="REB"/>
    <n v="9938301"/>
    <n v="176"/>
    <s v="PEÇAS - Defeito de fabric./Interrompido"/>
    <s v="FUNCIONAL"/>
    <x v="0"/>
    <n v="3506"/>
    <x v="46"/>
    <s v="SP"/>
    <n v="931"/>
    <s v="Ats Off"/>
    <n v="1350"/>
    <s v="W10727681"/>
    <s v="Conexões Hidráulicas"/>
    <x v="10"/>
    <n v="1000"/>
    <n v="5004042"/>
    <s v="BRASIL WEB TRANSPORTES E LOGISTICA"/>
    <n v="25.79"/>
    <d v="2025-04-09T00:00:00"/>
  </r>
  <r>
    <s v="Sem TR"/>
    <n v="64710349"/>
    <s v="REB"/>
    <n v="9851094"/>
    <n v="509"/>
    <s v="Qtd de peças a Menor dentro do Volume"/>
    <s v="LOGÍSTICA"/>
    <x v="2"/>
    <n v="81338"/>
    <x v="354"/>
    <s v="SP"/>
    <n v="644"/>
    <s v="Plus"/>
    <n v="1350"/>
    <s v="W10476183"/>
    <s v="Prateleiras"/>
    <x v="9"/>
    <n v="1000"/>
    <n v="5002359"/>
    <s v="EMPRESA BRASILEIRA DE CORREIOS E"/>
    <n v="25.77"/>
    <d v="2025-02-11T00:00:00"/>
  </r>
  <r>
    <n v="253952567"/>
    <n v="64726568"/>
    <s v="REB"/>
    <n v="9875261"/>
    <n v="167"/>
    <s v="PEÇAS - Avaria - Quebrada/Depósito"/>
    <s v="LOGÍSTICA"/>
    <x v="1"/>
    <n v="87707"/>
    <x v="143"/>
    <s v="BA"/>
    <n v="648"/>
    <s v="Ultra"/>
    <n v="1350"/>
    <s v="W10287524"/>
    <s v="Prateleiras"/>
    <x v="9"/>
    <n v="1000"/>
    <n v="5004101"/>
    <s v="UNIDOCK'S ASSESSORIA E LOGISTICA DE"/>
    <n v="25.68"/>
    <d v="2025-03-11T00:00:00"/>
  </r>
  <r>
    <n v="253952310"/>
    <n v="64728456"/>
    <s v="REB"/>
    <n v="9661510"/>
    <n v="671"/>
    <s v="DEV-ENVIADO PARA GESTÃO DE CONSEQUENCIA"/>
    <s v="TRANSPORTADORA"/>
    <x v="1"/>
    <n v="38442"/>
    <x v="943"/>
    <s v="RS"/>
    <n v="641"/>
    <s v="CDP Diamante"/>
    <n v="1350"/>
    <s v="W10721910"/>
    <s v="Pressostatos"/>
    <x v="3"/>
    <n v="1000"/>
    <n v="5003024"/>
    <s v="RODOBRAS TRANSPORTES RODOVIARIOS LT"/>
    <n v="25.67"/>
    <d v="2025-03-10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7"/>
    <s v="Capas Queimadores"/>
    <x v="12"/>
    <n v="1000"/>
    <n v="5002359"/>
    <s v="EMPRESA BRASILEIRA DE CORREIOS E"/>
    <n v="25.59"/>
    <d v="2025-07-26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7"/>
    <s v="Capas Queimadores"/>
    <x v="12"/>
    <n v="1000"/>
    <n v="5002359"/>
    <s v="EMPRESA BRASILEIRA DE CORREIOS E"/>
    <n v="25.59"/>
    <d v="2025-07-26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7"/>
    <s v="Capas Queimadores"/>
    <x v="12"/>
    <n v="1000"/>
    <n v="5002359"/>
    <s v="EMPRESA BRASILEIRA DE CORREIOS E"/>
    <n v="25.58"/>
    <d v="2025-07-26T00:00:00"/>
  </r>
  <r>
    <n v="254040386"/>
    <n v="64818290"/>
    <s v="ZRDI"/>
    <n v="10068753"/>
    <n v="208"/>
    <s v="DEV-Atraso entrega- LOGISTICA(Transp)"/>
    <s v="TRANSPORTADORA"/>
    <x v="2"/>
    <n v="57391499"/>
    <x v="1927"/>
    <s v="MG"/>
    <n v="474"/>
    <s v="Site Brastemp"/>
    <n v="1352"/>
    <n v="326055047"/>
    <s v="Capas Queimadores"/>
    <x v="12"/>
    <n v="1000"/>
    <n v="5002359"/>
    <s v="EMPRESA BRASILEIRA DE CORREIOS E"/>
    <n v="25.58"/>
    <d v="2025-07-26T00:00:00"/>
  </r>
  <r>
    <s v="Sem TR"/>
    <n v="64802968"/>
    <s v="REB"/>
    <n v="10119769"/>
    <n v="509"/>
    <s v="Qtd de peças a Menor dentro do Volume"/>
    <s v="LOGÍSTICA"/>
    <x v="1"/>
    <n v="21621"/>
    <x v="325"/>
    <s v="SP"/>
    <n v="350"/>
    <s v="Ats On"/>
    <n v="1350"/>
    <s v="W10727681"/>
    <s v="Conexões Hidráulicas"/>
    <x v="10"/>
    <n v="1000"/>
    <n v="5002359"/>
    <s v="EMPRESA BRASILEIRA DE CORREIOS E"/>
    <n v="25.56"/>
    <d v="2025-07-17T00:00:00"/>
  </r>
  <r>
    <n v="253998135"/>
    <n v="64729252"/>
    <s v="REB"/>
    <n v="9722098"/>
    <n v="173"/>
    <s v="PEÇAS - Defeito de fabric./Alta Amperage"/>
    <s v="FUNCIONAL"/>
    <x v="2"/>
    <n v="81093"/>
    <x v="53"/>
    <s v="ES"/>
    <n v="713"/>
    <s v="Key Account"/>
    <n v="1350"/>
    <s v="W10849469"/>
    <s v="Bombas"/>
    <x v="1"/>
    <n v="1000"/>
    <n v="5004042"/>
    <s v="BRASIL WEB TRANSPORTES E LOGISTICA"/>
    <n v="25.54"/>
    <d v="2025-03-10T00:00:00"/>
  </r>
  <r>
    <n v="254042133"/>
    <n v="64795892"/>
    <s v="REB"/>
    <n v="10076025"/>
    <n v="167"/>
    <s v="PEÇAS - Avaria - Quebrada/Depósito"/>
    <s v="LOGÍSTICA"/>
    <x v="0"/>
    <n v="84684"/>
    <x v="893"/>
    <s v="SC"/>
    <n v="934"/>
    <s v="CDP Ouro"/>
    <n v="1350"/>
    <s v="W10616687"/>
    <s v="Capas"/>
    <x v="6"/>
    <n v="1000"/>
    <n v="5003024"/>
    <s v="RODOBRAS TRANSPORTES RODOVIARIOS LT"/>
    <n v="25.54"/>
    <d v="2025-06-23T00:00:00"/>
  </r>
  <r>
    <n v="254033457"/>
    <n v="64806876"/>
    <s v="REB"/>
    <n v="10087229"/>
    <n v="167"/>
    <s v="PEÇAS - Avaria - Quebrada/Depósito"/>
    <s v="LOGÍSTICA"/>
    <x v="0"/>
    <n v="78757"/>
    <x v="50"/>
    <s v="RS"/>
    <n v="643"/>
    <s v="Elite"/>
    <n v="1350"/>
    <s v="W10287534"/>
    <s v="Prateleiras"/>
    <x v="9"/>
    <n v="1000"/>
    <n v="5003024"/>
    <s v="RODOBRAS TRANSPORTES RODOVIARIOS LT"/>
    <n v="25.53"/>
    <d v="2025-07-08T00:00:00"/>
  </r>
  <r>
    <n v="253948452"/>
    <n v="64726725"/>
    <s v="REB"/>
    <n v="9861930"/>
    <n v="671"/>
    <s v="DEV-ENVIADO PARA GESTÃO DE CONSEQUENCIA"/>
    <s v="TRANSPORTADORA"/>
    <x v="2"/>
    <n v="5011"/>
    <x v="189"/>
    <s v="RS"/>
    <n v="350"/>
    <s v="Ats On"/>
    <n v="1350"/>
    <s v="W10287524"/>
    <s v="Prateleiras"/>
    <x v="9"/>
    <n v="1000"/>
    <n v="5003024"/>
    <s v="RODOBRAS TRANSPORTES RODOVIARIOS LT"/>
    <n v="25.52"/>
    <d v="2025-03-07T00:00:00"/>
  </r>
  <r>
    <s v="Sem TR"/>
    <n v="64813356"/>
    <s v="ZRDI"/>
    <n v="10061682"/>
    <n v="208"/>
    <s v="DEV-Atraso entrega- LOGISTICA(Transp)"/>
    <s v="TRANSPORTADORA"/>
    <x v="2"/>
    <n v="51063062"/>
    <x v="1937"/>
    <s v="SP"/>
    <n v="474"/>
    <s v="Site Brastemp"/>
    <n v="1352"/>
    <s v="W10620706"/>
    <s v="Outros"/>
    <x v="7"/>
    <n v="1000"/>
    <n v="5002359"/>
    <s v="EMPRESA BRASILEIRA DE CORREIOS E"/>
    <n v="25.42"/>
    <d v="2025-07-18T00:00:00"/>
  </r>
  <r>
    <n v="254033401"/>
    <n v="64793427"/>
    <s v="REB"/>
    <n v="10015525"/>
    <n v="173"/>
    <s v="PEÇAS - Defeito de fabric./Alta Amperage"/>
    <s v="FUNCIONAL"/>
    <x v="1"/>
    <n v="37434"/>
    <x v="95"/>
    <s v="GO"/>
    <n v="931"/>
    <s v="Ats Off"/>
    <n v="1350"/>
    <s v="W11364881"/>
    <s v="Válvulas de Água"/>
    <x v="5"/>
    <n v="1000"/>
    <n v="5002858"/>
    <s v="FAVORITA TRANSPORTES LTDA"/>
    <n v="25.42"/>
    <d v="2025-07-01T00:00:00"/>
  </r>
  <r>
    <s v="Sem TR"/>
    <n v="64813338"/>
    <s v="REB"/>
    <n v="10072221"/>
    <n v="173"/>
    <s v="PEÇAS - Defeito de fabric./Alta Amperage"/>
    <s v="FUNCIONAL"/>
    <x v="1"/>
    <n v="64683"/>
    <x v="56"/>
    <s v="RS"/>
    <n v="648"/>
    <s v="Ultra"/>
    <n v="1350"/>
    <s v="W10721910"/>
    <s v="Pressostatos"/>
    <x v="3"/>
    <n v="1000"/>
    <n v="5003024"/>
    <s v="RODOBRAS TRANSPORTES RODOVIARIOS LT"/>
    <n v="25.41"/>
    <d v="2025-07-22T00:00:00"/>
  </r>
  <r>
    <n v="253992775"/>
    <n v="64768473"/>
    <s v="REB"/>
    <n v="10009352"/>
    <n v="167"/>
    <s v="PEÇAS - Avaria - Quebrada/Depósito"/>
    <s v="LOGÍSTICA"/>
    <x v="2"/>
    <n v="78757"/>
    <x v="50"/>
    <s v="RS"/>
    <n v="643"/>
    <s v="Elite"/>
    <n v="1350"/>
    <s v="W10616687"/>
    <s v="Capas"/>
    <x v="6"/>
    <n v="1000"/>
    <n v="5003024"/>
    <s v="RODOBRAS TRANSPORTES RODOVIARIOS LT"/>
    <n v="25.35"/>
    <d v="2025-05-12T00:00:00"/>
  </r>
  <r>
    <s v="Sem TR"/>
    <n v="64808192"/>
    <s v="REB"/>
    <n v="10124591"/>
    <n v="509"/>
    <s v="Qtd de peças a Menor dentro do Volume"/>
    <s v="LOGÍSTICA"/>
    <x v="1"/>
    <n v="72786"/>
    <x v="41"/>
    <s v="SC"/>
    <n v="643"/>
    <s v="Elite"/>
    <n v="1350"/>
    <s v="W10287534"/>
    <s v="Prateleiras"/>
    <x v="9"/>
    <n v="1000"/>
    <n v="5002359"/>
    <s v="EMPRESA BRASILEIRA DE CORREIOS E"/>
    <n v="25.35"/>
    <d v="2025-07-22T00:00:00"/>
  </r>
  <r>
    <n v="254018368"/>
    <n v="64790822"/>
    <s v="REB"/>
    <n v="10024207"/>
    <n v="90"/>
    <s v="CLIENTE-não solicitou"/>
    <s v="COMERCIAL"/>
    <x v="2"/>
    <n v="72786"/>
    <x v="41"/>
    <s v="SC"/>
    <n v="643"/>
    <s v="Elite"/>
    <n v="1350"/>
    <s v="W10287524"/>
    <s v="Prateleiras"/>
    <x v="9"/>
    <n v="1000"/>
    <n v="5003024"/>
    <s v="RODOBRAS TRANSPORTES RODOVIARIOS LT"/>
    <n v="25.33"/>
    <d v="2025-06-17T00:00:00"/>
  </r>
  <r>
    <n v="254043994"/>
    <n v="64812242"/>
    <s v="REB"/>
    <n v="51225"/>
    <n v="90"/>
    <s v="CLIENTE-não solicitou"/>
    <s v="COMERCIAL"/>
    <x v="0"/>
    <n v="14474"/>
    <x v="25"/>
    <s v="RN"/>
    <n v="648"/>
    <s v="Ultra"/>
    <n v="1550"/>
    <s v="W10553055"/>
    <s v="Prateleiras"/>
    <x v="9"/>
    <n v="1000"/>
    <n v="5004391"/>
    <s v="JEONCEL TRANSPORTES LTDA"/>
    <n v="25.32"/>
    <d v="2025-07-17T00:00:00"/>
  </r>
  <r>
    <n v="254027312"/>
    <n v="64806735"/>
    <s v="ZRDI"/>
    <n v="9973856"/>
    <n v="208"/>
    <s v="DEV-Atraso entrega- LOGISTICA(Transp)"/>
    <s v="TRANSPORTADORA"/>
    <x v="2"/>
    <n v="4827611"/>
    <x v="2021"/>
    <s v="BA"/>
    <n v="474"/>
    <s v="Site Brastemp"/>
    <n v="1352"/>
    <s v="W10514963"/>
    <s v="Emblemas"/>
    <x v="11"/>
    <n v="1000"/>
    <n v="5002359"/>
    <s v="EMPRESA BRASILEIRA DE CORREIOS E"/>
    <n v="25.21"/>
    <d v="2025-07-07T00:00:00"/>
  </r>
  <r>
    <n v="254027312"/>
    <n v="64806735"/>
    <s v="ZRDI"/>
    <n v="9973856"/>
    <n v="208"/>
    <s v="DEV-Atraso entrega- LOGISTICA(Transp)"/>
    <s v="TRANSPORTADORA"/>
    <x v="2"/>
    <n v="4827611"/>
    <x v="2021"/>
    <s v="BA"/>
    <n v="474"/>
    <s v="Site Brastemp"/>
    <n v="1352"/>
    <s v="W10514963"/>
    <s v="Emblemas"/>
    <x v="11"/>
    <n v="1000"/>
    <n v="5002359"/>
    <s v="EMPRESA BRASILEIRA DE CORREIOS E"/>
    <n v="25.21"/>
    <d v="2025-07-07T00:00:00"/>
  </r>
  <r>
    <n v="253952446"/>
    <n v="64729225"/>
    <s v="REB"/>
    <n v="9802798"/>
    <n v="176"/>
    <s v="PEÇAS - Defeito de fabric./Interrompido"/>
    <s v="FUNCIONAL"/>
    <x v="1"/>
    <n v="67141"/>
    <x v="214"/>
    <s v="SP"/>
    <n v="648"/>
    <s v="Ultra"/>
    <n v="1350"/>
    <s v="W10828358"/>
    <s v="Pressostatos"/>
    <x v="3"/>
    <n v="1000"/>
    <n v="5004042"/>
    <s v="BRASIL WEB TRANSPORTES E LOGISTICA"/>
    <n v="25.18"/>
    <d v="2025-03-10T00:00:00"/>
  </r>
  <r>
    <n v="254044305"/>
    <n v="64790921"/>
    <s v="REB"/>
    <n v="10051268"/>
    <n v="178"/>
    <s v="PEÇAS -Defeito de fabric./Sem Compressão"/>
    <s v="FUNCIONAL"/>
    <x v="0"/>
    <n v="22041"/>
    <x v="70"/>
    <s v="SP"/>
    <n v="931"/>
    <s v="Ats Off"/>
    <n v="1350"/>
    <s v="W11682256"/>
    <s v="Filtro Secadores"/>
    <x v="0"/>
    <n v="1000"/>
    <n v="5004042"/>
    <s v="BRASIL WEB TRANSPORTES E LOGISTICA"/>
    <n v="25.07"/>
    <d v="2025-06-13T00:00:00"/>
  </r>
  <r>
    <s v="Sem TR"/>
    <n v="64731049"/>
    <s v="ROB"/>
    <n v="9901209"/>
    <n v="25"/>
    <s v="OC. 80 - EXTRAVIO TOTAL"/>
    <s v="TRANSPORTADORA"/>
    <x v="0"/>
    <n v="48500"/>
    <x v="22"/>
    <s v="MG"/>
    <n v="350"/>
    <s v="Ats On"/>
    <n v="1350"/>
    <s v="W10388134"/>
    <s v="Pés"/>
    <x v="6"/>
    <n v="6000"/>
    <n v="5004101"/>
    <s v="UNIDOCK'S ASSESSORIA E LOGISTICA DE"/>
    <n v="25.02"/>
    <d v="2025-03-13T00:00:00"/>
  </r>
  <r>
    <s v="Sem TR"/>
    <n v="64708448"/>
    <s v="REB"/>
    <n v="9858355"/>
    <n v="671"/>
    <s v="DEV-ENVIADO PARA GESTÃO DE CONSEQUENCIA"/>
    <s v="TRANSPORTADORA"/>
    <x v="1"/>
    <n v="35280"/>
    <x v="151"/>
    <s v="BA"/>
    <n v="931"/>
    <s v="Ats Off"/>
    <n v="1350"/>
    <s v="W10246170"/>
    <s v="Prateleiras"/>
    <x v="9"/>
    <n v="1000"/>
    <n v="5004101"/>
    <s v="UNIDOCK'S ASSESSORIA E LOGISTICA DE"/>
    <n v="25"/>
    <d v="2025-02-07T00:00:00"/>
  </r>
  <r>
    <n v="253970693"/>
    <n v="64749070"/>
    <s v="REB"/>
    <n v="9946297"/>
    <n v="176"/>
    <s v="PEÇAS - Defeito de fabric./Interrompido"/>
    <s v="FUNCIONAL"/>
    <x v="2"/>
    <n v="3506"/>
    <x v="46"/>
    <s v="SP"/>
    <n v="931"/>
    <s v="Ats Off"/>
    <n v="1350"/>
    <s v="W10393974"/>
    <s v="Injetores"/>
    <x v="12"/>
    <n v="2000"/>
    <n v="5004042"/>
    <s v="BRASIL WEB TRANSPORTES E LOGISTICA"/>
    <n v="24.88"/>
    <d v="2025-04-09T00:00:00"/>
  </r>
  <r>
    <n v="253952324"/>
    <n v="64729060"/>
    <s v="REB"/>
    <n v="9889535"/>
    <n v="167"/>
    <s v="PEÇAS - Avaria - Quebrada/Depósito"/>
    <s v="LOGÍSTICA"/>
    <x v="1"/>
    <n v="47026"/>
    <x v="16"/>
    <s v="BA"/>
    <n v="643"/>
    <s v="Elite"/>
    <n v="1350"/>
    <s v="W10287534"/>
    <s v="Prateleiras"/>
    <x v="9"/>
    <n v="1000"/>
    <n v="5004101"/>
    <s v="UNIDOCK'S ASSESSORIA E LOGISTICA DE"/>
    <n v="24.87"/>
    <d v="2025-03-10T00:00:00"/>
  </r>
  <r>
    <n v="253988936"/>
    <n v="64763708"/>
    <s v="REB"/>
    <n v="9672146"/>
    <n v="173"/>
    <s v="PEÇAS - Defeito de fabric./Alta Amperage"/>
    <s v="FUNCIONAL"/>
    <x v="1"/>
    <n v="81093"/>
    <x v="53"/>
    <s v="ES"/>
    <n v="713"/>
    <s v="Key Account"/>
    <n v="1350"/>
    <s v="W10849470"/>
    <s v="Bombas"/>
    <x v="1"/>
    <n v="1000"/>
    <n v="5004042"/>
    <s v="BRASIL WEB TRANSPORTES E LOGISTICA"/>
    <n v="24.85"/>
    <d v="2025-05-05T00:00:00"/>
  </r>
  <r>
    <n v="253952488"/>
    <n v="64729032"/>
    <s v="REB"/>
    <n v="9891024"/>
    <n v="167"/>
    <s v="PEÇAS - Avaria - Quebrada/Depósito"/>
    <s v="LOGÍSTICA"/>
    <x v="1"/>
    <n v="75752"/>
    <x v="74"/>
    <s v="PR"/>
    <n v="648"/>
    <s v="Ultra"/>
    <n v="1350"/>
    <s v="W10287534"/>
    <s v="Prateleiras"/>
    <x v="9"/>
    <n v="1000"/>
    <n v="5003024"/>
    <s v="RODOBRAS TRANSPORTES RODOVIARIOS LT"/>
    <n v="24.85"/>
    <d v="2025-03-10T00:00:00"/>
  </r>
  <r>
    <s v="Sem TR"/>
    <n v="64666649"/>
    <s v="REB"/>
    <n v="9746005"/>
    <n v="509"/>
    <s v="Qtd de peças a Menor dentro do Volume"/>
    <s v="LOGÍSTICA"/>
    <x v="2"/>
    <n v="61847"/>
    <x v="35"/>
    <s v="MG"/>
    <n v="643"/>
    <s v="Elite"/>
    <n v="1350"/>
    <s v="W10483993"/>
    <s v="Capas"/>
    <x v="6"/>
    <n v="1000"/>
    <n v="5002359"/>
    <s v="EMPRESA BRASILEIRA DE CORREIOS E"/>
    <n v="24.79"/>
    <d v="2024-12-12T00:00:00"/>
  </r>
  <r>
    <n v="253970698"/>
    <n v="64748240"/>
    <s v="REB"/>
    <n v="9421954"/>
    <n v="176"/>
    <s v="PEÇAS - Defeito de fabric./Interrompido"/>
    <s v="FUNCIONAL"/>
    <x v="2"/>
    <n v="3506"/>
    <x v="46"/>
    <s v="SP"/>
    <n v="931"/>
    <s v="Ats Off"/>
    <n v="1350"/>
    <s v="W10355594"/>
    <s v="Micro Chaves/Reed Switches"/>
    <x v="3"/>
    <n v="1000"/>
    <n v="5004042"/>
    <s v="BRASIL WEB TRANSPORTES E LOGISTICA"/>
    <n v="24.71"/>
    <d v="2025-04-09T00:00:00"/>
  </r>
  <r>
    <s v="Sem TR"/>
    <n v="64699487"/>
    <s v="REB"/>
    <n v="9788311"/>
    <n v="671"/>
    <s v="DEV-ENVIADO PARA GESTÃO DE CONSEQUENCIA"/>
    <s v="TRANSPORTADORA"/>
    <x v="1"/>
    <n v="5011"/>
    <x v="189"/>
    <s v="RS"/>
    <n v="350"/>
    <s v="Ats On"/>
    <n v="1350"/>
    <s v="W10905603"/>
    <s v="Sensores"/>
    <x v="3"/>
    <n v="1000"/>
    <n v="5003024"/>
    <s v="RODOBRAS TRANSPORTES RODOVIARIOS LT"/>
    <n v="24.7"/>
    <d v="2025-01-24T00:00:00"/>
  </r>
  <r>
    <s v="Sem TR"/>
    <n v="64804289"/>
    <s v="ZRDI"/>
    <n v="10109958"/>
    <s v="D10"/>
    <s v="DEV D2C - Comprou modelo errado"/>
    <s v="COMERCIAL"/>
    <x v="2"/>
    <n v="58121546"/>
    <x v="1785"/>
    <s v="SP"/>
    <n v="474"/>
    <s v="Site Brastemp"/>
    <n v="1352"/>
    <s v="W10351689"/>
    <s v="Capas Queimadores"/>
    <x v="12"/>
    <n v="1000"/>
    <n v="5002359"/>
    <s v="EMPRESA BRASILEIRA DE CORREIOS E"/>
    <n v="24.67"/>
    <d v="2025-07-02T00:00:00"/>
  </r>
  <r>
    <n v="253970698"/>
    <n v="64748864"/>
    <s v="REB"/>
    <n v="9976748"/>
    <n v="176"/>
    <s v="PEÇAS - Defeito de fabric./Interrompido"/>
    <s v="FUNCIONAL"/>
    <x v="2"/>
    <n v="3506"/>
    <x v="46"/>
    <s v="SP"/>
    <n v="931"/>
    <s v="Ats Off"/>
    <n v="1350"/>
    <s v="W10699240"/>
    <s v="Filtro Secadores"/>
    <x v="0"/>
    <n v="3000"/>
    <n v="5004042"/>
    <s v="BRASIL WEB TRANSPORTES E LOGISTICA"/>
    <n v="24.51"/>
    <d v="2025-04-09T00:00:00"/>
  </r>
  <r>
    <n v="253915623"/>
    <n v="64687774"/>
    <s v="REB"/>
    <n v="9742824"/>
    <n v="176"/>
    <s v="PEÇAS - Defeito de fabric./Interrompido"/>
    <s v="FUNCIONAL"/>
    <x v="1"/>
    <n v="67948"/>
    <x v="15"/>
    <s v="SC"/>
    <n v="713"/>
    <s v="Key Account"/>
    <n v="1350"/>
    <s v="W10616687"/>
    <s v="Capas"/>
    <x v="6"/>
    <n v="1000"/>
    <n v="5003024"/>
    <s v="RODOBRAS TRANSPORTES RODOVIARIOS LT"/>
    <n v="24.51"/>
    <d v="2025-01-09T00:00:00"/>
  </r>
  <r>
    <s v="Sem TR"/>
    <n v="64804927"/>
    <s v="REB"/>
    <n v="10094120"/>
    <n v="509"/>
    <s v="Qtd de peças a Menor dentro do Volume"/>
    <s v="LOGÍSTICA"/>
    <x v="2"/>
    <n v="64683"/>
    <x v="56"/>
    <s v="RS"/>
    <n v="648"/>
    <s v="Ultra"/>
    <n v="1350"/>
    <s v="W10531315"/>
    <s v="Sensores"/>
    <x v="3"/>
    <n v="3000"/>
    <n v="5002359"/>
    <s v="EMPRESA BRASILEIRA DE CORREIOS E"/>
    <n v="24.44"/>
    <d v="2025-07-08T00:00:00"/>
  </r>
  <r>
    <n v="254032494"/>
    <n v="64811458"/>
    <s v="ZRDI"/>
    <n v="10016171"/>
    <n v="208"/>
    <s v="DEV-Atraso entrega- LOGISTICA(Transp)"/>
    <s v="TRANSPORTADORA"/>
    <x v="2"/>
    <n v="56335215"/>
    <x v="1353"/>
    <s v="SC"/>
    <n v="475"/>
    <s v="Site Consul"/>
    <n v="1352"/>
    <s v="W10920508"/>
    <s v="Botões"/>
    <x v="6"/>
    <n v="1000"/>
    <n v="5002359"/>
    <s v="EMPRESA BRASILEIRA DE CORREIOS E"/>
    <n v="24.35"/>
    <d v="2025-07-16T00:00:00"/>
  </r>
  <r>
    <n v="254003989"/>
    <n v="64774432"/>
    <s v="REB"/>
    <n v="9953402"/>
    <n v="173"/>
    <s v="PEÇAS - Defeito de fabric./Alta Amperage"/>
    <s v="FUNCIONAL"/>
    <x v="2"/>
    <n v="47026"/>
    <x v="16"/>
    <s v="BA"/>
    <n v="643"/>
    <s v="Elite"/>
    <n v="1350"/>
    <s v="W10721910"/>
    <s v="Pressostatos"/>
    <x v="3"/>
    <n v="1000"/>
    <n v="5004101"/>
    <s v="UNIDOCK'S ASSESSORIA E LOGISTICA DE"/>
    <n v="24.24"/>
    <d v="2025-05-26T00:00:00"/>
  </r>
  <r>
    <n v="254033098"/>
    <n v="64807206"/>
    <s v="REB"/>
    <n v="10053261"/>
    <n v="176"/>
    <s v="PEÇAS - Defeito de fabric./Interrompido"/>
    <s v="FUNCIONAL"/>
    <x v="2"/>
    <n v="66"/>
    <x v="73"/>
    <s v="GO"/>
    <n v="931"/>
    <s v="Ats Off"/>
    <n v="1350"/>
    <s v="W10905603"/>
    <s v="Sensores"/>
    <x v="3"/>
    <n v="1000"/>
    <n v="5002858"/>
    <s v="FAVORITA TRANSPORTES LTDA"/>
    <n v="24.23"/>
    <d v="2025-07-08T00:00:00"/>
  </r>
  <r>
    <n v="254033098"/>
    <n v="64807207"/>
    <s v="REB"/>
    <n v="10057443"/>
    <n v="176"/>
    <s v="PEÇAS - Defeito de fabric./Interrompido"/>
    <s v="FUNCIONAL"/>
    <x v="2"/>
    <n v="66"/>
    <x v="73"/>
    <s v="GO"/>
    <n v="931"/>
    <s v="Ats Off"/>
    <n v="1350"/>
    <s v="W10905603"/>
    <s v="Sensores"/>
    <x v="3"/>
    <n v="1000"/>
    <n v="5002858"/>
    <s v="FAVORITA TRANSPORTES LTDA"/>
    <n v="24.23"/>
    <d v="2025-07-08T00:00:00"/>
  </r>
  <r>
    <n v="254034409"/>
    <n v="64813036"/>
    <s v="ROB"/>
    <n v="10113494"/>
    <n v="208"/>
    <s v="DEV-Atraso entrega- LOGISTICA(Transp)"/>
    <s v="TRANSPORTADORA"/>
    <x v="0"/>
    <n v="3625"/>
    <x v="324"/>
    <s v="SP"/>
    <n v="350"/>
    <s v="Ats On"/>
    <n v="1350"/>
    <s v="W10699240"/>
    <s v="Filtro Secadores"/>
    <x v="0"/>
    <n v="3000"/>
    <n v="5004101"/>
    <s v="UNIDOCK'S ASSESSORIA E LOGISTICA DE"/>
    <n v="24.21"/>
    <d v="2025-07-18T00:00:00"/>
  </r>
  <r>
    <s v="Sem TR"/>
    <n v="64814494"/>
    <s v="REB"/>
    <n v="10106663"/>
    <n v="104"/>
    <s v="PEÇAS-Código trocado(embalag X conteúdo)"/>
    <s v="LOGÍSTICA"/>
    <x v="1"/>
    <n v="39976"/>
    <x v="2022"/>
    <s v="PR"/>
    <n v="350"/>
    <s v="Ats On"/>
    <n v="1350"/>
    <s v="W10766650"/>
    <s v="Suportes"/>
    <x v="6"/>
    <n v="1000"/>
    <n v="5003024"/>
    <s v="RODOBRAS TRANSPORTES RODOVIARIOS LT"/>
    <n v="24.14"/>
    <d v="2025-07-22T00:00:00"/>
  </r>
  <r>
    <n v="253915530"/>
    <n v="64683561"/>
    <s v="REB"/>
    <n v="9716737"/>
    <n v="176"/>
    <s v="PEÇAS - Defeito de fabric./Interrompido"/>
    <s v="FUNCIONAL"/>
    <x v="1"/>
    <n v="3236"/>
    <x v="45"/>
    <s v="SP"/>
    <n v="931"/>
    <s v="Ats Off"/>
    <n v="1350"/>
    <s v="W11634906"/>
    <s v="Sensores"/>
    <x v="3"/>
    <n v="1000"/>
    <n v="5003254"/>
    <s v="TMA TRANSPORTE LOTACAO E LOGISTICA"/>
    <n v="24.11"/>
    <d v="2025-01-09T00:00:00"/>
  </r>
  <r>
    <s v="Sem TR"/>
    <n v="64807896"/>
    <s v="ZRDI"/>
    <n v="10110292"/>
    <s v="D35"/>
    <s v="DEV D2C - Prod difere do comprado"/>
    <s v="COMERCIAL"/>
    <x v="2"/>
    <n v="57402356"/>
    <x v="2023"/>
    <s v="PR"/>
    <n v="474"/>
    <s v="Site Brastemp"/>
    <n v="1352"/>
    <s v="W10911543"/>
    <s v="Manípulos"/>
    <x v="6"/>
    <n v="1000"/>
    <n v="5002359"/>
    <s v="EMPRESA BRASILEIRA DE CORREIOS E"/>
    <n v="24.05"/>
    <d v="2025-07-11T00:00:00"/>
  </r>
  <r>
    <s v="Sem TR"/>
    <n v="64807896"/>
    <s v="ZRDI"/>
    <n v="10110292"/>
    <s v="D35"/>
    <s v="DEV D2C - Prod difere do comprado"/>
    <s v="COMERCIAL"/>
    <x v="2"/>
    <n v="57402356"/>
    <x v="2023"/>
    <s v="PR"/>
    <n v="474"/>
    <s v="Site Brastemp"/>
    <n v="1352"/>
    <s v="W10911543"/>
    <s v="Manípulos"/>
    <x v="6"/>
    <n v="1000"/>
    <n v="5002359"/>
    <s v="EMPRESA BRASILEIRA DE CORREIOS E"/>
    <n v="24.05"/>
    <d v="2025-07-11T00:00:00"/>
  </r>
  <r>
    <s v="Sem TR"/>
    <n v="64809833"/>
    <s v="REB"/>
    <n v="10089943"/>
    <n v="167"/>
    <s v="PEÇAS - Avaria - Quebrada/Depósito"/>
    <s v="LOGÍSTICA"/>
    <x v="1"/>
    <n v="1255"/>
    <x v="254"/>
    <s v="CE"/>
    <n v="931"/>
    <s v="Ats Off"/>
    <n v="1350"/>
    <s v="W10553055"/>
    <s v="Prateleiras"/>
    <x v="9"/>
    <n v="1000"/>
    <n v="5004101"/>
    <s v="UNIDOCK'S ASSESSORIA E LOGISTICA DE"/>
    <n v="23.99"/>
    <d v="2025-07-17T00:00:00"/>
  </r>
  <r>
    <n v="254004021"/>
    <n v="64776957"/>
    <s v="REB"/>
    <n v="8520455"/>
    <n v="173"/>
    <s v="PEÇAS - Defeito de fabric./Alta Amperage"/>
    <s v="FUNCIONAL"/>
    <x v="1"/>
    <n v="61371"/>
    <x v="96"/>
    <s v="DF"/>
    <n v="933"/>
    <s v="Top"/>
    <n v="1350"/>
    <s v="W10606422"/>
    <s v="Usinas"/>
    <x v="12"/>
    <n v="1000"/>
    <n v="5002858"/>
    <s v="FAVORITA TRANSPORTES LTDA"/>
    <n v="23.95"/>
    <d v="2025-05-26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n v="326064042"/>
    <s v="Prateleiras"/>
    <x v="9"/>
    <n v="1000"/>
    <n v="5004101"/>
    <s v="UNIDOCK'S ASSESSORIA E LOGISTICA DE"/>
    <n v="23.84"/>
    <d v="2025-03-13T00:00:00"/>
  </r>
  <r>
    <s v="Sem TR"/>
    <n v="64737224"/>
    <s v="REB"/>
    <n v="47988"/>
    <n v="167"/>
    <s v="PEÇAS - Avaria - Quebrada/Depósito"/>
    <s v="LOGÍSTICA"/>
    <x v="2"/>
    <n v="89222"/>
    <x v="1799"/>
    <s v="MA"/>
    <n v="934"/>
    <s v="CDP Ouro"/>
    <n v="1550"/>
    <s v="W10539793"/>
    <s v="Capas"/>
    <x v="6"/>
    <n v="1000"/>
    <n v="5004391"/>
    <s v="JEONCEL TRANSPORTES LTDA"/>
    <n v="23.82"/>
    <d v="2025-03-24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n v="326003301"/>
    <s v="Recipientes de Evaporação"/>
    <x v="9"/>
    <n v="1000"/>
    <n v="5003024"/>
    <s v="RODOBRAS TRANSPORTES RODOVIARIOS LT"/>
    <n v="23.74"/>
    <d v="2025-01-16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n v="326054047"/>
    <s v="Suportes"/>
    <x v="6"/>
    <n v="1000"/>
    <n v="5004101"/>
    <s v="UNIDOCK'S ASSESSORIA E LOGISTICA DE"/>
    <n v="23.71"/>
    <d v="2025-07-29T00:00:00"/>
  </r>
  <r>
    <n v="253983938"/>
    <n v="64759714"/>
    <s v="REB"/>
    <n v="9997808"/>
    <n v="167"/>
    <s v="PEÇAS - Avaria - Quebrada/Depósito"/>
    <s v="LOGÍSTICA"/>
    <x v="1"/>
    <n v="55093"/>
    <x v="231"/>
    <s v="SP"/>
    <n v="648"/>
    <s v="Ultra"/>
    <n v="1350"/>
    <s v="W10169464"/>
    <s v="Defletores/Difusores"/>
    <x v="5"/>
    <n v="1000"/>
    <n v="5004042"/>
    <s v="BRASIL WEB TRANSPORTES E LOGISTICA"/>
    <n v="23.69"/>
    <d v="2025-04-28T00:00:00"/>
  </r>
  <r>
    <n v="254012462"/>
    <n v="64764596"/>
    <s v="REB"/>
    <n v="10041359"/>
    <n v="104"/>
    <s v="PEÇAS-Código trocado(embalag X conteúdo)"/>
    <s v="LOGÍSTICA"/>
    <x v="1"/>
    <n v="10164"/>
    <x v="183"/>
    <s v="PB"/>
    <n v="931"/>
    <s v="Ats Off"/>
    <n v="1350"/>
    <s v="W10553052"/>
    <s v="Prateleiras"/>
    <x v="9"/>
    <n v="1000"/>
    <n v="5004101"/>
    <s v="UNIDOCK'S ASSESSORIA E LOGISTICA DE"/>
    <n v="23.63"/>
    <d v="2025-06-10T00:00:00"/>
  </r>
  <r>
    <n v="254035288"/>
    <n v="64812417"/>
    <s v="REB"/>
    <n v="10120855"/>
    <n v="176"/>
    <s v="PEÇAS - Defeito de fabric./Interrompido"/>
    <s v="FUNCIONAL"/>
    <x v="1"/>
    <n v="66"/>
    <x v="73"/>
    <s v="GO"/>
    <n v="931"/>
    <s v="Ats Off"/>
    <n v="1350"/>
    <s v="W11597836"/>
    <s v="Cordões de Alimentação"/>
    <x v="1"/>
    <n v="1000"/>
    <n v="5002858"/>
    <s v="FAVORITA TRANSPORTES LTDA"/>
    <n v="23.61"/>
    <d v="2025-07-17T00:00:00"/>
  </r>
  <r>
    <n v="253952565"/>
    <n v="64728437"/>
    <s v="REB"/>
    <n v="9763830"/>
    <n v="671"/>
    <s v="DEV-ENVIADO PARA GESTÃO DE CONSEQUENCIA"/>
    <s v="TRANSPORTADORA"/>
    <x v="1"/>
    <n v="87681"/>
    <x v="2024"/>
    <s v="SC"/>
    <n v="934"/>
    <s v="CDP Ouro"/>
    <n v="1350"/>
    <s v="W10828358"/>
    <s v="Pressostatos"/>
    <x v="3"/>
    <n v="1000"/>
    <n v="5003024"/>
    <s v="RODOBRAS TRANSPORTES RODOVIARIOS LT"/>
    <n v="23.59"/>
    <d v="2025-03-10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n v="326003319"/>
    <s v="Recipientes de Evaporação"/>
    <x v="9"/>
    <n v="2000"/>
    <n v="5003024"/>
    <s v="RODOBRAS TRANSPORTES RODOVIARIOS LT"/>
    <n v="23.53"/>
    <d v="2025-01-16T00:00:00"/>
  </r>
  <r>
    <n v="254035373"/>
    <n v="64805238"/>
    <s v="REB"/>
    <n v="10110569"/>
    <n v="167"/>
    <s v="PEÇAS - Avaria - Quebrada/Depósito"/>
    <s v="LOGÍSTICA"/>
    <x v="1"/>
    <n v="31063"/>
    <x v="308"/>
    <s v="RJ"/>
    <n v="644"/>
    <s v="Plus"/>
    <n v="1350"/>
    <s v="W10767286"/>
    <s v="Capas"/>
    <x v="6"/>
    <n v="1000"/>
    <n v="5003176"/>
    <s v="J C THEDIN TRANSPORTES LTDA"/>
    <n v="23.51"/>
    <d v="2025-07-17T00:00:00"/>
  </r>
  <r>
    <n v="253997956"/>
    <n v="64760015"/>
    <s v="REB"/>
    <n v="9782626"/>
    <n v="176"/>
    <s v="PEÇAS - Defeito de fabric./Interrompido"/>
    <s v="FUNCIONAL"/>
    <x v="2"/>
    <n v="28993"/>
    <x v="175"/>
    <s v="MG"/>
    <n v="644"/>
    <s v="Plus"/>
    <n v="1350"/>
    <s v="W10828358"/>
    <s v="Pressostatos"/>
    <x v="3"/>
    <n v="1000"/>
    <n v="5004215"/>
    <s v="BRASIL WEB TRANSPORTES E LOGISTICA"/>
    <n v="23.42"/>
    <d v="2025-05-15T00:00:00"/>
  </r>
  <r>
    <n v="254024124"/>
    <n v="64803696"/>
    <s v="ZRDI"/>
    <n v="10048067"/>
    <n v="208"/>
    <s v="DEV-Atraso entrega- LOGISTICA(Transp)"/>
    <s v="TRANSPORTADORA"/>
    <x v="2"/>
    <n v="52051517"/>
    <x v="2025"/>
    <s v="PR"/>
    <n v="474"/>
    <s v="Site Brastemp"/>
    <n v="1352"/>
    <s v="W10589007"/>
    <s v="Manípulos"/>
    <x v="6"/>
    <n v="1000"/>
    <n v="5002359"/>
    <s v="EMPRESA BRASILEIRA DE CORREIOS E"/>
    <n v="23.32"/>
    <d v="2025-07-01T00:00:00"/>
  </r>
  <r>
    <s v="Sem TR"/>
    <n v="64816915"/>
    <s v="ZRDI"/>
    <n v="10145525"/>
    <s v="D10"/>
    <s v="DEV D2C - Comprou modelo errado"/>
    <s v="COMERCIAL"/>
    <x v="2"/>
    <n v="58169447"/>
    <x v="2026"/>
    <s v="SP"/>
    <n v="474"/>
    <s v="Site Brastemp"/>
    <n v="1352"/>
    <s v="W11384823"/>
    <s v="Manípulos"/>
    <x v="6"/>
    <n v="1000"/>
    <n v="5002359"/>
    <s v="EMPRESA BRASILEIRA DE CORREIOS E"/>
    <n v="23.31"/>
    <d v="2025-07-25T00:00:00"/>
  </r>
  <r>
    <s v="Sem TR"/>
    <n v="64816915"/>
    <s v="ZRDI"/>
    <n v="10145525"/>
    <s v="D10"/>
    <s v="DEV D2C - Comprou modelo errado"/>
    <s v="COMERCIAL"/>
    <x v="2"/>
    <n v="58169447"/>
    <x v="2026"/>
    <s v="SP"/>
    <n v="474"/>
    <s v="Site Brastemp"/>
    <n v="1352"/>
    <s v="W11384823"/>
    <s v="Manípulos"/>
    <x v="6"/>
    <n v="1000"/>
    <n v="5002359"/>
    <s v="EMPRESA BRASILEIRA DE CORREIOS E"/>
    <n v="23.31"/>
    <d v="2025-07-25T00:00:00"/>
  </r>
  <r>
    <n v="254035374"/>
    <n v="64809962"/>
    <s v="REB"/>
    <n v="10106777"/>
    <n v="167"/>
    <s v="PEÇAS - Avaria - Quebrada/Depósito"/>
    <s v="LOGÍSTICA"/>
    <x v="0"/>
    <n v="31537"/>
    <x v="523"/>
    <s v="RS"/>
    <n v="641"/>
    <s v="CDP Diamante"/>
    <n v="1350"/>
    <s v="W10169464"/>
    <s v="Defletores/Difusores"/>
    <x v="5"/>
    <n v="1000"/>
    <n v="5003024"/>
    <s v="RODOBRAS TRANSPORTES RODOVIARIOS LT"/>
    <n v="23.2"/>
    <d v="2025-07-17T00:00:00"/>
  </r>
  <r>
    <s v="Sem TR"/>
    <n v="64814652"/>
    <s v="REB"/>
    <n v="10057657"/>
    <n v="176"/>
    <s v="PEÇAS - Defeito de fabric./Interrompido"/>
    <s v="FUNCIONAL"/>
    <x v="1"/>
    <n v="38442"/>
    <x v="943"/>
    <s v="RS"/>
    <n v="641"/>
    <s v="CDP Diamante"/>
    <n v="1350"/>
    <n v="326006453"/>
    <s v="Termostatos"/>
    <x v="3"/>
    <n v="1000"/>
    <n v="5003024"/>
    <s v="RODOBRAS TRANSPORTES RODOVIARIOS LT"/>
    <n v="23.16"/>
    <d v="2025-07-22T00:00:00"/>
  </r>
  <r>
    <n v="253953764"/>
    <n v="64731182"/>
    <s v="REB"/>
    <n v="9851542"/>
    <n v="90"/>
    <s v="CLIENTE-não solicitou"/>
    <s v="COMERCIAL"/>
    <x v="1"/>
    <n v="22985"/>
    <x v="247"/>
    <s v="SC"/>
    <n v="641"/>
    <s v="CDP Diamante"/>
    <n v="1350"/>
    <s v="W10553052"/>
    <s v="Prateleiras"/>
    <x v="9"/>
    <n v="1000"/>
    <n v="5003024"/>
    <s v="RODOBRAS TRANSPORTES RODOVIARIOS LT"/>
    <n v="23.15"/>
    <d v="2025-03-14T00:00:00"/>
  </r>
  <r>
    <n v="254024486"/>
    <n v="64792256"/>
    <s v="ZRDI"/>
    <n v="10071092"/>
    <n v="208"/>
    <s v="DEV-Atraso entrega- LOGISTICA(Transp)"/>
    <s v="TRANSPORTADORA"/>
    <x v="2"/>
    <n v="58066635"/>
    <x v="2027"/>
    <s v="PR"/>
    <n v="474"/>
    <s v="Site Brastemp"/>
    <n v="1352"/>
    <s v="W10181238"/>
    <s v="Suportes"/>
    <x v="6"/>
    <n v="1000"/>
    <n v="5002359"/>
    <s v="EMPRESA BRASILEIRA DE CORREIOS E"/>
    <n v="22.99"/>
    <d v="2025-07-02T00:00:00"/>
  </r>
  <r>
    <n v="254012585"/>
    <n v="64786962"/>
    <s v="REB"/>
    <n v="9859970"/>
    <n v="173"/>
    <s v="PEÇAS - Defeito de fabric./Alta Amperage"/>
    <s v="FUNCIONAL"/>
    <x v="2"/>
    <n v="63620"/>
    <x v="328"/>
    <s v="MG"/>
    <n v="934"/>
    <s v="CDP Ouro"/>
    <n v="1350"/>
    <s v="W11364875"/>
    <s v="Válvulas de Água"/>
    <x v="5"/>
    <n v="1000"/>
    <n v="5004215"/>
    <s v="BRASIL WEB TRANSPORTES E LOGISTICA"/>
    <n v="22.91"/>
    <d v="2025-06-10T00:00:00"/>
  </r>
  <r>
    <n v="254012584"/>
    <n v="64786963"/>
    <s v="REB"/>
    <n v="9859970"/>
    <n v="173"/>
    <s v="PEÇAS - Defeito de fabric./Alta Amperage"/>
    <s v="FUNCIONAL"/>
    <x v="1"/>
    <n v="63620"/>
    <x v="328"/>
    <s v="MG"/>
    <n v="934"/>
    <s v="CDP Ouro"/>
    <n v="1350"/>
    <s v="W11364875"/>
    <s v="Válvulas de Água"/>
    <x v="5"/>
    <n v="1000"/>
    <n v="5004215"/>
    <s v="BRASIL WEB TRANSPORTES E LOGISTICA"/>
    <n v="22.91"/>
    <d v="2025-06-10T00:00:00"/>
  </r>
  <r>
    <n v="254012618"/>
    <n v="64787527"/>
    <s v="REB"/>
    <n v="10056859"/>
    <n v="167"/>
    <s v="PEÇAS - Avaria - Quebrada/Depósito"/>
    <s v="LOGÍSTICA"/>
    <x v="2"/>
    <n v="80257"/>
    <x v="882"/>
    <s v="MG"/>
    <n v="644"/>
    <s v="Plus"/>
    <n v="1350"/>
    <s v="W11110303"/>
    <s v="Painéis de Controle"/>
    <x v="6"/>
    <n v="1000"/>
    <n v="5004215"/>
    <s v="BRASIL WEB TRANSPORTES E LOGISTICA"/>
    <n v="22.88"/>
    <d v="2025-06-10T00:00:00"/>
  </r>
  <r>
    <s v="Sem TR"/>
    <n v="64789987"/>
    <s v="REB"/>
    <n v="10097300"/>
    <n v="509"/>
    <s v="Qtd de peças a Menor dentro do Volume"/>
    <s v="LOGÍSTICA"/>
    <x v="2"/>
    <n v="64522"/>
    <x v="158"/>
    <s v="SP"/>
    <n v="643"/>
    <s v="Elite"/>
    <n v="1350"/>
    <n v="326006453"/>
    <s v="Termostatos"/>
    <x v="3"/>
    <n v="1000"/>
    <n v="5002359"/>
    <s v="EMPRESA BRASILEIRA DE CORREIOS E"/>
    <n v="22.83"/>
    <d v="2025-07-08T00:00:00"/>
  </r>
  <r>
    <n v="253889656"/>
    <n v="64658926"/>
    <s v="REB"/>
    <n v="9731828"/>
    <n v="167"/>
    <s v="PEÇAS - Avaria - Quebrada/Depósito"/>
    <s v="LOGÍSTICA"/>
    <x v="1"/>
    <n v="69085"/>
    <x v="178"/>
    <s v="SP"/>
    <n v="644"/>
    <s v="Plus"/>
    <n v="1350"/>
    <n v="326031008"/>
    <s v="Prateleiras"/>
    <x v="9"/>
    <n v="1000"/>
    <n v="5003254"/>
    <s v="TMA TRANSPORTE LOTACAO E LOGISTICA"/>
    <n v="22.81"/>
    <d v="2024-12-04T00:00:00"/>
  </r>
  <r>
    <n v="253952304"/>
    <n v="64728414"/>
    <s v="REB"/>
    <n v="9879938"/>
    <n v="671"/>
    <s v="DEV-ENVIADO PARA GESTÃO DE CONSEQUENCIA"/>
    <s v="TRANSPORTADORA"/>
    <x v="1"/>
    <n v="34532"/>
    <x v="220"/>
    <s v="SC"/>
    <n v="350"/>
    <s v="Ats On"/>
    <n v="1350"/>
    <s v="W10169464"/>
    <s v="Defletores/Difusores"/>
    <x v="5"/>
    <n v="1000"/>
    <n v="5003024"/>
    <s v="RODOBRAS TRANSPORTES RODOVIARIOS LT"/>
    <n v="22.8"/>
    <d v="2025-03-10T00:00:00"/>
  </r>
  <r>
    <s v="Sem TR"/>
    <n v="64795640"/>
    <s v="REB"/>
    <n v="10060296"/>
    <n v="509"/>
    <s v="Qtd de peças a Menor dentro do Volume"/>
    <s v="LOGÍSTICA"/>
    <x v="1"/>
    <n v="80432"/>
    <x v="3"/>
    <s v="ES"/>
    <n v="713"/>
    <s v="Key Account"/>
    <n v="1350"/>
    <s v="W10616687"/>
    <s v="Capas"/>
    <x v="6"/>
    <n v="1000"/>
    <n v="5002359"/>
    <s v="EMPRESA BRASILEIRA DE CORREIOS E"/>
    <n v="22.67"/>
    <d v="2025-06-23T00:00:00"/>
  </r>
  <r>
    <n v="254038272"/>
    <n v="64814869"/>
    <s v="REB"/>
    <n v="10129332"/>
    <n v="176"/>
    <s v="PEÇAS - Defeito de fabric./Interrompido"/>
    <s v="FUNCIONAL"/>
    <x v="1"/>
    <n v="4318"/>
    <x v="89"/>
    <s v="SC"/>
    <n v="931"/>
    <s v="Ats Off"/>
    <n v="1350"/>
    <s v="W10606422"/>
    <s v="Usinas"/>
    <x v="12"/>
    <n v="1000"/>
    <n v="5003024"/>
    <s v="RODOBRAS TRANSPORTES RODOVIARIOS LT"/>
    <n v="22.56"/>
    <d v="2025-07-22T00:00:00"/>
  </r>
  <r>
    <n v="253967860"/>
    <n v="64740373"/>
    <s v="REB"/>
    <n v="9957568"/>
    <n v="167"/>
    <s v="PEÇAS - Avaria - Quebrada/Depósito"/>
    <s v="LOGÍSTICA"/>
    <x v="1"/>
    <n v="35368"/>
    <x v="176"/>
    <s v="ES"/>
    <n v="350"/>
    <s v="Ats On"/>
    <n v="1350"/>
    <s v="W10169459"/>
    <s v="Prateleiras"/>
    <x v="9"/>
    <n v="1000"/>
    <n v="5004042"/>
    <s v="BRASIL WEB TRANSPORTES E LOGISTICA"/>
    <n v="22.54"/>
    <d v="2025-04-04T00:00:00"/>
  </r>
  <r>
    <s v="Sem TR"/>
    <n v="64767381"/>
    <s v="REB"/>
    <n v="10002981"/>
    <n v="509"/>
    <s v="Qtd de peças a Menor dentro do Volume"/>
    <s v="LOGÍSTICA"/>
    <x v="1"/>
    <n v="62749"/>
    <x v="482"/>
    <s v="CE"/>
    <n v="933"/>
    <s v="Top"/>
    <n v="1350"/>
    <n v="326006453"/>
    <s v="Termostatos"/>
    <x v="3"/>
    <n v="1000"/>
    <n v="5002359"/>
    <s v="EMPRESA BRASILEIRA DE CORREIOS E"/>
    <n v="22.51"/>
    <d v="2025-05-12T00:00:00"/>
  </r>
  <r>
    <n v="254042154"/>
    <n v="64795893"/>
    <s v="REB"/>
    <n v="10076025"/>
    <n v="167"/>
    <s v="PEÇAS - Avaria - Quebrada/Depósito"/>
    <s v="LOGÍSTICA"/>
    <x v="0"/>
    <n v="84684"/>
    <x v="893"/>
    <s v="SC"/>
    <n v="934"/>
    <s v="CDP Ouro"/>
    <n v="1350"/>
    <s v="W10169464"/>
    <s v="Defletores/Difusores"/>
    <x v="5"/>
    <n v="1000"/>
    <n v="5003024"/>
    <s v="RODOBRAS TRANSPORTES RODOVIARIOS LT"/>
    <n v="22.39"/>
    <d v="2025-06-23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n v="326021045"/>
    <s v="Recipientes de Evaporação"/>
    <x v="9"/>
    <n v="5000"/>
    <n v="5003024"/>
    <s v="RODOBRAS TRANSPORTES RODOVIARIOS LT"/>
    <n v="22.33"/>
    <d v="2025-01-16T00:00:00"/>
  </r>
  <r>
    <s v="Sem TR"/>
    <n v="64815069"/>
    <s v="ZDVP"/>
    <n v="10130750"/>
    <n v="167"/>
    <s v="PEÇAS - Avaria - Quebrada/Depósito"/>
    <s v="LOGÍSTICA"/>
    <x v="1"/>
    <n v="31537"/>
    <x v="523"/>
    <s v="RS"/>
    <n v="641"/>
    <s v="CDP Diamante"/>
    <n v="1350"/>
    <s v="W10169464"/>
    <s v="Defletores/Difusores"/>
    <x v="5"/>
    <n v="1000"/>
    <n v="5003024"/>
    <s v="RODOBRAS TRANSPORTES RODOVIARIOS LT"/>
    <n v="22.32"/>
    <d v="2025-07-22T00:00:00"/>
  </r>
  <r>
    <n v="254027364"/>
    <n v="64806769"/>
    <s v="ZRDI"/>
    <n v="10112456"/>
    <n v="208"/>
    <s v="DEV-Atraso entrega- LOGISTICA(Transp)"/>
    <s v="TRANSPORTADORA"/>
    <x v="2"/>
    <n v="51116409"/>
    <x v="2028"/>
    <s v="RJ"/>
    <n v="348"/>
    <s v="Midia"/>
    <n v="1352"/>
    <s v="W10330009"/>
    <s v="Acessórios"/>
    <x v="7"/>
    <n v="1000"/>
    <n v="5002359"/>
    <s v="EMPRESA BRASILEIRA DE CORREIOS E"/>
    <n v="22.28"/>
    <d v="2025-07-07T00:00:00"/>
  </r>
  <r>
    <n v="254027364"/>
    <n v="64806769"/>
    <s v="ZRDI"/>
    <n v="10112456"/>
    <n v="208"/>
    <s v="DEV-Atraso entrega- LOGISTICA(Transp)"/>
    <s v="TRANSPORTADORA"/>
    <x v="2"/>
    <n v="51116409"/>
    <x v="2028"/>
    <s v="RJ"/>
    <n v="348"/>
    <s v="Midia"/>
    <n v="1352"/>
    <s v="W10330009"/>
    <s v="Acessórios"/>
    <x v="7"/>
    <n v="1000"/>
    <n v="5002359"/>
    <s v="EMPRESA BRASILEIRA DE CORREIOS E"/>
    <n v="22.28"/>
    <d v="2025-07-07T00:00:00"/>
  </r>
  <r>
    <s v="Sem TR"/>
    <n v="64812241"/>
    <s v="REB"/>
    <n v="10110658"/>
    <n v="509"/>
    <s v="Qtd de peças a Menor dentro do Volume"/>
    <s v="LOGÍSTICA"/>
    <x v="1"/>
    <n v="29984"/>
    <x v="718"/>
    <s v="MG"/>
    <n v="350"/>
    <s v="Ats On"/>
    <n v="1350"/>
    <n v="326072259"/>
    <s v="Parafusos e afins"/>
    <x v="10"/>
    <n v="1000"/>
    <n v="5002359"/>
    <s v="EMPRESA BRASILEIRA DE CORREIOS E"/>
    <n v="22.24"/>
    <d v="2025-07-17T00:00:00"/>
  </r>
  <r>
    <n v="254004010"/>
    <n v="64777755"/>
    <s v="REB"/>
    <n v="9774076"/>
    <n v="173"/>
    <s v="PEÇAS - Defeito de fabric./Alta Amperage"/>
    <s v="FUNCIONAL"/>
    <x v="1"/>
    <n v="55093"/>
    <x v="231"/>
    <s v="SP"/>
    <n v="648"/>
    <s v="Ultra"/>
    <n v="1350"/>
    <n v="326006453"/>
    <s v="Termostatos"/>
    <x v="3"/>
    <n v="1000"/>
    <n v="5004042"/>
    <s v="BRASIL WEB TRANSPORTES E LOGISTICA"/>
    <n v="22.22"/>
    <d v="2025-05-26T00:00:00"/>
  </r>
  <r>
    <n v="254035903"/>
    <n v="64814022"/>
    <s v="ZRDI"/>
    <n v="10097772"/>
    <n v="208"/>
    <s v="DEV-Atraso entrega- LOGISTICA(Transp)"/>
    <s v="TRANSPORTADORA"/>
    <x v="2"/>
    <n v="51426173"/>
    <x v="2029"/>
    <s v="RS"/>
    <n v="474"/>
    <s v="Site Brastemp"/>
    <n v="1352"/>
    <s v="W10589007"/>
    <s v="Manípulos"/>
    <x v="6"/>
    <n v="1000"/>
    <n v="5002359"/>
    <s v="EMPRESA BRASILEIRA DE CORREIOS E"/>
    <n v="22.16"/>
    <d v="2025-07-21T00:00:00"/>
  </r>
  <r>
    <n v="253952543"/>
    <n v="64723392"/>
    <s v="REB"/>
    <n v="9866683"/>
    <n v="167"/>
    <s v="PEÇAS - Avaria - Quebrada/Depósito"/>
    <s v="LOGÍSTICA"/>
    <x v="1"/>
    <n v="83572"/>
    <x v="105"/>
    <s v="SP"/>
    <n v="931"/>
    <s v="Ats Off"/>
    <n v="1350"/>
    <n v="326033758"/>
    <s v="Tampas Fixas"/>
    <x v="6"/>
    <n v="1000"/>
    <n v="5004042"/>
    <s v="BRASIL WEB TRANSPORTES E LOGISTICA"/>
    <n v="22.15"/>
    <d v="2025-03-08T00:00:00"/>
  </r>
  <r>
    <n v="253970722"/>
    <n v="64746803"/>
    <s v="REB"/>
    <n v="9906357"/>
    <n v="173"/>
    <s v="PEÇAS - Defeito de fabric./Alta Amperage"/>
    <s v="FUNCIONAL"/>
    <x v="1"/>
    <n v="4446"/>
    <x v="392"/>
    <s v="PR"/>
    <n v="350"/>
    <s v="Ats On"/>
    <n v="1350"/>
    <s v="W11375524"/>
    <s v="Tampas Móveis"/>
    <x v="6"/>
    <n v="1000"/>
    <n v="5003024"/>
    <s v="RODOBRAS TRANSPORTES RODOVIARIOS LT"/>
    <n v="22.11"/>
    <d v="2025-04-09T00:00:00"/>
  </r>
  <r>
    <s v="Sem TR"/>
    <n v="64775157"/>
    <s v="REB"/>
    <n v="10031572"/>
    <n v="509"/>
    <s v="Qtd de peças a Menor dentro do Volume"/>
    <s v="LOGÍSTICA"/>
    <x v="1"/>
    <n v="9991"/>
    <x v="86"/>
    <s v="DF"/>
    <n v="648"/>
    <s v="Ultra"/>
    <n v="1350"/>
    <s v="W10169464"/>
    <s v="Defletores/Difusores"/>
    <x v="5"/>
    <n v="1000"/>
    <n v="5002359"/>
    <s v="EMPRESA BRASILEIRA DE CORREIOS E"/>
    <n v="22.06"/>
    <d v="2025-05-26T00:00:00"/>
  </r>
  <r>
    <n v="254016289"/>
    <n v="64794462"/>
    <s v="ROB"/>
    <n v="10038955"/>
    <n v="182"/>
    <s v="PEÇAS - Extravio - Volume a menor"/>
    <s v="TRANSPORTADORA"/>
    <x v="1"/>
    <n v="4523"/>
    <x v="261"/>
    <s v="SC"/>
    <n v="350"/>
    <s v="Ats On"/>
    <n v="1350"/>
    <s v="W10623732"/>
    <s v="Acessórios"/>
    <x v="7"/>
    <n v="8000"/>
    <n v="5003024"/>
    <s v="RODOBRAS TRANSPORTES RODOVIARIOS LT"/>
    <n v="22.04"/>
    <d v="2025-06-18T00:00:00"/>
  </r>
  <r>
    <s v="Sem TR"/>
    <n v="64754593"/>
    <s v="ROB"/>
    <n v="50279"/>
    <n v="671"/>
    <s v="DEV-ENVIADO PARA GESTÃO DE CONSEQUENCIA"/>
    <s v="TRANSPORTADORA"/>
    <x v="1"/>
    <n v="8975"/>
    <x v="90"/>
    <s v="MA"/>
    <n v="931"/>
    <s v="Ats Off"/>
    <n v="1350"/>
    <s v="W10539793"/>
    <s v="Capas"/>
    <x v="6"/>
    <n v="1000"/>
    <n v="5004391"/>
    <s v="JEONCEL TRANSPORTES LTDA"/>
    <n v="22.03"/>
    <d v="2025-04-22T00:00:00"/>
  </r>
  <r>
    <n v="253926899"/>
    <n v="64686738"/>
    <s v="REB"/>
    <n v="9841629"/>
    <n v="176"/>
    <s v="PEÇAS - Defeito de fabric./Interrompido"/>
    <s v="FUNCIONAL"/>
    <x v="1"/>
    <n v="21594"/>
    <x v="97"/>
    <s v="SP"/>
    <n v="931"/>
    <s v="Ats Off"/>
    <n v="1350"/>
    <n v="326051085"/>
    <s v="Lâmpadas"/>
    <x v="1"/>
    <n v="1000"/>
    <n v="5003254"/>
    <s v="TMA TRANSPORTE LOTACAO E LOGISTICA"/>
    <n v="22"/>
    <d v="2025-01-27T00:00:00"/>
  </r>
  <r>
    <n v="254029998"/>
    <n v="64809473"/>
    <s v="ZRDI"/>
    <n v="10054702"/>
    <n v="208"/>
    <s v="DEV-Atraso entrega- LOGISTICA(Transp)"/>
    <s v="TRANSPORTADORA"/>
    <x v="2"/>
    <n v="58047050"/>
    <x v="960"/>
    <s v="MT"/>
    <n v="475"/>
    <s v="Site Consul"/>
    <n v="1352"/>
    <s v="W10268593"/>
    <s v="Capas"/>
    <x v="6"/>
    <n v="1000"/>
    <n v="5002359"/>
    <s v="EMPRESA BRASILEIRA DE CORREIOS E"/>
    <n v="21.87"/>
    <d v="2025-07-11T00:00:00"/>
  </r>
  <r>
    <n v="254033146"/>
    <n v="64811729"/>
    <s v="ROB"/>
    <n v="10115210"/>
    <n v="268"/>
    <s v="DEV-APREENSÃO FISCAL - VENDAS"/>
    <s v="COMERCIAL"/>
    <x v="0"/>
    <n v="28331"/>
    <x v="71"/>
    <s v="CE"/>
    <n v="648"/>
    <s v="Ultra"/>
    <n v="1350"/>
    <s v="W10696980"/>
    <s v="Painéis de Controle"/>
    <x v="6"/>
    <n v="1000"/>
    <n v="5004101"/>
    <s v="UNIDOCK'S ASSESSORIA E LOGISTICA DE"/>
    <n v="21.86"/>
    <d v="2025-07-16T00:00:00"/>
  </r>
  <r>
    <n v="253970917"/>
    <n v="64748424"/>
    <s v="REB"/>
    <n v="9926441"/>
    <n v="176"/>
    <s v="PEÇAS - Defeito de fabric./Interrompido"/>
    <s v="FUNCIONAL"/>
    <x v="2"/>
    <n v="67948"/>
    <x v="15"/>
    <s v="SC"/>
    <n v="713"/>
    <s v="Key Account"/>
    <n v="1350"/>
    <s v="W10169464"/>
    <s v="Defletores/Difusores"/>
    <x v="5"/>
    <n v="1000"/>
    <n v="5003024"/>
    <s v="RODOBRAS TRANSPORTES RODOVIARIOS LT"/>
    <n v="21.82"/>
    <d v="2025-04-09T00:00:00"/>
  </r>
  <r>
    <n v="254033474"/>
    <n v="64806683"/>
    <s v="REB"/>
    <n v="10087889"/>
    <n v="167"/>
    <s v="PEÇAS - Avaria - Quebrada/Depósito"/>
    <s v="LOGÍSTICA"/>
    <x v="1"/>
    <n v="87707"/>
    <x v="143"/>
    <s v="BA"/>
    <n v="648"/>
    <s v="Ultra"/>
    <n v="1350"/>
    <s v="W10292562"/>
    <s v="Capas"/>
    <x v="6"/>
    <n v="1000"/>
    <n v="5004101"/>
    <s v="UNIDOCK'S ASSESSORIA E LOGISTICA DE"/>
    <n v="21.82"/>
    <d v="2025-07-08T00:00:00"/>
  </r>
  <r>
    <n v="253992736"/>
    <n v="64767985"/>
    <s v="REB"/>
    <n v="9994730"/>
    <n v="167"/>
    <s v="PEÇAS - Avaria - Quebrada/Depósito"/>
    <s v="LOGÍSTICA"/>
    <x v="2"/>
    <n v="32265"/>
    <x v="519"/>
    <s v="PB"/>
    <n v="934"/>
    <s v="CDP Ouro"/>
    <n v="1350"/>
    <s v="W10476183"/>
    <s v="Prateleiras"/>
    <x v="9"/>
    <n v="1000"/>
    <n v="5004101"/>
    <s v="UNIDOCK'S ASSESSORIA E LOGISTICA DE"/>
    <n v="21.79"/>
    <d v="2025-05-12T00:00:00"/>
  </r>
  <r>
    <s v="Sem TR"/>
    <n v="64799419"/>
    <s v="ZRDI"/>
    <n v="10095906"/>
    <s v="D10"/>
    <s v="DEV D2C - Comprou modelo errado"/>
    <s v="COMERCIAL"/>
    <x v="2"/>
    <n v="58098070"/>
    <x v="2030"/>
    <s v="SP"/>
    <n v="475"/>
    <s v="Site Consul"/>
    <n v="1352"/>
    <s v="W10848647"/>
    <s v="Manípulos"/>
    <x v="6"/>
    <n v="1000"/>
    <n v="5002359"/>
    <s v="EMPRESA BRASILEIRA DE CORREIOS E"/>
    <n v="21.6"/>
    <d v="2025-06-27T00:00:00"/>
  </r>
  <r>
    <s v="Sem TR"/>
    <n v="64799419"/>
    <s v="ZRDI"/>
    <n v="10095906"/>
    <s v="D10"/>
    <s v="DEV D2C - Comprou modelo errado"/>
    <s v="COMERCIAL"/>
    <x v="2"/>
    <n v="58098070"/>
    <x v="2030"/>
    <s v="SP"/>
    <n v="475"/>
    <s v="Site Consul"/>
    <n v="1352"/>
    <s v="W10848647"/>
    <s v="Manípulos"/>
    <x v="6"/>
    <n v="1000"/>
    <n v="5002359"/>
    <s v="EMPRESA BRASILEIRA DE CORREIOS E"/>
    <n v="21.6"/>
    <d v="2025-06-27T00:00:00"/>
  </r>
  <r>
    <s v="Sem TR"/>
    <n v="64810775"/>
    <s v="ZRDI"/>
    <n v="10088712"/>
    <s v="D18"/>
    <s v="DEV D2C - Arrependimento não quero mais"/>
    <s v="COMERCIAL"/>
    <x v="2"/>
    <n v="58091753"/>
    <x v="1917"/>
    <s v="DF"/>
    <n v="474"/>
    <s v="Site Brastemp"/>
    <n v="1352"/>
    <s v="W10330009"/>
    <s v="Acessórios"/>
    <x v="7"/>
    <n v="1000"/>
    <n v="5002359"/>
    <s v="EMPRESA BRASILEIRA DE CORREIOS E"/>
    <n v="21.56"/>
    <d v="2025-07-16T00:00:00"/>
  </r>
  <r>
    <s v="Sem TR"/>
    <n v="64812534"/>
    <s v="REB"/>
    <n v="10125244"/>
    <n v="509"/>
    <s v="Qtd de peças a Menor dentro do Volume"/>
    <s v="LOGÍSTICA"/>
    <x v="1"/>
    <n v="61874"/>
    <x v="1734"/>
    <s v="GO"/>
    <n v="644"/>
    <s v="Plus"/>
    <n v="1350"/>
    <s v="W10292562"/>
    <s v="Capas"/>
    <x v="6"/>
    <n v="1000"/>
    <n v="5002359"/>
    <s v="EMPRESA BRASILEIRA DE CORREIOS E"/>
    <n v="21.51"/>
    <d v="2025-07-17T00:00:00"/>
  </r>
  <r>
    <n v="254007580"/>
    <n v="64768908"/>
    <s v="REB"/>
    <n v="9502866"/>
    <n v="176"/>
    <s v="PEÇAS - Defeito de fabric./Interrompido"/>
    <s v="FUNCIONAL"/>
    <x v="2"/>
    <n v="32488"/>
    <x v="270"/>
    <s v="RJ"/>
    <n v="933"/>
    <s v="Top"/>
    <n v="1350"/>
    <s v="W11364875"/>
    <s v="Válvulas de Água"/>
    <x v="5"/>
    <n v="1000"/>
    <n v="5003176"/>
    <s v="J C THEDIN TRANSPORTES LTDA"/>
    <n v="21.48"/>
    <d v="2025-05-16T00:00:00"/>
  </r>
  <r>
    <n v="253992756"/>
    <n v="64767962"/>
    <s v="REB"/>
    <n v="10013505"/>
    <n v="167"/>
    <s v="PEÇAS - Avaria - Quebrada/Depósito"/>
    <s v="LOGÍSTICA"/>
    <x v="1"/>
    <n v="63028"/>
    <x v="144"/>
    <s v="SP"/>
    <n v="641"/>
    <s v="CDP Diamante"/>
    <n v="1350"/>
    <n v="326031008"/>
    <s v="Prateleiras"/>
    <x v="9"/>
    <n v="1000"/>
    <n v="5004042"/>
    <s v="BRASIL WEB TRANSPORTES E LOGISTICA"/>
    <n v="21.48"/>
    <d v="2025-05-12T00:00:00"/>
  </r>
  <r>
    <n v="254012536"/>
    <n v="64788992"/>
    <s v="REB"/>
    <n v="10055302"/>
    <n v="167"/>
    <s v="PEÇAS - Avaria - Quebrada/Depósito"/>
    <s v="LOGÍSTICA"/>
    <x v="2"/>
    <n v="49243"/>
    <x v="67"/>
    <s v="MS"/>
    <n v="643"/>
    <s v="Elite"/>
    <n v="1350"/>
    <s v="W10169464"/>
    <s v="Defletores/Difusores"/>
    <x v="5"/>
    <n v="1000"/>
    <n v="5002573"/>
    <s v="CARVALIMA TRANSPORTES LTDA"/>
    <n v="21.36"/>
    <d v="2025-06-10T00:00:00"/>
  </r>
  <r>
    <n v="254012591"/>
    <n v="64788573"/>
    <s v="REB"/>
    <n v="9965623"/>
    <n v="176"/>
    <s v="PEÇAS - Defeito de fabric./Interrompido"/>
    <s v="FUNCIONAL"/>
    <x v="2"/>
    <n v="67948"/>
    <x v="15"/>
    <s v="SC"/>
    <n v="713"/>
    <s v="Key Account"/>
    <n v="1350"/>
    <s v="W10483993"/>
    <s v="Capas"/>
    <x v="6"/>
    <n v="1000"/>
    <n v="5003024"/>
    <s v="RODOBRAS TRANSPORTES RODOVIARIOS LT"/>
    <n v="21.32"/>
    <d v="2025-06-10T00:00:00"/>
  </r>
  <r>
    <n v="253970917"/>
    <n v="64742100"/>
    <s v="REB"/>
    <n v="9926430"/>
    <n v="176"/>
    <s v="PEÇAS - Defeito de fabric./Interrompido"/>
    <s v="FUNCIONAL"/>
    <x v="2"/>
    <n v="67948"/>
    <x v="15"/>
    <s v="SC"/>
    <n v="713"/>
    <s v="Key Account"/>
    <n v="1350"/>
    <s v="W10477178"/>
    <s v="Capas"/>
    <x v="6"/>
    <n v="1000"/>
    <n v="5003024"/>
    <s v="RODOBRAS TRANSPORTES RODOVIARIOS LT"/>
    <n v="21.26"/>
    <d v="2025-04-09T00:00:00"/>
  </r>
  <r>
    <n v="254018313"/>
    <n v="64791681"/>
    <s v="REB"/>
    <n v="10039576"/>
    <n v="90"/>
    <s v="CLIENTE-não solicitou"/>
    <s v="COMERCIAL"/>
    <x v="1"/>
    <n v="47689"/>
    <x v="2031"/>
    <s v="PE"/>
    <n v="350"/>
    <s v="Ats On"/>
    <n v="1350"/>
    <s v="W10476183"/>
    <s v="Prateleiras"/>
    <x v="9"/>
    <n v="1000"/>
    <n v="5004101"/>
    <s v="UNIDOCK'S ASSESSORIA E LOGISTICA DE"/>
    <n v="21.2"/>
    <d v="2025-06-16T00:00:00"/>
  </r>
  <r>
    <s v="Sem TR"/>
    <n v="64812361"/>
    <s v="REB"/>
    <n v="10107004"/>
    <n v="167"/>
    <s v="PEÇAS - Avaria - Quebrada/Depósito"/>
    <s v="LOGÍSTICA"/>
    <x v="1"/>
    <n v="75707"/>
    <x v="2032"/>
    <s v="PA"/>
    <n v="643"/>
    <s v="Elite"/>
    <n v="1350"/>
    <s v="W10169464"/>
    <s v="Defletores/Difusores"/>
    <x v="5"/>
    <n v="1000"/>
    <n v="5002858"/>
    <s v="FAVORITA TRANSPORTES LTDA"/>
    <n v="21.18"/>
    <d v="2025-07-17T00:00:00"/>
  </r>
  <r>
    <s v="Sem TR"/>
    <n v="64812243"/>
    <s v="REB"/>
    <n v="10096721"/>
    <n v="509"/>
    <s v="Qtd de peças a Menor dentro do Volume"/>
    <s v="LOGÍSTICA"/>
    <x v="1"/>
    <n v="14474"/>
    <x v="25"/>
    <s v="RN"/>
    <n v="648"/>
    <s v="Ultra"/>
    <n v="1350"/>
    <s v="W10856154"/>
    <s v="Capas"/>
    <x v="6"/>
    <n v="1000"/>
    <n v="5002359"/>
    <s v="EMPRESA BRASILEIRA DE CORREIOS E"/>
    <n v="21.1"/>
    <d v="2025-07-17T00:00:00"/>
  </r>
  <r>
    <n v="253970690"/>
    <n v="64747470"/>
    <s v="REB"/>
    <n v="9920039"/>
    <n v="176"/>
    <s v="PEÇAS - Defeito de fabric./Interrompido"/>
    <s v="FUNCIONAL"/>
    <x v="2"/>
    <n v="3506"/>
    <x v="46"/>
    <s v="SP"/>
    <n v="931"/>
    <s v="Ats Off"/>
    <n v="1350"/>
    <s v="W10439371"/>
    <s v="Gaxetas"/>
    <x v="4"/>
    <n v="1000"/>
    <n v="5004042"/>
    <s v="BRASIL WEB TRANSPORTES E LOGISTICA"/>
    <n v="21.09"/>
    <d v="2025-04-09T00:00:00"/>
  </r>
  <r>
    <n v="253988783"/>
    <n v="64762180"/>
    <s v="REB"/>
    <n v="9994795"/>
    <n v="176"/>
    <s v="PEÇAS - Defeito de fabric./Interrompido"/>
    <s v="FUNCIONAL"/>
    <x v="2"/>
    <n v="3506"/>
    <x v="46"/>
    <s v="SP"/>
    <n v="931"/>
    <s v="Ats Off"/>
    <n v="1350"/>
    <s v="W10439371"/>
    <s v="Gaxetas"/>
    <x v="4"/>
    <n v="1000"/>
    <n v="5004042"/>
    <s v="BRASIL WEB TRANSPORTES E LOGISTICA"/>
    <n v="21.09"/>
    <d v="2025-05-05T00:00:00"/>
  </r>
  <r>
    <n v="254018387"/>
    <n v="64791665"/>
    <s v="REB"/>
    <n v="9408657"/>
    <n v="173"/>
    <s v="PEÇAS - Defeito de fabric./Alta Amperage"/>
    <s v="FUNCIONAL"/>
    <x v="2"/>
    <n v="81988"/>
    <x v="38"/>
    <s v="MG"/>
    <n v="648"/>
    <s v="Ultra"/>
    <n v="1350"/>
    <n v="326006453"/>
    <s v="Termostatos"/>
    <x v="3"/>
    <n v="1000"/>
    <n v="5004215"/>
    <s v="BRASIL WEB TRANSPORTES E LOGISTICA"/>
    <n v="21.08"/>
    <d v="2025-06-16T00:00:00"/>
  </r>
  <r>
    <n v="253961330"/>
    <n v="64736233"/>
    <s v="REB"/>
    <n v="9904255"/>
    <n v="167"/>
    <s v="PEÇAS - Avaria - Quebrada/Depósito"/>
    <s v="LOGÍSTICA"/>
    <x v="1"/>
    <n v="35368"/>
    <x v="176"/>
    <s v="ES"/>
    <n v="350"/>
    <s v="Ats On"/>
    <n v="1350"/>
    <s v="W10477178"/>
    <s v="Capas"/>
    <x v="6"/>
    <n v="1000"/>
    <n v="5004042"/>
    <s v="BRASIL WEB TRANSPORTES E LOGISTICA"/>
    <n v="21.03"/>
    <d v="2025-03-24T00:00:00"/>
  </r>
  <r>
    <n v="254033474"/>
    <n v="64807124"/>
    <s v="REB"/>
    <n v="10087890"/>
    <n v="167"/>
    <s v="PEÇAS - Avaria - Quebrada/Depósito"/>
    <s v="LOGÍSTICA"/>
    <x v="1"/>
    <n v="87707"/>
    <x v="143"/>
    <s v="BA"/>
    <n v="648"/>
    <s v="Ultra"/>
    <n v="1350"/>
    <s v="W10477178"/>
    <s v="Capas"/>
    <x v="6"/>
    <n v="1000"/>
    <n v="5004101"/>
    <s v="UNIDOCK'S ASSESSORIA E LOGISTICA DE"/>
    <n v="21.01"/>
    <d v="2025-07-08T00:00:00"/>
  </r>
  <r>
    <n v="254033098"/>
    <n v="64788772"/>
    <s v="REB"/>
    <n v="10024726"/>
    <n v="176"/>
    <s v="PEÇAS - Defeito de fabric./Interrompido"/>
    <s v="FUNCIONAL"/>
    <x v="2"/>
    <n v="66"/>
    <x v="73"/>
    <s v="GO"/>
    <n v="931"/>
    <s v="Ats Off"/>
    <n v="1350"/>
    <s v="W11682256"/>
    <s v="Filtro Secadores"/>
    <x v="0"/>
    <n v="1000"/>
    <n v="5002858"/>
    <s v="FAVORITA TRANSPORTES LTDA"/>
    <n v="20.95"/>
    <d v="2025-07-08T00:00:00"/>
  </r>
  <r>
    <n v="254033100"/>
    <n v="64806586"/>
    <s v="REB"/>
    <n v="9994414"/>
    <n v="176"/>
    <s v="PEÇAS - Defeito de fabric./Interrompido"/>
    <s v="FUNCIONAL"/>
    <x v="2"/>
    <n v="66"/>
    <x v="73"/>
    <s v="GO"/>
    <n v="931"/>
    <s v="Ats Off"/>
    <n v="1350"/>
    <s v="W11682256"/>
    <s v="Filtro Secadores"/>
    <x v="0"/>
    <n v="1000"/>
    <n v="5002858"/>
    <s v="FAVORITA TRANSPORTES LTDA"/>
    <n v="20.95"/>
    <d v="2025-07-08T00:00:00"/>
  </r>
  <r>
    <n v="254033100"/>
    <n v="64807360"/>
    <s v="REB"/>
    <n v="10002249"/>
    <n v="176"/>
    <s v="PEÇAS - Defeito de fabric./Interrompido"/>
    <s v="FUNCIONAL"/>
    <x v="2"/>
    <n v="66"/>
    <x v="73"/>
    <s v="GO"/>
    <n v="931"/>
    <s v="Ats Off"/>
    <n v="1350"/>
    <s v="W11682256"/>
    <s v="Filtro Secadores"/>
    <x v="0"/>
    <n v="1000"/>
    <n v="5002858"/>
    <s v="FAVORITA TRANSPORTES LTDA"/>
    <n v="20.95"/>
    <d v="2025-07-08T00:00:00"/>
  </r>
  <r>
    <s v="Sem TR"/>
    <n v="64812389"/>
    <s v="REB"/>
    <n v="10118858"/>
    <n v="173"/>
    <s v="PEÇAS - Defeito de fabric./Alta Amperage"/>
    <s v="FUNCIONAL"/>
    <x v="1"/>
    <n v="5039"/>
    <x v="298"/>
    <s v="RS"/>
    <n v="350"/>
    <s v="Ats On"/>
    <n v="1350"/>
    <s v="W11159079"/>
    <s v="Painéis Decorativos"/>
    <x v="6"/>
    <n v="1000"/>
    <n v="5003024"/>
    <s v="RODOBRAS TRANSPORTES RODOVIARIOS LT"/>
    <n v="20.93"/>
    <d v="2025-07-17T00:00:00"/>
  </r>
  <r>
    <n v="254033295"/>
    <n v="64807157"/>
    <s v="REB"/>
    <n v="10048138"/>
    <n v="176"/>
    <s v="PEÇAS - Defeito de fabric./Interrompido"/>
    <s v="FUNCIONAL"/>
    <x v="1"/>
    <n v="18805"/>
    <x v="307"/>
    <s v="PR"/>
    <n v="648"/>
    <s v="Ultra"/>
    <n v="1350"/>
    <n v="326006453"/>
    <s v="Termostatos"/>
    <x v="3"/>
    <n v="1000"/>
    <n v="5003024"/>
    <s v="RODOBRAS TRANSPORTES RODOVIARIOS LT"/>
    <n v="20.91"/>
    <d v="2025-07-08T00:00:00"/>
  </r>
  <r>
    <n v="254038301"/>
    <n v="64807582"/>
    <s v="REB"/>
    <n v="10052646"/>
    <n v="173"/>
    <s v="PEÇAS - Defeito de fabric./Alta Amperage"/>
    <s v="FUNCIONAL"/>
    <x v="1"/>
    <n v="18805"/>
    <x v="307"/>
    <s v="PR"/>
    <n v="648"/>
    <s v="Ultra"/>
    <n v="1350"/>
    <n v="326006453"/>
    <s v="Termostatos"/>
    <x v="3"/>
    <n v="1000"/>
    <n v="5003024"/>
    <s v="RODOBRAS TRANSPORTES RODOVIARIOS LT"/>
    <n v="20.91"/>
    <d v="2025-07-22T00:00:00"/>
  </r>
  <r>
    <n v="253995065"/>
    <n v="64766442"/>
    <s v="REB"/>
    <n v="9576642"/>
    <n v="176"/>
    <s v="PEÇAS - Defeito de fabric./Interrompido"/>
    <s v="FUNCIONAL"/>
    <x v="2"/>
    <n v="3506"/>
    <x v="46"/>
    <s v="SP"/>
    <n v="931"/>
    <s v="Ats Off"/>
    <n v="1350"/>
    <s v="W10439371"/>
    <s v="Gaxetas"/>
    <x v="4"/>
    <n v="1000"/>
    <n v="5004042"/>
    <s v="BRASIL WEB TRANSPORTES E LOGISTICA"/>
    <n v="20.78"/>
    <d v="2025-05-16T00:00:00"/>
  </r>
  <r>
    <n v="254038371"/>
    <n v="64804268"/>
    <s v="REB"/>
    <n v="9641652"/>
    <n v="167"/>
    <s v="PEÇAS - Avaria - Quebrada/Depósito"/>
    <s v="LOGÍSTICA"/>
    <x v="1"/>
    <n v="32488"/>
    <x v="270"/>
    <s v="RJ"/>
    <n v="933"/>
    <s v="Top"/>
    <n v="1350"/>
    <s v="W10767286"/>
    <s v="Capas"/>
    <x v="6"/>
    <n v="1000"/>
    <n v="5003176"/>
    <s v="J C THEDIN TRANSPORTES LTDA"/>
    <n v="20.76"/>
    <d v="2025-07-22T00:00:00"/>
  </r>
  <r>
    <n v="254024486"/>
    <n v="64792256"/>
    <s v="ZRDI"/>
    <n v="10071092"/>
    <n v="208"/>
    <s v="DEV-Atraso entrega- LOGISTICA(Transp)"/>
    <s v="TRANSPORTADORA"/>
    <x v="2"/>
    <n v="58066635"/>
    <x v="2027"/>
    <s v="PR"/>
    <n v="474"/>
    <s v="Site Brastemp"/>
    <n v="1352"/>
    <s v="W10749394"/>
    <s v="Agitadores"/>
    <x v="2"/>
    <n v="1000"/>
    <n v="5002359"/>
    <s v="EMPRESA BRASILEIRA DE CORREIOS E"/>
    <n v="20.75"/>
    <d v="2025-07-02T00:00:00"/>
  </r>
  <r>
    <s v="Sem TR"/>
    <n v="64802148"/>
    <s v="ZRDI"/>
    <n v="10082702"/>
    <s v="D35"/>
    <s v="DEV D2C - Prod difere do comprado"/>
    <s v="COMERCIAL"/>
    <x v="2"/>
    <n v="57500639"/>
    <x v="1192"/>
    <s v="PE"/>
    <n v="474"/>
    <s v="Site Brastemp"/>
    <n v="1352"/>
    <n v="326055047"/>
    <s v="Capas Queimadores"/>
    <x v="12"/>
    <n v="1000"/>
    <n v="5002359"/>
    <s v="EMPRESA BRASILEIRA DE CORREIOS E"/>
    <n v="20.74"/>
    <d v="2025-07-01T00:00:00"/>
  </r>
  <r>
    <n v="254012479"/>
    <n v="64788462"/>
    <s v="REB"/>
    <n v="10037382"/>
    <n v="173"/>
    <s v="PEÇAS - Defeito de fabric./Alta Amperage"/>
    <s v="FUNCIONAL"/>
    <x v="1"/>
    <n v="21594"/>
    <x v="97"/>
    <s v="SP"/>
    <n v="931"/>
    <s v="Ats Off"/>
    <n v="1350"/>
    <s v="W11555162"/>
    <s v="Espargidores"/>
    <x v="2"/>
    <n v="1000"/>
    <n v="5004042"/>
    <s v="BRASIL WEB TRANSPORTES E LOGISTICA"/>
    <n v="20.65"/>
    <d v="2025-06-10T00:00:00"/>
  </r>
  <r>
    <n v="254030527"/>
    <n v="64802420"/>
    <s v="REB"/>
    <n v="10087190"/>
    <n v="167"/>
    <s v="PEÇAS - Avaria - Quebrada/Depósito"/>
    <s v="LOGÍSTICA"/>
    <x v="1"/>
    <n v="31537"/>
    <x v="523"/>
    <s v="RS"/>
    <n v="641"/>
    <s v="CDP Diamante"/>
    <n v="1350"/>
    <s v="W11431350"/>
    <s v="Capas"/>
    <x v="6"/>
    <n v="1000"/>
    <n v="5003024"/>
    <s v="RODOBRAS TRANSPORTES RODOVIARIOS LT"/>
    <n v="20.58"/>
    <d v="2025-07-01T00:00:00"/>
  </r>
  <r>
    <s v="Sem TR"/>
    <n v="64742959"/>
    <s v="REB"/>
    <n v="47970"/>
    <n v="509"/>
    <s v="Qtd de peças a Menor dentro do Volume"/>
    <s v="LOGÍSTICA"/>
    <x v="1"/>
    <n v="64523"/>
    <x v="21"/>
    <s v="PB"/>
    <n v="713"/>
    <s v="Key Account"/>
    <n v="1550"/>
    <n v="326000516"/>
    <s v="Tirantes"/>
    <x v="8"/>
    <n v="17000"/>
    <n v="5002359"/>
    <s v="EMPRESA BRASILEIRA DE CORREIOS E"/>
    <n v="20.52"/>
    <d v="2025-03-31T00:00:00"/>
  </r>
  <r>
    <n v="254012591"/>
    <n v="64788573"/>
    <s v="REB"/>
    <n v="9965623"/>
    <n v="176"/>
    <s v="PEÇAS - Defeito de fabric./Interrompido"/>
    <s v="FUNCIONAL"/>
    <x v="2"/>
    <n v="67948"/>
    <x v="15"/>
    <s v="SC"/>
    <n v="713"/>
    <s v="Key Account"/>
    <n v="1350"/>
    <s v="W10477178"/>
    <s v="Capas"/>
    <x v="6"/>
    <n v="1000"/>
    <n v="5003024"/>
    <s v="RODOBRAS TRANSPORTES RODOVIARIOS LT"/>
    <n v="20.399999999999999"/>
    <d v="2025-06-10T00:00:00"/>
  </r>
  <r>
    <s v="Sem TR"/>
    <n v="64815591"/>
    <s v="ZRDI"/>
    <n v="10139980"/>
    <s v="D10"/>
    <s v="DEV D2C - Comprou modelo errado"/>
    <s v="COMERCIAL"/>
    <x v="2"/>
    <n v="58160622"/>
    <x v="1684"/>
    <s v="SP"/>
    <n v="746"/>
    <s v="Marketplace B2W"/>
    <n v="1352"/>
    <s v="W10203627"/>
    <s v="Prateleiras"/>
    <x v="9"/>
    <n v="1000"/>
    <n v="5002359"/>
    <s v="EMPRESA BRASILEIRA DE CORREIOS E"/>
    <n v="20.37"/>
    <d v="2025-07-28T00:00:00"/>
  </r>
  <r>
    <s v="Sem TR"/>
    <n v="64815591"/>
    <s v="ZRDI"/>
    <n v="10139980"/>
    <s v="D10"/>
    <s v="DEV D2C - Comprou modelo errado"/>
    <s v="COMERCIAL"/>
    <x v="2"/>
    <n v="58160622"/>
    <x v="1684"/>
    <s v="SP"/>
    <n v="746"/>
    <s v="Marketplace B2W"/>
    <n v="1352"/>
    <s v="W10203627"/>
    <s v="Prateleiras"/>
    <x v="9"/>
    <n v="1000"/>
    <n v="5002359"/>
    <s v="EMPRESA BRASILEIRA DE CORREIOS E"/>
    <n v="20.37"/>
    <d v="2025-07-28T00:00:00"/>
  </r>
  <r>
    <n v="254018299"/>
    <n v="64790452"/>
    <s v="REB"/>
    <n v="10053473"/>
    <n v="167"/>
    <s v="PEÇAS - Avaria - Quebrada/Depósito"/>
    <s v="LOGÍSTICA"/>
    <x v="2"/>
    <n v="47026"/>
    <x v="16"/>
    <s v="BA"/>
    <n v="643"/>
    <s v="Elite"/>
    <n v="1350"/>
    <s v="W10477178"/>
    <s v="Capas"/>
    <x v="6"/>
    <n v="1000"/>
    <n v="5004101"/>
    <s v="UNIDOCK'S ASSESSORIA E LOGISTICA DE"/>
    <n v="20.34"/>
    <d v="2025-06-16T00:00:00"/>
  </r>
  <r>
    <n v="253965904"/>
    <n v="64739983"/>
    <s v="REB"/>
    <n v="9924208"/>
    <n v="167"/>
    <s v="PEÇAS - Avaria - Quebrada/Depósito"/>
    <s v="LOGÍSTICA"/>
    <x v="1"/>
    <n v="64523"/>
    <x v="21"/>
    <s v="PB"/>
    <n v="713"/>
    <s v="Key Account"/>
    <n v="1350"/>
    <s v="W10477178"/>
    <s v="Capas"/>
    <x v="6"/>
    <n v="1000"/>
    <n v="5004101"/>
    <s v="UNIDOCK'S ASSESSORIA E LOGISTICA DE"/>
    <n v="20.309999999999999"/>
    <d v="2025-03-31T00:00:00"/>
  </r>
  <r>
    <n v="254031849"/>
    <n v="64796887"/>
    <s v="REB"/>
    <n v="9973049"/>
    <n v="176"/>
    <s v="PEÇAS - Defeito de fabric./Interrompido"/>
    <s v="FUNCIONAL"/>
    <x v="1"/>
    <n v="3506"/>
    <x v="46"/>
    <s v="SP"/>
    <n v="931"/>
    <s v="Ats Off"/>
    <n v="1350"/>
    <s v="W10896456"/>
    <s v="Termostatos"/>
    <x v="3"/>
    <n v="1000"/>
    <n v="5004042"/>
    <s v="BRASIL WEB TRANSPORTES E LOGISTICA"/>
    <n v="20.3"/>
    <d v="2025-06-24T00:00:00"/>
  </r>
  <r>
    <n v="254033982"/>
    <n v="64812547"/>
    <s v="ZRDI"/>
    <n v="10116078"/>
    <n v="208"/>
    <s v="DEV-Atraso entrega- LOGISTICA(Transp)"/>
    <s v="TRANSPORTADORA"/>
    <x v="2"/>
    <n v="50382494"/>
    <x v="1410"/>
    <s v="RS"/>
    <n v="475"/>
    <s v="Site Consul"/>
    <n v="1352"/>
    <s v="W11491475"/>
    <s v="Capas"/>
    <x v="6"/>
    <n v="1000"/>
    <n v="5002359"/>
    <s v="EMPRESA BRASILEIRA DE CORREIOS E"/>
    <n v="20.28"/>
    <d v="2025-07-17T00:00:00"/>
  </r>
  <r>
    <n v="253997975"/>
    <n v="64771832"/>
    <s v="REB"/>
    <n v="9990172"/>
    <n v="90"/>
    <s v="CLIENTE-não solicitou"/>
    <s v="COMERCIAL"/>
    <x v="1"/>
    <n v="48597"/>
    <x v="60"/>
    <s v="MG"/>
    <n v="713"/>
    <s v="Key Account"/>
    <n v="1350"/>
    <n v="326006453"/>
    <s v="Termostatos"/>
    <x v="3"/>
    <n v="1000"/>
    <n v="5004215"/>
    <s v="BRASIL WEB TRANSPORTES E LOGISTICA"/>
    <n v="20.22"/>
    <d v="2025-05-20T00:00:00"/>
  </r>
  <r>
    <s v="Sem TR"/>
    <n v="64775517"/>
    <s v="REB"/>
    <n v="9990106"/>
    <n v="509"/>
    <s v="Qtd de peças a Menor dentro do Volume"/>
    <s v="LOGÍSTICA"/>
    <x v="1"/>
    <n v="30990"/>
    <x v="26"/>
    <s v="ES"/>
    <n v="713"/>
    <s v="Key Account"/>
    <n v="1350"/>
    <s v="W10581537"/>
    <s v="Pressostatos"/>
    <x v="3"/>
    <n v="1000"/>
    <n v="5002359"/>
    <s v="EMPRESA BRASILEIRA DE CORREIOS E"/>
    <n v="20.22"/>
    <d v="2025-05-26T00:00:00"/>
  </r>
  <r>
    <s v="Sem TR"/>
    <n v="64789160"/>
    <s v="REB"/>
    <n v="10058290"/>
    <n v="509"/>
    <s v="Qtd de peças a Menor dentro do Volume"/>
    <s v="LOGÍSTICA"/>
    <x v="1"/>
    <n v="84461"/>
    <x v="415"/>
    <s v="SP"/>
    <n v="350"/>
    <s v="Ats On"/>
    <n v="1350"/>
    <s v="W11717970"/>
    <s v="Outros"/>
    <x v="7"/>
    <n v="14000"/>
    <n v="5002359"/>
    <s v="EMPRESA BRASILEIRA DE CORREIOS E"/>
    <n v="20.16"/>
    <d v="2025-06-10T00:00:00"/>
  </r>
  <r>
    <n v="253889656"/>
    <n v="64658926"/>
    <s v="REB"/>
    <n v="9731828"/>
    <n v="167"/>
    <s v="PEÇAS - Avaria - Quebrada/Depósito"/>
    <s v="LOGÍSTICA"/>
    <x v="1"/>
    <n v="69085"/>
    <x v="178"/>
    <s v="SP"/>
    <n v="644"/>
    <s v="Plus"/>
    <n v="1350"/>
    <s v="W10658588"/>
    <s v="Pés"/>
    <x v="6"/>
    <n v="2000"/>
    <n v="5003254"/>
    <s v="TMA TRANSPORTE LOTACAO E LOGISTICA"/>
    <n v="20.04"/>
    <d v="2024-12-04T00:00:00"/>
  </r>
  <r>
    <n v="254030458"/>
    <n v="64799711"/>
    <s v="REB"/>
    <n v="10001862"/>
    <n v="90"/>
    <s v="CLIENTE-não solicitou"/>
    <s v="COMERCIAL"/>
    <x v="1"/>
    <n v="4585"/>
    <x v="555"/>
    <s v="SC"/>
    <n v="350"/>
    <s v="Ats On"/>
    <n v="1350"/>
    <s v="W10474172"/>
    <s v="Molduras"/>
    <x v="6"/>
    <n v="1000"/>
    <n v="5003024"/>
    <s v="RODOBRAS TRANSPORTES RODOVIARIOS LT"/>
    <n v="20.010000000000002"/>
    <d v="2025-07-01T00:00:00"/>
  </r>
  <r>
    <n v="254035904"/>
    <n v="64814023"/>
    <s v="ZRDI"/>
    <n v="10098292"/>
    <n v="208"/>
    <s v="DEV-Atraso entrega- LOGISTICA(Transp)"/>
    <s v="TRANSPORTADORA"/>
    <x v="2"/>
    <n v="58106900"/>
    <x v="2033"/>
    <s v="SC"/>
    <n v="746"/>
    <s v="Marketplace B2W"/>
    <n v="1352"/>
    <s v="W10365024"/>
    <s v="Dispensers"/>
    <x v="9"/>
    <n v="1000"/>
    <n v="5002359"/>
    <s v="EMPRESA BRASILEIRA DE CORREIOS E"/>
    <n v="19.96"/>
    <d v="2025-07-21T00:00:00"/>
  </r>
  <r>
    <n v="253992702"/>
    <n v="64757798"/>
    <s v="REB"/>
    <n v="10008058"/>
    <n v="168"/>
    <s v="PEÇAS-Def.Fabric.Empenamento/Abaulamento"/>
    <s v="FUNCIONAL"/>
    <x v="1"/>
    <n v="21594"/>
    <x v="97"/>
    <s v="SP"/>
    <n v="931"/>
    <s v="Ats Off"/>
    <n v="1350"/>
    <s v="W10390576"/>
    <s v="Capas Queimadores"/>
    <x v="12"/>
    <n v="1000"/>
    <n v="5004042"/>
    <s v="BRASIL WEB TRANSPORTES E LOGISTICA"/>
    <n v="19.84"/>
    <d v="2025-05-12T00:00:00"/>
  </r>
  <r>
    <n v="253889657"/>
    <n v="64658935"/>
    <s v="REB"/>
    <n v="9731828"/>
    <n v="170"/>
    <s v="PEÇAS - Avaria - Riscada/Depósito"/>
    <s v="LOGÍSTICA"/>
    <x v="1"/>
    <n v="69085"/>
    <x v="178"/>
    <s v="SP"/>
    <n v="644"/>
    <s v="Plus"/>
    <n v="1350"/>
    <s v="W10658587"/>
    <s v="Pés"/>
    <x v="6"/>
    <n v="2000"/>
    <n v="5003254"/>
    <s v="TMA TRANSPORTE LOTACAO E LOGISTICA"/>
    <n v="19.84"/>
    <d v="2024-12-04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s v="W10333433"/>
    <s v="Painéis de Controle"/>
    <x v="6"/>
    <n v="1000"/>
    <n v="5003024"/>
    <s v="RODOBRAS TRANSPORTES RODOVIARIOS LT"/>
    <n v="19.7"/>
    <d v="2025-01-16T00:00:00"/>
  </r>
  <r>
    <n v="253919016"/>
    <n v="64693218"/>
    <s v="ROB"/>
    <n v="9821817"/>
    <n v="671"/>
    <s v="DEV-ENVIADO PARA GESTÃO DE CONSEQUENCIA"/>
    <s v="TRANSPORTADORA"/>
    <x v="1"/>
    <n v="32856"/>
    <x v="60"/>
    <s v="PR"/>
    <n v="713"/>
    <s v="Key Account"/>
    <n v="1350"/>
    <s v="W10333433"/>
    <s v="Painéis de Controle"/>
    <x v="6"/>
    <n v="1000"/>
    <n v="5003024"/>
    <s v="RODOBRAS TRANSPORTES RODOVIARIOS LT"/>
    <n v="19.7"/>
    <d v="2025-01-16T00:00:00"/>
  </r>
  <r>
    <n v="254012522"/>
    <n v="64787488"/>
    <s v="REB"/>
    <n v="10057657"/>
    <n v="167"/>
    <s v="PEÇAS - Avaria - Quebrada/Depósito"/>
    <s v="LOGÍSTICA"/>
    <x v="1"/>
    <n v="38442"/>
    <x v="943"/>
    <s v="RS"/>
    <n v="641"/>
    <s v="CDP Diamante"/>
    <n v="1350"/>
    <s v="W10212441"/>
    <s v="Prateleiras"/>
    <x v="9"/>
    <n v="1000"/>
    <n v="5003024"/>
    <s v="RODOBRAS TRANSPORTES RODOVIARIOS LT"/>
    <n v="19.68"/>
    <d v="2025-06-10T00:00:00"/>
  </r>
  <r>
    <n v="254031846"/>
    <n v="64796884"/>
    <s v="REB"/>
    <n v="10027640"/>
    <n v="176"/>
    <s v="PEÇAS - Defeito de fabric./Interrompido"/>
    <s v="FUNCIONAL"/>
    <x v="1"/>
    <n v="3506"/>
    <x v="46"/>
    <s v="SP"/>
    <n v="931"/>
    <s v="Ats Off"/>
    <n v="1350"/>
    <s v="W11629019"/>
    <s v="Recipientes de Evaporação"/>
    <x v="9"/>
    <n v="1000"/>
    <n v="5004042"/>
    <s v="BRASIL WEB TRANSPORTES E LOGISTICA"/>
    <n v="19.600000000000001"/>
    <d v="2025-06-24T00:00:00"/>
  </r>
  <r>
    <n v="254033096"/>
    <n v="64807105"/>
    <s v="REB"/>
    <n v="10096498"/>
    <n v="167"/>
    <s v="PEÇAS - Avaria - Quebrada/Depósito"/>
    <s v="LOGÍSTICA"/>
    <x v="2"/>
    <n v="66"/>
    <x v="73"/>
    <s v="GO"/>
    <n v="931"/>
    <s v="Ats Off"/>
    <n v="1350"/>
    <s v="W11298403"/>
    <s v="Prateleiras"/>
    <x v="9"/>
    <n v="1000"/>
    <n v="5002858"/>
    <s v="FAVORITA TRANSPORTES LTDA"/>
    <n v="19.579999999999998"/>
    <d v="2025-07-08T00:00:00"/>
  </r>
  <r>
    <n v="254035341"/>
    <n v="64812379"/>
    <s v="REB"/>
    <n v="10114617"/>
    <n v="167"/>
    <s v="PEÇAS - Avaria - Quebrada/Depósito"/>
    <s v="LOGÍSTICA"/>
    <x v="1"/>
    <n v="9991"/>
    <x v="86"/>
    <s v="DF"/>
    <n v="648"/>
    <s v="Ultra"/>
    <n v="1350"/>
    <s v="W11307331"/>
    <s v="Gavetas"/>
    <x v="9"/>
    <n v="1000"/>
    <n v="5002858"/>
    <s v="FAVORITA TRANSPORTES LTDA"/>
    <n v="19.559999999999999"/>
    <d v="2025-07-17T00:00:00"/>
  </r>
  <r>
    <s v="Sem TR"/>
    <n v="64810492"/>
    <s v="ROB"/>
    <n v="10138219"/>
    <n v="115"/>
    <s v="PEÇAS-Recusa do cliente"/>
    <s v="COMERCIAL"/>
    <x v="1"/>
    <n v="87059"/>
    <x v="142"/>
    <s v="MG"/>
    <n v="934"/>
    <s v="CDP Ouro"/>
    <n v="1350"/>
    <n v="326049953"/>
    <s v="Parafusos e afins"/>
    <x v="10"/>
    <n v="10000"/>
    <n v="5004101"/>
    <s v="UNIDOCK'S ASSESSORIA E LOGISTICA DE"/>
    <n v="19.489999999999998"/>
    <d v="2025-07-29T00:00:00"/>
  </r>
  <r>
    <n v="253919014"/>
    <n v="64693216"/>
    <s v="ROB"/>
    <n v="9821813"/>
    <n v="671"/>
    <s v="DEV-ENVIADO PARA GESTÃO DE CONSEQUENCIA"/>
    <s v="TRANSPORTADORA"/>
    <x v="1"/>
    <n v="32856"/>
    <x v="60"/>
    <s v="PR"/>
    <n v="713"/>
    <s v="Key Account"/>
    <n v="1350"/>
    <n v="326065990"/>
    <s v="Recipientes de Evaporação"/>
    <x v="9"/>
    <n v="2000"/>
    <n v="5003024"/>
    <s v="RODOBRAS TRANSPORTES RODOVIARIOS LT"/>
    <n v="19.47"/>
    <d v="2025-01-16T00:00:00"/>
  </r>
  <r>
    <n v="254033385"/>
    <n v="64807091"/>
    <s v="REB"/>
    <n v="10102777"/>
    <n v="90"/>
    <s v="CLIENTE-não solicitou"/>
    <s v="COMERCIAL"/>
    <x v="1"/>
    <n v="31883"/>
    <x v="2034"/>
    <s v="SP"/>
    <n v="350"/>
    <s v="Ats On"/>
    <n v="1350"/>
    <s v="W10549970"/>
    <s v="Painéis Decorativos"/>
    <x v="6"/>
    <n v="1000"/>
    <n v="5004042"/>
    <s v="BRASIL WEB TRANSPORTES E LOGISTICA"/>
    <n v="19.38"/>
    <d v="2025-07-08T00:00:00"/>
  </r>
  <r>
    <n v="253952273"/>
    <n v="64725707"/>
    <s v="REB"/>
    <n v="9800675"/>
    <n v="173"/>
    <s v="PEÇAS - Defeito de fabric./Alta Amperage"/>
    <s v="FUNCIONAL"/>
    <x v="1"/>
    <n v="31587"/>
    <x v="135"/>
    <s v="SP"/>
    <n v="643"/>
    <s v="Elite"/>
    <n v="1350"/>
    <s v="W10721910"/>
    <s v="Pressostatos"/>
    <x v="3"/>
    <n v="1000"/>
    <n v="5004042"/>
    <s v="BRASIL WEB TRANSPORTES E LOGISTICA"/>
    <n v="19.36"/>
    <d v="2025-03-08T00:00:00"/>
  </r>
  <r>
    <n v="254033411"/>
    <n v="64805771"/>
    <s v="REB"/>
    <n v="10090108"/>
    <n v="90"/>
    <s v="CLIENTE-não solicitou"/>
    <s v="COMERCIAL"/>
    <x v="1"/>
    <n v="47026"/>
    <x v="16"/>
    <s v="BA"/>
    <n v="643"/>
    <s v="Elite"/>
    <n v="1350"/>
    <s v="W10476183"/>
    <s v="Prateleiras"/>
    <x v="9"/>
    <n v="1000"/>
    <n v="5004101"/>
    <s v="UNIDOCK'S ASSESSORIA E LOGISTICA DE"/>
    <n v="19.329999999999998"/>
    <d v="2025-07-08T00:00:00"/>
  </r>
  <r>
    <n v="253995098"/>
    <n v="64771170"/>
    <s v="REB"/>
    <n v="9817647"/>
    <n v="173"/>
    <s v="PEÇAS - Defeito de fabric./Alta Amperage"/>
    <s v="FUNCIONAL"/>
    <x v="1"/>
    <n v="21594"/>
    <x v="97"/>
    <s v="SP"/>
    <n v="931"/>
    <s v="Ats Off"/>
    <n v="1350"/>
    <s v="W11343143"/>
    <s v="Fusíveis/Fusíveis térmicos"/>
    <x v="1"/>
    <n v="1000"/>
    <n v="5004042"/>
    <s v="BRASIL WEB TRANSPORTES E LOGISTICA"/>
    <n v="19.28"/>
    <d v="2025-05-15T00:00:00"/>
  </r>
  <r>
    <s v="Sem TR"/>
    <n v="64768032"/>
    <s v="ROB"/>
    <n v="9978262"/>
    <n v="671"/>
    <s v="DEV-ENVIADO PARA GESTÃO DE CONSEQUENCIA"/>
    <s v="TRANSPORTADORA"/>
    <x v="1"/>
    <n v="28888"/>
    <x v="1423"/>
    <s v="SC"/>
    <n v="350"/>
    <s v="Ats On"/>
    <n v="1350"/>
    <s v="W11431350"/>
    <s v="Capas"/>
    <x v="6"/>
    <n v="1000"/>
    <n v="5003024"/>
    <s v="RODOBRAS TRANSPORTES RODOVIARIOS LT"/>
    <n v="19.25"/>
    <d v="2025-05-29T00:00:00"/>
  </r>
  <r>
    <n v="254018179"/>
    <n v="64793254"/>
    <s v="REB"/>
    <n v="10046173"/>
    <n v="176"/>
    <s v="PEÇAS - Defeito de fabric./Interrompido"/>
    <s v="FUNCIONAL"/>
    <x v="1"/>
    <n v="3506"/>
    <x v="46"/>
    <s v="SP"/>
    <n v="931"/>
    <s v="Ats Off"/>
    <n v="1350"/>
    <s v="W10649509"/>
    <s v="Fusíveis/Fusíveis térmicos"/>
    <x v="1"/>
    <n v="1000"/>
    <n v="5004042"/>
    <s v="BRASIL WEB TRANSPORTES E LOGISTICA"/>
    <n v="19.23"/>
    <d v="2025-06-17T00:00:00"/>
  </r>
  <r>
    <n v="254031828"/>
    <n v="64792150"/>
    <s v="REB"/>
    <n v="10046173"/>
    <n v="176"/>
    <s v="PEÇAS - Defeito de fabric./Interrompido"/>
    <s v="FUNCIONAL"/>
    <x v="1"/>
    <n v="3506"/>
    <x v="46"/>
    <s v="SP"/>
    <n v="931"/>
    <s v="Ats Off"/>
    <n v="1350"/>
    <s v="W10649509"/>
    <s v="Fusíveis/Fusíveis térmicos"/>
    <x v="1"/>
    <n v="1000"/>
    <n v="5004042"/>
    <s v="BRASIL WEB TRANSPORTES E LOGISTICA"/>
    <n v="19.23"/>
    <d v="2025-06-24T00:00:00"/>
  </r>
  <r>
    <n v="254031870"/>
    <n v="64802561"/>
    <s v="REB"/>
    <n v="10046173"/>
    <n v="176"/>
    <s v="PEÇAS - Defeito de fabric./Interrompido"/>
    <s v="FUNCIONAL"/>
    <x v="1"/>
    <n v="3506"/>
    <x v="46"/>
    <s v="SP"/>
    <n v="931"/>
    <s v="Ats Off"/>
    <n v="1350"/>
    <s v="W10649509"/>
    <s v="Fusíveis/Fusíveis térmicos"/>
    <x v="1"/>
    <n v="1000"/>
    <n v="5004042"/>
    <s v="BRASIL WEB TRANSPORTES E LOGISTICA"/>
    <n v="19.23"/>
    <d v="2025-07-01T00:00:00"/>
  </r>
  <r>
    <n v="254038264"/>
    <n v="64814117"/>
    <s v="REB"/>
    <n v="10085963"/>
    <n v="176"/>
    <s v="PEÇAS - Defeito de fabric./Interrompido"/>
    <s v="FUNCIONAL"/>
    <x v="0"/>
    <n v="3506"/>
    <x v="46"/>
    <s v="SP"/>
    <n v="931"/>
    <s v="Ats Off"/>
    <n v="1350"/>
    <n v="326031817"/>
    <s v="Mangueiras"/>
    <x v="5"/>
    <n v="1000"/>
    <n v="5004042"/>
    <s v="BRASIL WEB TRANSPORTES E LOGISTICA"/>
    <n v="18.98"/>
    <d v="2025-07-22T00:00:00"/>
  </r>
  <r>
    <n v="254038263"/>
    <n v="64814118"/>
    <s v="REB"/>
    <n v="10085963"/>
    <n v="176"/>
    <s v="PEÇAS - Defeito de fabric./Interrompido"/>
    <s v="FUNCIONAL"/>
    <x v="0"/>
    <n v="3506"/>
    <x v="46"/>
    <s v="SP"/>
    <n v="931"/>
    <s v="Ats Off"/>
    <n v="1350"/>
    <n v="326031817"/>
    <s v="Mangueiras"/>
    <x v="5"/>
    <n v="1000"/>
    <n v="5004042"/>
    <s v="BRASIL WEB TRANSPORTES E LOGISTICA"/>
    <n v="18.98"/>
    <d v="2025-07-22T00:00:00"/>
  </r>
  <r>
    <n v="254024486"/>
    <n v="64792256"/>
    <s v="ZRDI"/>
    <n v="10071092"/>
    <n v="208"/>
    <s v="DEV-Atraso entrega- LOGISTICA(Transp)"/>
    <s v="TRANSPORTADORA"/>
    <x v="2"/>
    <n v="58066635"/>
    <x v="2027"/>
    <s v="PR"/>
    <n v="474"/>
    <s v="Site Brastemp"/>
    <n v="1352"/>
    <s v="W10696981"/>
    <s v="Filtros"/>
    <x v="5"/>
    <n v="1000"/>
    <n v="5002359"/>
    <s v="EMPRESA BRASILEIRA DE CORREIOS E"/>
    <n v="18.829999999999998"/>
    <d v="2025-07-02T00:00:00"/>
  </r>
  <r>
    <n v="253981567"/>
    <n v="64757707"/>
    <s v="REB"/>
    <n v="9979713"/>
    <n v="167"/>
    <s v="PEÇAS - Avaria - Quebrada/Depósito"/>
    <s v="LOGÍSTICA"/>
    <x v="1"/>
    <n v="74019"/>
    <x v="376"/>
    <s v="SP"/>
    <n v="934"/>
    <s v="CDP Ouro"/>
    <n v="1350"/>
    <n v="326062041"/>
    <s v="Recipientes de Evaporação"/>
    <x v="9"/>
    <n v="1000"/>
    <n v="5004042"/>
    <s v="BRASIL WEB TRANSPORTES E LOGISTICA"/>
    <n v="18.739999999999998"/>
    <d v="2025-04-25T00:00:00"/>
  </r>
  <r>
    <n v="253961316"/>
    <n v="64737284"/>
    <s v="REB"/>
    <n v="9746614"/>
    <n v="167"/>
    <s v="PEÇAS - Avaria - Quebrada/Depósito"/>
    <s v="LOGÍSTICA"/>
    <x v="1"/>
    <n v="30990"/>
    <x v="26"/>
    <s v="ES"/>
    <n v="713"/>
    <s v="Key Account"/>
    <n v="1350"/>
    <s v="W10169464"/>
    <s v="Defletores/Difusores"/>
    <x v="5"/>
    <n v="1000"/>
    <n v="5004042"/>
    <s v="BRASIL WEB TRANSPORTES E LOGISTICA"/>
    <n v="18.62"/>
    <d v="2025-03-24T00:00:00"/>
  </r>
  <r>
    <s v="Sem TR"/>
    <n v="64792389"/>
    <s v="REB"/>
    <n v="10073217"/>
    <n v="509"/>
    <s v="Qtd de peças a Menor dentro do Volume"/>
    <s v="LOGÍSTICA"/>
    <x v="2"/>
    <n v="3250"/>
    <x v="377"/>
    <s v="SP"/>
    <n v="932"/>
    <s v="CDP Prata"/>
    <n v="1350"/>
    <n v="326007681"/>
    <s v="Suportes"/>
    <x v="6"/>
    <n v="6000"/>
    <n v="5002359"/>
    <s v="EMPRESA BRASILEIRA DE CORREIOS E"/>
    <n v="18.440000000000001"/>
    <d v="2025-06-16T00:00:00"/>
  </r>
  <r>
    <n v="254031877"/>
    <n v="64807323"/>
    <s v="REB"/>
    <n v="10065563"/>
    <n v="176"/>
    <s v="PEÇAS - Defeito de fabric./Interrompido"/>
    <s v="FUNCIONAL"/>
    <x v="1"/>
    <n v="3506"/>
    <x v="46"/>
    <s v="SP"/>
    <n v="931"/>
    <s v="Ats Off"/>
    <n v="1350"/>
    <n v="326008340"/>
    <s v="Anéis de Vedação"/>
    <x v="4"/>
    <n v="1000"/>
    <n v="5004042"/>
    <s v="BRASIL WEB TRANSPORTES E LOGISTICA"/>
    <n v="18.420000000000002"/>
    <d v="2025-07-08T00:00:00"/>
  </r>
  <r>
    <n v="254044304"/>
    <n v="64788880"/>
    <s v="REB"/>
    <n v="10051268"/>
    <n v="176"/>
    <s v="PEÇAS - Defeito de fabric./Interrompido"/>
    <s v="FUNCIONAL"/>
    <x v="0"/>
    <n v="22041"/>
    <x v="70"/>
    <s v="SP"/>
    <n v="931"/>
    <s v="Ats Off"/>
    <n v="1350"/>
    <n v="326008340"/>
    <s v="Anéis de Vedação"/>
    <x v="4"/>
    <n v="1000"/>
    <n v="5004042"/>
    <s v="BRASIL WEB TRANSPORTES E LOGISTICA"/>
    <n v="18.420000000000002"/>
    <d v="2025-06-10T00:00:00"/>
  </r>
  <r>
    <n v="254012627"/>
    <n v="64789175"/>
    <s v="REB"/>
    <n v="10063626"/>
    <n v="104"/>
    <s v="PEÇAS-Código trocado(embalag X conteúdo)"/>
    <s v="LOGÍSTICA"/>
    <x v="1"/>
    <n v="83572"/>
    <x v="105"/>
    <s v="SP"/>
    <n v="931"/>
    <s v="Ats Off"/>
    <n v="1350"/>
    <n v="326062041"/>
    <s v="Recipientes de Evaporação"/>
    <x v="9"/>
    <n v="1000"/>
    <n v="5004042"/>
    <s v="BRASIL WEB TRANSPORTES E LOGISTICA"/>
    <n v="18.309999999999999"/>
    <d v="2025-06-10T00:00:00"/>
  </r>
  <r>
    <n v="253963629"/>
    <n v="64742040"/>
    <s v="ROB"/>
    <n v="9957994"/>
    <n v="671"/>
    <s v="DEV-ENVIADO PARA GESTÃO DE CONSEQUENCIA"/>
    <s v="TRANSPORTADORA"/>
    <x v="1"/>
    <n v="4430"/>
    <x v="250"/>
    <s v="PR"/>
    <n v="350"/>
    <s v="Ats On"/>
    <n v="1350"/>
    <s v="W10779052"/>
    <s v="Mangueiras"/>
    <x v="5"/>
    <n v="4000"/>
    <n v="5003024"/>
    <s v="RODOBRAS TRANSPORTES RODOVIARIOS LT"/>
    <n v="18.28"/>
    <d v="2025-03-31T00:00:00"/>
  </r>
  <r>
    <n v="253988911"/>
    <n v="64762368"/>
    <s v="REB"/>
    <n v="9898863"/>
    <n v="176"/>
    <s v="PEÇAS - Defeito de fabric./Interrompido"/>
    <s v="FUNCIONAL"/>
    <x v="2"/>
    <n v="70555"/>
    <x v="150"/>
    <s v="SC"/>
    <n v="648"/>
    <s v="Ultra"/>
    <n v="1350"/>
    <s v="W11110303"/>
    <s v="Painéis de Controle"/>
    <x v="6"/>
    <n v="1000"/>
    <n v="5003024"/>
    <s v="RODOBRAS TRANSPORTES RODOVIARIOS LT"/>
    <n v="18.190000000000001"/>
    <d v="2025-05-05T00:00:00"/>
  </r>
  <r>
    <n v="254023412"/>
    <n v="64798667"/>
    <s v="ZRDI"/>
    <n v="10048493"/>
    <s v="D25"/>
    <s v="DEV D2C - Prob na entrega (Não recebi)"/>
    <s v="TRANSPORTADORA"/>
    <x v="2"/>
    <n v="50833620"/>
    <x v="2035"/>
    <s v="SP"/>
    <n v="474"/>
    <s v="Site Brastemp"/>
    <n v="1352"/>
    <s v="W10674112"/>
    <s v="Manípulos"/>
    <x v="6"/>
    <n v="1000"/>
    <n v="5003972"/>
    <s v="ICARO EXPRESS LOGISTICA LTDA"/>
    <n v="17.739999999999998"/>
    <d v="2025-06-30T00:00:00"/>
  </r>
  <r>
    <n v="253995066"/>
    <n v="64772605"/>
    <s v="REB"/>
    <n v="10027640"/>
    <n v="176"/>
    <s v="PEÇAS - Defeito de fabric./Interrompido"/>
    <s v="FUNCIONAL"/>
    <x v="2"/>
    <n v="3506"/>
    <x v="46"/>
    <s v="SP"/>
    <n v="931"/>
    <s v="Ats Off"/>
    <n v="1350"/>
    <s v="W10531315"/>
    <s v="Sensores"/>
    <x v="3"/>
    <n v="2000"/>
    <n v="5004042"/>
    <s v="BRASIL WEB TRANSPORTES E LOGISTICA"/>
    <n v="17.57"/>
    <d v="2025-05-16T00:00:00"/>
  </r>
  <r>
    <n v="254031831"/>
    <n v="64792610"/>
    <s v="REB"/>
    <n v="10072575"/>
    <n v="176"/>
    <s v="PEÇAS - Defeito de fabric./Interrompido"/>
    <s v="FUNCIONAL"/>
    <x v="1"/>
    <n v="3506"/>
    <x v="46"/>
    <s v="SP"/>
    <n v="931"/>
    <s v="Ats Off"/>
    <n v="1350"/>
    <s v="W10531315"/>
    <s v="Sensores"/>
    <x v="3"/>
    <n v="2000"/>
    <n v="5004042"/>
    <s v="BRASIL WEB TRANSPORTES E LOGISTICA"/>
    <n v="17.57"/>
    <d v="2025-06-24T00:00:00"/>
  </r>
  <r>
    <n v="253935623"/>
    <n v="64706395"/>
    <s v="REB"/>
    <n v="9812603"/>
    <n v="104"/>
    <s v="PEÇAS-Código trocado(embalag X conteúdo)"/>
    <s v="LOGÍSTICA"/>
    <x v="1"/>
    <n v="3677"/>
    <x v="360"/>
    <s v="SP"/>
    <n v="931"/>
    <s v="Ats Off"/>
    <n v="1350"/>
    <s v="W10180285"/>
    <s v="Trilhos"/>
    <x v="6"/>
    <n v="2000"/>
    <n v="5003254"/>
    <s v="TMA TRANSPORTE LOTACAO E LOGISTICA"/>
    <n v="17.54"/>
    <d v="2025-02-05T00:00:00"/>
  </r>
  <r>
    <n v="253970141"/>
    <n v="64746137"/>
    <s v="REB"/>
    <n v="9916636"/>
    <n v="167"/>
    <s v="PEÇAS - Avaria - Quebrada/Depósito"/>
    <s v="LOGÍSTICA"/>
    <x v="1"/>
    <n v="1255"/>
    <x v="254"/>
    <s v="CE"/>
    <n v="931"/>
    <s v="Ats Off"/>
    <n v="1350"/>
    <s v="W10212401"/>
    <s v="Prateleiras"/>
    <x v="9"/>
    <n v="1000"/>
    <n v="5004101"/>
    <s v="UNIDOCK'S ASSESSORIA E LOGISTICA DE"/>
    <n v="17.3"/>
    <d v="2025-04-04T00:00:00"/>
  </r>
  <r>
    <n v="254033469"/>
    <n v="64800553"/>
    <s v="REB"/>
    <n v="10056636"/>
    <n v="173"/>
    <s v="PEÇAS - Defeito de fabric./Alta Amperage"/>
    <s v="FUNCIONAL"/>
    <x v="1"/>
    <n v="83387"/>
    <x v="454"/>
    <s v="RJ"/>
    <n v="350"/>
    <s v="Ats On"/>
    <n v="1350"/>
    <s v="W11345781"/>
    <s v="Sensores"/>
    <x v="3"/>
    <n v="1000"/>
    <n v="5003176"/>
    <s v="J C THEDIN TRANSPORTES LTDA"/>
    <n v="17.25"/>
    <d v="2025-07-01T00:00:00"/>
  </r>
  <r>
    <n v="254038294"/>
    <n v="64814803"/>
    <s v="REB"/>
    <n v="10079680"/>
    <n v="176"/>
    <s v="PEÇAS - Defeito de fabric./Interrompido"/>
    <s v="FUNCIONAL"/>
    <x v="1"/>
    <n v="4318"/>
    <x v="89"/>
    <s v="SC"/>
    <n v="931"/>
    <s v="Ats Off"/>
    <n v="1350"/>
    <n v="55118"/>
    <s v="Suportes"/>
    <x v="6"/>
    <n v="1000"/>
    <n v="5003024"/>
    <s v="RODOBRAS TRANSPORTES RODOVIARIOS LT"/>
    <n v="17.04"/>
    <d v="2025-07-22T00:00:00"/>
  </r>
  <r>
    <n v="254031852"/>
    <n v="64796894"/>
    <s v="REB"/>
    <n v="10072574"/>
    <n v="176"/>
    <s v="PEÇAS - Defeito de fabric./Interrompido"/>
    <s v="FUNCIONAL"/>
    <x v="1"/>
    <n v="3506"/>
    <x v="46"/>
    <s v="SP"/>
    <n v="931"/>
    <s v="Ats Off"/>
    <n v="1350"/>
    <s v="W11621541"/>
    <s v="Registros"/>
    <x v="12"/>
    <n v="2000"/>
    <n v="5004042"/>
    <s v="BRASIL WEB TRANSPORTES E LOGISTICA"/>
    <n v="17.04"/>
    <d v="2025-06-24T00:00:00"/>
  </r>
  <r>
    <n v="254033097"/>
    <n v="64807275"/>
    <s v="REB"/>
    <n v="10083492"/>
    <n v="177"/>
    <s v="PEÇAS - Defeito de fabric./Ruído"/>
    <s v="FUNCIONAL"/>
    <x v="2"/>
    <n v="66"/>
    <x v="73"/>
    <s v="GO"/>
    <n v="931"/>
    <s v="Ats Off"/>
    <n v="1350"/>
    <s v="W11555162"/>
    <s v="Espargidores"/>
    <x v="2"/>
    <n v="1000"/>
    <n v="5002858"/>
    <s v="FAVORITA TRANSPORTES LTDA"/>
    <n v="16.91"/>
    <d v="2025-07-08T00:00:00"/>
  </r>
  <r>
    <n v="254035938"/>
    <n v="64814043"/>
    <s v="ZRDI"/>
    <n v="10126979"/>
    <n v="208"/>
    <s v="DEV-Atraso entrega- LOGISTICA(Transp)"/>
    <s v="TRANSPORTADORA"/>
    <x v="2"/>
    <n v="51305242"/>
    <x v="1496"/>
    <s v="BA"/>
    <n v="475"/>
    <s v="Site Consul"/>
    <n v="1352"/>
    <s v="W10305576"/>
    <s v="Injetores"/>
    <x v="12"/>
    <n v="1000"/>
    <n v="5002359"/>
    <s v="EMPRESA BRASILEIRA DE CORREIOS E"/>
    <n v="16.78"/>
    <d v="2025-07-21T00:00:00"/>
  </r>
  <r>
    <n v="254035938"/>
    <n v="64814043"/>
    <s v="ZRDI"/>
    <n v="10126979"/>
    <n v="208"/>
    <s v="DEV-Atraso entrega- LOGISTICA(Transp)"/>
    <s v="TRANSPORTADORA"/>
    <x v="2"/>
    <n v="51305242"/>
    <x v="1496"/>
    <s v="BA"/>
    <n v="475"/>
    <s v="Site Consul"/>
    <n v="1352"/>
    <s v="W10305576"/>
    <s v="Injetores"/>
    <x v="12"/>
    <n v="1000"/>
    <n v="5002359"/>
    <s v="EMPRESA BRASILEIRA DE CORREIOS E"/>
    <n v="16.78"/>
    <d v="2025-07-21T00:00:00"/>
  </r>
  <r>
    <n v="253988902"/>
    <n v="64655411"/>
    <s v="REB"/>
    <n v="9659572"/>
    <n v="176"/>
    <s v="PEÇAS - Defeito de fabric./Interrompido"/>
    <s v="FUNCIONAL"/>
    <x v="2"/>
    <n v="67948"/>
    <x v="15"/>
    <s v="SC"/>
    <n v="713"/>
    <s v="Key Account"/>
    <n v="1350"/>
    <s v="W10856154"/>
    <s v="Capas"/>
    <x v="6"/>
    <n v="1000"/>
    <n v="5003024"/>
    <s v="RODOBRAS TRANSPORTES RODOVIARIOS LT"/>
    <n v="16.77"/>
    <d v="2024-11-29T00:00:00"/>
  </r>
  <r>
    <n v="253988908"/>
    <n v="64762192"/>
    <s v="REB"/>
    <n v="9909317"/>
    <n v="173"/>
    <s v="PEÇAS - Defeito de fabric./Alta Amperage"/>
    <s v="FUNCIONAL"/>
    <x v="1"/>
    <n v="70149"/>
    <x v="147"/>
    <s v="SP"/>
    <n v="963"/>
    <s v="Ats Distribuidoras"/>
    <n v="1350"/>
    <s v="W10729800"/>
    <s v="Sensores"/>
    <x v="3"/>
    <n v="1000"/>
    <n v="5004042"/>
    <s v="BRASIL WEB TRANSPORTES E LOGISTICA"/>
    <n v="16.739999999999998"/>
    <d v="2025-05-05T00:00:00"/>
  </r>
  <r>
    <n v="254031834"/>
    <n v="64796023"/>
    <s v="REB"/>
    <n v="10039715"/>
    <n v="176"/>
    <s v="PEÇAS - Defeito de fabric./Interrompido"/>
    <s v="FUNCIONAL"/>
    <x v="1"/>
    <n v="3506"/>
    <x v="46"/>
    <s v="SP"/>
    <n v="931"/>
    <s v="Ats Off"/>
    <n v="1350"/>
    <s v="W10729800"/>
    <s v="Sensores"/>
    <x v="3"/>
    <n v="1000"/>
    <n v="5004042"/>
    <s v="BRASIL WEB TRANSPORTES E LOGISTICA"/>
    <n v="16.739999999999998"/>
    <d v="2025-07-01T00:00:00"/>
  </r>
  <r>
    <n v="253927633"/>
    <n v="64703190"/>
    <s v="REB"/>
    <n v="9837274"/>
    <n v="220"/>
    <s v="DEV-Avaria 1 trecho transp - Produto"/>
    <s v="QUALIDADE"/>
    <x v="1"/>
    <n v="27874"/>
    <x v="237"/>
    <s v="RS"/>
    <n v="933"/>
    <s v="Top"/>
    <n v="1350"/>
    <s v="W10212401"/>
    <s v="Prateleiras"/>
    <x v="9"/>
    <n v="1000"/>
    <n v="5003024"/>
    <s v="RODOBRAS TRANSPORTES RODOVIARIOS LT"/>
    <n v="16.53"/>
    <d v="2025-01-30T00:00:00"/>
  </r>
  <r>
    <n v="254018098"/>
    <n v="64792419"/>
    <s v="REB"/>
    <n v="10072358"/>
    <n v="104"/>
    <s v="PEÇAS-Código trocado(embalag X conteúdo)"/>
    <s v="LOGÍSTICA"/>
    <x v="2"/>
    <n v="66"/>
    <x v="73"/>
    <s v="GO"/>
    <n v="931"/>
    <s v="Ats Off"/>
    <n v="1350"/>
    <n v="326072300"/>
    <s v="Tampas Móveis"/>
    <x v="6"/>
    <n v="1000"/>
    <n v="5002858"/>
    <s v="FAVORITA TRANSPORTES LTDA"/>
    <n v="16.45"/>
    <d v="2025-06-16T00:00:00"/>
  </r>
  <r>
    <n v="253952390"/>
    <n v="64728411"/>
    <s v="REB"/>
    <n v="9839652"/>
    <n v="167"/>
    <s v="PEÇAS - Avaria - Quebrada/Depósito"/>
    <s v="LOGÍSTICA"/>
    <x v="1"/>
    <n v="56043"/>
    <x v="48"/>
    <s v="PR"/>
    <n v="963"/>
    <s v="Ats Distribuidoras"/>
    <n v="1350"/>
    <s v="W10203627"/>
    <s v="Prateleiras"/>
    <x v="9"/>
    <n v="3000"/>
    <n v="5003024"/>
    <s v="RODOBRAS TRANSPORTES RODOVIARIOS LT"/>
    <n v="16.41"/>
    <d v="2025-03-10T00:00:00"/>
  </r>
  <r>
    <n v="253988784"/>
    <n v="64762812"/>
    <s v="REB"/>
    <n v="10006037"/>
    <n v="176"/>
    <s v="PEÇAS - Defeito de fabric./Interrompido"/>
    <s v="FUNCIONAL"/>
    <x v="1"/>
    <n v="3506"/>
    <x v="46"/>
    <s v="SP"/>
    <n v="931"/>
    <s v="Ats Off"/>
    <n v="1350"/>
    <s v="W10699240"/>
    <s v="Filtro Secadores"/>
    <x v="0"/>
    <n v="2000"/>
    <n v="5004042"/>
    <s v="BRASIL WEB TRANSPORTES E LOGISTICA"/>
    <n v="16.34"/>
    <d v="2025-05-05T00:00:00"/>
  </r>
  <r>
    <s v="Sem TR"/>
    <n v="64731039"/>
    <s v="ROB"/>
    <n v="9901105"/>
    <n v="25"/>
    <s v="OC. 80 - EXTRAVIO TOTAL"/>
    <s v="TRANSPORTADORA"/>
    <x v="0"/>
    <n v="2159"/>
    <x v="156"/>
    <s v="MG"/>
    <n v="350"/>
    <s v="Ats On"/>
    <n v="1350"/>
    <s v="W10652956"/>
    <s v="Redes Elétricas"/>
    <x v="1"/>
    <n v="1000"/>
    <n v="5004101"/>
    <s v="UNIDOCK'S ASSESSORIA E LOGISTICA DE"/>
    <n v="16.260000000000002"/>
    <d v="2025-03-13T00:00:00"/>
  </r>
  <r>
    <n v="253992701"/>
    <n v="64765887"/>
    <s v="REB"/>
    <n v="10016975"/>
    <n v="167"/>
    <s v="PEÇAS - Avaria - Quebrada/Depósito"/>
    <s v="LOGÍSTICA"/>
    <x v="1"/>
    <n v="20602"/>
    <x v="355"/>
    <s v="SP"/>
    <n v="350"/>
    <s v="Ats On"/>
    <n v="1350"/>
    <s v="W11375181"/>
    <s v="Trilhos"/>
    <x v="6"/>
    <n v="1000"/>
    <n v="5004042"/>
    <s v="BRASIL WEB TRANSPORTES E LOGISTICA"/>
    <n v="16.18"/>
    <d v="2025-05-12T00:00:00"/>
  </r>
  <r>
    <s v="Sem TR"/>
    <n v="64815891"/>
    <s v="ZRDI"/>
    <n v="10140003"/>
    <s v="D10"/>
    <s v="DEV D2C - Comprou modelo errado"/>
    <s v="COMERCIAL"/>
    <x v="2"/>
    <n v="58161745"/>
    <x v="1551"/>
    <s v="SP"/>
    <n v="474"/>
    <s v="Site Brastemp"/>
    <n v="1352"/>
    <n v="326064966"/>
    <s v="Outros"/>
    <x v="7"/>
    <n v="1000"/>
    <n v="5002359"/>
    <s v="EMPRESA BRASILEIRA DE CORREIOS E"/>
    <n v="16.149999999999999"/>
    <d v="2025-07-24T00:00:00"/>
  </r>
  <r>
    <s v="Sem TR"/>
    <n v="64815891"/>
    <s v="ZRDI"/>
    <n v="10140003"/>
    <s v="D10"/>
    <s v="DEV D2C - Comprou modelo errado"/>
    <s v="COMERCIAL"/>
    <x v="2"/>
    <n v="58161745"/>
    <x v="1551"/>
    <s v="SP"/>
    <n v="474"/>
    <s v="Site Brastemp"/>
    <n v="1352"/>
    <n v="326064966"/>
    <s v="Outros"/>
    <x v="7"/>
    <n v="1000"/>
    <n v="5002359"/>
    <s v="EMPRESA BRASILEIRA DE CORREIOS E"/>
    <n v="16.149999999999999"/>
    <d v="2025-07-24T00:00:00"/>
  </r>
  <r>
    <s v="Sem TR"/>
    <n v="64774106"/>
    <s v="REB"/>
    <n v="10029300"/>
    <n v="509"/>
    <s v="Qtd de peças a Menor dentro do Volume"/>
    <s v="LOGÍSTICA"/>
    <x v="2"/>
    <n v="59715"/>
    <x v="314"/>
    <s v="PB"/>
    <n v="934"/>
    <s v="CDP Ouro"/>
    <n v="1350"/>
    <s v="W10767286"/>
    <s v="Capas"/>
    <x v="6"/>
    <n v="1000"/>
    <n v="5002359"/>
    <s v="EMPRESA BRASILEIRA DE CORREIOS E"/>
    <n v="16.05"/>
    <d v="2025-05-20T00:00:00"/>
  </r>
  <r>
    <n v="254007513"/>
    <n v="64772512"/>
    <s v="REB"/>
    <n v="9858665"/>
    <n v="176"/>
    <s v="PEÇAS - Defeito de fabric./Interrompido"/>
    <s v="FUNCIONAL"/>
    <x v="2"/>
    <n v="3506"/>
    <x v="46"/>
    <s v="SP"/>
    <n v="931"/>
    <s v="Ats Off"/>
    <n v="1350"/>
    <n v="326063982"/>
    <s v="Termostatos"/>
    <x v="3"/>
    <n v="1000"/>
    <n v="5004042"/>
    <s v="BRASIL WEB TRANSPORTES E LOGISTICA"/>
    <n v="16"/>
    <d v="2025-06-02T00:00:00"/>
  </r>
  <r>
    <s v="Sem TR"/>
    <n v="64785979"/>
    <s v="ZRDI"/>
    <n v="10035978"/>
    <n v="160"/>
    <s v="OI Cancelada - Ver motivo no texto"/>
    <s v="OUTROS"/>
    <x v="2"/>
    <n v="50717394"/>
    <x v="2036"/>
    <s v="PR"/>
    <n v="478"/>
    <s v="Corporativo"/>
    <n v="1352"/>
    <s v="W10225835"/>
    <s v="Parafusos e afins"/>
    <x v="10"/>
    <n v="1000"/>
    <n v="5002359"/>
    <s v="EMPRESA BRASILEIRA DE CORREIOS E"/>
    <n v="15.98"/>
    <d v="2025-06-04T00:00:00"/>
  </r>
  <r>
    <n v="254031620"/>
    <n v="64787202"/>
    <s v="REB"/>
    <n v="10065565"/>
    <n v="176"/>
    <s v="PEÇAS - Defeito de fabric./Interrompido"/>
    <s v="FUNCIONAL"/>
    <x v="0"/>
    <n v="3506"/>
    <x v="46"/>
    <s v="SP"/>
    <n v="931"/>
    <s v="Ats Off"/>
    <n v="1350"/>
    <s v="W10723824"/>
    <s v="Suportes"/>
    <x v="6"/>
    <n v="1000"/>
    <n v="5004042"/>
    <s v="BRASIL WEB TRANSPORTES E LOGISTICA"/>
    <n v="15.85"/>
    <d v="2025-06-24T00:00:00"/>
  </r>
  <r>
    <n v="253992714"/>
    <n v="64764882"/>
    <s v="REB"/>
    <n v="9975634"/>
    <n v="176"/>
    <s v="PEÇAS - Defeito de fabric./Interrompido"/>
    <s v="FUNCIONAL"/>
    <x v="2"/>
    <n v="24089"/>
    <x v="134"/>
    <s v="RJ"/>
    <n v="931"/>
    <s v="Ats Off"/>
    <n v="1350"/>
    <s v="W10531315"/>
    <s v="Sensores"/>
    <x v="3"/>
    <n v="2000"/>
    <n v="5003176"/>
    <s v="J C THEDIN TRANSPORTES LTDA"/>
    <n v="15.83"/>
    <d v="2025-05-12T00:00:00"/>
  </r>
  <r>
    <n v="254012441"/>
    <n v="64789138"/>
    <s v="REB"/>
    <n v="10067574"/>
    <n v="104"/>
    <s v="PEÇAS-Código trocado(embalag X conteúdo)"/>
    <s v="LOGÍSTICA"/>
    <x v="2"/>
    <n v="3649"/>
    <x v="148"/>
    <s v="SP"/>
    <n v="350"/>
    <s v="Ats On"/>
    <n v="1350"/>
    <n v="326030490"/>
    <s v="Prateleiras"/>
    <x v="9"/>
    <n v="1000"/>
    <n v="5004042"/>
    <s v="BRASIL WEB TRANSPORTES E LOGISTICA"/>
    <n v="15.76"/>
    <d v="2025-06-10T00:00:00"/>
  </r>
  <r>
    <n v="254042206"/>
    <n v="64795942"/>
    <s v="REB"/>
    <n v="10084877"/>
    <n v="176"/>
    <s v="PEÇAS - Defeito de fabric./Interrompido"/>
    <s v="FUNCIONAL"/>
    <x v="0"/>
    <n v="4425"/>
    <x v="305"/>
    <s v="SC"/>
    <n v="931"/>
    <s v="Ats Off"/>
    <n v="1350"/>
    <s v="W10588273"/>
    <s v="Eletrodos"/>
    <x v="12"/>
    <n v="1000"/>
    <n v="5003024"/>
    <s v="RODOBRAS TRANSPORTES RODOVIARIOS LT"/>
    <n v="15.76"/>
    <d v="2025-06-23T00:00:00"/>
  </r>
  <r>
    <n v="253907551"/>
    <n v="64676759"/>
    <s v="REB"/>
    <n v="9766579"/>
    <n v="176"/>
    <s v="PEÇAS - Defeito de fabric./Interrompido"/>
    <s v="FUNCIONAL"/>
    <x v="2"/>
    <n v="24089"/>
    <x v="134"/>
    <s v="RJ"/>
    <n v="931"/>
    <s v="Ats Off"/>
    <n v="1350"/>
    <s v="W10531315"/>
    <s v="Sensores"/>
    <x v="3"/>
    <n v="2000"/>
    <n v="5003176"/>
    <s v="J C THEDIN TRANSPORTES LTDA"/>
    <n v="15.61"/>
    <d v="2024-12-23T00:00:00"/>
  </r>
  <r>
    <n v="253913084"/>
    <n v="64684935"/>
    <s v="REB"/>
    <n v="9803766"/>
    <n v="176"/>
    <s v="PEÇAS - Defeito de fabric./Interrompido"/>
    <s v="FUNCIONAL"/>
    <x v="2"/>
    <n v="24089"/>
    <x v="134"/>
    <s v="RJ"/>
    <n v="931"/>
    <s v="Ats Off"/>
    <n v="1350"/>
    <s v="W10883305"/>
    <s v="Redes Elétricas"/>
    <x v="1"/>
    <n v="1000"/>
    <n v="5003176"/>
    <s v="J C THEDIN TRANSPORTES LTDA"/>
    <n v="15.41"/>
    <d v="2025-01-06T00:00:00"/>
  </r>
  <r>
    <n v="253953775"/>
    <n v="64730448"/>
    <s v="REB"/>
    <n v="9863183"/>
    <n v="90"/>
    <s v="CLIENTE-não solicitou"/>
    <s v="COMERCIAL"/>
    <x v="2"/>
    <n v="27825"/>
    <x v="116"/>
    <s v="SP"/>
    <n v="641"/>
    <s v="CDP Diamante"/>
    <n v="1350"/>
    <s v="W10455510"/>
    <s v="Prateleiras"/>
    <x v="9"/>
    <n v="1000"/>
    <n v="5004042"/>
    <s v="BRASIL WEB TRANSPORTES E LOGISTICA"/>
    <n v="15.21"/>
    <d v="2025-03-14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0602056"/>
    <s v="Botões"/>
    <x v="6"/>
    <n v="1000"/>
    <n v="5004042"/>
    <s v="BRASIL WEB TRANSPORTES E LOGISTICA"/>
    <n v="14.26"/>
    <d v="2025-07-08T00:00:00"/>
  </r>
  <r>
    <n v="254012433"/>
    <n v="64789339"/>
    <s v="REB"/>
    <n v="10002274"/>
    <n v="176"/>
    <s v="PEÇAS - Defeito de fabric./Interrompido"/>
    <s v="FUNCIONAL"/>
    <x v="2"/>
    <n v="66"/>
    <x v="73"/>
    <s v="GO"/>
    <n v="931"/>
    <s v="Ats Off"/>
    <n v="1350"/>
    <s v="W10916385"/>
    <s v="Tampas Móveis"/>
    <x v="6"/>
    <n v="1000"/>
    <n v="5002858"/>
    <s v="FAVORITA TRANSPORTES LTDA"/>
    <n v="14.18"/>
    <d v="2025-06-10T00:00:00"/>
  </r>
  <r>
    <n v="254018178"/>
    <n v="64775331"/>
    <s v="REB"/>
    <n v="10032158"/>
    <n v="176"/>
    <s v="PEÇAS - Defeito de fabric./Interrompido"/>
    <s v="FUNCIONAL"/>
    <x v="1"/>
    <n v="3506"/>
    <x v="46"/>
    <s v="SP"/>
    <n v="931"/>
    <s v="Ats Off"/>
    <n v="1350"/>
    <s v="W10558924"/>
    <s v="Parafusos e afins"/>
    <x v="10"/>
    <n v="2000"/>
    <n v="5004042"/>
    <s v="BRASIL WEB TRANSPORTES E LOGISTICA"/>
    <n v="13.95"/>
    <d v="2025-06-17T00:00:00"/>
  </r>
  <r>
    <n v="253998018"/>
    <n v="64767336"/>
    <s v="ZDVP"/>
    <n v="9909354"/>
    <n v="173"/>
    <s v="PEÇAS - Defeito de fabric./Alta Amperage"/>
    <s v="FUNCIONAL"/>
    <x v="2"/>
    <n v="21295"/>
    <x v="2"/>
    <s v="SP"/>
    <n v="648"/>
    <s v="Ultra"/>
    <n v="1350"/>
    <s v="W10606115"/>
    <s v="Polias/Roldanas"/>
    <x v="2"/>
    <n v="1000"/>
    <n v="5004042"/>
    <s v="BRASIL WEB TRANSPORTES E LOGISTICA"/>
    <n v="13.92"/>
    <d v="2025-05-16T00:00:00"/>
  </r>
  <r>
    <n v="253918546"/>
    <n v="64691706"/>
    <s v="REB"/>
    <n v="9810790"/>
    <n v="671"/>
    <s v="DEV-ENVIADO PARA GESTÃO DE CONSEQUENCIA"/>
    <s v="TRANSPORTADORA"/>
    <x v="2"/>
    <n v="9015"/>
    <x v="72"/>
    <s v="SC"/>
    <n v="931"/>
    <s v="Ats Off"/>
    <n v="1350"/>
    <s v="W10440011"/>
    <s v="Filtros"/>
    <x v="5"/>
    <n v="1000"/>
    <n v="5003024"/>
    <s v="RODOBRAS TRANSPORTES RODOVIARIOS LT"/>
    <n v="13.71"/>
    <d v="2025-01-15T00:00:00"/>
  </r>
  <r>
    <n v="254033098"/>
    <n v="64807209"/>
    <s v="REB"/>
    <n v="10029452"/>
    <n v="176"/>
    <s v="PEÇAS - Defeito de fabric./Interrompido"/>
    <s v="FUNCIONAL"/>
    <x v="2"/>
    <n v="66"/>
    <x v="73"/>
    <s v="GO"/>
    <n v="931"/>
    <s v="Ats Off"/>
    <n v="1350"/>
    <s v="W11509806"/>
    <s v="Conexões Hidráulicas"/>
    <x v="10"/>
    <n v="1000"/>
    <n v="5002858"/>
    <s v="FAVORITA TRANSPORTES LTDA"/>
    <n v="13.65"/>
    <d v="2025-07-08T00:00:00"/>
  </r>
  <r>
    <n v="254012433"/>
    <n v="64789444"/>
    <s v="REB"/>
    <n v="9872627"/>
    <n v="176"/>
    <s v="PEÇAS - Defeito de fabric./Interrompido"/>
    <s v="FUNCIONAL"/>
    <x v="2"/>
    <n v="66"/>
    <x v="73"/>
    <s v="GO"/>
    <n v="931"/>
    <s v="Ats Off"/>
    <n v="1350"/>
    <s v="W11102758"/>
    <s v="Bombas"/>
    <x v="1"/>
    <n v="1000"/>
    <n v="5002858"/>
    <s v="FAVORITA TRANSPORTES LTDA"/>
    <n v="13.25"/>
    <d v="2025-06-10T00:00:00"/>
  </r>
  <r>
    <n v="254032389"/>
    <n v="64810696"/>
    <s v="ROB"/>
    <n v="10114611"/>
    <n v="115"/>
    <s v="PEÇAS-Recusa do cliente"/>
    <s v="COMERCIAL"/>
    <x v="2"/>
    <n v="9991"/>
    <x v="86"/>
    <s v="DF"/>
    <n v="648"/>
    <s v="Ultra"/>
    <n v="1350"/>
    <s v="W10562959"/>
    <s v="Parafusos e afins"/>
    <x v="10"/>
    <n v="10000"/>
    <n v="5002858"/>
    <s v="FAVORITA TRANSPORTES LTDA"/>
    <n v="12.89"/>
    <d v="2025-07-15T00:00:00"/>
  </r>
  <r>
    <n v="254003848"/>
    <n v="64772068"/>
    <s v="REB"/>
    <n v="9969682"/>
    <n v="176"/>
    <s v="PEÇAS - Defeito de fabric./Interrompido"/>
    <s v="FUNCIONAL"/>
    <x v="2"/>
    <n v="3506"/>
    <x v="46"/>
    <s v="SP"/>
    <n v="931"/>
    <s v="Ats Off"/>
    <n v="1350"/>
    <s v="W10257565"/>
    <s v="Fusíveis/Fusíveis térmicos"/>
    <x v="1"/>
    <n v="1000"/>
    <n v="5004042"/>
    <s v="BRASIL WEB TRANSPORTES E LOGISTICA"/>
    <n v="12.46"/>
    <d v="2025-05-26T00:00:00"/>
  </r>
  <r>
    <n v="254024138"/>
    <n v="64803770"/>
    <s v="ZRDI"/>
    <n v="10065989"/>
    <n v="208"/>
    <s v="DEV-Atraso entrega- LOGISTICA(Transp)"/>
    <s v="TRANSPORTADORA"/>
    <x v="2"/>
    <n v="58061837"/>
    <x v="2037"/>
    <s v="PR"/>
    <n v="475"/>
    <s v="Site Consul"/>
    <n v="1352"/>
    <s v="W11324441"/>
    <s v="Trilhos"/>
    <x v="6"/>
    <n v="1000"/>
    <n v="5002359"/>
    <s v="EMPRESA BRASILEIRA DE CORREIOS E"/>
    <n v="12.12"/>
    <d v="2025-07-01T00:00:00"/>
  </r>
  <r>
    <n v="254007513"/>
    <n v="64782292"/>
    <s v="REB"/>
    <n v="9509612"/>
    <n v="176"/>
    <s v="PEÇAS - Defeito de fabric./Interrompido"/>
    <s v="FUNCIONAL"/>
    <x v="2"/>
    <n v="3506"/>
    <x v="46"/>
    <s v="SP"/>
    <n v="931"/>
    <s v="Ats Off"/>
    <n v="1350"/>
    <n v="326051258"/>
    <s v="Interruptores"/>
    <x v="3"/>
    <n v="1000"/>
    <n v="5004042"/>
    <s v="BRASIL WEB TRANSPORTES E LOGISTICA"/>
    <n v="12.07"/>
    <d v="2025-06-02T00:00:00"/>
  </r>
  <r>
    <n v="254003856"/>
    <n v="64778134"/>
    <s v="REB"/>
    <n v="9920039"/>
    <n v="176"/>
    <s v="PEÇAS - Defeito de fabric./Interrompido"/>
    <s v="FUNCIONAL"/>
    <x v="2"/>
    <n v="3506"/>
    <x v="46"/>
    <s v="SP"/>
    <n v="931"/>
    <s v="Ats Off"/>
    <n v="1350"/>
    <s v="W11652005"/>
    <s v="Lâmpadas"/>
    <x v="1"/>
    <n v="1000"/>
    <n v="5004042"/>
    <s v="BRASIL WEB TRANSPORTES E LOGISTICA"/>
    <n v="11.69"/>
    <d v="2025-05-26T00:00:00"/>
  </r>
  <r>
    <s v="Sem TR"/>
    <n v="64813778"/>
    <s v="REB"/>
    <n v="10109056"/>
    <n v="176"/>
    <s v="PEÇAS - Defeito de fabric./Interrompido"/>
    <s v="FUNCIONAL"/>
    <x v="1"/>
    <n v="67948"/>
    <x v="15"/>
    <s v="SC"/>
    <n v="713"/>
    <s v="Key Account"/>
    <n v="1350"/>
    <n v="326015416"/>
    <s v="Polias/Roldanas"/>
    <x v="2"/>
    <n v="1000"/>
    <n v="5003024"/>
    <s v="RODOBRAS TRANSPORTES RODOVIARIOS LT"/>
    <n v="11.49"/>
    <d v="2025-07-25T00:00:00"/>
  </r>
  <r>
    <n v="254018178"/>
    <n v="64793142"/>
    <s v="REB"/>
    <n v="10046173"/>
    <n v="176"/>
    <s v="PEÇAS - Defeito de fabric./Interrompido"/>
    <s v="FUNCIONAL"/>
    <x v="1"/>
    <n v="3506"/>
    <x v="46"/>
    <s v="SP"/>
    <n v="931"/>
    <s v="Ats Off"/>
    <n v="1350"/>
    <s v="W11102757"/>
    <s v="Gaxetas"/>
    <x v="4"/>
    <n v="1000"/>
    <n v="5004042"/>
    <s v="BRASIL WEB TRANSPORTES E LOGISTICA"/>
    <n v="11.46"/>
    <d v="2025-06-17T00:00:00"/>
  </r>
  <r>
    <s v="Sem TR"/>
    <n v="64805731"/>
    <s v="REB"/>
    <n v="10086816"/>
    <n v="509"/>
    <s v="Qtd de peças a Menor dentro do Volume"/>
    <s v="LOGÍSTICA"/>
    <x v="1"/>
    <n v="48597"/>
    <x v="60"/>
    <s v="MG"/>
    <n v="713"/>
    <s v="Key Account"/>
    <n v="1350"/>
    <n v="326065990"/>
    <s v="Recipientes de Evaporação"/>
    <x v="9"/>
    <n v="1000"/>
    <n v="5002359"/>
    <s v="EMPRESA BRASILEIRA DE CORREIOS E"/>
    <n v="11.45"/>
    <d v="2025-07-08T00:00:00"/>
  </r>
  <r>
    <n v="254038270"/>
    <n v="64814890"/>
    <s v="REB"/>
    <n v="10106637"/>
    <n v="176"/>
    <s v="PEÇAS - Defeito de fabric./Interrompido"/>
    <s v="FUNCIONAL"/>
    <x v="1"/>
    <n v="4318"/>
    <x v="89"/>
    <s v="SC"/>
    <n v="931"/>
    <s v="Ats Off"/>
    <n v="1350"/>
    <s v="W11045220"/>
    <s v="Termostatos"/>
    <x v="3"/>
    <n v="1000"/>
    <n v="5003024"/>
    <s v="RODOBRAS TRANSPORTES RODOVIARIOS LT"/>
    <n v="11.41"/>
    <d v="2025-07-22T00:00:00"/>
  </r>
  <r>
    <n v="254038387"/>
    <n v="64814653"/>
    <s v="REB"/>
    <n v="10066678"/>
    <n v="176"/>
    <s v="PEÇAS - Defeito de fabric./Interrompido"/>
    <s v="FUNCIONAL"/>
    <x v="1"/>
    <n v="67948"/>
    <x v="15"/>
    <s v="SC"/>
    <n v="713"/>
    <s v="Key Account"/>
    <n v="1350"/>
    <s v="W10606115"/>
    <s v="Polias/Roldanas"/>
    <x v="2"/>
    <n v="1000"/>
    <n v="5003024"/>
    <s v="RODOBRAS TRANSPORTES RODOVIARIOS LT"/>
    <n v="11.23"/>
    <d v="2025-07-22T00:00:00"/>
  </r>
  <r>
    <n v="254041620"/>
    <n v="64772100"/>
    <s v="REB"/>
    <n v="9957827"/>
    <n v="90"/>
    <s v="CLIENTE-não solicitou"/>
    <s v="COMERCIAL"/>
    <x v="0"/>
    <n v="42046"/>
    <x v="293"/>
    <s v="PE"/>
    <n v="350"/>
    <s v="Ats On"/>
    <n v="1350"/>
    <s v="W10911679"/>
    <s v="Suportes"/>
    <x v="6"/>
    <n v="1000"/>
    <n v="5004101"/>
    <s v="UNIDOCK'S ASSESSORIA E LOGISTICA DE"/>
    <n v="11.08"/>
    <d v="2025-05-16T00:00:00"/>
  </r>
  <r>
    <n v="254033404"/>
    <n v="64802371"/>
    <s v="REB"/>
    <n v="10085671"/>
    <n v="170"/>
    <s v="PEÇAS - Avaria - Riscada/Depósito"/>
    <s v="LOGÍSTICA"/>
    <x v="1"/>
    <n v="38014"/>
    <x v="791"/>
    <s v="PA"/>
    <n v="641"/>
    <s v="CDP Diamante"/>
    <n v="1350"/>
    <s v="W10602056"/>
    <s v="Botões"/>
    <x v="6"/>
    <n v="1000"/>
    <n v="5002858"/>
    <s v="FAVORITA TRANSPORTES LTDA"/>
    <n v="10.84"/>
    <d v="2025-07-08T00:00:00"/>
  </r>
  <r>
    <n v="254018178"/>
    <n v="64775331"/>
    <s v="REB"/>
    <n v="10032158"/>
    <n v="176"/>
    <s v="PEÇAS - Defeito de fabric./Interrompido"/>
    <s v="FUNCIONAL"/>
    <x v="1"/>
    <n v="3506"/>
    <x v="46"/>
    <s v="SP"/>
    <n v="931"/>
    <s v="Ats Off"/>
    <n v="1350"/>
    <s v="W10305572"/>
    <s v="Suportes"/>
    <x v="6"/>
    <n v="1000"/>
    <n v="5004042"/>
    <s v="BRASIL WEB TRANSPORTES E LOGISTICA"/>
    <n v="10.82"/>
    <d v="2025-06-17T00:00:00"/>
  </r>
  <r>
    <n v="254033402"/>
    <n v="64799850"/>
    <s v="REB"/>
    <n v="10015525"/>
    <n v="173"/>
    <s v="PEÇAS - Defeito de fabric./Alta Amperage"/>
    <s v="FUNCIONAL"/>
    <x v="1"/>
    <n v="37434"/>
    <x v="95"/>
    <s v="GO"/>
    <n v="931"/>
    <s v="Ats Off"/>
    <n v="1350"/>
    <s v="W11574388"/>
    <s v="Capacitores"/>
    <x v="1"/>
    <n v="1000"/>
    <n v="5002858"/>
    <s v="FAVORITA TRANSPORTES LTDA"/>
    <n v="10.6"/>
    <d v="2025-07-01T00:00:00"/>
  </r>
  <r>
    <s v="Sem TR"/>
    <n v="64781393"/>
    <s v="REB"/>
    <n v="10041132"/>
    <n v="509"/>
    <s v="Qtd de peças a Menor dentro do Volume"/>
    <s v="LOGÍSTICA"/>
    <x v="1"/>
    <n v="32856"/>
    <x v="60"/>
    <s v="PR"/>
    <n v="713"/>
    <s v="Key Account"/>
    <n v="1350"/>
    <s v="W11294885"/>
    <s v="Micro Chaves/Reed Switches"/>
    <x v="3"/>
    <n v="1000"/>
    <n v="5002359"/>
    <s v="EMPRESA BRASILEIRA DE CORREIOS E"/>
    <n v="10.54"/>
    <d v="2025-06-10T00:00:00"/>
  </r>
  <r>
    <n v="254033469"/>
    <n v="64800553"/>
    <s v="REB"/>
    <n v="10056636"/>
    <n v="173"/>
    <s v="PEÇAS - Defeito de fabric./Alta Amperage"/>
    <s v="FUNCIONAL"/>
    <x v="1"/>
    <n v="83387"/>
    <x v="454"/>
    <s v="RJ"/>
    <n v="350"/>
    <s v="Ats On"/>
    <n v="1350"/>
    <s v="W11349635"/>
    <s v="Protetores Térmicos"/>
    <x v="1"/>
    <n v="1000"/>
    <n v="5003176"/>
    <s v="J C THEDIN TRANSPORTES LTDA"/>
    <n v="10.53"/>
    <d v="2025-07-01T00:00:00"/>
  </r>
  <r>
    <n v="254031621"/>
    <n v="64787203"/>
    <s v="REB"/>
    <n v="10058279"/>
    <n v="176"/>
    <s v="PEÇAS - Defeito de fabric./Interrompido"/>
    <s v="FUNCIONAL"/>
    <x v="1"/>
    <n v="3506"/>
    <x v="46"/>
    <s v="SP"/>
    <n v="931"/>
    <s v="Ats Off"/>
    <n v="1350"/>
    <s v="W10895545"/>
    <s v="Dobradiças"/>
    <x v="10"/>
    <n v="1000"/>
    <n v="5004042"/>
    <s v="BRASIL WEB TRANSPORTES E LOGISTICA"/>
    <n v="10.48"/>
    <d v="2025-06-24T00:00:00"/>
  </r>
  <r>
    <s v="Sem TR"/>
    <n v="64813183"/>
    <s v="ZRDI"/>
    <n v="10128420"/>
    <s v="D10"/>
    <s v="DEV D2C - Comprou modelo errado"/>
    <s v="COMERCIAL"/>
    <x v="2"/>
    <n v="4382397"/>
    <x v="1805"/>
    <s v="SP"/>
    <n v="346"/>
    <s v="Carteira B"/>
    <n v="1352"/>
    <s v="W10288100"/>
    <s v="Conexões Hidráulicas"/>
    <x v="10"/>
    <n v="1000"/>
    <n v="5002359"/>
    <s v="EMPRESA BRASILEIRA DE CORREIOS E"/>
    <n v="10.32"/>
    <d v="2025-07-22T00:00:00"/>
  </r>
  <r>
    <s v="Sem TR"/>
    <n v="64813183"/>
    <s v="ZRDI"/>
    <n v="10128420"/>
    <s v="D10"/>
    <s v="DEV D2C - Comprou modelo errado"/>
    <s v="COMERCIAL"/>
    <x v="2"/>
    <n v="4382397"/>
    <x v="1805"/>
    <s v="SP"/>
    <n v="346"/>
    <s v="Carteira B"/>
    <n v="1352"/>
    <s v="W10288100"/>
    <s v="Conexões Hidráulicas"/>
    <x v="10"/>
    <n v="1000"/>
    <n v="5002359"/>
    <s v="EMPRESA BRASILEIRA DE CORREIOS E"/>
    <n v="10.32"/>
    <d v="2025-07-22T00:00:00"/>
  </r>
  <r>
    <s v="Sem TR"/>
    <n v="64697413"/>
    <s v="ROB"/>
    <n v="9817170"/>
    <n v="221"/>
    <s v="DEV-Sinistro - SEGURO"/>
    <s v="TRANSPORTADORA"/>
    <x v="0"/>
    <n v="46743"/>
    <x v="2038"/>
    <s v="SC"/>
    <n v="350"/>
    <s v="Ats On"/>
    <n v="1350"/>
    <s v="W11551361"/>
    <s v="Peças Mecanismos"/>
    <x v="2"/>
    <n v="1000"/>
    <n v="5003024"/>
    <s v="RODOBRAS TRANSPORTES RODOVIARIOS LT"/>
    <n v="10.32"/>
    <d v="2025-01-28T00:00:00"/>
  </r>
  <r>
    <n v="254018176"/>
    <n v="64769878"/>
    <s v="REB"/>
    <n v="10027640"/>
    <n v="177"/>
    <s v="PEÇAS - Defeito de fabric./Ruído"/>
    <s v="FUNCIONAL"/>
    <x v="1"/>
    <n v="3506"/>
    <x v="46"/>
    <s v="SP"/>
    <n v="931"/>
    <s v="Ats Off"/>
    <n v="1350"/>
    <s v="W11448418"/>
    <s v="Polias/Roldanas"/>
    <x v="2"/>
    <n v="1000"/>
    <n v="5004042"/>
    <s v="BRASIL WEB TRANSPORTES E LOGISTICA"/>
    <n v="10.26"/>
    <d v="2025-06-17T00:00:00"/>
  </r>
  <r>
    <s v="Sem TR"/>
    <n v="64782225"/>
    <s v="REB"/>
    <n v="10036771"/>
    <n v="509"/>
    <s v="Qtd de peças a Menor dentro do Volume"/>
    <s v="LOGÍSTICA"/>
    <x v="1"/>
    <n v="27253"/>
    <x v="167"/>
    <s v="PI"/>
    <n v="931"/>
    <s v="Ats Off"/>
    <n v="1350"/>
    <n v="326061888"/>
    <s v="Recipientes de Evaporação"/>
    <x v="9"/>
    <n v="1000"/>
    <n v="5002359"/>
    <s v="EMPRESA BRASILEIRA DE CORREIOS E"/>
    <n v="10.210000000000001"/>
    <d v="2025-06-02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0470951"/>
    <s v="Correias"/>
    <x v="2"/>
    <n v="1000"/>
    <n v="5002359"/>
    <s v="EMPRESA BRASILEIRA DE CORREIOS E"/>
    <n v="10.19"/>
    <d v="2025-05-20T00:00:00"/>
  </r>
  <r>
    <n v="254033449"/>
    <n v="64806386"/>
    <s v="REB"/>
    <n v="10056885"/>
    <n v="90"/>
    <s v="CLIENTE-não solicitou"/>
    <s v="COMERCIAL"/>
    <x v="1"/>
    <n v="73724"/>
    <x v="196"/>
    <s v="SP"/>
    <n v="644"/>
    <s v="Plus"/>
    <n v="1350"/>
    <s v="W11112652"/>
    <s v="Botões"/>
    <x v="6"/>
    <n v="1000"/>
    <n v="5004042"/>
    <s v="BRASIL WEB TRANSPORTES E LOGISTICA"/>
    <n v="10.19"/>
    <d v="2025-07-08T00:00:00"/>
  </r>
  <r>
    <n v="254031824"/>
    <n v="64792042"/>
    <s v="REB"/>
    <n v="10027640"/>
    <n v="176"/>
    <s v="PEÇAS - Defeito de fabric./Interrompido"/>
    <s v="FUNCIONAL"/>
    <x v="1"/>
    <n v="3506"/>
    <x v="46"/>
    <s v="SP"/>
    <n v="931"/>
    <s v="Ats Off"/>
    <n v="1350"/>
    <s v="W10470951"/>
    <s v="Correias"/>
    <x v="2"/>
    <n v="1000"/>
    <n v="5004042"/>
    <s v="BRASIL WEB TRANSPORTES E LOGISTICA"/>
    <n v="10.16"/>
    <d v="2025-06-24T00:00:00"/>
  </r>
  <r>
    <n v="254031827"/>
    <n v="64792048"/>
    <s v="REB"/>
    <n v="10027640"/>
    <n v="176"/>
    <s v="PEÇAS - Defeito de fabric./Interrompido"/>
    <s v="FUNCIONAL"/>
    <x v="1"/>
    <n v="3506"/>
    <x v="46"/>
    <s v="SP"/>
    <n v="931"/>
    <s v="Ats Off"/>
    <n v="1350"/>
    <s v="W10470951"/>
    <s v="Correias"/>
    <x v="2"/>
    <n v="1000"/>
    <n v="5004042"/>
    <s v="BRASIL WEB TRANSPORTES E LOGISTICA"/>
    <n v="10.16"/>
    <d v="2025-06-24T00:00:00"/>
  </r>
  <r>
    <n v="254018178"/>
    <n v="64793232"/>
    <s v="REB"/>
    <n v="10027640"/>
    <n v="177"/>
    <s v="PEÇAS - Defeito de fabric./Ruído"/>
    <s v="FUNCIONAL"/>
    <x v="1"/>
    <n v="3506"/>
    <x v="46"/>
    <s v="SP"/>
    <n v="931"/>
    <s v="Ats Off"/>
    <n v="1350"/>
    <s v="W10470951"/>
    <s v="Correias"/>
    <x v="2"/>
    <n v="1000"/>
    <n v="5004042"/>
    <s v="BRASIL WEB TRANSPORTES E LOGISTICA"/>
    <n v="10.16"/>
    <d v="2025-06-17T00:00:00"/>
  </r>
  <r>
    <n v="253988935"/>
    <n v="64759653"/>
    <s v="REB"/>
    <n v="9689715"/>
    <n v="173"/>
    <s v="PEÇAS - Defeito de fabric./Alta Amperage"/>
    <s v="FUNCIONAL"/>
    <x v="1"/>
    <n v="81093"/>
    <x v="53"/>
    <s v="ES"/>
    <n v="713"/>
    <s v="Key Account"/>
    <n v="1350"/>
    <s v="W11551361"/>
    <s v="Peças Mecanismos"/>
    <x v="2"/>
    <n v="1000"/>
    <n v="5004042"/>
    <s v="BRASIL WEB TRANSPORTES E LOGISTICA"/>
    <n v="10.14"/>
    <d v="2025-05-05T00:00:00"/>
  </r>
  <r>
    <n v="253953764"/>
    <n v="64731181"/>
    <s v="REB"/>
    <n v="9859243"/>
    <n v="90"/>
    <s v="CLIENTE-não solicitou"/>
    <s v="COMERCIAL"/>
    <x v="1"/>
    <n v="22985"/>
    <x v="247"/>
    <s v="SC"/>
    <n v="641"/>
    <s v="CDP Diamante"/>
    <n v="1350"/>
    <s v="W10895545"/>
    <s v="Dobradiças"/>
    <x v="10"/>
    <n v="1000"/>
    <n v="5003024"/>
    <s v="RODOBRAS TRANSPORTES RODOVIARIOS LT"/>
    <n v="10.039999999999999"/>
    <d v="2025-03-14T00:00:00"/>
  </r>
  <r>
    <n v="253955170"/>
    <n v="64733661"/>
    <s v="ROB"/>
    <n v="48916"/>
    <n v="166"/>
    <s v="INATIVO - PEÇAS  - Avaria - Queb.TRANSP."/>
    <s v="TRANSPORTADORA"/>
    <x v="2"/>
    <n v="1334"/>
    <x v="188"/>
    <s v="PI"/>
    <n v="350"/>
    <s v="Ats On"/>
    <n v="1550"/>
    <s v="W10470951"/>
    <s v="Correias"/>
    <x v="2"/>
    <n v="1000"/>
    <n v="5000253"/>
    <s v="TRANSPORTADOR GENERICO"/>
    <n v="9.93"/>
    <d v="2025-03-18T00:00:00"/>
  </r>
  <r>
    <n v="253970698"/>
    <n v="64748843"/>
    <s v="REB"/>
    <n v="9971536"/>
    <n v="176"/>
    <s v="PEÇAS - Defeito de fabric./Interrompido"/>
    <s v="FUNCIONAL"/>
    <x v="2"/>
    <n v="3506"/>
    <x v="46"/>
    <s v="SP"/>
    <n v="931"/>
    <s v="Ats Off"/>
    <n v="1350"/>
    <n v="326039608"/>
    <s v="Suportes"/>
    <x v="6"/>
    <n v="1000"/>
    <n v="5004042"/>
    <s v="BRASIL WEB TRANSPORTES E LOGISTICA"/>
    <n v="9.6300000000000008"/>
    <d v="2025-04-09T00:00:00"/>
  </r>
  <r>
    <s v="Sem TR"/>
    <n v="64814854"/>
    <s v="REB"/>
    <n v="10121006"/>
    <n v="176"/>
    <s v="PEÇAS - Defeito de fabric./Interrompido"/>
    <s v="FUNCIONAL"/>
    <x v="1"/>
    <n v="10164"/>
    <x v="183"/>
    <s v="PB"/>
    <n v="931"/>
    <s v="Ats Off"/>
    <n v="1350"/>
    <s v="W10470951"/>
    <s v="Correias"/>
    <x v="2"/>
    <n v="1000"/>
    <n v="5004101"/>
    <s v="UNIDOCK'S ASSESSORIA E LOGISTICA DE"/>
    <n v="9.6"/>
    <d v="2025-07-22T00:00:00"/>
  </r>
  <r>
    <n v="254012159"/>
    <n v="64790270"/>
    <s v="ROB"/>
    <n v="10029696"/>
    <n v="115"/>
    <s v="PEÇAS-Recusa do cliente"/>
    <s v="COMERCIAL"/>
    <x v="2"/>
    <n v="67948"/>
    <x v="15"/>
    <s v="SC"/>
    <n v="713"/>
    <s v="Key Account"/>
    <n v="1350"/>
    <s v="W10811561"/>
    <s v="Outros"/>
    <x v="7"/>
    <n v="1000"/>
    <n v="5003024"/>
    <s v="RODOBRAS TRANSPORTES RODOVIARIOS LT"/>
    <n v="9.58"/>
    <d v="2025-06-11T00:00:00"/>
  </r>
  <r>
    <n v="254013133"/>
    <n v="64739545"/>
    <s v="REB"/>
    <n v="9917345"/>
    <n v="176"/>
    <s v="PEÇAS - Defeito de fabric./Interrompido"/>
    <s v="FUNCIONAL"/>
    <x v="2"/>
    <n v="22041"/>
    <x v="70"/>
    <s v="SP"/>
    <n v="931"/>
    <s v="Ats Off"/>
    <n v="1350"/>
    <s v="W11682256"/>
    <s v="Filtro Secadores"/>
    <x v="0"/>
    <n v="1000"/>
    <n v="5004042"/>
    <s v="BRASIL WEB TRANSPORTES E LOGISTICA"/>
    <n v="9.5"/>
    <d v="2025-03-26T00:00:00"/>
  </r>
  <r>
    <n v="253992696"/>
    <n v="64768449"/>
    <s v="REB"/>
    <n v="10022444"/>
    <n v="104"/>
    <s v="PEÇAS-Código trocado(embalag X conteúdo)"/>
    <s v="LOGÍSTICA"/>
    <x v="1"/>
    <n v="9452"/>
    <x v="42"/>
    <s v="SP"/>
    <n v="931"/>
    <s v="Ats Off"/>
    <n v="1350"/>
    <s v="W10224624"/>
    <s v="Queimadores"/>
    <x v="12"/>
    <n v="1000"/>
    <n v="5004042"/>
    <s v="BRASIL WEB TRANSPORTES E LOGISTICA"/>
    <n v="9.4600000000000009"/>
    <d v="2025-05-12T00:00:00"/>
  </r>
  <r>
    <n v="253995078"/>
    <n v="64771032"/>
    <s v="REB"/>
    <n v="10027668"/>
    <n v="104"/>
    <s v="PEÇAS-Código trocado(embalag X conteúdo)"/>
    <s v="LOGÍSTICA"/>
    <x v="1"/>
    <n v="9452"/>
    <x v="42"/>
    <s v="SP"/>
    <n v="931"/>
    <s v="Ats Off"/>
    <n v="1350"/>
    <s v="W10224624"/>
    <s v="Queimadores"/>
    <x v="12"/>
    <n v="1000"/>
    <n v="5004042"/>
    <s v="BRASIL WEB TRANSPORTES E LOGISTICA"/>
    <n v="9.4600000000000009"/>
    <d v="2025-05-15T00:00:00"/>
  </r>
  <r>
    <n v="254041921"/>
    <n v="64819455"/>
    <s v="ZRDI"/>
    <n v="10153807"/>
    <s v="D18"/>
    <s v="DEV D2C - Arrependimento não quero mais"/>
    <s v="COMERCIAL"/>
    <x v="1"/>
    <n v="57070247"/>
    <x v="2039"/>
    <s v="SP"/>
    <n v="474"/>
    <s v="Site Brastemp"/>
    <n v="1352"/>
    <s v="W11324441"/>
    <s v="Trilhos"/>
    <x v="6"/>
    <n v="1000"/>
    <n v="5003972"/>
    <s v="ICARO EXPRESS LOGISTICA LTDA"/>
    <n v="9.39"/>
    <d v="2025-07-29T00:00:00"/>
  </r>
  <r>
    <n v="254033440"/>
    <n v="64807116"/>
    <s v="REB"/>
    <n v="10100332"/>
    <n v="104"/>
    <s v="PEÇAS-Código trocado(embalag X conteúdo)"/>
    <s v="LOGÍSTICA"/>
    <x v="1"/>
    <n v="69166"/>
    <x v="129"/>
    <s v="RJ"/>
    <n v="931"/>
    <s v="Ats Off"/>
    <n v="1350"/>
    <s v="W10224624"/>
    <s v="Queimadores"/>
    <x v="12"/>
    <n v="1000"/>
    <n v="5003176"/>
    <s v="J C THEDIN TRANSPORTES LTDA"/>
    <n v="9.32"/>
    <d v="2025-07-08T00:00:00"/>
  </r>
  <r>
    <s v="Sem TR"/>
    <n v="64782432"/>
    <s v="REB"/>
    <n v="10066829"/>
    <n v="509"/>
    <s v="Qtd de peças a Menor dentro do Volume"/>
    <s v="LOGÍSTICA"/>
    <x v="1"/>
    <n v="86964"/>
    <x v="345"/>
    <s v="PB"/>
    <n v="713"/>
    <s v="Key Account"/>
    <n v="1350"/>
    <n v="326065990"/>
    <s v="Recipientes de Evaporação"/>
    <x v="9"/>
    <n v="1000"/>
    <n v="5002359"/>
    <s v="EMPRESA BRASILEIRA DE CORREIOS E"/>
    <n v="9.2799999999999994"/>
    <d v="2025-06-24T00:00:00"/>
  </r>
  <r>
    <n v="254033436"/>
    <n v="64796180"/>
    <s v="REB"/>
    <n v="10090175"/>
    <n v="509"/>
    <s v="Qtd de peças a Menor dentro do Volume"/>
    <s v="LOGÍSTICA"/>
    <x v="2"/>
    <n v="67948"/>
    <x v="15"/>
    <s v="SC"/>
    <n v="713"/>
    <s v="Key Account"/>
    <n v="1350"/>
    <s v="W10647948"/>
    <s v="Suportes"/>
    <x v="6"/>
    <n v="1000"/>
    <n v="5003024"/>
    <s v="RODOBRAS TRANSPORTES RODOVIARIOS LT"/>
    <n v="9.24"/>
    <d v="2025-07-01T00:00:00"/>
  </r>
  <r>
    <s v="Sem TR"/>
    <n v="64766729"/>
    <s v="ROB"/>
    <n v="50548"/>
    <n v="671"/>
    <s v="DEV-ENVIADO PARA GESTÃO DE CONSEQUENCIA"/>
    <s v="TRANSPORTADORA"/>
    <x v="2"/>
    <n v="65630"/>
    <x v="1167"/>
    <s v="BA"/>
    <n v="350"/>
    <s v="Ats On"/>
    <n v="1550"/>
    <s v="W10897149"/>
    <s v="Rolamentos"/>
    <x v="2"/>
    <n v="1000"/>
    <n v="5004391"/>
    <s v="JEONCEL TRANSPORTES LTDA"/>
    <n v="9.23"/>
    <d v="2025-05-08T00:00:00"/>
  </r>
  <r>
    <n v="254003852"/>
    <n v="64778085"/>
    <s v="REB"/>
    <n v="9600839"/>
    <n v="176"/>
    <s v="PEÇAS - Defeito de fabric./Interrompido"/>
    <s v="FUNCIONAL"/>
    <x v="2"/>
    <n v="3506"/>
    <x v="46"/>
    <s v="SP"/>
    <n v="931"/>
    <s v="Ats Off"/>
    <n v="1350"/>
    <s v="W10451657"/>
    <s v="Queimadores"/>
    <x v="12"/>
    <n v="1000"/>
    <n v="5004042"/>
    <s v="BRASIL WEB TRANSPORTES E LOGISTICA"/>
    <n v="9.2200000000000006"/>
    <d v="2025-05-26T00:00:00"/>
  </r>
  <r>
    <n v="253870903"/>
    <n v="64638177"/>
    <s v="REB"/>
    <n v="9544703"/>
    <n v="173"/>
    <s v="PEÇAS - Defeito de fabric./Alta Amperage"/>
    <s v="FUNCIONAL"/>
    <x v="1"/>
    <n v="30345"/>
    <x v="330"/>
    <s v="SP"/>
    <n v="644"/>
    <s v="Plus"/>
    <n v="1350"/>
    <s v="W10531315"/>
    <s v="Sensores"/>
    <x v="3"/>
    <n v="1000"/>
    <n v="5004042"/>
    <s v="BRASIL WEB TRANSPORTES E LOGISTICA"/>
    <n v="9.19"/>
    <d v="2024-11-04T00:00:00"/>
  </r>
  <r>
    <s v="Sem TR"/>
    <n v="64782269"/>
    <s v="REB"/>
    <n v="10045112"/>
    <n v="509"/>
    <s v="Qtd de peças a Menor dentro do Volume"/>
    <s v="LOGÍSTICA"/>
    <x v="1"/>
    <n v="92053"/>
    <x v="17"/>
    <s v="MG"/>
    <n v="643"/>
    <s v="Elite"/>
    <n v="1350"/>
    <s v="W10470951"/>
    <s v="Correias"/>
    <x v="2"/>
    <n v="1000"/>
    <n v="5002359"/>
    <s v="EMPRESA BRASILEIRA DE CORREIOS E"/>
    <n v="9.15"/>
    <d v="2025-06-02T00:00:00"/>
  </r>
  <r>
    <s v="Sem TR"/>
    <n v="64768415"/>
    <s v="ROB"/>
    <n v="50501"/>
    <n v="671"/>
    <s v="DEV-ENVIADO PARA GESTÃO DE CONSEQUENCIA"/>
    <s v="TRANSPORTADORA"/>
    <x v="2"/>
    <n v="85357"/>
    <x v="875"/>
    <s v="BA"/>
    <n v="932"/>
    <s v="CDP Prata"/>
    <n v="1550"/>
    <s v="W10647949"/>
    <s v="Suportes"/>
    <x v="6"/>
    <n v="2000"/>
    <n v="5004391"/>
    <s v="JEONCEL TRANSPORTES LTDA"/>
    <n v="9.1300000000000008"/>
    <d v="2025-05-12T00:00:00"/>
  </r>
  <r>
    <s v="Sem TR"/>
    <n v="64789394"/>
    <s v="REB"/>
    <n v="10045339"/>
    <n v="509"/>
    <s v="Qtd de peças a Menor dentro do Volume"/>
    <s v="LOGÍSTICA"/>
    <x v="1"/>
    <n v="72883"/>
    <x v="2040"/>
    <s v="RO"/>
    <n v="643"/>
    <s v="Elite"/>
    <n v="1350"/>
    <s v="W11551361"/>
    <s v="Peças Mecanismos"/>
    <x v="2"/>
    <n v="1000"/>
    <n v="5002359"/>
    <s v="EMPRESA BRASILEIRA DE CORREIOS E"/>
    <n v="9.1"/>
    <d v="2025-06-10T00:00:00"/>
  </r>
  <r>
    <s v="Sem TR"/>
    <n v="64814877"/>
    <s v="REB"/>
    <n v="10143315"/>
    <n v="90"/>
    <s v="CLIENTE-não solicitou"/>
    <s v="COMERCIAL"/>
    <x v="1"/>
    <n v="55093"/>
    <x v="231"/>
    <s v="SP"/>
    <n v="648"/>
    <s v="Ultra"/>
    <n v="1350"/>
    <s v="W10531315"/>
    <s v="Sensores"/>
    <x v="3"/>
    <n v="1000"/>
    <n v="5004042"/>
    <s v="BRASIL WEB TRANSPORTES E LOGISTICA"/>
    <n v="9.0399999999999991"/>
    <d v="2025-07-25T00:00:00"/>
  </r>
  <r>
    <n v="254041920"/>
    <n v="64819454"/>
    <s v="ZRDI"/>
    <n v="10155268"/>
    <s v="D18"/>
    <s v="DEV D2C - Arrependimento não quero mais"/>
    <s v="COMERCIAL"/>
    <x v="1"/>
    <n v="57070247"/>
    <x v="2039"/>
    <s v="SP"/>
    <n v="474"/>
    <s v="Site Brastemp"/>
    <n v="1352"/>
    <s v="W10542273"/>
    <s v="Suportes"/>
    <x v="6"/>
    <n v="1000"/>
    <n v="5003972"/>
    <s v="ICARO EXPRESS LOGISTICA LTDA"/>
    <n v="8.89"/>
    <d v="2025-07-29T00:00:00"/>
  </r>
  <r>
    <s v="Sem TR"/>
    <n v="64772776"/>
    <s v="REB"/>
    <n v="9999874"/>
    <n v="509"/>
    <s v="Qtd de peças a Menor dentro do Volume"/>
    <s v="LOGÍSTICA"/>
    <x v="2"/>
    <n v="28178"/>
    <x v="127"/>
    <s v="SP"/>
    <n v="644"/>
    <s v="Plus"/>
    <n v="1350"/>
    <s v="W10531315"/>
    <s v="Sensores"/>
    <x v="3"/>
    <n v="1000"/>
    <n v="5002359"/>
    <s v="EMPRESA BRASILEIRA DE CORREIOS E"/>
    <n v="8.82"/>
    <d v="2025-05-20T00:00:00"/>
  </r>
  <r>
    <s v="Sem TR"/>
    <n v="64697413"/>
    <s v="ROB"/>
    <n v="9817170"/>
    <n v="221"/>
    <s v="DEV-Sinistro - SEGURO"/>
    <s v="TRANSPORTADORA"/>
    <x v="0"/>
    <n v="46743"/>
    <x v="2038"/>
    <s v="SC"/>
    <n v="350"/>
    <s v="Ats On"/>
    <n v="1350"/>
    <s v="W11448418"/>
    <s v="Polias/Roldanas"/>
    <x v="2"/>
    <n v="1000"/>
    <n v="5003024"/>
    <s v="RODOBRAS TRANSPORTES RODOVIARIOS LT"/>
    <n v="8.82"/>
    <d v="2025-01-28T00:00:00"/>
  </r>
  <r>
    <n v="253965910"/>
    <n v="64736332"/>
    <s v="REB"/>
    <n v="9939131"/>
    <n v="671"/>
    <s v="DEV-ENVIADO PARA GESTÃO DE CONSEQUENCIA"/>
    <s v="TRANSPORTADORA"/>
    <x v="2"/>
    <n v="75752"/>
    <x v="74"/>
    <s v="PR"/>
    <n v="648"/>
    <s v="Ultra"/>
    <n v="1350"/>
    <s v="W11213068"/>
    <s v="Acessórios"/>
    <x v="7"/>
    <n v="1000"/>
    <n v="5003024"/>
    <s v="RODOBRAS TRANSPORTES RODOVIARIOS LT"/>
    <n v="8.81"/>
    <d v="2025-03-31T00:00:00"/>
  </r>
  <r>
    <n v="253903210"/>
    <n v="64671730"/>
    <s v="REB"/>
    <n v="9713951"/>
    <n v="671"/>
    <s v="DEV-ENVIADO PARA GESTÃO DE CONSEQUENCIA"/>
    <s v="TRANSPORTADORA"/>
    <x v="1"/>
    <n v="46511"/>
    <x v="281"/>
    <s v="SC"/>
    <n v="932"/>
    <s v="CDP Prata"/>
    <n v="1350"/>
    <s v="W10531315"/>
    <s v="Sensores"/>
    <x v="3"/>
    <n v="1000"/>
    <n v="5003024"/>
    <s v="RODOBRAS TRANSPORTES RODOVIARIOS LT"/>
    <n v="8.8000000000000007"/>
    <d v="2024-12-18T00:00:00"/>
  </r>
  <r>
    <n v="254012439"/>
    <n v="64789402"/>
    <s v="REB"/>
    <n v="10046173"/>
    <n v="173"/>
    <s v="PEÇAS - Defeito de fabric./Alta Amperage"/>
    <s v="FUNCIONAL"/>
    <x v="1"/>
    <n v="3506"/>
    <x v="46"/>
    <s v="SP"/>
    <n v="931"/>
    <s v="Ats Off"/>
    <n v="1350"/>
    <s v="W10531315"/>
    <s v="Sensores"/>
    <x v="3"/>
    <n v="1000"/>
    <n v="5004042"/>
    <s v="BRASIL WEB TRANSPORTES E LOGISTICA"/>
    <n v="8.7899999999999991"/>
    <d v="2025-06-10T00:00:00"/>
  </r>
  <r>
    <n v="254031866"/>
    <n v="64802550"/>
    <s v="REB"/>
    <n v="10085963"/>
    <n v="176"/>
    <s v="PEÇAS - Defeito de fabric./Interrompido"/>
    <s v="FUNCIONAL"/>
    <x v="1"/>
    <n v="3506"/>
    <x v="46"/>
    <s v="SP"/>
    <n v="931"/>
    <s v="Ats Off"/>
    <n v="1350"/>
    <s v="W10531315"/>
    <s v="Sensores"/>
    <x v="3"/>
    <n v="1000"/>
    <n v="5004042"/>
    <s v="BRASIL WEB TRANSPORTES E LOGISTICA"/>
    <n v="8.7899999999999991"/>
    <d v="2025-07-01T00:00:00"/>
  </r>
  <r>
    <n v="253970698"/>
    <n v="64748869"/>
    <s v="REB"/>
    <n v="9961413"/>
    <n v="176"/>
    <s v="PEÇAS - Defeito de fabric./Interrompido"/>
    <s v="FUNCIONAL"/>
    <x v="2"/>
    <n v="3506"/>
    <x v="46"/>
    <s v="SP"/>
    <n v="931"/>
    <s v="Ats Off"/>
    <n v="1350"/>
    <s v="W10720243"/>
    <s v="Filtros"/>
    <x v="5"/>
    <n v="1000"/>
    <n v="5004042"/>
    <s v="BRASIL WEB TRANSPORTES E LOGISTICA"/>
    <n v="8.76"/>
    <d v="2025-04-09T00:00:00"/>
  </r>
  <r>
    <n v="254033096"/>
    <n v="64803098"/>
    <s v="REB"/>
    <n v="10087306"/>
    <n v="177"/>
    <s v="PEÇAS - Defeito de fabric./Ruído"/>
    <s v="FUNCIONAL"/>
    <x v="2"/>
    <n v="66"/>
    <x v="73"/>
    <s v="GO"/>
    <n v="931"/>
    <s v="Ats Off"/>
    <n v="1350"/>
    <s v="W10470951"/>
    <s v="Correias"/>
    <x v="2"/>
    <n v="1000"/>
    <n v="5002858"/>
    <s v="FAVORITA TRANSPORTES LTDA"/>
    <n v="8.75"/>
    <d v="2025-07-08T00:00:00"/>
  </r>
  <r>
    <n v="253970698"/>
    <n v="64748874"/>
    <s v="REB"/>
    <n v="9688270"/>
    <n v="176"/>
    <s v="PEÇAS - Defeito de fabric./Interrompido"/>
    <s v="FUNCIONAL"/>
    <x v="1"/>
    <n v="3506"/>
    <x v="46"/>
    <s v="SP"/>
    <n v="931"/>
    <s v="Ats Off"/>
    <n v="1350"/>
    <s v="W11682256"/>
    <s v="Filtro Secadores"/>
    <x v="0"/>
    <n v="1000"/>
    <n v="5004042"/>
    <s v="BRASIL WEB TRANSPORTES E LOGISTICA"/>
    <n v="8.75"/>
    <d v="2025-04-09T00:00:00"/>
  </r>
  <r>
    <s v="Sem TR"/>
    <n v="64792432"/>
    <s v="REB"/>
    <n v="9857939"/>
    <n v="509"/>
    <s v="Qtd de peças a Menor dentro do Volume"/>
    <s v="LOGÍSTICA"/>
    <x v="1"/>
    <n v="42046"/>
    <x v="293"/>
    <s v="PE"/>
    <n v="350"/>
    <s v="Ats On"/>
    <n v="1350"/>
    <s v="W10470951"/>
    <s v="Correias"/>
    <x v="2"/>
    <n v="1000"/>
    <n v="5002359"/>
    <s v="EMPRESA BRASILEIRA DE CORREIOS E"/>
    <n v="8.75"/>
    <d v="2025-06-16T00:00:00"/>
  </r>
  <r>
    <s v="Sem TR"/>
    <n v="64813898"/>
    <s v="REB"/>
    <n v="10143314"/>
    <n v="90"/>
    <s v="CLIENTE-não solicitou"/>
    <s v="COMERCIAL"/>
    <x v="1"/>
    <n v="55093"/>
    <x v="231"/>
    <s v="SP"/>
    <n v="648"/>
    <s v="Ultra"/>
    <n v="1350"/>
    <s v="W10531315"/>
    <s v="Sensores"/>
    <x v="3"/>
    <n v="1000"/>
    <n v="5004042"/>
    <s v="BRASIL WEB TRANSPORTES E LOGISTICA"/>
    <n v="8.69"/>
    <d v="2025-07-25T00:00:00"/>
  </r>
  <r>
    <n v="254035356"/>
    <n v="64812449"/>
    <s v="REB"/>
    <n v="10094067"/>
    <n v="176"/>
    <s v="PEÇAS - Defeito de fabric./Interrompido"/>
    <s v="FUNCIONAL"/>
    <x v="1"/>
    <n v="22211"/>
    <x v="146"/>
    <s v="SC"/>
    <n v="644"/>
    <s v="Plus"/>
    <n v="1350"/>
    <s v="W10531315"/>
    <s v="Sensores"/>
    <x v="3"/>
    <n v="1000"/>
    <n v="5003024"/>
    <s v="RODOBRAS TRANSPORTES RODOVIARIOS LT"/>
    <n v="8.6300000000000008"/>
    <d v="2025-07-17T00:00:00"/>
  </r>
  <r>
    <n v="254018388"/>
    <n v="64793216"/>
    <s v="REB"/>
    <n v="10077370"/>
    <n v="173"/>
    <s v="PEÇAS - Defeito de fabric./Alta Amperage"/>
    <s v="FUNCIONAL"/>
    <x v="1"/>
    <n v="83572"/>
    <x v="105"/>
    <s v="SP"/>
    <n v="931"/>
    <s v="Ats Off"/>
    <n v="1350"/>
    <s v="W11621541"/>
    <s v="Registros"/>
    <x v="12"/>
    <n v="1000"/>
    <n v="5004042"/>
    <s v="BRASIL WEB TRANSPORTES E LOGISTICA"/>
    <n v="8.52"/>
    <d v="2025-06-17T00:00:00"/>
  </r>
  <r>
    <s v="Sem TR"/>
    <n v="64799688"/>
    <s v="REB"/>
    <n v="10087190"/>
    <n v="509"/>
    <s v="Qtd de peças a Menor dentro do Volume"/>
    <s v="LOGÍSTICA"/>
    <x v="2"/>
    <n v="31537"/>
    <x v="523"/>
    <s v="RS"/>
    <n v="641"/>
    <s v="CDP Diamante"/>
    <n v="1350"/>
    <s v="W10791633"/>
    <s v="Retentores"/>
    <x v="4"/>
    <n v="1000"/>
    <n v="5002359"/>
    <s v="EMPRESA BRASILEIRA DE CORREIOS E"/>
    <n v="8.49"/>
    <d v="2025-07-01T00:00:00"/>
  </r>
  <r>
    <s v="Sem TR"/>
    <n v="64812281"/>
    <s v="REB"/>
    <n v="10119708"/>
    <n v="176"/>
    <s v="PEÇAS - Defeito de fabric./Interrompido"/>
    <s v="FUNCIONAL"/>
    <x v="1"/>
    <n v="75812"/>
    <x v="102"/>
    <s v="SP"/>
    <n v="931"/>
    <s v="Ats Off"/>
    <n v="1350"/>
    <s v="W10531315"/>
    <s v="Sensores"/>
    <x v="3"/>
    <n v="1000"/>
    <n v="5004042"/>
    <s v="BRASIL WEB TRANSPORTES E LOGISTICA"/>
    <n v="8.4600000000000009"/>
    <d v="2025-07-17T00:00:00"/>
  </r>
  <r>
    <n v="253995098"/>
    <n v="64771169"/>
    <s v="REB"/>
    <n v="10015867"/>
    <n v="176"/>
    <s v="PEÇAS - Defeito de fabric./Interrompido"/>
    <s v="FUNCIONAL"/>
    <x v="1"/>
    <n v="21594"/>
    <x v="97"/>
    <s v="SP"/>
    <n v="931"/>
    <s v="Ats Off"/>
    <n v="1350"/>
    <s v="W10531315"/>
    <s v="Sensores"/>
    <x v="3"/>
    <n v="1000"/>
    <n v="5004042"/>
    <s v="BRASIL WEB TRANSPORTES E LOGISTICA"/>
    <n v="8.4600000000000009"/>
    <d v="2025-05-15T00:00:00"/>
  </r>
  <r>
    <n v="254003874"/>
    <n v="64777984"/>
    <s v="REB"/>
    <n v="10042361"/>
    <n v="165"/>
    <s v="PEÇAS - Defeito de fabric./Incompleta"/>
    <s v="FUNCIONAL"/>
    <x v="1"/>
    <n v="14441"/>
    <x v="61"/>
    <s v="SP"/>
    <n v="931"/>
    <s v="Ats Off"/>
    <n v="1350"/>
    <s v="W10531315"/>
    <s v="Sensores"/>
    <x v="3"/>
    <n v="1000"/>
    <n v="5004042"/>
    <s v="BRASIL WEB TRANSPORTES E LOGISTICA"/>
    <n v="8.4600000000000009"/>
    <d v="2025-05-26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620109"/>
    <s v="Gaxetas"/>
    <x v="4"/>
    <n v="1000"/>
    <n v="5004101"/>
    <s v="UNIDOCK'S ASSESSORIA E LOGISTICA DE"/>
    <n v="8.2200000000000006"/>
    <d v="2025-03-13T00:00:00"/>
  </r>
  <r>
    <n v="254012602"/>
    <n v="64789439"/>
    <s v="REB"/>
    <n v="10008486"/>
    <n v="173"/>
    <s v="PEÇAS - Defeito de fabric./Alta Amperage"/>
    <s v="FUNCIONAL"/>
    <x v="2"/>
    <n v="69166"/>
    <x v="129"/>
    <s v="RJ"/>
    <n v="931"/>
    <s v="Ats Off"/>
    <n v="1350"/>
    <s v="W10897149"/>
    <s v="Rolamentos"/>
    <x v="2"/>
    <n v="1000"/>
    <n v="5003176"/>
    <s v="J C THEDIN TRANSPORTES LTDA"/>
    <n v="8.18"/>
    <d v="2025-06-10T00:00:00"/>
  </r>
  <r>
    <n v="254038265"/>
    <n v="64814514"/>
    <s v="REB"/>
    <n v="10125669"/>
    <n v="176"/>
    <s v="PEÇAS - Defeito de fabric./Interrompido"/>
    <s v="FUNCIONAL"/>
    <x v="0"/>
    <n v="3506"/>
    <x v="46"/>
    <s v="SP"/>
    <n v="931"/>
    <s v="Ats Off"/>
    <n v="1350"/>
    <s v="W10699240"/>
    <s v="Filtro Secadores"/>
    <x v="0"/>
    <n v="1000"/>
    <n v="5004042"/>
    <s v="BRASIL WEB TRANSPORTES E LOGISTICA"/>
    <n v="8.18"/>
    <d v="2025-07-22T00:00:00"/>
  </r>
  <r>
    <n v="254007513"/>
    <n v="64781630"/>
    <s v="REB"/>
    <n v="9976748"/>
    <n v="176"/>
    <s v="PEÇAS - Defeito de fabric./Interrompido"/>
    <s v="FUNCIONAL"/>
    <x v="2"/>
    <n v="3506"/>
    <x v="46"/>
    <s v="SP"/>
    <n v="931"/>
    <s v="Ats Off"/>
    <n v="1350"/>
    <s v="W10699240"/>
    <s v="Filtro Secadores"/>
    <x v="0"/>
    <n v="1000"/>
    <n v="5004042"/>
    <s v="BRASIL WEB TRANSPORTES E LOGISTICA"/>
    <n v="8.17"/>
    <d v="2025-06-02T00:00:00"/>
  </r>
  <r>
    <n v="254018184"/>
    <n v="64789906"/>
    <s v="REB"/>
    <n v="9989965"/>
    <n v="176"/>
    <s v="PEÇAS - Defeito de fabric./Interrompido"/>
    <s v="FUNCIONAL"/>
    <x v="1"/>
    <n v="4318"/>
    <x v="89"/>
    <s v="SC"/>
    <n v="931"/>
    <s v="Ats Off"/>
    <n v="1350"/>
    <n v="326060306"/>
    <s v="Suportes"/>
    <x v="6"/>
    <n v="1000"/>
    <n v="5003024"/>
    <s v="RODOBRAS TRANSPORTES RODOVIARIOS LT"/>
    <n v="8.15"/>
    <d v="2025-06-17T00:00:00"/>
  </r>
  <r>
    <n v="254044339"/>
    <n v="64732091"/>
    <s v="REB"/>
    <n v="9909268"/>
    <n v="176"/>
    <s v="PEÇAS - Defeito de fabric./Interrompido"/>
    <s v="FUNCIONAL"/>
    <x v="0"/>
    <n v="22041"/>
    <x v="70"/>
    <s v="SP"/>
    <n v="931"/>
    <s v="Ats Off"/>
    <n v="1350"/>
    <s v="W10699240"/>
    <s v="Filtro Secadores"/>
    <x v="0"/>
    <n v="1000"/>
    <n v="5004042"/>
    <s v="BRASIL WEB TRANSPORTES E LOGISTICA"/>
    <n v="8.15"/>
    <d v="2025-03-17T00:00:00"/>
  </r>
  <r>
    <n v="254033473"/>
    <n v="64802399"/>
    <s v="REB"/>
    <n v="10066355"/>
    <n v="509"/>
    <s v="Qtd de peças a Menor dentro do Volume"/>
    <s v="LOGÍSTICA"/>
    <x v="2"/>
    <n v="87707"/>
    <x v="143"/>
    <s v="BA"/>
    <n v="648"/>
    <s v="Ultra"/>
    <n v="1350"/>
    <s v="W11621541"/>
    <s v="Registros"/>
    <x v="12"/>
    <n v="1000"/>
    <n v="5004101"/>
    <s v="UNIDOCK'S ASSESSORIA E LOGISTICA DE"/>
    <n v="8.08"/>
    <d v="2025-07-01T00:00:00"/>
  </r>
  <r>
    <s v="Sem TR"/>
    <n v="64749875"/>
    <s v="REB"/>
    <n v="9961123"/>
    <n v="125"/>
    <s v="DEV-Extravio de produto (Transportadora)"/>
    <s v="TRANSPORTADORA"/>
    <x v="0"/>
    <n v="4189"/>
    <x v="426"/>
    <s v="CE"/>
    <n v="931"/>
    <s v="Ats Off"/>
    <n v="1350"/>
    <s v="W10468430"/>
    <s v="Manípulos"/>
    <x v="6"/>
    <n v="1000"/>
    <n v="5004101"/>
    <s v="UNIDOCK'S ASSESSORIA E LOGISTICA DE"/>
    <n v="7.92"/>
    <d v="2025-04-10T00:00:00"/>
  </r>
  <r>
    <n v="253970693"/>
    <n v="64748454"/>
    <s v="REB"/>
    <n v="9951101"/>
    <n v="176"/>
    <s v="PEÇAS - Defeito de fabric./Interrompido"/>
    <s v="FUNCIONAL"/>
    <x v="2"/>
    <n v="3506"/>
    <x v="46"/>
    <s v="SP"/>
    <n v="931"/>
    <s v="Ats Off"/>
    <n v="1350"/>
    <s v="W10699240"/>
    <s v="Filtro Secadores"/>
    <x v="0"/>
    <n v="1000"/>
    <n v="5004042"/>
    <s v="BRASIL WEB TRANSPORTES E LOGISTICA"/>
    <n v="7.86"/>
    <d v="2025-04-09T00:00:00"/>
  </r>
  <r>
    <n v="253913084"/>
    <n v="64684935"/>
    <s v="REB"/>
    <n v="9803766"/>
    <n v="176"/>
    <s v="PEÇAS - Defeito de fabric./Interrompido"/>
    <s v="FUNCIONAL"/>
    <x v="2"/>
    <n v="24089"/>
    <x v="134"/>
    <s v="RJ"/>
    <n v="931"/>
    <s v="Ats Off"/>
    <n v="1350"/>
    <s v="W10531315"/>
    <s v="Sensores"/>
    <x v="3"/>
    <n v="1000"/>
    <n v="5003176"/>
    <s v="J C THEDIN TRANSPORTES LTDA"/>
    <n v="7.81"/>
    <d v="2025-01-06T00:00:00"/>
  </r>
  <r>
    <n v="254033295"/>
    <n v="64806252"/>
    <s v="REB"/>
    <n v="10009337"/>
    <n v="176"/>
    <s v="PEÇAS - Defeito de fabric./Interrompido"/>
    <s v="FUNCIONAL"/>
    <x v="1"/>
    <n v="18805"/>
    <x v="307"/>
    <s v="PR"/>
    <n v="648"/>
    <s v="Ultra"/>
    <n v="1350"/>
    <s v="W10791633"/>
    <s v="Retentores"/>
    <x v="4"/>
    <n v="1000"/>
    <n v="5003024"/>
    <s v="RODOBRAS TRANSPORTES RODOVIARIOS LT"/>
    <n v="7.8"/>
    <d v="2025-07-10T00:00:00"/>
  </r>
  <r>
    <n v="254012595"/>
    <n v="64789324"/>
    <s v="REB"/>
    <n v="10018018"/>
    <n v="177"/>
    <s v="PEÇAS - Defeito de fabric./Ruído"/>
    <s v="FUNCIONAL"/>
    <x v="2"/>
    <n v="67948"/>
    <x v="15"/>
    <s v="SC"/>
    <n v="713"/>
    <s v="Key Account"/>
    <n v="1350"/>
    <s v="W10897149"/>
    <s v="Rolamentos"/>
    <x v="2"/>
    <n v="1000"/>
    <n v="5003024"/>
    <s v="RODOBRAS TRANSPORTES RODOVIARIOS LT"/>
    <n v="7.76"/>
    <d v="2025-06-10T00:00:00"/>
  </r>
  <r>
    <n v="254041596"/>
    <n v="64727557"/>
    <s v="ZDVP"/>
    <n v="9860109"/>
    <n v="173"/>
    <s v="PEÇAS - Defeito de fabric./Alta Amperage"/>
    <s v="FUNCIONAL"/>
    <x v="1"/>
    <n v="76848"/>
    <x v="240"/>
    <s v="GO"/>
    <n v="643"/>
    <s v="Elite"/>
    <n v="1350"/>
    <s v="W10791633"/>
    <s v="Retentores"/>
    <x v="4"/>
    <n v="1000"/>
    <n v="5002858"/>
    <s v="FAVORITA TRANSPORTES LTDA"/>
    <n v="7.75"/>
    <d v="2025-03-10T00:00:00"/>
  </r>
  <r>
    <n v="254033428"/>
    <n v="64807167"/>
    <s v="REB"/>
    <n v="10108170"/>
    <n v="506"/>
    <s v="Qtd de peças a Maior dentro do Volume"/>
    <s v="LOGÍSTICA"/>
    <x v="1"/>
    <n v="63028"/>
    <x v="144"/>
    <s v="SP"/>
    <n v="641"/>
    <s v="CDP Diamante"/>
    <n v="1350"/>
    <s v="W10816564"/>
    <s v="Capas Queimadores"/>
    <x v="12"/>
    <n v="1000"/>
    <n v="5004042"/>
    <s v="BRASIL WEB TRANSPORTES E LOGISTICA"/>
    <n v="7.67"/>
    <d v="2025-07-08T00:00:00"/>
  </r>
  <r>
    <n v="253958873"/>
    <n v="64722318"/>
    <s v="REB"/>
    <n v="9936202"/>
    <n v="167"/>
    <s v="PEÇAS - Avaria - Quebrada/Depósito"/>
    <s v="LOGÍSTICA"/>
    <x v="1"/>
    <n v="69085"/>
    <x v="178"/>
    <s v="SP"/>
    <n v="641"/>
    <s v="CDP Diamante"/>
    <n v="1350"/>
    <s v="W10402555"/>
    <s v="Pés"/>
    <x v="6"/>
    <n v="1000"/>
    <n v="5004042"/>
    <s v="BRASIL WEB TRANSPORTES E LOGISTICA"/>
    <n v="7.63"/>
    <d v="2025-03-21T00:00:00"/>
  </r>
  <r>
    <n v="253961390"/>
    <n v="64737320"/>
    <s v="REB"/>
    <n v="9917475"/>
    <n v="168"/>
    <s v="PEÇAS-Def.Fabric.Empenamento/Abaulamento"/>
    <s v="FUNCIONAL"/>
    <x v="1"/>
    <n v="70149"/>
    <x v="147"/>
    <s v="SP"/>
    <n v="963"/>
    <s v="Ats Distribuidoras"/>
    <n v="1350"/>
    <s v="W11083396"/>
    <s v="Dobradiças"/>
    <x v="10"/>
    <n v="1000"/>
    <n v="5004042"/>
    <s v="BRASIL WEB TRANSPORTES E LOGISTICA"/>
    <n v="7.59"/>
    <d v="2025-03-24T00:00:00"/>
  </r>
  <r>
    <n v="254018098"/>
    <n v="64789908"/>
    <s v="REB"/>
    <n v="9991938"/>
    <n v="176"/>
    <s v="PEÇAS - Defeito de fabric./Interrompido"/>
    <s v="FUNCIONAL"/>
    <x v="2"/>
    <n v="66"/>
    <x v="73"/>
    <s v="GO"/>
    <n v="931"/>
    <s v="Ats Off"/>
    <n v="1350"/>
    <s v="W10531315"/>
    <s v="Sensores"/>
    <x v="3"/>
    <n v="1000"/>
    <n v="5002858"/>
    <s v="FAVORITA TRANSPORTES LTDA"/>
    <n v="7.58"/>
    <d v="2025-06-17T00:00:00"/>
  </r>
  <r>
    <n v="254038386"/>
    <n v="64809963"/>
    <s v="REB"/>
    <n v="10109101"/>
    <n v="509"/>
    <s v="Qtd de peças a Menor dentro do Volume"/>
    <s v="LOGÍSTICA"/>
    <x v="2"/>
    <n v="67948"/>
    <x v="15"/>
    <s v="SC"/>
    <n v="713"/>
    <s v="Key Account"/>
    <n v="1350"/>
    <s v="W10257566"/>
    <s v="Fusíveis/Fusíveis térmicos"/>
    <x v="1"/>
    <n v="1000"/>
    <n v="5003024"/>
    <s v="RODOBRAS TRANSPORTES RODOVIARIOS LT"/>
    <n v="7.58"/>
    <d v="2025-07-17T00:00:00"/>
  </r>
  <r>
    <n v="254035317"/>
    <n v="64812421"/>
    <s v="REB"/>
    <n v="10055601"/>
    <n v="176"/>
    <s v="PEÇAS - Defeito de fabric./Interrompido"/>
    <s v="FUNCIONAL"/>
    <x v="2"/>
    <n v="66"/>
    <x v="73"/>
    <s v="GO"/>
    <n v="931"/>
    <s v="Ats Off"/>
    <n v="1350"/>
    <s v="W10531315"/>
    <s v="Sensores"/>
    <x v="3"/>
    <n v="1000"/>
    <n v="5002858"/>
    <s v="FAVORITA TRANSPORTES LTDA"/>
    <n v="7.58"/>
    <d v="2025-07-17T00:00:00"/>
  </r>
  <r>
    <n v="254035317"/>
    <n v="64812676"/>
    <s v="REB"/>
    <n v="10053252"/>
    <n v="176"/>
    <s v="PEÇAS - Defeito de fabric./Interrompido"/>
    <s v="FUNCIONAL"/>
    <x v="2"/>
    <n v="66"/>
    <x v="73"/>
    <s v="GO"/>
    <n v="931"/>
    <s v="Ats Off"/>
    <n v="1350"/>
    <s v="W10531315"/>
    <s v="Sensores"/>
    <x v="3"/>
    <n v="1000"/>
    <n v="5002858"/>
    <s v="FAVORITA TRANSPORTES LTDA"/>
    <n v="7.58"/>
    <d v="2025-07-17T00:00:00"/>
  </r>
  <r>
    <s v="Sem TR"/>
    <n v="64817585"/>
    <s v="REB"/>
    <n v="10116897"/>
    <n v="176"/>
    <s v="PEÇAS - Defeito de fabric./Interrompido"/>
    <s v="FUNCIONAL"/>
    <x v="1"/>
    <n v="66"/>
    <x v="73"/>
    <s v="GO"/>
    <n v="931"/>
    <s v="Ats Off"/>
    <n v="1350"/>
    <s v="W10538876"/>
    <s v="Redes Elétricas"/>
    <x v="1"/>
    <n v="1000"/>
    <n v="5002858"/>
    <s v="FAVORITA TRANSPORTES LTDA"/>
    <n v="7.55"/>
    <d v="2025-07-25T00:00:00"/>
  </r>
  <r>
    <n v="254033390"/>
    <n v="64807314"/>
    <s v="REB"/>
    <n v="10057505"/>
    <n v="90"/>
    <s v="CLIENTE-não solicitou"/>
    <s v="COMERCIAL"/>
    <x v="1"/>
    <n v="33574"/>
    <x v="288"/>
    <s v="PE"/>
    <n v="350"/>
    <s v="Ats On"/>
    <n v="1350"/>
    <s v="W10848270"/>
    <s v="Botões"/>
    <x v="6"/>
    <n v="1000"/>
    <n v="5004101"/>
    <s v="UNIDOCK'S ASSESSORIA E LOGISTICA DE"/>
    <n v="7.46"/>
    <d v="2025-07-08T00:00:00"/>
  </r>
  <r>
    <n v="254041632"/>
    <n v="64795376"/>
    <s v="REB"/>
    <n v="10068552"/>
    <n v="176"/>
    <s v="PEÇAS - Defeito de fabric./Interrompido"/>
    <s v="FUNCIONAL"/>
    <x v="0"/>
    <n v="4425"/>
    <x v="305"/>
    <s v="SC"/>
    <n v="931"/>
    <s v="Ats Off"/>
    <n v="1350"/>
    <s v="W10393963"/>
    <s v="Redes Elétricas"/>
    <x v="1"/>
    <n v="1000"/>
    <n v="5003024"/>
    <s v="RODOBRAS TRANSPORTES RODOVIARIOS LT"/>
    <n v="7.36"/>
    <d v="2025-06-23T00:00:00"/>
  </r>
  <r>
    <n v="253995151"/>
    <n v="64772436"/>
    <s v="REB"/>
    <n v="9945923"/>
    <n v="173"/>
    <s v="PEÇAS - Defeito de fabric./Alta Amperage"/>
    <s v="FUNCIONAL"/>
    <x v="2"/>
    <n v="32023"/>
    <x v="43"/>
    <s v="SP"/>
    <n v="643"/>
    <s v="Elite"/>
    <n v="1350"/>
    <n v="326021045"/>
    <s v="Recipientes de Evaporação"/>
    <x v="9"/>
    <n v="1000"/>
    <n v="5004042"/>
    <s v="BRASIL WEB TRANSPORTES E LOGISTICA"/>
    <n v="7.34"/>
    <d v="2025-05-16T00:00:00"/>
  </r>
  <r>
    <s v="Sem TR"/>
    <n v="64807827"/>
    <s v="REB"/>
    <n v="10085407"/>
    <n v="509"/>
    <s v="Qtd de peças a Menor dentro do Volume"/>
    <s v="LOGÍSTICA"/>
    <x v="1"/>
    <n v="30990"/>
    <x v="26"/>
    <s v="ES"/>
    <n v="713"/>
    <s v="Key Account"/>
    <n v="1350"/>
    <s v="W10897149"/>
    <s v="Rolamentos"/>
    <x v="2"/>
    <n v="1000"/>
    <n v="5002359"/>
    <s v="EMPRESA BRASILEIRA DE CORREIOS E"/>
    <n v="7.34"/>
    <d v="2025-07-17T00:00:00"/>
  </r>
  <r>
    <n v="254041919"/>
    <n v="64818628"/>
    <s v="ZRDI"/>
    <n v="10153806"/>
    <s v="D18"/>
    <s v="DEV D2C - Arrependimento não quero mais"/>
    <s v="COMERCIAL"/>
    <x v="1"/>
    <n v="57070247"/>
    <x v="2039"/>
    <s v="SP"/>
    <n v="474"/>
    <s v="Site Brastemp"/>
    <n v="1352"/>
    <s v="W11644195"/>
    <s v="Outros"/>
    <x v="7"/>
    <n v="1000"/>
    <n v="5003972"/>
    <s v="ICARO EXPRESS LOGISTICA LTDA"/>
    <n v="7.31"/>
    <d v="2025-07-29T00:00:00"/>
  </r>
  <r>
    <n v="254011685"/>
    <n v="64787880"/>
    <s v="REB"/>
    <n v="10072346"/>
    <n v="311"/>
    <s v="DEV-PRODUTO TROCADO-LOGÍSTICA"/>
    <s v="LOGÍSTICA"/>
    <x v="2"/>
    <n v="66"/>
    <x v="73"/>
    <s v="GO"/>
    <n v="931"/>
    <s v="Ats Off"/>
    <n v="1350"/>
    <s v="W10451678"/>
    <s v="Injetores"/>
    <x v="12"/>
    <n v="1000"/>
    <n v="5002858"/>
    <s v="FAVORITA TRANSPORTES LTDA"/>
    <n v="7.28"/>
    <d v="2025-06-11T00:00:00"/>
  </r>
  <r>
    <n v="253948444"/>
    <n v="64727030"/>
    <s v="REB"/>
    <n v="9810194"/>
    <n v="160"/>
    <s v="OI Cancelada - Ver motivo no texto"/>
    <s v="OUTROS"/>
    <x v="0"/>
    <n v="3506"/>
    <x v="46"/>
    <s v="SP"/>
    <n v="931"/>
    <s v="Ats Off"/>
    <n v="1350"/>
    <s v="W11561657"/>
    <s v="Suportes"/>
    <x v="6"/>
    <n v="1000"/>
    <n v="5004042"/>
    <s v="BRASIL WEB TRANSPORTES E LOGISTICA"/>
    <n v="7.08"/>
    <d v="2025-03-07T00:00:00"/>
  </r>
  <r>
    <s v="Sem TR"/>
    <n v="64731042"/>
    <s v="ROB"/>
    <n v="9901119"/>
    <n v="25"/>
    <s v="OC. 80 - EXTRAVIO TOTAL"/>
    <s v="TRANSPORTADORA"/>
    <x v="0"/>
    <n v="2374"/>
    <x v="242"/>
    <s v="MG"/>
    <n v="350"/>
    <s v="Ats On"/>
    <n v="1350"/>
    <s v="W10800172"/>
    <s v="Dobradiças"/>
    <x v="10"/>
    <n v="1000"/>
    <n v="5004101"/>
    <s v="UNIDOCK'S ASSESSORIA E LOGISTICA DE"/>
    <n v="6.7"/>
    <d v="2025-03-13T00:00:00"/>
  </r>
  <r>
    <n v="253953827"/>
    <n v="64731930"/>
    <s v="REB"/>
    <n v="9868007"/>
    <n v="90"/>
    <s v="CLIENTE-não solicitou"/>
    <s v="COMERCIAL"/>
    <x v="1"/>
    <n v="61472"/>
    <x v="79"/>
    <s v="MG"/>
    <n v="350"/>
    <s v="Ats On"/>
    <n v="1350"/>
    <s v="W10647949"/>
    <s v="Suportes"/>
    <x v="6"/>
    <n v="1000"/>
    <n v="5004215"/>
    <s v="BRASIL WEB TRANSPORTES E LOGISTICA"/>
    <n v="6.52"/>
    <d v="2025-03-14T00:00:00"/>
  </r>
  <r>
    <n v="254018187"/>
    <n v="64788686"/>
    <s v="REB"/>
    <n v="9939103"/>
    <n v="176"/>
    <s v="PEÇAS - Defeito de fabric./Interrompido"/>
    <s v="FUNCIONAL"/>
    <x v="1"/>
    <n v="4318"/>
    <x v="89"/>
    <s v="SC"/>
    <n v="931"/>
    <s v="Ats Off"/>
    <n v="1350"/>
    <s v="W10531315"/>
    <s v="Sensores"/>
    <x v="3"/>
    <n v="1000"/>
    <n v="5003024"/>
    <s v="RODOBRAS TRANSPORTES RODOVIARIOS LT"/>
    <n v="6.43"/>
    <d v="2025-06-17T00:00:00"/>
  </r>
  <r>
    <n v="254012439"/>
    <n v="64789492"/>
    <s v="REB"/>
    <n v="10051289"/>
    <n v="173"/>
    <s v="PEÇAS - Defeito de fabric./Alta Amperage"/>
    <s v="FUNCIONAL"/>
    <x v="1"/>
    <n v="3506"/>
    <x v="46"/>
    <s v="SP"/>
    <n v="931"/>
    <s v="Ats Off"/>
    <n v="1350"/>
    <s v="W10833462"/>
    <s v="Conexões Hidráulicas"/>
    <x v="10"/>
    <n v="1000"/>
    <n v="5004042"/>
    <s v="BRASIL WEB TRANSPORTES E LOGISTICA"/>
    <n v="6.07"/>
    <d v="2025-06-10T00:00:00"/>
  </r>
  <r>
    <s v="Sem TR"/>
    <n v="64790928"/>
    <s v="REB"/>
    <n v="10086400"/>
    <n v="167"/>
    <s v="PEÇAS - Avaria - Quebrada/Depósito"/>
    <s v="LOGÍSTICA"/>
    <x v="1"/>
    <n v="25656"/>
    <x v="173"/>
    <s v="SP"/>
    <n v="931"/>
    <s v="Ats Off"/>
    <n v="1350"/>
    <s v="W10437053"/>
    <s v="Parafusos e afins"/>
    <x v="10"/>
    <n v="1000"/>
    <n v="5004042"/>
    <s v="BRASIL WEB TRANSPORTES E LOGISTICA"/>
    <n v="6.05"/>
    <d v="2025-06-23T00:00:00"/>
  </r>
  <r>
    <n v="253944060"/>
    <n v="64702022"/>
    <s v="REB"/>
    <n v="9832740"/>
    <n v="104"/>
    <s v="PEÇAS-Código trocado(embalag X conteúdo)"/>
    <s v="LOGÍSTICA"/>
    <x v="1"/>
    <n v="42046"/>
    <x v="293"/>
    <s v="PE"/>
    <n v="931"/>
    <s v="Ats Off"/>
    <n v="1350"/>
    <s v="W11105284"/>
    <s v="Molduras"/>
    <x v="6"/>
    <n v="1000"/>
    <n v="5004101"/>
    <s v="UNIDOCK'S ASSESSORIA E LOGISTICA DE"/>
    <n v="6.05"/>
    <d v="2025-01-29T00:00:00"/>
  </r>
  <r>
    <s v="Sem TR"/>
    <n v="64725749"/>
    <s v="REB"/>
    <n v="9879591"/>
    <n v="125"/>
    <s v="DEV-Extravio de produto (Transportadora)"/>
    <s v="TRANSPORTADORA"/>
    <x v="0"/>
    <n v="1255"/>
    <x v="254"/>
    <s v="CE"/>
    <n v="931"/>
    <s v="Ats Off"/>
    <n v="1350"/>
    <n v="326035882"/>
    <s v="Capas"/>
    <x v="6"/>
    <n v="1000"/>
    <n v="5004101"/>
    <s v="UNIDOCK'S ASSESSORIA E LOGISTICA DE"/>
    <n v="5.77"/>
    <d v="2025-03-06T00:00:00"/>
  </r>
  <r>
    <n v="253992764"/>
    <n v="64767991"/>
    <s v="REB"/>
    <n v="9995298"/>
    <n v="177"/>
    <s v="PEÇAS - Defeito de fabric./Ruído"/>
    <s v="FUNCIONAL"/>
    <x v="1"/>
    <n v="70149"/>
    <x v="147"/>
    <s v="SP"/>
    <n v="963"/>
    <s v="Ats Distribuidoras"/>
    <n v="1350"/>
    <n v="326032899"/>
    <s v="Pés"/>
    <x v="6"/>
    <n v="2000"/>
    <n v="5004042"/>
    <s v="BRASIL WEB TRANSPORTES E LOGISTICA"/>
    <n v="5.75"/>
    <d v="2025-05-12T00:00:00"/>
  </r>
  <r>
    <n v="254044339"/>
    <n v="64732091"/>
    <s v="REB"/>
    <n v="9909268"/>
    <n v="176"/>
    <s v="PEÇAS - Defeito de fabric./Interrompido"/>
    <s v="FUNCIONAL"/>
    <x v="0"/>
    <n v="22041"/>
    <x v="70"/>
    <s v="SP"/>
    <n v="931"/>
    <s v="Ats Off"/>
    <n v="1350"/>
    <s v="W10733226"/>
    <s v="Tubos Refrigeração"/>
    <x v="0"/>
    <n v="1000"/>
    <n v="5004042"/>
    <s v="BRASIL WEB TRANSPORTES E LOGISTICA"/>
    <n v="5.61"/>
    <d v="2025-03-17T00:00:00"/>
  </r>
  <r>
    <n v="254038272"/>
    <n v="64814038"/>
    <s v="REB"/>
    <n v="10129331"/>
    <n v="176"/>
    <s v="PEÇAS - Defeito de fabric./Interrompido"/>
    <s v="FUNCIONAL"/>
    <x v="1"/>
    <n v="4318"/>
    <x v="89"/>
    <s v="SC"/>
    <n v="931"/>
    <s v="Ats Off"/>
    <n v="1350"/>
    <s v="W11287617"/>
    <s v="Filtros"/>
    <x v="5"/>
    <n v="1000"/>
    <n v="5003024"/>
    <s v="RODOBRAS TRANSPORTES RODOVIARIOS LT"/>
    <n v="5.51"/>
    <d v="2025-07-22T00:00:00"/>
  </r>
  <r>
    <s v="Sem TR"/>
    <n v="64812314"/>
    <s v="REB"/>
    <n v="10111242"/>
    <n v="509"/>
    <s v="Qtd de peças a Menor dentro do Volume"/>
    <s v="LOGÍSTICA"/>
    <x v="1"/>
    <n v="22875"/>
    <x v="2041"/>
    <s v="MG"/>
    <n v="934"/>
    <s v="CDP Ouro"/>
    <n v="1350"/>
    <s v="W10489388"/>
    <s v="Injetores"/>
    <x v="12"/>
    <n v="1000"/>
    <n v="5002359"/>
    <s v="EMPRESA BRASILEIRA DE CORREIOS E"/>
    <n v="4.93"/>
    <d v="2025-07-17T00:00:00"/>
  </r>
  <r>
    <s v="Sem TR"/>
    <n v="64811427"/>
    <s v="REB"/>
    <n v="10106365"/>
    <n v="509"/>
    <s v="Qtd de peças a Menor dentro do Volume"/>
    <s v="LOGÍSTICA"/>
    <x v="1"/>
    <n v="86964"/>
    <x v="345"/>
    <s v="PB"/>
    <n v="713"/>
    <s v="Key Account"/>
    <n v="1350"/>
    <n v="326021045"/>
    <s v="Recipientes de Evaporação"/>
    <x v="9"/>
    <n v="1000"/>
    <n v="5002359"/>
    <s v="EMPRESA BRASILEIRA DE CORREIOS E"/>
    <n v="4.83"/>
    <d v="2025-07-17T00:00:00"/>
  </r>
  <r>
    <n v="254031829"/>
    <n v="64792151"/>
    <s v="REB"/>
    <n v="10065564"/>
    <n v="176"/>
    <s v="PEÇAS - Defeito de fabric./Interrompido"/>
    <s v="FUNCIONAL"/>
    <x v="1"/>
    <n v="3506"/>
    <x v="46"/>
    <s v="SP"/>
    <n v="931"/>
    <s v="Ats Off"/>
    <n v="1350"/>
    <s v="W10779052"/>
    <s v="Mangueiras"/>
    <x v="5"/>
    <n v="1000"/>
    <n v="5004042"/>
    <s v="BRASIL WEB TRANSPORTES E LOGISTICA"/>
    <n v="4.74"/>
    <d v="2025-06-24T00:00:00"/>
  </r>
  <r>
    <n v="254035325"/>
    <n v="64812355"/>
    <s v="REB"/>
    <n v="10099215"/>
    <n v="176"/>
    <s v="PEÇAS - Defeito de fabric./Interrompido"/>
    <s v="FUNCIONAL"/>
    <x v="0"/>
    <n v="3506"/>
    <x v="46"/>
    <s v="SP"/>
    <n v="931"/>
    <s v="Ats Off"/>
    <n v="1350"/>
    <s v="W10779052"/>
    <s v="Mangueiras"/>
    <x v="5"/>
    <n v="1000"/>
    <n v="5004042"/>
    <s v="BRASIL WEB TRANSPORTES E LOGISTICA"/>
    <n v="4.74"/>
    <d v="2025-07-17T00:00:00"/>
  </r>
  <r>
    <n v="253988904"/>
    <n v="64655417"/>
    <s v="REB"/>
    <n v="9627629"/>
    <n v="176"/>
    <s v="PEÇAS - Defeito de fabric./Interrompido"/>
    <s v="FUNCIONAL"/>
    <x v="2"/>
    <n v="67948"/>
    <x v="15"/>
    <s v="SC"/>
    <n v="713"/>
    <s v="Key Account"/>
    <n v="1350"/>
    <n v="326021045"/>
    <s v="Recipientes de Evaporação"/>
    <x v="9"/>
    <n v="1000"/>
    <n v="5003024"/>
    <s v="RODOBRAS TRANSPORTES RODOVIARIOS LT"/>
    <n v="4.6500000000000004"/>
    <d v="2024-11-29T00:00:00"/>
  </r>
  <r>
    <n v="253956461"/>
    <n v="64732919"/>
    <s v="REB"/>
    <n v="9857733"/>
    <n v="671"/>
    <s v="DEV-ENVIADO PARA GESTÃO DE CONSEQUENCIA"/>
    <s v="TRANSPORTADORA"/>
    <x v="1"/>
    <n v="32856"/>
    <x v="60"/>
    <s v="PR"/>
    <n v="713"/>
    <s v="Key Account"/>
    <n v="1350"/>
    <s v="W10647949"/>
    <s v="Suportes"/>
    <x v="6"/>
    <n v="1000"/>
    <n v="5003024"/>
    <s v="RODOBRAS TRANSPORTES RODOVIARIOS LT"/>
    <n v="4.57"/>
    <d v="2025-03-17T00:00:00"/>
  </r>
  <r>
    <s v="Sem TR"/>
    <n v="64720535"/>
    <s v="REB"/>
    <n v="9855087"/>
    <n v="671"/>
    <s v="DEV-ENVIADO PARA GESTÃO DE CONSEQUENCIA"/>
    <s v="TRANSPORTADORA"/>
    <x v="1"/>
    <n v="30990"/>
    <x v="26"/>
    <s v="ES"/>
    <n v="713"/>
    <s v="Key Account"/>
    <n v="1350"/>
    <n v="326021045"/>
    <s v="Recipientes de Evaporação"/>
    <x v="9"/>
    <n v="1000"/>
    <n v="5004042"/>
    <s v="BRASIL WEB TRANSPORTES E LOGISTICA"/>
    <n v="4.4400000000000004"/>
    <d v="2025-02-26T00:00:00"/>
  </r>
  <r>
    <n v="254033273"/>
    <n v="64805712"/>
    <s v="REB"/>
    <n v="10096323"/>
    <n v="90"/>
    <s v="CLIENTE-não solicitou"/>
    <s v="COMERCIAL"/>
    <x v="0"/>
    <n v="5096"/>
    <x v="1820"/>
    <s v="RS"/>
    <n v="350"/>
    <s v="Ats On"/>
    <n v="1350"/>
    <s v="W10160074"/>
    <s v="Embalagens Plásticas"/>
    <x v="11"/>
    <n v="2000"/>
    <n v="5003024"/>
    <s v="RODOBRAS TRANSPORTES RODOVIARIOS LT"/>
    <n v="4.0199999999999996"/>
    <d v="2025-07-08T00:00:00"/>
  </r>
  <r>
    <n v="254018184"/>
    <n v="64792960"/>
    <s v="REB"/>
    <n v="9985580"/>
    <n v="176"/>
    <s v="PEÇAS - Defeito de fabric./Interrompido"/>
    <s v="FUNCIONAL"/>
    <x v="1"/>
    <n v="4318"/>
    <x v="89"/>
    <s v="SC"/>
    <n v="931"/>
    <s v="Ats Off"/>
    <n v="1350"/>
    <s v="W10647949"/>
    <s v="Suportes"/>
    <x v="6"/>
    <n v="1000"/>
    <n v="5003024"/>
    <s v="RODOBRAS TRANSPORTES RODOVIARIOS LT"/>
    <n v="4"/>
    <d v="2025-06-17T00:00:00"/>
  </r>
  <r>
    <s v="Sem TR"/>
    <n v="64814494"/>
    <s v="REB"/>
    <n v="10106663"/>
    <n v="104"/>
    <s v="PEÇAS-Código trocado(embalag X conteúdo)"/>
    <s v="LOGÍSTICA"/>
    <x v="1"/>
    <n v="39976"/>
    <x v="2022"/>
    <s v="PR"/>
    <n v="350"/>
    <s v="Ats On"/>
    <n v="1350"/>
    <n v="326065664"/>
    <s v="Outros"/>
    <x v="7"/>
    <n v="2000"/>
    <n v="5003024"/>
    <s v="RODOBRAS TRANSPORTES RODOVIARIOS LT"/>
    <n v="3.51"/>
    <d v="2025-07-22T00:00:00"/>
  </r>
  <r>
    <n v="254012433"/>
    <n v="64786032"/>
    <s v="REB"/>
    <n v="10015461"/>
    <n v="176"/>
    <s v="PEÇAS - Defeito de fabric./Interrompido"/>
    <s v="FUNCIONAL"/>
    <x v="2"/>
    <n v="66"/>
    <x v="73"/>
    <s v="GO"/>
    <n v="931"/>
    <s v="Ats Off"/>
    <n v="1350"/>
    <s v="W11507215"/>
    <s v="Mangueiras"/>
    <x v="5"/>
    <n v="1000"/>
    <n v="5002858"/>
    <s v="FAVORITA TRANSPORTES LTDA"/>
    <n v="2.82"/>
    <d v="2025-06-10T00:00:00"/>
  </r>
  <r>
    <n v="254024031"/>
    <n v="64803510"/>
    <s v="ROB"/>
    <n v="10084181"/>
    <n v="115"/>
    <s v="PEÇAS-Recusa do cliente"/>
    <s v="COMERCIAL"/>
    <x v="0"/>
    <n v="76650"/>
    <x v="2042"/>
    <s v="SP"/>
    <n v="698"/>
    <s v="CDP Bronze"/>
    <n v="1350"/>
    <s v="W11113056"/>
    <s v="Tampas Fixas"/>
    <x v="6"/>
    <n v="1000"/>
    <n v="5004101"/>
    <s v="UNIDOCK'S ASSESSORIA E LOGISTICA DE"/>
    <n v="2.13"/>
    <d v="2025-07-01T00:00:00"/>
  </r>
  <r>
    <n v="253950215"/>
    <n v="64694778"/>
    <s v="ROB"/>
    <n v="9860272"/>
    <n v="268"/>
    <s v="DEV-APREENSÃO FISCAL - VENDAS"/>
    <s v="COMERCIAL"/>
    <x v="1"/>
    <n v="67561"/>
    <x v="47"/>
    <s v="CE"/>
    <n v="934"/>
    <s v="CDP Ouro"/>
    <n v="1350"/>
    <s v="W10590065"/>
    <s v="Parafusos e afins"/>
    <x v="10"/>
    <n v="1000"/>
    <n v="5004101"/>
    <s v="UNIDOCK'S ASSESSORIA E LOGISTICA DE"/>
    <n v="1.42"/>
    <d v="2025-03-11T00:00:00"/>
  </r>
  <r>
    <s v="Sem TR"/>
    <n v="64788765"/>
    <s v="REB"/>
    <n v="10054002"/>
    <n v="509"/>
    <s v="Qtd de peças a Menor dentro do Volume"/>
    <s v="LOGÍSTICA"/>
    <x v="2"/>
    <n v="25656"/>
    <x v="173"/>
    <s v="SP"/>
    <n v="931"/>
    <s v="Ats Off"/>
    <n v="1350"/>
    <s v="W10562959"/>
    <s v="Parafusos e afins"/>
    <x v="10"/>
    <n v="1000"/>
    <n v="5002359"/>
    <s v="EMPRESA BRASILEIRA DE CORREIOS E"/>
    <n v="1.38"/>
    <d v="2025-06-09T00:00:00"/>
  </r>
  <r>
    <s v="Sem TR"/>
    <n v="0"/>
    <n v="0"/>
    <n v="0"/>
    <n v="0"/>
    <n v="0"/>
    <e v="#N/A"/>
    <x v="3"/>
    <n v="0"/>
    <x v="2043"/>
    <n v="0"/>
    <n v="0"/>
    <n v="0"/>
    <n v="0"/>
    <n v="0"/>
    <s v="Outros"/>
    <x v="7"/>
    <n v="0"/>
    <n v="0"/>
    <n v="0"/>
    <n v="0"/>
    <d v="1899-12-30T00:00:00"/>
  </r>
  <r>
    <s v="Sem TR"/>
    <n v="0"/>
    <n v="0"/>
    <n v="0"/>
    <n v="0"/>
    <n v="0"/>
    <e v="#N/A"/>
    <x v="3"/>
    <n v="0"/>
    <x v="2043"/>
    <n v="0"/>
    <n v="0"/>
    <n v="0"/>
    <n v="0"/>
    <n v="0"/>
    <s v="Outros"/>
    <x v="7"/>
    <n v="0"/>
    <n v="0"/>
    <n v="0"/>
    <n v="0"/>
    <d v="1899-12-30T00:00:00"/>
  </r>
  <r>
    <s v="Sem TR"/>
    <n v="0"/>
    <n v="0"/>
    <n v="0"/>
    <n v="0"/>
    <n v="0"/>
    <e v="#N/A"/>
    <x v="3"/>
    <n v="0"/>
    <x v="2043"/>
    <n v="0"/>
    <n v="0"/>
    <n v="0"/>
    <n v="0"/>
    <n v="0"/>
    <s v="Outros"/>
    <x v="7"/>
    <n v="0"/>
    <n v="0"/>
    <n v="0"/>
    <n v="0"/>
    <d v="1899-12-30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96">
  <r>
    <n v="253886317"/>
    <n v="64655725"/>
    <s v="REB"/>
    <n v="9253382"/>
    <n v="178"/>
    <s v="PEÇAS -Defeito de fabric./Sem Compressão"/>
    <e v="#N/A"/>
    <x v="0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28.85"/>
    <d v="2024-11-29T00:00:00"/>
  </r>
  <r>
    <n v="253886315"/>
    <n v="64655734"/>
    <s v="REB"/>
    <n v="8726381"/>
    <n v="178"/>
    <s v="PEÇAS -Defeito de fabric./Sem Compressão"/>
    <s v="FUNCIONAL"/>
    <x v="0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11.82"/>
    <d v="2024-11-29T00:00:00"/>
  </r>
  <r>
    <n v="253903250"/>
    <n v="64669772"/>
    <s v="REB"/>
    <n v="9736755"/>
    <n v="671"/>
    <s v="DEV-ENVIADO PARA GESTÃO DE CONSEQUENCIA"/>
    <s v="TRANSPORTADORA"/>
    <x v="0"/>
    <n v="75752"/>
    <s v="MGPARTS COMERCIO E DISTRIBUIDORA DE"/>
    <s v="PR"/>
    <n v="648"/>
    <s v="Ultra"/>
    <n v="1350"/>
    <s v="W10624070"/>
    <s v="Gavetas"/>
    <x v="1"/>
    <n v="17"/>
    <n v="5003024"/>
    <s v="RODOBRAS TRANSPORTES RODOVIARIOS LT"/>
    <n v="1319.27"/>
    <d v="2024-12-16T00:00:00"/>
  </r>
  <r>
    <n v="253922527"/>
    <n v="64694613"/>
    <s v="REB"/>
    <n v="9100105"/>
    <n v="173"/>
    <s v="PEÇAS - Defeito de fabric./Alta Amperage"/>
    <s v="FUNCIONAL"/>
    <x v="0"/>
    <n v="27770"/>
    <s v="JOSE IZIDORO SILVA REFRIGERACAO"/>
    <s v="AL"/>
    <n v="644"/>
    <s v="Plus"/>
    <n v="1350"/>
    <s v="W10855670"/>
    <s v="Placas de Controle"/>
    <x v="2"/>
    <n v="1"/>
    <n v="5004101"/>
    <s v="UNIDOCK'S ASSESSORIA E LOGISTICA DE"/>
    <n v="316.02"/>
    <d v="2025-01-20T00:00:00"/>
  </r>
  <r>
    <n v="253922527"/>
    <n v="64695569"/>
    <s v="REB"/>
    <n v="9417983"/>
    <n v="173"/>
    <s v="PEÇAS - Defeito de fabric./Alta Amperage"/>
    <s v="FUNCIONAL"/>
    <x v="0"/>
    <n v="27770"/>
    <s v="JOSE IZIDORO SILVA REFRIGERACAO"/>
    <s v="AL"/>
    <n v="644"/>
    <s v="Plus"/>
    <n v="1350"/>
    <s v="W11366400"/>
    <s v="Placas de Controle"/>
    <x v="2"/>
    <n v="1"/>
    <n v="5004101"/>
    <s v="UNIDOCK'S ASSESSORIA E LOGISTICA DE"/>
    <n v="320.36"/>
    <d v="2025-01-20T00:00:00"/>
  </r>
  <r>
    <n v="253943895"/>
    <n v="64721207"/>
    <s v="REB"/>
    <n v="9902577"/>
    <n v="240"/>
    <s v="DEV-Avaria - 2 trecho transp - Produto"/>
    <s v="QUALIDADE"/>
    <x v="0"/>
    <n v="66"/>
    <s v="CENTROMAQ PECAS E SERVICOS LTDA"/>
    <s v="GO"/>
    <n v="931"/>
    <s v="Ats Off"/>
    <n v="1350"/>
    <s v="W10901199"/>
    <s v="Portas"/>
    <x v="3"/>
    <n v="1"/>
    <n v="5002858"/>
    <s v="FAVORITA TRANSPORTES LTDA"/>
    <n v="332.6"/>
    <d v="2025-02-26T00:00:00"/>
  </r>
  <r>
    <n v="254041600"/>
    <n v="64723383"/>
    <s v="ZDVP"/>
    <n v="9749235"/>
    <n v="173"/>
    <s v="PEÇAS - Defeito de fabric./Alta Amperage"/>
    <s v="FUNCIONAL"/>
    <x v="0"/>
    <n v="67948"/>
    <s v="REFRICRIL DISTRIBUIDORA DE AR REFRI"/>
    <s v="SC"/>
    <n v="713"/>
    <s v="Key Account"/>
    <n v="1350"/>
    <s v="W11300816"/>
    <s v="Mecanismos"/>
    <x v="4"/>
    <n v="5"/>
    <n v="5003024"/>
    <s v="RODOBRAS TRANSPORTES RODOVIARIOS LT"/>
    <n v="526.54999999999995"/>
    <d v="2025-03-10T00:00:00"/>
  </r>
  <r>
    <n v="253952403"/>
    <n v="64728486"/>
    <s v="REB"/>
    <n v="9839652"/>
    <n v="167"/>
    <s v="PEÇAS - Avaria - Quebrada/Depósito"/>
    <s v="LOGÍSTICA"/>
    <x v="0"/>
    <n v="56043"/>
    <s v="B C M - COMERCIO DE PECAS E"/>
    <s v="PR"/>
    <n v="963"/>
    <s v="Ats Distribuidoras"/>
    <n v="1350"/>
    <s v="W10347201"/>
    <s v="Prateleiras"/>
    <x v="1"/>
    <n v="1"/>
    <n v="5003024"/>
    <s v="RODOBRAS TRANSPORTES RODOVIARIOS LT"/>
    <n v="91.66"/>
    <d v="2025-03-10T00:00:00"/>
  </r>
  <r>
    <n v="254041598"/>
    <n v="64728866"/>
    <s v="ZDVP"/>
    <n v="9727927"/>
    <n v="173"/>
    <s v="PEÇAS - Defeito de fabric./Alta Amperage"/>
    <s v="FUNCIONAL"/>
    <x v="0"/>
    <n v="67948"/>
    <s v="REFRICRIL DISTRIBUIDORA DE AR REFRI"/>
    <s v="SC"/>
    <n v="713"/>
    <s v="Key Account"/>
    <n v="1350"/>
    <s v="W11254865"/>
    <s v="Mecanismos"/>
    <x v="4"/>
    <n v="2"/>
    <n v="5003024"/>
    <s v="RODOBRAS TRANSPORTES RODOVIARIOS LT"/>
    <n v="320.10000000000002"/>
    <d v="2025-03-10T00:00:00"/>
  </r>
  <r>
    <n v="254041597"/>
    <n v="64728887"/>
    <s v="ZDVP"/>
    <n v="9564455"/>
    <n v="178"/>
    <s v="PEÇAS -Defeito de fabric./Sem Compressão"/>
    <s v="FUNCIONAL"/>
    <x v="0"/>
    <n v="67948"/>
    <s v="REFRICRIL DISTRIBUIDORA DE AR REFRI"/>
    <s v="SC"/>
    <n v="713"/>
    <s v="Key Account"/>
    <n v="1350"/>
    <s v="W11647662"/>
    <s v="Compressores Herméticos"/>
    <x v="0"/>
    <n v="2"/>
    <n v="5003024"/>
    <s v="RODOBRAS TRANSPORTES RODOVIARIOS LT"/>
    <n v="570.04"/>
    <d v="2025-03-10T00:00:00"/>
  </r>
  <r>
    <n v="253961316"/>
    <n v="64737877"/>
    <s v="REB"/>
    <n v="9907466"/>
    <n v="173"/>
    <s v="PEÇAS - Defeito de fabric./Alta Amperage"/>
    <s v="FUNCIONAL"/>
    <x v="0"/>
    <n v="30990"/>
    <s v="REFRIGERACAO DUFRIO COMERCIO E"/>
    <s v="ES"/>
    <n v="713"/>
    <s v="Key Account"/>
    <n v="1350"/>
    <n v="326061171"/>
    <s v="Placas de Controle"/>
    <x v="2"/>
    <n v="2"/>
    <n v="5004042"/>
    <s v="BRASIL WEB TRANSPORTES E LOGISTICA"/>
    <n v="487.56"/>
    <d v="2025-03-26T00:00:00"/>
  </r>
  <r>
    <n v="253961316"/>
    <n v="64738025"/>
    <s v="REB"/>
    <n v="9853799"/>
    <n v="173"/>
    <s v="PEÇAS - Defeito de fabric./Alta Amperage"/>
    <s v="FUNCIONAL"/>
    <x v="0"/>
    <n v="30990"/>
    <s v="REFRIGERACAO DUFRIO COMERCIO E"/>
    <s v="ES"/>
    <n v="713"/>
    <s v="Key Account"/>
    <n v="1350"/>
    <s v="W11300675"/>
    <s v="Mecanismos"/>
    <x v="4"/>
    <n v="12"/>
    <n v="5004042"/>
    <s v="BRASIL WEB TRANSPORTES E LOGISTICA"/>
    <n v="1071"/>
    <d v="2025-03-26T00:00:00"/>
  </r>
  <r>
    <n v="253961316"/>
    <n v="64738026"/>
    <s v="REB"/>
    <n v="9314982"/>
    <n v="173"/>
    <s v="PEÇAS - Defeito de fabric./Alta Amperage"/>
    <s v="FUNCIONAL"/>
    <x v="0"/>
    <n v="30990"/>
    <s v="REFRIGERACAO DUFRIO COMERCIO E"/>
    <s v="ES"/>
    <n v="713"/>
    <s v="Key Account"/>
    <n v="1350"/>
    <s v="W10899324"/>
    <s v="Placas de Controle"/>
    <x v="2"/>
    <n v="2"/>
    <n v="5004042"/>
    <s v="BRASIL WEB TRANSPORTES E LOGISTICA"/>
    <n v="406.21"/>
    <d v="2025-03-26T00:00:00"/>
  </r>
  <r>
    <n v="253961317"/>
    <n v="64739204"/>
    <s v="REB"/>
    <n v="9942707"/>
    <n v="173"/>
    <s v="PEÇAS - Defeito de fabric./Alta Amperage"/>
    <s v="FUNCIONAL"/>
    <x v="0"/>
    <n v="30990"/>
    <s v="REFRIGERACAO DUFRIO COMERCIO E"/>
    <s v="ES"/>
    <n v="713"/>
    <s v="Key Account"/>
    <n v="1350"/>
    <s v="W11300816"/>
    <s v="Mecanismos"/>
    <x v="4"/>
    <n v="16"/>
    <n v="5004042"/>
    <s v="BRASIL WEB TRANSPORTES E LOGISTICA"/>
    <n v="1691.84"/>
    <d v="2025-03-26T00:00:00"/>
  </r>
  <r>
    <n v="253970697"/>
    <n v="64748244"/>
    <s v="REB"/>
    <n v="9959044"/>
    <n v="176"/>
    <s v="PEÇAS - Defeito de fabric./Interrompido"/>
    <s v="FUNCIONAL"/>
    <x v="0"/>
    <n v="3506"/>
    <s v="TECBRAS ASSISTENCIA TECNICA"/>
    <s v="SP"/>
    <n v="931"/>
    <s v="Ats Off"/>
    <n v="1350"/>
    <s v="W11516472"/>
    <s v="Compressores Herméticos"/>
    <x v="0"/>
    <n v="2"/>
    <n v="5004042"/>
    <s v="BRASIL WEB TRANSPORTES E LOGISTICA"/>
    <n v="706.93"/>
    <d v="2025-04-09T00:00:00"/>
  </r>
  <r>
    <n v="253970816"/>
    <n v="64748906"/>
    <s v="REB"/>
    <n v="8649270"/>
    <n v="178"/>
    <s v="PEÇAS -Defeito de fabric./Sem Compressão"/>
    <s v="FUNCIONAL"/>
    <x v="0"/>
    <n v="50822"/>
    <s v="CLAYTON DE OLIVEIRA"/>
    <s v="AL"/>
    <n v="644"/>
    <s v="Plus"/>
    <n v="1350"/>
    <s v="W11647662"/>
    <s v="Compressores Herméticos"/>
    <x v="0"/>
    <n v="5"/>
    <n v="5004101"/>
    <s v="UNIDOCK'S ASSESSORIA E LOGISTICA DE"/>
    <n v="1513.49"/>
    <d v="2025-04-09T00:00:00"/>
  </r>
  <r>
    <n v="253988880"/>
    <n v="64764474"/>
    <s v="REB"/>
    <n v="9729499"/>
    <n v="173"/>
    <s v="PEÇAS - Defeito de fabric./Alta Amperage"/>
    <s v="FUNCIONAL"/>
    <x v="0"/>
    <n v="42048"/>
    <s v="DUZZI CLIMATIZACAO E"/>
    <s v="MT"/>
    <n v="644"/>
    <s v="Plus"/>
    <n v="1350"/>
    <s v="W11299803"/>
    <s v="Mecanismos"/>
    <x v="4"/>
    <n v="4"/>
    <n v="5002573"/>
    <s v="CARVALIMA TRANSPORTES LTDA"/>
    <n v="354.36"/>
    <d v="2025-05-05T00:00:00"/>
  </r>
  <r>
    <n v="253992753"/>
    <n v="64768236"/>
    <s v="REB"/>
    <n v="9899290"/>
    <n v="168"/>
    <s v="PEÇAS-Def.Fabric.Empenamento/Abaulamento"/>
    <s v="FUNCIONAL"/>
    <x v="0"/>
    <n v="60342"/>
    <s v="CITYTEC COMERCIO"/>
    <s v="BA"/>
    <n v="648"/>
    <s v="Ultra"/>
    <n v="1350"/>
    <s v="W10882241"/>
    <s v="Agitadores"/>
    <x v="4"/>
    <n v="7"/>
    <n v="5004101"/>
    <s v="UNIDOCK'S ASSESSORIA E LOGISTICA DE"/>
    <n v="323.60000000000002"/>
    <d v="2025-05-12T00:00:00"/>
  </r>
  <r>
    <n v="254041616"/>
    <n v="64772324"/>
    <s v="ROB"/>
    <n v="10005316"/>
    <n v="668"/>
    <s v="DEV-ERRO DE CADASTRO DA ALÍQUOTA"/>
    <s v="TRIBUTÁRIO"/>
    <x v="0"/>
    <n v="32533"/>
    <s v="FRIGELAR COM. DISTRIBUICAO S/A"/>
    <s v="PE"/>
    <n v="713"/>
    <s v="Key Account"/>
    <n v="1350"/>
    <s v="W10899325"/>
    <s v="Placas de Controle"/>
    <x v="2"/>
    <n v="2"/>
    <n v="5004101"/>
    <s v="UNIDOCK'S ASSESSORIA E LOGISTICA DE"/>
    <n v="488.73"/>
    <d v="2025-05-16T00:00:00"/>
  </r>
  <r>
    <n v="254003906"/>
    <n v="64777291"/>
    <s v="REB"/>
    <n v="9480704"/>
    <n v="173"/>
    <s v="PEÇAS - Defeito de fabric./Alta Amperage"/>
    <s v="FUNCIONAL"/>
    <x v="0"/>
    <n v="27770"/>
    <s v="JOSE IZIDORO SILVA REFRIGERACAO"/>
    <s v="AL"/>
    <n v="641"/>
    <s v="CDP Diamante"/>
    <n v="1350"/>
    <s v="W10709306"/>
    <s v="Placas de Controle"/>
    <x v="2"/>
    <n v="2"/>
    <n v="5004101"/>
    <s v="UNIDOCK'S ASSESSORIA E LOGISTICA DE"/>
    <n v="443.59"/>
    <d v="2025-05-26T00:00:00"/>
  </r>
  <r>
    <n v="254003989"/>
    <n v="64777900"/>
    <s v="REB"/>
    <n v="9280400"/>
    <n v="178"/>
    <s v="PEÇAS -Defeito de fabric./Sem Compressão"/>
    <s v="FUNCIONAL"/>
    <x v="0"/>
    <n v="47026"/>
    <s v="JR PECAS LTDA JR PECAS LTDA"/>
    <s v="BA"/>
    <n v="643"/>
    <s v="Elite"/>
    <n v="1350"/>
    <s v="W10798744"/>
    <s v="Compressores Herméticos"/>
    <x v="0"/>
    <n v="3"/>
    <n v="5004101"/>
    <s v="UNIDOCK'S ASSESSORIA E LOGISTICA DE"/>
    <n v="809.9"/>
    <d v="2025-05-26T00:00:00"/>
  </r>
  <r>
    <n v="254012530"/>
    <n v="64789450"/>
    <s v="REB"/>
    <n v="10053475"/>
    <n v="173"/>
    <s v="PEÇAS - Defeito de fabric./Alta Amperage"/>
    <s v="FUNCIONAL"/>
    <x v="0"/>
    <n v="47026"/>
    <s v="JR PECAS LTDA JR PECAS LTDA"/>
    <s v="BA"/>
    <n v="643"/>
    <s v="Elite"/>
    <n v="1350"/>
    <s v="W10838042"/>
    <s v="Placas de Controle"/>
    <x v="2"/>
    <n v="1"/>
    <n v="5004101"/>
    <s v="UNIDOCK'S ASSESSORIA E LOGISTICA DE"/>
    <n v="338.28"/>
    <d v="2025-06-10T00:00:00"/>
  </r>
  <r>
    <s v="Sem TR"/>
    <n v="64800667"/>
    <s v="ZRDI"/>
    <n v="10197258"/>
    <s v="D10"/>
    <s v="DEV D2C - Comprou modelo errado"/>
    <s v="COMERCIAL"/>
    <x v="0"/>
    <n v="53761399"/>
    <s v="JULIANA MANASSERO"/>
    <s v="RS"/>
    <n v="474"/>
    <s v="Site Brastemp"/>
    <n v="1352"/>
    <s v="W11298039"/>
    <s v="Gavetas"/>
    <x v="1"/>
    <n v="1"/>
    <n v="5002359"/>
    <s v="EMPRESA BRASILEIRA DE CORREIOS E"/>
    <n v="183"/>
    <d v="2025-08-29T00:00:00"/>
  </r>
  <r>
    <n v="254031863"/>
    <n v="64802401"/>
    <s v="REB"/>
    <n v="10060630"/>
    <n v="176"/>
    <s v="PEÇAS - Defeito de fabric./Interrompido"/>
    <s v="FUNCIONAL"/>
    <x v="0"/>
    <n v="3506"/>
    <s v="TECBRAS ASSISTENCIA TECNICA"/>
    <s v="SP"/>
    <n v="931"/>
    <s v="Ats Off"/>
    <n v="1350"/>
    <s v="W10544750"/>
    <s v="Motores"/>
    <x v="2"/>
    <n v="1"/>
    <n v="5004042"/>
    <s v="BRASIL WEB TRANSPORTES E LOGISTICA"/>
    <n v="524.52"/>
    <d v="2025-07-01T00:00:00"/>
  </r>
  <r>
    <n v="254030271"/>
    <n v="64802594"/>
    <s v="REB"/>
    <n v="9280400"/>
    <n v="178"/>
    <s v="PEÇAS -Defeito de fabric./Sem Compressão"/>
    <s v="FUNCIONAL"/>
    <x v="0"/>
    <n v="47026"/>
    <s v="JR PECAS LTDA JR PECAS LTDA"/>
    <s v="BA"/>
    <n v="643"/>
    <s v="Elite"/>
    <n v="1350"/>
    <s v="W10798744"/>
    <s v="Compressores Herméticos"/>
    <x v="0"/>
    <n v="4"/>
    <n v="5004101"/>
    <s v="UNIDOCK'S ASSESSORIA E LOGISTICA DE"/>
    <n v="1079.8699999999999"/>
    <d v="2025-07-01T00:00:00"/>
  </r>
  <r>
    <s v="Sem TR"/>
    <n v="64810826"/>
    <s v="ZRDI"/>
    <n v="10163539"/>
    <s v="D11"/>
    <s v="DEV D2C - Comprou prod dimensão errada"/>
    <s v="COMERCIAL"/>
    <x v="0"/>
    <n v="56296809"/>
    <s v="JOICE CATERINE CARDOSO DOS SANTOS"/>
    <s v="BA"/>
    <n v="466"/>
    <s v="Sup ML Marketplace"/>
    <n v="1352"/>
    <s v="W11126533"/>
    <s v="Prateleiras"/>
    <x v="1"/>
    <n v="1"/>
    <n v="5002359"/>
    <s v="EMPRESA BRASILEIRA DE CORREIOS E"/>
    <n v="80.75"/>
    <d v="2025-08-29T00:00:00"/>
  </r>
  <r>
    <n v="254050349"/>
    <n v="64812655"/>
    <s v="REB"/>
    <n v="9945469"/>
    <n v="178"/>
    <s v="PEÇAS -Defeito de fabric./Sem Compressão"/>
    <s v="FUNCIONAL"/>
    <x v="0"/>
    <n v="47026"/>
    <s v="JR PECAS LTDA JR PECAS LTDA"/>
    <s v="BA"/>
    <n v="643"/>
    <s v="Elite"/>
    <n v="1350"/>
    <s v="W10393823"/>
    <s v="Compressores Herméticos"/>
    <x v="0"/>
    <n v="1"/>
    <n v="5004101"/>
    <s v="UNIDOCK'S ASSESSORIA E LOGISTICA DE"/>
    <n v="455.1"/>
    <d v="2025-07-17T00:00:00"/>
  </r>
  <r>
    <n v="254045143"/>
    <n v="64817380"/>
    <s v="REB"/>
    <n v="9659560"/>
    <n v="173"/>
    <s v="PEÇAS - Defeito de fabric./Alta Amperage"/>
    <s v="FUNCIONAL"/>
    <x v="0"/>
    <n v="67948"/>
    <s v="REFRICRIL DISTRIBUIDORA DE AR REFRI"/>
    <s v="SC"/>
    <n v="713"/>
    <s v="Key Account"/>
    <n v="1350"/>
    <s v="W10827973"/>
    <s v="Placas de Controle"/>
    <x v="2"/>
    <n v="1"/>
    <n v="5003024"/>
    <s v="RODOBRAS TRANSPORTES RODOVIARIOS LT"/>
    <n v="318.77999999999997"/>
    <d v="2025-07-25T00:00:00"/>
  </r>
  <r>
    <n v="254054260"/>
    <n v="64826922"/>
    <s v="REB"/>
    <n v="9442721"/>
    <n v="178"/>
    <s v="PEÇAS -Defeito de fabric./Sem Compressão"/>
    <s v="FUNCIONAL"/>
    <x v="0"/>
    <n v="67948"/>
    <s v="REFRICRIL DISTRIBUIDORA DE AR REFRI"/>
    <s v="SC"/>
    <n v="713"/>
    <s v="Key Account"/>
    <n v="1350"/>
    <s v="W11647662"/>
    <s v="Compressores Herméticos"/>
    <x v="0"/>
    <n v="1"/>
    <n v="5003024"/>
    <s v="RODOBRAS TRANSPORTES RODOVIARIOS LT"/>
    <n v="285.91000000000003"/>
    <d v="2025-08-07T00:00:00"/>
  </r>
  <r>
    <s v="Sem TR"/>
    <n v="64827818"/>
    <s v="ZRDI"/>
    <n v="10215576"/>
    <s v="D10"/>
    <s v="DEV D2C - Comprou modelo errado"/>
    <s v="COMERCIAL"/>
    <x v="0"/>
    <n v="51902759"/>
    <s v="TÚLIO CRUZ"/>
    <s v="SP"/>
    <n v="475"/>
    <s v="Site Consul"/>
    <n v="1352"/>
    <s v="W10866791"/>
    <s v="Kits Instalação"/>
    <x v="5"/>
    <n v="1"/>
    <n v="5002359"/>
    <s v="EMPRESA BRASILEIRA DE CORREIOS E"/>
    <n v="219.89"/>
    <d v="2025-08-29T00:00:00"/>
  </r>
  <r>
    <n v="254052134"/>
    <n v="64829811"/>
    <s v="ZRDI"/>
    <n v="10144846"/>
    <n v="208"/>
    <s v="DEV-Atraso entrega- LOGISTICA(Transp)"/>
    <s v="TRANSPORTADORA"/>
    <x v="0"/>
    <n v="51276994"/>
    <s v="LUCIANA SILVEIRA FLÔRES"/>
    <s v="RS"/>
    <n v="474"/>
    <s v="Site Brastemp"/>
    <n v="1352"/>
    <s v="W11561657"/>
    <s v="Suportes"/>
    <x v="3"/>
    <n v="1"/>
    <n v="5002359"/>
    <s v="EMPRESA BRASILEIRA DE CORREIOS E"/>
    <n v="26.38"/>
    <d v="2025-08-11T00:00:00"/>
  </r>
  <r>
    <n v="254052134"/>
    <n v="64829811"/>
    <s v="ZRDI"/>
    <n v="10144846"/>
    <n v="208"/>
    <s v="DEV-Atraso entrega- LOGISTICA(Transp)"/>
    <s v="TRANSPORTADORA"/>
    <x v="0"/>
    <n v="51276994"/>
    <s v="LUCIANA SILVEIRA FLÔRES"/>
    <s v="RS"/>
    <n v="474"/>
    <s v="Site Brastemp"/>
    <n v="1352"/>
    <s v="W11300678"/>
    <s v="Mecanismos"/>
    <x v="4"/>
    <n v="1"/>
    <n v="5002359"/>
    <s v="EMPRESA BRASILEIRA DE CORREIOS E"/>
    <n v="330.62"/>
    <d v="2025-08-11T00:00:00"/>
  </r>
  <r>
    <n v="254052134"/>
    <n v="64829811"/>
    <s v="ZRDI"/>
    <n v="10144846"/>
    <n v="208"/>
    <s v="DEV-Atraso entrega- LOGISTICA(Transp)"/>
    <s v="TRANSPORTADORA"/>
    <x v="0"/>
    <n v="51276994"/>
    <s v="LUCIANA SILVEIRA FLÔRES"/>
    <s v="RS"/>
    <n v="474"/>
    <s v="Site Brastemp"/>
    <n v="1352"/>
    <s v="W11551361"/>
    <s v="Peças Mecanismos"/>
    <x v="4"/>
    <n v="1"/>
    <n v="5002359"/>
    <s v="EMPRESA BRASILEIRA DE CORREIOS E"/>
    <n v="32.79"/>
    <d v="2025-08-11T00:00:00"/>
  </r>
  <r>
    <s v="Sem TR"/>
    <n v="64832246"/>
    <s v="ZRDI"/>
    <n v="10147772"/>
    <n v="208"/>
    <s v="DEV-Atraso entrega- LOGISTICA(Transp)"/>
    <s v="TRANSPORTADORA"/>
    <x v="0"/>
    <n v="58172199"/>
    <s v="BRUNO CARVALHO SAMPAIO"/>
    <s v="MT"/>
    <n v="466"/>
    <s v="Sup ML Marketplace"/>
    <n v="1352"/>
    <s v="W11300695"/>
    <s v="Mecanismos"/>
    <x v="4"/>
    <n v="1"/>
    <n v="5002359"/>
    <s v="EMPRESA BRASILEIRA DE CORREIOS E"/>
    <n v="296.56"/>
    <d v="2025-08-14T00:00:00"/>
  </r>
  <r>
    <s v="Sem TR"/>
    <n v="64833821"/>
    <s v="ZRDI"/>
    <n v="10216575"/>
    <s v="D31"/>
    <s v="DEV D2C - Defeito estético manufatura"/>
    <s v="MANUFATURA"/>
    <x v="0"/>
    <n v="4788969"/>
    <s v="GEIZA P BAPTISTA"/>
    <s v="SP"/>
    <n v="474"/>
    <s v="Site Brastemp"/>
    <n v="1352"/>
    <s v="W10638541"/>
    <s v="Filtros"/>
    <x v="6"/>
    <n v="3"/>
    <n v="5002359"/>
    <s v="EMPRESA BRASILEIRA DE CORREIOS E"/>
    <n v="831.81"/>
    <d v="2025-08-29T00:00:00"/>
  </r>
  <r>
    <s v="Sem TR"/>
    <n v="64833821"/>
    <s v="ZRDI"/>
    <n v="10216575"/>
    <s v="D31"/>
    <s v="DEV D2C - Defeito estético manufatura"/>
    <s v="MANUFATURA"/>
    <x v="0"/>
    <n v="4788969"/>
    <s v="GEIZA P BAPTISTA"/>
    <s v="SP"/>
    <n v="474"/>
    <s v="Site Brastemp"/>
    <n v="1352"/>
    <n v="326075868"/>
    <s v="Filtros"/>
    <x v="6"/>
    <n v="1"/>
    <n v="5002359"/>
    <s v="EMPRESA BRASILEIRA DE CORREIOS E"/>
    <n v="456.17"/>
    <d v="2025-08-29T00:00:00"/>
  </r>
  <r>
    <s v="Sem TR"/>
    <n v="64834880"/>
    <s v="ZRDI"/>
    <n v="10195817"/>
    <s v="D15"/>
    <s v="DEV D2C - Arrependimento modelo comprado"/>
    <s v="COMERCIAL"/>
    <x v="0"/>
    <n v="56697825"/>
    <s v="GUTO GABRIEL"/>
    <s v="PE"/>
    <n v="466"/>
    <s v="Sup ML Marketplace"/>
    <n v="1352"/>
    <s v="W10301562"/>
    <s v="Filtros"/>
    <x v="6"/>
    <n v="1"/>
    <n v="5002359"/>
    <s v="EMPRESA BRASILEIRA DE CORREIOS E"/>
    <n v="98.92"/>
    <d v="2025-08-29T00:00:00"/>
  </r>
  <r>
    <s v="Sem TR"/>
    <n v="64834880"/>
    <s v="ZRDI"/>
    <n v="10195817"/>
    <s v="D15"/>
    <s v="DEV D2C - Arrependimento modelo comprado"/>
    <s v="COMERCIAL"/>
    <x v="0"/>
    <n v="56697825"/>
    <s v="GUTO GABRIEL"/>
    <s v="PE"/>
    <n v="466"/>
    <s v="Sup ML Marketplace"/>
    <n v="1352"/>
    <s v="W10301562"/>
    <s v="Filtros"/>
    <x v="6"/>
    <n v="1"/>
    <n v="5002359"/>
    <s v="EMPRESA BRASILEIRA DE CORREIOS E"/>
    <n v="98.94"/>
    <d v="2025-08-29T00:00:00"/>
  </r>
  <r>
    <s v="Sem TR"/>
    <n v="64836816"/>
    <s v="ZRDI"/>
    <n v="10207637"/>
    <s v="D35"/>
    <s v="DEV D2C - Prod difere do comprado"/>
    <s v="COMERCIAL"/>
    <x v="0"/>
    <n v="58242219"/>
    <s v="ISABELLA SILVA"/>
    <s v="SP"/>
    <n v="475"/>
    <s v="Site Consul"/>
    <n v="1352"/>
    <s v="W11199342"/>
    <s v="Filtros"/>
    <x v="6"/>
    <n v="1"/>
    <n v="5002359"/>
    <s v="EMPRESA BRASILEIRA DE CORREIOS E"/>
    <n v="81.81"/>
    <d v="2025-08-29T00:00:00"/>
  </r>
  <r>
    <s v="Sem TR"/>
    <n v="64837277"/>
    <s v="ZRDI"/>
    <n v="10205133"/>
    <s v="D10"/>
    <s v="DEV D2C - Comprou modelo errado"/>
    <s v="COMERCIAL"/>
    <x v="0"/>
    <n v="51816551"/>
    <s v="ANNE OLIVEIRA"/>
    <s v="DF"/>
    <n v="475"/>
    <s v="Site Consul"/>
    <n v="1352"/>
    <n v="326023536"/>
    <s v="Filtros"/>
    <x v="6"/>
    <n v="1"/>
    <n v="5002359"/>
    <s v="EMPRESA BRASILEIRA DE CORREIOS E"/>
    <n v="145.62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298837"/>
    <s v="Parafusos e afins"/>
    <x v="7"/>
    <n v="1"/>
    <n v="5002359"/>
    <s v="EMPRESA BRASILEIRA DE CORREIOS E"/>
    <n v="19.920000000000002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394020"/>
    <s v="Parafusos e afins"/>
    <x v="7"/>
    <n v="1"/>
    <n v="5002359"/>
    <s v="EMPRESA BRASILEIRA DE CORREIOS E"/>
    <n v="18.149999999999999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390643"/>
    <s v="Sensores"/>
    <x v="8"/>
    <n v="1"/>
    <n v="5002359"/>
    <s v="EMPRESA BRASILEIRA DE CORREIOS E"/>
    <n v="181.4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437111"/>
    <s v="Gavetas"/>
    <x v="1"/>
    <n v="1"/>
    <n v="5002359"/>
    <s v="EMPRESA BRASILEIRA DE CORREIOS E"/>
    <n v="105.48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420716"/>
    <s v="Acessórios"/>
    <x v="5"/>
    <n v="1"/>
    <n v="5002359"/>
    <s v="EMPRESA BRASILEIRA DE CORREIOS E"/>
    <n v="54.03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n v="326064966"/>
    <s v="Outros"/>
    <x v="5"/>
    <n v="1"/>
    <n v="5002359"/>
    <s v="EMPRESA BRASILEIRA DE CORREIOS E"/>
    <n v="18.68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326652"/>
    <s v="Prateleiras"/>
    <x v="1"/>
    <n v="1"/>
    <n v="5002359"/>
    <s v="EMPRESA BRASILEIRA DE CORREIOS E"/>
    <n v="70.239999999999995"/>
    <d v="2025-08-29T00:00:00"/>
  </r>
  <r>
    <s v="Sem TR"/>
    <n v="64838147"/>
    <s v="ZRDI"/>
    <n v="10210509"/>
    <s v="D18"/>
    <s v="DEV D2C - Arrependimento não quero mais"/>
    <s v="COMERCIAL"/>
    <x v="0"/>
    <n v="57342583"/>
    <s v="GUSTAVO RODRIGUES"/>
    <s v="SE"/>
    <n v="475"/>
    <s v="Site Consul"/>
    <n v="1352"/>
    <s v="W11509387"/>
    <s v="Filtros"/>
    <x v="6"/>
    <n v="1"/>
    <n v="5002359"/>
    <s v="EMPRESA BRASILEIRA DE CORREIOS E"/>
    <n v="109.15"/>
    <d v="2025-08-29T00:00:00"/>
  </r>
  <r>
    <s v="Sem TR"/>
    <n v="64838147"/>
    <s v="ZRDI"/>
    <n v="10210509"/>
    <s v="D18"/>
    <s v="DEV D2C - Arrependimento não quero mais"/>
    <s v="COMERCIAL"/>
    <x v="0"/>
    <n v="57342583"/>
    <s v="GUSTAVO RODRIGUES"/>
    <s v="SE"/>
    <n v="475"/>
    <s v="Site Consul"/>
    <n v="1352"/>
    <s v="W11509387"/>
    <s v="Filtros"/>
    <x v="6"/>
    <n v="1"/>
    <n v="5002359"/>
    <s v="EMPRESA BRASILEIRA DE CORREIOS E"/>
    <n v="109.17"/>
    <d v="2025-08-29T00:00:00"/>
  </r>
  <r>
    <s v="Sem TR"/>
    <n v="64838155"/>
    <s v="ZRDI"/>
    <n v="10224225"/>
    <s v="D10"/>
    <s v="DEV D2C - Comprou modelo errado"/>
    <s v="COMERCIAL"/>
    <x v="0"/>
    <n v="58261645"/>
    <s v="DANIELLE ALVES SOARES"/>
    <s v="MG"/>
    <n v="474"/>
    <s v="Site Brastemp"/>
    <n v="1352"/>
    <s v="W10577330"/>
    <s v="Tampas Móveis"/>
    <x v="3"/>
    <n v="1"/>
    <n v="5002359"/>
    <s v="EMPRESA BRASILEIRA DE CORREIOS E"/>
    <n v="134.18"/>
    <d v="2025-08-30T00:00:00"/>
  </r>
  <r>
    <s v="Sem TR"/>
    <n v="64838763"/>
    <s v="ZRDI"/>
    <n v="10215657"/>
    <s v="D32"/>
    <s v="DEV D2C - Embalagem avariada"/>
    <s v="QUALIDADE"/>
    <x v="0"/>
    <n v="54913914"/>
    <s v="RENATO CRUZEIRO"/>
    <s v="SP"/>
    <n v="475"/>
    <s v="Site Consul"/>
    <n v="1352"/>
    <s v="W11199342"/>
    <s v="Filtros"/>
    <x v="6"/>
    <n v="1"/>
    <n v="5002359"/>
    <s v="EMPRESA BRASILEIRA DE CORREIOS E"/>
    <n v="98.8"/>
    <d v="2025-08-29T00:00:00"/>
  </r>
  <r>
    <s v="Sem TR"/>
    <n v="64838798"/>
    <s v="ZRDI"/>
    <n v="10206042"/>
    <s v="D10"/>
    <s v="DEV D2C - Comprou modelo errado"/>
    <s v="COMERCIAL"/>
    <x v="0"/>
    <n v="58241381"/>
    <s v="JOSUEL BARROS"/>
    <s v="SP"/>
    <n v="475"/>
    <s v="Site Consul"/>
    <n v="1352"/>
    <s v="W11199342"/>
    <s v="Filtros"/>
    <x v="6"/>
    <n v="1"/>
    <n v="5002359"/>
    <s v="EMPRESA BRASILEIRA DE CORREIOS E"/>
    <n v="81.81"/>
    <d v="2025-08-27T00:00:00"/>
  </r>
  <r>
    <s v="Sem TR"/>
    <n v="64838798"/>
    <s v="ZRDI"/>
    <n v="10206042"/>
    <s v="D10"/>
    <s v="DEV D2C - Comprou modelo errado"/>
    <s v="COMERCIAL"/>
    <x v="0"/>
    <n v="58241381"/>
    <s v="JOSUEL BARROS"/>
    <s v="SP"/>
    <n v="475"/>
    <s v="Site Consul"/>
    <n v="1352"/>
    <s v="W11199342"/>
    <s v="Filtros"/>
    <x v="6"/>
    <n v="1"/>
    <n v="5002359"/>
    <s v="EMPRESA BRASILEIRA DE CORREIOS E"/>
    <n v="81.819999999999993"/>
    <d v="2025-08-27T00:00:00"/>
  </r>
  <r>
    <s v="Sem TR"/>
    <n v="64838902"/>
    <s v="ZRDI"/>
    <n v="10194819"/>
    <s v="D10"/>
    <s v="DEV D2C - Comprou modelo errado"/>
    <s v="COMERCIAL"/>
    <x v="0"/>
    <n v="51968906"/>
    <s v="CLAUDIA CRISTINA SANTOS BARROS"/>
    <s v="DF"/>
    <n v="475"/>
    <s v="Site Consul"/>
    <n v="1352"/>
    <s v="W10555135"/>
    <s v="Resistências"/>
    <x v="2"/>
    <n v="1"/>
    <n v="5002359"/>
    <s v="EMPRESA BRASILEIRA DE CORREIOS E"/>
    <n v="100.14"/>
    <d v="2025-08-29T00:00:00"/>
  </r>
  <r>
    <s v="Sem TR"/>
    <n v="64838996"/>
    <s v="ZRDI"/>
    <n v="10202516"/>
    <s v="D31"/>
    <s v="DEV D2C - Defeito estético manufatura"/>
    <s v="MANUFATURA"/>
    <x v="0"/>
    <n v="57534187"/>
    <s v="GEORGE WASHINGTON DE CARVALHO"/>
    <s v="PI"/>
    <n v="474"/>
    <s v="Site Brastemp"/>
    <n v="1352"/>
    <s v="W11298039"/>
    <s v="Gavetas"/>
    <x v="1"/>
    <n v="1"/>
    <n v="5002359"/>
    <s v="EMPRESA BRASILEIRA DE CORREIOS E"/>
    <n v="192.9"/>
    <d v="2025-08-27T00:00:00"/>
  </r>
  <r>
    <s v="Sem TR"/>
    <n v="64838996"/>
    <s v="ZRDI"/>
    <n v="10202516"/>
    <s v="D31"/>
    <s v="DEV D2C - Defeito estético manufatura"/>
    <s v="MANUFATURA"/>
    <x v="0"/>
    <n v="57534187"/>
    <s v="GEORGE WASHINGTON DE CARVALHO"/>
    <s v="PI"/>
    <n v="474"/>
    <s v="Site Brastemp"/>
    <n v="1352"/>
    <s v="W10624070"/>
    <s v="Gavetas"/>
    <x v="1"/>
    <n v="1"/>
    <n v="5002359"/>
    <s v="EMPRESA BRASILEIRA DE CORREIOS E"/>
    <n v="196.78"/>
    <d v="2025-08-27T00:00:00"/>
  </r>
  <r>
    <s v="Sem TR"/>
    <n v="64839342"/>
    <s v="ZRDI"/>
    <n v="10213497"/>
    <s v="D10"/>
    <s v="DEV D2C - Comprou modelo errado"/>
    <s v="COMERCIAL"/>
    <x v="0"/>
    <n v="58247663"/>
    <s v="RICARDO SANTOS"/>
    <s v="SP"/>
    <n v="475"/>
    <s v="Site Consul"/>
    <n v="1352"/>
    <s v="W10212441"/>
    <s v="Prateleiras"/>
    <x v="1"/>
    <n v="1"/>
    <n v="5003972"/>
    <s v="ICARO EXPRESS LOGISTICA LTDA"/>
    <n v="41.45"/>
    <d v="2025-08-30T00:00:00"/>
  </r>
  <r>
    <s v="Sem TR"/>
    <n v="64839486"/>
    <s v="ZRDI"/>
    <n v="10189395"/>
    <s v="D10"/>
    <s v="DEV D2C - Comprou modelo errado"/>
    <s v="COMERCIAL"/>
    <x v="0"/>
    <n v="58220830"/>
    <s v="ANTÔNIO EVANIEUDO"/>
    <s v="CE"/>
    <n v="474"/>
    <s v="Site Brastemp"/>
    <n v="1352"/>
    <s v="W10668378"/>
    <s v="Placas de Controle"/>
    <x v="2"/>
    <n v="1"/>
    <n v="5002359"/>
    <s v="EMPRESA BRASILEIRA DE CORREIOS E"/>
    <n v="430.26"/>
    <d v="2025-08-29T00:00:00"/>
  </r>
  <r>
    <s v="Sem TR"/>
    <n v="64839487"/>
    <s v="ZRDI"/>
    <n v="10205881"/>
    <s v="D10"/>
    <s v="DEV D2C - Comprou modelo errado"/>
    <s v="COMERCIAL"/>
    <x v="0"/>
    <n v="58239854"/>
    <s v="TAMIRES CLEMENTE"/>
    <s v="MG"/>
    <n v="475"/>
    <s v="Site Consul"/>
    <n v="1352"/>
    <s v="W10212441"/>
    <s v="Prateleiras"/>
    <x v="1"/>
    <n v="1"/>
    <n v="5002359"/>
    <s v="EMPRESA BRASILEIRA DE CORREIOS E"/>
    <n v="45.75"/>
    <d v="2025-08-29T00:00:00"/>
  </r>
  <r>
    <s v="Sem TR"/>
    <n v="64839487"/>
    <s v="ZRDI"/>
    <n v="10205881"/>
    <s v="D10"/>
    <s v="DEV D2C - Comprou modelo errado"/>
    <s v="COMERCIAL"/>
    <x v="0"/>
    <n v="58239854"/>
    <s v="TAMIRES CLEMENTE"/>
    <s v="MG"/>
    <n v="475"/>
    <s v="Site Consul"/>
    <n v="1352"/>
    <s v="W11374521"/>
    <s v="Suportes"/>
    <x v="3"/>
    <n v="1"/>
    <n v="5002359"/>
    <s v="EMPRESA BRASILEIRA DE CORREIOS E"/>
    <n v="46.02"/>
    <d v="2025-08-29T00:00:00"/>
  </r>
  <r>
    <s v="Sem TR"/>
    <n v="64839566"/>
    <s v="ZRDI"/>
    <n v="10207904"/>
    <s v="D10"/>
    <s v="DEV D2C - Comprou modelo errado"/>
    <s v="COMERCIAL"/>
    <x v="0"/>
    <n v="58243456"/>
    <s v="MÁRCIA APARECIDA GATTINI FABBRI"/>
    <s v="MG"/>
    <n v="474"/>
    <s v="Site Brastemp"/>
    <n v="1352"/>
    <s v="W11661613"/>
    <s v="Outros"/>
    <x v="5"/>
    <n v="1"/>
    <n v="5002359"/>
    <s v="EMPRESA BRASILEIRA DE CORREIOS E"/>
    <n v="153.47999999999999"/>
    <d v="2025-08-29T00:00:00"/>
  </r>
  <r>
    <s v="Sem TR"/>
    <n v="64839732"/>
    <s v="ZRDI"/>
    <n v="10191474"/>
    <s v="D15"/>
    <s v="DEV D2C - Arrependimento modelo comprado"/>
    <s v="COMERCIAL"/>
    <x v="0"/>
    <n v="58217416"/>
    <s v="ASSIR PIERRE"/>
    <s v="SP"/>
    <n v="466"/>
    <s v="Sup ML Marketplace"/>
    <n v="1352"/>
    <s v="W10754152"/>
    <s v="Gavetas"/>
    <x v="1"/>
    <n v="1"/>
    <n v="5002359"/>
    <s v="EMPRESA BRASILEIRA DE CORREIOS E"/>
    <n v="88.84"/>
    <d v="2025-08-29T00:00:00"/>
  </r>
  <r>
    <s v="Sem TR"/>
    <n v="64840086"/>
    <s v="ZRDI"/>
    <n v="10182521"/>
    <s v="D31"/>
    <s v="DEV D2C - Defeito estético manufatura"/>
    <s v="MANUFATURA"/>
    <x v="0"/>
    <n v="4628148"/>
    <s v="KARLA CARNEIRO ROMERO"/>
    <s v="CE"/>
    <n v="474"/>
    <s v="Site Brastemp"/>
    <n v="1352"/>
    <s v="W10347201"/>
    <s v="Prateleiras"/>
    <x v="1"/>
    <n v="1"/>
    <n v="5002359"/>
    <s v="EMPRESA BRASILEIRA DE CORREIOS E"/>
    <n v="121.07"/>
    <d v="2025-08-29T00:00:00"/>
  </r>
  <r>
    <s v="Sem TR"/>
    <n v="64840282"/>
    <s v="ZRDI"/>
    <n v="10194772"/>
    <s v="D18"/>
    <s v="DEV D2C - Arrependimento não quero mais"/>
    <s v="COMERCIAL"/>
    <x v="0"/>
    <n v="58226938"/>
    <s v="YASMIN BELO"/>
    <s v="SP"/>
    <n v="475"/>
    <s v="Site Consul"/>
    <n v="1352"/>
    <s v="W10231323"/>
    <s v="Mangueiras"/>
    <x v="6"/>
    <n v="1"/>
    <n v="5002359"/>
    <s v="EMPRESA BRASILEIRA DE CORREIOS E"/>
    <n v="31.11"/>
    <d v="2025-08-29T00:00:00"/>
  </r>
  <r>
    <s v="Sem TR"/>
    <n v="64840282"/>
    <s v="ZRDI"/>
    <n v="10194772"/>
    <s v="D18"/>
    <s v="DEV D2C - Arrependimento não quero mais"/>
    <s v="COMERCIAL"/>
    <x v="0"/>
    <n v="58226938"/>
    <s v="YASMIN BELO"/>
    <s v="SP"/>
    <n v="475"/>
    <s v="Site Consul"/>
    <n v="1352"/>
    <s v="W11199342"/>
    <s v="Filtros"/>
    <x v="6"/>
    <n v="1"/>
    <n v="5002359"/>
    <s v="EMPRESA BRASILEIRA DE CORREIOS E"/>
    <n v="89.81"/>
    <d v="2025-08-29T00:00:00"/>
  </r>
  <r>
    <s v="Sem TR"/>
    <n v="64840456"/>
    <s v="ZRDI"/>
    <n v="10213278"/>
    <s v="D31"/>
    <s v="DEV D2C - Defeito estético manufatura"/>
    <s v="MANUFATURA"/>
    <x v="0"/>
    <n v="51918094"/>
    <s v="LETUZA HIBBELN"/>
    <s v="SP"/>
    <n v="474"/>
    <s v="Site Brastemp"/>
    <n v="1352"/>
    <s v="W10577330"/>
    <s v="Tampas Móveis"/>
    <x v="3"/>
    <n v="1"/>
    <n v="5002359"/>
    <s v="EMPRESA BRASILEIRA DE CORREIOS E"/>
    <n v="121.05"/>
    <d v="2025-08-29T00:00:00"/>
  </r>
  <r>
    <s v="Sem TR"/>
    <n v="64840485"/>
    <s v="ZRDI"/>
    <n v="10204138"/>
    <s v="D10"/>
    <s v="DEV D2C - Comprou modelo errado"/>
    <s v="COMERCIAL"/>
    <x v="0"/>
    <n v="52039613"/>
    <s v="BREYNER CAMARGO"/>
    <s v="DF"/>
    <n v="474"/>
    <s v="Site Brastemp"/>
    <n v="1352"/>
    <s v="W11555162"/>
    <s v="Espargidores"/>
    <x v="4"/>
    <n v="1"/>
    <n v="5002359"/>
    <s v="EMPRESA BRASILEIRA DE CORREIOS E"/>
    <n v="40.159999999999997"/>
    <d v="2025-08-29T00:00:00"/>
  </r>
  <r>
    <s v="Sem TR"/>
    <n v="64840485"/>
    <s v="ZRDI"/>
    <n v="10204138"/>
    <s v="D10"/>
    <s v="DEV D2C - Comprou modelo errado"/>
    <s v="COMERCIAL"/>
    <x v="0"/>
    <n v="52039613"/>
    <s v="BREYNER CAMARGO"/>
    <s v="DF"/>
    <n v="474"/>
    <s v="Site Brastemp"/>
    <n v="1352"/>
    <s v="W11310109"/>
    <s v="Espargidores"/>
    <x v="4"/>
    <n v="1"/>
    <n v="5002359"/>
    <s v="EMPRESA BRASILEIRA DE CORREIOS E"/>
    <n v="59.93"/>
    <d v="2025-08-29T00:00:00"/>
  </r>
  <r>
    <s v="Sem TR"/>
    <n v="64840775"/>
    <s v="ZRDI"/>
    <n v="10209751"/>
    <s v="D10"/>
    <s v="DEV D2C - Comprou modelo errado"/>
    <s v="COMERCIAL"/>
    <x v="0"/>
    <n v="58244112"/>
    <s v="FERNANDO FERREIRA. VAZ"/>
    <s v="ES"/>
    <n v="474"/>
    <s v="Site Brastemp"/>
    <n v="1352"/>
    <s v="W10710769"/>
    <s v="Termostatos"/>
    <x v="8"/>
    <n v="1"/>
    <n v="5002359"/>
    <s v="EMPRESA BRASILEIRA DE CORREIOS E"/>
    <n v="168.8"/>
    <d v="2025-08-29T00:00:00"/>
  </r>
  <r>
    <s v="Sem TR"/>
    <n v="64840839"/>
    <s v="ZRDI"/>
    <n v="10193136"/>
    <s v="D18"/>
    <s v="DEV D2C - Arrependimento não quero mais"/>
    <s v="COMERCIAL"/>
    <x v="0"/>
    <n v="58225092"/>
    <s v="RODRIGO SIMÕES"/>
    <s v="SC"/>
    <n v="475"/>
    <s v="Site Consul"/>
    <n v="1352"/>
    <s v="W11199342"/>
    <s v="Filtros"/>
    <x v="6"/>
    <n v="1"/>
    <n v="5002359"/>
    <s v="EMPRESA BRASILEIRA DE CORREIOS E"/>
    <n v="92.84"/>
    <d v="2025-08-29T00:00:00"/>
  </r>
  <r>
    <s v="Sem TR"/>
    <n v="64840938"/>
    <s v="ZRDI"/>
    <n v="10180339"/>
    <s v="D30"/>
    <s v="DEV D2C - Defeito funcional manufatura"/>
    <s v="MANUFATURA"/>
    <x v="0"/>
    <n v="53819593"/>
    <s v="RODRIGO VIEIRA"/>
    <s v="CE"/>
    <n v="475"/>
    <s v="Site Consul"/>
    <n v="1352"/>
    <s v="W10866789"/>
    <s v="Kits Instalação"/>
    <x v="5"/>
    <n v="1"/>
    <n v="5002359"/>
    <s v="EMPRESA BRASILEIRA DE CORREIOS E"/>
    <n v="79.510000000000005"/>
    <d v="2025-08-30T00:00:00"/>
  </r>
  <r>
    <s v="Sem TR"/>
    <n v="64840979"/>
    <s v="ZRDI"/>
    <n v="10191082"/>
    <s v="D18"/>
    <s v="DEV D2C - Arrependimento não quero mais"/>
    <s v="COMERCIAL"/>
    <x v="0"/>
    <n v="52553842"/>
    <s v="FABIANA COMPAGNONI FAVARETO"/>
    <s v="SC"/>
    <n v="474"/>
    <s v="Site Brastemp"/>
    <n v="1352"/>
    <s v="W11213068"/>
    <s v="Acessórios"/>
    <x v="5"/>
    <n v="1"/>
    <n v="5002359"/>
    <s v="EMPRESA BRASILEIRA DE CORREIOS E"/>
    <n v="42.29"/>
    <d v="2025-08-29T00:00:00"/>
  </r>
  <r>
    <s v="Sem TR"/>
    <n v="64841080"/>
    <s v="ZRDI"/>
    <n v="10202114"/>
    <s v="D10"/>
    <s v="DEV D2C - Comprou modelo errado"/>
    <s v="COMERCIAL"/>
    <x v="0"/>
    <n v="53210812"/>
    <s v="MARCELO PEREIRA"/>
    <s v="SP"/>
    <n v="474"/>
    <s v="Site Brastemp"/>
    <n v="1352"/>
    <s v="W11405828"/>
    <s v="Mangueiras"/>
    <x v="6"/>
    <n v="1"/>
    <n v="5002359"/>
    <s v="EMPRESA BRASILEIRA DE CORREIOS E"/>
    <n v="55.49"/>
    <d v="2025-08-29T00:00:00"/>
  </r>
  <r>
    <s v="Sem TR"/>
    <n v="64841119"/>
    <s v="ZRDI"/>
    <n v="10198575"/>
    <s v="D31"/>
    <s v="DEV D2C - Defeito estético manufatura"/>
    <s v="MANUFATURA"/>
    <x v="0"/>
    <n v="58231102"/>
    <s v="BRENDA RODRIGUES"/>
    <s v="RS"/>
    <n v="475"/>
    <s v="Site Consul"/>
    <n v="1352"/>
    <s v="W11375416"/>
    <s v="Tampas Móveis"/>
    <x v="3"/>
    <n v="1"/>
    <n v="5002359"/>
    <s v="EMPRESA BRASILEIRA DE CORREIOS E"/>
    <n v="47"/>
    <d v="2025-08-29T00:00:00"/>
  </r>
  <r>
    <s v="Sem TR"/>
    <n v="64841144"/>
    <s v="ZRDI"/>
    <n v="10189365"/>
    <s v="D10"/>
    <s v="DEV D2C - Comprou modelo errado"/>
    <s v="COMERCIAL"/>
    <x v="0"/>
    <n v="58219369"/>
    <s v="REBECA PRADO"/>
    <s v="ES"/>
    <n v="474"/>
    <s v="Site Brastemp"/>
    <n v="1352"/>
    <s v="W11115537"/>
    <s v="Prateleiras"/>
    <x v="1"/>
    <n v="1"/>
    <n v="5002359"/>
    <s v="EMPRESA BRASILEIRA DE CORREIOS E"/>
    <n v="135.52000000000001"/>
    <d v="2025-08-29T00:00:00"/>
  </r>
  <r>
    <s v="Sem TR"/>
    <n v="64841164"/>
    <s v="ZRDI"/>
    <n v="10205452"/>
    <s v="D10"/>
    <s v="DEV D2C - Comprou modelo errado"/>
    <s v="COMERCIAL"/>
    <x v="0"/>
    <n v="58238996"/>
    <s v="WALDIR RODRIGUES MONTEIRO FILHO MON"/>
    <s v="SP"/>
    <n v="474"/>
    <s v="Site Brastemp"/>
    <n v="1352"/>
    <s v="W10837295"/>
    <s v="Portas"/>
    <x v="3"/>
    <n v="1"/>
    <n v="5002359"/>
    <s v="EMPRESA BRASILEIRA DE CORREIOS E"/>
    <n v="285.7"/>
    <d v="2025-08-29T00:00:00"/>
  </r>
  <r>
    <s v="Sem TR"/>
    <n v="64841175"/>
    <s v="ZRDI"/>
    <n v="10207874"/>
    <s v="D10"/>
    <s v="DEV D2C - Comprou modelo errado"/>
    <s v="COMERCIAL"/>
    <x v="0"/>
    <n v="58242471"/>
    <s v="FERNANDA OLIVEIRA PEREIRA DA SILVA"/>
    <s v="SP"/>
    <n v="475"/>
    <s v="Site Consul"/>
    <n v="1352"/>
    <s v="W10246170"/>
    <s v="Prateleiras"/>
    <x v="1"/>
    <n v="1"/>
    <n v="5002359"/>
    <s v="EMPRESA BRASILEIRA DE CORREIOS E"/>
    <n v="70.930000000000007"/>
    <d v="2025-08-30T00:00:00"/>
  </r>
  <r>
    <s v="Sem TR"/>
    <n v="64841175"/>
    <s v="ZRDI"/>
    <n v="10207874"/>
    <s v="D10"/>
    <s v="DEV D2C - Comprou modelo errado"/>
    <s v="COMERCIAL"/>
    <x v="0"/>
    <n v="58242471"/>
    <s v="FERNANDA OLIVEIRA PEREIRA DA SILVA"/>
    <s v="SP"/>
    <n v="475"/>
    <s v="Site Consul"/>
    <n v="1352"/>
    <s v="W10698255"/>
    <s v="Prateleiras"/>
    <x v="1"/>
    <n v="1"/>
    <n v="5002359"/>
    <s v="EMPRESA BRASILEIRA DE CORREIOS E"/>
    <n v="42.91"/>
    <d v="2025-08-30T00:00:00"/>
  </r>
  <r>
    <s v="Sem TR"/>
    <n v="64841184"/>
    <s v="ZRDI"/>
    <n v="10145632"/>
    <s v="D18"/>
    <s v="DEV D2C - Arrependimento não quero mais"/>
    <s v="COMERCIAL"/>
    <x v="0"/>
    <n v="58166125"/>
    <s v="WAGNER OLIVEIRA TOLEDO"/>
    <s v="SP"/>
    <n v="474"/>
    <s v="Site Brastemp"/>
    <n v="1352"/>
    <s v="W11115537"/>
    <s v="Prateleiras"/>
    <x v="1"/>
    <n v="1"/>
    <n v="5002359"/>
    <s v="EMPRESA BRASILEIRA DE CORREIOS E"/>
    <n v="109.84"/>
    <d v="2025-08-29T00:00:00"/>
  </r>
  <r>
    <s v="Sem TR"/>
    <n v="64841254"/>
    <s v="ZRDI"/>
    <n v="10207782"/>
    <s v="D10"/>
    <s v="DEV D2C - Comprou modelo errado"/>
    <s v="COMERCIAL"/>
    <x v="0"/>
    <n v="54894464"/>
    <s v="LUCIANA MONTENEGRO"/>
    <s v="RS"/>
    <n v="475"/>
    <s v="Site Consul"/>
    <n v="1352"/>
    <s v="W10581058"/>
    <s v="Gavetas"/>
    <x v="1"/>
    <n v="1"/>
    <n v="5002359"/>
    <s v="EMPRESA BRASILEIRA DE CORREIOS E"/>
    <n v="117.63"/>
    <d v="2025-08-29T00:00:00"/>
  </r>
  <r>
    <s v="Sem TR"/>
    <n v="64841254"/>
    <s v="ZRDI"/>
    <n v="10207782"/>
    <s v="D10"/>
    <s v="DEV D2C - Comprou modelo errado"/>
    <s v="COMERCIAL"/>
    <x v="0"/>
    <n v="54894464"/>
    <s v="LUCIANA MONTENEGRO"/>
    <s v="RS"/>
    <n v="475"/>
    <s v="Site Consul"/>
    <n v="1352"/>
    <s v="W10200101"/>
    <s v="Prateleiras"/>
    <x v="1"/>
    <n v="1"/>
    <n v="5002359"/>
    <s v="EMPRESA BRASILEIRA DE CORREIOS E"/>
    <n v="117.63"/>
    <d v="2025-08-29T00:00:00"/>
  </r>
  <r>
    <n v="254065698"/>
    <n v="64841261"/>
    <s v="ZRDI"/>
    <n v="10023227"/>
    <n v="208"/>
    <s v="DEV-Atraso entrega- LOGISTICA(Transp)"/>
    <s v="TRANSPORTADORA"/>
    <x v="0"/>
    <n v="56785851"/>
    <s v="JEFFERSON NUNES"/>
    <s v="SC"/>
    <n v="475"/>
    <s v="Site Consul"/>
    <n v="1352"/>
    <n v="326066852"/>
    <s v="Prateleiras"/>
    <x v="1"/>
    <n v="1"/>
    <n v="5002359"/>
    <s v="EMPRESA BRASILEIRA DE CORREIOS E"/>
    <n v="91.84"/>
    <d v="2025-08-29T00:00:00"/>
  </r>
  <r>
    <n v="254065698"/>
    <n v="64841261"/>
    <s v="ZRDI"/>
    <n v="10023227"/>
    <n v="208"/>
    <s v="DEV-Atraso entrega- LOGISTICA(Transp)"/>
    <s v="TRANSPORTADORA"/>
    <x v="0"/>
    <n v="56785851"/>
    <s v="JEFFERSON NUNES"/>
    <s v="SC"/>
    <n v="475"/>
    <s v="Site Consul"/>
    <n v="1352"/>
    <s v="W10515645"/>
    <s v="Filtros"/>
    <x v="6"/>
    <n v="1"/>
    <n v="5002359"/>
    <s v="EMPRESA BRASILEIRA DE CORREIOS E"/>
    <n v="48.61"/>
    <d v="2025-08-29T00:00:00"/>
  </r>
  <r>
    <n v="254065699"/>
    <n v="64841262"/>
    <s v="ZRDI"/>
    <n v="10049965"/>
    <n v="208"/>
    <s v="DEV-Atraso entrega- LOGISTICA(Transp)"/>
    <s v="TRANSPORTADORA"/>
    <x v="0"/>
    <n v="51888171"/>
    <s v="FELLIPE SCHAZMANN"/>
    <s v="SC"/>
    <n v="474"/>
    <s v="Site Brastemp"/>
    <n v="1352"/>
    <s v="W11213068"/>
    <s v="Acessórios"/>
    <x v="5"/>
    <n v="1"/>
    <n v="5002359"/>
    <s v="EMPRESA BRASILEIRA DE CORREIOS E"/>
    <n v="42.29"/>
    <d v="2025-08-29T00:00:00"/>
  </r>
  <r>
    <n v="254065699"/>
    <n v="64841262"/>
    <s v="ZRDI"/>
    <n v="10049965"/>
    <n v="208"/>
    <s v="DEV-Atraso entrega- LOGISTICA(Transp)"/>
    <s v="TRANSPORTADORA"/>
    <x v="0"/>
    <n v="51888171"/>
    <s v="FELLIPE SCHAZMANN"/>
    <s v="SC"/>
    <n v="474"/>
    <s v="Site Brastemp"/>
    <n v="1352"/>
    <s v="W10620706"/>
    <s v="Outros"/>
    <x v="5"/>
    <n v="1"/>
    <n v="5002359"/>
    <s v="EMPRESA BRASILEIRA DE CORREIOS E"/>
    <n v="27.63"/>
    <d v="2025-08-29T00:00:00"/>
  </r>
  <r>
    <n v="254065699"/>
    <n v="64841262"/>
    <s v="ZRDI"/>
    <n v="10049965"/>
    <n v="208"/>
    <s v="DEV-Atraso entrega- LOGISTICA(Transp)"/>
    <s v="TRANSPORTADORA"/>
    <x v="0"/>
    <n v="51888171"/>
    <s v="FELLIPE SCHAZMANN"/>
    <s v="SC"/>
    <n v="474"/>
    <s v="Site Brastemp"/>
    <n v="1352"/>
    <n v="326026588"/>
    <s v="Outros"/>
    <x v="5"/>
    <n v="1"/>
    <n v="5002359"/>
    <s v="EMPRESA BRASILEIRA DE CORREIOS E"/>
    <n v="123.3"/>
    <d v="2025-08-29T00:00:00"/>
  </r>
  <r>
    <n v="254065701"/>
    <n v="64841263"/>
    <s v="ZRDI"/>
    <n v="10072731"/>
    <n v="208"/>
    <s v="DEV-Atraso entrega- LOGISTICA(Transp)"/>
    <s v="TRANSPORTADORA"/>
    <x v="0"/>
    <n v="52578462"/>
    <s v="CHRISTIANE SANTOS"/>
    <s v="RJ"/>
    <n v="474"/>
    <s v="Site Brastemp"/>
    <n v="1352"/>
    <s v="W10866791"/>
    <s v="Kits Instalação"/>
    <x v="5"/>
    <n v="2"/>
    <n v="5002359"/>
    <s v="EMPRESA BRASILEIRA DE CORREIOS E"/>
    <n v="254.82"/>
    <d v="2025-08-29T00:00:00"/>
  </r>
  <r>
    <n v="254065701"/>
    <n v="64841263"/>
    <s v="ZRDI"/>
    <n v="10072731"/>
    <n v="208"/>
    <s v="DEV-Atraso entrega- LOGISTICA(Transp)"/>
    <s v="TRANSPORTADORA"/>
    <x v="0"/>
    <n v="52578462"/>
    <s v="CHRISTIANE SANTOS"/>
    <s v="RJ"/>
    <n v="474"/>
    <s v="Site Brastemp"/>
    <n v="1352"/>
    <s v="W11100357"/>
    <s v="Tubos Queima"/>
    <x v="9"/>
    <n v="1"/>
    <n v="5002359"/>
    <s v="EMPRESA BRASILEIRA DE CORREIOS E"/>
    <n v="103.52"/>
    <d v="2025-08-29T00:00:00"/>
  </r>
  <r>
    <n v="254065701"/>
    <n v="64841263"/>
    <s v="ZRDI"/>
    <n v="10072731"/>
    <n v="208"/>
    <s v="DEV-Atraso entrega- LOGISTICA(Transp)"/>
    <s v="TRANSPORTADORA"/>
    <x v="0"/>
    <n v="52578462"/>
    <s v="CHRISTIANE SANTOS"/>
    <s v="RJ"/>
    <n v="474"/>
    <s v="Site Brastemp"/>
    <n v="1352"/>
    <s v="W11100356"/>
    <s v="Outros"/>
    <x v="5"/>
    <n v="1"/>
    <n v="5002359"/>
    <s v="EMPRESA BRASILEIRA DE CORREIOS E"/>
    <n v="43.67"/>
    <d v="2025-08-29T00:00:00"/>
  </r>
  <r>
    <n v="254065702"/>
    <n v="64841264"/>
    <s v="ZRDI"/>
    <n v="10079035"/>
    <n v="208"/>
    <s v="DEV-Atraso entrega- LOGISTICA(Transp)"/>
    <s v="TRANSPORTADORA"/>
    <x v="0"/>
    <n v="55553793"/>
    <s v="LUIZ FERNANDO TAVARES VIANNA"/>
    <s v="GO"/>
    <n v="466"/>
    <s v="Sup ML Marketplace"/>
    <n v="1352"/>
    <s v="W10330009"/>
    <s v="Acessórios"/>
    <x v="5"/>
    <n v="1"/>
    <n v="5002359"/>
    <s v="EMPRESA BRASILEIRA DE CORREIOS E"/>
    <n v="32.1"/>
    <d v="2025-08-29T00:00:00"/>
  </r>
  <r>
    <n v="254065702"/>
    <n v="64841264"/>
    <s v="ZRDI"/>
    <n v="10079035"/>
    <n v="208"/>
    <s v="DEV-Atraso entrega- LOGISTICA(Transp)"/>
    <s v="TRANSPORTADORA"/>
    <x v="0"/>
    <n v="55553793"/>
    <s v="LUIZ FERNANDO TAVARES VIANNA"/>
    <s v="GO"/>
    <n v="466"/>
    <s v="Sup ML Marketplace"/>
    <n v="1352"/>
    <s v="W10330009"/>
    <s v="Acessórios"/>
    <x v="5"/>
    <n v="1"/>
    <n v="5002359"/>
    <s v="EMPRESA BRASILEIRA DE CORREIOS E"/>
    <n v="32.11"/>
    <d v="2025-08-29T00:00:00"/>
  </r>
  <r>
    <n v="254065703"/>
    <n v="64841265"/>
    <s v="ZRDI"/>
    <n v="10086919"/>
    <n v="208"/>
    <s v="DEV-Atraso entrega- LOGISTICA(Transp)"/>
    <s v="TRANSPORTADORA"/>
    <x v="0"/>
    <n v="58088035"/>
    <s v="ISABEL ALMEIDA DE JESUS"/>
    <s v="BA"/>
    <n v="466"/>
    <s v="Sup ML Marketplace"/>
    <n v="1352"/>
    <s v="W10200101"/>
    <s v="Prateleiras"/>
    <x v="1"/>
    <n v="1"/>
    <n v="5002359"/>
    <s v="EMPRESA BRASILEIRA DE CORREIOS E"/>
    <n v="127.9"/>
    <d v="2025-08-29T00:00:00"/>
  </r>
  <r>
    <n v="254065703"/>
    <n v="64841265"/>
    <s v="ZRDI"/>
    <n v="10086919"/>
    <n v="208"/>
    <s v="DEV-Atraso entrega- LOGISTICA(Transp)"/>
    <s v="TRANSPORTADORA"/>
    <x v="0"/>
    <n v="58088035"/>
    <s v="ISABEL ALMEIDA DE JESUS"/>
    <s v="BA"/>
    <n v="466"/>
    <s v="Sup ML Marketplace"/>
    <n v="1352"/>
    <s v="W10581058"/>
    <s v="Gavetas"/>
    <x v="1"/>
    <n v="1"/>
    <n v="5002359"/>
    <s v="EMPRESA BRASILEIRA DE CORREIOS E"/>
    <n v="127.9"/>
    <d v="2025-08-29T00:00:00"/>
  </r>
  <r>
    <n v="254065705"/>
    <n v="64841266"/>
    <s v="ZRDI"/>
    <n v="10091695"/>
    <n v="208"/>
    <s v="DEV-Atraso entrega- LOGISTICA(Transp)"/>
    <s v="TRANSPORTADORA"/>
    <x v="0"/>
    <n v="58092924"/>
    <s v="DIEGO BARROS"/>
    <s v="SE"/>
    <n v="475"/>
    <s v="Site Consul"/>
    <n v="1352"/>
    <s v="W11715713"/>
    <s v="Outros"/>
    <x v="5"/>
    <n v="1"/>
    <n v="5002359"/>
    <s v="EMPRESA BRASILEIRA DE CORREIOS E"/>
    <n v="41.98"/>
    <d v="2025-08-29T00:00:00"/>
  </r>
  <r>
    <n v="254065706"/>
    <n v="64841267"/>
    <s v="ZRDI"/>
    <n v="10112646"/>
    <n v="208"/>
    <s v="DEV-Atraso entrega- LOGISTICA(Transp)"/>
    <s v="TRANSPORTADORA"/>
    <x v="0"/>
    <n v="58124071"/>
    <s v="KELLI SOUSA"/>
    <s v="GO"/>
    <n v="475"/>
    <s v="Site Consul"/>
    <n v="1352"/>
    <n v="326030489"/>
    <s v="Gavetas"/>
    <x v="1"/>
    <n v="1"/>
    <n v="5002359"/>
    <s v="EMPRESA BRASILEIRA DE CORREIOS E"/>
    <n v="108.89"/>
    <d v="2025-08-29T00:00:00"/>
  </r>
  <r>
    <n v="254065706"/>
    <n v="64841267"/>
    <s v="ZRDI"/>
    <n v="10112646"/>
    <n v="208"/>
    <s v="DEV-Atraso entrega- LOGISTICA(Transp)"/>
    <s v="TRANSPORTADORA"/>
    <x v="0"/>
    <n v="58124071"/>
    <s v="KELLI SOUSA"/>
    <s v="GO"/>
    <n v="475"/>
    <s v="Site Consul"/>
    <n v="1352"/>
    <n v="326030490"/>
    <s v="Prateleiras"/>
    <x v="1"/>
    <n v="1"/>
    <n v="5002359"/>
    <s v="EMPRESA BRASILEIRA DE CORREIOS E"/>
    <n v="10.89"/>
    <d v="2025-08-29T00:00:00"/>
  </r>
  <r>
    <n v="254065708"/>
    <n v="64841268"/>
    <s v="ZRDI"/>
    <n v="10118580"/>
    <n v="208"/>
    <s v="DEV-Atraso entrega- LOGISTICA(Transp)"/>
    <s v="TRANSPORTADORA"/>
    <x v="0"/>
    <n v="51868392"/>
    <s v="LUCIA ELIAS SILVA DE MATOS"/>
    <s v="CE"/>
    <n v="474"/>
    <s v="Site Brastemp"/>
    <n v="1352"/>
    <s v="W10624070"/>
    <s v="Gavetas"/>
    <x v="1"/>
    <n v="1"/>
    <n v="5002359"/>
    <s v="EMPRESA BRASILEIRA DE CORREIOS E"/>
    <n v="189.48"/>
    <d v="2025-08-29T00:00:00"/>
  </r>
  <r>
    <n v="254065708"/>
    <n v="64841268"/>
    <s v="ZRDI"/>
    <n v="10118580"/>
    <n v="208"/>
    <s v="DEV-Atraso entrega- LOGISTICA(Transp)"/>
    <s v="TRANSPORTADORA"/>
    <x v="0"/>
    <n v="51868392"/>
    <s v="LUCIA ELIAS SILVA DE MATOS"/>
    <s v="CE"/>
    <n v="474"/>
    <s v="Site Brastemp"/>
    <n v="1352"/>
    <s v="W11298039"/>
    <s v="Gavetas"/>
    <x v="1"/>
    <n v="1"/>
    <n v="5002359"/>
    <s v="EMPRESA BRASILEIRA DE CORREIOS E"/>
    <n v="196.96"/>
    <d v="2025-08-29T00:00:00"/>
  </r>
  <r>
    <n v="254065709"/>
    <n v="64841269"/>
    <s v="ZRDI"/>
    <n v="10121609"/>
    <n v="208"/>
    <s v="DEV-Atraso entrega- LOGISTICA(Transp)"/>
    <s v="TRANSPORTADORA"/>
    <x v="0"/>
    <n v="58134328"/>
    <s v="DANIEL GONCALVES"/>
    <s v="RR"/>
    <n v="474"/>
    <s v="Site Brastemp"/>
    <n v="1352"/>
    <s v="W10866789"/>
    <s v="Kits Instalação"/>
    <x v="5"/>
    <n v="1"/>
    <n v="5002359"/>
    <s v="EMPRESA BRASILEIRA DE CORREIOS E"/>
    <n v="88.07"/>
    <d v="2025-08-29T00:00:00"/>
  </r>
  <r>
    <n v="254065710"/>
    <n v="64841270"/>
    <s v="ZRDI"/>
    <n v="10123505"/>
    <n v="208"/>
    <s v="DEV-Atraso entrega- LOGISTICA(Transp)"/>
    <s v="TRANSPORTADORA"/>
    <x v="0"/>
    <n v="58135271"/>
    <s v="MARIA APARECIDA SILVA AGUIAR"/>
    <s v="MT"/>
    <n v="474"/>
    <s v="Site Brastemp"/>
    <n v="1352"/>
    <s v="W11213068"/>
    <s v="Acessórios"/>
    <x v="5"/>
    <n v="1"/>
    <n v="5002359"/>
    <s v="EMPRESA BRASILEIRA DE CORREIOS E"/>
    <n v="45.8"/>
    <d v="2025-08-29T00:00:00"/>
  </r>
  <r>
    <n v="254065711"/>
    <n v="64841271"/>
    <s v="ZRDI"/>
    <n v="10126773"/>
    <n v="208"/>
    <s v="DEV-Atraso entrega- LOGISTICA(Transp)"/>
    <s v="TRANSPORTADORA"/>
    <x v="0"/>
    <n v="4265848"/>
    <s v="LIGIA DE PAULA MESSIAS"/>
    <s v="SP"/>
    <n v="474"/>
    <s v="Site Brastemp"/>
    <n v="1352"/>
    <s v="W10866791"/>
    <s v="Kits Instalação"/>
    <x v="5"/>
    <n v="2"/>
    <n v="5002359"/>
    <s v="EMPRESA BRASILEIRA DE CORREIOS E"/>
    <n v="236.94"/>
    <d v="2025-08-29T00:00:00"/>
  </r>
  <r>
    <n v="254065711"/>
    <n v="64841271"/>
    <s v="ZRDI"/>
    <n v="10126773"/>
    <n v="208"/>
    <s v="DEV-Atraso entrega- LOGISTICA(Transp)"/>
    <s v="TRANSPORTADORA"/>
    <x v="0"/>
    <n v="4265848"/>
    <s v="LIGIA DE PAULA MESSIAS"/>
    <s v="SP"/>
    <n v="474"/>
    <s v="Site Brastemp"/>
    <n v="1352"/>
    <s v="W11100357"/>
    <s v="Tubos Queima"/>
    <x v="9"/>
    <n v="1"/>
    <n v="5002359"/>
    <s v="EMPRESA BRASILEIRA DE CORREIOS E"/>
    <n v="96.25"/>
    <d v="2025-08-29T00:00:00"/>
  </r>
  <r>
    <n v="254065711"/>
    <n v="64841271"/>
    <s v="ZRDI"/>
    <n v="10126773"/>
    <n v="208"/>
    <s v="DEV-Atraso entrega- LOGISTICA(Transp)"/>
    <s v="TRANSPORTADORA"/>
    <x v="0"/>
    <n v="4265848"/>
    <s v="LIGIA DE PAULA MESSIAS"/>
    <s v="SP"/>
    <n v="474"/>
    <s v="Site Brastemp"/>
    <n v="1352"/>
    <s v="W11100356"/>
    <s v="Outros"/>
    <x v="5"/>
    <n v="1"/>
    <n v="5002359"/>
    <s v="EMPRESA BRASILEIRA DE CORREIOS E"/>
    <n v="40.61"/>
    <d v="2025-08-29T00:00:00"/>
  </r>
  <r>
    <n v="254065713"/>
    <n v="64841272"/>
    <s v="ZRDI"/>
    <n v="10127707"/>
    <n v="208"/>
    <s v="DEV-Atraso entrega- LOGISTICA(Transp)"/>
    <s v="TRANSPORTADORA"/>
    <x v="0"/>
    <n v="58142180"/>
    <s v="RAFAEL PEREIRA"/>
    <s v="BA"/>
    <n v="475"/>
    <s v="Site Consul"/>
    <n v="1352"/>
    <s v="W11112652"/>
    <s v="Botões"/>
    <x v="3"/>
    <n v="1"/>
    <n v="5002359"/>
    <s v="EMPRESA BRASILEIRA DE CORREIOS E"/>
    <n v="33.700000000000003"/>
    <d v="2025-08-29T00:00:00"/>
  </r>
  <r>
    <n v="254065713"/>
    <n v="64841272"/>
    <s v="ZRDI"/>
    <n v="10127707"/>
    <n v="208"/>
    <s v="DEV-Atraso entrega- LOGISTICA(Transp)"/>
    <s v="TRANSPORTADORA"/>
    <x v="0"/>
    <n v="58142180"/>
    <s v="RAFAEL PEREIRA"/>
    <s v="BA"/>
    <n v="475"/>
    <s v="Site Consul"/>
    <n v="1352"/>
    <s v="W10721910"/>
    <s v="Pressostatos"/>
    <x v="8"/>
    <n v="1"/>
    <n v="5002359"/>
    <s v="EMPRESA BRASILEIRA DE CORREIOS E"/>
    <n v="59.48"/>
    <d v="2025-08-29T00:00:00"/>
  </r>
  <r>
    <n v="254065714"/>
    <n v="64841273"/>
    <s v="ZRDI"/>
    <n v="10130104"/>
    <n v="208"/>
    <s v="DEV-Atraso entrega- LOGISTICA(Transp)"/>
    <s v="TRANSPORTADORA"/>
    <x v="0"/>
    <n v="53620697"/>
    <s v="PHELIPE FIGUEIREDO TERRIBILE"/>
    <s v="SP"/>
    <n v="474"/>
    <s v="Site Brastemp"/>
    <n v="1352"/>
    <s v="W11559303"/>
    <s v="Kits Instalação"/>
    <x v="5"/>
    <n v="1"/>
    <n v="5002359"/>
    <s v="EMPRESA BRASILEIRA DE CORREIOS E"/>
    <n v="224.89"/>
    <d v="2025-08-29T00:00:00"/>
  </r>
  <r>
    <n v="254065714"/>
    <n v="64841273"/>
    <s v="ZRDI"/>
    <n v="10130104"/>
    <n v="208"/>
    <s v="DEV-Atraso entrega- LOGISTICA(Transp)"/>
    <s v="TRANSPORTADORA"/>
    <x v="0"/>
    <n v="53620697"/>
    <s v="PHELIPE FIGUEIREDO TERRIBILE"/>
    <s v="SP"/>
    <n v="474"/>
    <s v="Site Brastemp"/>
    <n v="1352"/>
    <s v="W11213068"/>
    <s v="Acessórios"/>
    <x v="5"/>
    <n v="1"/>
    <n v="5002359"/>
    <s v="EMPRESA BRASILEIRA DE CORREIOS E"/>
    <n v="40.08"/>
    <d v="2025-08-29T00:00:00"/>
  </r>
  <r>
    <n v="254065715"/>
    <n v="64841274"/>
    <s v="ZRDI"/>
    <n v="10132987"/>
    <n v="208"/>
    <s v="DEV-Atraso entrega- LOGISTICA(Transp)"/>
    <s v="TRANSPORTADORA"/>
    <x v="0"/>
    <n v="50802527"/>
    <s v="OSVALDO JUNIOR"/>
    <s v="PR"/>
    <n v="475"/>
    <s v="Site Consul"/>
    <n v="1352"/>
    <s v="W10301562"/>
    <s v="Filtros"/>
    <x v="6"/>
    <n v="2"/>
    <n v="5002359"/>
    <s v="EMPRESA BRASILEIRA DE CORREIOS E"/>
    <n v="180.18"/>
    <d v="2025-08-29T00:00:00"/>
  </r>
  <r>
    <n v="254065715"/>
    <n v="64841274"/>
    <s v="ZRDI"/>
    <n v="10132987"/>
    <n v="208"/>
    <s v="DEV-Atraso entrega- LOGISTICA(Transp)"/>
    <s v="TRANSPORTADORA"/>
    <x v="0"/>
    <n v="50802527"/>
    <s v="OSVALDO JUNIOR"/>
    <s v="PR"/>
    <n v="475"/>
    <s v="Site Consul"/>
    <n v="1352"/>
    <s v="W10301562"/>
    <s v="Filtros"/>
    <x v="6"/>
    <n v="1"/>
    <n v="5002359"/>
    <s v="EMPRESA BRASILEIRA DE CORREIOS E"/>
    <n v="90.11"/>
    <d v="2025-08-29T00:00:00"/>
  </r>
  <r>
    <n v="254065717"/>
    <n v="64841275"/>
    <s v="ZRDI"/>
    <n v="10138796"/>
    <n v="208"/>
    <s v="DEV-Atraso entrega- LOGISTICA(Transp)"/>
    <s v="TRANSPORTADORA"/>
    <x v="0"/>
    <n v="58160669"/>
    <s v="CAMILA SOUZA"/>
    <s v="SP"/>
    <n v="475"/>
    <s v="Site Consul"/>
    <n v="1352"/>
    <s v="W11199342"/>
    <s v="Filtros"/>
    <x v="6"/>
    <n v="1"/>
    <n v="5002359"/>
    <s v="EMPRESA BRASILEIRA DE CORREIOS E"/>
    <n v="94.3"/>
    <d v="2025-08-29T00:00:00"/>
  </r>
  <r>
    <n v="254065719"/>
    <n v="64841276"/>
    <s v="ZRDI"/>
    <n v="10141092"/>
    <n v="208"/>
    <s v="DEV-Atraso entrega- LOGISTICA(Transp)"/>
    <s v="TRANSPORTADORA"/>
    <x v="0"/>
    <n v="57786894"/>
    <s v="LUIZ ANTONIO JASSI FRANCISCONI"/>
    <s v="PR"/>
    <n v="466"/>
    <s v="Sup ML Marketplace"/>
    <n v="1352"/>
    <s v="W11509386"/>
    <s v="Filtros"/>
    <x v="6"/>
    <n v="1"/>
    <n v="5002359"/>
    <s v="EMPRESA BRASILEIRA DE CORREIOS E"/>
    <n v="127.96"/>
    <d v="2025-08-29T00:00:00"/>
  </r>
  <r>
    <n v="254065720"/>
    <n v="64841277"/>
    <s v="ZRDI"/>
    <n v="10144369"/>
    <n v="208"/>
    <s v="DEV-Atraso entrega- LOGISTICA(Transp)"/>
    <s v="TRANSPORTADORA"/>
    <x v="0"/>
    <n v="58164382"/>
    <s v="RAFAEL MENDES"/>
    <s v="ES"/>
    <n v="474"/>
    <s v="Site Brastemp"/>
    <n v="1352"/>
    <s v="W11559186"/>
    <s v="Kits Instalação"/>
    <x v="5"/>
    <n v="1"/>
    <n v="5002359"/>
    <s v="EMPRESA BRASILEIRA DE CORREIOS E"/>
    <n v="216.33"/>
    <d v="2025-08-29T00:00:00"/>
  </r>
  <r>
    <n v="254065723"/>
    <n v="64841278"/>
    <s v="ZRDI"/>
    <n v="10153841"/>
    <n v="208"/>
    <s v="DEV-Atraso entrega- LOGISTICA(Transp)"/>
    <s v="TRANSPORTADORA"/>
    <x v="0"/>
    <n v="57597500"/>
    <s v="LUCAS HENRIQUE MAGALHÃES"/>
    <s v="SP"/>
    <n v="474"/>
    <s v="Site Brastemp"/>
    <n v="1352"/>
    <s v="W11213068"/>
    <s v="Acessórios"/>
    <x v="5"/>
    <n v="1"/>
    <n v="5002359"/>
    <s v="EMPRESA BRASILEIRA DE CORREIOS E"/>
    <n v="40.08"/>
    <d v="2025-08-29T00:00:00"/>
  </r>
  <r>
    <n v="254065723"/>
    <n v="64841278"/>
    <s v="ZRDI"/>
    <n v="10153841"/>
    <n v="208"/>
    <s v="DEV-Atraso entrega- LOGISTICA(Transp)"/>
    <s v="TRANSPORTADORA"/>
    <x v="0"/>
    <n v="57597500"/>
    <s v="LUCAS HENRIQUE MAGALHÃES"/>
    <s v="SP"/>
    <n v="474"/>
    <s v="Site Brastemp"/>
    <n v="1352"/>
    <s v="W10620706"/>
    <s v="Outros"/>
    <x v="5"/>
    <n v="1"/>
    <n v="5002359"/>
    <s v="EMPRESA BRASILEIRA DE CORREIOS E"/>
    <n v="25.42"/>
    <d v="2025-08-29T00:00:00"/>
  </r>
  <r>
    <s v="Sem TR"/>
    <n v="64841279"/>
    <s v="ZRDI"/>
    <n v="10162946"/>
    <n v="208"/>
    <s v="DEV-Atraso entrega- LOGISTICA(Transp)"/>
    <s v="TRANSPORTADORA"/>
    <x v="0"/>
    <n v="58189487"/>
    <s v="ANTÔNIO DA SILVA AGUIAR"/>
    <s v="MA"/>
    <n v="475"/>
    <s v="Site Consul"/>
    <n v="1352"/>
    <s v="W11226308"/>
    <s v="Tanques"/>
    <x v="1"/>
    <n v="1"/>
    <n v="5002359"/>
    <s v="EMPRESA BRASILEIRA DE CORREIOS E"/>
    <n v="276.89999999999998"/>
    <d v="2025-08-29T00:00:00"/>
  </r>
  <r>
    <n v="254065724"/>
    <n v="64841280"/>
    <s v="ZRDI"/>
    <n v="10164546"/>
    <n v="208"/>
    <s v="DEV-Atraso entrega- LOGISTICA(Transp)"/>
    <s v="TRANSPORTADORA"/>
    <x v="0"/>
    <n v="58191406"/>
    <s v="GRAZIELA DOS SANTOS MCNAMEE"/>
    <s v="SC"/>
    <n v="475"/>
    <s v="Site Consul"/>
    <n v="1352"/>
    <s v="W10301562"/>
    <s v="Filtros"/>
    <x v="6"/>
    <n v="1"/>
    <n v="5002359"/>
    <s v="EMPRESA BRASILEIRA DE CORREIOS E"/>
    <n v="101.83"/>
    <d v="2025-08-29T00:00:00"/>
  </r>
  <r>
    <n v="254065726"/>
    <n v="64841281"/>
    <s v="ZRDI"/>
    <n v="10178631"/>
    <n v="208"/>
    <s v="DEV-Atraso entrega- LOGISTICA(Transp)"/>
    <s v="TRANSPORTADORA"/>
    <x v="0"/>
    <n v="53952401"/>
    <s v="LUCAS RODRIGUES"/>
    <s v="RS"/>
    <n v="475"/>
    <s v="Site Consul"/>
    <n v="1352"/>
    <s v="W11509386"/>
    <s v="Filtros"/>
    <x v="6"/>
    <n v="2"/>
    <n v="5002359"/>
    <s v="EMPRESA BRASILEIRA DE CORREIOS E"/>
    <n v="218.44"/>
    <d v="2025-08-29T00:00:00"/>
  </r>
  <r>
    <n v="254065726"/>
    <n v="64841281"/>
    <s v="ZRDI"/>
    <n v="10178631"/>
    <n v="208"/>
    <s v="DEV-Atraso entrega- LOGISTICA(Transp)"/>
    <s v="TRANSPORTADORA"/>
    <x v="0"/>
    <n v="53952401"/>
    <s v="LUCAS RODRIGUES"/>
    <s v="RS"/>
    <n v="475"/>
    <s v="Site Consul"/>
    <n v="1352"/>
    <s v="W11509386"/>
    <s v="Filtros"/>
    <x v="6"/>
    <n v="1"/>
    <n v="5002359"/>
    <s v="EMPRESA BRASILEIRA DE CORREIOS E"/>
    <n v="109.24"/>
    <d v="2025-08-29T00:00:00"/>
  </r>
  <r>
    <n v="254065727"/>
    <n v="64841282"/>
    <s v="ZRDI"/>
    <n v="10178783"/>
    <n v="208"/>
    <s v="DEV-Atraso entrega- LOGISTICA(Transp)"/>
    <s v="TRANSPORTADORA"/>
    <x v="0"/>
    <n v="57804006"/>
    <s v="MIRELLA FERRAZ MESCH"/>
    <s v="SC"/>
    <n v="475"/>
    <s v="Site Consul"/>
    <n v="1352"/>
    <s v="W11509386"/>
    <s v="Filtros"/>
    <x v="6"/>
    <n v="1"/>
    <n v="5002359"/>
    <s v="EMPRESA BRASILEIRA DE CORREIOS E"/>
    <n v="118.17"/>
    <d v="2025-08-29T00:00:00"/>
  </r>
  <r>
    <s v="Sem TR"/>
    <n v="64841283"/>
    <s v="ZRDI"/>
    <n v="10179028"/>
    <n v="208"/>
    <s v="DEV-Atraso entrega- LOGISTICA(Transp)"/>
    <s v="TRANSPORTADORA"/>
    <x v="0"/>
    <n v="53707663"/>
    <s v="JAIR MEDEIROS"/>
    <s v="CE"/>
    <n v="466"/>
    <s v="Sup ML Marketplace"/>
    <n v="1352"/>
    <s v="W11375416"/>
    <s v="Tampas Móveis"/>
    <x v="3"/>
    <n v="1"/>
    <n v="5002359"/>
    <s v="EMPRESA BRASILEIRA DE CORREIOS E"/>
    <n v="54.22"/>
    <d v="2025-08-29T00:00:00"/>
  </r>
  <r>
    <n v="254065728"/>
    <n v="64841284"/>
    <s v="ZRDI"/>
    <n v="10181860"/>
    <n v="208"/>
    <s v="DEV-Atraso entrega- LOGISTICA(Transp)"/>
    <s v="TRANSPORTADORA"/>
    <x v="0"/>
    <n v="50370420"/>
    <s v="FELIPE VIEIRA DE OLIVEIRA"/>
    <s v="MG"/>
    <n v="466"/>
    <s v="Sup ML Marketplace"/>
    <n v="1352"/>
    <s v="W11210246"/>
    <s v="Painéis Decorativos"/>
    <x v="3"/>
    <n v="1"/>
    <n v="5002359"/>
    <s v="EMPRESA BRASILEIRA DE CORREIOS E"/>
    <n v="49.96"/>
    <d v="2025-08-29T00:00:00"/>
  </r>
  <r>
    <n v="254065729"/>
    <n v="64841285"/>
    <s v="ZRDI"/>
    <n v="10181917"/>
    <n v="208"/>
    <s v="DEV-Atraso entrega- LOGISTICA(Transp)"/>
    <s v="TRANSPORTADORA"/>
    <x v="0"/>
    <n v="58208813"/>
    <s v="MATHEUS LEANDRO"/>
    <s v="SC"/>
    <n v="474"/>
    <s v="Site Brastemp"/>
    <n v="1352"/>
    <s v="W10657521"/>
    <s v="Portas"/>
    <x v="3"/>
    <n v="1"/>
    <n v="5002359"/>
    <s v="EMPRESA BRASILEIRA DE CORREIOS E"/>
    <n v="114.45"/>
    <d v="2025-08-29T00:00:00"/>
  </r>
  <r>
    <n v="254065730"/>
    <n v="64841286"/>
    <s v="ZRDI"/>
    <n v="10181247"/>
    <n v="208"/>
    <s v="DEV-Atraso entrega- LOGISTICA(Transp)"/>
    <s v="TRANSPORTADORA"/>
    <x v="0"/>
    <n v="58211408"/>
    <s v="MÔNICA BOMFIM OLIVEIRA"/>
    <s v="RJ"/>
    <n v="474"/>
    <s v="Site Brastemp"/>
    <n v="1352"/>
    <s v="W11213068"/>
    <s v="Acessórios"/>
    <x v="5"/>
    <n v="2"/>
    <n v="5002359"/>
    <s v="EMPRESA BRASILEIRA DE CORREIOS E"/>
    <n v="84.2"/>
    <d v="2025-08-29T00:00:00"/>
  </r>
  <r>
    <n v="254065731"/>
    <n v="64841287"/>
    <s v="ZRDI"/>
    <n v="10182379"/>
    <n v="208"/>
    <s v="DEV-Atraso entrega- LOGISTICA(Transp)"/>
    <s v="TRANSPORTADORA"/>
    <x v="0"/>
    <n v="57804529"/>
    <s v="LUIZ DUARTE"/>
    <s v="SC"/>
    <n v="475"/>
    <s v="Site Consul"/>
    <n v="1352"/>
    <s v="W11199342"/>
    <s v="Filtros"/>
    <x v="6"/>
    <n v="1"/>
    <n v="5002359"/>
    <s v="EMPRESA BRASILEIRA DE CORREIOS E"/>
    <n v="101.83"/>
    <d v="2025-08-29T00:00:00"/>
  </r>
  <r>
    <n v="254065732"/>
    <n v="64841288"/>
    <s v="ZRDI"/>
    <n v="10183906"/>
    <n v="208"/>
    <s v="DEV-Atraso entrega- LOGISTICA(Transp)"/>
    <s v="TRANSPORTADORA"/>
    <x v="0"/>
    <n v="56226528"/>
    <s v="ALBERTO PEREIRA"/>
    <s v="RJ"/>
    <n v="474"/>
    <s v="Site Brastemp"/>
    <n v="1352"/>
    <s v="W10866789"/>
    <s v="Kits Instalação"/>
    <x v="5"/>
    <n v="1"/>
    <n v="5002359"/>
    <s v="EMPRESA BRASILEIRA DE CORREIOS E"/>
    <n v="75.44"/>
    <d v="2025-08-29T00:00:00"/>
  </r>
  <r>
    <n v="254065734"/>
    <n v="64841289"/>
    <s v="ZRDI"/>
    <n v="10186858"/>
    <n v="208"/>
    <s v="DEV-Atraso entrega- LOGISTICA(Transp)"/>
    <s v="TRANSPORTADORA"/>
    <x v="0"/>
    <n v="58025977"/>
    <s v="CARLOS HENRIQUE"/>
    <s v="RJ"/>
    <n v="474"/>
    <s v="Site Brastemp"/>
    <n v="1352"/>
    <s v="W10866791"/>
    <s v="Kits Instalação"/>
    <x v="5"/>
    <n v="2"/>
    <n v="5002359"/>
    <s v="EMPRESA BRASILEIRA DE CORREIOS E"/>
    <n v="229.6"/>
    <d v="2025-08-29T00:00:00"/>
  </r>
  <r>
    <n v="254065734"/>
    <n v="64841289"/>
    <s v="ZRDI"/>
    <n v="10186858"/>
    <n v="208"/>
    <s v="DEV-Atraso entrega- LOGISTICA(Transp)"/>
    <s v="TRANSPORTADORA"/>
    <x v="0"/>
    <n v="58025977"/>
    <s v="CARLOS HENRIQUE"/>
    <s v="RJ"/>
    <n v="474"/>
    <s v="Site Brastemp"/>
    <n v="1352"/>
    <s v="W10866793"/>
    <s v="Outros"/>
    <x v="5"/>
    <n v="1"/>
    <n v="5002359"/>
    <s v="EMPRESA BRASILEIRA DE CORREIOS E"/>
    <n v="39.36"/>
    <d v="2025-08-29T00:00:00"/>
  </r>
  <r>
    <n v="254065734"/>
    <n v="64841289"/>
    <s v="ZRDI"/>
    <n v="10186858"/>
    <n v="208"/>
    <s v="DEV-Atraso entrega- LOGISTICA(Transp)"/>
    <s v="TRANSPORTADORA"/>
    <x v="0"/>
    <n v="58025977"/>
    <s v="CARLOS HENRIQUE"/>
    <s v="RJ"/>
    <n v="474"/>
    <s v="Site Brastemp"/>
    <n v="1352"/>
    <s v="W11100357"/>
    <s v="Tubos Queima"/>
    <x v="9"/>
    <n v="1"/>
    <n v="5002359"/>
    <s v="EMPRESA BRASILEIRA DE CORREIOS E"/>
    <n v="93.26"/>
    <d v="2025-08-29T00:00:00"/>
  </r>
  <r>
    <n v="254065736"/>
    <n v="64841290"/>
    <s v="ZRDI"/>
    <n v="10186487"/>
    <n v="208"/>
    <s v="DEV-Atraso entrega- LOGISTICA(Transp)"/>
    <s v="TRANSPORTADORA"/>
    <x v="0"/>
    <n v="58214549"/>
    <s v="LUIZA BUCHMANN"/>
    <s v="SC"/>
    <n v="475"/>
    <s v="Site Consul"/>
    <n v="1352"/>
    <s v="W10515645"/>
    <s v="Filtros"/>
    <x v="6"/>
    <n v="2"/>
    <n v="5002359"/>
    <s v="EMPRESA BRASILEIRA DE CORREIOS E"/>
    <n v="97.22"/>
    <d v="2025-08-29T00:00:00"/>
  </r>
  <r>
    <n v="254065738"/>
    <n v="64841291"/>
    <s v="ZRDI"/>
    <n v="10188506"/>
    <n v="208"/>
    <s v="DEV-Atraso entrega- LOGISTICA(Transp)"/>
    <s v="TRANSPORTADORA"/>
    <x v="0"/>
    <n v="54840863"/>
    <s v="LENIRA FRACASSO"/>
    <s v="RJ"/>
    <n v="475"/>
    <s v="Site Consul"/>
    <n v="1352"/>
    <s v="W10866789"/>
    <s v="Kits Instalação"/>
    <x v="5"/>
    <n v="1"/>
    <n v="5002359"/>
    <s v="EMPRESA BRASILEIRA DE CORREIOS E"/>
    <n v="75.44"/>
    <d v="2025-08-29T00:00:00"/>
  </r>
  <r>
    <n v="254065741"/>
    <n v="64841292"/>
    <s v="ZRDI"/>
    <n v="10190896"/>
    <n v="208"/>
    <s v="DEV-Atraso entrega- LOGISTICA(Transp)"/>
    <s v="TRANSPORTADORA"/>
    <x v="0"/>
    <n v="58217124"/>
    <s v="YASMIN RAHN"/>
    <s v="SC"/>
    <n v="475"/>
    <s v="Site Consul"/>
    <n v="1352"/>
    <s v="W11199342"/>
    <s v="Filtros"/>
    <x v="6"/>
    <n v="1"/>
    <n v="5002359"/>
    <s v="EMPRESA BRASILEIRA DE CORREIOS E"/>
    <n v="101.83"/>
    <d v="2025-08-29T00:00:00"/>
  </r>
  <r>
    <n v="254065753"/>
    <n v="64841293"/>
    <s v="ZRDI"/>
    <n v="10195708"/>
    <n v="208"/>
    <s v="DEV-Atraso entrega- LOGISTICA(Transp)"/>
    <s v="TRANSPORTADORA"/>
    <x v="0"/>
    <n v="58228141"/>
    <s v="BEATRIZ MAIA"/>
    <s v="SP"/>
    <n v="475"/>
    <s v="Site Consul"/>
    <n v="1352"/>
    <s v="W11199342"/>
    <s v="Filtros"/>
    <x v="6"/>
    <n v="1"/>
    <n v="5002359"/>
    <s v="EMPRESA BRASILEIRA DE CORREIOS E"/>
    <n v="89.81"/>
    <d v="2025-08-29T00:00:00"/>
  </r>
  <r>
    <n v="254065756"/>
    <n v="64841299"/>
    <s v="ZRDI"/>
    <n v="10200894"/>
    <n v="208"/>
    <s v="DEV-Atraso entrega- LOGISTICA(Transp)"/>
    <s v="TRANSPORTADORA"/>
    <x v="0"/>
    <n v="55589871"/>
    <s v="THAMIRES CARRILHO DE MENEZES"/>
    <s v="RJ"/>
    <n v="475"/>
    <s v="Site Consul"/>
    <n v="1352"/>
    <s v="W11132264"/>
    <s v="Trempes"/>
    <x v="3"/>
    <n v="1"/>
    <n v="5002359"/>
    <s v="EMPRESA BRASILEIRA DE CORREIOS E"/>
    <n v="67.02"/>
    <d v="2025-08-29T00:00:00"/>
  </r>
  <r>
    <n v="254065758"/>
    <n v="64841300"/>
    <s v="ZRDI"/>
    <n v="10201554"/>
    <n v="208"/>
    <s v="DEV-Atraso entrega- LOGISTICA(Transp)"/>
    <s v="TRANSPORTADORA"/>
    <x v="0"/>
    <n v="58237529"/>
    <s v="DANIELA GONZALEZ"/>
    <s v="SP"/>
    <n v="475"/>
    <s v="Site Consul"/>
    <n v="1352"/>
    <s v="W11199342"/>
    <s v="Filtros"/>
    <x v="6"/>
    <n v="1"/>
    <n v="5002359"/>
    <s v="EMPRESA BRASILEIRA DE CORREIOS E"/>
    <n v="89.81"/>
    <d v="2025-08-29T00:00:00"/>
  </r>
  <r>
    <n v="254065761"/>
    <n v="64841301"/>
    <s v="ZRDI"/>
    <n v="10202095"/>
    <n v="208"/>
    <s v="DEV-Atraso entrega- LOGISTICA(Transp)"/>
    <s v="TRANSPORTADORA"/>
    <x v="0"/>
    <n v="50229995"/>
    <s v="EMERSON SORIANO"/>
    <s v="SP"/>
    <n v="474"/>
    <s v="Site Brastemp"/>
    <n v="1352"/>
    <s v="W10911543"/>
    <s v="Manípulos"/>
    <x v="3"/>
    <n v="3"/>
    <n v="5002359"/>
    <s v="EMPRESA BRASILEIRA DE CORREIOS E"/>
    <n v="66.599999999999994"/>
    <d v="2025-08-29T00:00:00"/>
  </r>
  <r>
    <n v="254065762"/>
    <n v="64841302"/>
    <s v="ZRDI"/>
    <n v="10202107"/>
    <n v="208"/>
    <s v="DEV-Atraso entrega- LOGISTICA(Transp)"/>
    <s v="TRANSPORTADORA"/>
    <x v="0"/>
    <n v="51804652"/>
    <s v="EDSON FREITAS LEITE"/>
    <s v="SP"/>
    <n v="475"/>
    <s v="Site Consul"/>
    <n v="1352"/>
    <s v="W10169457"/>
    <s v="Prateleiras"/>
    <x v="1"/>
    <n v="1"/>
    <n v="5002359"/>
    <s v="EMPRESA BRASILEIRA DE CORREIOS E"/>
    <n v="77.209999999999994"/>
    <d v="2025-08-29T00:00:00"/>
  </r>
  <r>
    <n v="254065762"/>
    <n v="64841302"/>
    <s v="ZRDI"/>
    <n v="10202107"/>
    <n v="208"/>
    <s v="DEV-Atraso entrega- LOGISTICA(Transp)"/>
    <s v="TRANSPORTADORA"/>
    <x v="0"/>
    <n v="51804652"/>
    <s v="EDSON FREITAS LEITE"/>
    <s v="SP"/>
    <n v="475"/>
    <s v="Site Consul"/>
    <n v="1352"/>
    <s v="W10169459"/>
    <s v="Prateleiras"/>
    <x v="1"/>
    <n v="1"/>
    <n v="5002359"/>
    <s v="EMPRESA BRASILEIRA DE CORREIOS E"/>
    <n v="55.8"/>
    <d v="2025-08-29T00:00:00"/>
  </r>
  <r>
    <n v="254065762"/>
    <n v="64841302"/>
    <s v="ZRDI"/>
    <n v="10202107"/>
    <n v="208"/>
    <s v="DEV-Atraso entrega- LOGISTICA(Transp)"/>
    <s v="TRANSPORTADORA"/>
    <x v="0"/>
    <n v="51804652"/>
    <s v="EDSON FREITAS LEITE"/>
    <s v="SP"/>
    <n v="475"/>
    <s v="Site Consul"/>
    <n v="1352"/>
    <s v="W11374521"/>
    <s v="Suportes"/>
    <x v="3"/>
    <n v="1"/>
    <n v="5002359"/>
    <s v="EMPRESA BRASILEIRA DE CORREIOS E"/>
    <n v="41.39"/>
    <d v="2025-08-29T00:00:00"/>
  </r>
  <r>
    <s v="Sem TR"/>
    <n v="64841394"/>
    <s v="ZRDI"/>
    <n v="10207757"/>
    <s v="D10"/>
    <s v="DEV D2C - Comprou modelo errado"/>
    <s v="COMERCIAL"/>
    <x v="0"/>
    <n v="53346297"/>
    <s v="ADELI LUIZ"/>
    <s v="MG"/>
    <n v="475"/>
    <s v="Site Consul"/>
    <n v="1352"/>
    <s v="W10200101"/>
    <s v="Prateleiras"/>
    <x v="1"/>
    <n v="1"/>
    <n v="5002359"/>
    <s v="EMPRESA BRASILEIRA DE CORREIOS E"/>
    <n v="104.4"/>
    <d v="2025-08-29T00:00:00"/>
  </r>
  <r>
    <n v="254066456"/>
    <n v="64841406"/>
    <s v="ZRDI"/>
    <n v="10215494"/>
    <s v="D14"/>
    <s v="DEV D2C - Comprou prod cor errada"/>
    <s v="COMERCIAL"/>
    <x v="0"/>
    <n v="5666154"/>
    <s v="ANÍSIO CELSO DOS SANTOS FILHO"/>
    <s v="BA"/>
    <n v="475"/>
    <s v="Site Consul"/>
    <n v="1352"/>
    <s v="W11509387"/>
    <s v="Filtros"/>
    <x v="6"/>
    <n v="1"/>
    <n v="5002359"/>
    <s v="EMPRESA BRASILEIRA DE CORREIOS E"/>
    <n v="107.96"/>
    <d v="2025-09-01T00:00:00"/>
  </r>
  <r>
    <n v="254066456"/>
    <n v="64841406"/>
    <s v="ZRDI"/>
    <n v="10215494"/>
    <s v="D14"/>
    <s v="DEV D2C - Comprou prod cor errada"/>
    <s v="COMERCIAL"/>
    <x v="0"/>
    <n v="5666154"/>
    <s v="ANÍSIO CELSO DOS SANTOS FILHO"/>
    <s v="BA"/>
    <n v="475"/>
    <s v="Site Consul"/>
    <n v="1352"/>
    <s v="W11509387"/>
    <s v="Filtros"/>
    <x v="6"/>
    <n v="1"/>
    <n v="5002359"/>
    <s v="EMPRESA BRASILEIRA DE CORREIOS E"/>
    <n v="107.98"/>
    <d v="2025-09-01T00:00:00"/>
  </r>
  <r>
    <n v="254066458"/>
    <n v="64841408"/>
    <s v="ZRDI"/>
    <n v="10218311"/>
    <s v="D10"/>
    <s v="DEV D2C - Comprou modelo errado"/>
    <s v="COMERCIAL"/>
    <x v="0"/>
    <n v="57840088"/>
    <s v="PAULA CALDAS"/>
    <s v="RJ"/>
    <n v="474"/>
    <s v="Site Brastemp"/>
    <n v="1352"/>
    <s v="W11245249"/>
    <s v="Válvulas de Água"/>
    <x v="6"/>
    <n v="1"/>
    <n v="5002359"/>
    <s v="EMPRESA BRASILEIRA DE CORREIOS E"/>
    <n v="87.64"/>
    <d v="2025-09-01T00:00:00"/>
  </r>
  <r>
    <s v="Sem TR"/>
    <n v="64841474"/>
    <s v="ZRDI"/>
    <n v="10216578"/>
    <s v="D10"/>
    <s v="DEV D2C - Comprou modelo errado"/>
    <s v="COMERCIAL"/>
    <x v="0"/>
    <n v="50443214"/>
    <s v="MARCUS WIBE"/>
    <s v="SP"/>
    <n v="475"/>
    <s v="Site Consul"/>
    <n v="1352"/>
    <s v="W11294886"/>
    <s v="Cordões de Alimentação"/>
    <x v="2"/>
    <n v="1"/>
    <n v="5002359"/>
    <s v="EMPRESA BRASILEIRA DE CORREIOS E"/>
    <n v="123.46"/>
    <d v="2025-08-29T00:00:00"/>
  </r>
  <r>
    <s v="Sem TR"/>
    <n v="64841476"/>
    <s v="ZRDI"/>
    <n v="10220128"/>
    <s v="D10"/>
    <s v="DEV D2C - Comprou modelo errado"/>
    <s v="COMERCIAL"/>
    <x v="0"/>
    <n v="58256993"/>
    <s v="GUSTAVO MILBEYER"/>
    <s v="SP"/>
    <n v="475"/>
    <s v="Site Consul"/>
    <n v="1352"/>
    <s v="W10212150"/>
    <s v="Gavetas"/>
    <x v="1"/>
    <n v="1"/>
    <n v="5002359"/>
    <s v="EMPRESA BRASILEIRA DE CORREIOS E"/>
    <n v="104.7"/>
    <d v="2025-08-30T00:00:00"/>
  </r>
  <r>
    <n v="254066029"/>
    <n v="64841557"/>
    <s v="ZRDI"/>
    <n v="10193072"/>
    <s v="D18"/>
    <s v="DEV D2C - Arrependimento não quero mais"/>
    <s v="COMERCIAL"/>
    <x v="0"/>
    <n v="4020367"/>
    <s v="SUZY SOUZA"/>
    <s v="SP"/>
    <n v="474"/>
    <s v="Site Brastemp"/>
    <n v="1352"/>
    <s v="W10667474"/>
    <s v="Gaxetas"/>
    <x v="10"/>
    <n v="1"/>
    <n v="5003972"/>
    <s v="ICARO EXPRESS LOGISTICA LTDA"/>
    <n v="24.73"/>
    <d v="2025-08-30T00:00:00"/>
  </r>
  <r>
    <n v="254066030"/>
    <n v="64841558"/>
    <s v="ZRDI"/>
    <n v="10205079"/>
    <s v="D10"/>
    <s v="DEV D2C - Comprou modelo errado"/>
    <s v="COMERCIAL"/>
    <x v="0"/>
    <n v="4660690"/>
    <s v="MANOELA SIUFFO"/>
    <s v="RJ"/>
    <n v="474"/>
    <s v="Site Brastemp"/>
    <n v="1352"/>
    <s v="W10320833"/>
    <s v="Filtros"/>
    <x v="6"/>
    <n v="1"/>
    <n v="5003972"/>
    <s v="ICARO EXPRESS LOGISTICA LTDA"/>
    <n v="166.32"/>
    <d v="2025-08-30T00:00:00"/>
  </r>
  <r>
    <n v="254066030"/>
    <n v="64841558"/>
    <s v="ZRDI"/>
    <n v="10205079"/>
    <s v="D10"/>
    <s v="DEV D2C - Comprou modelo errado"/>
    <s v="COMERCIAL"/>
    <x v="0"/>
    <n v="4660690"/>
    <s v="MANOELA SIUFFO"/>
    <s v="RJ"/>
    <n v="474"/>
    <s v="Site Brastemp"/>
    <n v="1352"/>
    <s v="W10320833"/>
    <s v="Filtros"/>
    <x v="6"/>
    <n v="1"/>
    <n v="5003972"/>
    <s v="ICARO EXPRESS LOGISTICA LTDA"/>
    <n v="166.33"/>
    <d v="2025-08-30T00:00:00"/>
  </r>
  <r>
    <n v="254066032"/>
    <n v="64841560"/>
    <s v="ZRDI"/>
    <n v="10204415"/>
    <s v="D10"/>
    <s v="DEV D2C - Comprou modelo errado"/>
    <s v="COMERCIAL"/>
    <x v="0"/>
    <n v="58238639"/>
    <s v="JOSÉ MARCIO RODRIGUES SOARES"/>
    <s v="SP"/>
    <n v="474"/>
    <s v="Site Brastemp"/>
    <n v="1352"/>
    <s v="W10447057"/>
    <s v="Placas de Controle"/>
    <x v="2"/>
    <n v="1"/>
    <n v="5003972"/>
    <s v="ICARO EXPRESS LOGISTICA LTDA"/>
    <n v="988.72"/>
    <d v="2025-08-30T00:00:00"/>
  </r>
  <r>
    <s v="Sem TR"/>
    <n v="64841634"/>
    <s v="ZRDI"/>
    <n v="10154537"/>
    <s v="D31"/>
    <s v="DEV D2C - Defeito estético manufatura"/>
    <s v="MANUFATURA"/>
    <x v="0"/>
    <n v="58184349"/>
    <s v="ELVIS NASCIMENTO"/>
    <s v="PE"/>
    <n v="475"/>
    <s v="Site Consul"/>
    <n v="1352"/>
    <s v="W11132264"/>
    <s v="Trempes"/>
    <x v="3"/>
    <n v="1"/>
    <n v="5002359"/>
    <s v="EMPRESA BRASILEIRA DE CORREIOS E"/>
    <n v="67.41"/>
    <d v="2025-08-30T00:00:00"/>
  </r>
  <r>
    <s v="Sem TR"/>
    <n v="64841674"/>
    <s v="ZRDI"/>
    <n v="10213173"/>
    <s v="D15"/>
    <s v="DEV D2C - Arrependimento modelo comprado"/>
    <s v="COMERCIAL"/>
    <x v="0"/>
    <n v="58247836"/>
    <s v="VAGNER ALBANEZ"/>
    <s v="PR"/>
    <n v="474"/>
    <s v="Site Brastemp"/>
    <n v="1352"/>
    <s v="W11115537"/>
    <s v="Prateleiras"/>
    <x v="1"/>
    <n v="1"/>
    <n v="5002359"/>
    <s v="EMPRESA BRASILEIRA DE CORREIOS E"/>
    <n v="127.97"/>
    <d v="2025-08-30T00:00:00"/>
  </r>
  <r>
    <n v="254066460"/>
    <n v="64841745"/>
    <s v="ZRDI"/>
    <n v="10218674"/>
    <s v="D18"/>
    <s v="DEV D2C - Arrependimento não quero mais"/>
    <s v="COMERCIAL"/>
    <x v="0"/>
    <n v="58254156"/>
    <s v="LUZIA PEREIRA SUDRE"/>
    <s v="RJ"/>
    <n v="466"/>
    <s v="Sup ML Marketplace"/>
    <n v="1352"/>
    <s v="W11199342"/>
    <s v="Filtros"/>
    <x v="6"/>
    <n v="1"/>
    <n v="5002359"/>
    <s v="EMPRESA BRASILEIRA DE CORREIOS E"/>
    <n v="96.15"/>
    <d v="2025-09-01T00:00:00"/>
  </r>
  <r>
    <n v="253707177"/>
    <n v="64495404"/>
    <s v="REB"/>
    <n v="9104128"/>
    <n v="671"/>
    <s v="DEV-ENVIADO PARA GESTÃO DE CONSEQUENCIA"/>
    <s v="TRANSPORTADORA"/>
    <x v="1"/>
    <n v="3701"/>
    <s v="FRIOLAR COMERCIO DE PECAS E"/>
    <s v="SP"/>
    <n v="932"/>
    <s v="CDP Prata"/>
    <n v="1350"/>
    <s v="W11229864"/>
    <s v="Isolantes"/>
    <x v="10"/>
    <n v="1"/>
    <n v="5003482"/>
    <s v="TMA TRANSPORTE LOTACAO E LOGISTICA"/>
    <n v="205.41"/>
    <d v="2024-02-19T00:00:00"/>
  </r>
  <r>
    <n v="253952274"/>
    <n v="64565612"/>
    <s v="REB"/>
    <n v="9775562"/>
    <n v="173"/>
    <s v="PEÇAS - Defeito de fabric./Alta Amperage"/>
    <s v="FUNCIONAL"/>
    <x v="1"/>
    <n v="31790"/>
    <s v="TEIXEIRA &amp; TEIXEIRA COMERCIO"/>
    <s v="SP"/>
    <n v="350"/>
    <s v="Ats On"/>
    <n v="1350"/>
    <s v="W10734080"/>
    <s v="Placas de Controle"/>
    <x v="2"/>
    <n v="1"/>
    <n v="5004042"/>
    <s v="BRASIL WEB TRANSPORTES E LOGISTICA"/>
    <n v="259.66000000000003"/>
    <d v="2025-01-11T00:00:00"/>
  </r>
  <r>
    <n v="253870828"/>
    <n v="64573002"/>
    <s v="REB"/>
    <n v="9662096"/>
    <n v="109"/>
    <s v="PEÇAS-Erro de catálogo/BT"/>
    <s v="ENGENHARIA"/>
    <x v="1"/>
    <n v="3677"/>
    <s v="WATEC SERVICE PECAS E SERV LTDA"/>
    <s v="SP"/>
    <n v="931"/>
    <s v="Ats Off"/>
    <n v="1350"/>
    <n v="326076086"/>
    <s v="Chaves Rotativas"/>
    <x v="8"/>
    <n v="1"/>
    <n v="5003254"/>
    <s v="TMA TRANSPORTE LOTACAO E LOGISTICA"/>
    <n v="117.24"/>
    <d v="2024-11-05T00:00:00"/>
  </r>
  <r>
    <n v="254023337"/>
    <n v="64585101"/>
    <s v="REB"/>
    <n v="9257132"/>
    <n v="165"/>
    <s v="PEÇAS - Defeito de fabric./Incompleta"/>
    <s v="FUNCIONAL"/>
    <x v="1"/>
    <n v="22040"/>
    <s v="LM COMERCIO E SERVICOS EM SISTEMA"/>
    <s v="SP"/>
    <n v="932"/>
    <s v="CDP Prata"/>
    <n v="1350"/>
    <s v="W11300681"/>
    <s v="Mecanismos"/>
    <x v="4"/>
    <n v="1"/>
    <n v="5004042"/>
    <s v="BRASIL WEB TRANSPORTES E LOGISTICA"/>
    <n v="182.21"/>
    <d v="2024-07-30T00:00:00"/>
  </r>
  <r>
    <n v="254023337"/>
    <n v="64589869"/>
    <s v="REB"/>
    <n v="9498213"/>
    <n v="173"/>
    <s v="PEÇAS - Defeito de fabric./Alta Amperage"/>
    <s v="FUNCIONAL"/>
    <x v="1"/>
    <n v="22040"/>
    <s v="LM COMERCIO E SERVICOS EM SISTEMA"/>
    <s v="SP"/>
    <n v="932"/>
    <s v="CDP Prata"/>
    <n v="1350"/>
    <s v="W10732276"/>
    <s v="Placas de Controle"/>
    <x v="2"/>
    <n v="1"/>
    <n v="5004042"/>
    <s v="BRASIL WEB TRANSPORTES E LOGISTICA"/>
    <n v="541.57000000000005"/>
    <d v="2024-08-08T00:00:00"/>
  </r>
  <r>
    <s v="Sem TR"/>
    <n v="64593848"/>
    <s v="REB"/>
    <n v="9488107"/>
    <n v="411"/>
    <s v="DEV-Extravio de PEÇAS (Transportadora)"/>
    <s v="TRANSPORTADORA"/>
    <x v="2"/>
    <n v="27397"/>
    <s v="FRIOVIX COMERCIO DE REFRIGERACAO"/>
    <s v="ES"/>
    <n v="711"/>
    <s v="PEÇAS INATIVO"/>
    <n v="1350"/>
    <s v="W10463578"/>
    <s v="Placas de Interface"/>
    <x v="2"/>
    <n v="32"/>
    <n v="5004101"/>
    <s v="UNIDOCK'S ASSESSORIA E LOGISTICA DE"/>
    <n v="7800.85"/>
    <d v="2024-08-15T00:00:00"/>
  </r>
  <r>
    <n v="253825622"/>
    <n v="64598817"/>
    <s v="REB"/>
    <n v="8911534"/>
    <n v="173"/>
    <s v="PEÇAS - Defeito de fabric./Alta Amperage"/>
    <s v="FUNCIONAL"/>
    <x v="1"/>
    <n v="81075"/>
    <s v="ALVES COMERCIO, SERVICOS E"/>
    <s v="BA"/>
    <n v="934"/>
    <s v="CDP Ouro"/>
    <n v="1350"/>
    <s v="W11563665"/>
    <s v="Compressores Herméticos"/>
    <x v="0"/>
    <n v="1"/>
    <n v="5004101"/>
    <s v="UNIDOCK'S ASSESSORIA E LOGISTICA DE"/>
    <n v="334.3"/>
    <d v="2024-08-27T00:00:00"/>
  </r>
  <r>
    <n v="253832003"/>
    <n v="64606422"/>
    <s v="REB"/>
    <n v="9177479"/>
    <n v="671"/>
    <s v="DEV-ENVIADO PARA GESTÃO DE CONSEQUENCIA"/>
    <s v="TRANSPORTADORA"/>
    <x v="1"/>
    <n v="1875"/>
    <s v="REFRIGERACAO PANTANAL LTDA"/>
    <s v="MS"/>
    <n v="350"/>
    <s v="Ats On"/>
    <n v="1350"/>
    <s v="W10393815"/>
    <s v="Compressores Herméticos"/>
    <x v="0"/>
    <n v="1"/>
    <n v="5002573"/>
    <s v="CARVALIMA TRANSPORTES LTDA"/>
    <n v="446.06"/>
    <d v="2024-09-05T00:00:00"/>
  </r>
  <r>
    <n v="253846641"/>
    <n v="64617450"/>
    <s v="REB"/>
    <n v="6289471"/>
    <n v="671"/>
    <s v="DEV-ENVIADO PARA GESTÃO DE CONSEQUENCIA"/>
    <s v="TRANSPORTADORA"/>
    <x v="1"/>
    <n v="1875"/>
    <s v="REFRIGERACAO PANTANAL LTDA"/>
    <s v="MS"/>
    <n v="350"/>
    <s v="Ats On"/>
    <n v="1350"/>
    <s v="W11133677"/>
    <s v="Compressores Herméticos"/>
    <x v="0"/>
    <n v="1"/>
    <n v="5002573"/>
    <s v="CARVALIMA TRANSPORTES LTDA"/>
    <n v="263.79000000000002"/>
    <d v="2024-09-26T00:00:00"/>
  </r>
  <r>
    <s v="Sem TR"/>
    <n v="64620548"/>
    <s v="ROB"/>
    <n v="9561927"/>
    <n v="25"/>
    <s v="OC. 80 - EXTRAVIO TOTAL"/>
    <s v="TRANSPORTADORA"/>
    <x v="2"/>
    <n v="84895"/>
    <s v="28.684.741 MARIA EXPEDITA DE"/>
    <s v="PE"/>
    <n v="932"/>
    <s v="CDP Prata"/>
    <n v="1350"/>
    <s v="W10310999"/>
    <s v="Motores Ventiladores"/>
    <x v="2"/>
    <n v="4"/>
    <n v="5004101"/>
    <s v="UNIDOCK'S ASSESSORIA E LOGISTICA DE"/>
    <n v="210.58"/>
    <d v="2024-10-02T00:00:00"/>
  </r>
  <r>
    <s v="Sem TR"/>
    <n v="64620549"/>
    <s v="ROB"/>
    <n v="9561928"/>
    <n v="25"/>
    <s v="OC. 80 - EXTRAVIO TOTAL"/>
    <s v="TRANSPORTADORA"/>
    <x v="2"/>
    <n v="84895"/>
    <s v="28.684.741 MARIA EXPEDITA DE"/>
    <s v="PE"/>
    <n v="932"/>
    <s v="CDP Prata"/>
    <n v="1350"/>
    <s v="W10742654"/>
    <s v="Motores Ventiladores"/>
    <x v="2"/>
    <n v="3"/>
    <n v="5004101"/>
    <s v="UNIDOCK'S ASSESSORIA E LOGISTICA DE"/>
    <n v="167.48"/>
    <d v="2024-10-02T00:00:00"/>
  </r>
  <r>
    <n v="253851702"/>
    <n v="64624077"/>
    <s v="REB"/>
    <n v="9600247"/>
    <n v="173"/>
    <s v="PEÇAS - Defeito de fabric./Alta Amperage"/>
    <s v="FUNCIONAL"/>
    <x v="1"/>
    <n v="56605"/>
    <s v="CORREIA E CIPRIANO LTDA"/>
    <s v="AL"/>
    <n v="644"/>
    <s v="Plus"/>
    <n v="1350"/>
    <s v="W11634491"/>
    <s v="Placas de Controle"/>
    <x v="2"/>
    <n v="1"/>
    <n v="5004101"/>
    <s v="UNIDOCK'S ASSESSORIA E LOGISTICA DE"/>
    <n v="71.78"/>
    <d v="2024-10-09T00:00:00"/>
  </r>
  <r>
    <s v="Sem TR"/>
    <n v="64624263"/>
    <s v="ROB"/>
    <n v="9629183"/>
    <n v="25"/>
    <s v="OC. 80 - EXTRAVIO TOTAL"/>
    <s v="TRANSPORTADORA"/>
    <x v="2"/>
    <n v="14474"/>
    <s v="NATAL SERVICE LTDA N"/>
    <s v="RN"/>
    <n v="643"/>
    <s v="Elite"/>
    <n v="1350"/>
    <s v="W10335914"/>
    <s v="Parafusos e afins"/>
    <x v="7"/>
    <n v="10"/>
    <n v="5004101"/>
    <s v="UNIDOCK'S ASSESSORIA E LOGISTICA DE"/>
    <n v="43.45"/>
    <d v="2024-10-08T00:00:00"/>
  </r>
  <r>
    <s v="Sem TR"/>
    <n v="64624284"/>
    <s v="ROB"/>
    <n v="9629248"/>
    <n v="25"/>
    <s v="OC. 80 - EXTRAVIO TOTAL"/>
    <s v="TRANSPORTADORA"/>
    <x v="2"/>
    <n v="58773"/>
    <s v="NATALAV REFRIGERACAO E SERVICOS LTD"/>
    <s v="RN"/>
    <n v="931"/>
    <s v="Ats Off"/>
    <n v="1350"/>
    <s v="W10806305"/>
    <s v="Placas de Controle"/>
    <x v="2"/>
    <n v="1"/>
    <n v="5004101"/>
    <s v="UNIDOCK'S ASSESSORIA E LOGISTICA DE"/>
    <n v="223.96"/>
    <d v="2024-10-08T00:00:00"/>
  </r>
  <r>
    <s v="Sem TR"/>
    <n v="64624285"/>
    <s v="ROB"/>
    <n v="9629249"/>
    <n v="25"/>
    <s v="OC. 80 - EXTRAVIO TOTAL"/>
    <s v="TRANSPORTADORA"/>
    <x v="2"/>
    <n v="58773"/>
    <s v="NATALAV REFRIGERACAO E SERVICOS LTD"/>
    <s v="RN"/>
    <n v="931"/>
    <s v="Ats Off"/>
    <n v="1350"/>
    <s v="W11516471"/>
    <s v="Compressores Herméticos"/>
    <x v="0"/>
    <n v="12"/>
    <n v="5004101"/>
    <s v="UNIDOCK'S ASSESSORIA E LOGISTICA DE"/>
    <n v="4400.5600000000004"/>
    <d v="2024-10-08T00:00:00"/>
  </r>
  <r>
    <s v="Sem TR"/>
    <n v="64624286"/>
    <s v="ROB"/>
    <n v="9629250"/>
    <n v="25"/>
    <s v="OC. 80 - EXTRAVIO TOTAL"/>
    <s v="TRANSPORTADORA"/>
    <x v="2"/>
    <n v="58773"/>
    <s v="NATALAV REFRIGERACAO E SERVICOS LTD"/>
    <s v="RN"/>
    <n v="931"/>
    <s v="Ats Off"/>
    <n v="1350"/>
    <s v="W11516525"/>
    <s v="Compressores Herméticos"/>
    <x v="0"/>
    <n v="5"/>
    <n v="5004101"/>
    <s v="UNIDOCK'S ASSESSORIA E LOGISTICA DE"/>
    <n v="1871.41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0349302"/>
    <s v="Filtros"/>
    <x v="6"/>
    <n v="10"/>
    <n v="5003024"/>
    <s v="RODOBRAS TRANSPORTES RODOVIARIOS LT"/>
    <n v="199.6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0460618"/>
    <s v="Tampas Móveis"/>
    <x v="3"/>
    <n v="1"/>
    <n v="5003024"/>
    <s v="RODOBRAS TRANSPORTES RODOVIARIOS LT"/>
    <n v="106.99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0751204"/>
    <s v="Painéis Decorativos"/>
    <x v="3"/>
    <n v="3"/>
    <n v="5003024"/>
    <s v="RODOBRAS TRANSPORTES RODOVIARIOS LT"/>
    <n v="87.94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0795368"/>
    <s v="Tampas Móveis"/>
    <x v="3"/>
    <n v="1"/>
    <n v="5003024"/>
    <s v="RODOBRAS TRANSPORTES RODOVIARIOS LT"/>
    <n v="128.38999999999999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1082462"/>
    <s v="Termostatos"/>
    <x v="8"/>
    <n v="3"/>
    <n v="5003024"/>
    <s v="RODOBRAS TRANSPORTES RODOVIARIOS LT"/>
    <n v="132.69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1245250"/>
    <s v="Válvulas de Água"/>
    <x v="6"/>
    <n v="4"/>
    <n v="5003024"/>
    <s v="RODOBRAS TRANSPORTES RODOVIARIOS LT"/>
    <n v="202.76"/>
    <d v="2024-10-08T00:00:00"/>
  </r>
  <r>
    <s v="Sem TR"/>
    <n v="64624305"/>
    <s v="ROB"/>
    <n v="9622636"/>
    <n v="221"/>
    <s v="DEV-Sinistro - SEGURO"/>
    <s v="TRANSPORTADORA"/>
    <x v="2"/>
    <n v="4524"/>
    <s v="REFRIGERACAO MARAVILHA LTDA"/>
    <s v="SC"/>
    <n v="350"/>
    <s v="Ats On"/>
    <n v="1350"/>
    <s v="W11574388"/>
    <s v="Capacitores"/>
    <x v="2"/>
    <n v="10"/>
    <n v="5003024"/>
    <s v="RODOBRAS TRANSPORTES RODOVIARIOS LT"/>
    <n v="130.5"/>
    <d v="2024-10-08T00:00:00"/>
  </r>
  <r>
    <n v="253879497"/>
    <n v="64624818"/>
    <s v="REB"/>
    <n v="9416424"/>
    <n v="178"/>
    <s v="PEÇAS -Defeito de fabric./Sem Compressão"/>
    <s v="FUNCIONAL"/>
    <x v="1"/>
    <n v="65059"/>
    <s v="REFRISSUL COMERCIO DE PECAS"/>
    <s v="SP"/>
    <n v="643"/>
    <s v="Elite"/>
    <n v="1350"/>
    <s v="W10375479"/>
    <s v="Compressores Herméticos"/>
    <x v="0"/>
    <n v="3"/>
    <n v="5003482"/>
    <s v="TMA TRANSPORTE LOTACAO E LOGISTICA"/>
    <n v="1302.5899999999999"/>
    <d v="2024-11-19T00:00:00"/>
  </r>
  <r>
    <n v="253851702"/>
    <n v="64624934"/>
    <s v="REB"/>
    <n v="9223892"/>
    <n v="176"/>
    <s v="PEÇAS - Defeito de fabric./Interrompido"/>
    <s v="FUNCIONAL"/>
    <x v="1"/>
    <n v="56605"/>
    <s v="CORREIA E CIPRIANO LTDA"/>
    <s v="AL"/>
    <n v="644"/>
    <s v="Plus"/>
    <n v="1350"/>
    <s v="W10632495"/>
    <s v="Placas de Controle"/>
    <x v="2"/>
    <n v="1"/>
    <n v="5004101"/>
    <s v="UNIDOCK'S ASSESSORIA E LOGISTICA DE"/>
    <n v="89.74"/>
    <d v="2024-10-09T00:00:00"/>
  </r>
  <r>
    <n v="253870857"/>
    <n v="64627433"/>
    <s v="REB"/>
    <n v="9475931"/>
    <n v="671"/>
    <s v="DEV-ENVIADO PARA GESTÃO DE CONSEQUENCIA"/>
    <s v="TRANSPORTADORA"/>
    <x v="1"/>
    <n v="21330"/>
    <s v="REFRIEL COM DE PEÇAS REFRIG LTDA RE"/>
    <s v="PR"/>
    <n v="643"/>
    <s v="Elite"/>
    <n v="1350"/>
    <s v="W11299803"/>
    <s v="Mecanismos"/>
    <x v="4"/>
    <n v="1"/>
    <n v="5003024"/>
    <s v="RODOBRAS TRANSPORTES RODOVIARIOS LT"/>
    <n v="86.19"/>
    <d v="2024-11-04T00:00:00"/>
  </r>
  <r>
    <n v="253854391"/>
    <n v="64629359"/>
    <s v="REB"/>
    <n v="9499727"/>
    <n v="170"/>
    <s v="PEÇAS - Avaria - Riscada/Depósito"/>
    <s v="LOGÍSTICA"/>
    <x v="1"/>
    <n v="33230"/>
    <s v="MAQCENTER PECAS E SERVICOS LTDA"/>
    <s v="MG"/>
    <n v="350"/>
    <s v="Ats On"/>
    <n v="1350"/>
    <s v="W10911713"/>
    <s v="Vidros"/>
    <x v="3"/>
    <n v="1"/>
    <n v="5004101"/>
    <s v="UNIDOCK'S ASSESSORIA E LOGISTICA DE"/>
    <n v="211.47"/>
    <d v="2024-10-17T00:00:00"/>
  </r>
  <r>
    <s v="Sem TR"/>
    <n v="64630763"/>
    <s v="REB"/>
    <n v="9558022"/>
    <n v="411"/>
    <s v="DEV-Extravio de PEÇAS (Transportadora)"/>
    <s v="TRANSPORTADORA"/>
    <x v="2"/>
    <n v="64523"/>
    <s v="REFIGERAÇÃO DUFRIO"/>
    <s v="PB"/>
    <n v="713"/>
    <s v="Key Account"/>
    <n v="1350"/>
    <s v="W11634491"/>
    <s v="Placas de Controle"/>
    <x v="2"/>
    <n v="19"/>
    <n v="5004101"/>
    <s v="UNIDOCK'S ASSESSORIA E LOGISTICA DE"/>
    <n v="1881.52"/>
    <d v="2024-10-21T00:00:00"/>
  </r>
  <r>
    <s v="Sem TR"/>
    <n v="64630763"/>
    <s v="REB"/>
    <n v="9558022"/>
    <n v="411"/>
    <s v="DEV-Extravio de PEÇAS (Transportadora)"/>
    <s v="TRANSPORTADORA"/>
    <x v="2"/>
    <n v="64523"/>
    <s v="REFIGERAÇÃO DUFRIO"/>
    <s v="PB"/>
    <n v="713"/>
    <s v="Key Account"/>
    <n v="1350"/>
    <s v="W10754676"/>
    <s v="Suportes"/>
    <x v="3"/>
    <n v="100"/>
    <n v="5004101"/>
    <s v="UNIDOCK'S ASSESSORIA E LOGISTICA DE"/>
    <n v="3295.08"/>
    <d v="2024-10-21T00:00:00"/>
  </r>
  <r>
    <n v="253870903"/>
    <n v="64633541"/>
    <s v="REB"/>
    <n v="9436090"/>
    <n v="173"/>
    <s v="PEÇAS - Defeito de fabric./Alta Amperage"/>
    <s v="FUNCIONAL"/>
    <x v="1"/>
    <n v="30345"/>
    <s v="REFRICENTER COMERCIO DE PEÇAS PARA"/>
    <s v="SP"/>
    <n v="644"/>
    <s v="Plus"/>
    <n v="1350"/>
    <s v="W11091875"/>
    <s v="Termostatos"/>
    <x v="8"/>
    <n v="2"/>
    <n v="5004042"/>
    <s v="BRASIL WEB TRANSPORTES E LOGISTICA"/>
    <n v="124.35"/>
    <d v="2024-11-04T00:00:00"/>
  </r>
  <r>
    <n v="253861433"/>
    <n v="64633946"/>
    <s v="ROB"/>
    <n v="9673609"/>
    <n v="115"/>
    <s v="PEÇAS-Recusa do cliente"/>
    <s v="COMERCIAL"/>
    <x v="1"/>
    <n v="37259"/>
    <s v="ZEON REFRIGERACAO LTDA"/>
    <s v="SP"/>
    <n v="934"/>
    <s v="CDP Ouro"/>
    <n v="1350"/>
    <s v="W10393823"/>
    <s v="Compressores Herméticos"/>
    <x v="0"/>
    <n v="5"/>
    <n v="5004101"/>
    <s v="UNIDOCK'S ASSESSORIA E LOGISTICA DE"/>
    <n v="2865.45"/>
    <d v="2024-10-28T00:00:00"/>
  </r>
  <r>
    <n v="253861433"/>
    <n v="64633946"/>
    <s v="ROB"/>
    <n v="9673609"/>
    <n v="115"/>
    <s v="PEÇAS-Recusa do cliente"/>
    <s v="COMERCIAL"/>
    <x v="1"/>
    <n v="37259"/>
    <s v="ZEON REFRIGERACAO LTDA"/>
    <s v="SP"/>
    <n v="934"/>
    <s v="CDP Ouro"/>
    <n v="1350"/>
    <s v="W10393810"/>
    <s v="Compressores Herméticos"/>
    <x v="0"/>
    <n v="2"/>
    <n v="5004101"/>
    <s v="UNIDOCK'S ASSESSORIA E LOGISTICA DE"/>
    <n v="800.1"/>
    <d v="2024-10-28T00:00:00"/>
  </r>
  <r>
    <n v="253861433"/>
    <n v="64633946"/>
    <s v="ROB"/>
    <n v="9673609"/>
    <n v="115"/>
    <s v="PEÇAS-Recusa do cliente"/>
    <s v="COMERCIAL"/>
    <x v="1"/>
    <n v="37259"/>
    <s v="ZEON REFRIGERACAO LTDA"/>
    <s v="SP"/>
    <n v="934"/>
    <s v="CDP Ouro"/>
    <n v="1350"/>
    <s v="W11677210"/>
    <s v="Compressores Herméticos"/>
    <x v="0"/>
    <n v="2"/>
    <n v="5004101"/>
    <s v="UNIDOCK'S ASSESSORIA E LOGISTICA DE"/>
    <n v="922"/>
    <d v="2024-10-28T00:00:00"/>
  </r>
  <r>
    <s v="Sem TR"/>
    <n v="64634442"/>
    <s v="REB"/>
    <n v="9597466"/>
    <n v="125"/>
    <s v="DEV-Extravio de produto (Transportadora)"/>
    <s v="TRANSPORTADORA"/>
    <x v="2"/>
    <n v="47026"/>
    <s v="JR PECAS LTDA JR PECAS LTDA"/>
    <s v="BA"/>
    <n v="643"/>
    <s v="Elite"/>
    <n v="1350"/>
    <s v="W10816564"/>
    <s v="Capas Queimadores"/>
    <x v="9"/>
    <n v="15"/>
    <n v="5004101"/>
    <s v="UNIDOCK'S ASSESSORIA E LOGISTICA DE"/>
    <n v="83.72"/>
    <d v="2024-10-29T00:00:00"/>
  </r>
  <r>
    <s v="Sem TR"/>
    <n v="64634443"/>
    <s v="REB"/>
    <n v="9597467"/>
    <n v="125"/>
    <s v="DEV-Extravio de produto (Transportadora)"/>
    <s v="TRANSPORTADORA"/>
    <x v="2"/>
    <n v="47026"/>
    <s v="JR PECAS LTDA JR PECAS LTDA"/>
    <s v="BA"/>
    <n v="643"/>
    <s v="Elite"/>
    <n v="1350"/>
    <s v="W10257566"/>
    <s v="Fusíveis/Fusíveis térmicos"/>
    <x v="2"/>
    <n v="50"/>
    <n v="5004101"/>
    <s v="UNIDOCK'S ASSESSORIA E LOGISTICA DE"/>
    <n v="480.16"/>
    <d v="2024-10-29T00:00:00"/>
  </r>
  <r>
    <s v="Sem TR"/>
    <n v="64634444"/>
    <s v="REB"/>
    <n v="9600059"/>
    <n v="125"/>
    <s v="DEV-Extravio de produto (Transportadora)"/>
    <s v="TRANSPORTADORA"/>
    <x v="0"/>
    <n v="47026"/>
    <s v="JR PECAS LTDA JR PECAS LTDA"/>
    <s v="BA"/>
    <n v="643"/>
    <s v="Elite"/>
    <n v="1350"/>
    <s v="W11431350"/>
    <s v="Capas"/>
    <x v="3"/>
    <n v="12"/>
    <n v="5004101"/>
    <s v="UNIDOCK'S ASSESSORIA E LOGISTICA DE"/>
    <n v="176.21"/>
    <d v="2024-10-29T00:00:00"/>
  </r>
  <r>
    <n v="254004345"/>
    <n v="64637240"/>
    <s v="ROB"/>
    <n v="9193298"/>
    <n v="668"/>
    <s v="DEV-ERRO DE CADASTRO DA ALÍQUOTA"/>
    <s v="TRIBUTÁRIO"/>
    <x v="2"/>
    <n v="28401"/>
    <s v="FRIGELAR COMERCIO E INDUSTRIA"/>
    <s v="SP"/>
    <n v="713"/>
    <s v="Key Account"/>
    <n v="1350"/>
    <s v="W10761205"/>
    <s v="Placas de Controle"/>
    <x v="2"/>
    <n v="3"/>
    <n v="5003482"/>
    <s v="TMA TRANSPORTE LOTACAO E LOGISTICA"/>
    <n v="296.44"/>
    <d v="2024-11-04T00:00:00"/>
  </r>
  <r>
    <n v="253870857"/>
    <n v="64637901"/>
    <s v="REB"/>
    <n v="9416460"/>
    <n v="671"/>
    <s v="DEV-ENVIADO PARA GESTÃO DE CONSEQUENCIA"/>
    <s v="TRANSPORTADORA"/>
    <x v="1"/>
    <n v="21330"/>
    <s v="REFRIEL COM DE PEÇAS REFRIG LTDA RE"/>
    <s v="PR"/>
    <n v="643"/>
    <s v="Elite"/>
    <n v="1350"/>
    <s v="W10269366"/>
    <s v="Placas de Controle"/>
    <x v="2"/>
    <n v="1"/>
    <n v="5003024"/>
    <s v="RODOBRAS TRANSPORTES RODOVIARIOS LT"/>
    <n v="129.85"/>
    <d v="2024-11-04T00:00:00"/>
  </r>
  <r>
    <n v="253870903"/>
    <n v="64638177"/>
    <s v="REB"/>
    <n v="9544703"/>
    <n v="173"/>
    <s v="PEÇAS - Defeito de fabric./Alta Amperage"/>
    <s v="FUNCIONAL"/>
    <x v="1"/>
    <n v="30345"/>
    <s v="REFRICENTER COMERCIO DE PEÇAS PARA"/>
    <s v="SP"/>
    <n v="644"/>
    <s v="Plus"/>
    <n v="1350"/>
    <s v="W10531315"/>
    <s v="Sensores"/>
    <x v="8"/>
    <n v="1"/>
    <n v="5004042"/>
    <s v="BRASIL WEB TRANSPORTES E LOGISTICA"/>
    <n v="9.19"/>
    <d v="2024-11-04T00:00:00"/>
  </r>
  <r>
    <n v="253870903"/>
    <n v="64638177"/>
    <s v="REB"/>
    <n v="9544703"/>
    <n v="173"/>
    <s v="PEÇAS - Defeito de fabric./Alta Amperage"/>
    <s v="FUNCIONAL"/>
    <x v="1"/>
    <n v="30345"/>
    <s v="REFRICENTER COMERCIO DE PEÇAS PARA"/>
    <s v="SP"/>
    <n v="644"/>
    <s v="Plus"/>
    <n v="1350"/>
    <s v="W11299803"/>
    <s v="Mecanismos"/>
    <x v="4"/>
    <n v="1"/>
    <n v="5004042"/>
    <s v="BRASIL WEB TRANSPORTES E LOGISTICA"/>
    <n v="99.86"/>
    <d v="2024-11-04T00:00:00"/>
  </r>
  <r>
    <n v="253870903"/>
    <n v="64638177"/>
    <s v="REB"/>
    <n v="9544703"/>
    <n v="173"/>
    <s v="PEÇAS - Defeito de fabric./Alta Amperage"/>
    <s v="FUNCIONAL"/>
    <x v="1"/>
    <n v="30345"/>
    <s v="REFRICENTER COMERCIO DE PEÇAS PARA"/>
    <s v="SP"/>
    <n v="644"/>
    <s v="Plus"/>
    <n v="1350"/>
    <s v="W10721910"/>
    <s v="Pressostatos"/>
    <x v="8"/>
    <n v="1"/>
    <n v="5004042"/>
    <s v="BRASIL WEB TRANSPORTES E LOGISTICA"/>
    <n v="27.29"/>
    <d v="2024-11-04T00:00:00"/>
  </r>
  <r>
    <n v="253870867"/>
    <n v="64638927"/>
    <s v="REB"/>
    <n v="9679088"/>
    <n v="167"/>
    <s v="PEÇAS - Avaria - Quebrada/Depósito"/>
    <s v="LOGÍSTICA"/>
    <x v="1"/>
    <n v="25656"/>
    <s v="OFICIAL REFRIGERACAO COMERCIO"/>
    <s v="SP"/>
    <n v="931"/>
    <s v="Ats Off"/>
    <n v="1350"/>
    <s v="W10483993"/>
    <s v="Capas"/>
    <x v="3"/>
    <n v="1"/>
    <n v="5003482"/>
    <s v="TMA TRANSPORTE LOTACAO E LOGISTICA"/>
    <n v="29.36"/>
    <d v="2024-11-05T00:00:00"/>
  </r>
  <r>
    <n v="253944060"/>
    <n v="64639441"/>
    <s v="REB"/>
    <n v="9678253"/>
    <n v="109"/>
    <s v="PEÇAS-Erro de catálogo/BT"/>
    <s v="ENGENHARIA"/>
    <x v="1"/>
    <n v="42046"/>
    <s v="AREA SUL COMERCIO E SERVICOS EIRELI"/>
    <s v="PE"/>
    <n v="931"/>
    <s v="Ats Off"/>
    <n v="1350"/>
    <s v="W10729735"/>
    <s v="Transformadores"/>
    <x v="2"/>
    <n v="1"/>
    <n v="5004101"/>
    <s v="UNIDOCK'S ASSESSORIA E LOGISTICA DE"/>
    <n v="126.97"/>
    <d v="2024-11-06T00:00:00"/>
  </r>
  <r>
    <n v="253872474"/>
    <n v="64642204"/>
    <s v="REB"/>
    <n v="9698475"/>
    <n v="173"/>
    <s v="PEÇAS - Defeito de fabric./Alta Amperage"/>
    <s v="FUNCIONAL"/>
    <x v="1"/>
    <n v="77466"/>
    <s v="SANTOS &amp; MEDEIROS REFRIGERACAO LTDA"/>
    <s v="SP"/>
    <n v="932"/>
    <s v="CDP Prata"/>
    <n v="1350"/>
    <s v="W11423858"/>
    <s v="Motores"/>
    <x v="2"/>
    <n v="1"/>
    <n v="5003482"/>
    <s v="TMA TRANSPORTE LOTACAO E LOGISTICA"/>
    <n v="490.21"/>
    <d v="2024-11-11T00:00:00"/>
  </r>
  <r>
    <n v="253879282"/>
    <n v="64642531"/>
    <s v="REB"/>
    <n v="8974574"/>
    <n v="671"/>
    <s v="DEV-ENVIADO PARA GESTÃO DE CONSEQUENCIA"/>
    <s v="TRANSPORTADORA"/>
    <x v="1"/>
    <n v="54802"/>
    <s v="REFRIGERACAO LUZ LTDA - ME"/>
    <s v="RS"/>
    <n v="648"/>
    <s v="Ultra"/>
    <n v="1350"/>
    <s v="W11375485"/>
    <s v="Compressores Herméticos"/>
    <x v="0"/>
    <n v="1"/>
    <n v="5003024"/>
    <s v="RODOBRAS TRANSPORTES RODOVIARIOS LT"/>
    <n v="417.94"/>
    <d v="2024-11-12T00:00:00"/>
  </r>
  <r>
    <n v="253879226"/>
    <n v="64642591"/>
    <s v="REB"/>
    <n v="9685207"/>
    <n v="176"/>
    <s v="PEÇAS - Defeito de fabric./Interrompido"/>
    <s v="FUNCIONAL"/>
    <x v="1"/>
    <n v="21594"/>
    <s v="GOLD SERVICE COMERCIO"/>
    <s v="SP"/>
    <n v="931"/>
    <s v="Ats Off"/>
    <n v="1350"/>
    <n v="326075420"/>
    <s v="Placas de Interface"/>
    <x v="2"/>
    <n v="1"/>
    <n v="5004042"/>
    <s v="BRASIL WEB TRANSPORTES E LOGISTICA"/>
    <n v="1069.8699999999999"/>
    <d v="2024-11-12T00:00:00"/>
  </r>
  <r>
    <n v="253879476"/>
    <n v="64642814"/>
    <s v="REB"/>
    <n v="9681463"/>
    <n v="109"/>
    <s v="PEÇAS-Erro de catálogo/BT"/>
    <s v="ENGENHARIA"/>
    <x v="1"/>
    <n v="3677"/>
    <s v="WATEC SERVICE PECAS E SERV LTDA"/>
    <s v="SP"/>
    <n v="931"/>
    <s v="Ats Off"/>
    <n v="1350"/>
    <s v="W11123831"/>
    <s v="Placas de Controle"/>
    <x v="2"/>
    <n v="1"/>
    <n v="5003254"/>
    <s v="TMA TRANSPORTE LOTACAO E LOGISTICA"/>
    <n v="114.91"/>
    <d v="2024-11-12T00:00:00"/>
  </r>
  <r>
    <n v="253879262"/>
    <n v="64643261"/>
    <s v="REB"/>
    <n v="9250747"/>
    <n v="671"/>
    <s v="DEV-ENVIADO PARA GESTÃO DE CONSEQUENCIA"/>
    <s v="TRANSPORTADORA"/>
    <x v="1"/>
    <n v="31069"/>
    <s v="ELIONALDO SOUSA DE MATOS"/>
    <s v="MA"/>
    <n v="350"/>
    <s v="Ats On"/>
    <n v="1350"/>
    <s v="W10885061"/>
    <s v="Portas"/>
    <x v="3"/>
    <n v="1"/>
    <n v="5004101"/>
    <s v="UNIDOCK'S ASSESSORIA E LOGISTICA DE"/>
    <n v="650.07000000000005"/>
    <d v="2024-11-12T00:00:00"/>
  </r>
  <r>
    <n v="253886315"/>
    <n v="64645108"/>
    <s v="REB"/>
    <n v="8895720"/>
    <n v="178"/>
    <s v="PEÇAS -Defeito de fabric./Sem Compressão"/>
    <s v="FUNCIONAL"/>
    <x v="0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529.66999999999996"/>
    <d v="2024-11-29T00:00:00"/>
  </r>
  <r>
    <n v="253879481"/>
    <n v="64645111"/>
    <s v="REB"/>
    <n v="8529034"/>
    <n v="178"/>
    <s v="PEÇAS -Defeito de fabric./Sem Compressão"/>
    <s v="FUNCIONAL"/>
    <x v="1"/>
    <n v="21293"/>
    <s v="REFRIGERACAO J. L. BASSO LTDA"/>
    <s v="SP"/>
    <n v="643"/>
    <s v="Elite"/>
    <n v="1350"/>
    <s v="W10393822"/>
    <s v="Compressores Herméticos"/>
    <x v="0"/>
    <n v="2"/>
    <n v="5003254"/>
    <s v="TMA TRANSPORTE LOTACAO E LOGISTICA"/>
    <n v="1053.56"/>
    <d v="2024-11-19T00:00:00"/>
  </r>
  <r>
    <s v="Sem TR"/>
    <n v="64646506"/>
    <s v="REB"/>
    <n v="9692163"/>
    <n v="125"/>
    <s v="DEV-Extravio de produto (Transportadora)"/>
    <s v="TRANSPORTADORA"/>
    <x v="2"/>
    <n v="35280"/>
    <s v="REFRIC BAHIA SERVICOS DE REFRIGERA"/>
    <s v="BA"/>
    <n v="931"/>
    <s v="Ats Off"/>
    <n v="1350"/>
    <s v="W11641935"/>
    <s v="Portas"/>
    <x v="3"/>
    <n v="1"/>
    <n v="5004101"/>
    <s v="UNIDOCK'S ASSESSORIA E LOGISTICA DE"/>
    <n v="745.31"/>
    <d v="2024-11-18T00:00:00"/>
  </r>
  <r>
    <n v="253879481"/>
    <n v="64646521"/>
    <s v="REB"/>
    <n v="9660739"/>
    <n v="173"/>
    <s v="PEÇAS - Defeito de fabric./Alta Amperage"/>
    <s v="FUNCIONAL"/>
    <x v="1"/>
    <n v="21293"/>
    <s v="REFRIGERACAO J. L. BASSO LTDA"/>
    <s v="SP"/>
    <n v="643"/>
    <s v="Elite"/>
    <n v="1350"/>
    <s v="W10754807"/>
    <s v="Agitadores"/>
    <x v="4"/>
    <n v="4"/>
    <n v="5003254"/>
    <s v="TMA TRANSPORTE LOTACAO E LOGISTICA"/>
    <n v="201.75"/>
    <d v="2024-11-19T00:00:00"/>
  </r>
  <r>
    <n v="253879490"/>
    <n v="64647369"/>
    <s v="REB"/>
    <n v="9653452"/>
    <n v="671"/>
    <s v="DEV-ENVIADO PARA GESTÃO DE CONSEQUENCIA"/>
    <s v="TRANSPORTADORA"/>
    <x v="1"/>
    <n v="32856"/>
    <s v="REFRIGERACAO DUFRIO"/>
    <s v="PR"/>
    <n v="713"/>
    <s v="Key Account"/>
    <n v="1350"/>
    <s v="W10606115"/>
    <s v="Polias/Roldanas"/>
    <x v="4"/>
    <n v="64"/>
    <n v="5003024"/>
    <s v="RODOBRAS TRANSPORTES RODOVIARIOS LT"/>
    <n v="725.8"/>
    <d v="2024-11-19T00:00:00"/>
  </r>
  <r>
    <n v="253888839"/>
    <n v="64649891"/>
    <s v="ZDVP"/>
    <n v="9506552"/>
    <n v="671"/>
    <s v="DEV-ENVIADO PARA GESTÃO DE CONSEQUENCIA"/>
    <s v="TRANSPORTADORA"/>
    <x v="1"/>
    <n v="38442"/>
    <s v="REGINALDO FABIANO HESSLER"/>
    <s v="RS"/>
    <n v="644"/>
    <s v="Plus"/>
    <n v="1350"/>
    <s v="W11300816"/>
    <s v="Mecanismos"/>
    <x v="4"/>
    <n v="1"/>
    <n v="5003024"/>
    <s v="RODOBRAS TRANSPORTES RODOVIARIOS LT"/>
    <n v="111.12"/>
    <d v="2024-11-21T00:00:00"/>
  </r>
  <r>
    <n v="253883050"/>
    <n v="64649925"/>
    <s v="REB"/>
    <n v="9695770"/>
    <n v="671"/>
    <s v="DEV-ENVIADO PARA GESTÃO DE CONSEQUENCIA"/>
    <s v="TRANSPORTADORA"/>
    <x v="1"/>
    <n v="38442"/>
    <s v="REGINALDO FABIANO HESSLER"/>
    <s v="RS"/>
    <n v="644"/>
    <s v="Plus"/>
    <n v="1350"/>
    <n v="326030548"/>
    <s v="Portas"/>
    <x v="3"/>
    <n v="1"/>
    <n v="5003024"/>
    <s v="RODOBRAS TRANSPORTES RODOVIARIOS LT"/>
    <n v="32.32"/>
    <d v="2024-11-21T00:00:00"/>
  </r>
  <r>
    <n v="253883050"/>
    <n v="64649935"/>
    <s v="REB"/>
    <n v="9521671"/>
    <n v="671"/>
    <s v="DEV-ENVIADO PARA GESTÃO DE CONSEQUENCIA"/>
    <s v="TRANSPORTADORA"/>
    <x v="1"/>
    <n v="38442"/>
    <s v="REGINALDO FABIANO HESSLER"/>
    <s v="RS"/>
    <n v="644"/>
    <s v="Plus"/>
    <n v="1350"/>
    <s v="W10678923"/>
    <s v="Placas de Controle"/>
    <x v="2"/>
    <n v="1"/>
    <n v="5003024"/>
    <s v="RODOBRAS TRANSPORTES RODOVIARIOS LT"/>
    <n v="66.28"/>
    <d v="2024-11-21T00:00:00"/>
  </r>
  <r>
    <n v="253883069"/>
    <n v="64650091"/>
    <s v="REB"/>
    <n v="9681627"/>
    <n v="173"/>
    <s v="PEÇAS - Defeito de fabric./Alta Amperage"/>
    <s v="FUNCIONAL"/>
    <x v="1"/>
    <n v="55451"/>
    <s v="SENADOR PECAS E SERVICOS"/>
    <s v="SP"/>
    <n v="934"/>
    <s v="CDP Ouro"/>
    <n v="1350"/>
    <s v="W11658521"/>
    <s v="Placas de Interface"/>
    <x v="2"/>
    <n v="1"/>
    <n v="5003482"/>
    <s v="TMA TRANSPORTE LOTACAO E LOGISTICA"/>
    <n v="83.87"/>
    <d v="2024-11-21T00:00:00"/>
  </r>
  <r>
    <n v="253883132"/>
    <n v="64650114"/>
    <s v="REB"/>
    <n v="9671033"/>
    <n v="173"/>
    <s v="PEÇAS - Defeito de fabric./Alta Amperage"/>
    <s v="FUNCIONAL"/>
    <x v="1"/>
    <n v="80164"/>
    <s v="FRIOMASTER COMERCIO DE"/>
    <s v="SP"/>
    <n v="933"/>
    <s v="Top"/>
    <n v="1350"/>
    <s v="W11226018"/>
    <s v="Motores Ventiladores"/>
    <x v="2"/>
    <n v="1"/>
    <n v="5003254"/>
    <s v="TMA TRANSPORTE LOTACAO E LOGISTICA"/>
    <n v="75.150000000000006"/>
    <d v="2024-11-21T00:00:00"/>
  </r>
  <r>
    <n v="253883125"/>
    <n v="64651263"/>
    <s v="REB"/>
    <n v="9683193"/>
    <n v="671"/>
    <s v="DEV-ENVIADO PARA GESTÃO DE CONSEQUENCIA"/>
    <s v="TRANSPORTADORA"/>
    <x v="1"/>
    <n v="73003"/>
    <s v="DISFRIO DISTRIBUIDORA DE AR"/>
    <s v="SC"/>
    <n v="963"/>
    <s v="Ats Distribuidoras"/>
    <n v="1350"/>
    <s v="W11300675"/>
    <s v="Mecanismos"/>
    <x v="4"/>
    <n v="2"/>
    <n v="5003024"/>
    <s v="RODOBRAS TRANSPORTES RODOVIARIOS LT"/>
    <n v="200.64"/>
    <d v="2024-11-27T00:00:00"/>
  </r>
  <r>
    <n v="253886317"/>
    <n v="64652473"/>
    <s v="REB"/>
    <n v="9106090"/>
    <n v="178"/>
    <s v="PEÇAS -Defeito de fabric./Sem Compressão"/>
    <s v="FUNCIONAL"/>
    <x v="0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558.61"/>
    <d v="2024-11-29T00:00:00"/>
  </r>
  <r>
    <n v="253882992"/>
    <n v="64652497"/>
    <s v="REB"/>
    <n v="9715912"/>
    <n v="671"/>
    <s v="DEV-ENVIADO PARA GESTÃO DE CONSEQUENCIA"/>
    <s v="TRANSPORTADORA"/>
    <x v="1"/>
    <n v="5129"/>
    <s v="CONSERTOS DE ELETRODOMESTICOS TEUT"/>
    <s v="RS"/>
    <n v="932"/>
    <s v="CDP Prata"/>
    <n v="1350"/>
    <s v="W10576312"/>
    <s v="Parafusos e afins"/>
    <x v="7"/>
    <n v="1"/>
    <n v="5003024"/>
    <s v="RODOBRAS TRANSPORTES RODOVIARIOS LT"/>
    <n v="105.78"/>
    <d v="2024-11-27T00:00:00"/>
  </r>
  <r>
    <n v="253883065"/>
    <n v="64653315"/>
    <s v="REB"/>
    <n v="9718290"/>
    <n v="671"/>
    <s v="DEV-ENVIADO PARA GESTÃO DE CONSEQUENCIA"/>
    <s v="TRANSPORTADORA"/>
    <x v="1"/>
    <n v="53871"/>
    <s v="MI COMERCIO E MANUTENCAO DE"/>
    <s v="SC"/>
    <n v="931"/>
    <s v="Ats Off"/>
    <n v="1350"/>
    <s v="W10610100"/>
    <s v="Gavetas"/>
    <x v="1"/>
    <n v="1"/>
    <n v="5003024"/>
    <s v="RODOBRAS TRANSPORTES RODOVIARIOS LT"/>
    <n v="31.75"/>
    <d v="2024-11-27T00:00:00"/>
  </r>
  <r>
    <n v="253888842"/>
    <n v="64653667"/>
    <s v="ZDVP"/>
    <n v="9675808"/>
    <n v="90"/>
    <s v="CLIENTE-não solicitou"/>
    <s v="COMERCIAL"/>
    <x v="1"/>
    <n v="61858"/>
    <s v="BTU REFRIGERACAO LTDA"/>
    <s v="PI"/>
    <n v="934"/>
    <s v="CDP Ouro"/>
    <n v="1350"/>
    <s v="W10897149"/>
    <s v="Rolamentos"/>
    <x v="4"/>
    <n v="17"/>
    <n v="5004101"/>
    <s v="UNIDOCK'S ASSESSORIA E LOGISTICA DE"/>
    <n v="152.66"/>
    <d v="2024-11-29T00:00:00"/>
  </r>
  <r>
    <n v="253882948"/>
    <n v="64654147"/>
    <s v="REB"/>
    <n v="9682917"/>
    <n v="671"/>
    <s v="DEV-ENVIADO PARA GESTÃO DE CONSEQUENCIA"/>
    <s v="TRANSPORTADORA"/>
    <x v="1"/>
    <n v="4524"/>
    <s v="REFRIGERACAO MARAVILHA LTDA"/>
    <s v="SC"/>
    <n v="350"/>
    <s v="Ats On"/>
    <n v="1350"/>
    <s v="W10795368"/>
    <s v="Tampas Móveis"/>
    <x v="3"/>
    <n v="1"/>
    <n v="5003024"/>
    <s v="RODOBRAS TRANSPORTES RODOVIARIOS LT"/>
    <n v="128.38999999999999"/>
    <d v="2024-11-28T00:00:00"/>
  </r>
  <r>
    <n v="253886232"/>
    <n v="64655230"/>
    <s v="REB"/>
    <n v="9689891"/>
    <n v="671"/>
    <s v="DEV-ENVIADO PARA GESTÃO DE CONSEQUENCIA"/>
    <s v="TRANSPORTADORA"/>
    <x v="1"/>
    <n v="13747"/>
    <s v="FRIGELAR COMÉRCIO E INDÚSTRIA LTDA"/>
    <s v="RS"/>
    <n v="713"/>
    <s v="Key Account"/>
    <n v="1350"/>
    <s v="W10678919"/>
    <s v="Placas de Controle"/>
    <x v="2"/>
    <n v="5"/>
    <n v="5003024"/>
    <s v="RODOBRAS TRANSPORTES RODOVIARIOS LT"/>
    <n v="321.13"/>
    <d v="2024-11-29T00:00:00"/>
  </r>
  <r>
    <n v="253886232"/>
    <n v="64655234"/>
    <s v="REB"/>
    <n v="9683115"/>
    <n v="671"/>
    <s v="DEV-ENVIADO PARA GESTÃO DE CONSEQUENCIA"/>
    <s v="TRANSPORTADORA"/>
    <x v="1"/>
    <n v="13747"/>
    <s v="FRIGELAR COMÉRCIO E INDÚSTRIA LTDA"/>
    <s v="RS"/>
    <n v="713"/>
    <s v="Key Account"/>
    <n v="1350"/>
    <s v="W10678919"/>
    <s v="Placas de Controle"/>
    <x v="2"/>
    <n v="20"/>
    <n v="5003024"/>
    <s v="RODOBRAS TRANSPORTES RODOVIARIOS LT"/>
    <n v="1285.17"/>
    <d v="2024-11-29T00:00:00"/>
  </r>
  <r>
    <n v="253886232"/>
    <n v="64655235"/>
    <s v="REB"/>
    <n v="9689890"/>
    <n v="671"/>
    <s v="DEV-ENVIADO PARA GESTÃO DE CONSEQUENCIA"/>
    <s v="TRANSPORTADORA"/>
    <x v="1"/>
    <n v="13747"/>
    <s v="FRIGELAR COMÉRCIO E INDÚSTRIA LTDA"/>
    <s v="RS"/>
    <n v="713"/>
    <s v="Key Account"/>
    <n v="1350"/>
    <s v="W10678919"/>
    <s v="Placas de Controle"/>
    <x v="2"/>
    <n v="3"/>
    <n v="5003024"/>
    <s v="RODOBRAS TRANSPORTES RODOVIARIOS LT"/>
    <n v="192.78"/>
    <d v="2024-11-29T00:00:00"/>
  </r>
  <r>
    <n v="253886232"/>
    <n v="64655239"/>
    <s v="REB"/>
    <n v="9683111"/>
    <n v="671"/>
    <s v="DEV-ENVIADO PARA GESTÃO DE CONSEQUENCIA"/>
    <s v="TRANSPORTADORA"/>
    <x v="1"/>
    <n v="13747"/>
    <s v="FRIGELAR COMÉRCIO E INDÚSTRIA LTDA"/>
    <s v="RS"/>
    <n v="713"/>
    <s v="Key Account"/>
    <n v="1350"/>
    <s v="W10678919"/>
    <s v="Placas de Controle"/>
    <x v="2"/>
    <n v="10"/>
    <n v="5003024"/>
    <s v="RODOBRAS TRANSPORTES RODOVIARIOS LT"/>
    <n v="642.26"/>
    <d v="2024-11-29T00:00:00"/>
  </r>
  <r>
    <n v="253886243"/>
    <n v="64655449"/>
    <s v="REB"/>
    <n v="9402992"/>
    <n v="173"/>
    <s v="PEÇAS - Defeito de fabric./Alta Amperage"/>
    <s v="FUNCIONAL"/>
    <x v="0"/>
    <n v="27808"/>
    <s v="LUSOMAQ COMERCIO DE PECAS"/>
    <s v="SP"/>
    <n v="644"/>
    <s v="Plus"/>
    <n v="1350"/>
    <s v="W10769940"/>
    <s v="Compressores Herméticos"/>
    <x v="0"/>
    <n v="1"/>
    <n v="5004042"/>
    <s v="BRASIL WEB TRANSPORTES E LOGISTICA"/>
    <n v="394.4"/>
    <d v="2024-11-29T00:00:00"/>
  </r>
  <r>
    <n v="253886271"/>
    <n v="64655479"/>
    <s v="REB"/>
    <n v="9718279"/>
    <n v="173"/>
    <s v="PEÇAS - Defeito de fabric./Alta Amperage"/>
    <s v="FUNCIONAL"/>
    <x v="1"/>
    <n v="44739"/>
    <s v="MEGA SERVICE PECAS E SERVICOS LTDA"/>
    <s v="PR"/>
    <n v="931"/>
    <s v="Ats Off"/>
    <n v="1350"/>
    <s v="W10276002"/>
    <s v="Motores"/>
    <x v="2"/>
    <n v="1"/>
    <n v="5003024"/>
    <s v="RODOBRAS TRANSPORTES RODOVIARIOS LT"/>
    <n v="145.65"/>
    <d v="2024-11-29T00:00:00"/>
  </r>
  <r>
    <n v="253886227"/>
    <n v="64655535"/>
    <s v="REB"/>
    <n v="9677341"/>
    <n v="671"/>
    <s v="DEV-ENVIADO PARA GESTÃO DE CONSEQUENCIA"/>
    <s v="TRANSPORTADORA"/>
    <x v="1"/>
    <n v="5129"/>
    <s v="CONSERTOS DE ELETRODOMESTICOS TEUT"/>
    <s v="RS"/>
    <n v="932"/>
    <s v="CDP Prata"/>
    <n v="1350"/>
    <s v="W11300676"/>
    <s v="Mecanismos"/>
    <x v="4"/>
    <n v="1"/>
    <n v="5003024"/>
    <s v="RODOBRAS TRANSPORTES RODOVIARIOS LT"/>
    <n v="99.24"/>
    <d v="2024-11-29T00:00:00"/>
  </r>
  <r>
    <n v="253886317"/>
    <n v="64655725"/>
    <s v="REB"/>
    <n v="9253382"/>
    <n v="178"/>
    <s v="PEÇAS -Defeito de fabric./Sem Compressão"/>
    <s v="FUNCIONAL"/>
    <x v="0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28.85"/>
    <d v="2024-11-29T00:00:00"/>
  </r>
  <r>
    <n v="253886315"/>
    <n v="64655734"/>
    <s v="REB"/>
    <n v="8726381"/>
    <n v="178"/>
    <s v="PEÇAS -Defeito de fabric./Sem Compressão"/>
    <s v="FUNCIONAL"/>
    <x v="0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11.82"/>
    <d v="2024-11-29T00:00:00"/>
  </r>
  <r>
    <s v="Sem TR"/>
    <n v="64658415"/>
    <s v="ROB"/>
    <n v="9675575"/>
    <n v="25"/>
    <s v="OC. 80 - EXTRAVIO TOTAL"/>
    <s v="TRANSPORTADORA"/>
    <x v="2"/>
    <n v="31978"/>
    <s v="AMILTON PEREIRA DA SILVA"/>
    <s v="PE"/>
    <n v="350"/>
    <s v="Ats On"/>
    <n v="1350"/>
    <s v="W10200101"/>
    <s v="Prateleiras"/>
    <x v="1"/>
    <n v="1"/>
    <n v="5004101"/>
    <s v="UNIDOCK'S ASSESSORIA E LOGISTICA DE"/>
    <n v="28.03"/>
    <d v="2024-12-03T00:00:00"/>
  </r>
  <r>
    <s v="Sem TR"/>
    <n v="64658415"/>
    <s v="ROB"/>
    <n v="9675575"/>
    <n v="25"/>
    <s v="OC. 80 - EXTRAVIO TOTAL"/>
    <s v="TRANSPORTADORA"/>
    <x v="2"/>
    <n v="31978"/>
    <s v="AMILTON PEREIRA DA SILVA"/>
    <s v="PE"/>
    <n v="350"/>
    <s v="Ats On"/>
    <n v="1350"/>
    <s v="W10269365"/>
    <s v="Placas de Controle"/>
    <x v="2"/>
    <n v="2"/>
    <n v="5004101"/>
    <s v="UNIDOCK'S ASSESSORIA E LOGISTICA DE"/>
    <n v="336.01"/>
    <d v="2024-12-03T00:00:00"/>
  </r>
  <r>
    <s v="Sem TR"/>
    <n v="64658415"/>
    <s v="ROB"/>
    <n v="9675575"/>
    <n v="25"/>
    <s v="OC. 80 - EXTRAVIO TOTAL"/>
    <s v="TRANSPORTADORA"/>
    <x v="2"/>
    <n v="31978"/>
    <s v="AMILTON PEREIRA DA SILVA"/>
    <s v="PE"/>
    <n v="350"/>
    <s v="Ats On"/>
    <n v="1350"/>
    <s v="W10515645"/>
    <s v="Filtros"/>
    <x v="6"/>
    <n v="10"/>
    <n v="5004101"/>
    <s v="UNIDOCK'S ASSESSORIA E LOGISTICA DE"/>
    <n v="228.4"/>
    <d v="2024-12-03T00:00:00"/>
  </r>
  <r>
    <s v="Sem TR"/>
    <n v="64658415"/>
    <s v="ROB"/>
    <n v="9675575"/>
    <n v="25"/>
    <s v="OC. 80 - EXTRAVIO TOTAL"/>
    <s v="TRANSPORTADORA"/>
    <x v="2"/>
    <n v="31978"/>
    <s v="AMILTON PEREIRA DA SILVA"/>
    <s v="PE"/>
    <n v="350"/>
    <s v="Ats On"/>
    <n v="1350"/>
    <s v="W10758992"/>
    <s v="Gavetas"/>
    <x v="1"/>
    <n v="1"/>
    <n v="5004101"/>
    <s v="UNIDOCK'S ASSESSORIA E LOGISTICA DE"/>
    <n v="68.569999999999993"/>
    <d v="2024-12-03T00:00:00"/>
  </r>
  <r>
    <n v="253889656"/>
    <n v="64658926"/>
    <s v="REB"/>
    <n v="9731828"/>
    <n v="167"/>
    <s v="PEÇAS - Avaria - Quebrada/Depósito"/>
    <s v="LOGÍSTICA"/>
    <x v="1"/>
    <n v="69085"/>
    <s v="DO BEN COMERCIO DE PECAS"/>
    <s v="SP"/>
    <n v="644"/>
    <s v="Plus"/>
    <n v="1350"/>
    <n v="326031008"/>
    <s v="Prateleiras"/>
    <x v="1"/>
    <n v="1"/>
    <n v="5003254"/>
    <s v="TMA TRANSPORTE LOTACAO E LOGISTICA"/>
    <n v="22.81"/>
    <d v="2024-12-04T00:00:00"/>
  </r>
  <r>
    <n v="253889656"/>
    <n v="64658926"/>
    <s v="REB"/>
    <n v="9731828"/>
    <n v="167"/>
    <s v="PEÇAS - Avaria - Quebrada/Depósito"/>
    <s v="LOGÍSTICA"/>
    <x v="1"/>
    <n v="69085"/>
    <s v="DO BEN COMERCIO DE PECAS"/>
    <s v="SP"/>
    <n v="644"/>
    <s v="Plus"/>
    <n v="1350"/>
    <s v="W10658588"/>
    <s v="Pés"/>
    <x v="3"/>
    <n v="2"/>
    <n v="5003254"/>
    <s v="TMA TRANSPORTE LOTACAO E LOGISTICA"/>
    <n v="20.04"/>
    <d v="2024-12-04T00:00:00"/>
  </r>
  <r>
    <n v="253889656"/>
    <n v="64658926"/>
    <s v="REB"/>
    <n v="9731828"/>
    <n v="167"/>
    <s v="PEÇAS - Avaria - Quebrada/Depósito"/>
    <s v="LOGÍSTICA"/>
    <x v="1"/>
    <n v="69085"/>
    <s v="DO BEN COMERCIO DE PECAS"/>
    <s v="SP"/>
    <n v="644"/>
    <s v="Plus"/>
    <n v="1350"/>
    <s v="W11191917"/>
    <s v="Gavetas"/>
    <x v="1"/>
    <n v="2"/>
    <n v="5003254"/>
    <s v="TMA TRANSPORTE LOTACAO E LOGISTICA"/>
    <n v="57.42"/>
    <d v="2024-12-04T00:00:00"/>
  </r>
  <r>
    <n v="253889657"/>
    <n v="64658935"/>
    <s v="REB"/>
    <n v="9731828"/>
    <n v="170"/>
    <s v="PEÇAS - Avaria - Riscada/Depósito"/>
    <s v="LOGÍSTICA"/>
    <x v="1"/>
    <n v="69085"/>
    <s v="DO BEN COMERCIO DE PECAS"/>
    <s v="SP"/>
    <n v="644"/>
    <s v="Plus"/>
    <n v="1350"/>
    <s v="W10202553"/>
    <s v="Portas"/>
    <x v="3"/>
    <n v="1"/>
    <n v="5003254"/>
    <s v="TMA TRANSPORTE LOTACAO E LOGISTICA"/>
    <n v="48.95"/>
    <d v="2024-12-04T00:00:00"/>
  </r>
  <r>
    <n v="253889657"/>
    <n v="64658935"/>
    <s v="REB"/>
    <n v="9731828"/>
    <n v="170"/>
    <s v="PEÇAS - Avaria - Riscada/Depósito"/>
    <s v="LOGÍSTICA"/>
    <x v="1"/>
    <n v="69085"/>
    <s v="DO BEN COMERCIO DE PECAS"/>
    <s v="SP"/>
    <n v="644"/>
    <s v="Plus"/>
    <n v="1350"/>
    <s v="W10658587"/>
    <s v="Pés"/>
    <x v="3"/>
    <n v="2"/>
    <n v="5003254"/>
    <s v="TMA TRANSPORTE LOTACAO E LOGISTICA"/>
    <n v="19.84"/>
    <d v="2024-12-04T00:00:00"/>
  </r>
  <r>
    <n v="253891605"/>
    <n v="64660030"/>
    <s v="REB"/>
    <n v="9738103"/>
    <n v="109"/>
    <s v="PEÇAS-Erro de catálogo/BT"/>
    <s v="ENGENHARIA"/>
    <x v="1"/>
    <n v="3677"/>
    <s v="WATEC SERVICE PECAS E SERV LTDA"/>
    <s v="SP"/>
    <n v="931"/>
    <s v="Ats Off"/>
    <n v="1350"/>
    <s v="W10912791"/>
    <s v="Capas"/>
    <x v="3"/>
    <n v="1"/>
    <n v="5003254"/>
    <s v="TMA TRANSPORTE LOTACAO E LOGISTICA"/>
    <n v="77.22"/>
    <d v="2024-12-05T00:00:00"/>
  </r>
  <r>
    <n v="253891674"/>
    <n v="64660301"/>
    <s v="REB"/>
    <n v="9599483"/>
    <n v="671"/>
    <s v="DEV-ENVIADO PARA GESTÃO DE CONSEQUENCIA"/>
    <s v="TRANSPORTADORA"/>
    <x v="1"/>
    <n v="76076"/>
    <s v="dSPACO DO CLIMA AR"/>
    <s v="RS"/>
    <n v="931"/>
    <s v="Ats Off"/>
    <n v="1350"/>
    <s v="W11161217"/>
    <s v="Placas de Controle"/>
    <x v="2"/>
    <n v="1"/>
    <n v="5003024"/>
    <s v="RODOBRAS TRANSPORTES RODOVIARIOS LT"/>
    <n v="278.01"/>
    <d v="2024-12-05T00:00:00"/>
  </r>
  <r>
    <n v="253895450"/>
    <n v="64663084"/>
    <s v="REB"/>
    <n v="9752577"/>
    <n v="671"/>
    <s v="DEV-ENVIADO PARA GESTÃO DE CONSEQUENCIA"/>
    <s v="TRANSPORTADORA"/>
    <x v="1"/>
    <n v="75752"/>
    <s v="MGPARTS COMERCIO E DISTRIBUIDORA DE"/>
    <s v="PR"/>
    <n v="648"/>
    <s v="Ultra"/>
    <n v="1350"/>
    <s v="W10287527"/>
    <s v="Prateleiras"/>
    <x v="1"/>
    <n v="1"/>
    <n v="5003024"/>
    <s v="RODOBRAS TRANSPORTES RODOVIARIOS LT"/>
    <n v="113.82"/>
    <d v="2024-12-09T00:00:00"/>
  </r>
  <r>
    <n v="253903251"/>
    <n v="64664471"/>
    <s v="REB"/>
    <n v="9746826"/>
    <n v="671"/>
    <s v="DEV-ENVIADO PARA GESTÃO DE CONSEQUENCIA"/>
    <s v="TRANSPORTADORA"/>
    <x v="1"/>
    <n v="76076"/>
    <s v="dSPACO DO CLIMA AR"/>
    <s v="RS"/>
    <n v="931"/>
    <s v="Ats Off"/>
    <n v="1350"/>
    <n v="326047477"/>
    <s v="Gavetas"/>
    <x v="1"/>
    <n v="1"/>
    <n v="5003024"/>
    <s v="RODOBRAS TRANSPORTES RODOVIARIOS LT"/>
    <n v="50.61"/>
    <d v="2024-12-16T00:00:00"/>
  </r>
  <r>
    <n v="253897733"/>
    <n v="64666634"/>
    <s v="REB"/>
    <n v="9746693"/>
    <n v="671"/>
    <s v="DEV-ENVIADO PARA GESTÃO DE CONSEQUENCIA"/>
    <s v="TRANSPORTADORA"/>
    <x v="1"/>
    <n v="38442"/>
    <s v="REGINALDO FABIANO HESSLER"/>
    <s v="RS"/>
    <n v="644"/>
    <s v="Plus"/>
    <n v="1350"/>
    <s v="W10396957"/>
    <s v="Hélices"/>
    <x v="6"/>
    <n v="1"/>
    <n v="5003024"/>
    <s v="RODOBRAS TRANSPORTES RODOVIARIOS LT"/>
    <n v="145.81"/>
    <d v="2024-12-12T00:00:00"/>
  </r>
  <r>
    <n v="253903210"/>
    <n v="64668887"/>
    <s v="REB"/>
    <n v="9559456"/>
    <n v="671"/>
    <s v="DEV-ENVIADO PARA GESTÃO DE CONSEQUENCIA"/>
    <s v="TRANSPORTADORA"/>
    <x v="1"/>
    <n v="46511"/>
    <s v="JE COMERCIO DE FERRAGENS LTDA"/>
    <s v="SC"/>
    <n v="932"/>
    <s v="CDP Prata"/>
    <n v="1350"/>
    <s v="W11228638"/>
    <s v="Placas de Interface"/>
    <x v="2"/>
    <n v="1"/>
    <n v="5003024"/>
    <s v="RODOBRAS TRANSPORTES RODOVIARIOS LT"/>
    <n v="465.31"/>
    <d v="2024-12-18T00:00:00"/>
  </r>
  <r>
    <n v="253903210"/>
    <n v="64668888"/>
    <s v="REB"/>
    <n v="9547498"/>
    <n v="671"/>
    <s v="DEV-ENVIADO PARA GESTÃO DE CONSEQUENCIA"/>
    <s v="TRANSPORTADORA"/>
    <x v="1"/>
    <n v="46511"/>
    <s v="JE COMERCIO DE FERRAGENS LTDA"/>
    <s v="SC"/>
    <n v="932"/>
    <s v="CDP Prata"/>
    <n v="1350"/>
    <s v="W10518617"/>
    <s v="Atuadores"/>
    <x v="4"/>
    <n v="1"/>
    <n v="5003024"/>
    <s v="RODOBRAS TRANSPORTES RODOVIARIOS LT"/>
    <n v="29.61"/>
    <d v="2024-12-18T00:00:00"/>
  </r>
  <r>
    <n v="253900873"/>
    <n v="64669088"/>
    <s v="REB"/>
    <n v="9538611"/>
    <n v="176"/>
    <s v="PEÇAS - Defeito de fabric./Interrompido"/>
    <s v="FUNCIONAL"/>
    <x v="1"/>
    <n v="85591"/>
    <s v="TREVIZAN &amp; CIA LTDA"/>
    <s v="SC"/>
    <n v="648"/>
    <s v="Ultra"/>
    <n v="1350"/>
    <s v="W11228553"/>
    <s v="Placas de Interface"/>
    <x v="2"/>
    <n v="1"/>
    <n v="5003024"/>
    <s v="RODOBRAS TRANSPORTES RODOVIARIOS LT"/>
    <n v="212.84"/>
    <d v="2024-12-16T00:00:00"/>
  </r>
  <r>
    <n v="253900876"/>
    <n v="64669246"/>
    <s v="ZDVP"/>
    <n v="9506551"/>
    <n v="671"/>
    <s v="DEV-ENVIADO PARA GESTÃO DE CONSEQUENCIA"/>
    <s v="TRANSPORTADORA"/>
    <x v="1"/>
    <n v="38442"/>
    <s v="REGINALDO FABIANO HESSLER"/>
    <s v="RS"/>
    <n v="644"/>
    <s v="Plus"/>
    <n v="1350"/>
    <s v="W11300675"/>
    <s v="Mecanismos"/>
    <x v="4"/>
    <n v="1"/>
    <n v="5003024"/>
    <s v="RODOBRAS TRANSPORTES RODOVIARIOS LT"/>
    <n v="99.76"/>
    <d v="2024-12-16T00:00:00"/>
  </r>
  <r>
    <n v="253903250"/>
    <n v="64669772"/>
    <s v="REB"/>
    <n v="9736755"/>
    <n v="671"/>
    <s v="DEV-ENVIADO PARA GESTÃO DE CONSEQUENCIA"/>
    <s v="TRANSPORTADORA"/>
    <x v="0"/>
    <n v="75752"/>
    <s v="MGPARTS COMERCIO E DISTRIBUIDORA DE"/>
    <s v="PR"/>
    <n v="648"/>
    <s v="Ultra"/>
    <n v="1350"/>
    <s v="W10624070"/>
    <s v="Gavetas"/>
    <x v="1"/>
    <n v="17"/>
    <n v="5003024"/>
    <s v="RODOBRAS TRANSPORTES RODOVIARIOS LT"/>
    <n v="1319.27"/>
    <d v="2024-12-16T00:00:00"/>
  </r>
  <r>
    <n v="253913169"/>
    <n v="64670593"/>
    <s v="REB"/>
    <n v="9659572"/>
    <n v="671"/>
    <s v="DEV-ENVIADO PARA GESTÃO DE CONSEQUENCIA"/>
    <s v="TRANSPORTADORA"/>
    <x v="1"/>
    <n v="67948"/>
    <s v="REFRICRIL DISTRIBUIDORA DE AR REFRI"/>
    <s v="SC"/>
    <n v="713"/>
    <s v="Key Account"/>
    <n v="1350"/>
    <s v="W11243456"/>
    <s v="Redes Elétricas"/>
    <x v="2"/>
    <n v="1"/>
    <n v="5003024"/>
    <s v="RODOBRAS TRANSPORTES RODOVIARIOS LT"/>
    <n v="51.62"/>
    <d v="2025-01-06T00:00:00"/>
  </r>
  <r>
    <n v="253903210"/>
    <n v="64671657"/>
    <s v="REB"/>
    <n v="9596661"/>
    <n v="671"/>
    <s v="DEV-ENVIADO PARA GESTÃO DE CONSEQUENCIA"/>
    <s v="TRANSPORTADORA"/>
    <x v="1"/>
    <n v="46511"/>
    <s v="JE COMERCIO DE FERRAGENS LTDA"/>
    <s v="SC"/>
    <n v="932"/>
    <s v="CDP Prata"/>
    <n v="1350"/>
    <s v="W11482942"/>
    <s v="Placas de Controle"/>
    <x v="2"/>
    <n v="1"/>
    <n v="5003024"/>
    <s v="RODOBRAS TRANSPORTES RODOVIARIOS LT"/>
    <n v="173.06"/>
    <d v="2024-12-18T00:00:00"/>
  </r>
  <r>
    <n v="253903210"/>
    <n v="64671721"/>
    <s v="REB"/>
    <n v="9619465"/>
    <n v="671"/>
    <s v="DEV-ENVIADO PARA GESTÃO DE CONSEQUENCIA"/>
    <s v="TRANSPORTADORA"/>
    <x v="1"/>
    <n v="46511"/>
    <s v="JE COMERCIO DE FERRAGENS LTDA"/>
    <s v="SC"/>
    <n v="932"/>
    <s v="CDP Prata"/>
    <n v="1350"/>
    <s v="W10678923"/>
    <s v="Placas de Controle"/>
    <x v="2"/>
    <n v="1"/>
    <n v="5003024"/>
    <s v="RODOBRAS TRANSPORTES RODOVIARIOS LT"/>
    <n v="67.989999999999995"/>
    <d v="2024-12-18T00:00:00"/>
  </r>
  <r>
    <n v="253903210"/>
    <n v="64671721"/>
    <s v="REB"/>
    <n v="9619465"/>
    <n v="671"/>
    <s v="DEV-ENVIADO PARA GESTÃO DE CONSEQUENCIA"/>
    <s v="TRANSPORTADORA"/>
    <x v="1"/>
    <n v="46511"/>
    <s v="JE COMERCIO DE FERRAGENS LTDA"/>
    <s v="SC"/>
    <n v="932"/>
    <s v="CDP Prata"/>
    <n v="1350"/>
    <s v="W10807957"/>
    <s v="Conjunto Varetas"/>
    <x v="11"/>
    <n v="1"/>
    <n v="5003024"/>
    <s v="RODOBRAS TRANSPORTES RODOVIARIOS LT"/>
    <n v="77.42"/>
    <d v="2024-12-18T00:00:00"/>
  </r>
  <r>
    <n v="253903210"/>
    <n v="64671730"/>
    <s v="REB"/>
    <n v="9713951"/>
    <n v="671"/>
    <s v="DEV-ENVIADO PARA GESTÃO DE CONSEQUENCIA"/>
    <s v="TRANSPORTADORA"/>
    <x v="1"/>
    <n v="46511"/>
    <s v="JE COMERCIO DE FERRAGENS LTDA"/>
    <s v="SC"/>
    <n v="932"/>
    <s v="CDP Prata"/>
    <n v="1350"/>
    <s v="W10531315"/>
    <s v="Sensores"/>
    <x v="8"/>
    <n v="1"/>
    <n v="5003024"/>
    <s v="RODOBRAS TRANSPORTES RODOVIARIOS LT"/>
    <n v="8.8000000000000007"/>
    <d v="2024-12-18T00:00:00"/>
  </r>
  <r>
    <n v="253903210"/>
    <n v="64671730"/>
    <s v="REB"/>
    <n v="9713951"/>
    <n v="671"/>
    <s v="DEV-ENVIADO PARA GESTÃO DE CONSEQUENCIA"/>
    <s v="TRANSPORTADORA"/>
    <x v="1"/>
    <n v="46511"/>
    <s v="JE COMERCIO DE FERRAGENS LTDA"/>
    <s v="SC"/>
    <n v="932"/>
    <s v="CDP Prata"/>
    <n v="1350"/>
    <s v="W11366400"/>
    <s v="Placas de Controle"/>
    <x v="2"/>
    <n v="1"/>
    <n v="5003024"/>
    <s v="RODOBRAS TRANSPORTES RODOVIARIOS LT"/>
    <n v="246.06"/>
    <d v="2024-12-18T00:00:00"/>
  </r>
  <r>
    <n v="253903211"/>
    <n v="64671739"/>
    <s v="REB"/>
    <n v="9713951"/>
    <n v="671"/>
    <s v="DEV-ENVIADO PARA GESTÃO DE CONSEQUENCIA"/>
    <s v="TRANSPORTADORA"/>
    <x v="1"/>
    <n v="46511"/>
    <s v="JE COMERCIO DE FERRAGENS LTDA"/>
    <s v="SC"/>
    <n v="932"/>
    <s v="CDP Prata"/>
    <n v="1350"/>
    <s v="W11366400"/>
    <s v="Placas de Controle"/>
    <x v="2"/>
    <n v="1"/>
    <n v="5003024"/>
    <s v="RODOBRAS TRANSPORTES RODOVIARIOS LT"/>
    <n v="246.06"/>
    <d v="2024-12-18T00:00:00"/>
  </r>
  <r>
    <n v="253903210"/>
    <n v="64671740"/>
    <s v="REB"/>
    <n v="9655806"/>
    <n v="671"/>
    <s v="DEV-ENVIADO PARA GESTÃO DE CONSEQUENCIA"/>
    <s v="TRANSPORTADORA"/>
    <x v="1"/>
    <n v="46511"/>
    <s v="JE COMERCIO DE FERRAGENS LTDA"/>
    <s v="SC"/>
    <n v="932"/>
    <s v="CDP Prata"/>
    <n v="1350"/>
    <s v="W11082463"/>
    <s v="Termostatos"/>
    <x v="8"/>
    <n v="1"/>
    <n v="5003024"/>
    <s v="RODOBRAS TRANSPORTES RODOVIARIOS LT"/>
    <n v="37.01"/>
    <d v="2024-12-18T00:00:00"/>
  </r>
  <r>
    <s v="Sem TR"/>
    <n v="64672248"/>
    <s v="REB"/>
    <n v="9704639"/>
    <n v="671"/>
    <s v="DEV-ENVIADO PARA GESTÃO DE CONSEQUENCIA"/>
    <s v="TRANSPORTADORA"/>
    <x v="1"/>
    <n v="32072"/>
    <s v="CG COMERCIO E SERVICE LTDA"/>
    <s v="PB"/>
    <n v="350"/>
    <s v="Ats On"/>
    <n v="1350"/>
    <n v="326026041"/>
    <s v="Gaxetas"/>
    <x v="10"/>
    <n v="5"/>
    <n v="5004101"/>
    <s v="UNIDOCK'S ASSESSORIA E LOGISTICA DE"/>
    <n v="619.37"/>
    <d v="2024-12-18T00:00:00"/>
  </r>
  <r>
    <s v="Sem TR"/>
    <n v="64672272"/>
    <s v="REB"/>
    <n v="9716169"/>
    <n v="125"/>
    <s v="DEV-Extravio de produto (Transportadora)"/>
    <s v="TRANSPORTADORA"/>
    <x v="2"/>
    <n v="29164"/>
    <s v="BRASTEMAK REFRIGERACAO LTDA"/>
    <s v="BA"/>
    <n v="648"/>
    <s v="Ultra"/>
    <n v="1350"/>
    <s v="W10856154"/>
    <s v="Capas"/>
    <x v="3"/>
    <n v="2"/>
    <n v="5004101"/>
    <s v="UNIDOCK'S ASSESSORIA E LOGISTICA DE"/>
    <n v="41.53"/>
    <d v="2024-12-18T00:00:00"/>
  </r>
  <r>
    <n v="254050856"/>
    <n v="64672496"/>
    <s v="REB"/>
    <n v="9772287"/>
    <n v="115"/>
    <s v="PEÇAS-Recusa do cliente"/>
    <s v="COMERCIAL"/>
    <x v="2"/>
    <n v="20602"/>
    <s v="SANDY DISTRIBUIDORA"/>
    <s v="SP"/>
    <n v="350"/>
    <s v="Ats On"/>
    <n v="1350"/>
    <s v="W10295922"/>
    <s v="Válvulas de Água"/>
    <x v="6"/>
    <n v="1"/>
    <n v="5004042"/>
    <s v="BRASIL WEB TRANSPORTES E LOGISTICA"/>
    <n v="228.02"/>
    <d v="2025-01-14T00:00:00"/>
  </r>
  <r>
    <n v="253907544"/>
    <n v="64675882"/>
    <s v="REB"/>
    <n v="9778689"/>
    <n v="671"/>
    <s v="DEV-ENVIADO PARA GESTÃO DE CONSEQUENCIA"/>
    <s v="TRANSPORTADORA"/>
    <x v="1"/>
    <n v="8192"/>
    <s v="BRASTEPEÇAS COM. PÇS. REFRIG LTDA"/>
    <s v="PR"/>
    <n v="933"/>
    <s v="Top"/>
    <n v="1350"/>
    <s v="W11310109"/>
    <s v="Espargidores"/>
    <x v="4"/>
    <n v="10"/>
    <n v="5003024"/>
    <s v="RODOBRAS TRANSPORTES RODOVIARIOS LT"/>
    <n v="277.56"/>
    <d v="2024-12-23T00:00:00"/>
  </r>
  <r>
    <n v="253907544"/>
    <n v="64675883"/>
    <s v="REB"/>
    <n v="9778690"/>
    <n v="671"/>
    <s v="DEV-ENVIADO PARA GESTÃO DE CONSEQUENCIA"/>
    <s v="TRANSPORTADORA"/>
    <x v="1"/>
    <n v="8192"/>
    <s v="BRASTEPEÇAS COM. PÇS. REFRIG LTDA"/>
    <s v="PR"/>
    <n v="933"/>
    <s v="Top"/>
    <n v="1350"/>
    <s v="W11310109"/>
    <s v="Espargidores"/>
    <x v="4"/>
    <n v="5"/>
    <n v="5003024"/>
    <s v="RODOBRAS TRANSPORTES RODOVIARIOS LT"/>
    <n v="138.78"/>
    <d v="2024-12-23T00:00:00"/>
  </r>
  <r>
    <n v="253907544"/>
    <n v="64676669"/>
    <s v="REB"/>
    <n v="9778691"/>
    <n v="671"/>
    <s v="DEV-ENVIADO PARA GESTÃO DE CONSEQUENCIA"/>
    <s v="TRANSPORTADORA"/>
    <x v="1"/>
    <n v="8192"/>
    <s v="BRASTEPEÇAS COM. PÇS. REFRIG LTDA"/>
    <s v="PR"/>
    <n v="933"/>
    <s v="Top"/>
    <n v="1350"/>
    <s v="W11310109"/>
    <s v="Espargidores"/>
    <x v="4"/>
    <n v="10"/>
    <n v="5003024"/>
    <s v="RODOBRAS TRANSPORTES RODOVIARIOS LT"/>
    <n v="407.99"/>
    <d v="2024-12-23T00:00:00"/>
  </r>
  <r>
    <n v="253907543"/>
    <n v="64676794"/>
    <s v="REB"/>
    <n v="9760213"/>
    <n v="671"/>
    <s v="DEV-ENVIADO PARA GESTÃO DE CONSEQUENCIA"/>
    <s v="TRANSPORTADORA"/>
    <x v="1"/>
    <n v="4354"/>
    <s v="ELETRO PECAS MINGAO LTDA"/>
    <s v="PR"/>
    <n v="350"/>
    <s v="Ats On"/>
    <n v="1350"/>
    <s v="W11300681"/>
    <s v="Mecanismos"/>
    <x v="4"/>
    <n v="1"/>
    <n v="5003024"/>
    <s v="RODOBRAS TRANSPORTES RODOVIARIOS LT"/>
    <n v="165.13"/>
    <d v="2024-12-23T00:00:00"/>
  </r>
  <r>
    <n v="253907565"/>
    <n v="64676814"/>
    <s v="REB"/>
    <n v="9660446"/>
    <n v="671"/>
    <s v="DEV-ENVIADO PARA GESTÃO DE CONSEQUENCIA"/>
    <s v="TRANSPORTADORA"/>
    <x v="1"/>
    <n v="30684"/>
    <s v="ASSISTEC SERVIÇOS ESPECIALIZADOS"/>
    <s v="RS"/>
    <n v="644"/>
    <s v="Plus"/>
    <n v="1350"/>
    <s v="W11340257"/>
    <s v="Placas de Interface"/>
    <x v="2"/>
    <n v="1"/>
    <n v="5003024"/>
    <s v="RODOBRAS TRANSPORTES RODOVIARIOS LT"/>
    <n v="393.21"/>
    <d v="2024-12-23T00:00:00"/>
  </r>
  <r>
    <n v="253917897"/>
    <n v="64681193"/>
    <s v="REB"/>
    <n v="9823327"/>
    <n v="170"/>
    <s v="PEÇAS - Avaria - Riscada/Depósito"/>
    <s v="LOGÍSTICA"/>
    <x v="1"/>
    <n v="40704"/>
    <s v="WP REFRIG PECAS SERVICOS LTDA ME"/>
    <s v="SP"/>
    <n v="931"/>
    <s v="Ats Off"/>
    <n v="1350"/>
    <n v="326039057"/>
    <s v="Gabinetes"/>
    <x v="3"/>
    <n v="1"/>
    <n v="5004042"/>
    <s v="BRASIL WEB TRANSPORTES E LOGISTICA"/>
    <n v="525.92999999999995"/>
    <d v="2025-01-15T00:00:00"/>
  </r>
  <r>
    <n v="253953838"/>
    <n v="64682575"/>
    <s v="REB"/>
    <n v="9675698"/>
    <n v="671"/>
    <s v="DEV-ENVIADO PARA GESTÃO DE CONSEQUENCIA"/>
    <s v="TRANSPORTADORA"/>
    <x v="1"/>
    <n v="68809"/>
    <s v="J. DE A. C. BRUGNOLI"/>
    <s v="MT"/>
    <n v="350"/>
    <s v="Ats On"/>
    <n v="1350"/>
    <s v="W10699291"/>
    <s v="Tanques"/>
    <x v="1"/>
    <n v="1"/>
    <n v="5002573"/>
    <s v="CARVALIMA TRANSPORTES LTDA"/>
    <n v="843.81"/>
    <d v="2025-01-01T00:00:00"/>
  </r>
  <r>
    <s v="Sem TR"/>
    <n v="64682674"/>
    <s v="REB"/>
    <n v="9760933"/>
    <n v="125"/>
    <s v="DEV-Extravio de produto (Transportadora)"/>
    <s v="TRANSPORTADORA"/>
    <x v="2"/>
    <n v="3118"/>
    <s v="ELETRO RECIFE VENDAS"/>
    <s v="PE"/>
    <n v="931"/>
    <s v="Ats Off"/>
    <n v="1350"/>
    <s v="W11629967"/>
    <s v="Gaxetas"/>
    <x v="10"/>
    <n v="1"/>
    <n v="5004101"/>
    <s v="UNIDOCK'S ASSESSORIA E LOGISTICA DE"/>
    <n v="40.729999999999997"/>
    <d v="2025-01-02T00:00:00"/>
  </r>
  <r>
    <n v="253913184"/>
    <n v="64682732"/>
    <s v="REB"/>
    <n v="9302694"/>
    <n v="178"/>
    <s v="PEÇAS -Defeito de fabric./Sem Compressão"/>
    <s v="FUNCIONAL"/>
    <x v="1"/>
    <n v="75929"/>
    <s v="FRIOTEC INSTALACAO DE SISTEMAS"/>
    <s v="SE"/>
    <n v="933"/>
    <s v="Top"/>
    <n v="1350"/>
    <s v="W11647660"/>
    <s v="Compressores Herméticos"/>
    <x v="0"/>
    <n v="1"/>
    <n v="5004101"/>
    <s v="UNIDOCK'S ASSESSORIA E LOGISTICA DE"/>
    <n v="301.73"/>
    <d v="2025-01-06T00:00:00"/>
  </r>
  <r>
    <n v="253913155"/>
    <n v="64684095"/>
    <s v="REB"/>
    <n v="9541970"/>
    <n v="176"/>
    <s v="PEÇAS - Defeito de fabric./Interrompido"/>
    <s v="FUNCIONAL"/>
    <x v="1"/>
    <n v="56605"/>
    <s v="CORREIA E CIPRIANO LTDA"/>
    <s v="AL"/>
    <n v="644"/>
    <s v="Plus"/>
    <n v="1350"/>
    <s v="W11396188"/>
    <s v="Placas de Interface"/>
    <x v="2"/>
    <n v="1"/>
    <n v="5004101"/>
    <s v="UNIDOCK'S ASSESSORIA E LOGISTICA DE"/>
    <n v="90.9"/>
    <d v="2025-01-06T00:00:00"/>
  </r>
  <r>
    <n v="253913185"/>
    <n v="64684467"/>
    <s v="REB"/>
    <n v="9650990"/>
    <n v="173"/>
    <s v="PEÇAS - Defeito de fabric./Alta Amperage"/>
    <s v="FUNCIONAL"/>
    <x v="1"/>
    <n v="77676"/>
    <s v="SATELITE REFRIGERACAO PECAS"/>
    <s v="DF"/>
    <n v="931"/>
    <s v="Ats Off"/>
    <n v="1350"/>
    <s v="W11224155"/>
    <s v="Sensores"/>
    <x v="8"/>
    <n v="1"/>
    <n v="5002858"/>
    <s v="FAVORITA TRANSPORTES LTDA"/>
    <n v="33.68"/>
    <d v="2025-01-06T00:00:00"/>
  </r>
  <r>
    <n v="253913185"/>
    <n v="64684473"/>
    <s v="REB"/>
    <n v="9659401"/>
    <n v="176"/>
    <s v="PEÇAS - Defeito de fabric./Interrompido"/>
    <s v="FUNCIONAL"/>
    <x v="1"/>
    <n v="77676"/>
    <s v="SATELITE REFRIGERACAO PECAS"/>
    <s v="DF"/>
    <n v="931"/>
    <s v="Ats Off"/>
    <n v="1350"/>
    <s v="W10591605"/>
    <s v="Placas de Controle"/>
    <x v="2"/>
    <n v="1"/>
    <n v="5002858"/>
    <s v="FAVORITA TRANSPORTES LTDA"/>
    <n v="264.67"/>
    <d v="2025-01-06T00:00:00"/>
  </r>
  <r>
    <n v="253913186"/>
    <n v="64684556"/>
    <s v="REB"/>
    <n v="9560103"/>
    <n v="176"/>
    <s v="PEÇAS - Defeito de fabric./Interrompido"/>
    <s v="FUNCIONAL"/>
    <x v="1"/>
    <n v="80432"/>
    <s v="FRIORIO DISTRIBUIDOR DE PECAS PARA"/>
    <s v="ES"/>
    <n v="713"/>
    <s v="Key Account"/>
    <n v="1350"/>
    <s v="W11161216"/>
    <s v="Placas de Controle"/>
    <x v="2"/>
    <n v="1"/>
    <n v="5004042"/>
    <s v="BRASIL WEB TRANSPORTES E LOGISTICA"/>
    <n v="287.47000000000003"/>
    <d v="2025-01-06T00:00:00"/>
  </r>
  <r>
    <n v="253913161"/>
    <n v="64684771"/>
    <s v="REB"/>
    <n v="9733296"/>
    <n v="173"/>
    <s v="PEÇAS - Defeito de fabric./Alta Amperage"/>
    <s v="FUNCIONAL"/>
    <x v="1"/>
    <n v="63300"/>
    <s v="REFRIGERACAO MOTA LTDA"/>
    <s v="MG"/>
    <n v="643"/>
    <s v="Elite"/>
    <n v="1350"/>
    <s v="W10632302"/>
    <s v="Válvulas de Água"/>
    <x v="6"/>
    <n v="1"/>
    <n v="5004215"/>
    <s v="BRASIL WEB TRANSPORTES E LOGISTICA"/>
    <n v="30.69"/>
    <d v="2025-01-06T00:00:00"/>
  </r>
  <r>
    <n v="253913191"/>
    <n v="64685029"/>
    <s v="REB"/>
    <n v="9630877"/>
    <n v="176"/>
    <s v="PEÇAS - Defeito de fabric./Interrompido"/>
    <s v="FUNCIONAL"/>
    <x v="1"/>
    <n v="87320"/>
    <s v="CHAMA AZUL COMERCIO E SERVICOS LTDA"/>
    <s v="RJ"/>
    <n v="932"/>
    <s v="CDP Prata"/>
    <n v="1350"/>
    <n v="326061172"/>
    <s v="Placas de Controle"/>
    <x v="2"/>
    <n v="1"/>
    <n v="5003176"/>
    <s v="J C THEDIN TRANSPORTES LTDA"/>
    <n v="435.85"/>
    <d v="2025-01-06T00:00:00"/>
  </r>
  <r>
    <n v="253918546"/>
    <n v="64685782"/>
    <s v="REB"/>
    <n v="9820855"/>
    <n v="671"/>
    <s v="DEV-ENVIADO PARA GESTÃO DE CONSEQUENCIA"/>
    <s v="TRANSPORTADORA"/>
    <x v="1"/>
    <n v="9015"/>
    <s v="ALTIMARIS REFRIGERACAO LTDA"/>
    <s v="SC"/>
    <n v="931"/>
    <s v="Ats Off"/>
    <n v="1350"/>
    <s v="W10311980"/>
    <s v="Suportes"/>
    <x v="3"/>
    <n v="1"/>
    <n v="5003024"/>
    <s v="RODOBRAS TRANSPORTES RODOVIARIOS LT"/>
    <n v="317.33"/>
    <d v="2025-01-15T00:00:00"/>
  </r>
  <r>
    <s v="Sem TR"/>
    <n v="64685954"/>
    <s v="REB"/>
    <n v="9750010"/>
    <n v="671"/>
    <s v="DEV-ENVIADO PARA GESTÃO DE CONSEQUENCIA"/>
    <s v="TRANSPORTADORA"/>
    <x v="1"/>
    <n v="299"/>
    <s v="JOAO TAVARES DA SILVA FILHO ME"/>
    <s v="SC"/>
    <n v="350"/>
    <s v="Ats On"/>
    <n v="1350"/>
    <s v="W11254865"/>
    <s v="Mecanismos"/>
    <x v="4"/>
    <n v="1"/>
    <n v="5003024"/>
    <s v="RODOBRAS TRANSPORTES RODOVIARIOS LT"/>
    <n v="167"/>
    <d v="2025-01-07T00:00:00"/>
  </r>
  <r>
    <s v="Sem TR"/>
    <n v="64687618"/>
    <s v="REB"/>
    <n v="9760932"/>
    <n v="125"/>
    <s v="DEV-Extravio de produto (Transportadora)"/>
    <s v="TRANSPORTADORA"/>
    <x v="2"/>
    <n v="3118"/>
    <s v="ELETRO RECIFE VENDAS"/>
    <s v="PE"/>
    <n v="931"/>
    <s v="Ats Off"/>
    <n v="1350"/>
    <s v="W10347206"/>
    <s v="Prateleiras"/>
    <x v="1"/>
    <n v="1"/>
    <n v="5004101"/>
    <s v="UNIDOCK'S ASSESSORIA E LOGISTICA DE"/>
    <n v="65.150000000000006"/>
    <d v="2025-01-09T00:00:00"/>
  </r>
  <r>
    <n v="253915561"/>
    <n v="64687636"/>
    <s v="REB"/>
    <n v="9371144"/>
    <n v="173"/>
    <s v="PEÇAS - Defeito de fabric./Alta Amperage"/>
    <s v="FUNCIONAL"/>
    <x v="1"/>
    <n v="19750"/>
    <s v="J. R. VALENTE LTDA"/>
    <s v="RR"/>
    <n v="648"/>
    <s v="Ultra"/>
    <n v="1350"/>
    <s v="W10769941"/>
    <s v="Compressores Herméticos"/>
    <x v="0"/>
    <n v="1"/>
    <n v="5002858"/>
    <s v="FAVORITA TRANSPORTES LTDA"/>
    <n v="299.20999999999998"/>
    <d v="2025-01-09T00:00:00"/>
  </r>
  <r>
    <n v="253915560"/>
    <n v="64687765"/>
    <s v="REB"/>
    <n v="9645285"/>
    <n v="176"/>
    <s v="PEÇAS - Defeito de fabric./Interrompido"/>
    <s v="FUNCIONAL"/>
    <x v="1"/>
    <n v="14474"/>
    <s v="NATAL SERVICE LTDA N"/>
    <s v="RN"/>
    <n v="643"/>
    <s v="Elite"/>
    <n v="1350"/>
    <s v="W10168510"/>
    <s v="Motores Ventiladores"/>
    <x v="2"/>
    <n v="1"/>
    <n v="5004101"/>
    <s v="UNIDOCK'S ASSESSORIA E LOGISTICA DE"/>
    <n v="45.94"/>
    <d v="2025-01-09T00:00:00"/>
  </r>
  <r>
    <n v="253926251"/>
    <n v="64687777"/>
    <s v="REB"/>
    <n v="9680624"/>
    <n v="671"/>
    <s v="DEV-ENVIADO PARA GESTÃO DE CONSEQUENCIA"/>
    <s v="TRANSPORTADORA"/>
    <x v="1"/>
    <n v="26939"/>
    <s v="TEMPERFRIO-DISTRIBUICAO E"/>
    <s v="PR"/>
    <n v="643"/>
    <s v="Elite"/>
    <n v="1350"/>
    <s v="W10849469"/>
    <s v="Bombas"/>
    <x v="2"/>
    <n v="2"/>
    <n v="5003024"/>
    <s v="RODOBRAS TRANSPORTES RODOVIARIOS LT"/>
    <n v="52.39"/>
    <d v="2025-01-09T00:00:00"/>
  </r>
  <r>
    <n v="253915606"/>
    <n v="64687815"/>
    <s v="REB"/>
    <n v="9107714"/>
    <n v="178"/>
    <s v="PEÇAS -Defeito de fabric./Sem Compressão"/>
    <s v="FUNCIONAL"/>
    <x v="2"/>
    <n v="50822"/>
    <s v="CLAYTON DE OLIVEIRA"/>
    <s v="AL"/>
    <n v="648"/>
    <s v="Ultra"/>
    <n v="1350"/>
    <s v="W10393823"/>
    <s v="Compressores Herméticos"/>
    <x v="0"/>
    <n v="1"/>
    <n v="5004101"/>
    <s v="UNIDOCK'S ASSESSORIA E LOGISTICA DE"/>
    <n v="506.32"/>
    <d v="2025-01-09T00:00:00"/>
  </r>
  <r>
    <s v="Sem TR"/>
    <n v="64689122"/>
    <s v="REB"/>
    <n v="9729442"/>
    <n v="671"/>
    <s v="DEV-ENVIADO PARA GESTÃO DE CONSEQUENCIA"/>
    <s v="TRANSPORTADORA"/>
    <x v="1"/>
    <n v="29164"/>
    <s v="BRASTEMAK REFRIGERACAO LTDA"/>
    <s v="BA"/>
    <n v="648"/>
    <s v="Ultra"/>
    <n v="1350"/>
    <s v="W10791633"/>
    <s v="Retentores"/>
    <x v="10"/>
    <n v="300"/>
    <n v="5004101"/>
    <s v="UNIDOCK'S ASSESSORIA E LOGISTICA DE"/>
    <n v="2458.52"/>
    <d v="2025-01-10T00:00:00"/>
  </r>
  <r>
    <n v="253915689"/>
    <n v="64689691"/>
    <s v="REB"/>
    <n v="9752927"/>
    <n v="170"/>
    <s v="PEÇAS - Avaria - Riscada/Depósito"/>
    <s v="LOGÍSTICA"/>
    <x v="1"/>
    <n v="4189"/>
    <s v="PONTO DE ORVALHO REFRIG LTDA"/>
    <s v="CE"/>
    <n v="931"/>
    <s v="Ats Off"/>
    <n v="1350"/>
    <s v="W10859619"/>
    <s v="Mesas Cocção"/>
    <x v="3"/>
    <n v="1"/>
    <n v="5004101"/>
    <s v="UNIDOCK'S ASSESSORIA E LOGISTICA DE"/>
    <n v="289.36"/>
    <d v="2025-01-13T00:00:00"/>
  </r>
  <r>
    <n v="254043644"/>
    <n v="64690472"/>
    <s v="REB"/>
    <n v="9788621"/>
    <n v="115"/>
    <s v="PEÇAS-Recusa do cliente"/>
    <s v="COMERCIAL"/>
    <x v="1"/>
    <n v="47997"/>
    <s v="GMTEC COMERCIO E SERVICOS LTDA  EPP"/>
    <s v="BA"/>
    <n v="350"/>
    <s v="Ats On"/>
    <n v="1350"/>
    <n v="326064737"/>
    <s v="Parafusos e afins"/>
    <x v="7"/>
    <n v="50"/>
    <n v="5004101"/>
    <s v="UNIDOCK'S ASSESSORIA E LOGISTICA DE"/>
    <n v="225.6"/>
    <d v="2025-01-14T00:00:00"/>
  </r>
  <r>
    <s v="Sem TR"/>
    <n v="64690939"/>
    <s v="REB"/>
    <n v="9764439"/>
    <n v="671"/>
    <s v="DEV-ENVIADO PARA GESTÃO DE CONSEQUENCIA"/>
    <s v="TRANSPORTADORA"/>
    <x v="1"/>
    <n v="28181"/>
    <s v="COMERCIAL DE PEÇAS PARA REFRIG MF"/>
    <s v="GO"/>
    <n v="643"/>
    <s v="Elite"/>
    <n v="1350"/>
    <n v="326062041"/>
    <s v="Recipientes de Evaporação"/>
    <x v="1"/>
    <n v="20"/>
    <n v="5002858"/>
    <s v="FAVORITA TRANSPORTES LTDA"/>
    <n v="229.82"/>
    <d v="2025-01-14T00:00:00"/>
  </r>
  <r>
    <s v="Sem TR"/>
    <n v="64690939"/>
    <s v="REB"/>
    <n v="9764439"/>
    <n v="671"/>
    <s v="DEV-ENVIADO PARA GESTÃO DE CONSEQUENCIA"/>
    <s v="TRANSPORTADORA"/>
    <x v="1"/>
    <n v="28181"/>
    <s v="COMERCIAL DE PEÇAS PARA REFRIG MF"/>
    <s v="GO"/>
    <n v="643"/>
    <s v="Elite"/>
    <n v="1350"/>
    <s v="W10581058"/>
    <s v="Gavetas"/>
    <x v="1"/>
    <n v="1"/>
    <n v="5002858"/>
    <s v="FAVORITA TRANSPORTES LTDA"/>
    <n v="73.81"/>
    <d v="2025-01-14T00:00:00"/>
  </r>
  <r>
    <s v="Sem TR"/>
    <n v="64690939"/>
    <s v="REB"/>
    <n v="9764439"/>
    <n v="671"/>
    <s v="DEV-ENVIADO PARA GESTÃO DE CONSEQUENCIA"/>
    <s v="TRANSPORTADORA"/>
    <x v="1"/>
    <n v="28181"/>
    <s v="COMERCIAL DE PEÇAS PARA REFRIG MF"/>
    <s v="GO"/>
    <n v="643"/>
    <s v="Elite"/>
    <n v="1350"/>
    <s v="W10829873"/>
    <s v="Outros"/>
    <x v="5"/>
    <n v="1"/>
    <n v="5002858"/>
    <s v="FAVORITA TRANSPORTES LTDA"/>
    <n v="68.599999999999994"/>
    <d v="2025-01-14T00:00:00"/>
  </r>
  <r>
    <s v="Sem TR"/>
    <n v="64691072"/>
    <s v="REB"/>
    <n v="9757193"/>
    <n v="671"/>
    <s v="DEV-ENVIADO PARA GESTÃO DE CONSEQUENCIA"/>
    <s v="TRANSPORTADORA"/>
    <x v="1"/>
    <n v="61876"/>
    <s v="PONTAL COMERCIO DE"/>
    <s v="SC"/>
    <n v="932"/>
    <s v="CDP Prata"/>
    <n v="1350"/>
    <s v="W11368174"/>
    <s v="Compressores Herméticos"/>
    <x v="0"/>
    <n v="1"/>
    <n v="5003024"/>
    <s v="RODOBRAS TRANSPORTES RODOVIARIOS LT"/>
    <n v="479.91"/>
    <d v="2025-01-14T00:00:00"/>
  </r>
  <r>
    <s v="Sem TR"/>
    <n v="64691075"/>
    <s v="REB"/>
    <n v="9757192"/>
    <n v="671"/>
    <s v="DEV-ENVIADO PARA GESTÃO DE CONSEQUENCIA"/>
    <s v="TRANSPORTADORA"/>
    <x v="1"/>
    <n v="61876"/>
    <s v="PONTAL COMERCIO DE"/>
    <s v="SC"/>
    <n v="932"/>
    <s v="CDP Prata"/>
    <n v="1350"/>
    <s v="W10769940"/>
    <s v="Compressores Herméticos"/>
    <x v="0"/>
    <n v="1"/>
    <n v="5003024"/>
    <s v="RODOBRAS TRANSPORTES RODOVIARIOS LT"/>
    <n v="404.22"/>
    <d v="2025-01-14T00:00:00"/>
  </r>
  <r>
    <n v="253918534"/>
    <n v="64691659"/>
    <s v="REB"/>
    <n v="9782982"/>
    <n v="90"/>
    <s v="CLIENTE-não solicitou"/>
    <s v="COMERCIAL"/>
    <x v="1"/>
    <n v="1873"/>
    <s v="SERVISUL COMERCIO DE PECAS"/>
    <s v="MS"/>
    <n v="350"/>
    <s v="Ats On"/>
    <n v="1350"/>
    <s v="W10347201"/>
    <s v="Prateleiras"/>
    <x v="1"/>
    <n v="1"/>
    <n v="5002573"/>
    <s v="CARVALIMA TRANSPORTES LTDA"/>
    <n v="80.28"/>
    <d v="2025-01-15T00:00:00"/>
  </r>
  <r>
    <n v="253918649"/>
    <n v="64691660"/>
    <s v="REB"/>
    <n v="9500302"/>
    <n v="671"/>
    <s v="DEV-ENVIADO PARA GESTÃO DE CONSEQUENCIA"/>
    <s v="TRANSPORTADORA"/>
    <x v="1"/>
    <n v="82182"/>
    <s v="ELISON WILLIAM GODOI"/>
    <s v="RS"/>
    <n v="932"/>
    <s v="CDP Prata"/>
    <n v="1350"/>
    <n v="326002674"/>
    <s v="Mangueiras"/>
    <x v="6"/>
    <n v="20"/>
    <n v="5003024"/>
    <s v="RODOBRAS TRANSPORTES RODOVIARIOS LT"/>
    <n v="418.99"/>
    <d v="2025-01-15T00:00:00"/>
  </r>
  <r>
    <n v="253918550"/>
    <n v="64691671"/>
    <s v="REB"/>
    <n v="9645285"/>
    <n v="176"/>
    <s v="PEÇAS - Defeito de fabric./Interrompido"/>
    <s v="FUNCIONAL"/>
    <x v="1"/>
    <n v="14474"/>
    <s v="NATAL SERVICE LTDA N"/>
    <s v="RN"/>
    <n v="643"/>
    <s v="Elite"/>
    <n v="1350"/>
    <s v="W10714366"/>
    <s v="Válvulas de Água"/>
    <x v="6"/>
    <n v="1"/>
    <n v="5004101"/>
    <s v="UNIDOCK'S ASSESSORIA E LOGISTICA DE"/>
    <n v="43.82"/>
    <d v="2025-01-15T00:00:00"/>
  </r>
  <r>
    <n v="253922587"/>
    <n v="64693196"/>
    <s v="REB"/>
    <n v="9448525"/>
    <n v="173"/>
    <s v="PEÇAS - Defeito de fabric./Alta Amperage"/>
    <s v="FUNCIONAL"/>
    <x v="1"/>
    <n v="76236"/>
    <s v="LEANDRO RICARDO LEITE"/>
    <s v="SP"/>
    <n v="644"/>
    <s v="Plus"/>
    <n v="1350"/>
    <s v="W11369860"/>
    <s v="Motores Ventiladores"/>
    <x v="2"/>
    <n v="1"/>
    <n v="5003482"/>
    <s v="TMA TRANSPORTE LOTACAO E LOGISTICA"/>
    <n v="35.630000000000003"/>
    <d v="2025-01-20T00:00:00"/>
  </r>
  <r>
    <n v="253918962"/>
    <n v="64693214"/>
    <s v="ROB"/>
    <n v="9821811"/>
    <n v="671"/>
    <s v="DEV-ENVIADO PARA GESTÃO DE CONSEQUENCIA"/>
    <s v="TRANSPORTADORA"/>
    <x v="1"/>
    <n v="32856"/>
    <s v="REFRIGERACAO DUFRIO"/>
    <s v="PR"/>
    <n v="713"/>
    <s v="Key Account"/>
    <n v="1350"/>
    <s v="W10684267"/>
    <s v="Placas de Controle"/>
    <x v="2"/>
    <n v="5"/>
    <n v="5003024"/>
    <s v="RODOBRAS TRANSPORTES RODOVIARIOS LT"/>
    <n v="818.95"/>
    <d v="2025-01-16T00:00:00"/>
  </r>
  <r>
    <n v="253919013"/>
    <n v="64693215"/>
    <s v="ROB"/>
    <n v="9821812"/>
    <n v="671"/>
    <s v="DEV-ENVIADO PARA GESTÃO DE CONSEQUENCIA"/>
    <s v="TRANSPORTADORA"/>
    <x v="1"/>
    <n v="32856"/>
    <s v="REFRIGERACAO DUFRIO"/>
    <s v="PR"/>
    <n v="713"/>
    <s v="Key Account"/>
    <n v="1350"/>
    <s v="W10684267"/>
    <s v="Placas de Controle"/>
    <x v="2"/>
    <n v="4"/>
    <n v="5003024"/>
    <s v="RODOBRAS TRANSPORTES RODOVIARIOS LT"/>
    <n v="655.16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0615565"/>
    <s v="Bandejas"/>
    <x v="1"/>
    <n v="10"/>
    <n v="5003024"/>
    <s v="RODOBRAS TRANSPORTES RODOVIARIOS LT"/>
    <n v="85.17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0686100"/>
    <s v="Placas de Controle"/>
    <x v="2"/>
    <n v="1"/>
    <n v="5003024"/>
    <s v="RODOBRAS TRANSPORTES RODOVIARIOS LT"/>
    <n v="147.31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0553787"/>
    <s v="Motores Ventiladores"/>
    <x v="2"/>
    <n v="2"/>
    <n v="5003024"/>
    <s v="RODOBRAS TRANSPORTES RODOVIARIOS LT"/>
    <n v="173.49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1196470"/>
    <s v="Placas de Interface"/>
    <x v="2"/>
    <n v="2"/>
    <n v="5003024"/>
    <s v="RODOBRAS TRANSPORTES RODOVIARIOS LT"/>
    <n v="293.66000000000003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n v="326014231"/>
    <s v="Evaporadores"/>
    <x v="0"/>
    <n v="2"/>
    <n v="5003024"/>
    <s v="RODOBRAS TRANSPORTES RODOVIARIOS LT"/>
    <n v="288.33999999999997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1352536"/>
    <s v="Placas de Controle"/>
    <x v="2"/>
    <n v="3"/>
    <n v="5003024"/>
    <s v="RODOBRAS TRANSPORTES RODOVIARIOS LT"/>
    <n v="227.25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1458014"/>
    <s v="Placas de Controle"/>
    <x v="2"/>
    <n v="4"/>
    <n v="5003024"/>
    <s v="RODOBRAS TRANSPORTES RODOVIARIOS LT"/>
    <n v="964.3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1366400"/>
    <s v="Placas de Controle"/>
    <x v="2"/>
    <n v="1"/>
    <n v="5003024"/>
    <s v="RODOBRAS TRANSPORTES RODOVIARIOS LT"/>
    <n v="216.09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n v="326004792"/>
    <s v="Suportes"/>
    <x v="3"/>
    <n v="3"/>
    <n v="5003024"/>
    <s v="RODOBRAS TRANSPORTES RODOVIARIOS LT"/>
    <n v="42.44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n v="326003301"/>
    <s v="Recipientes de Evaporação"/>
    <x v="1"/>
    <n v="1"/>
    <n v="5003024"/>
    <s v="RODOBRAS TRANSPORTES RODOVIARIOS LT"/>
    <n v="23.74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n v="326065990"/>
    <s v="Recipientes de Evaporação"/>
    <x v="1"/>
    <n v="2"/>
    <n v="5003024"/>
    <s v="RODOBRAS TRANSPORTES RODOVIARIOS LT"/>
    <n v="19.47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0168510"/>
    <s v="Motores Ventiladores"/>
    <x v="2"/>
    <n v="4"/>
    <n v="5003024"/>
    <s v="RODOBRAS TRANSPORTES RODOVIARIOS LT"/>
    <n v="165.92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0333433"/>
    <s v="Painéis de Controle"/>
    <x v="3"/>
    <n v="1"/>
    <n v="5003024"/>
    <s v="RODOBRAS TRANSPORTES RODOVIARIOS LT"/>
    <n v="19.7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s v="W10257566"/>
    <s v="Fusíveis/Fusíveis térmicos"/>
    <x v="2"/>
    <n v="9"/>
    <n v="5003024"/>
    <s v="RODOBRAS TRANSPORTES RODOVIARIOS LT"/>
    <n v="80.8"/>
    <d v="2025-01-16T00:00:00"/>
  </r>
  <r>
    <n v="253919014"/>
    <n v="64693216"/>
    <s v="ROB"/>
    <n v="9821813"/>
    <n v="671"/>
    <s v="DEV-ENVIADO PARA GESTÃO DE CONSEQUENCIA"/>
    <s v="TRANSPORTADORA"/>
    <x v="1"/>
    <n v="32856"/>
    <s v="REFRIGERACAO DUFRIO"/>
    <s v="PR"/>
    <n v="713"/>
    <s v="Key Account"/>
    <n v="1350"/>
    <n v="326062041"/>
    <s v="Recipientes de Evaporação"/>
    <x v="1"/>
    <n v="9"/>
    <n v="5003024"/>
    <s v="RODOBRAS TRANSPORTES RODOVIARIOS LT"/>
    <n v="106.87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0912973"/>
    <s v="Placas de Controle"/>
    <x v="2"/>
    <n v="1"/>
    <n v="5003024"/>
    <s v="RODOBRAS TRANSPORTES RODOVIARIOS LT"/>
    <n v="264.33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0616687"/>
    <s v="Capas"/>
    <x v="3"/>
    <n v="8"/>
    <n v="5003024"/>
    <s v="RODOBRAS TRANSPORTES RODOVIARIOS LT"/>
    <n v="187.98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n v="326021045"/>
    <s v="Recipientes de Evaporação"/>
    <x v="1"/>
    <n v="5"/>
    <n v="5003024"/>
    <s v="RODOBRAS TRANSPORTES RODOVIARIOS LT"/>
    <n v="22.33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1240384"/>
    <s v="Placas de Controle"/>
    <x v="2"/>
    <n v="1"/>
    <n v="5003024"/>
    <s v="RODOBRAS TRANSPORTES RODOVIARIOS LT"/>
    <n v="88.38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0764578"/>
    <s v="Conjunto Varetas"/>
    <x v="11"/>
    <n v="19"/>
    <n v="5003024"/>
    <s v="RODOBRAS TRANSPORTES RODOVIARIOS LT"/>
    <n v="679.95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0333433"/>
    <s v="Painéis de Controle"/>
    <x v="3"/>
    <n v="1"/>
    <n v="5003024"/>
    <s v="RODOBRAS TRANSPORTES RODOVIARIOS LT"/>
    <n v="19.7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0591605"/>
    <s v="Placas de Controle"/>
    <x v="2"/>
    <n v="3"/>
    <n v="5003024"/>
    <s v="RODOBRAS TRANSPORTES RODOVIARIOS LT"/>
    <n v="644.57000000000005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n v="326061171"/>
    <s v="Placas de Controle"/>
    <x v="2"/>
    <n v="3"/>
    <n v="5003024"/>
    <s v="RODOBRAS TRANSPORTES RODOVIARIOS LT"/>
    <n v="678.03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s v="W11364881"/>
    <s v="Válvulas de Água"/>
    <x v="6"/>
    <n v="2"/>
    <n v="5003024"/>
    <s v="RODOBRAS TRANSPORTES RODOVIARIOS LT"/>
    <n v="45.68"/>
    <d v="2025-01-16T00:00:00"/>
  </r>
  <r>
    <n v="253919016"/>
    <n v="64693218"/>
    <s v="ROB"/>
    <n v="9821817"/>
    <n v="671"/>
    <s v="DEV-ENVIADO PARA GESTÃO DE CONSEQUENCIA"/>
    <s v="TRANSPORTADORA"/>
    <x v="1"/>
    <n v="32856"/>
    <s v="REFRIGERACAO DUFRIO"/>
    <s v="PR"/>
    <n v="713"/>
    <s v="Key Account"/>
    <n v="1350"/>
    <n v="326003319"/>
    <s v="Recipientes de Evaporação"/>
    <x v="1"/>
    <n v="2"/>
    <n v="5003024"/>
    <s v="RODOBRAS TRANSPORTES RODOVIARIOS LT"/>
    <n v="23.53"/>
    <d v="2025-01-16T00:00:00"/>
  </r>
  <r>
    <n v="253919017"/>
    <n v="64693219"/>
    <s v="ROB"/>
    <n v="9821818"/>
    <n v="671"/>
    <s v="DEV-ENVIADO PARA GESTÃO DE CONSEQUENCIA"/>
    <s v="TRANSPORTADORA"/>
    <x v="1"/>
    <n v="32856"/>
    <s v="REFRIGERACAO DUFRIO"/>
    <s v="PR"/>
    <n v="713"/>
    <s v="Key Account"/>
    <n v="1350"/>
    <s v="W11300698"/>
    <s v="Mecanismos"/>
    <x v="4"/>
    <n v="3"/>
    <n v="5003024"/>
    <s v="RODOBRAS TRANSPORTES RODOVIARIOS LT"/>
    <n v="661.17"/>
    <d v="2025-01-16T00:00:00"/>
  </r>
  <r>
    <n v="253919018"/>
    <n v="64693220"/>
    <s v="ROB"/>
    <n v="9821819"/>
    <n v="671"/>
    <s v="DEV-ENVIADO PARA GESTÃO DE CONSEQUENCIA"/>
    <s v="TRANSPORTADORA"/>
    <x v="1"/>
    <n v="32856"/>
    <s v="REFRIGERACAO DUFRIO"/>
    <s v="PR"/>
    <n v="713"/>
    <s v="Key Account"/>
    <n v="1350"/>
    <s v="W10678919"/>
    <s v="Placas de Controle"/>
    <x v="2"/>
    <n v="2"/>
    <n v="5003024"/>
    <s v="RODOBRAS TRANSPORTES RODOVIARIOS LT"/>
    <n v="120.97"/>
    <d v="2025-01-16T00:00:00"/>
  </r>
  <r>
    <n v="253919019"/>
    <n v="64693221"/>
    <s v="ROB"/>
    <n v="9821820"/>
    <n v="671"/>
    <s v="DEV-ENVIADO PARA GESTÃO DE CONSEQUENCIA"/>
    <s v="TRANSPORTADORA"/>
    <x v="1"/>
    <n v="32856"/>
    <s v="REFRIGERACAO DUFRIO"/>
    <s v="PR"/>
    <n v="713"/>
    <s v="Key Account"/>
    <n v="1350"/>
    <s v="W11299805"/>
    <s v="Mecanismos"/>
    <x v="4"/>
    <n v="7"/>
    <n v="5003024"/>
    <s v="RODOBRAS TRANSPORTES RODOVIARIOS LT"/>
    <n v="790.65"/>
    <d v="2025-01-16T00:00:00"/>
  </r>
  <r>
    <n v="253952274"/>
    <n v="64693387"/>
    <s v="REB"/>
    <n v="9823626"/>
    <n v="115"/>
    <s v="PEÇAS-Recusa do cliente"/>
    <s v="COMERCIAL"/>
    <x v="1"/>
    <n v="31790"/>
    <s v="TEIXEIRA &amp; TEIXEIRA COMERCIO"/>
    <s v="SP"/>
    <n v="350"/>
    <s v="Ats On"/>
    <n v="1350"/>
    <s v="W11046681"/>
    <s v="Outros"/>
    <x v="5"/>
    <n v="1"/>
    <n v="5004042"/>
    <s v="BRASIL WEB TRANSPORTES E LOGISTICA"/>
    <n v="157.19999999999999"/>
    <d v="2025-01-17T00:00:00"/>
  </r>
  <r>
    <n v="253922527"/>
    <n v="64694613"/>
    <s v="REB"/>
    <n v="9100105"/>
    <n v="173"/>
    <s v="PEÇAS - Defeito de fabric./Alta Amperage"/>
    <s v="FUNCIONAL"/>
    <x v="0"/>
    <n v="27770"/>
    <s v="JOSE IZIDORO SILVA REFRIGERACAO"/>
    <s v="AL"/>
    <n v="644"/>
    <s v="Plus"/>
    <n v="1350"/>
    <s v="W10855670"/>
    <s v="Placas de Controle"/>
    <x v="2"/>
    <n v="1"/>
    <n v="5004101"/>
    <s v="UNIDOCK'S ASSESSORIA E LOGISTICA DE"/>
    <n v="316.02"/>
    <d v="2025-01-20T00:00:00"/>
  </r>
  <r>
    <n v="253922548"/>
    <n v="64694758"/>
    <s v="REB"/>
    <n v="7763032"/>
    <n v="671"/>
    <s v="DEV-ENVIADO PARA GESTÃO DE CONSEQUENCIA"/>
    <s v="TRANSPORTADORA"/>
    <x v="1"/>
    <n v="34532"/>
    <s v="FRIOGASMAQ COMERCIAL LTDA"/>
    <s v="SC"/>
    <n v="350"/>
    <s v="Ats On"/>
    <n v="1350"/>
    <s v="W10393809"/>
    <s v="Compressores Herméticos"/>
    <x v="0"/>
    <n v="1"/>
    <n v="5003024"/>
    <s v="RODOBRAS TRANSPORTES RODOVIARIOS LT"/>
    <n v="306.35000000000002"/>
    <d v="2025-01-20T00:00:00"/>
  </r>
  <r>
    <n v="254058253"/>
    <n v="64694866"/>
    <s v="REB"/>
    <n v="9767620"/>
    <n v="104"/>
    <s v="PEÇAS-Código trocado(embalag X conteúdo)"/>
    <s v="LOGÍSTICA"/>
    <x v="2"/>
    <n v="46333"/>
    <s v="PARTNERS SERVICE COMERCIO E SERVICO"/>
    <s v="RJ"/>
    <n v="931"/>
    <s v="Ats Off"/>
    <n v="1350"/>
    <s v="W11687045"/>
    <s v="Tanques"/>
    <x v="1"/>
    <n v="1"/>
    <n v="5003176"/>
    <s v="J C THEDIN TRANSPORTES LTDA"/>
    <n v="247.29"/>
    <d v="2025-01-29T00:00:00"/>
  </r>
  <r>
    <n v="253922555"/>
    <n v="64695372"/>
    <s v="REB"/>
    <n v="9470124"/>
    <n v="177"/>
    <s v="PEÇAS - Defeito de fabric./Ruído"/>
    <s v="FUNCIONAL"/>
    <x v="1"/>
    <n v="42048"/>
    <s v="DUZZI CLIMATIZACAO E"/>
    <s v="MT"/>
    <n v="933"/>
    <s v="Top"/>
    <n v="1350"/>
    <s v="W11300676"/>
    <s v="Mecanismos"/>
    <x v="4"/>
    <n v="1"/>
    <n v="5002573"/>
    <s v="CARVALIMA TRANSPORTES LTDA"/>
    <n v="96.81"/>
    <d v="2025-01-20T00:00:00"/>
  </r>
  <r>
    <n v="253922527"/>
    <n v="64695569"/>
    <s v="REB"/>
    <n v="9417983"/>
    <n v="173"/>
    <s v="PEÇAS - Defeito de fabric./Alta Amperage"/>
    <s v="FUNCIONAL"/>
    <x v="0"/>
    <n v="27770"/>
    <s v="JOSE IZIDORO SILVA REFRIGERACAO"/>
    <s v="AL"/>
    <n v="644"/>
    <s v="Plus"/>
    <n v="1350"/>
    <s v="W11366400"/>
    <s v="Placas de Controle"/>
    <x v="2"/>
    <n v="1"/>
    <n v="5004101"/>
    <s v="UNIDOCK'S ASSESSORIA E LOGISTICA DE"/>
    <n v="320.36"/>
    <d v="2025-01-20T00:00:00"/>
  </r>
  <r>
    <s v="Sem TR"/>
    <n v="64697164"/>
    <s v="ROB"/>
    <n v="9789363"/>
    <n v="25"/>
    <s v="OC. 80 - EXTRAVIO TOTAL"/>
    <s v="TRANSPORTADORA"/>
    <x v="2"/>
    <n v="30172"/>
    <s v="MAXCLIMA REFRIGERACAO LTDA"/>
    <s v="SP"/>
    <n v="932"/>
    <s v="CDP Prata"/>
    <n v="1350"/>
    <s v="W10518616"/>
    <s v="Atuadores"/>
    <x v="4"/>
    <n v="5"/>
    <n v="5004101"/>
    <s v="UNIDOCK'S ASSESSORIA E LOGISTICA DE"/>
    <n v="155.22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0284848"/>
    <s v="Correias"/>
    <x v="4"/>
    <n v="5"/>
    <n v="5004101"/>
    <s v="UNIDOCK'S ASSESSORIA E LOGISTICA DE"/>
    <n v="177.27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0399715"/>
    <s v="Motores Ventiladores"/>
    <x v="2"/>
    <n v="5"/>
    <n v="5004101"/>
    <s v="UNIDOCK'S ASSESSORIA E LOGISTICA DE"/>
    <n v="227.15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0480665"/>
    <s v="Agitadores"/>
    <x v="4"/>
    <n v="10"/>
    <n v="5004101"/>
    <s v="UNIDOCK'S ASSESSORIA E LOGISTICA DE"/>
    <n v="151.28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0555140"/>
    <s v="Resistências"/>
    <x v="2"/>
    <n v="2"/>
    <n v="5004101"/>
    <s v="UNIDOCK'S ASSESSORIA E LOGISTICA DE"/>
    <n v="121.33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0721980"/>
    <s v="Motores Ventiladores"/>
    <x v="2"/>
    <n v="1"/>
    <n v="5004101"/>
    <s v="UNIDOCK'S ASSESSORIA E LOGISTICA DE"/>
    <n v="74.930000000000007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1112671"/>
    <s v="Interruptores horário"/>
    <x v="8"/>
    <n v="3"/>
    <n v="5004101"/>
    <s v="UNIDOCK'S ASSESSORIA E LOGISTICA DE"/>
    <n v="226.73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1363944"/>
    <s v="Capas"/>
    <x v="3"/>
    <n v="5"/>
    <n v="5004101"/>
    <s v="UNIDOCK'S ASSESSORIA E LOGISTICA DE"/>
    <n v="133.75"/>
    <d v="2025-01-22T00:00:00"/>
  </r>
  <r>
    <s v="Sem TR"/>
    <n v="64697167"/>
    <s v="ROB"/>
    <n v="9803470"/>
    <n v="25"/>
    <s v="OC. 80 - EXTRAVIO TOTAL"/>
    <s v="TRANSPORTADORA"/>
    <x v="2"/>
    <n v="82252"/>
    <s v="MACALE PECAS LTDA"/>
    <s v="SP"/>
    <n v="934"/>
    <s v="CDP Ouro"/>
    <n v="1350"/>
    <s v="W11498695"/>
    <s v="Capas"/>
    <x v="3"/>
    <n v="5"/>
    <n v="5004101"/>
    <s v="UNIDOCK'S ASSESSORIA E LOGISTICA DE"/>
    <n v="288.70999999999998"/>
    <d v="2025-01-22T00:00:00"/>
  </r>
  <r>
    <s v="Sem TR"/>
    <n v="64697168"/>
    <s v="ROB"/>
    <n v="9803471"/>
    <n v="25"/>
    <s v="OC. 80 - EXTRAVIO TOTAL"/>
    <s v="TRANSPORTADORA"/>
    <x v="2"/>
    <n v="82252"/>
    <s v="MACALE PECAS LTDA"/>
    <s v="SP"/>
    <n v="934"/>
    <s v="CDP Ouro"/>
    <n v="1350"/>
    <s v="W11633905"/>
    <s v="Outros"/>
    <x v="5"/>
    <n v="2"/>
    <n v="5004101"/>
    <s v="UNIDOCK'S ASSESSORIA E LOGISTICA DE"/>
    <n v="55.31"/>
    <d v="2025-01-22T00:00:00"/>
  </r>
  <r>
    <s v="Sem TR"/>
    <n v="64697412"/>
    <s v="ROB"/>
    <n v="9811218"/>
    <n v="221"/>
    <s v="DEV-Sinistro - SEGURO"/>
    <s v="TRANSPORTADORA"/>
    <x v="2"/>
    <n v="76307"/>
    <s v="VIVIANE EBERT WEBER"/>
    <s v="SC"/>
    <n v="350"/>
    <s v="Ats On"/>
    <n v="1350"/>
    <s v="W10169457"/>
    <s v="Prateleiras"/>
    <x v="1"/>
    <n v="2"/>
    <n v="5003024"/>
    <s v="RODOBRAS TRANSPORTES RODOVIARIOS LT"/>
    <n v="69.47"/>
    <d v="2025-01-28T00:00:00"/>
  </r>
  <r>
    <s v="Sem TR"/>
    <n v="64697412"/>
    <s v="ROB"/>
    <n v="9811218"/>
    <n v="221"/>
    <s v="DEV-Sinistro - SEGURO"/>
    <s v="TRANSPORTADORA"/>
    <x v="2"/>
    <n v="76307"/>
    <s v="VIVIANE EBERT WEBER"/>
    <s v="SC"/>
    <n v="350"/>
    <s v="Ats On"/>
    <n v="1350"/>
    <s v="W10169459"/>
    <s v="Prateleiras"/>
    <x v="1"/>
    <n v="4"/>
    <n v="5003024"/>
    <s v="RODOBRAS TRANSPORTES RODOVIARIOS LT"/>
    <n v="70.59"/>
    <d v="2025-01-28T00:00:00"/>
  </r>
  <r>
    <s v="Sem TR"/>
    <n v="64697413"/>
    <s v="ROB"/>
    <n v="9817170"/>
    <n v="221"/>
    <s v="DEV-Sinistro - SEGURO"/>
    <s v="TRANSPORTADORA"/>
    <x v="2"/>
    <n v="46743"/>
    <s v="CASA DA COZINHA PECAS E ACESSORIOS"/>
    <s v="SC"/>
    <n v="350"/>
    <s v="Ats On"/>
    <n v="1350"/>
    <s v="W11551361"/>
    <s v="Peças Mecanismos"/>
    <x v="4"/>
    <n v="1"/>
    <n v="5003024"/>
    <s v="RODOBRAS TRANSPORTES RODOVIARIOS LT"/>
    <n v="10.32"/>
    <d v="2025-01-28T00:00:00"/>
  </r>
  <r>
    <s v="Sem TR"/>
    <n v="64697413"/>
    <s v="ROB"/>
    <n v="9817170"/>
    <n v="221"/>
    <s v="DEV-Sinistro - SEGURO"/>
    <s v="TRANSPORTADORA"/>
    <x v="2"/>
    <n v="46743"/>
    <s v="CASA DA COZINHA PECAS E ACESSORIOS"/>
    <s v="SC"/>
    <n v="350"/>
    <s v="Ats On"/>
    <n v="1350"/>
    <s v="W11448418"/>
    <s v="Polias/Roldanas"/>
    <x v="4"/>
    <n v="1"/>
    <n v="5003024"/>
    <s v="RODOBRAS TRANSPORTES RODOVIARIOS LT"/>
    <n v="8.82"/>
    <d v="2025-01-28T00:00:00"/>
  </r>
  <r>
    <n v="253931018"/>
    <n v="64698242"/>
    <s v="REB"/>
    <n v="9719408"/>
    <n v="177"/>
    <s v="PEÇAS - Defeito de fabric./Ruído"/>
    <s v="FUNCIONAL"/>
    <x v="1"/>
    <n v="8975"/>
    <s v="FORT CENTER REFRIGERACAO LTDA"/>
    <s v="MA"/>
    <n v="931"/>
    <s v="Ats Off"/>
    <n v="1350"/>
    <s v="W10764578"/>
    <s v="Conjunto Varetas"/>
    <x v="11"/>
    <n v="1"/>
    <n v="5004101"/>
    <s v="UNIDOCK'S ASSESSORIA E LOGISTICA DE"/>
    <n v="36"/>
    <d v="2025-01-31T00:00:00"/>
  </r>
  <r>
    <n v="253925161"/>
    <n v="64698732"/>
    <s v="ROB"/>
    <n v="9779788"/>
    <n v="268"/>
    <s v="DEV-APREENSÃO FISCAL - VENDAS"/>
    <s v="COMERCIAL"/>
    <x v="1"/>
    <n v="67561"/>
    <s v="REGINALDO MENDES RIBEIRO"/>
    <s v="CE"/>
    <n v="934"/>
    <s v="CDP Ouro"/>
    <n v="1350"/>
    <n v="326014231"/>
    <s v="Evaporadores"/>
    <x v="0"/>
    <n v="2"/>
    <n v="5004101"/>
    <s v="UNIDOCK'S ASSESSORIA E LOGISTICA DE"/>
    <n v="317.18"/>
    <d v="2025-01-28T00:00:00"/>
  </r>
  <r>
    <n v="253925162"/>
    <n v="64698733"/>
    <s v="ROB"/>
    <n v="9779789"/>
    <n v="268"/>
    <s v="DEV-APREENSÃO FISCAL - VENDAS"/>
    <s v="COMERCIAL"/>
    <x v="1"/>
    <n v="67561"/>
    <s v="REGINALDO MENDES RIBEIRO"/>
    <s v="CE"/>
    <n v="934"/>
    <s v="CDP Ouro"/>
    <n v="1350"/>
    <s v="W10211808"/>
    <s v="Evaporadores"/>
    <x v="0"/>
    <n v="2"/>
    <n v="5004101"/>
    <s v="UNIDOCK'S ASSESSORIA E LOGISTICA DE"/>
    <n v="261.24"/>
    <d v="2025-01-28T00:00:00"/>
  </r>
  <r>
    <n v="253926988"/>
    <n v="64699380"/>
    <s v="REB"/>
    <n v="9691833"/>
    <n v="104"/>
    <s v="PEÇAS-Código trocado(embalag X conteúdo)"/>
    <s v="LOGÍSTICA"/>
    <x v="1"/>
    <n v="52095"/>
    <s v="FRIGELAR COMERCIO E INDUSTRIA LTDA"/>
    <s v="MG"/>
    <n v="713"/>
    <s v="Key Account"/>
    <n v="1350"/>
    <s v="W10399715"/>
    <s v="Motores Ventiladores"/>
    <x v="2"/>
    <n v="150"/>
    <n v="5004215"/>
    <s v="BRASIL WEB TRANSPORTES E LOGISTICA"/>
    <n v="5662.8"/>
    <d v="2025-01-27T00:00:00"/>
  </r>
  <r>
    <s v="Sem TR"/>
    <n v="64699487"/>
    <s v="REB"/>
    <n v="9788311"/>
    <n v="671"/>
    <s v="DEV-ENVIADO PARA GESTÃO DE CONSEQUENCIA"/>
    <s v="TRANSPORTADORA"/>
    <x v="1"/>
    <n v="5011"/>
    <s v="GIANI PECAS E SERVICOS PARA"/>
    <s v="RS"/>
    <n v="350"/>
    <s v="Ats On"/>
    <n v="1350"/>
    <s v="W10905603"/>
    <s v="Sensores"/>
    <x v="8"/>
    <n v="1"/>
    <n v="5003024"/>
    <s v="RODOBRAS TRANSPORTES RODOVIARIOS LT"/>
    <n v="24.7"/>
    <d v="2025-01-24T00:00:00"/>
  </r>
  <r>
    <s v="Sem TR"/>
    <n v="64699488"/>
    <s v="REB"/>
    <n v="9788312"/>
    <n v="671"/>
    <s v="DEV-ENVIADO PARA GESTÃO DE CONSEQUENCIA"/>
    <s v="TRANSPORTADORA"/>
    <x v="1"/>
    <n v="5011"/>
    <s v="GIANI PECAS E SERVICOS PARA"/>
    <s v="RS"/>
    <n v="350"/>
    <s v="Ats On"/>
    <n v="1350"/>
    <n v="326075385"/>
    <s v="Resistências"/>
    <x v="2"/>
    <n v="1"/>
    <n v="5003024"/>
    <s v="RODOBRAS TRANSPORTES RODOVIARIOS LT"/>
    <n v="78.7"/>
    <d v="2025-01-24T00:00:00"/>
  </r>
  <r>
    <n v="253926895"/>
    <n v="64700023"/>
    <s v="REB"/>
    <n v="9798399"/>
    <n v="173"/>
    <s v="PEÇAS - Defeito de fabric./Alta Amperage"/>
    <s v="FUNCIONAL"/>
    <x v="1"/>
    <n v="9452"/>
    <s v="MULTICENTER COMERCIO E SERVICOS"/>
    <s v="SP"/>
    <n v="931"/>
    <s v="Ats Off"/>
    <n v="1350"/>
    <s v="W10585027"/>
    <s v="Bombas"/>
    <x v="2"/>
    <n v="1"/>
    <n v="5003254"/>
    <s v="TMA TRANSPORTE LOTACAO E LOGISTICA"/>
    <n v="143.1"/>
    <d v="2025-01-27T00:00:00"/>
  </r>
  <r>
    <n v="253926992"/>
    <n v="64700588"/>
    <s v="REB"/>
    <n v="9788731"/>
    <n v="90"/>
    <s v="CLIENTE-não solicitou"/>
    <s v="COMERCIAL"/>
    <x v="1"/>
    <n v="55007"/>
    <s v="FRIOVIX COMERCIO DE"/>
    <s v="PB"/>
    <n v="713"/>
    <s v="Key Account"/>
    <n v="1350"/>
    <s v="W11300675"/>
    <s v="Mecanismos"/>
    <x v="4"/>
    <n v="1"/>
    <n v="5004101"/>
    <s v="UNIDOCK'S ASSESSORIA E LOGISTICA DE"/>
    <n v="97.78"/>
    <d v="2025-01-27T00:00:00"/>
  </r>
  <r>
    <n v="253924898"/>
    <n v="64700829"/>
    <s v="ZRVP"/>
    <n v="9744121"/>
    <n v="268"/>
    <s v="DEV-APREENSÃO FISCAL - VENDAS"/>
    <s v="COMERCIAL"/>
    <x v="1"/>
    <n v="64793"/>
    <s v="RITA DA COSTA FERREIRA ROSA"/>
    <s v="CE"/>
    <n v="934"/>
    <s v="CDP Ouro"/>
    <n v="1350"/>
    <s v="W10897149"/>
    <s v="Rolamentos"/>
    <x v="4"/>
    <n v="22"/>
    <n v="5004101"/>
    <s v="UNIDOCK'S ASSESSORIA E LOGISTICA DE"/>
    <n v="197.32"/>
    <d v="2025-01-27T00:00:00"/>
  </r>
  <r>
    <n v="253924900"/>
    <n v="64700831"/>
    <s v="ROB"/>
    <n v="9776572"/>
    <n v="268"/>
    <s v="DEV-APREENSÃO FISCAL - VENDAS"/>
    <s v="COMERCIAL"/>
    <x v="1"/>
    <n v="67561"/>
    <s v="REGINALDO MENDES RIBEIRO"/>
    <s v="CE"/>
    <n v="934"/>
    <s v="CDP Ouro"/>
    <n v="1350"/>
    <s v="W11299805"/>
    <s v="Mecanismos"/>
    <x v="4"/>
    <n v="1"/>
    <n v="5004101"/>
    <s v="UNIDOCK'S ASSESSORIA E LOGISTICA DE"/>
    <n v="125.27"/>
    <d v="2025-01-27T00:00:00"/>
  </r>
  <r>
    <n v="253924901"/>
    <n v="64700832"/>
    <s v="ROB"/>
    <n v="9776573"/>
    <n v="268"/>
    <s v="DEV-APREENSÃO FISCAL - VENDAS"/>
    <s v="COMERCIAL"/>
    <x v="1"/>
    <n v="67561"/>
    <s v="REGINALDO MENDES RIBEIRO"/>
    <s v="CE"/>
    <n v="934"/>
    <s v="CDP Ouro"/>
    <n v="1350"/>
    <n v="326029919"/>
    <s v="Gaxetas"/>
    <x v="10"/>
    <n v="5"/>
    <n v="5004101"/>
    <s v="UNIDOCK'S ASSESSORIA E LOGISTICA DE"/>
    <n v="235.63"/>
    <d v="2025-01-27T00:00:00"/>
  </r>
  <r>
    <n v="253924901"/>
    <n v="64700832"/>
    <s v="ROB"/>
    <n v="9776573"/>
    <n v="268"/>
    <s v="DEV-APREENSÃO FISCAL - VENDAS"/>
    <s v="COMERCIAL"/>
    <x v="1"/>
    <n v="67561"/>
    <s v="REGINALDO MENDES RIBEIRO"/>
    <s v="CE"/>
    <n v="934"/>
    <s v="CDP Ouro"/>
    <n v="1350"/>
    <s v="W10223009"/>
    <s v="Gaxetas"/>
    <x v="10"/>
    <n v="5"/>
    <n v="5004101"/>
    <s v="UNIDOCK'S ASSESSORIA E LOGISTICA DE"/>
    <n v="207.85"/>
    <d v="2025-01-27T00:00:00"/>
  </r>
  <r>
    <n v="253924901"/>
    <n v="64700832"/>
    <s v="ROB"/>
    <n v="9776573"/>
    <n v="268"/>
    <s v="DEV-APREENSÃO FISCAL - VENDAS"/>
    <s v="COMERCIAL"/>
    <x v="1"/>
    <n v="67561"/>
    <s v="REGINALDO MENDES RIBEIRO"/>
    <s v="CE"/>
    <n v="934"/>
    <s v="CDP Ouro"/>
    <n v="1350"/>
    <s v="W10581537"/>
    <s v="Pressostatos"/>
    <x v="8"/>
    <n v="10"/>
    <n v="5004101"/>
    <s v="UNIDOCK'S ASSESSORIA E LOGISTICA DE"/>
    <n v="199.85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0171528"/>
    <s v="Pressostatos"/>
    <x v="8"/>
    <n v="10"/>
    <n v="5004101"/>
    <s v="UNIDOCK'S ASSESSORIA E LOGISTICA DE"/>
    <n v="271.63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0212441"/>
    <s v="Prateleiras"/>
    <x v="1"/>
    <n v="2"/>
    <n v="5004101"/>
    <s v="UNIDOCK'S ASSESSORIA E LOGISTICA DE"/>
    <n v="39.82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0268573"/>
    <s v="Gaxetas"/>
    <x v="10"/>
    <n v="5"/>
    <n v="5004101"/>
    <s v="UNIDOCK'S ASSESSORIA E LOGISTICA DE"/>
    <n v="179.77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0471600"/>
    <s v="Embalagens Papelão"/>
    <x v="12"/>
    <n v="9"/>
    <n v="5004101"/>
    <s v="UNIDOCK'S ASSESSORIA E LOGISTICA DE"/>
    <n v="116.24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0721910"/>
    <s v="Pressostatos"/>
    <x v="8"/>
    <n v="10"/>
    <n v="5004101"/>
    <s v="UNIDOCK'S ASSESSORIA E LOGISTICA DE"/>
    <n v="202.71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1082454"/>
    <s v="Termostatos"/>
    <x v="8"/>
    <n v="5"/>
    <n v="5004101"/>
    <s v="UNIDOCK'S ASSESSORIA E LOGISTICA DE"/>
    <n v="248.42"/>
    <d v="2025-01-27T00:00:00"/>
  </r>
  <r>
    <n v="253924902"/>
    <n v="64700833"/>
    <s v="ROB"/>
    <n v="9776571"/>
    <n v="268"/>
    <s v="DEV-APREENSÃO FISCAL - VENDAS"/>
    <s v="COMERCIAL"/>
    <x v="1"/>
    <n v="67561"/>
    <s v="REGINALDO MENDES RIBEIRO"/>
    <s v="CE"/>
    <n v="934"/>
    <s v="CDP Ouro"/>
    <n v="1350"/>
    <s v="W11485343"/>
    <s v="Placas de Controle"/>
    <x v="2"/>
    <n v="1"/>
    <n v="5004101"/>
    <s v="UNIDOCK'S ASSESSORIA E LOGISTICA DE"/>
    <n v="405.98"/>
    <d v="2025-01-27T00:00:00"/>
  </r>
  <r>
    <s v="Sem TR"/>
    <n v="64701481"/>
    <s v="REB"/>
    <n v="9753566"/>
    <n v="125"/>
    <s v="DEV-Extravio de produto (Transportadora)"/>
    <s v="TRANSPORTADORA"/>
    <x v="2"/>
    <n v="81373"/>
    <s v="M. M. DA S. MOURA"/>
    <s v="BA"/>
    <n v="350"/>
    <s v="Ats On"/>
    <n v="1350"/>
    <s v="W10730984"/>
    <s v="Gaxetas"/>
    <x v="10"/>
    <n v="5"/>
    <n v="5004101"/>
    <s v="UNIDOCK'S ASSESSORIA E LOGISTICA DE"/>
    <n v="172.85"/>
    <d v="2025-01-28T00:00:00"/>
  </r>
  <r>
    <s v="Sem TR"/>
    <n v="64701905"/>
    <s v="ROB"/>
    <n v="9817204"/>
    <n v="221"/>
    <s v="DEV-Sinistro - SEGURO"/>
    <s v="TRANSPORTADORA"/>
    <x v="2"/>
    <n v="72786"/>
    <s v="FRIOLAR CONSERTOS DE"/>
    <s v="SC"/>
    <n v="643"/>
    <s v="Elite"/>
    <n v="1350"/>
    <s v="W11347049"/>
    <s v="Bombas"/>
    <x v="2"/>
    <n v="5"/>
    <n v="5003024"/>
    <s v="RODOBRAS TRANSPORTES RODOVIARIOS LT"/>
    <n v="589.14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n v="4197305"/>
    <s v="Dobradiças"/>
    <x v="7"/>
    <n v="10"/>
    <n v="5003024"/>
    <s v="RODOBRAS TRANSPORTES RODOVIARIOS LT"/>
    <n v="330.9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s v="W10284848"/>
    <s v="Correias"/>
    <x v="4"/>
    <n v="6"/>
    <n v="5003024"/>
    <s v="RODOBRAS TRANSPORTES RODOVIARIOS LT"/>
    <n v="211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s v="W10367622"/>
    <s v="Gaxetas"/>
    <x v="10"/>
    <n v="5"/>
    <n v="5003024"/>
    <s v="RODOBRAS TRANSPORTES RODOVIARIOS LT"/>
    <n v="207.45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s v="W10367623"/>
    <s v="Gaxetas"/>
    <x v="10"/>
    <n v="5"/>
    <n v="5003024"/>
    <s v="RODOBRAS TRANSPORTES RODOVIARIOS LT"/>
    <n v="207.45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s v="W10897149"/>
    <s v="Rolamentos"/>
    <x v="4"/>
    <n v="50"/>
    <n v="5003024"/>
    <s v="RODOBRAS TRANSPORTES RODOVIARIOS LT"/>
    <n v="453.84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s v="W10905134"/>
    <s v="Placas de Controle"/>
    <x v="2"/>
    <n v="2"/>
    <n v="5003024"/>
    <s v="RODOBRAS TRANSPORTES RODOVIARIOS LT"/>
    <n v="439.7"/>
    <d v="2025-01-28T00:00:00"/>
  </r>
  <r>
    <s v="Sem TR"/>
    <n v="64701906"/>
    <s v="ROB"/>
    <n v="9817208"/>
    <n v="221"/>
    <s v="DEV-Sinistro - SEGURO"/>
    <s v="TRANSPORTADORA"/>
    <x v="2"/>
    <n v="76503"/>
    <s v="DALL AGNOL E JANESCO REFRIGERACAO"/>
    <s v="SC"/>
    <n v="932"/>
    <s v="CDP Prata"/>
    <n v="1350"/>
    <s v="W11049118"/>
    <s v="Placas de Controle"/>
    <x v="2"/>
    <n v="2"/>
    <n v="5003024"/>
    <s v="RODOBRAS TRANSPORTES RODOVIARIOS LT"/>
    <n v="160.13999999999999"/>
    <d v="2025-01-28T00:00:00"/>
  </r>
  <r>
    <s v="Sem TR"/>
    <n v="64701908"/>
    <s v="ROB"/>
    <n v="9817404"/>
    <n v="221"/>
    <s v="DEV-Sinistro - SEGURO"/>
    <s v="TRANSPORTADORA"/>
    <x v="2"/>
    <n v="47475"/>
    <s v="RECK &amp; CIA LTDA"/>
    <s v="SC"/>
    <n v="350"/>
    <s v="Ats On"/>
    <n v="1350"/>
    <s v="W11300695"/>
    <s v="Mecanismos"/>
    <x v="4"/>
    <n v="5"/>
    <n v="5003024"/>
    <s v="RODOBRAS TRANSPORTES RODOVIARIOS LT"/>
    <n v="945.9"/>
    <d v="2025-01-28T00:00:00"/>
  </r>
  <r>
    <s v="Sem TR"/>
    <n v="64701909"/>
    <s v="ROB"/>
    <n v="9817420"/>
    <n v="221"/>
    <s v="DEV-Sinistro - SEGURO"/>
    <s v="TRANSPORTADORA"/>
    <x v="2"/>
    <n v="76307"/>
    <s v="VIVIANE EBERT WEBER"/>
    <s v="SC"/>
    <n v="350"/>
    <s v="Ats On"/>
    <n v="1350"/>
    <s v="W10709306"/>
    <s v="Placas de Controle"/>
    <x v="2"/>
    <n v="2"/>
    <n v="5003024"/>
    <s v="RODOBRAS TRANSPORTES RODOVIARIOS LT"/>
    <n v="284.64999999999998"/>
    <d v="2025-01-28T00:00:00"/>
  </r>
  <r>
    <s v="Sem TR"/>
    <n v="64701910"/>
    <s v="ROB"/>
    <n v="9818784"/>
    <n v="221"/>
    <s v="DEV-Sinistro - SEGURO"/>
    <s v="TRANSPORTADORA"/>
    <x v="2"/>
    <n v="72786"/>
    <s v="FRIOLAR CONSERTOS DE"/>
    <s v="SC"/>
    <n v="643"/>
    <s v="Elite"/>
    <n v="1350"/>
    <s v="W10722472"/>
    <s v="Bombas"/>
    <x v="2"/>
    <n v="8"/>
    <n v="5003024"/>
    <s v="RODOBRAS TRANSPORTES RODOVIARIOS LT"/>
    <n v="546.15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0446925"/>
    <s v="Placas de Controle"/>
    <x v="2"/>
    <n v="2"/>
    <n v="5003024"/>
    <s v="RODOBRAS TRANSPORTES RODOVIARIOS LT"/>
    <n v="240.64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1161217"/>
    <s v="Placas de Controle"/>
    <x v="2"/>
    <n v="1"/>
    <n v="5003024"/>
    <s v="RODOBRAS TRANSPORTES RODOVIARIOS LT"/>
    <n v="293.89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1254865"/>
    <s v="Mecanismos"/>
    <x v="4"/>
    <n v="3"/>
    <n v="5003024"/>
    <s v="RODOBRAS TRANSPORTES RODOVIARIOS LT"/>
    <n v="533.85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1299803"/>
    <s v="Mecanismos"/>
    <x v="4"/>
    <n v="5"/>
    <n v="5003024"/>
    <s v="RODOBRAS TRANSPORTES RODOVIARIOS LT"/>
    <n v="466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1299805"/>
    <s v="Mecanismos"/>
    <x v="4"/>
    <n v="2"/>
    <n v="5003024"/>
    <s v="RODOBRAS TRANSPORTES RODOVIARIOS LT"/>
    <n v="251.16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1574388"/>
    <s v="Capacitores"/>
    <x v="2"/>
    <n v="6"/>
    <n v="5003024"/>
    <s v="RODOBRAS TRANSPORTES RODOVIARIOS LT"/>
    <n v="75.06"/>
    <d v="2025-01-28T00:00:00"/>
  </r>
  <r>
    <s v="Sem TR"/>
    <n v="64701913"/>
    <s v="ROB"/>
    <n v="9818893"/>
    <n v="221"/>
    <s v="DEV-Sinistro - SEGURO"/>
    <s v="TRANSPORTADORA"/>
    <x v="2"/>
    <n v="66743"/>
    <s v="JONAS EDUARDO FINGER"/>
    <s v="SC"/>
    <n v="932"/>
    <s v="CDP Prata"/>
    <n v="1350"/>
    <s v="W11647662"/>
    <s v="Compressores Herméticos"/>
    <x v="0"/>
    <n v="1"/>
    <n v="5003024"/>
    <s v="RODOBRAS TRANSPORTES RODOVIARIOS LT"/>
    <n v="331.3"/>
    <d v="2025-01-28T00:00:00"/>
  </r>
  <r>
    <n v="253931308"/>
    <n v="64702016"/>
    <s v="REB"/>
    <n v="9769715"/>
    <n v="104"/>
    <s v="PEÇAS-Código trocado(embalag X conteúdo)"/>
    <s v="LOGÍSTICA"/>
    <x v="1"/>
    <n v="28564"/>
    <s v="TOCANTINS SERVICOS E COMERCIO DE RE"/>
    <s v="PA"/>
    <n v="350"/>
    <s v="Ats On"/>
    <n v="1350"/>
    <s v="W11745349"/>
    <s v="Outros"/>
    <x v="5"/>
    <n v="1"/>
    <n v="5002858"/>
    <s v="FAVORITA TRANSPORTES LTDA"/>
    <n v="208.63"/>
    <d v="2025-01-29T00:00:00"/>
  </r>
  <r>
    <s v="Sem TR"/>
    <n v="64702017"/>
    <s v="REB"/>
    <n v="9802129"/>
    <n v="170"/>
    <s v="PEÇAS - Avaria - Riscada/Depósito"/>
    <s v="LOGÍSTICA"/>
    <x v="1"/>
    <n v="24994"/>
    <s v="ROSA MARIA CORREA RIBEIRO &amp; CIA LT"/>
    <s v="MG"/>
    <n v="350"/>
    <s v="Ats On"/>
    <n v="1350"/>
    <s v="W11342044"/>
    <s v="Vidros"/>
    <x v="3"/>
    <n v="1"/>
    <n v="5004215"/>
    <s v="BRASIL WEB TRANSPORTES E LOGISTICA"/>
    <n v="183.81"/>
    <d v="2025-01-29T00:00:00"/>
  </r>
  <r>
    <s v="Sem TR"/>
    <n v="64702024"/>
    <s v="REB"/>
    <n v="9766712"/>
    <n v="165"/>
    <s v="PEÇAS - Defeito de fabric./Incompleta"/>
    <s v="FUNCIONAL"/>
    <x v="1"/>
    <n v="87240"/>
    <s v="SOLUCAO MULTI CAMPOS ASSISTENCIA"/>
    <s v="RJ"/>
    <n v="350"/>
    <s v="Ats On"/>
    <n v="1350"/>
    <s v="W10706137"/>
    <s v="Válvulas de Água"/>
    <x v="6"/>
    <n v="1"/>
    <n v="5003176"/>
    <s v="J C THEDIN TRANSPORTES LTDA"/>
    <n v="44.56"/>
    <d v="2025-01-29T00:00:00"/>
  </r>
  <r>
    <s v="Sem TR"/>
    <n v="64702152"/>
    <s v="REB"/>
    <n v="9815135"/>
    <n v="671"/>
    <s v="DEV-ENVIADO PARA GESTÃO DE CONSEQUENCIA"/>
    <s v="TRANSPORTADORA"/>
    <x v="1"/>
    <n v="68085"/>
    <s v="REFRIGERACAO BASSO SJC LTDA"/>
    <s v="SP"/>
    <n v="643"/>
    <s v="Elite"/>
    <n v="1350"/>
    <s v="W10237733"/>
    <s v="Dobradiças"/>
    <x v="7"/>
    <n v="5"/>
    <n v="5004042"/>
    <s v="BRASIL WEB TRANSPORTES E LOGISTICA"/>
    <n v="47"/>
    <d v="2025-01-29T00:00:00"/>
  </r>
  <r>
    <s v="Sem TR"/>
    <n v="64702343"/>
    <s v="REB"/>
    <n v="9836413"/>
    <n v="109"/>
    <s v="PEÇAS-Erro de catálogo/BT"/>
    <s v="ENGENHARIA"/>
    <x v="1"/>
    <n v="83387"/>
    <s v="METTA COMERCIO E SERVICOS LTDA"/>
    <s v="RJ"/>
    <n v="350"/>
    <s v="Ats On"/>
    <n v="1350"/>
    <s v="W10806305"/>
    <s v="Placas de Controle"/>
    <x v="2"/>
    <n v="1"/>
    <n v="5003176"/>
    <s v="J C THEDIN TRANSPORTES LTDA"/>
    <n v="215.78"/>
    <d v="2025-02-07T00:00:00"/>
  </r>
  <r>
    <n v="253944068"/>
    <n v="64702652"/>
    <s v="REB"/>
    <n v="9600255"/>
    <n v="173"/>
    <s v="PEÇAS - Defeito de fabric./Alta Amperage"/>
    <s v="FUNCIONAL"/>
    <x v="1"/>
    <n v="61868"/>
    <s v="D L REFRIGERACOES PECAS E"/>
    <s v="MA"/>
    <n v="643"/>
    <s v="Elite"/>
    <n v="1350"/>
    <s v="W11435392"/>
    <s v="Placas de Controle"/>
    <x v="2"/>
    <n v="1"/>
    <n v="5004101"/>
    <s v="UNIDOCK'S ASSESSORIA E LOGISTICA DE"/>
    <n v="248.96"/>
    <d v="2025-02-11T00:00:00"/>
  </r>
  <r>
    <n v="253927633"/>
    <n v="64703190"/>
    <s v="REB"/>
    <n v="9837274"/>
    <n v="220"/>
    <s v="DEV-Avaria 1 trecho transp - Produto"/>
    <s v="QUALIDADE"/>
    <x v="1"/>
    <n v="27874"/>
    <s v="REFRIGERACAO ERECHIM COML TECNICA"/>
    <s v="RS"/>
    <n v="933"/>
    <s v="Top"/>
    <n v="1350"/>
    <n v="326047714"/>
    <s v="Prateleiras"/>
    <x v="1"/>
    <n v="1"/>
    <n v="5003024"/>
    <s v="RODOBRAS TRANSPORTES RODOVIARIOS LT"/>
    <n v="36.229999999999997"/>
    <d v="2025-01-30T00:00:00"/>
  </r>
  <r>
    <n v="253927633"/>
    <n v="64703190"/>
    <s v="REB"/>
    <n v="9837274"/>
    <n v="220"/>
    <s v="DEV-Avaria 1 trecho transp - Produto"/>
    <s v="QUALIDADE"/>
    <x v="1"/>
    <n v="27874"/>
    <s v="REFRIGERACAO ERECHIM COML TECNICA"/>
    <s v="RS"/>
    <n v="933"/>
    <s v="Top"/>
    <n v="1350"/>
    <s v="W10169459"/>
    <s v="Prateleiras"/>
    <x v="1"/>
    <n v="2"/>
    <n v="5003024"/>
    <s v="RODOBRAS TRANSPORTES RODOVIARIOS LT"/>
    <n v="33.76"/>
    <d v="2025-01-30T00:00:00"/>
  </r>
  <r>
    <n v="253927633"/>
    <n v="64703190"/>
    <s v="REB"/>
    <n v="9837274"/>
    <n v="220"/>
    <s v="DEV-Avaria 1 trecho transp - Produto"/>
    <s v="QUALIDADE"/>
    <x v="1"/>
    <n v="27874"/>
    <s v="REFRIGERACAO ERECHIM COML TECNICA"/>
    <s v="RS"/>
    <n v="933"/>
    <s v="Top"/>
    <n v="1350"/>
    <s v="W10347201"/>
    <s v="Prateleiras"/>
    <x v="1"/>
    <n v="2"/>
    <n v="5003024"/>
    <s v="RODOBRAS TRANSPORTES RODOVIARIOS LT"/>
    <n v="127.75"/>
    <d v="2025-01-30T00:00:00"/>
  </r>
  <r>
    <n v="253927633"/>
    <n v="64703190"/>
    <s v="REB"/>
    <n v="9837274"/>
    <n v="220"/>
    <s v="DEV-Avaria 1 trecho transp - Produto"/>
    <s v="QUALIDADE"/>
    <x v="1"/>
    <n v="27874"/>
    <s v="REFRIGERACAO ERECHIM COML TECNICA"/>
    <s v="RS"/>
    <n v="933"/>
    <s v="Top"/>
    <n v="1350"/>
    <s v="W10169464"/>
    <s v="Defletores/Difusores"/>
    <x v="6"/>
    <n v="2"/>
    <n v="5003024"/>
    <s v="RODOBRAS TRANSPORTES RODOVIARIOS LT"/>
    <n v="42.36"/>
    <d v="2025-01-30T00:00:00"/>
  </r>
  <r>
    <n v="253927633"/>
    <n v="64703190"/>
    <s v="REB"/>
    <n v="9837274"/>
    <n v="220"/>
    <s v="DEV-Avaria 1 trecho transp - Produto"/>
    <s v="QUALIDADE"/>
    <x v="1"/>
    <n v="27874"/>
    <s v="REFRIGERACAO ERECHIM COML TECNICA"/>
    <s v="RS"/>
    <n v="933"/>
    <s v="Top"/>
    <n v="1350"/>
    <s v="W10212401"/>
    <s v="Prateleiras"/>
    <x v="1"/>
    <n v="1"/>
    <n v="5003024"/>
    <s v="RODOBRAS TRANSPORTES RODOVIARIOS LT"/>
    <n v="16.53"/>
    <d v="2025-01-30T00:00:00"/>
  </r>
  <r>
    <n v="253927633"/>
    <n v="64703190"/>
    <s v="REB"/>
    <n v="9837274"/>
    <n v="220"/>
    <s v="DEV-Avaria 1 trecho transp - Produto"/>
    <s v="QUALIDADE"/>
    <x v="1"/>
    <n v="27874"/>
    <s v="REFRIGERACAO ERECHIM COML TECNICA"/>
    <s v="RS"/>
    <n v="933"/>
    <s v="Top"/>
    <n v="1350"/>
    <s v="W10512610"/>
    <s v="Tampas Móveis"/>
    <x v="3"/>
    <n v="1"/>
    <n v="5003024"/>
    <s v="RODOBRAS TRANSPORTES RODOVIARIOS LT"/>
    <n v="132.04"/>
    <d v="2025-01-30T00:00:00"/>
  </r>
  <r>
    <n v="253927817"/>
    <n v="64703702"/>
    <s v="ROB"/>
    <n v="9854170"/>
    <n v="671"/>
    <s v="DEV-ENVIADO PARA GESTÃO DE CONSEQUENCIA"/>
    <s v="TRANSPORTADORA"/>
    <x v="1"/>
    <n v="4585"/>
    <s v="ELETRO PECAS REAL LTDA"/>
    <s v="SC"/>
    <n v="350"/>
    <s v="Ats On"/>
    <n v="1350"/>
    <s v="W11050131"/>
    <s v="Placas de Controle"/>
    <x v="2"/>
    <n v="1"/>
    <n v="5003024"/>
    <s v="RODOBRAS TRANSPORTES RODOVIARIOS LT"/>
    <n v="103.49"/>
    <d v="2025-01-31T00:00:00"/>
  </r>
  <r>
    <n v="253931095"/>
    <n v="64703722"/>
    <s v="REB"/>
    <n v="9838876"/>
    <n v="168"/>
    <s v="PEÇAS-Def.Fabric.Empenamento/Abaulamento"/>
    <s v="FUNCIONAL"/>
    <x v="2"/>
    <n v="27337"/>
    <s v="REFRIGERACAO A C CATA VENTO LTDA"/>
    <s v="RJ"/>
    <n v="933"/>
    <s v="Top"/>
    <n v="1350"/>
    <s v="W10902853"/>
    <s v="Condensadores"/>
    <x v="0"/>
    <n v="1"/>
    <n v="5003176"/>
    <s v="J C THEDIN TRANSPORTES LTDA"/>
    <n v="604.02"/>
    <d v="2025-01-31T00:00:00"/>
  </r>
  <r>
    <n v="253931093"/>
    <n v="64703733"/>
    <s v="REB"/>
    <n v="7399019"/>
    <n v="178"/>
    <s v="PEÇAS -Defeito de fabric./Sem Compressão"/>
    <s v="FUNCIONAL"/>
    <x v="1"/>
    <n v="27253"/>
    <s v="S.M. QUARESMA"/>
    <s v="PI"/>
    <n v="931"/>
    <s v="Ats Off"/>
    <n v="1350"/>
    <s v="W10532542"/>
    <s v="Compressores Rotativos"/>
    <x v="0"/>
    <n v="1"/>
    <n v="5004101"/>
    <s v="UNIDOCK'S ASSESSORIA E LOGISTICA DE"/>
    <n v="322.16000000000003"/>
    <d v="2025-01-31T00:00:00"/>
  </r>
  <r>
    <n v="253931165"/>
    <n v="64703756"/>
    <s v="REB"/>
    <n v="9780572"/>
    <n v="176"/>
    <s v="PEÇAS - Defeito de fabric./Interrompido"/>
    <s v="FUNCIONAL"/>
    <x v="1"/>
    <n v="76848"/>
    <s v="MUNDIAL REFRIGERACAO LTDA"/>
    <s v="GO"/>
    <n v="643"/>
    <s v="Elite"/>
    <n v="1350"/>
    <s v="W11268184"/>
    <s v="Placas de Controle"/>
    <x v="2"/>
    <n v="1"/>
    <n v="5002858"/>
    <s v="FAVORITA TRANSPORTES LTDA"/>
    <n v="119.45"/>
    <d v="2025-01-31T00:00:00"/>
  </r>
  <r>
    <n v="253930942"/>
    <n v="64703982"/>
    <s v="REB"/>
    <n v="9760938"/>
    <n v="173"/>
    <s v="PEÇAS - Defeito de fabric./Alta Amperage"/>
    <s v="FUNCIONAL"/>
    <x v="2"/>
    <n v="2898"/>
    <s v="REATE REBOUCAS A TEC EM APAR"/>
    <s v="CE"/>
    <n v="931"/>
    <s v="Ats Off"/>
    <n v="1350"/>
    <s v="W11299803"/>
    <s v="Mecanismos"/>
    <x v="4"/>
    <n v="1"/>
    <n v="5004101"/>
    <s v="UNIDOCK'S ASSESSORIA E LOGISTICA DE"/>
    <n v="85.92"/>
    <d v="2025-01-31T00:00:00"/>
  </r>
  <r>
    <n v="253931089"/>
    <n v="64704040"/>
    <s v="REB"/>
    <n v="9785875"/>
    <n v="173"/>
    <s v="PEÇAS - Defeito de fabric./Alta Amperage"/>
    <s v="FUNCIONAL"/>
    <x v="1"/>
    <n v="25727"/>
    <s v="Polo PeCas para RefrigeraCAo e"/>
    <s v="GO"/>
    <n v="644"/>
    <s v="Plus"/>
    <n v="1350"/>
    <s v="W11199202"/>
    <s v="Placas de Controle"/>
    <x v="2"/>
    <n v="1"/>
    <n v="5002858"/>
    <s v="FAVORITA TRANSPORTES LTDA"/>
    <n v="240.6"/>
    <d v="2025-01-31T00:00:00"/>
  </r>
  <r>
    <n v="253931021"/>
    <n v="64704054"/>
    <s v="REB"/>
    <n v="9849035"/>
    <n v="671"/>
    <s v="DEV-ENVIADO PARA GESTÃO DE CONSEQUENCIA"/>
    <s v="TRANSPORTADORA"/>
    <x v="1"/>
    <n v="9015"/>
    <s v="ALTIMARIS REFRIGERACAO LTDA"/>
    <s v="SC"/>
    <n v="931"/>
    <s v="Ats Off"/>
    <n v="1350"/>
    <s v="W10160038"/>
    <s v="Capacitores"/>
    <x v="2"/>
    <n v="1"/>
    <n v="5003024"/>
    <s v="RODOBRAS TRANSPORTES RODOVIARIOS LT"/>
    <n v="37.26"/>
    <d v="2025-01-31T00:00:00"/>
  </r>
  <r>
    <n v="253931021"/>
    <n v="64704054"/>
    <s v="REB"/>
    <n v="9849035"/>
    <n v="671"/>
    <s v="DEV-ENVIADO PARA GESTÃO DE CONSEQUENCIA"/>
    <s v="TRANSPORTADORA"/>
    <x v="1"/>
    <n v="9015"/>
    <s v="ALTIMARIS REFRIGERACAO LTDA"/>
    <s v="SC"/>
    <n v="931"/>
    <s v="Ats Off"/>
    <n v="1350"/>
    <s v="W10732253"/>
    <s v="Capacitores"/>
    <x v="2"/>
    <n v="1"/>
    <n v="5003024"/>
    <s v="RODOBRAS TRANSPORTES RODOVIARIOS LT"/>
    <n v="29.44"/>
    <d v="2025-01-31T00:00:00"/>
  </r>
  <r>
    <n v="253931089"/>
    <n v="64704059"/>
    <s v="REB"/>
    <n v="9737429"/>
    <n v="173"/>
    <s v="PEÇAS - Defeito de fabric./Alta Amperage"/>
    <s v="FUNCIONAL"/>
    <x v="1"/>
    <n v="25727"/>
    <s v="Polo PeCas para RefrigeraCAo e"/>
    <s v="GO"/>
    <n v="644"/>
    <s v="Plus"/>
    <n v="1350"/>
    <s v="W11435392"/>
    <s v="Placas de Controle"/>
    <x v="2"/>
    <n v="1"/>
    <n v="5002858"/>
    <s v="FAVORITA TRANSPORTES LTDA"/>
    <n v="216.1"/>
    <d v="2025-01-31T00:00:00"/>
  </r>
  <r>
    <n v="253931146"/>
    <n v="64704090"/>
    <s v="REB"/>
    <n v="9500606"/>
    <n v="178"/>
    <s v="PEÇAS -Defeito de fabric./Sem Compressão"/>
    <s v="FUNCIONAL"/>
    <x v="1"/>
    <n v="61868"/>
    <s v="D L REFRIGERACOES PECAS E"/>
    <s v="MA"/>
    <n v="643"/>
    <s v="Elite"/>
    <n v="1350"/>
    <s v="W10769940"/>
    <s v="Compressores Herméticos"/>
    <x v="0"/>
    <n v="1"/>
    <n v="5004101"/>
    <s v="UNIDOCK'S ASSESSORIA E LOGISTICA DE"/>
    <n v="352.54"/>
    <d v="2025-01-31T00:00:00"/>
  </r>
  <r>
    <n v="253931143"/>
    <n v="64704145"/>
    <s v="REB"/>
    <n v="9500606"/>
    <n v="178"/>
    <s v="PEÇAS -Defeito de fabric./Sem Compressão"/>
    <s v="FUNCIONAL"/>
    <x v="1"/>
    <n v="61868"/>
    <s v="D L REFRIGERACOES PECAS E"/>
    <s v="MA"/>
    <n v="643"/>
    <s v="Elite"/>
    <n v="1350"/>
    <s v="W10769940"/>
    <s v="Compressores Herméticos"/>
    <x v="0"/>
    <n v="1"/>
    <n v="5004101"/>
    <s v="UNIDOCK'S ASSESSORIA E LOGISTICA DE"/>
    <n v="352.54"/>
    <d v="2025-01-31T00:00:00"/>
  </r>
  <r>
    <n v="253931147"/>
    <n v="64704154"/>
    <s v="REB"/>
    <n v="9500606"/>
    <n v="178"/>
    <s v="PEÇAS -Defeito de fabric./Sem Compressão"/>
    <s v="FUNCIONAL"/>
    <x v="1"/>
    <n v="61868"/>
    <s v="D L REFRIGERACOES PECAS E"/>
    <s v="MA"/>
    <n v="643"/>
    <s v="Elite"/>
    <n v="1350"/>
    <s v="W10769940"/>
    <s v="Compressores Herméticos"/>
    <x v="0"/>
    <n v="1"/>
    <n v="5004101"/>
    <s v="UNIDOCK'S ASSESSORIA E LOGISTICA DE"/>
    <n v="352.54"/>
    <d v="2025-01-31T00:00:00"/>
  </r>
  <r>
    <n v="253927920"/>
    <n v="64704175"/>
    <s v="ROB"/>
    <n v="9830516"/>
    <n v="182"/>
    <s v="PEÇAS - Extravio - Volume a menor"/>
    <s v="TRANSPORTADORA"/>
    <x v="1"/>
    <n v="77737"/>
    <s v="MERCADAO DO FRIO, COM DE PECAS P"/>
    <s v="SP"/>
    <n v="934"/>
    <s v="CDP Ouro"/>
    <n v="1350"/>
    <s v="W11283283"/>
    <s v="Termostatos"/>
    <x v="8"/>
    <n v="2"/>
    <n v="5004101"/>
    <s v="UNIDOCK'S ASSESSORIA E LOGISTICA DE"/>
    <n v="87.62"/>
    <d v="2025-01-31T00:00:00"/>
  </r>
  <r>
    <s v="Sem TR"/>
    <n v="64704585"/>
    <s v="REB"/>
    <n v="9797345"/>
    <n v="115"/>
    <s v="PEÇAS-Recusa do cliente"/>
    <s v="COMERCIAL"/>
    <x v="1"/>
    <n v="90803"/>
    <s v="H B P MOTA"/>
    <s v="GO"/>
    <n v="350"/>
    <s v="Ats On"/>
    <n v="1350"/>
    <s v="W11046681"/>
    <s v="Outros"/>
    <x v="5"/>
    <n v="1"/>
    <n v="5002858"/>
    <s v="FAVORITA TRANSPORTES LTDA"/>
    <n v="150.63999999999999"/>
    <d v="2025-02-01T00:00:00"/>
  </r>
  <r>
    <n v="254064590"/>
    <n v="64706119"/>
    <s v="ROB"/>
    <n v="9854030"/>
    <n v="182"/>
    <s v="PEÇAS - Extravio - Volume a menor"/>
    <s v="TRANSPORTADORA"/>
    <x v="2"/>
    <n v="2809"/>
    <s v="ELECTRO REFRIGERACAO BRASILUSO"/>
    <s v="RJ"/>
    <n v="350"/>
    <s v="Ats On"/>
    <n v="1350"/>
    <s v="W10833267"/>
    <s v="Parafusos e afins"/>
    <x v="7"/>
    <n v="1"/>
    <n v="5003176"/>
    <s v="J C THEDIN TRANSPORTES LTDA"/>
    <n v="106.83"/>
    <d v="2025-02-04T00:00:00"/>
  </r>
  <r>
    <n v="254064590"/>
    <n v="64706119"/>
    <s v="ROB"/>
    <n v="9854030"/>
    <n v="182"/>
    <s v="PEÇAS - Extravio - Volume a menor"/>
    <s v="TRANSPORTADORA"/>
    <x v="2"/>
    <n v="2809"/>
    <s v="ELECTRO REFRIGERACAO BRASILUSO"/>
    <s v="RJ"/>
    <n v="350"/>
    <s v="Ats On"/>
    <n v="1350"/>
    <s v="W10833465"/>
    <s v="Mangueiras"/>
    <x v="6"/>
    <n v="1"/>
    <n v="5003176"/>
    <s v="J C THEDIN TRANSPORTES LTDA"/>
    <n v="19.600000000000001"/>
    <d v="2025-02-04T00:00:00"/>
  </r>
  <r>
    <n v="253929859"/>
    <n v="64706120"/>
    <s v="ROB"/>
    <n v="9854031"/>
    <n v="182"/>
    <s v="PEÇAS - Extravio - Volume a menor"/>
    <s v="TRANSPORTADORA"/>
    <x v="1"/>
    <n v="2809"/>
    <s v="ELECTRO REFRIGERACAO BRASILUSO"/>
    <s v="RJ"/>
    <n v="350"/>
    <s v="Ats On"/>
    <n v="1350"/>
    <s v="W11516472"/>
    <s v="Compressores Herméticos"/>
    <x v="0"/>
    <n v="7"/>
    <n v="5003176"/>
    <s v="J C THEDIN TRANSPORTES LTDA"/>
    <n v="2689.86"/>
    <d v="2025-02-04T00:00:00"/>
  </r>
  <r>
    <s v="Sem TR"/>
    <n v="64708024"/>
    <s v="REB"/>
    <n v="9855546"/>
    <n v="109"/>
    <s v="PEÇAS-Erro de catálogo/BT"/>
    <s v="ENGENHARIA"/>
    <x v="1"/>
    <n v="83387"/>
    <s v="METTA COMERCIO E SERVICOS LTDA"/>
    <s v="RJ"/>
    <n v="350"/>
    <s v="Ats On"/>
    <n v="1350"/>
    <s v="W10637619"/>
    <s v="Placas de Interface"/>
    <x v="2"/>
    <n v="1"/>
    <n v="5003176"/>
    <s v="J C THEDIN TRANSPORTES LTDA"/>
    <n v="668.62"/>
    <d v="2025-02-07T00:00:00"/>
  </r>
  <r>
    <s v="Sem TR"/>
    <n v="64708448"/>
    <s v="REB"/>
    <n v="9858355"/>
    <n v="671"/>
    <s v="DEV-ENVIADO PARA GESTÃO DE CONSEQUENCIA"/>
    <s v="TRANSPORTADORA"/>
    <x v="1"/>
    <n v="35280"/>
    <s v="REFRIC BAHIA SERVICOS DE REFRIGERA"/>
    <s v="BA"/>
    <n v="931"/>
    <s v="Ats Off"/>
    <n v="1350"/>
    <s v="W10246170"/>
    <s v="Prateleiras"/>
    <x v="1"/>
    <n v="1"/>
    <n v="5004101"/>
    <s v="UNIDOCK'S ASSESSORIA E LOGISTICA DE"/>
    <n v="25"/>
    <d v="2025-02-07T00:00:00"/>
  </r>
  <r>
    <n v="253940769"/>
    <n v="64709091"/>
    <s v="REB"/>
    <n v="9853501"/>
    <n v="671"/>
    <s v="DEV-ENVIADO PARA GESTÃO DE CONSEQUENCIA"/>
    <s v="TRANSPORTADORA"/>
    <x v="1"/>
    <n v="89219"/>
    <s v="EDISON DA SILVA REFRIGERACAO"/>
    <s v="SP"/>
    <n v="350"/>
    <s v="Ats On"/>
    <n v="1350"/>
    <s v="W11550422"/>
    <s v="Placas de Controle"/>
    <x v="2"/>
    <n v="1"/>
    <n v="5004042"/>
    <s v="BRASIL WEB TRANSPORTES E LOGISTICA"/>
    <n v="306.48"/>
    <d v="2025-02-19T00:00:00"/>
  </r>
  <r>
    <n v="253944067"/>
    <n v="64711017"/>
    <s v="REB"/>
    <n v="9423966"/>
    <n v="173"/>
    <s v="PEÇAS - Defeito de fabric./Alta Amperage"/>
    <s v="FUNCIONAL"/>
    <x v="1"/>
    <n v="61868"/>
    <s v="D L REFRIGERACOES PECAS E"/>
    <s v="MA"/>
    <n v="643"/>
    <s v="Elite"/>
    <n v="1350"/>
    <s v="W10797831"/>
    <s v="Placas de Controle"/>
    <x v="2"/>
    <n v="1"/>
    <n v="5004101"/>
    <s v="UNIDOCK'S ASSESSORIA E LOGISTICA DE"/>
    <n v="250.94"/>
    <d v="2025-02-17T00:00:00"/>
  </r>
  <r>
    <s v="Sem TR"/>
    <n v="64711513"/>
    <s v="REB"/>
    <n v="9822382"/>
    <n v="671"/>
    <s v="DEV-ENVIADO PARA GESTÃO DE CONSEQUENCIA"/>
    <s v="TRANSPORTADORA"/>
    <x v="1"/>
    <n v="12692"/>
    <s v="COMERCIAL DE REFRIG  EQUIPAMEN LTDA"/>
    <s v="BA"/>
    <n v="641"/>
    <s v="CDP Diamante"/>
    <n v="1350"/>
    <s v="W11300676"/>
    <s v="Mecanismos"/>
    <x v="4"/>
    <n v="2"/>
    <n v="5004101"/>
    <s v="UNIDOCK'S ASSESSORIA E LOGISTICA DE"/>
    <n v="205.34"/>
    <d v="2025-02-12T00:00:00"/>
  </r>
  <r>
    <s v="Sem TR"/>
    <n v="64712272"/>
    <s v="REB"/>
    <n v="9828027"/>
    <n v="173"/>
    <s v="PEÇAS - Defeito de fabric./Alta Amperage"/>
    <s v="FUNCIONAL"/>
    <x v="1"/>
    <n v="84289"/>
    <s v="GELUBRAS COMERCIO E SERVICOS LTDA"/>
    <s v="SP"/>
    <n v="701"/>
    <s v="Descredenciado"/>
    <n v="1350"/>
    <s v="W10806305"/>
    <s v="Placas de Controle"/>
    <x v="2"/>
    <n v="1"/>
    <n v="5004042"/>
    <s v="BRASIL WEB TRANSPORTES E LOGISTICA"/>
    <n v="268.95999999999998"/>
    <d v="2025-02-13T00:00:00"/>
  </r>
  <r>
    <s v="Sem TR"/>
    <n v="64712273"/>
    <s v="REB"/>
    <n v="9861340"/>
    <n v="173"/>
    <s v="PEÇAS - Defeito de fabric./Alta Amperage"/>
    <s v="FUNCIONAL"/>
    <x v="1"/>
    <n v="84289"/>
    <s v="GELUBRAS COMERCIO E SERVICOS LTDA"/>
    <s v="SP"/>
    <n v="701"/>
    <s v="Descredenciado"/>
    <n v="1350"/>
    <s v="W10637619"/>
    <s v="Placas de Interface"/>
    <x v="2"/>
    <n v="1"/>
    <n v="5004042"/>
    <s v="BRASIL WEB TRANSPORTES E LOGISTICA"/>
    <n v="724.52"/>
    <d v="2025-02-13T00:00:00"/>
  </r>
  <r>
    <n v="254062784"/>
    <n v="64713250"/>
    <s v="REB"/>
    <n v="9863787"/>
    <n v="115"/>
    <s v="PEÇAS-Recusa do cliente"/>
    <s v="COMERCIAL"/>
    <x v="2"/>
    <n v="24994"/>
    <s v="ROSA MARIA CORREA RIBEIRO &amp; CIA LT"/>
    <s v="MG"/>
    <n v="350"/>
    <s v="Ats On"/>
    <n v="1350"/>
    <s v="W11451002"/>
    <s v="Parafusos e afins"/>
    <x v="7"/>
    <n v="2"/>
    <n v="5004215"/>
    <s v="BRASIL WEB TRANSPORTES E LOGISTICA"/>
    <n v="4.58"/>
    <d v="2025-02-14T00:00:00"/>
  </r>
  <r>
    <n v="253944062"/>
    <n v="64714098"/>
    <s v="REB"/>
    <n v="9846739"/>
    <n v="671"/>
    <s v="DEV-ENVIADO PARA GESTÃO DE CONSEQUENCIA"/>
    <s v="TRANSPORTADORA"/>
    <x v="1"/>
    <n v="56043"/>
    <s v="B C M - COMERCIO DE PECAS E"/>
    <s v="PR"/>
    <n v="963"/>
    <s v="Ats Distribuidoras"/>
    <n v="1350"/>
    <s v="W10581058"/>
    <s v="Gavetas"/>
    <x v="1"/>
    <n v="1"/>
    <n v="5003024"/>
    <s v="RODOBRAS TRANSPORTES RODOVIARIOS LT"/>
    <n v="107.12"/>
    <d v="2025-02-17T00:00:00"/>
  </r>
  <r>
    <n v="254058254"/>
    <n v="64714294"/>
    <s v="REB"/>
    <n v="9882108"/>
    <n v="110"/>
    <s v="PEÇAS-Troca de produtos"/>
    <s v="GESTÃO DE TROCAS"/>
    <x v="2"/>
    <n v="46333"/>
    <s v="PARTNERS SERVICE COMERCIO E SERVICO"/>
    <s v="RJ"/>
    <n v="350"/>
    <s v="Ats On"/>
    <n v="1350"/>
    <s v="W11682256"/>
    <s v="Filtro Secadores"/>
    <x v="0"/>
    <n v="1"/>
    <n v="5003176"/>
    <s v="J C THEDIN TRANSPORTES LTDA"/>
    <n v="8.48"/>
    <d v="2025-02-16T00:00:00"/>
  </r>
  <r>
    <n v="254058254"/>
    <n v="64714294"/>
    <s v="REB"/>
    <n v="9882108"/>
    <n v="110"/>
    <s v="PEÇAS-Troca de produtos"/>
    <s v="GESTÃO DE TROCAS"/>
    <x v="2"/>
    <n v="46333"/>
    <s v="PARTNERS SERVICE COMERCIO E SERVICO"/>
    <s v="RJ"/>
    <n v="350"/>
    <s v="Ats On"/>
    <n v="1350"/>
    <n v="326008340"/>
    <s v="Anéis de Vedação"/>
    <x v="10"/>
    <n v="1"/>
    <n v="5003176"/>
    <s v="J C THEDIN TRANSPORTES LTDA"/>
    <n v="17.88"/>
    <d v="2025-02-16T00:00:00"/>
  </r>
  <r>
    <s v="Sem TR"/>
    <n v="64714417"/>
    <s v="REB"/>
    <n v="9753538"/>
    <n v="671"/>
    <s v="DEV-ENVIADO PARA GESTÃO DE CONSEQUENCIA"/>
    <s v="TRANSPORTADORA"/>
    <x v="1"/>
    <n v="31"/>
    <s v="R R COMERCIAL DE REFRIGERAÇÃO LTDAt"/>
    <s v="BA"/>
    <n v="350"/>
    <s v="Ats On"/>
    <n v="1350"/>
    <n v="326075385"/>
    <s v="Resistências"/>
    <x v="2"/>
    <n v="1"/>
    <n v="5004101"/>
    <s v="UNIDOCK'S ASSESSORIA E LOGISTICA DE"/>
    <n v="82.1"/>
    <d v="2025-02-17T00:00:00"/>
  </r>
  <r>
    <s v="Sem TR"/>
    <n v="64714763"/>
    <s v="REB"/>
    <n v="9898799"/>
    <n v="168"/>
    <s v="PEÇAS-Def.Fabric.Empenamento/Abaulamento"/>
    <s v="FUNCIONAL"/>
    <x v="1"/>
    <n v="81689"/>
    <s v="RONDO MULTIPRODUTOS LTDA"/>
    <s v="PR"/>
    <n v="350"/>
    <s v="Ats On"/>
    <n v="1350"/>
    <s v="W11626275"/>
    <s v="Portas"/>
    <x v="3"/>
    <n v="1"/>
    <n v="5003024"/>
    <s v="RODOBRAS TRANSPORTES RODOVIARIOS LT"/>
    <n v="1510.04"/>
    <d v="2025-03-21T00:00:00"/>
  </r>
  <r>
    <n v="253944063"/>
    <n v="64714773"/>
    <s v="REB"/>
    <n v="9846739"/>
    <n v="671"/>
    <s v="DEV-ENVIADO PARA GESTÃO DE CONSEQUENCIA"/>
    <s v="TRANSPORTADORA"/>
    <x v="1"/>
    <n v="56043"/>
    <s v="B C M - COMERCIO DE PECAS E"/>
    <s v="PR"/>
    <n v="963"/>
    <s v="Ats Distribuidoras"/>
    <n v="1350"/>
    <s v="W10581058"/>
    <s v="Gavetas"/>
    <x v="1"/>
    <n v="1"/>
    <n v="5003024"/>
    <s v="RODOBRAS TRANSPORTES RODOVIARIOS LT"/>
    <n v="107.12"/>
    <d v="2025-02-17T00:00:00"/>
  </r>
  <r>
    <n v="253944075"/>
    <n v="64714826"/>
    <s v="REB"/>
    <n v="9779882"/>
    <n v="173"/>
    <s v="PEÇAS - Defeito de fabric./Alta Amperage"/>
    <s v="FUNCIONAL"/>
    <x v="2"/>
    <n v="80573"/>
    <s v="L P NEVES COMERCIO"/>
    <s v="MA"/>
    <n v="643"/>
    <s v="Elite"/>
    <n v="1350"/>
    <s v="W11195523"/>
    <s v="Motores"/>
    <x v="2"/>
    <n v="1"/>
    <n v="5004101"/>
    <s v="UNIDOCK'S ASSESSORIA E LOGISTICA DE"/>
    <n v="163.03"/>
    <d v="2025-02-17T00:00:00"/>
  </r>
  <r>
    <n v="253944065"/>
    <n v="64714840"/>
    <s v="REB"/>
    <n v="9846739"/>
    <n v="671"/>
    <s v="DEV-ENVIADO PARA GESTÃO DE CONSEQUENCIA"/>
    <s v="TRANSPORTADORA"/>
    <x v="1"/>
    <n v="56043"/>
    <s v="B C M - COMERCIO DE PECAS E"/>
    <s v="PR"/>
    <n v="963"/>
    <s v="Ats Distribuidoras"/>
    <n v="1350"/>
    <s v="W10581058"/>
    <s v="Gavetas"/>
    <x v="1"/>
    <n v="1"/>
    <n v="5003024"/>
    <s v="RODOBRAS TRANSPORTES RODOVIARIOS LT"/>
    <n v="107.12"/>
    <d v="2025-02-17T00:00:00"/>
  </r>
  <r>
    <n v="253944066"/>
    <n v="64714841"/>
    <s v="REB"/>
    <n v="9846739"/>
    <n v="167"/>
    <s v="PEÇAS - Avaria - Quebrada/Depósito"/>
    <s v="LOGÍSTICA"/>
    <x v="2"/>
    <n v="56043"/>
    <s v="B C M - COMERCIO DE PECAS E"/>
    <s v="PR"/>
    <n v="963"/>
    <s v="Ats Distribuidoras"/>
    <n v="1350"/>
    <s v="W10581058"/>
    <s v="Gavetas"/>
    <x v="1"/>
    <n v="1"/>
    <n v="5003024"/>
    <s v="RODOBRAS TRANSPORTES RODOVIARIOS LT"/>
    <n v="107.12"/>
    <d v="2025-02-17T00:00:00"/>
  </r>
  <r>
    <n v="253944064"/>
    <n v="64714844"/>
    <s v="REB"/>
    <n v="9846739"/>
    <n v="671"/>
    <s v="DEV-ENVIADO PARA GESTÃO DE CONSEQUENCIA"/>
    <s v="TRANSPORTADORA"/>
    <x v="1"/>
    <n v="56043"/>
    <s v="B C M - COMERCIO DE PECAS E"/>
    <s v="PR"/>
    <n v="963"/>
    <s v="Ats Distribuidoras"/>
    <n v="1350"/>
    <s v="W10581058"/>
    <s v="Gavetas"/>
    <x v="1"/>
    <n v="1"/>
    <n v="5003024"/>
    <s v="RODOBRAS TRANSPORTES RODOVIARIOS LT"/>
    <n v="107.12"/>
    <d v="2025-02-17T00:00:00"/>
  </r>
  <r>
    <n v="253944075"/>
    <n v="64714874"/>
    <s v="REB"/>
    <n v="9506993"/>
    <n v="173"/>
    <s v="PEÇAS - Defeito de fabric./Alta Amperage"/>
    <s v="FUNCIONAL"/>
    <x v="2"/>
    <n v="80573"/>
    <s v="L P NEVES COMERCIO"/>
    <s v="MA"/>
    <n v="643"/>
    <s v="Elite"/>
    <n v="1350"/>
    <s v="W11300675"/>
    <s v="Mecanismos"/>
    <x v="4"/>
    <n v="1"/>
    <n v="5004101"/>
    <s v="UNIDOCK'S ASSESSORIA E LOGISTICA DE"/>
    <n v="98.72"/>
    <d v="2025-02-17T00:00:00"/>
  </r>
  <r>
    <s v="Sem TR"/>
    <n v="64715368"/>
    <s v="REB"/>
    <n v="9830104"/>
    <n v="671"/>
    <s v="DEV-ENVIADO PARA GESTÃO DE CONSEQUENCIA"/>
    <s v="TRANSPORTADORA"/>
    <x v="1"/>
    <n v="22040"/>
    <s v="LM COMERCIO E SERVICOS EM SISTEMA"/>
    <s v="SP"/>
    <n v="350"/>
    <s v="Ats On"/>
    <n v="1350"/>
    <s v="W11516477"/>
    <s v="Compressores Herméticos"/>
    <x v="0"/>
    <n v="1"/>
    <n v="5004042"/>
    <s v="BRASIL WEB TRANSPORTES E LOGISTICA"/>
    <n v="482.5"/>
    <d v="2025-02-18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0518617"/>
    <s v="Atuadores"/>
    <x v="4"/>
    <n v="10"/>
    <n v="5004101"/>
    <s v="UNIDOCK'S ASSESSORIA E LOGISTICA DE"/>
    <n v="310.33999999999997"/>
    <d v="2025-02-19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0531315"/>
    <s v="Sensores"/>
    <x v="8"/>
    <n v="100"/>
    <n v="5004101"/>
    <s v="UNIDOCK'S ASSESSORIA E LOGISTICA DE"/>
    <n v="892.47"/>
    <d v="2025-02-19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0807957"/>
    <s v="Conjunto Varetas"/>
    <x v="11"/>
    <n v="2"/>
    <n v="5004101"/>
    <s v="UNIDOCK'S ASSESSORIA E LOGISTICA DE"/>
    <n v="156.21"/>
    <d v="2025-02-19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0882241"/>
    <s v="Agitadores"/>
    <x v="4"/>
    <n v="10"/>
    <n v="5004101"/>
    <s v="UNIDOCK'S ASSESSORIA E LOGISTICA DE"/>
    <n v="489.86"/>
    <d v="2025-02-19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1186097"/>
    <s v="Dispensers"/>
    <x v="1"/>
    <n v="3"/>
    <n v="5004101"/>
    <s v="UNIDOCK'S ASSESSORIA E LOGISTICA DE"/>
    <n v="114.58"/>
    <d v="2025-02-19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1510292"/>
    <s v="Interruptores"/>
    <x v="8"/>
    <n v="5"/>
    <n v="5004101"/>
    <s v="UNIDOCK'S ASSESSORIA E LOGISTICA DE"/>
    <n v="149.37"/>
    <d v="2025-02-19T00:00:00"/>
  </r>
  <r>
    <s v="Sem TR"/>
    <n v="64716074"/>
    <s v="ROB"/>
    <n v="46905"/>
    <n v="25"/>
    <s v="OC. 80 - EXTRAVIO TOTAL"/>
    <s v="TRANSPORTADORA"/>
    <x v="2"/>
    <n v="31083"/>
    <s v="F. J. MENESES VASCONCELOS EIRELI"/>
    <s v="PI"/>
    <n v="350"/>
    <s v="Ats On"/>
    <n v="1550"/>
    <s v="W11574388"/>
    <s v="Capacitores"/>
    <x v="2"/>
    <n v="10"/>
    <n v="5004101"/>
    <s v="UNIDOCK'S ASSESSORIA E LOGISTICA DE"/>
    <n v="144.6"/>
    <d v="2025-02-19T00:00:00"/>
  </r>
  <r>
    <s v="Sem TR"/>
    <n v="64716075"/>
    <s v="ROB"/>
    <n v="47054"/>
    <n v="25"/>
    <s v="OC. 80 - EXTRAVIO TOTAL"/>
    <s v="TRANSPORTADORA"/>
    <x v="2"/>
    <n v="1334"/>
    <s v="FLORIANO REFRIGERACAO LTDA"/>
    <s v="PI"/>
    <n v="350"/>
    <s v="Ats On"/>
    <n v="1550"/>
    <s v="W10591460"/>
    <s v="Placas de Controle"/>
    <x v="2"/>
    <n v="1"/>
    <n v="5004101"/>
    <s v="UNIDOCK'S ASSESSORIA E LOGISTICA DE"/>
    <n v="280.14999999999998"/>
    <d v="2025-02-19T00:00:00"/>
  </r>
  <r>
    <s v="Sem TR"/>
    <n v="64716076"/>
    <s v="ROB"/>
    <n v="47122"/>
    <n v="25"/>
    <s v="OC. 80 - EXTRAVIO TOTAL"/>
    <s v="TRANSPORTADORA"/>
    <x v="2"/>
    <n v="84691"/>
    <s v="LUIS DE OLIVEIRA FILHO 01086451341"/>
    <s v="PI"/>
    <n v="932"/>
    <s v="CDP Prata"/>
    <n v="1550"/>
    <s v="W11629019"/>
    <s v="Recipientes de Evaporação"/>
    <x v="1"/>
    <n v="4"/>
    <n v="5004101"/>
    <s v="UNIDOCK'S ASSESSORIA E LOGISTICA DE"/>
    <n v="61.02"/>
    <d v="2025-02-19T00:00:00"/>
  </r>
  <r>
    <s v="Sem TR"/>
    <n v="64717668"/>
    <s v="REB"/>
    <n v="9899757"/>
    <n v="110"/>
    <s v="PEÇAS-Troca de produtos"/>
    <s v="GESTÃO DE TROCAS"/>
    <x v="1"/>
    <n v="3944"/>
    <s v="J. B. MARTINS EIRELI"/>
    <s v="PI"/>
    <n v="350"/>
    <s v="Ats On"/>
    <n v="1350"/>
    <s v="W11713153"/>
    <s v="Outros"/>
    <x v="5"/>
    <n v="1"/>
    <n v="5004101"/>
    <s v="UNIDOCK'S ASSESSORIA E LOGISTICA DE"/>
    <n v="1364.96"/>
    <d v="2025-03-13T00:00:00"/>
  </r>
  <r>
    <n v="253941049"/>
    <n v="64718277"/>
    <s v="ROB"/>
    <n v="9840723"/>
    <n v="671"/>
    <s v="DEV-ENVIADO PARA GESTÃO DE CONSEQUENCIA"/>
    <s v="TRANSPORTADORA"/>
    <x v="1"/>
    <n v="19750"/>
    <s v="J. R. VALENTE LTDA"/>
    <s v="RR"/>
    <n v="648"/>
    <s v="Ultra"/>
    <n v="1350"/>
    <s v="W11136046"/>
    <s v="Cestos"/>
    <x v="1"/>
    <n v="3"/>
    <n v="5002858"/>
    <s v="FAVORITA TRANSPORTES LTDA"/>
    <n v="99.3"/>
    <d v="2025-02-21T00:00:00"/>
  </r>
  <r>
    <n v="253941050"/>
    <n v="64718278"/>
    <s v="ROB"/>
    <n v="9840725"/>
    <n v="671"/>
    <s v="DEV-ENVIADO PARA GESTÃO DE CONSEQUENCIA"/>
    <s v="TRANSPORTADORA"/>
    <x v="1"/>
    <n v="19750"/>
    <s v="J. R. VALENTE LTDA"/>
    <s v="RR"/>
    <n v="648"/>
    <s v="Ultra"/>
    <n v="1350"/>
    <s v="W10581058"/>
    <s v="Gavetas"/>
    <x v="1"/>
    <n v="8"/>
    <n v="5002858"/>
    <s v="FAVORITA TRANSPORTES LTDA"/>
    <n v="523.20000000000005"/>
    <d v="2025-02-21T00:00:00"/>
  </r>
  <r>
    <n v="253948490"/>
    <n v="64718347"/>
    <s v="REB"/>
    <n v="9400450"/>
    <n v="178"/>
    <s v="PEÇAS -Defeito de fabric./Sem Compressão"/>
    <s v="FUNCIONAL"/>
    <x v="1"/>
    <n v="30121"/>
    <s v="DANDE COMERCIAL LTDA"/>
    <s v="SP"/>
    <n v="648"/>
    <s v="Ultra"/>
    <n v="1350"/>
    <s v="W11375485"/>
    <s v="Compressores Herméticos"/>
    <x v="0"/>
    <n v="2"/>
    <n v="5004042"/>
    <s v="BRASIL WEB TRANSPORTES E LOGISTICA"/>
    <n v="825.4"/>
    <d v="2025-03-07T00:00:00"/>
  </r>
  <r>
    <n v="254058255"/>
    <n v="64718469"/>
    <s v="REB"/>
    <n v="9882108"/>
    <n v="104"/>
    <s v="PEÇAS-Código trocado(embalag X conteúdo)"/>
    <s v="LOGÍSTICA"/>
    <x v="2"/>
    <n v="46333"/>
    <s v="PARTNERS SERVICE COMERCIO E SERVICO"/>
    <s v="RJ"/>
    <n v="350"/>
    <s v="Ats On"/>
    <n v="1350"/>
    <s v="W11037252"/>
    <s v="Chaves Rotativas"/>
    <x v="8"/>
    <n v="1"/>
    <n v="5003176"/>
    <s v="J C THEDIN TRANSPORTES LTDA"/>
    <n v="319.75"/>
    <d v="2025-02-22T00:00:00"/>
  </r>
  <r>
    <n v="253952142"/>
    <n v="64718717"/>
    <s v="REB"/>
    <n v="9820222"/>
    <n v="173"/>
    <s v="PEÇAS - Defeito de fabric./Alta Amperage"/>
    <s v="FUNCIONAL"/>
    <x v="2"/>
    <n v="3524"/>
    <s v="CATEL - COMERCIO DE PECAS"/>
    <s v="SP"/>
    <n v="931"/>
    <s v="Ats Off"/>
    <n v="1350"/>
    <s v="W10436335"/>
    <s v="Lâmpadas"/>
    <x v="2"/>
    <n v="1"/>
    <n v="5004042"/>
    <s v="BRASIL WEB TRANSPORTES E LOGISTICA"/>
    <n v="130.66999999999999"/>
    <d v="2025-03-10T00:00:00"/>
  </r>
  <r>
    <n v="253948580"/>
    <n v="64719373"/>
    <s v="REB"/>
    <n v="9506993"/>
    <n v="173"/>
    <s v="PEÇAS - Defeito de fabric./Alta Amperage"/>
    <s v="FUNCIONAL"/>
    <x v="1"/>
    <n v="80573"/>
    <s v="L P NEVES COMERCIO"/>
    <s v="MA"/>
    <n v="643"/>
    <s v="Elite"/>
    <n v="1350"/>
    <s v="W11300675"/>
    <s v="Mecanismos"/>
    <x v="4"/>
    <n v="1"/>
    <n v="5004101"/>
    <s v="UNIDOCK'S ASSESSORIA E LOGISTICA DE"/>
    <n v="98.72"/>
    <d v="2025-03-07T00:00:00"/>
  </r>
  <r>
    <s v="Sem TR"/>
    <n v="64719518"/>
    <s v="REB"/>
    <n v="9280400"/>
    <n v="178"/>
    <s v="PEÇAS -Defeito de fabric./Sem Compressão"/>
    <s v="FUNCIONAL"/>
    <x v="1"/>
    <n v="47026"/>
    <s v="JR PECAS LTDA JR PECAS LTDA"/>
    <s v="BA"/>
    <n v="643"/>
    <s v="Elite"/>
    <n v="1350"/>
    <s v="W10798744"/>
    <s v="Compressores Herméticos"/>
    <x v="0"/>
    <n v="6"/>
    <n v="5004101"/>
    <s v="UNIDOCK'S ASSESSORIA E LOGISTICA DE"/>
    <n v="1619.81"/>
    <d v="2025-03-08T00:00:00"/>
  </r>
  <r>
    <s v="Sem TR"/>
    <n v="64719690"/>
    <s v="ROB"/>
    <n v="9861838"/>
    <n v="671"/>
    <s v="DEV-ENVIADO PARA GESTÃO DE CONSEQUENCIA"/>
    <s v="TRANSPORTADORA"/>
    <x v="1"/>
    <n v="83115"/>
    <s v="OSCAR FACIROLLI JUNIOR"/>
    <s v="MG"/>
    <n v="932"/>
    <s v="CDP Prata"/>
    <n v="1350"/>
    <n v="326064526"/>
    <s v="Prateleiras"/>
    <x v="1"/>
    <n v="1"/>
    <n v="5004101"/>
    <s v="UNIDOCK'S ASSESSORIA E LOGISTICA DE"/>
    <n v="30.06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n v="326021045"/>
    <s v="Recipientes de Evaporação"/>
    <x v="1"/>
    <n v="15"/>
    <n v="5004101"/>
    <s v="UNIDOCK'S ASSESSORIA E LOGISTICA DE"/>
    <n v="93.86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n v="326047714"/>
    <s v="Prateleiras"/>
    <x v="1"/>
    <n v="4"/>
    <n v="5004101"/>
    <s v="UNIDOCK'S ASSESSORIA E LOGISTICA DE"/>
    <n v="174.63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n v="326062041"/>
    <s v="Recipientes de Evaporação"/>
    <x v="1"/>
    <n v="5"/>
    <n v="5004101"/>
    <s v="UNIDOCK'S ASSESSORIA E LOGISTICA DE"/>
    <n v="76.77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169457"/>
    <s v="Prateleiras"/>
    <x v="1"/>
    <n v="3"/>
    <n v="5004101"/>
    <s v="UNIDOCK'S ASSESSORIA E LOGISTICA DE"/>
    <n v="130.16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283290"/>
    <s v="Dobradiças"/>
    <x v="7"/>
    <n v="5"/>
    <n v="5004101"/>
    <s v="UNIDOCK'S ASSESSORIA E LOGISTICA DE"/>
    <n v="40.25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289734"/>
    <s v="Pés"/>
    <x v="3"/>
    <n v="10"/>
    <n v="5004101"/>
    <s v="UNIDOCK'S ASSESSORIA E LOGISTICA DE"/>
    <n v="98.9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446927"/>
    <s v="Placas de Controle"/>
    <x v="2"/>
    <n v="1"/>
    <n v="5004101"/>
    <s v="UNIDOCK'S ASSESSORIA E LOGISTICA DE"/>
    <n v="139.82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531315"/>
    <s v="Sensores"/>
    <x v="8"/>
    <n v="20"/>
    <n v="5004101"/>
    <s v="UNIDOCK'S ASSESSORIA E LOGISTICA DE"/>
    <n v="163.16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616024"/>
    <s v="Prateleiras"/>
    <x v="1"/>
    <n v="4"/>
    <n v="5004101"/>
    <s v="UNIDOCK'S ASSESSORIA E LOGISTICA DE"/>
    <n v="120.8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630751"/>
    <s v="Resistências"/>
    <x v="2"/>
    <n v="3"/>
    <n v="5004101"/>
    <s v="UNIDOCK'S ASSESSORIA E LOGISTICA DE"/>
    <n v="177.95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632360"/>
    <s v="Dobradiças"/>
    <x v="7"/>
    <n v="5"/>
    <n v="5004101"/>
    <s v="UNIDOCK'S ASSESSORIA E LOGISTICA DE"/>
    <n v="38.85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0800172"/>
    <s v="Dobradiças"/>
    <x v="7"/>
    <n v="5"/>
    <n v="5004101"/>
    <s v="UNIDOCK'S ASSESSORIA E LOGISTICA DE"/>
    <n v="33.700000000000003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1446092"/>
    <s v="Vidros"/>
    <x v="3"/>
    <n v="1"/>
    <n v="5004101"/>
    <s v="UNIDOCK'S ASSESSORIA E LOGISTICA DE"/>
    <n v="94.04"/>
    <d v="2025-02-25T00:00:00"/>
  </r>
  <r>
    <s v="Sem TR"/>
    <n v="64719691"/>
    <s v="ROB"/>
    <n v="9861839"/>
    <n v="25"/>
    <s v="OC. 80 - EXTRAVIO TOTAL"/>
    <s v="TRANSPORTADORA"/>
    <x v="2"/>
    <n v="83115"/>
    <s v="OSCAR FACIROLLI JUNIOR"/>
    <s v="MG"/>
    <n v="932"/>
    <s v="CDP Prata"/>
    <n v="1350"/>
    <s v="W11530337"/>
    <s v="Acessórios"/>
    <x v="5"/>
    <n v="4"/>
    <n v="5004101"/>
    <s v="UNIDOCK'S ASSESSORIA E LOGISTICA DE"/>
    <n v="33.31"/>
    <d v="2025-02-25T00:00:00"/>
  </r>
  <r>
    <n v="253942888"/>
    <n v="64719728"/>
    <s v="ROB"/>
    <n v="9767054"/>
    <n v="671"/>
    <s v="DEV-ENVIADO PARA GESTÃO DE CONSEQUENCIA"/>
    <s v="TRANSPORTADORA"/>
    <x v="1"/>
    <n v="32681"/>
    <s v="FRION LTDA"/>
    <s v="RS"/>
    <n v="644"/>
    <s v="Plus"/>
    <n v="1350"/>
    <s v="W10733396"/>
    <s v="Tampas Móveis"/>
    <x v="3"/>
    <n v="5"/>
    <n v="5003024"/>
    <s v="RODOBRAS TRANSPORTES RODOVIARIOS LT"/>
    <n v="667.72"/>
    <d v="2025-02-25T00:00:00"/>
  </r>
  <r>
    <n v="253942888"/>
    <n v="64719728"/>
    <s v="ROB"/>
    <n v="9767054"/>
    <n v="671"/>
    <s v="DEV-ENVIADO PARA GESTÃO DE CONSEQUENCIA"/>
    <s v="TRANSPORTADORA"/>
    <x v="1"/>
    <n v="32681"/>
    <s v="FRION LTDA"/>
    <s v="RS"/>
    <n v="644"/>
    <s v="Plus"/>
    <n v="1350"/>
    <s v="W10827973"/>
    <s v="Placas de Controle"/>
    <x v="2"/>
    <n v="2"/>
    <n v="5003024"/>
    <s v="RODOBRAS TRANSPORTES RODOVIARIOS LT"/>
    <n v="662.9"/>
    <d v="2025-02-25T00:00:00"/>
  </r>
  <r>
    <n v="253942888"/>
    <n v="64719728"/>
    <s v="ROB"/>
    <n v="9767054"/>
    <n v="671"/>
    <s v="DEV-ENVIADO PARA GESTÃO DE CONSEQUENCIA"/>
    <s v="TRANSPORTADORA"/>
    <x v="1"/>
    <n v="32681"/>
    <s v="FRION LTDA"/>
    <s v="RS"/>
    <n v="644"/>
    <s v="Plus"/>
    <n v="1350"/>
    <s v="W11160582"/>
    <s v="Placas de Controle"/>
    <x v="2"/>
    <n v="1"/>
    <n v="5003024"/>
    <s v="RODOBRAS TRANSPORTES RODOVIARIOS LT"/>
    <n v="343.32"/>
    <d v="2025-02-25T00:00:00"/>
  </r>
  <r>
    <n v="253948549"/>
    <n v="64719818"/>
    <s v="REB"/>
    <n v="9177175"/>
    <n v="178"/>
    <s v="PEÇAS -Defeito de fabric./Sem Compressão"/>
    <s v="FUNCIONAL"/>
    <x v="1"/>
    <n v="61868"/>
    <s v="D L REFRIGERACOES PECAS E"/>
    <s v="MA"/>
    <n v="643"/>
    <s v="Elite"/>
    <n v="1350"/>
    <s v="W10393847"/>
    <s v="Compressores Herméticos"/>
    <x v="0"/>
    <n v="1"/>
    <n v="5004101"/>
    <s v="UNIDOCK'S ASSESSORIA E LOGISTICA DE"/>
    <n v="448.29"/>
    <d v="2025-03-07T00:00:00"/>
  </r>
  <r>
    <s v="Sem TR"/>
    <n v="64720535"/>
    <s v="REB"/>
    <n v="9855087"/>
    <n v="671"/>
    <s v="DEV-ENVIADO PARA GESTÃO DE CONSEQUENCIA"/>
    <s v="TRANSPORTADORA"/>
    <x v="1"/>
    <n v="30990"/>
    <s v="REFRIGERACAO DUFRIO COMERCIO E"/>
    <s v="ES"/>
    <n v="713"/>
    <s v="Key Account"/>
    <n v="1350"/>
    <n v="326021045"/>
    <s v="Recipientes de Evaporação"/>
    <x v="1"/>
    <n v="1"/>
    <n v="5004042"/>
    <s v="BRASIL WEB TRANSPORTES E LOGISTICA"/>
    <n v="4.4400000000000004"/>
    <d v="2025-02-26T00:00:00"/>
  </r>
  <r>
    <s v="Sem TR"/>
    <n v="64720706"/>
    <s v="REB"/>
    <n v="9858771"/>
    <n v="176"/>
    <s v="PEÇAS - Defeito de fabric./Interrompido"/>
    <s v="FUNCIONAL"/>
    <x v="1"/>
    <n v="3467"/>
    <s v="CONSEL PECAS E SERVICOS LTDA"/>
    <s v="SP"/>
    <n v="931"/>
    <s v="Ats Off"/>
    <n v="1350"/>
    <s v="W11377018"/>
    <s v="Placas de Controle"/>
    <x v="2"/>
    <n v="1"/>
    <n v="5004042"/>
    <s v="BRASIL WEB TRANSPORTES E LOGISTICA"/>
    <n v="570.72"/>
    <d v="2025-02-27T00:00:00"/>
  </r>
  <r>
    <s v="Sem TR"/>
    <n v="64720727"/>
    <s v="REB"/>
    <n v="9849436"/>
    <n v="90"/>
    <s v="CLIENTE-não solicitou"/>
    <s v="COMERCIAL"/>
    <x v="1"/>
    <n v="37369"/>
    <s v="NETO ASSISTENCIA TECNICA EM ELETROD"/>
    <s v="SC"/>
    <n v="350"/>
    <s v="Ats On"/>
    <n v="1350"/>
    <s v="W11687047"/>
    <s v="Anéis Hidro"/>
    <x v="3"/>
    <n v="4"/>
    <n v="5003024"/>
    <s v="RODOBRAS TRANSPORTES RODOVIARIOS LT"/>
    <n v="170.95"/>
    <d v="2025-02-27T00:00:00"/>
  </r>
  <r>
    <n v="253952188"/>
    <n v="64721072"/>
    <s v="REB"/>
    <n v="8529034"/>
    <n v="178"/>
    <s v="PEÇAS -Defeito de fabric./Sem Compressão"/>
    <s v="FUNCIONAL"/>
    <x v="1"/>
    <n v="21293"/>
    <s v="REFRIGERACAO J. L. BASSO LTDA"/>
    <s v="SP"/>
    <n v="643"/>
    <s v="Elite"/>
    <n v="1350"/>
    <s v="W10393809"/>
    <s v="Compressores Herméticos"/>
    <x v="0"/>
    <n v="3"/>
    <n v="5004042"/>
    <s v="BRASIL WEB TRANSPORTES E LOGISTICA"/>
    <n v="981.41"/>
    <d v="2025-03-10T00:00:00"/>
  </r>
  <r>
    <n v="253943895"/>
    <n v="64721207"/>
    <s v="REB"/>
    <n v="9902577"/>
    <n v="240"/>
    <s v="DEV-Avaria - 2 trecho transp - Produto"/>
    <s v="QUALIDADE"/>
    <x v="0"/>
    <n v="66"/>
    <s v="CENTROMAQ PECAS E SERVICOS LTDA"/>
    <s v="GO"/>
    <n v="931"/>
    <s v="Ats Off"/>
    <n v="1350"/>
    <s v="W10901199"/>
    <s v="Portas"/>
    <x v="3"/>
    <n v="1"/>
    <n v="5002858"/>
    <s v="FAVORITA TRANSPORTES LTDA"/>
    <n v="332.6"/>
    <d v="2025-02-26T00:00:00"/>
  </r>
  <r>
    <s v="Sem TR"/>
    <n v="64721280"/>
    <s v="REB"/>
    <n v="9870285"/>
    <n v="173"/>
    <s v="PEÇAS - Defeito de fabric./Alta Amperage"/>
    <s v="FUNCIONAL"/>
    <x v="1"/>
    <n v="62140"/>
    <s v="GELUBRAS COMERCIO E SERVICOS LTDA"/>
    <s v="SP"/>
    <n v="350"/>
    <s v="Ats On"/>
    <n v="1350"/>
    <s v="W10704809"/>
    <s v="Placas de Controle"/>
    <x v="2"/>
    <n v="1"/>
    <n v="5004042"/>
    <s v="BRASIL WEB TRANSPORTES E LOGISTICA"/>
    <n v="50.65"/>
    <d v="2025-02-27T00:00:00"/>
  </r>
  <r>
    <s v="Sem TR"/>
    <n v="64721361"/>
    <s v="REB"/>
    <n v="9823508"/>
    <n v="671"/>
    <s v="DEV-ENVIADO PARA GESTÃO DE CONSEQUENCIA"/>
    <s v="TRANSPORTADORA"/>
    <x v="1"/>
    <n v="81338"/>
    <s v="GABAN COMERCIO DE UTILIDADES"/>
    <s v="SP"/>
    <n v="644"/>
    <s v="Plus"/>
    <n v="1350"/>
    <n v="326047714"/>
    <s v="Prateleiras"/>
    <x v="1"/>
    <n v="1"/>
    <n v="5004042"/>
    <s v="BRASIL WEB TRANSPORTES E LOGISTICA"/>
    <n v="48.97"/>
    <d v="2025-02-27T00:00:00"/>
  </r>
  <r>
    <s v="Sem TR"/>
    <n v="64721704"/>
    <s v="REB"/>
    <n v="9824971"/>
    <n v="110"/>
    <s v="PEÇAS-Troca de produtos"/>
    <s v="GESTÃO DE TROCAS"/>
    <x v="1"/>
    <n v="24994"/>
    <s v="ROSA MARIA CORREA RIBEIRO &amp; CIA LT"/>
    <s v="MG"/>
    <n v="350"/>
    <s v="Ats On"/>
    <n v="1350"/>
    <s v="W10916584"/>
    <s v="Gaxetas"/>
    <x v="10"/>
    <n v="5"/>
    <n v="5004215"/>
    <s v="BRASIL WEB TRANSPORTES E LOGISTICA"/>
    <n v="328.39"/>
    <d v="2025-02-27T00:00:00"/>
  </r>
  <r>
    <s v="Sem TR"/>
    <n v="64721704"/>
    <s v="REB"/>
    <n v="9824971"/>
    <n v="110"/>
    <s v="PEÇAS-Troca de produtos"/>
    <s v="GESTÃO DE TROCAS"/>
    <x v="1"/>
    <n v="24994"/>
    <s v="ROSA MARIA CORREA RIBEIRO &amp; CIA LT"/>
    <s v="MG"/>
    <n v="350"/>
    <s v="Ats On"/>
    <n v="1350"/>
    <s v="W10916594"/>
    <s v="Gaxetas"/>
    <x v="10"/>
    <n v="5"/>
    <n v="5004215"/>
    <s v="BRASIL WEB TRANSPORTES E LOGISTICA"/>
    <n v="262.7"/>
    <d v="2025-02-27T00:00:00"/>
  </r>
  <r>
    <n v="253958873"/>
    <n v="64722318"/>
    <s v="REB"/>
    <n v="9936202"/>
    <n v="167"/>
    <s v="PEÇAS - Avaria - Quebrada/Depósito"/>
    <s v="LOGÍSTICA"/>
    <x v="2"/>
    <n v="69085"/>
    <s v="DO BEN COMERCIO DE PECAS"/>
    <s v="SP"/>
    <n v="641"/>
    <s v="CDP Diamante"/>
    <n v="1350"/>
    <s v="W10402555"/>
    <s v="Pés"/>
    <x v="3"/>
    <n v="1"/>
    <n v="5004042"/>
    <s v="BRASIL WEB TRANSPORTES E LOGISTICA"/>
    <n v="7.63"/>
    <d v="2025-03-21T00:00:00"/>
  </r>
  <r>
    <s v="Sem TR"/>
    <n v="64723097"/>
    <s v="REB"/>
    <n v="9895588"/>
    <n v="178"/>
    <s v="PEÇAS -Defeito de fabric./Sem Compressão"/>
    <s v="FUNCIONAL"/>
    <x v="1"/>
    <n v="62140"/>
    <s v="GELUBRAS COMERCIO E SERVICOS LTDA"/>
    <s v="SP"/>
    <n v="350"/>
    <s v="Ats On"/>
    <n v="1350"/>
    <s v="W10388219"/>
    <s v="Compressores Herméticos"/>
    <x v="0"/>
    <n v="1"/>
    <n v="5004042"/>
    <s v="BRASIL WEB TRANSPORTES E LOGISTICA"/>
    <n v="702.84"/>
    <d v="2025-03-04T00:00:00"/>
  </r>
  <r>
    <n v="254041600"/>
    <n v="64723383"/>
    <s v="ZDVP"/>
    <n v="9749235"/>
    <n v="173"/>
    <s v="PEÇAS - Defeito de fabric./Alta Amperage"/>
    <s v="FUNCIONAL"/>
    <x v="0"/>
    <n v="67948"/>
    <s v="REFRICRIL DISTRIBUIDORA DE AR REFRI"/>
    <s v="SC"/>
    <n v="713"/>
    <s v="Key Account"/>
    <n v="1350"/>
    <s v="W11300816"/>
    <s v="Mecanismos"/>
    <x v="4"/>
    <n v="5"/>
    <n v="5003024"/>
    <s v="RODOBRAS TRANSPORTES RODOVIARIOS LT"/>
    <n v="526.54999999999995"/>
    <d v="2025-03-10T00:00:00"/>
  </r>
  <r>
    <n v="253952543"/>
    <n v="64723392"/>
    <s v="REB"/>
    <n v="9866683"/>
    <n v="167"/>
    <s v="PEÇAS - Avaria - Quebrada/Depósito"/>
    <s v="LOGÍSTICA"/>
    <x v="1"/>
    <n v="83572"/>
    <s v="GRAN ELETRO GOURMET LTDA"/>
    <s v="SP"/>
    <n v="931"/>
    <s v="Ats Off"/>
    <n v="1350"/>
    <n v="326033758"/>
    <s v="Tampas Fixas"/>
    <x v="3"/>
    <n v="1"/>
    <n v="5004042"/>
    <s v="BRASIL WEB TRANSPORTES E LOGISTICA"/>
    <n v="22.15"/>
    <d v="2025-03-08T00:00:00"/>
  </r>
  <r>
    <n v="253952273"/>
    <n v="64724062"/>
    <s v="REB"/>
    <n v="9620888"/>
    <n v="173"/>
    <s v="PEÇAS - Defeito de fabric./Alta Amperage"/>
    <s v="FUNCIONAL"/>
    <x v="1"/>
    <n v="31587"/>
    <s v="COPEGEL REFRIGERACAO LTDA"/>
    <s v="SP"/>
    <n v="643"/>
    <s v="Elite"/>
    <n v="1350"/>
    <s v="W11199201"/>
    <s v="Placas de Controle"/>
    <x v="2"/>
    <n v="1"/>
    <n v="5004042"/>
    <s v="BRASIL WEB TRANSPORTES E LOGISTICA"/>
    <n v="299.06"/>
    <d v="2025-03-08T00:00:00"/>
  </r>
  <r>
    <n v="253952289"/>
    <n v="64725191"/>
    <s v="REB"/>
    <n v="9431431"/>
    <n v="178"/>
    <s v="PEÇAS -Defeito de fabric./Sem Compressão"/>
    <s v="FUNCIONAL"/>
    <x v="1"/>
    <n v="32455"/>
    <s v="FRIOSAMO REFRIGERACAO LTDA"/>
    <s v="SP"/>
    <n v="643"/>
    <s v="Elite"/>
    <n v="1350"/>
    <s v="W10769940"/>
    <s v="Compressores Herméticos"/>
    <x v="0"/>
    <n v="1"/>
    <n v="5004042"/>
    <s v="BRASIL WEB TRANSPORTES E LOGISTICA"/>
    <n v="397.6"/>
    <d v="2025-03-10T00:00:00"/>
  </r>
  <r>
    <n v="253952272"/>
    <n v="64725193"/>
    <s v="REB"/>
    <n v="9819950"/>
    <n v="178"/>
    <s v="PEÇAS -Defeito de fabric./Sem Compressão"/>
    <s v="FUNCIONAL"/>
    <x v="1"/>
    <n v="31587"/>
    <s v="COPEGEL REFRIGERACAO LTDA"/>
    <s v="SP"/>
    <n v="643"/>
    <s v="Elite"/>
    <n v="1350"/>
    <s v="W10666797"/>
    <s v="Compressores Herméticos"/>
    <x v="0"/>
    <n v="1"/>
    <n v="5004042"/>
    <s v="BRASIL WEB TRANSPORTES E LOGISTICA"/>
    <n v="539.99"/>
    <d v="2025-03-10T00:00:00"/>
  </r>
  <r>
    <n v="253948533"/>
    <n v="64725271"/>
    <s v="REB"/>
    <n v="9765763"/>
    <n v="173"/>
    <s v="PEÇAS - Defeito de fabric./Alta Amperage"/>
    <s v="FUNCIONAL"/>
    <x v="1"/>
    <n v="61868"/>
    <s v="D L REFRIGERACOES PECAS E"/>
    <s v="MA"/>
    <n v="643"/>
    <s v="Elite"/>
    <n v="1350"/>
    <s v="W10754676"/>
    <s v="Suportes"/>
    <x v="3"/>
    <n v="1"/>
    <n v="5004101"/>
    <s v="UNIDOCK'S ASSESSORIA E LOGISTICA DE"/>
    <n v="28.4"/>
    <d v="2025-03-07T00:00:00"/>
  </r>
  <r>
    <n v="253952165"/>
    <n v="64725303"/>
    <s v="REB"/>
    <n v="9840914"/>
    <n v="173"/>
    <s v="PEÇAS - Defeito de fabric./Alta Amperage"/>
    <s v="FUNCIONAL"/>
    <x v="1"/>
    <n v="8975"/>
    <s v="FORT CENTER REFRIGERACAO LTDA"/>
    <s v="MA"/>
    <n v="931"/>
    <s v="Ats Off"/>
    <n v="1350"/>
    <n v="326047714"/>
    <s v="Prateleiras"/>
    <x v="1"/>
    <n v="3"/>
    <n v="5004101"/>
    <s v="UNIDOCK'S ASSESSORIA E LOGISTICA DE"/>
    <n v="101.87"/>
    <d v="2025-03-08T00:00:00"/>
  </r>
  <r>
    <n v="253952167"/>
    <n v="64725313"/>
    <s v="REB"/>
    <n v="9869610"/>
    <n v="173"/>
    <s v="PEÇAS - Defeito de fabric./Alta Amperage"/>
    <s v="FUNCIONAL"/>
    <x v="1"/>
    <n v="9452"/>
    <s v="MULTICENTER COMERCIO E SERVICOS"/>
    <s v="SP"/>
    <n v="931"/>
    <s v="Ats Off"/>
    <n v="1350"/>
    <s v="W10276002"/>
    <s v="Motores"/>
    <x v="2"/>
    <n v="1"/>
    <n v="5004042"/>
    <s v="BRASIL WEB TRANSPORTES E LOGISTICA"/>
    <n v="219.01"/>
    <d v="2025-03-10T00:00:00"/>
  </r>
  <r>
    <n v="253952287"/>
    <n v="64725697"/>
    <s v="REB"/>
    <n v="9441523"/>
    <n v="178"/>
    <s v="PEÇAS -Defeito de fabric./Sem Compressão"/>
    <s v="FUNCIONAL"/>
    <x v="1"/>
    <n v="32455"/>
    <s v="FRIOSAMO REFRIGERACAO LTDA"/>
    <s v="SP"/>
    <n v="643"/>
    <s v="Elite"/>
    <n v="1350"/>
    <s v="W11647660"/>
    <s v="Compressores Herméticos"/>
    <x v="0"/>
    <n v="1"/>
    <n v="5004042"/>
    <s v="BRASIL WEB TRANSPORTES E LOGISTICA"/>
    <n v="320.51"/>
    <d v="2025-03-10T00:00:00"/>
  </r>
  <r>
    <n v="253952273"/>
    <n v="64725707"/>
    <s v="REB"/>
    <n v="9800675"/>
    <n v="173"/>
    <s v="PEÇAS - Defeito de fabric./Alta Amperage"/>
    <s v="FUNCIONAL"/>
    <x v="1"/>
    <n v="31587"/>
    <s v="COPEGEL REFRIGERACAO LTDA"/>
    <s v="SP"/>
    <n v="643"/>
    <s v="Elite"/>
    <n v="1350"/>
    <s v="W10721910"/>
    <s v="Pressostatos"/>
    <x v="8"/>
    <n v="1"/>
    <n v="5004042"/>
    <s v="BRASIL WEB TRANSPORTES E LOGISTICA"/>
    <n v="19.36"/>
    <d v="2025-03-08T00:00:00"/>
  </r>
  <r>
    <s v="Sem TR"/>
    <n v="64725713"/>
    <s v="ROB"/>
    <n v="9874440"/>
    <n v="25"/>
    <s v="OC. 80 - EXTRAVIO TOTAL"/>
    <s v="TRANSPORTADORA"/>
    <x v="2"/>
    <n v="41896"/>
    <s v="N OLIVEIRA SOARES LTDA"/>
    <s v="MG"/>
    <n v="350"/>
    <s v="Ats On"/>
    <n v="1350"/>
    <s v="W10798744"/>
    <s v="Compressores Herméticos"/>
    <x v="0"/>
    <n v="7"/>
    <n v="5004101"/>
    <s v="UNIDOCK'S ASSESSORIA E LOGISTICA DE"/>
    <n v="2285.2600000000002"/>
    <d v="2025-03-07T00:00:00"/>
  </r>
  <r>
    <s v="Sem TR"/>
    <n v="64725713"/>
    <s v="ROB"/>
    <n v="9874440"/>
    <n v="25"/>
    <s v="OC. 80 - EXTRAVIO TOTAL"/>
    <s v="TRANSPORTADORA"/>
    <x v="2"/>
    <n v="41896"/>
    <s v="N OLIVEIRA SOARES LTDA"/>
    <s v="MG"/>
    <n v="350"/>
    <s v="Ats On"/>
    <n v="1350"/>
    <s v="W11245249"/>
    <s v="Válvulas de Água"/>
    <x v="6"/>
    <n v="3"/>
    <n v="5004101"/>
    <s v="UNIDOCK'S ASSESSORIA E LOGISTICA DE"/>
    <n v="146.82"/>
    <d v="2025-03-07T00:00:00"/>
  </r>
  <r>
    <s v="Sem TR"/>
    <n v="64725713"/>
    <s v="ROB"/>
    <n v="9874440"/>
    <n v="25"/>
    <s v="OC. 80 - EXTRAVIO TOTAL"/>
    <s v="TRANSPORTADORA"/>
    <x v="2"/>
    <n v="41896"/>
    <s v="N OLIVEIRA SOARES LTDA"/>
    <s v="MG"/>
    <n v="350"/>
    <s v="Ats On"/>
    <n v="1350"/>
    <s v="W11360276"/>
    <s v="Filtros"/>
    <x v="6"/>
    <n v="5"/>
    <n v="5004101"/>
    <s v="UNIDOCK'S ASSESSORIA E LOGISTICA DE"/>
    <n v="120.2"/>
    <d v="2025-03-07T00:00:00"/>
  </r>
  <r>
    <s v="Sem TR"/>
    <n v="64725741"/>
    <s v="ROB"/>
    <n v="9817143"/>
    <n v="221"/>
    <s v="DEV-Sinistro - SEGURO"/>
    <s v="TRANSPORTADORA"/>
    <x v="2"/>
    <n v="4687"/>
    <s v="DUPA COMERCIAL DE PECAS LTDA"/>
    <s v="SC"/>
    <n v="350"/>
    <s v="Ats On"/>
    <n v="1350"/>
    <s v="W10515645"/>
    <s v="Filtros"/>
    <x v="6"/>
    <n v="10"/>
    <n v="5003024"/>
    <s v="RODOBRAS TRANSPORTES RODOVIARIOS LT"/>
    <n v="205.5"/>
    <d v="2025-03-06T00:00:00"/>
  </r>
  <r>
    <s v="Sem TR"/>
    <n v="64725741"/>
    <s v="ROB"/>
    <n v="9817143"/>
    <n v="221"/>
    <s v="DEV-Sinistro - SEGURO"/>
    <s v="TRANSPORTADORA"/>
    <x v="2"/>
    <n v="4687"/>
    <s v="DUPA COMERCIAL DE PECAS LTDA"/>
    <s v="SC"/>
    <n v="350"/>
    <s v="Ats On"/>
    <n v="1350"/>
    <s v="W10788977"/>
    <s v="Lâmpadas"/>
    <x v="2"/>
    <n v="2"/>
    <n v="5003024"/>
    <s v="RODOBRAS TRANSPORTES RODOVIARIOS LT"/>
    <n v="76.63"/>
    <d v="2025-03-06T00:00:00"/>
  </r>
  <r>
    <s v="Sem TR"/>
    <n v="64725741"/>
    <s v="ROB"/>
    <n v="9817143"/>
    <n v="221"/>
    <s v="DEV-Sinistro - SEGURO"/>
    <s v="TRANSPORTADORA"/>
    <x v="2"/>
    <n v="4687"/>
    <s v="DUPA COMERCIAL DE PECAS LTDA"/>
    <s v="SC"/>
    <n v="350"/>
    <s v="Ats On"/>
    <n v="1350"/>
    <s v="W10849470"/>
    <s v="Bombas"/>
    <x v="2"/>
    <n v="4"/>
    <n v="5003024"/>
    <s v="RODOBRAS TRANSPORTES RODOVIARIOS LT"/>
    <n v="112.17"/>
    <d v="2025-03-06T00:00:00"/>
  </r>
  <r>
    <s v="Sem TR"/>
    <n v="64725741"/>
    <s v="ROB"/>
    <n v="9817143"/>
    <n v="221"/>
    <s v="DEV-Sinistro - SEGURO"/>
    <s v="TRANSPORTADORA"/>
    <x v="2"/>
    <n v="4687"/>
    <s v="DUPA COMERCIAL DE PECAS LTDA"/>
    <s v="SC"/>
    <n v="350"/>
    <s v="Ats On"/>
    <n v="1350"/>
    <s v="W10882241"/>
    <s v="Agitadores"/>
    <x v="4"/>
    <n v="1"/>
    <n v="5003024"/>
    <s v="RODOBRAS TRANSPORTES RODOVIARIOS LT"/>
    <n v="45.84"/>
    <d v="2025-03-06T00:00:00"/>
  </r>
  <r>
    <s v="Sem TR"/>
    <n v="64725748"/>
    <s v="REB"/>
    <n v="9879589"/>
    <n v="125"/>
    <s v="DEV-Extravio de produto (Transportadora)"/>
    <s v="TRANSPORTADORA"/>
    <x v="2"/>
    <n v="1255"/>
    <s v="PRAMAK REFRIGERACAO, PECAS E"/>
    <s v="CE"/>
    <n v="931"/>
    <s v="Ats Off"/>
    <n v="1350"/>
    <s v="W11199342"/>
    <s v="Filtros"/>
    <x v="6"/>
    <n v="1"/>
    <n v="5004101"/>
    <s v="UNIDOCK'S ASSESSORIA E LOGISTICA DE"/>
    <n v="77.430000000000007"/>
    <d v="2025-03-06T00:00:00"/>
  </r>
  <r>
    <s v="Sem TR"/>
    <n v="64725749"/>
    <s v="REB"/>
    <n v="9879591"/>
    <n v="125"/>
    <s v="DEV-Extravio de produto (Transportadora)"/>
    <s v="TRANSPORTADORA"/>
    <x v="2"/>
    <n v="1255"/>
    <s v="PRAMAK REFRIGERACAO, PECAS E"/>
    <s v="CE"/>
    <n v="931"/>
    <s v="Ats Off"/>
    <n v="1350"/>
    <n v="326035882"/>
    <s v="Capas"/>
    <x v="3"/>
    <n v="1"/>
    <n v="5004101"/>
    <s v="UNIDOCK'S ASSESSORIA E LOGISTICA DE"/>
    <n v="5.77"/>
    <d v="2025-03-06T00:00:00"/>
  </r>
  <r>
    <s v="Sem TR"/>
    <n v="64726081"/>
    <s v="ROB"/>
    <n v="9901094"/>
    <n v="671"/>
    <s v="DEV-ENVIADO PARA GESTÃO DE CONSEQUENCIA"/>
    <s v="TRANSPORTADORA"/>
    <x v="1"/>
    <n v="578"/>
    <s v="AMERICA DISTR DE PECAS E SERVS LTDA"/>
    <s v="MG"/>
    <n v="350"/>
    <s v="Ats On"/>
    <n v="1350"/>
    <n v="708056705"/>
    <s v="Parafusos e afins"/>
    <x v="7"/>
    <n v="20"/>
    <n v="5004101"/>
    <s v="UNIDOCK'S ASSESSORIA E LOGISTICA DE"/>
    <n v="51.97"/>
    <d v="2025-03-06T00:00:00"/>
  </r>
  <r>
    <n v="254041603"/>
    <n v="64726428"/>
    <s v="ZDVP"/>
    <n v="8135112"/>
    <n v="178"/>
    <s v="PEÇAS -Defeito de fabric./Sem Compressão"/>
    <s v="FUNCIONAL"/>
    <x v="2"/>
    <n v="27253"/>
    <s v="S.M. QUARESMA"/>
    <s v="PI"/>
    <n v="931"/>
    <s v="Ats Off"/>
    <n v="1350"/>
    <s v="W10769940"/>
    <s v="Compressores Herméticos"/>
    <x v="0"/>
    <n v="1"/>
    <n v="5004101"/>
    <s v="UNIDOCK'S ASSESSORIA E LOGISTICA DE"/>
    <n v="345.23"/>
    <d v="2025-03-10T00:00:00"/>
  </r>
  <r>
    <n v="253991335"/>
    <n v="64726430"/>
    <s v="REB"/>
    <n v="9431521"/>
    <n v="173"/>
    <s v="PEÇAS - Defeito de fabric./Alta Amperage"/>
    <s v="FUNCIONAL"/>
    <x v="1"/>
    <n v="72785"/>
    <s v="BASTA PECAS LTDA"/>
    <s v="SP"/>
    <n v="641"/>
    <s v="CDP Diamante"/>
    <n v="1350"/>
    <s v="W10798744"/>
    <s v="Compressores Herméticos"/>
    <x v="0"/>
    <n v="2"/>
    <n v="5004042"/>
    <s v="BRASIL WEB TRANSPORTES E LOGISTICA"/>
    <n v="671.17"/>
    <d v="2025-03-08T00:00:00"/>
  </r>
  <r>
    <n v="253948555"/>
    <n v="64726435"/>
    <s v="REB"/>
    <n v="9608967"/>
    <n v="178"/>
    <s v="PEÇAS -Defeito de fabric./Sem Compressão"/>
    <s v="FUNCIONAL"/>
    <x v="1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73.76"/>
    <d v="2025-03-07T00:00:00"/>
  </r>
  <r>
    <n v="253948558"/>
    <n v="64726468"/>
    <s v="REB"/>
    <n v="9500606"/>
    <n v="178"/>
    <s v="PEÇAS -Defeito de fabric./Sem Compressão"/>
    <s v="FUNCIONAL"/>
    <x v="1"/>
    <n v="61868"/>
    <s v="D L REFRIGERACOES PECAS E"/>
    <s v="MA"/>
    <n v="643"/>
    <s v="Elite"/>
    <n v="1350"/>
    <s v="W10769940"/>
    <s v="Compressores Herméticos"/>
    <x v="0"/>
    <n v="1"/>
    <n v="5004101"/>
    <s v="UNIDOCK'S ASSESSORIA E LOGISTICA DE"/>
    <n v="352.54"/>
    <d v="2025-03-07T00:00:00"/>
  </r>
  <r>
    <n v="253948586"/>
    <n v="64726484"/>
    <s v="REB"/>
    <n v="9738622"/>
    <n v="176"/>
    <s v="PEÇAS - Defeito de fabric./Interrompido"/>
    <s v="FUNCIONAL"/>
    <x v="1"/>
    <n v="83572"/>
    <s v="GRAN ELETRO GOURMET LTDA"/>
    <s v="SP"/>
    <n v="931"/>
    <s v="Ats Off"/>
    <n v="1350"/>
    <s v="W11435392"/>
    <s v="Placas de Controle"/>
    <x v="2"/>
    <n v="1"/>
    <n v="5004042"/>
    <s v="BRASIL WEB TRANSPORTES E LOGISTICA"/>
    <n v="185.49"/>
    <d v="2025-03-07T00:00:00"/>
  </r>
  <r>
    <n v="254041581"/>
    <n v="64726499"/>
    <s v="ZDVP"/>
    <n v="9558017"/>
    <n v="173"/>
    <s v="PEÇAS - Defeito de fabric./Alta Amperage"/>
    <s v="FUNCIONAL"/>
    <x v="2"/>
    <n v="61868"/>
    <s v="D L REFRIGERACOES PECAS E"/>
    <s v="MA"/>
    <n v="643"/>
    <s v="Elite"/>
    <n v="1350"/>
    <s v="W11299803"/>
    <s v="Mecanismos"/>
    <x v="4"/>
    <n v="1"/>
    <n v="5004101"/>
    <s v="UNIDOCK'S ASSESSORIA E LOGISTICA DE"/>
    <n v="86.54"/>
    <d v="2025-03-07T00:00:00"/>
  </r>
  <r>
    <s v="Sem TR"/>
    <n v="64726557"/>
    <s v="REB"/>
    <n v="9879900"/>
    <n v="671"/>
    <s v="DEV-ENVIADO PARA GESTÃO DE CONSEQUENCIA"/>
    <s v="TRANSPORTADORA"/>
    <x v="1"/>
    <n v="5039"/>
    <s v="MAQ TEC COMERCIO DE PECAS"/>
    <s v="RS"/>
    <n v="350"/>
    <s v="Ats On"/>
    <n v="1350"/>
    <s v="W11300681"/>
    <s v="Mecanismos"/>
    <x v="4"/>
    <n v="2"/>
    <n v="5003024"/>
    <s v="RODOBRAS TRANSPORTES RODOVIARIOS LT"/>
    <n v="381.2"/>
    <d v="2025-03-07T00:00:00"/>
  </r>
  <r>
    <n v="253952567"/>
    <n v="64726568"/>
    <s v="REB"/>
    <n v="9875261"/>
    <n v="167"/>
    <s v="PEÇAS - Avaria - Quebrada/Depósito"/>
    <s v="LOGÍSTICA"/>
    <x v="1"/>
    <n v="87707"/>
    <s v="REFRIGERA BRASIL CLIMATIZACAO E REF"/>
    <s v="BA"/>
    <n v="648"/>
    <s v="Ultra"/>
    <n v="1350"/>
    <n v="326039057"/>
    <s v="Gabinetes"/>
    <x v="3"/>
    <n v="2"/>
    <n v="5004101"/>
    <s v="UNIDOCK'S ASSESSORIA E LOGISTICA DE"/>
    <n v="771.99"/>
    <d v="2025-03-11T00:00:00"/>
  </r>
  <r>
    <n v="253952567"/>
    <n v="64726568"/>
    <s v="REB"/>
    <n v="9875261"/>
    <n v="167"/>
    <s v="PEÇAS - Avaria - Quebrada/Depósito"/>
    <s v="LOGÍSTICA"/>
    <x v="1"/>
    <n v="87707"/>
    <s v="REFRIGERA BRASIL CLIMATIZACAO E REF"/>
    <s v="BA"/>
    <n v="648"/>
    <s v="Ultra"/>
    <n v="1350"/>
    <s v="W10287524"/>
    <s v="Prateleiras"/>
    <x v="1"/>
    <n v="1"/>
    <n v="5004101"/>
    <s v="UNIDOCK'S ASSESSORIA E LOGISTICA DE"/>
    <n v="25.68"/>
    <d v="2025-03-11T00:00:00"/>
  </r>
  <r>
    <n v="253948545"/>
    <n v="64726610"/>
    <s v="REB"/>
    <n v="9779878"/>
    <n v="178"/>
    <s v="PEÇAS -Defeito de fabric./Sem Compressão"/>
    <s v="FUNCIONAL"/>
    <x v="1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3-07T00:00:00"/>
  </r>
  <r>
    <n v="253948580"/>
    <n v="64726614"/>
    <s v="REB"/>
    <n v="9688024"/>
    <n v="178"/>
    <s v="PEÇAS -Defeito de fabric./Sem Compressão"/>
    <s v="FUNCIONAL"/>
    <x v="1"/>
    <n v="80573"/>
    <s v="L P NEVES COMERCIO"/>
    <s v="MA"/>
    <n v="643"/>
    <s v="Elite"/>
    <n v="1350"/>
    <s v="W11741179"/>
    <s v="Outros"/>
    <x v="5"/>
    <n v="2"/>
    <n v="5004101"/>
    <s v="UNIDOCK'S ASSESSORIA E LOGISTICA DE"/>
    <n v="638.37"/>
    <d v="2025-03-07T00:00:00"/>
  </r>
  <r>
    <s v="Sem TR"/>
    <n v="64726662"/>
    <s v="REB"/>
    <n v="9795106"/>
    <n v="173"/>
    <s v="PEÇAS - Defeito de fabric./Alta Amperage"/>
    <s v="FUNCIONAL"/>
    <x v="1"/>
    <n v="9599"/>
    <s v="LITORAL SERV - COMERCIO DE PECAS"/>
    <s v="SP"/>
    <n v="931"/>
    <s v="Ats Off"/>
    <n v="1350"/>
    <s v="W11283283"/>
    <s v="Termostatos"/>
    <x v="8"/>
    <n v="1"/>
    <n v="5004042"/>
    <s v="BRASIL WEB TRANSPORTES E LOGISTICA"/>
    <n v="42.45"/>
    <d v="2025-03-11T00:00:00"/>
  </r>
  <r>
    <n v="253952168"/>
    <n v="64726662"/>
    <s v="REB"/>
    <n v="9795106"/>
    <n v="173"/>
    <s v="PEÇAS - Defeito de fabric./Alta Amperage"/>
    <s v="FUNCIONAL"/>
    <x v="1"/>
    <n v="9599"/>
    <s v="LITORAL SERV - COMERCIO DE PECAS"/>
    <s v="SP"/>
    <n v="931"/>
    <s v="Ats Off"/>
    <n v="1350"/>
    <s v="W11647662"/>
    <s v="Compressores Herméticos"/>
    <x v="0"/>
    <n v="1"/>
    <n v="5004042"/>
    <s v="BRASIL WEB TRANSPORTES E LOGISTICA"/>
    <n v="342.56"/>
    <d v="2025-03-11T00:00:00"/>
  </r>
  <r>
    <n v="253948562"/>
    <n v="64726730"/>
    <s v="REB"/>
    <n v="9792871"/>
    <n v="173"/>
    <s v="PEÇAS - Defeito de fabric./Alta Amperage"/>
    <s v="FUNCIONAL"/>
    <x v="1"/>
    <n v="64522"/>
    <s v="REFRIGERACAO CACIQUE RIO PRETO"/>
    <s v="SP"/>
    <n v="643"/>
    <s v="Elite"/>
    <n v="1350"/>
    <s v="W11300816"/>
    <s v="Mecanismos"/>
    <x v="4"/>
    <n v="1"/>
    <n v="5004042"/>
    <s v="BRASIL WEB TRANSPORTES E LOGISTICA"/>
    <n v="118.82"/>
    <d v="2025-03-07T00:00:00"/>
  </r>
  <r>
    <n v="253948553"/>
    <n v="64726734"/>
    <s v="REB"/>
    <n v="9608967"/>
    <n v="178"/>
    <s v="PEÇAS -Defeito de fabric./Sem Compressão"/>
    <s v="FUNCIONAL"/>
    <x v="1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73.76"/>
    <d v="2025-03-07T00:00:00"/>
  </r>
  <r>
    <n v="253948554"/>
    <n v="64726740"/>
    <s v="REB"/>
    <n v="9608967"/>
    <n v="178"/>
    <s v="PEÇAS -Defeito de fabric./Sem Compressão"/>
    <s v="FUNCIONAL"/>
    <x v="1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73.76"/>
    <d v="2025-03-07T00:00:00"/>
  </r>
  <r>
    <n v="253948580"/>
    <n v="64726783"/>
    <s v="REB"/>
    <n v="9591303"/>
    <n v="173"/>
    <s v="PEÇAS - Defeito de fabric./Alta Amperage"/>
    <s v="FUNCIONAL"/>
    <x v="1"/>
    <n v="80573"/>
    <s v="L P NEVES COMERCIO"/>
    <s v="MA"/>
    <n v="643"/>
    <s v="Elite"/>
    <n v="1350"/>
    <s v="W10828358"/>
    <s v="Pressostatos"/>
    <x v="8"/>
    <n v="1"/>
    <n v="5004101"/>
    <s v="UNIDOCK'S ASSESSORIA E LOGISTICA DE"/>
    <n v="28.68"/>
    <d v="2025-03-07T00:00:00"/>
  </r>
  <r>
    <n v="253948497"/>
    <n v="64726800"/>
    <s v="REB"/>
    <n v="9690675"/>
    <n v="178"/>
    <s v="PEÇAS -Defeito de fabric./Sem Compressão"/>
    <s v="FUNCIONAL"/>
    <x v="1"/>
    <n v="32023"/>
    <s v="REFRIBASSO COMERCIO DE PECAS"/>
    <s v="SP"/>
    <n v="643"/>
    <s v="Elite"/>
    <n v="1350"/>
    <s v="W10375479"/>
    <s v="Compressores Herméticos"/>
    <x v="0"/>
    <n v="4"/>
    <n v="5004042"/>
    <s v="BRASIL WEB TRANSPORTES E LOGISTICA"/>
    <n v="1839.87"/>
    <d v="2025-03-07T00:00:00"/>
  </r>
  <r>
    <n v="253948564"/>
    <n v="64726817"/>
    <s v="REB"/>
    <n v="9690678"/>
    <n v="178"/>
    <s v="PEÇAS -Defeito de fabric./Sem Compressão"/>
    <s v="FUNCIONAL"/>
    <x v="1"/>
    <n v="65059"/>
    <s v="REFRISSUL COMERCIO DE PECAS"/>
    <s v="SP"/>
    <n v="643"/>
    <s v="Elite"/>
    <n v="1350"/>
    <s v="W10375479"/>
    <s v="Compressores Herméticos"/>
    <x v="0"/>
    <n v="4"/>
    <n v="5004042"/>
    <s v="BRASIL WEB TRANSPORTES E LOGISTICA"/>
    <n v="1839.92"/>
    <d v="2025-03-07T00:00:00"/>
  </r>
  <r>
    <n v="253952518"/>
    <n v="64726830"/>
    <s v="REB"/>
    <n v="9857728"/>
    <n v="671"/>
    <s v="DEV-ENVIADO PARA GESTÃO DE CONSEQUENCIA"/>
    <s v="TRANSPORTADORA"/>
    <x v="1"/>
    <n v="79141"/>
    <s v="BRUNO JOSE DOS SANTOS"/>
    <s v="RS"/>
    <n v="932"/>
    <s v="CDP Prata"/>
    <n v="1350"/>
    <s v="W10512610"/>
    <s v="Tampas Móveis"/>
    <x v="3"/>
    <n v="8"/>
    <n v="5003024"/>
    <s v="RODOBRAS TRANSPORTES RODOVIARIOS LT"/>
    <n v="1021.16"/>
    <d v="2025-03-10T00:00:00"/>
  </r>
  <r>
    <n v="253948580"/>
    <n v="64727011"/>
    <s v="REB"/>
    <n v="9355328"/>
    <n v="173"/>
    <s v="PEÇAS - Defeito de fabric./Alta Amperage"/>
    <s v="FUNCIONAL"/>
    <x v="1"/>
    <n v="80573"/>
    <s v="L P NEVES COMERCIO"/>
    <s v="MA"/>
    <n v="643"/>
    <s v="Elite"/>
    <n v="1350"/>
    <s v="W11634491"/>
    <s v="Placas de Controle"/>
    <x v="2"/>
    <n v="1"/>
    <n v="5004101"/>
    <s v="UNIDOCK'S ASSESSORIA E LOGISTICA DE"/>
    <n v="99.86"/>
    <d v="2025-03-07T00:00:00"/>
  </r>
  <r>
    <n v="253948450"/>
    <n v="64727012"/>
    <s v="REB"/>
    <n v="9861291"/>
    <n v="671"/>
    <s v="DEV-ENVIADO PARA GESTÃO DE CONSEQUENCIA"/>
    <s v="TRANSPORTADORA"/>
    <x v="1"/>
    <n v="4585"/>
    <s v="ELETRO PECAS REAL LTDA"/>
    <s v="SC"/>
    <n v="350"/>
    <s v="Ats On"/>
    <n v="1350"/>
    <s v="W11300695"/>
    <s v="Mecanismos"/>
    <x v="4"/>
    <n v="1"/>
    <n v="5003024"/>
    <s v="RODOBRAS TRANSPORTES RODOVIARIOS LT"/>
    <n v="184.95"/>
    <d v="2025-03-07T00:00:00"/>
  </r>
  <r>
    <n v="253948564"/>
    <n v="64727139"/>
    <s v="REB"/>
    <n v="9690679"/>
    <n v="178"/>
    <s v="PEÇAS -Defeito de fabric./Sem Compressão"/>
    <s v="FUNCIONAL"/>
    <x v="1"/>
    <n v="65059"/>
    <s v="REFRISSUL COMERCIO DE PECAS"/>
    <s v="SP"/>
    <n v="643"/>
    <s v="Elite"/>
    <n v="1350"/>
    <s v="W10393823"/>
    <s v="Compressores Herméticos"/>
    <x v="0"/>
    <n v="4"/>
    <n v="5004042"/>
    <s v="BRASIL WEB TRANSPORTES E LOGISTICA"/>
    <n v="2029.85"/>
    <d v="2025-03-07T00:00:00"/>
  </r>
  <r>
    <n v="253948569"/>
    <n v="64727216"/>
    <s v="REB"/>
    <n v="9851971"/>
    <n v="671"/>
    <s v="DEV-ENVIADO PARA GESTÃO DE CONSEQUENCIA"/>
    <s v="TRANSPORTADORA"/>
    <x v="1"/>
    <n v="72648"/>
    <s v="ABATEC - COMERCIO DE PECAS"/>
    <s v="PR"/>
    <n v="932"/>
    <s v="CDP Prata"/>
    <n v="1350"/>
    <s v="W10460618"/>
    <s v="Tampas Móveis"/>
    <x v="3"/>
    <n v="1"/>
    <n v="5003024"/>
    <s v="RODOBRAS TRANSPORTES RODOVIARIOS LT"/>
    <n v="150.94999999999999"/>
    <d v="2025-03-07T00:00:00"/>
  </r>
  <r>
    <n v="253948451"/>
    <n v="64727224"/>
    <s v="REB"/>
    <n v="9861291"/>
    <n v="671"/>
    <s v="DEV-ENVIADO PARA GESTÃO DE CONSEQUENCIA"/>
    <s v="TRANSPORTADORA"/>
    <x v="1"/>
    <n v="4585"/>
    <s v="ELETRO PECAS REAL LTDA"/>
    <s v="SC"/>
    <n v="350"/>
    <s v="Ats On"/>
    <n v="1350"/>
    <s v="W11300816"/>
    <s v="Mecanismos"/>
    <x v="4"/>
    <n v="1"/>
    <n v="5003024"/>
    <s v="RODOBRAS TRANSPORTES RODOVIARIOS LT"/>
    <n v="109.89"/>
    <d v="2025-03-07T00:00:00"/>
  </r>
  <r>
    <n v="253952273"/>
    <n v="64727426"/>
    <s v="REB"/>
    <n v="9716703"/>
    <n v="173"/>
    <s v="PEÇAS - Defeito de fabric./Alta Amperage"/>
    <s v="FUNCIONAL"/>
    <x v="1"/>
    <n v="31587"/>
    <s v="COPEGEL REFRIGERACAO LTDA"/>
    <s v="SP"/>
    <n v="643"/>
    <s v="Elite"/>
    <n v="1350"/>
    <n v="326013733"/>
    <s v="Termostatos"/>
    <x v="8"/>
    <n v="1"/>
    <n v="5004042"/>
    <s v="BRASIL WEB TRANSPORTES E LOGISTICA"/>
    <n v="28.54"/>
    <d v="2025-03-08T00:00:00"/>
  </r>
  <r>
    <n v="254041601"/>
    <n v="64727508"/>
    <s v="ZDVP"/>
    <n v="9727927"/>
    <n v="173"/>
    <s v="PEÇAS - Defeito de fabric./Alta Amperage"/>
    <s v="FUNCIONAL"/>
    <x v="2"/>
    <n v="67948"/>
    <s v="REFRICRIL DISTRIBUIDORA DE AR REFRI"/>
    <s v="SC"/>
    <n v="713"/>
    <s v="Key Account"/>
    <n v="1350"/>
    <s v="W10849470"/>
    <s v="Bombas"/>
    <x v="2"/>
    <n v="1"/>
    <n v="5003024"/>
    <s v="RODOBRAS TRANSPORTES RODOVIARIOS LT"/>
    <n v="25.91"/>
    <d v="2025-03-10T00:00:00"/>
  </r>
  <r>
    <n v="253952464"/>
    <n v="64727541"/>
    <s v="REB"/>
    <n v="9851372"/>
    <n v="671"/>
    <s v="DEV-ENVIADO PARA GESTÃO DE CONSEQUENCIA"/>
    <s v="TRANSPORTADORA"/>
    <x v="1"/>
    <n v="72032"/>
    <s v="LIMA E LIMA RIOMAFRA"/>
    <s v="SC"/>
    <n v="932"/>
    <s v="CDP Prata"/>
    <n v="1350"/>
    <s v="W10367625"/>
    <s v="Gaxetas"/>
    <x v="10"/>
    <n v="1"/>
    <n v="5003024"/>
    <s v="RODOBRAS TRANSPORTES RODOVIARIOS LT"/>
    <n v="41.01"/>
    <d v="2025-03-10T00:00:00"/>
  </r>
  <r>
    <n v="253952519"/>
    <n v="64727604"/>
    <s v="REB"/>
    <n v="9857728"/>
    <n v="671"/>
    <s v="DEV-ENVIADO PARA GESTÃO DE CONSEQUENCIA"/>
    <s v="TRANSPORTADORA"/>
    <x v="1"/>
    <n v="79141"/>
    <s v="BRUNO JOSE DOS SANTOS"/>
    <s v="RS"/>
    <n v="932"/>
    <s v="CDP Prata"/>
    <n v="1350"/>
    <s v="W10512610"/>
    <s v="Tampas Móveis"/>
    <x v="3"/>
    <n v="8"/>
    <n v="5003024"/>
    <s v="RODOBRAS TRANSPORTES RODOVIARIOS LT"/>
    <n v="1021.16"/>
    <d v="2025-03-08T00:00:00"/>
  </r>
  <r>
    <n v="253952297"/>
    <n v="64727819"/>
    <s v="REB"/>
    <n v="9832814"/>
    <n v="173"/>
    <s v="PEÇAS - Defeito de fabric./Alta Amperage"/>
    <s v="FUNCIONAL"/>
    <x v="2"/>
    <n v="32533"/>
    <s v="FRIGELAR COM. DISTRIBUICAO S/A"/>
    <s v="PE"/>
    <n v="713"/>
    <s v="Key Account"/>
    <n v="1350"/>
    <s v="W11300676"/>
    <s v="Mecanismos"/>
    <x v="4"/>
    <n v="1"/>
    <n v="5004101"/>
    <s v="UNIDOCK'S ASSESSORIA E LOGISTICA DE"/>
    <n v="93.87"/>
    <d v="2025-03-08T00:00:00"/>
  </r>
  <r>
    <n v="253952273"/>
    <n v="64728313"/>
    <s v="REB"/>
    <n v="9744341"/>
    <n v="173"/>
    <s v="PEÇAS - Defeito de fabric./Alta Amperage"/>
    <s v="FUNCIONAL"/>
    <x v="1"/>
    <n v="31587"/>
    <s v="COPEGEL REFRIGERACAO LTDA"/>
    <s v="SP"/>
    <n v="643"/>
    <s v="Elite"/>
    <n v="1350"/>
    <s v="W11485341"/>
    <s v="Placas de Controle"/>
    <x v="2"/>
    <n v="1"/>
    <n v="5004042"/>
    <s v="BRASIL WEB TRANSPORTES E LOGISTICA"/>
    <n v="418.05"/>
    <d v="2025-03-10T00:00:00"/>
  </r>
  <r>
    <n v="253952273"/>
    <n v="64728339"/>
    <s v="REB"/>
    <n v="9406378"/>
    <n v="178"/>
    <s v="PEÇAS -Defeito de fabric./Sem Compressão"/>
    <s v="FUNCIONAL"/>
    <x v="1"/>
    <n v="31587"/>
    <s v="COPEGEL REFRIGERACAO LTDA"/>
    <s v="SP"/>
    <n v="643"/>
    <s v="Elite"/>
    <n v="1350"/>
    <s v="W10769940"/>
    <s v="Compressores Herméticos"/>
    <x v="0"/>
    <n v="1"/>
    <n v="5004042"/>
    <s v="BRASIL WEB TRANSPORTES E LOGISTICA"/>
    <n v="378.82"/>
    <d v="2025-03-10T00:00:00"/>
  </r>
  <r>
    <n v="253952505"/>
    <n v="64728379"/>
    <s v="REB"/>
    <n v="9688069"/>
    <n v="176"/>
    <s v="PEÇAS - Defeito de fabric./Interrompido"/>
    <s v="FUNCIONAL"/>
    <x v="1"/>
    <n v="77212"/>
    <s v="FA REFRIGERACAO SERVICOS"/>
    <s v="CE"/>
    <n v="644"/>
    <s v="Plus"/>
    <n v="1350"/>
    <s v="W11415305"/>
    <s v="Placas de Controle"/>
    <x v="2"/>
    <n v="1"/>
    <n v="5004101"/>
    <s v="UNIDOCK'S ASSESSORIA E LOGISTICA DE"/>
    <n v="174.13"/>
    <d v="2025-03-10T00:00:00"/>
  </r>
  <r>
    <n v="253952142"/>
    <n v="64728381"/>
    <s v="REB"/>
    <n v="9826967"/>
    <n v="176"/>
    <s v="PEÇAS - Defeito de fabric./Interrompido"/>
    <s v="FUNCIONAL"/>
    <x v="2"/>
    <n v="3524"/>
    <s v="CATEL - COMERCIO DE PECAS"/>
    <s v="SP"/>
    <n v="931"/>
    <s v="Ats Off"/>
    <n v="1350"/>
    <s v="W10666797"/>
    <s v="Compressores Herméticos"/>
    <x v="0"/>
    <n v="1"/>
    <n v="5004042"/>
    <s v="BRASIL WEB TRANSPORTES E LOGISTICA"/>
    <n v="563.02"/>
    <d v="2025-03-10T00:00:00"/>
  </r>
  <r>
    <n v="253952142"/>
    <n v="64728382"/>
    <s v="REB"/>
    <n v="9808386"/>
    <n v="176"/>
    <s v="PEÇAS - Defeito de fabric./Interrompido"/>
    <s v="FUNCIONAL"/>
    <x v="2"/>
    <n v="3524"/>
    <s v="CATEL - COMERCIO DE PECAS"/>
    <s v="SP"/>
    <n v="931"/>
    <s v="Ats Off"/>
    <n v="1350"/>
    <s v="W10769941"/>
    <s v="Compressores Herméticos"/>
    <x v="0"/>
    <n v="1"/>
    <n v="5004042"/>
    <s v="BRASIL WEB TRANSPORTES E LOGISTICA"/>
    <n v="399.44"/>
    <d v="2025-03-10T00:00:00"/>
  </r>
  <r>
    <n v="253952142"/>
    <n v="64728383"/>
    <s v="REB"/>
    <n v="9877859"/>
    <n v="176"/>
    <s v="PEÇAS - Defeito de fabric./Interrompido"/>
    <s v="FUNCIONAL"/>
    <x v="2"/>
    <n v="3524"/>
    <s v="CATEL - COMERCIO DE PECAS"/>
    <s v="SP"/>
    <n v="931"/>
    <s v="Ats Off"/>
    <n v="1350"/>
    <s v="W11133677"/>
    <s v="Compressores Herméticos"/>
    <x v="0"/>
    <n v="1"/>
    <n v="5004042"/>
    <s v="BRASIL WEB TRANSPORTES E LOGISTICA"/>
    <n v="535.57000000000005"/>
    <d v="2025-03-10T00:00:00"/>
  </r>
  <r>
    <n v="253952142"/>
    <n v="64728389"/>
    <s v="REB"/>
    <n v="9841319"/>
    <n v="176"/>
    <s v="PEÇAS - Defeito de fabric./Interrompido"/>
    <s v="FUNCIONAL"/>
    <x v="2"/>
    <n v="3524"/>
    <s v="CATEL - COMERCIO DE PECAS"/>
    <s v="SP"/>
    <n v="931"/>
    <s v="Ats Off"/>
    <n v="1350"/>
    <s v="W11573342"/>
    <s v="Placas de Controle"/>
    <x v="2"/>
    <n v="1"/>
    <n v="5004042"/>
    <s v="BRASIL WEB TRANSPORTES E LOGISTICA"/>
    <n v="219.1"/>
    <d v="2025-03-10T00:00:00"/>
  </r>
  <r>
    <n v="253952304"/>
    <n v="64728414"/>
    <s v="REB"/>
    <n v="9879938"/>
    <n v="671"/>
    <s v="DEV-ENVIADO PARA GESTÃO DE CONSEQUENCIA"/>
    <s v="TRANSPORTADORA"/>
    <x v="1"/>
    <n v="34532"/>
    <s v="FRIOGASMAQ COMERCIAL LTDA"/>
    <s v="SC"/>
    <n v="350"/>
    <s v="Ats On"/>
    <n v="1350"/>
    <s v="W10169464"/>
    <s v="Defletores/Difusores"/>
    <x v="6"/>
    <n v="1"/>
    <n v="5003024"/>
    <s v="RODOBRAS TRANSPORTES RODOVIARIOS LT"/>
    <n v="22.8"/>
    <d v="2025-03-10T00:00:00"/>
  </r>
  <r>
    <n v="253952565"/>
    <n v="64728437"/>
    <s v="REB"/>
    <n v="9763830"/>
    <n v="671"/>
    <s v="DEV-ENVIADO PARA GESTÃO DE CONSEQUENCIA"/>
    <s v="TRANSPORTADORA"/>
    <x v="1"/>
    <n v="87681"/>
    <s v="ICE MACHINE COMERCIO DE PECAS"/>
    <s v="SC"/>
    <n v="934"/>
    <s v="CDP Ouro"/>
    <n v="1350"/>
    <s v="W10828358"/>
    <s v="Pressostatos"/>
    <x v="8"/>
    <n v="1"/>
    <n v="5003024"/>
    <s v="RODOBRAS TRANSPORTES RODOVIARIOS LT"/>
    <n v="23.59"/>
    <d v="2025-03-10T00:00:00"/>
  </r>
  <r>
    <n v="253952262"/>
    <n v="64728449"/>
    <s v="REB"/>
    <n v="9798263"/>
    <n v="176"/>
    <s v="PEÇAS - Defeito de fabric./Interrompido"/>
    <s v="FUNCIONAL"/>
    <x v="1"/>
    <n v="30847"/>
    <s v="PARANAGUA FRIO REFRIGERACAO LTDA"/>
    <s v="SP"/>
    <n v="644"/>
    <s v="Plus"/>
    <n v="1350"/>
    <s v="W10416689"/>
    <s v="Placas de Controle"/>
    <x v="2"/>
    <n v="1"/>
    <n v="5004042"/>
    <s v="BRASIL WEB TRANSPORTES E LOGISTICA"/>
    <n v="347.74"/>
    <d v="2025-03-10T00:00:00"/>
  </r>
  <r>
    <n v="253952523"/>
    <n v="64728452"/>
    <s v="REB"/>
    <n v="9878708"/>
    <n v="167"/>
    <s v="PEÇAS - Avaria - Quebrada/Depósito"/>
    <s v="LOGÍSTICA"/>
    <x v="1"/>
    <n v="80252"/>
    <s v="FRIOMAQ PECAS E SERVICOS P"/>
    <s v="SP"/>
    <n v="932"/>
    <s v="CDP Prata"/>
    <n v="1350"/>
    <s v="W10796892"/>
    <s v="Agitadores"/>
    <x v="4"/>
    <n v="1"/>
    <n v="5004042"/>
    <s v="BRASIL WEB TRANSPORTES E LOGISTICA"/>
    <n v="68.64"/>
    <d v="2025-03-10T00:00:00"/>
  </r>
  <r>
    <n v="253952310"/>
    <n v="64728456"/>
    <s v="REB"/>
    <n v="9661510"/>
    <n v="671"/>
    <s v="DEV-ENVIADO PARA GESTÃO DE CONSEQUENCIA"/>
    <s v="TRANSPORTADORA"/>
    <x v="1"/>
    <n v="38442"/>
    <s v="REGINALDO FABIANO HESSLER"/>
    <s v="RS"/>
    <n v="641"/>
    <s v="CDP Diamante"/>
    <n v="1350"/>
    <s v="W10721910"/>
    <s v="Pressostatos"/>
    <x v="8"/>
    <n v="1"/>
    <n v="5003024"/>
    <s v="RODOBRAS TRANSPORTES RODOVIARIOS LT"/>
    <n v="25.67"/>
    <d v="2025-03-10T00:00:00"/>
  </r>
  <r>
    <n v="253952262"/>
    <n v="64728472"/>
    <s v="REB"/>
    <n v="9798266"/>
    <n v="173"/>
    <s v="PEÇAS - Defeito de fabric./Alta Amperage"/>
    <s v="FUNCIONAL"/>
    <x v="1"/>
    <n v="30847"/>
    <s v="PARANAGUA FRIO REFRIGERACAO LTDA"/>
    <s v="SP"/>
    <n v="644"/>
    <s v="Plus"/>
    <n v="1350"/>
    <s v="W11299803"/>
    <s v="Mecanismos"/>
    <x v="4"/>
    <n v="3"/>
    <n v="5004042"/>
    <s v="BRASIL WEB TRANSPORTES E LOGISTICA"/>
    <n v="294.95999999999998"/>
    <d v="2025-03-10T00:00:00"/>
  </r>
  <r>
    <n v="253952320"/>
    <n v="64728474"/>
    <s v="REB"/>
    <n v="9824918"/>
    <n v="671"/>
    <s v="DEV-ENVIADO PARA GESTÃO DE CONSEQUENCIA"/>
    <s v="TRANSPORTADORA"/>
    <x v="1"/>
    <n v="44739"/>
    <s v="MEGA SERVICE PECAS E SERVICOS LTDA"/>
    <s v="PR"/>
    <n v="350"/>
    <s v="Ats On"/>
    <n v="1350"/>
    <s v="W10892758"/>
    <s v="Transformadores"/>
    <x v="2"/>
    <n v="1"/>
    <n v="5003024"/>
    <s v="RODOBRAS TRANSPORTES RODOVIARIOS LT"/>
    <n v="77.209999999999994"/>
    <d v="2025-03-10T00:00:00"/>
  </r>
  <r>
    <n v="253952403"/>
    <n v="64728486"/>
    <s v="REB"/>
    <n v="9839652"/>
    <n v="167"/>
    <s v="PEÇAS - Avaria - Quebrada/Depósito"/>
    <s v="LOGÍSTICA"/>
    <x v="0"/>
    <n v="56043"/>
    <s v="B C M - COMERCIO DE PECAS E"/>
    <s v="PR"/>
    <n v="963"/>
    <s v="Ats Distribuidoras"/>
    <n v="1350"/>
    <s v="W10347201"/>
    <s v="Prateleiras"/>
    <x v="1"/>
    <n v="1"/>
    <n v="5003024"/>
    <s v="RODOBRAS TRANSPORTES RODOVIARIOS LT"/>
    <n v="91.66"/>
    <d v="2025-03-10T00:00:00"/>
  </r>
  <r>
    <n v="253952514"/>
    <n v="64728534"/>
    <s v="REB"/>
    <n v="9707498"/>
    <n v="173"/>
    <s v="PEÇAS - Defeito de fabric./Alta Amperage"/>
    <s v="FUNCIONAL"/>
    <x v="1"/>
    <n v="78757"/>
    <s v="POSFRIO REFRIGERACAO LTDA"/>
    <s v="RS"/>
    <n v="643"/>
    <s v="Elite"/>
    <n v="1350"/>
    <s v="W11113071"/>
    <s v="Termostatos"/>
    <x v="8"/>
    <n v="1"/>
    <n v="5003024"/>
    <s v="RODOBRAS TRANSPORTES RODOVIARIOS LT"/>
    <n v="77.459999999999994"/>
    <d v="2025-03-10T00:00:00"/>
  </r>
  <r>
    <n v="253953764"/>
    <n v="64728542"/>
    <s v="REB"/>
    <n v="9798898"/>
    <n v="90"/>
    <s v="CLIENTE-não solicitou"/>
    <s v="COMERCIAL"/>
    <x v="1"/>
    <n v="22985"/>
    <s v="Comercial Delfrio LTDA EPP"/>
    <s v="SC"/>
    <n v="641"/>
    <s v="CDP Diamante"/>
    <n v="1350"/>
    <s v="W11187685"/>
    <s v="Portas"/>
    <x v="3"/>
    <n v="1"/>
    <n v="5003024"/>
    <s v="RODOBRAS TRANSPORTES RODOVIARIOS LT"/>
    <n v="519.64"/>
    <d v="2025-03-14T00:00:00"/>
  </r>
  <r>
    <n v="253952535"/>
    <n v="64728638"/>
    <s v="REB"/>
    <n v="9298901"/>
    <n v="178"/>
    <s v="PEÇAS -Defeito de fabric./Sem Compressão"/>
    <s v="FUNCIONAL"/>
    <x v="1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489.15"/>
    <d v="2025-03-10T00:00:00"/>
  </r>
  <r>
    <n v="253952535"/>
    <n v="64728640"/>
    <s v="REB"/>
    <n v="9106088"/>
    <n v="178"/>
    <s v="PEÇAS -Defeito de fabric./Sem Compressão"/>
    <s v="FUNCIONAL"/>
    <x v="1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558.61"/>
    <d v="2025-03-10T00:00:00"/>
  </r>
  <r>
    <n v="253952535"/>
    <n v="64728641"/>
    <s v="REB"/>
    <n v="9168268"/>
    <n v="178"/>
    <s v="PEÇAS -Defeito de fabric./Sem Compressão"/>
    <s v="FUNCIONAL"/>
    <x v="1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72.92"/>
    <d v="2025-03-10T00:00:00"/>
  </r>
  <r>
    <n v="253952535"/>
    <n v="64728642"/>
    <s v="REB"/>
    <n v="9164228"/>
    <n v="178"/>
    <s v="PEÇAS -Defeito de fabric./Sem Compressão"/>
    <s v="FUNCIONAL"/>
    <x v="1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558.61"/>
    <d v="2025-03-10T00:00:00"/>
  </r>
  <r>
    <n v="254041598"/>
    <n v="64728866"/>
    <s v="ZDVP"/>
    <n v="9727927"/>
    <n v="173"/>
    <s v="PEÇAS - Defeito de fabric./Alta Amperage"/>
    <s v="FUNCIONAL"/>
    <x v="0"/>
    <n v="67948"/>
    <s v="REFRICRIL DISTRIBUIDORA DE AR REFRI"/>
    <s v="SC"/>
    <n v="713"/>
    <s v="Key Account"/>
    <n v="1350"/>
    <s v="W11254865"/>
    <s v="Mecanismos"/>
    <x v="4"/>
    <n v="2"/>
    <n v="5003024"/>
    <s v="RODOBRAS TRANSPORTES RODOVIARIOS LT"/>
    <n v="320.10000000000002"/>
    <d v="2025-03-10T00:00:00"/>
  </r>
  <r>
    <n v="253952532"/>
    <n v="64728881"/>
    <s v="REB"/>
    <n v="9776788"/>
    <n v="176"/>
    <s v="PEÇAS - Defeito de fabric./Interrompido"/>
    <s v="FUNCIONAL"/>
    <x v="2"/>
    <n v="81043"/>
    <s v="LUANA COSTA COELHO PASSOS"/>
    <s v="PI"/>
    <n v="932"/>
    <s v="CDP Prata"/>
    <n v="1350"/>
    <s v="W11482942"/>
    <s v="Placas de Controle"/>
    <x v="2"/>
    <n v="1"/>
    <n v="5004101"/>
    <s v="UNIDOCK'S ASSESSORIA E LOGISTICA DE"/>
    <n v="173.32"/>
    <d v="2025-03-10T00:00:00"/>
  </r>
  <r>
    <n v="254041597"/>
    <n v="64728887"/>
    <s v="ZDVP"/>
    <n v="9564455"/>
    <n v="178"/>
    <s v="PEÇAS -Defeito de fabric./Sem Compressão"/>
    <s v="FUNCIONAL"/>
    <x v="0"/>
    <n v="67948"/>
    <s v="REFRICRIL DISTRIBUIDORA DE AR REFRI"/>
    <s v="SC"/>
    <n v="713"/>
    <s v="Key Account"/>
    <n v="1350"/>
    <s v="W11647662"/>
    <s v="Compressores Herméticos"/>
    <x v="0"/>
    <n v="2"/>
    <n v="5003024"/>
    <s v="RODOBRAS TRANSPORTES RODOVIARIOS LT"/>
    <n v="570.04"/>
    <d v="2025-03-10T00:00:00"/>
  </r>
  <r>
    <n v="253952552"/>
    <n v="64728966"/>
    <s v="REB"/>
    <n v="9891251"/>
    <n v="671"/>
    <s v="DEV-ENVIADO PARA GESTÃO DE CONSEQUENCIA"/>
    <s v="TRANSPORTADORA"/>
    <x v="1"/>
    <n v="85591"/>
    <s v="TREVIZAN &amp; CIA LTDA"/>
    <s v="SC"/>
    <n v="643"/>
    <s v="Elite"/>
    <n v="1350"/>
    <s v="W10287534"/>
    <s v="Prateleiras"/>
    <x v="1"/>
    <n v="4"/>
    <n v="5003024"/>
    <s v="RODOBRAS TRANSPORTES RODOVIARIOS LT"/>
    <n v="99.39"/>
    <d v="2025-03-10T00:00:00"/>
  </r>
  <r>
    <n v="253952552"/>
    <n v="64728974"/>
    <s v="REB"/>
    <n v="9891250"/>
    <n v="671"/>
    <s v="DEV-ENVIADO PARA GESTÃO DE CONSEQUENCIA"/>
    <s v="TRANSPORTADORA"/>
    <x v="1"/>
    <n v="85591"/>
    <s v="TREVIZAN &amp; CIA LTDA"/>
    <s v="SC"/>
    <n v="643"/>
    <s v="Elite"/>
    <n v="1350"/>
    <s v="W10287534"/>
    <s v="Prateleiras"/>
    <x v="1"/>
    <n v="7"/>
    <n v="5003024"/>
    <s v="RODOBRAS TRANSPORTES RODOVIARIOS LT"/>
    <n v="173.93"/>
    <d v="2025-03-10T00:00:00"/>
  </r>
  <r>
    <n v="253952462"/>
    <n v="64728976"/>
    <s v="REB"/>
    <n v="9803465"/>
    <n v="178"/>
    <s v="PEÇAS -Defeito de fabric./Sem Compressão"/>
    <s v="FUNCIONAL"/>
    <x v="1"/>
    <n v="69921"/>
    <s v="SILVA PECAS DE ELETRODOMESTICOS"/>
    <s v="SP"/>
    <n v="934"/>
    <s v="CDP Ouro"/>
    <n v="1350"/>
    <s v="W10393823"/>
    <s v="Compressores Herméticos"/>
    <x v="0"/>
    <n v="1"/>
    <n v="5004042"/>
    <s v="BRASIL WEB TRANSPORTES E LOGISTICA"/>
    <n v="585.52"/>
    <d v="2025-03-10T00:00:00"/>
  </r>
  <r>
    <n v="253952417"/>
    <n v="64728978"/>
    <s v="REB"/>
    <n v="9705515"/>
    <n v="176"/>
    <s v="PEÇAS - Defeito de fabric./Interrompido"/>
    <s v="FUNCIONAL"/>
    <x v="1"/>
    <n v="59011"/>
    <s v="H D CASTELAO EIRELI - EPP"/>
    <s v="SP"/>
    <n v="648"/>
    <s v="Ultra"/>
    <n v="1350"/>
    <s v="W10586927"/>
    <s v="Placas de Controle"/>
    <x v="2"/>
    <n v="1"/>
    <n v="5004042"/>
    <s v="BRASIL WEB TRANSPORTES E LOGISTICA"/>
    <n v="229.42"/>
    <d v="2025-03-10T00:00:00"/>
  </r>
  <r>
    <n v="253952167"/>
    <n v="64728979"/>
    <s v="REB"/>
    <n v="9835981"/>
    <n v="173"/>
    <s v="PEÇAS - Defeito de fabric./Alta Amperage"/>
    <s v="FUNCIONAL"/>
    <x v="1"/>
    <n v="9452"/>
    <s v="MULTICENTER COMERCIO E SERVICOS"/>
    <s v="SP"/>
    <n v="931"/>
    <s v="Ats Off"/>
    <n v="1350"/>
    <s v="W11516476"/>
    <s v="Compressores Herméticos"/>
    <x v="0"/>
    <n v="1"/>
    <n v="5004042"/>
    <s v="BRASIL WEB TRANSPORTES E LOGISTICA"/>
    <n v="447.63"/>
    <d v="2025-03-10T00:00:00"/>
  </r>
  <r>
    <n v="253952488"/>
    <n v="64729031"/>
    <s v="REB"/>
    <n v="9891023"/>
    <n v="167"/>
    <s v="PEÇAS - Avaria - Quebrada/Depósito"/>
    <s v="LOGÍSTICA"/>
    <x v="1"/>
    <n v="75752"/>
    <s v="MGPARTS COMERCIO E DISTRIBUIDORA DE"/>
    <s v="PR"/>
    <n v="648"/>
    <s v="Ultra"/>
    <n v="1350"/>
    <s v="W10347199"/>
    <s v="Gavetas"/>
    <x v="1"/>
    <n v="1"/>
    <n v="5003024"/>
    <s v="RODOBRAS TRANSPORTES RODOVIARIOS LT"/>
    <n v="35.25"/>
    <d v="2025-03-10T00:00:00"/>
  </r>
  <r>
    <n v="253952488"/>
    <n v="64729032"/>
    <s v="REB"/>
    <n v="9891024"/>
    <n v="167"/>
    <s v="PEÇAS - Avaria - Quebrada/Depósito"/>
    <s v="LOGÍSTICA"/>
    <x v="1"/>
    <n v="75752"/>
    <s v="MGPARTS COMERCIO E DISTRIBUIDORA DE"/>
    <s v="PR"/>
    <n v="648"/>
    <s v="Ultra"/>
    <n v="1350"/>
    <s v="W10287534"/>
    <s v="Prateleiras"/>
    <x v="1"/>
    <n v="1"/>
    <n v="5003024"/>
    <s v="RODOBRAS TRANSPORTES RODOVIARIOS LT"/>
    <n v="24.85"/>
    <d v="2025-03-10T00:00:00"/>
  </r>
  <r>
    <n v="253952324"/>
    <n v="64729060"/>
    <s v="REB"/>
    <n v="9889535"/>
    <n v="167"/>
    <s v="PEÇAS - Avaria - Quebrada/Depósito"/>
    <s v="LOGÍSTICA"/>
    <x v="1"/>
    <n v="47026"/>
    <s v="JR PECAS LTDA JR PECAS LTDA"/>
    <s v="BA"/>
    <n v="643"/>
    <s v="Elite"/>
    <n v="1350"/>
    <s v="W10287534"/>
    <s v="Prateleiras"/>
    <x v="1"/>
    <n v="1"/>
    <n v="5004101"/>
    <s v="UNIDOCK'S ASSESSORIA E LOGISTICA DE"/>
    <n v="24.87"/>
    <d v="2025-03-10T00:00:00"/>
  </r>
  <r>
    <n v="253952310"/>
    <n v="64729086"/>
    <s v="REB"/>
    <n v="9890974"/>
    <n v="671"/>
    <s v="DEV-ENVIADO PARA GESTÃO DE CONSEQUENCIA"/>
    <s v="TRANSPORTADORA"/>
    <x v="1"/>
    <n v="38442"/>
    <s v="REGINALDO FABIANO HESSLER"/>
    <s v="RS"/>
    <n v="641"/>
    <s v="CDP Diamante"/>
    <n v="1350"/>
    <n v="326066852"/>
    <s v="Prateleiras"/>
    <x v="1"/>
    <n v="4"/>
    <n v="5003024"/>
    <s v="RODOBRAS TRANSPORTES RODOVIARIOS LT"/>
    <n v="143.25"/>
    <d v="2025-03-10T00:00:00"/>
  </r>
  <r>
    <n v="253952238"/>
    <n v="64729102"/>
    <s v="REB"/>
    <n v="9481164"/>
    <n v="178"/>
    <s v="PEÇAS -Defeito de fabric./Sem Compressão"/>
    <s v="FUNCIONAL"/>
    <x v="1"/>
    <n v="29696"/>
    <s v="REFRIG. BANFRIO COM. IMPORTADO LTDA"/>
    <s v="SP"/>
    <n v="933"/>
    <s v="Top"/>
    <n v="1350"/>
    <s v="W11677210"/>
    <s v="Compressores Herméticos"/>
    <x v="0"/>
    <n v="1"/>
    <n v="5004042"/>
    <s v="BRASIL WEB TRANSPORTES E LOGISTICA"/>
    <n v="458.68"/>
    <d v="2025-03-10T00:00:00"/>
  </r>
  <r>
    <n v="253952310"/>
    <n v="64729106"/>
    <s v="REB"/>
    <n v="9888782"/>
    <n v="671"/>
    <s v="DEV-ENVIADO PARA GESTÃO DE CONSEQUENCIA"/>
    <s v="TRANSPORTADORA"/>
    <x v="1"/>
    <n v="38442"/>
    <s v="REGINALDO FABIANO HESSLER"/>
    <s v="RS"/>
    <n v="641"/>
    <s v="CDP Diamante"/>
    <n v="1350"/>
    <s v="W10714366"/>
    <s v="Válvulas de Água"/>
    <x v="6"/>
    <n v="1"/>
    <n v="5003024"/>
    <s v="RODOBRAS TRANSPORTES RODOVIARIOS LT"/>
    <n v="55.6"/>
    <d v="2025-03-10T00:00:00"/>
  </r>
  <r>
    <n v="253952534"/>
    <n v="64729114"/>
    <s v="REB"/>
    <n v="9878718"/>
    <n v="176"/>
    <s v="PEÇAS - Defeito de fabric./Interrompido"/>
    <s v="FUNCIONAL"/>
    <x v="1"/>
    <n v="81365"/>
    <s v="MORAIS COMERCIO DE REFRIGERACAO"/>
    <s v="SP"/>
    <n v="934"/>
    <s v="CDP Ouro"/>
    <n v="1350"/>
    <s v="W11510292"/>
    <s v="Interruptores"/>
    <x v="8"/>
    <n v="1"/>
    <n v="5004042"/>
    <s v="BRASIL WEB TRANSPORTES E LOGISTICA"/>
    <n v="37.86"/>
    <d v="2025-03-10T00:00:00"/>
  </r>
  <r>
    <n v="253952493"/>
    <n v="64729123"/>
    <s v="REB"/>
    <n v="9425880"/>
    <n v="178"/>
    <s v="PEÇAS -Defeito de fabric./Sem Compressão"/>
    <s v="FUNCIONAL"/>
    <x v="1"/>
    <n v="76236"/>
    <s v="LEANDRO RICARDO LEITE"/>
    <s v="SP"/>
    <n v="641"/>
    <s v="CDP Diamante"/>
    <n v="1350"/>
    <s v="W10393815"/>
    <s v="Compressores Herméticos"/>
    <x v="0"/>
    <n v="1"/>
    <n v="5004042"/>
    <s v="BRASIL WEB TRANSPORTES E LOGISTICA"/>
    <n v="455.3"/>
    <d v="2025-03-10T00:00:00"/>
  </r>
  <r>
    <n v="253952462"/>
    <n v="64729136"/>
    <s v="REB"/>
    <n v="9862557"/>
    <n v="178"/>
    <s v="PEÇAS -Defeito de fabric./Sem Compressão"/>
    <s v="FUNCIONAL"/>
    <x v="1"/>
    <n v="69921"/>
    <s v="SILVA PECAS DE ELETRODOMESTICOS"/>
    <s v="SP"/>
    <n v="934"/>
    <s v="CDP Ouro"/>
    <n v="1350"/>
    <s v="W11677211"/>
    <s v="Compressores Herméticos"/>
    <x v="0"/>
    <n v="1"/>
    <n v="5004042"/>
    <s v="BRASIL WEB TRANSPORTES E LOGISTICA"/>
    <n v="499.02"/>
    <d v="2025-03-10T00:00:00"/>
  </r>
  <r>
    <n v="253952441"/>
    <n v="64729140"/>
    <s v="REB"/>
    <n v="9886483"/>
    <n v="671"/>
    <s v="DEV-ENVIADO PARA GESTÃO DE CONSEQUENCIA"/>
    <s v="TRANSPORTADORA"/>
    <x v="1"/>
    <n v="64321"/>
    <s v="gilmar brey e cia ltda"/>
    <s v="PR"/>
    <n v="932"/>
    <s v="CDP Prata"/>
    <n v="1350"/>
    <s v="W10347201"/>
    <s v="Prateleiras"/>
    <x v="1"/>
    <n v="1"/>
    <n v="5003024"/>
    <s v="RODOBRAS TRANSPORTES RODOVIARIOS LT"/>
    <n v="95.74"/>
    <d v="2025-03-10T00:00:00"/>
  </r>
  <r>
    <n v="253952272"/>
    <n v="64729150"/>
    <s v="REB"/>
    <n v="9808510"/>
    <n v="178"/>
    <s v="PEÇAS -Defeito de fabric./Sem Compressão"/>
    <s v="FUNCIONAL"/>
    <x v="1"/>
    <n v="31587"/>
    <s v="COPEGEL REFRIGERACAO LTDA"/>
    <s v="SP"/>
    <n v="643"/>
    <s v="Elite"/>
    <n v="1350"/>
    <s v="W10798744"/>
    <s v="Compressores Herméticos"/>
    <x v="0"/>
    <n v="1"/>
    <n v="5004042"/>
    <s v="BRASIL WEB TRANSPORTES E LOGISTICA"/>
    <n v="328.86"/>
    <d v="2025-03-10T00:00:00"/>
  </r>
  <r>
    <n v="253952353"/>
    <n v="64729160"/>
    <s v="REB"/>
    <n v="9897971"/>
    <n v="671"/>
    <s v="DEV-ENVIADO PARA GESTÃO DE CONSEQUENCIA"/>
    <s v="TRANSPORTADORA"/>
    <x v="1"/>
    <n v="53871"/>
    <s v="MI COMERCIO E MANUTENCAO DE"/>
    <s v="SC"/>
    <n v="350"/>
    <s v="Ats On"/>
    <n v="1350"/>
    <s v="W11199342"/>
    <s v="Filtros"/>
    <x v="6"/>
    <n v="10"/>
    <n v="5003024"/>
    <s v="RODOBRAS TRANSPORTES RODOVIARIOS LT"/>
    <n v="775.22"/>
    <d v="2025-03-10T00:00:00"/>
  </r>
  <r>
    <n v="253952258"/>
    <n v="64729190"/>
    <s v="REB"/>
    <n v="9847026"/>
    <n v="671"/>
    <s v="DEV-ENVIADO PARA GESTÃO DE CONSEQUENCIA"/>
    <s v="TRANSPORTADORA"/>
    <x v="1"/>
    <n v="30416"/>
    <s v="JF OLIVEIRA PEREIRA ELETROD LTDA"/>
    <s v="AM"/>
    <n v="648"/>
    <s v="Ultra"/>
    <n v="1350"/>
    <s v="W10292562"/>
    <s v="Capas"/>
    <x v="3"/>
    <n v="10"/>
    <n v="5002858"/>
    <s v="FAVORITA TRANSPORTES LTDA"/>
    <n v="165.45"/>
    <d v="2025-03-10T00:00:00"/>
  </r>
  <r>
    <n v="253952258"/>
    <n v="64729191"/>
    <s v="REB"/>
    <n v="9847023"/>
    <n v="104"/>
    <s v="PEÇAS-Código trocado(embalag X conteúdo)"/>
    <s v="LOGÍSTICA"/>
    <x v="1"/>
    <n v="30416"/>
    <s v="JF OLIVEIRA PEREIRA ELETROD LTDA"/>
    <s v="AM"/>
    <n v="648"/>
    <s v="Ultra"/>
    <n v="1350"/>
    <s v="W10796892"/>
    <s v="Agitadores"/>
    <x v="4"/>
    <n v="10"/>
    <n v="5002858"/>
    <s v="FAVORITA TRANSPORTES LTDA"/>
    <n v="370.42"/>
    <d v="2025-03-10T00:00:00"/>
  </r>
  <r>
    <n v="253952167"/>
    <n v="64729204"/>
    <s v="REB"/>
    <n v="9719961"/>
    <n v="173"/>
    <s v="PEÇAS - Defeito de fabric./Alta Amperage"/>
    <s v="FUNCIONAL"/>
    <x v="1"/>
    <n v="9452"/>
    <s v="MULTICENTER COMERCIO E SERVICOS"/>
    <s v="SP"/>
    <n v="931"/>
    <s v="Ats Off"/>
    <n v="1350"/>
    <n v="326075420"/>
    <s v="Placas de Interface"/>
    <x v="2"/>
    <n v="1"/>
    <n v="5004042"/>
    <s v="BRASIL WEB TRANSPORTES E LOGISTICA"/>
    <n v="1069.8699999999999"/>
    <d v="2025-03-10T00:00:00"/>
  </r>
  <r>
    <n v="253952314"/>
    <n v="64729300"/>
    <s v="REB"/>
    <n v="9898590"/>
    <n v="671"/>
    <s v="DEV-ENVIADO PARA GESTÃO DE CONSEQUENCIA"/>
    <s v="TRANSPORTADORA"/>
    <x v="1"/>
    <n v="38744"/>
    <s v="REFRIMOTOR CLIMATIZACAO LTDA"/>
    <s v="SC"/>
    <n v="350"/>
    <s v="Ats On"/>
    <n v="1350"/>
    <s v="W11619317"/>
    <s v="Placas de Controle"/>
    <x v="2"/>
    <n v="1"/>
    <n v="5003024"/>
    <s v="RODOBRAS TRANSPORTES RODOVIARIOS LT"/>
    <n v="252.7"/>
    <d v="2025-03-10T00:00:00"/>
  </r>
  <r>
    <n v="253952315"/>
    <n v="64729301"/>
    <s v="REB"/>
    <n v="9773514"/>
    <n v="671"/>
    <s v="DEV-ENVIADO PARA GESTÃO DE CONSEQUENCIA"/>
    <s v="TRANSPORTADORA"/>
    <x v="1"/>
    <n v="40923"/>
    <s v="REFRIGERACAO GUARUJA LTDA"/>
    <s v="RS"/>
    <n v="932"/>
    <s v="CDP Prata"/>
    <n v="1350"/>
    <s v="W10531315"/>
    <s v="Sensores"/>
    <x v="8"/>
    <n v="7"/>
    <n v="5003024"/>
    <s v="RODOBRAS TRANSPORTES RODOVIARIOS LT"/>
    <n v="58.82"/>
    <d v="2025-03-10T00:00:00"/>
  </r>
  <r>
    <s v="Sem TR"/>
    <n v="64729371"/>
    <s v="REB"/>
    <n v="9896276"/>
    <n v="104"/>
    <s v="PEÇAS-Código trocado(embalag X conteúdo)"/>
    <s v="LOGÍSTICA"/>
    <x v="1"/>
    <n v="76018"/>
    <s v="MC &amp; JG ASSISTENCIA TECNICA LTDA"/>
    <s v="SE"/>
    <n v="350"/>
    <s v="Ats On"/>
    <n v="1350"/>
    <s v="W10290361"/>
    <s v="Dispensers"/>
    <x v="1"/>
    <n v="1"/>
    <n v="5004101"/>
    <s v="UNIDOCK'S ASSESSORIA E LOGISTICA DE"/>
    <n v="66.489999999999995"/>
    <d v="2025-03-11T00:00:00"/>
  </r>
  <r>
    <n v="253952113"/>
    <n v="64729539"/>
    <s v="REB"/>
    <n v="9813050"/>
    <n v="173"/>
    <s v="PEÇAS - Defeito de fabric./Alta Amperage"/>
    <s v="FUNCIONAL"/>
    <x v="1"/>
    <n v="113"/>
    <s v="SERVIBRAS COM SERVICOS TECNICOS LT"/>
    <s v="AL"/>
    <n v="350"/>
    <s v="Ats On"/>
    <n v="1350"/>
    <s v="W11634491"/>
    <s v="Placas de Controle"/>
    <x v="2"/>
    <n v="1"/>
    <n v="5004101"/>
    <s v="UNIDOCK'S ASSESSORIA E LOGISTICA DE"/>
    <n v="99.82"/>
    <d v="2025-03-11T00:00:00"/>
  </r>
  <r>
    <n v="253952113"/>
    <n v="64729539"/>
    <s v="REB"/>
    <n v="9813050"/>
    <n v="173"/>
    <s v="PEÇAS - Defeito de fabric./Alta Amperage"/>
    <s v="FUNCIONAL"/>
    <x v="1"/>
    <n v="113"/>
    <s v="SERVIBRAS COM SERVICOS TECNICOS LT"/>
    <s v="AL"/>
    <n v="350"/>
    <s v="Ats On"/>
    <n v="1350"/>
    <s v="W10686100"/>
    <s v="Placas de Controle"/>
    <x v="2"/>
    <n v="1"/>
    <n v="5004101"/>
    <s v="UNIDOCK'S ASSESSORIA E LOGISTICA DE"/>
    <n v="162.5"/>
    <d v="2025-03-11T00:00:00"/>
  </r>
  <r>
    <n v="253952113"/>
    <n v="64729539"/>
    <s v="REB"/>
    <n v="9813050"/>
    <n v="173"/>
    <s v="PEÇAS - Defeito de fabric./Alta Amperage"/>
    <s v="FUNCIONAL"/>
    <x v="1"/>
    <n v="113"/>
    <s v="SERVIBRAS COM SERVICOS TECNICOS LT"/>
    <s v="AL"/>
    <n v="350"/>
    <s v="Ats On"/>
    <n v="1350"/>
    <s v="W10592481"/>
    <s v="Placas de Controle"/>
    <x v="2"/>
    <n v="1"/>
    <n v="5004101"/>
    <s v="UNIDOCK'S ASSESSORIA E LOGISTICA DE"/>
    <n v="227.2"/>
    <d v="2025-03-11T00:00:00"/>
  </r>
  <r>
    <n v="253950216"/>
    <n v="64730029"/>
    <s v="REB"/>
    <n v="9804539"/>
    <n v="671"/>
    <s v="DEV-ENVIADO PARA GESTÃO DE CONSEQUENCIA"/>
    <s v="TRANSPORTADORA"/>
    <x v="1"/>
    <n v="61876"/>
    <s v="PONTAL COMERCIO DE"/>
    <s v="SC"/>
    <n v="932"/>
    <s v="CDP Prata"/>
    <n v="1350"/>
    <s v="W11368174"/>
    <s v="Compressores Herméticos"/>
    <x v="0"/>
    <n v="1"/>
    <n v="5003024"/>
    <s v="RODOBRAS TRANSPORTES RODOVIARIOS LT"/>
    <n v="479.91"/>
    <d v="2025-03-11T00:00:00"/>
  </r>
  <r>
    <n v="254044378"/>
    <n v="64730106"/>
    <s v="REB"/>
    <n v="9909268"/>
    <n v="176"/>
    <s v="PEÇAS - Defeito de fabric./Interrompido"/>
    <s v="FUNCIONAL"/>
    <x v="1"/>
    <n v="22041"/>
    <s v="VIP SERVICE COMERCIO DE PECAS"/>
    <s v="SP"/>
    <n v="931"/>
    <s v="Ats Off"/>
    <n v="1350"/>
    <n v="326008340"/>
    <s v="Anéis de Vedação"/>
    <x v="10"/>
    <n v="2"/>
    <n v="5004042"/>
    <s v="BRASIL WEB TRANSPORTES E LOGISTICA"/>
    <n v="36.76"/>
    <d v="2025-03-12T00:00:00"/>
  </r>
  <r>
    <n v="254044378"/>
    <n v="64730106"/>
    <s v="REB"/>
    <n v="9909268"/>
    <n v="176"/>
    <s v="PEÇAS - Defeito de fabric./Interrompido"/>
    <s v="FUNCIONAL"/>
    <x v="1"/>
    <n v="22041"/>
    <s v="VIP SERVICE COMERCIO DE PECAS"/>
    <s v="SP"/>
    <n v="931"/>
    <s v="Ats Off"/>
    <n v="1350"/>
    <s v="W10170954"/>
    <s v="Tubos Refrigeração"/>
    <x v="0"/>
    <n v="1"/>
    <n v="5004042"/>
    <s v="BRASIL WEB TRANSPORTES E LOGISTICA"/>
    <n v="26.8"/>
    <d v="2025-03-12T00:00:00"/>
  </r>
  <r>
    <n v="253953748"/>
    <n v="64730447"/>
    <s v="REB"/>
    <n v="9851831"/>
    <n v="90"/>
    <s v="CLIENTE-não solicitou"/>
    <s v="COMERCIAL"/>
    <x v="1"/>
    <n v="5096"/>
    <s v="GUILHERME KLEY EIRELI"/>
    <s v="RS"/>
    <n v="350"/>
    <s v="Ats On"/>
    <n v="1350"/>
    <n v="326075366"/>
    <s v="Isolantes"/>
    <x v="10"/>
    <n v="1"/>
    <n v="5003024"/>
    <s v="RODOBRAS TRANSPORTES RODOVIARIOS LT"/>
    <n v="49.05"/>
    <d v="2025-03-14T00:00:00"/>
  </r>
  <r>
    <s v="Sem TR"/>
    <n v="64730690"/>
    <s v="REB"/>
    <n v="9736799"/>
    <n v="671"/>
    <s v="DEV-ENVIADO PARA GESTÃO DE CONSEQUENCIA"/>
    <s v="TRANSPORTADORA"/>
    <x v="1"/>
    <n v="81397"/>
    <s v="CLIMACRIL DISTRIBUIDORA DE PECAS"/>
    <s v="SC"/>
    <n v="933"/>
    <s v="Top"/>
    <n v="1350"/>
    <s v="W10791633"/>
    <s v="Retentores"/>
    <x v="10"/>
    <n v="50"/>
    <n v="5003024"/>
    <s v="RODOBRAS TRANSPORTES RODOVIARIOS LT"/>
    <n v="442.37"/>
    <d v="2025-03-12T00:00:00"/>
  </r>
  <r>
    <n v="253956461"/>
    <n v="64731016"/>
    <s v="REB"/>
    <n v="9857734"/>
    <n v="671"/>
    <s v="DEV-ENVIADO PARA GESTÃO DE CONSEQUENCIA"/>
    <s v="TRANSPORTADORA"/>
    <x v="1"/>
    <n v="32856"/>
    <s v="REFRIGERACAO DUFRIO"/>
    <s v="PR"/>
    <n v="713"/>
    <s v="Key Account"/>
    <n v="1350"/>
    <n v="326065990"/>
    <s v="Recipientes de Evaporação"/>
    <x v="1"/>
    <n v="3"/>
    <n v="5003024"/>
    <s v="RODOBRAS TRANSPORTES RODOVIARIOS LT"/>
    <n v="29.2"/>
    <d v="2025-03-17T00:00:00"/>
  </r>
  <r>
    <n v="253956461"/>
    <n v="64731016"/>
    <s v="REB"/>
    <n v="9857734"/>
    <n v="671"/>
    <s v="DEV-ENVIADO PARA GESTÃO DE CONSEQUENCIA"/>
    <s v="TRANSPORTADORA"/>
    <x v="1"/>
    <n v="32856"/>
    <s v="REFRIGERACAO DUFRIO"/>
    <s v="PR"/>
    <n v="713"/>
    <s v="Key Account"/>
    <n v="1350"/>
    <s v="W10606115"/>
    <s v="Polias/Roldanas"/>
    <x v="4"/>
    <n v="52"/>
    <n v="5003024"/>
    <s v="RODOBRAS TRANSPORTES RODOVIARIOS LT"/>
    <n v="589.71"/>
    <d v="2025-03-17T00:00:00"/>
  </r>
  <r>
    <s v="Sem TR"/>
    <n v="64731030"/>
    <s v="ROB"/>
    <n v="9901095"/>
    <n v="25"/>
    <s v="OC. 80 - EXTRAVIO TOTAL"/>
    <s v="TRANSPORTADORA"/>
    <x v="2"/>
    <n v="578"/>
    <s v="AMERICA DISTR DE PECAS E SERVS LTDA"/>
    <s v="MG"/>
    <n v="350"/>
    <s v="Ats On"/>
    <n v="1350"/>
    <n v="326000282"/>
    <s v="Resistências"/>
    <x v="2"/>
    <n v="2"/>
    <n v="5004101"/>
    <s v="UNIDOCK'S ASSESSORIA E LOGISTICA DE"/>
    <n v="119.56"/>
    <d v="2025-03-13T00:00:00"/>
  </r>
  <r>
    <s v="Sem TR"/>
    <n v="64731032"/>
    <s v="ROB"/>
    <n v="9901099"/>
    <n v="25"/>
    <s v="OC. 80 - EXTRAVIO TOTAL"/>
    <s v="TRANSPORTADORA"/>
    <x v="2"/>
    <n v="2094"/>
    <s v="REFRIG SAO LUIZ LTDA"/>
    <s v="MG"/>
    <n v="350"/>
    <s v="Ats On"/>
    <n v="1350"/>
    <n v="326067736"/>
    <s v="Prateleiras"/>
    <x v="1"/>
    <n v="2"/>
    <n v="5004101"/>
    <s v="UNIDOCK'S ASSESSORIA E LOGISTICA DE"/>
    <n v="49.01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n v="326064042"/>
    <s v="Prateleiras"/>
    <x v="1"/>
    <n v="1"/>
    <n v="5004101"/>
    <s v="UNIDOCK'S ASSESSORIA E LOGISTICA DE"/>
    <n v="23.84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0399715"/>
    <s v="Motores Ventiladores"/>
    <x v="2"/>
    <n v="6"/>
    <n v="5004101"/>
    <s v="UNIDOCK'S ASSESSORIA E LOGISTICA DE"/>
    <n v="260.7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0476183"/>
    <s v="Prateleiras"/>
    <x v="1"/>
    <n v="3"/>
    <n v="5004101"/>
    <s v="UNIDOCK'S ASSESSORIA E LOGISTICA DE"/>
    <n v="77.11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0531315"/>
    <s v="Sensores"/>
    <x v="8"/>
    <n v="40"/>
    <n v="5004101"/>
    <s v="UNIDOCK'S ASSESSORIA E LOGISTICA DE"/>
    <n v="347.19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0581058"/>
    <s v="Gavetas"/>
    <x v="1"/>
    <n v="1"/>
    <n v="5004101"/>
    <s v="UNIDOCK'S ASSESSORIA E LOGISTICA DE"/>
    <n v="102.13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0652956"/>
    <s v="Redes Elétricas"/>
    <x v="2"/>
    <n v="1"/>
    <n v="5004101"/>
    <s v="UNIDOCK'S ASSESSORIA E LOGISTICA DE"/>
    <n v="16.260000000000002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0915953"/>
    <s v="Manípulos"/>
    <x v="3"/>
    <n v="3"/>
    <n v="5004101"/>
    <s v="UNIDOCK'S ASSESSORIA E LOGISTICA DE"/>
    <n v="26.57"/>
    <d v="2025-03-13T00:00:00"/>
  </r>
  <r>
    <s v="Sem TR"/>
    <n v="64731039"/>
    <s v="ROB"/>
    <n v="9901105"/>
    <n v="25"/>
    <s v="OC. 80 - EXTRAVIO TOTAL"/>
    <s v="TRANSPORTADORA"/>
    <x v="2"/>
    <n v="2159"/>
    <s v="REFRICAR ASSISTENCIA TEC LTDA"/>
    <s v="MG"/>
    <n v="350"/>
    <s v="Ats On"/>
    <n v="1350"/>
    <s v="W11226018"/>
    <s v="Motores Ventiladores"/>
    <x v="2"/>
    <n v="3"/>
    <n v="5004101"/>
    <s v="UNIDOCK'S ASSESSORIA E LOGISTICA DE"/>
    <n v="203.35"/>
    <d v="2025-03-13T00:00:00"/>
  </r>
  <r>
    <s v="Sem TR"/>
    <n v="64731040"/>
    <s v="ROB"/>
    <n v="9901106"/>
    <n v="25"/>
    <s v="OC. 80 - EXTRAVIO TOTAL"/>
    <s v="TRANSPORTADORA"/>
    <x v="2"/>
    <n v="2159"/>
    <s v="REFRICAR ASSISTENCIA TEC LTDA"/>
    <s v="MG"/>
    <n v="350"/>
    <s v="Ats On"/>
    <n v="1350"/>
    <n v="326047714"/>
    <s v="Prateleiras"/>
    <x v="1"/>
    <n v="1"/>
    <n v="5004101"/>
    <s v="UNIDOCK'S ASSESSORIA E LOGISTICA DE"/>
    <n v="49.68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4197305"/>
    <s v="Dobradiças"/>
    <x v="7"/>
    <n v="2"/>
    <n v="5004101"/>
    <s v="UNIDOCK'S ASSESSORIA E LOGISTICA DE"/>
    <n v="64.959999999999994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326004752"/>
    <s v="Válvulas de Água"/>
    <x v="6"/>
    <n v="5"/>
    <n v="5004101"/>
    <s v="UNIDOCK'S ASSESSORIA E LOGISTICA DE"/>
    <n v="205.93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326004753"/>
    <s v="Válvulas de Água"/>
    <x v="6"/>
    <n v="6"/>
    <n v="5004101"/>
    <s v="UNIDOCK'S ASSESSORIA E LOGISTICA DE"/>
    <n v="196.8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326021045"/>
    <s v="Recipientes de Evaporação"/>
    <x v="1"/>
    <n v="5"/>
    <n v="5004101"/>
    <s v="UNIDOCK'S ASSESSORIA E LOGISTICA DE"/>
    <n v="33.22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326052631"/>
    <s v="Prateleiras"/>
    <x v="1"/>
    <n v="1"/>
    <n v="5004101"/>
    <s v="UNIDOCK'S ASSESSORIA E LOGISTICA DE"/>
    <n v="137.88999999999999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326059371"/>
    <s v="Placas de Controle"/>
    <x v="2"/>
    <n v="2"/>
    <n v="5004101"/>
    <s v="UNIDOCK'S ASSESSORIA E LOGISTICA DE"/>
    <n v="525.33000000000004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n v="326062041"/>
    <s v="Recipientes de Evaporação"/>
    <x v="1"/>
    <n v="3"/>
    <n v="5004101"/>
    <s v="UNIDOCK'S ASSESSORIA E LOGISTICA DE"/>
    <n v="45.64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345152"/>
    <s v="Painéis Decorativos"/>
    <x v="3"/>
    <n v="1"/>
    <n v="5004101"/>
    <s v="UNIDOCK'S ASSESSORIA E LOGISTICA DE"/>
    <n v="38.880000000000003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480671"/>
    <s v="Anéis Hidro"/>
    <x v="3"/>
    <n v="1"/>
    <n v="5004101"/>
    <s v="UNIDOCK'S ASSESSORIA E LOGISTICA DE"/>
    <n v="80.069999999999993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581537"/>
    <s v="Pressostatos"/>
    <x v="8"/>
    <n v="3"/>
    <n v="5004101"/>
    <s v="UNIDOCK'S ASSESSORIA E LOGISTICA DE"/>
    <n v="78.36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620109"/>
    <s v="Gaxetas"/>
    <x v="10"/>
    <n v="1"/>
    <n v="5004101"/>
    <s v="UNIDOCK'S ASSESSORIA E LOGISTICA DE"/>
    <n v="8.2200000000000006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698525"/>
    <s v="Dobradiças"/>
    <x v="7"/>
    <n v="4"/>
    <n v="5004101"/>
    <s v="UNIDOCK'S ASSESSORIA E LOGISTICA DE"/>
    <n v="126.74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706137"/>
    <s v="Válvulas de Água"/>
    <x v="6"/>
    <n v="3"/>
    <n v="5004101"/>
    <s v="UNIDOCK'S ASSESSORIA E LOGISTICA DE"/>
    <n v="159.84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743620"/>
    <s v="Lâmpadas"/>
    <x v="2"/>
    <n v="3"/>
    <n v="5004101"/>
    <s v="UNIDOCK'S ASSESSORIA E LOGISTICA DE"/>
    <n v="94.78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800172"/>
    <s v="Dobradiças"/>
    <x v="7"/>
    <n v="1"/>
    <n v="5004101"/>
    <s v="UNIDOCK'S ASSESSORIA E LOGISTICA DE"/>
    <n v="6.7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0897149"/>
    <s v="Rolamentos"/>
    <x v="4"/>
    <n v="30"/>
    <n v="5004101"/>
    <s v="UNIDOCK'S ASSESSORIA E LOGISTICA DE"/>
    <n v="262.60000000000002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1036296"/>
    <s v="Calhas/Canaletas"/>
    <x v="1"/>
    <n v="10"/>
    <n v="5004101"/>
    <s v="UNIDOCK'S ASSESSORIA E LOGISTICA DE"/>
    <n v="234.09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1374521"/>
    <s v="Suportes"/>
    <x v="3"/>
    <n v="1"/>
    <n v="5004101"/>
    <s v="UNIDOCK'S ASSESSORIA E LOGISTICA DE"/>
    <n v="28.92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1442772"/>
    <s v="Válvulas de Segurança"/>
    <x v="9"/>
    <n v="2"/>
    <n v="5004101"/>
    <s v="UNIDOCK'S ASSESSORIA E LOGISTICA DE"/>
    <n v="72.7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1621541"/>
    <s v="Registros"/>
    <x v="9"/>
    <n v="4"/>
    <n v="5004101"/>
    <s v="UNIDOCK'S ASSESSORIA E LOGISTICA DE"/>
    <n v="34.159999999999997"/>
    <d v="2025-03-13T00:00:00"/>
  </r>
  <r>
    <s v="Sem TR"/>
    <n v="64731042"/>
    <s v="ROB"/>
    <n v="9901119"/>
    <n v="25"/>
    <s v="OC. 80 - EXTRAVIO TOTAL"/>
    <s v="TRANSPORTADORA"/>
    <x v="2"/>
    <n v="2374"/>
    <s v="COMETA DISTRIBUIDORA DE PECAS"/>
    <s v="MG"/>
    <n v="350"/>
    <s v="Ats On"/>
    <n v="1350"/>
    <s v="W11629065"/>
    <s v="Outros"/>
    <x v="5"/>
    <n v="4"/>
    <n v="5004101"/>
    <s v="UNIDOCK'S ASSESSORIA E LOGISTICA DE"/>
    <n v="46.79"/>
    <d v="2025-03-13T00:00:00"/>
  </r>
  <r>
    <s v="Sem TR"/>
    <n v="64731044"/>
    <s v="ROB"/>
    <n v="9901170"/>
    <n v="25"/>
    <s v="OC. 80 - EXTRAVIO TOTAL"/>
    <s v="TRANSPORTADORA"/>
    <x v="2"/>
    <n v="32823"/>
    <s v="MORETI SERVICOS LTDA"/>
    <s v="MG"/>
    <n v="350"/>
    <s v="Ats On"/>
    <n v="1350"/>
    <s v="W10470951"/>
    <s v="Correias"/>
    <x v="4"/>
    <n v="3"/>
    <n v="5004101"/>
    <s v="UNIDOCK'S ASSESSORIA E LOGISTICA DE"/>
    <n v="28.34"/>
    <d v="2025-03-13T00:00:00"/>
  </r>
  <r>
    <s v="Sem TR"/>
    <n v="64731044"/>
    <s v="ROB"/>
    <n v="9901170"/>
    <n v="25"/>
    <s v="OC. 80 - EXTRAVIO TOTAL"/>
    <s v="TRANSPORTADORA"/>
    <x v="2"/>
    <n v="32823"/>
    <s v="MORETI SERVICOS LTDA"/>
    <s v="MG"/>
    <n v="350"/>
    <s v="Ats On"/>
    <n v="1350"/>
    <s v="W10606115"/>
    <s v="Polias/Roldanas"/>
    <x v="4"/>
    <n v="5"/>
    <n v="5004101"/>
    <s v="UNIDOCK'S ASSESSORIA E LOGISTICA DE"/>
    <n v="53.74"/>
    <d v="2025-03-13T00:00:00"/>
  </r>
  <r>
    <s v="Sem TR"/>
    <n v="64731044"/>
    <s v="ROB"/>
    <n v="9901170"/>
    <n v="25"/>
    <s v="OC. 80 - EXTRAVIO TOTAL"/>
    <s v="TRANSPORTADORA"/>
    <x v="2"/>
    <n v="32823"/>
    <s v="MORETI SERVICOS LTDA"/>
    <s v="MG"/>
    <n v="350"/>
    <s v="Ats On"/>
    <n v="1350"/>
    <s v="W11393157"/>
    <s v="Tampas Móveis"/>
    <x v="3"/>
    <n v="1"/>
    <n v="5004101"/>
    <s v="UNIDOCK'S ASSESSORIA E LOGISTICA DE"/>
    <n v="187.97"/>
    <d v="2025-03-13T00:00:00"/>
  </r>
  <r>
    <s v="Sem TR"/>
    <n v="64731044"/>
    <s v="ROB"/>
    <n v="9901170"/>
    <n v="25"/>
    <s v="OC. 80 - EXTRAVIO TOTAL"/>
    <s v="TRANSPORTADORA"/>
    <x v="2"/>
    <n v="32823"/>
    <s v="MORETI SERVICOS LTDA"/>
    <s v="MG"/>
    <n v="350"/>
    <s v="Ats On"/>
    <n v="1350"/>
    <s v="W11448418"/>
    <s v="Polias/Roldanas"/>
    <x v="4"/>
    <n v="4"/>
    <n v="5004101"/>
    <s v="UNIDOCK'S ASSESSORIA E LOGISTICA DE"/>
    <n v="35.01"/>
    <d v="2025-03-13T00:00:00"/>
  </r>
  <r>
    <s v="Sem TR"/>
    <n v="64731044"/>
    <s v="ROB"/>
    <n v="9901170"/>
    <n v="25"/>
    <s v="OC. 80 - EXTRAVIO TOTAL"/>
    <s v="TRANSPORTADORA"/>
    <x v="2"/>
    <n v="32823"/>
    <s v="MORETI SERVICOS LTDA"/>
    <s v="MG"/>
    <n v="350"/>
    <s v="Ats On"/>
    <n v="1350"/>
    <s v="W11551361"/>
    <s v="Peças Mecanismos"/>
    <x v="4"/>
    <n v="3"/>
    <n v="5004101"/>
    <s v="UNIDOCK'S ASSESSORIA E LOGISTICA DE"/>
    <n v="38.93"/>
    <d v="2025-03-13T00:00:00"/>
  </r>
  <r>
    <s v="Sem TR"/>
    <n v="64731044"/>
    <s v="ROB"/>
    <n v="9901170"/>
    <n v="25"/>
    <s v="OC. 80 - EXTRAVIO TOTAL"/>
    <s v="TRANSPORTADORA"/>
    <x v="2"/>
    <n v="32823"/>
    <s v="MORETI SERVICOS LTDA"/>
    <s v="MG"/>
    <n v="350"/>
    <s v="Ats On"/>
    <n v="1350"/>
    <s v="W11574386"/>
    <s v="Capacitores"/>
    <x v="2"/>
    <n v="4"/>
    <n v="5004101"/>
    <s v="UNIDOCK'S ASSESSORIA E LOGISTICA DE"/>
    <n v="52.92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n v="326061171"/>
    <s v="Placas de Controle"/>
    <x v="2"/>
    <n v="4"/>
    <n v="5004101"/>
    <s v="UNIDOCK'S ASSESSORIA E LOGISTICA DE"/>
    <n v="1083.04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n v="326073242"/>
    <s v="Placas de Controle"/>
    <x v="2"/>
    <n v="3"/>
    <n v="5004101"/>
    <s v="UNIDOCK'S ASSESSORIA E LOGISTICA DE"/>
    <n v="379.66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169455"/>
    <s v="Suportes"/>
    <x v="3"/>
    <n v="1"/>
    <n v="5004101"/>
    <s v="UNIDOCK'S ASSESSORIA E LOGISTICA DE"/>
    <n v="79.8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169459"/>
    <s v="Prateleiras"/>
    <x v="1"/>
    <n v="1"/>
    <n v="5004101"/>
    <s v="UNIDOCK'S ASSESSORIA E LOGISTICA DE"/>
    <n v="27.24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284848"/>
    <s v="Correias"/>
    <x v="4"/>
    <n v="4"/>
    <n v="5004101"/>
    <s v="UNIDOCK'S ASSESSORIA E LOGISTICA DE"/>
    <n v="143.43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289381"/>
    <s v="Queimadores"/>
    <x v="9"/>
    <n v="1"/>
    <n v="5004101"/>
    <s v="UNIDOCK'S ASSESSORIA E LOGISTICA DE"/>
    <n v="35.619999999999997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311957"/>
    <s v="Válvulas de Água"/>
    <x v="6"/>
    <n v="8"/>
    <n v="5004101"/>
    <s v="UNIDOCK'S ASSESSORIA E LOGISTICA DE"/>
    <n v="404.88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347201"/>
    <s v="Prateleiras"/>
    <x v="1"/>
    <n v="15"/>
    <n v="5004101"/>
    <s v="UNIDOCK'S ASSESSORIA E LOGISTICA DE"/>
    <n v="1065.5999999999999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388134"/>
    <s v="Pés"/>
    <x v="3"/>
    <n v="6"/>
    <n v="5004101"/>
    <s v="UNIDOCK'S ASSESSORIA E LOGISTICA DE"/>
    <n v="25.02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393823"/>
    <s v="Compressores Herméticos"/>
    <x v="0"/>
    <n v="6"/>
    <n v="5004101"/>
    <s v="UNIDOCK'S ASSESSORIA E LOGISTICA DE"/>
    <n v="3215.45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451677"/>
    <s v="Injetores"/>
    <x v="9"/>
    <n v="4"/>
    <n v="5004101"/>
    <s v="UNIDOCK'S ASSESSORIA E LOGISTICA DE"/>
    <n v="134.1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451678"/>
    <s v="Injetores"/>
    <x v="9"/>
    <n v="4"/>
    <n v="5004101"/>
    <s v="UNIDOCK'S ASSESSORIA E LOGISTICA DE"/>
    <n v="31.35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467328"/>
    <s v="Válvulas de Água"/>
    <x v="6"/>
    <n v="6"/>
    <n v="5004101"/>
    <s v="UNIDOCK'S ASSESSORIA E LOGISTICA DE"/>
    <n v="379.2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606115"/>
    <s v="Polias/Roldanas"/>
    <x v="4"/>
    <n v="6"/>
    <n v="5004101"/>
    <s v="UNIDOCK'S ASSESSORIA E LOGISTICA DE"/>
    <n v="64.55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606424"/>
    <s v="Usinas"/>
    <x v="9"/>
    <n v="2"/>
    <n v="5004101"/>
    <s v="UNIDOCK'S ASSESSORIA E LOGISTICA DE"/>
    <n v="59.04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646480"/>
    <s v="Painéis de Controle"/>
    <x v="3"/>
    <n v="2"/>
    <n v="5004101"/>
    <s v="UNIDOCK'S ASSESSORIA E LOGISTICA DE"/>
    <n v="93.99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856168"/>
    <s v="Trempes"/>
    <x v="3"/>
    <n v="4"/>
    <n v="5004101"/>
    <s v="UNIDOCK'S ASSESSORIA E LOGISTICA DE"/>
    <n v="736.85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882241"/>
    <s v="Agitadores"/>
    <x v="4"/>
    <n v="20"/>
    <n v="5004101"/>
    <s v="UNIDOCK'S ASSESSORIA E LOGISTICA DE"/>
    <n v="1052.72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0915770"/>
    <s v="Vidros"/>
    <x v="3"/>
    <n v="1"/>
    <n v="5004101"/>
    <s v="UNIDOCK'S ASSESSORIA E LOGISTICA DE"/>
    <n v="172.48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1245250"/>
    <s v="Válvulas de Água"/>
    <x v="6"/>
    <n v="8"/>
    <n v="5004101"/>
    <s v="UNIDOCK'S ASSESSORIA E LOGISTICA DE"/>
    <n v="411.36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1387305"/>
    <s v="Gases Refrigerantes"/>
    <x v="0"/>
    <n v="8"/>
    <n v="5004101"/>
    <s v="UNIDOCK'S ASSESSORIA E LOGISTICA DE"/>
    <n v="1002.08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1396077"/>
    <s v="Motores Ventiladores"/>
    <x v="2"/>
    <n v="2"/>
    <n v="5004101"/>
    <s v="UNIDOCK'S ASSESSORIA E LOGISTICA DE"/>
    <n v="170.27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1510292"/>
    <s v="Interruptores"/>
    <x v="8"/>
    <n v="5"/>
    <n v="5004101"/>
    <s v="UNIDOCK'S ASSESSORIA E LOGISTICA DE"/>
    <n v="172.25"/>
    <d v="2025-03-13T00:00:00"/>
  </r>
  <r>
    <s v="Sem TR"/>
    <n v="64731049"/>
    <s v="ROB"/>
    <n v="9901209"/>
    <n v="25"/>
    <s v="OC. 80 - EXTRAVIO TOTAL"/>
    <s v="TRANSPORTADORA"/>
    <x v="2"/>
    <n v="48500"/>
    <s v="REFRIGERACAO MONTEIRO LTDA"/>
    <s v="MG"/>
    <n v="350"/>
    <s v="Ats On"/>
    <n v="1350"/>
    <s v="W11621541"/>
    <s v="Registros"/>
    <x v="9"/>
    <n v="20"/>
    <n v="5004101"/>
    <s v="UNIDOCK'S ASSESSORIA E LOGISTICA DE"/>
    <n v="164.58"/>
    <d v="2025-03-13T00:00:00"/>
  </r>
  <r>
    <s v="Sem TR"/>
    <n v="64731050"/>
    <s v="ROB"/>
    <n v="9901210"/>
    <n v="25"/>
    <s v="OC. 80 - EXTRAVIO TOTAL"/>
    <s v="TRANSPORTADORA"/>
    <x v="2"/>
    <n v="48500"/>
    <s v="REFRIGERACAO MONTEIRO LTDA"/>
    <s v="MG"/>
    <n v="350"/>
    <s v="Ats On"/>
    <n v="1350"/>
    <s v="W10791633"/>
    <s v="Retentores"/>
    <x v="10"/>
    <n v="50"/>
    <n v="5004101"/>
    <s v="UNIDOCK'S ASSESSORIA E LOGISTICA DE"/>
    <n v="400.81"/>
    <d v="2025-03-13T00:00:00"/>
  </r>
  <r>
    <n v="253953750"/>
    <n v="64731127"/>
    <s v="REB"/>
    <n v="9859236"/>
    <n v="671"/>
    <s v="DEV-ENVIADO PARA GESTÃO DE CONSEQUENCIA"/>
    <s v="TRANSPORTADORA"/>
    <x v="1"/>
    <n v="8192"/>
    <s v="BRASTEPEÇAS COM. PÇS. REFRIG LTDA"/>
    <s v="PR"/>
    <n v="933"/>
    <s v="Top"/>
    <n v="1350"/>
    <s v="W10351342"/>
    <s v="Ice Maker"/>
    <x v="5"/>
    <n v="1"/>
    <n v="5003024"/>
    <s v="RODOBRAS TRANSPORTES RODOVIARIOS LT"/>
    <n v="304.95"/>
    <d v="2025-03-14T00:00:00"/>
  </r>
  <r>
    <n v="253961187"/>
    <n v="64731148"/>
    <s v="REB"/>
    <n v="9814224"/>
    <n v="506"/>
    <s v="Qtd de peças a Maior dentro do Volume"/>
    <s v="LOGÍSTICA"/>
    <x v="1"/>
    <n v="134"/>
    <s v="MULTILAR COM DE PECAS E SERVICOS LT"/>
    <s v="SP"/>
    <n v="350"/>
    <s v="Ats On"/>
    <n v="1350"/>
    <s v="W11036296"/>
    <s v="Calhas/Canaletas"/>
    <x v="1"/>
    <n v="1"/>
    <n v="5004042"/>
    <s v="BRASIL WEB TRANSPORTES E LOGISTICA"/>
    <n v="27.31"/>
    <d v="2025-03-24T00:00:00"/>
  </r>
  <r>
    <n v="253953764"/>
    <n v="64731181"/>
    <s v="REB"/>
    <n v="9859243"/>
    <n v="90"/>
    <s v="CLIENTE-não solicitou"/>
    <s v="COMERCIAL"/>
    <x v="1"/>
    <n v="22985"/>
    <s v="Comercial Delfrio LTDA EPP"/>
    <s v="SC"/>
    <n v="641"/>
    <s v="CDP Diamante"/>
    <n v="1350"/>
    <s v="W10895545"/>
    <s v="Dobradiças"/>
    <x v="7"/>
    <n v="1"/>
    <n v="5003024"/>
    <s v="RODOBRAS TRANSPORTES RODOVIARIOS LT"/>
    <n v="10.039999999999999"/>
    <d v="2025-03-14T00:00:00"/>
  </r>
  <r>
    <n v="253953764"/>
    <n v="64731182"/>
    <s v="REB"/>
    <n v="9851542"/>
    <n v="90"/>
    <s v="CLIENTE-não solicitou"/>
    <s v="COMERCIAL"/>
    <x v="1"/>
    <n v="22985"/>
    <s v="Comercial Delfrio LTDA EPP"/>
    <s v="SC"/>
    <n v="641"/>
    <s v="CDP Diamante"/>
    <n v="1350"/>
    <s v="W10553052"/>
    <s v="Prateleiras"/>
    <x v="1"/>
    <n v="1"/>
    <n v="5003024"/>
    <s v="RODOBRAS TRANSPORTES RODOVIARIOS LT"/>
    <n v="23.15"/>
    <d v="2025-03-14T00:00:00"/>
  </r>
  <r>
    <n v="253961415"/>
    <n v="64731253"/>
    <s v="REB"/>
    <n v="9802265"/>
    <n v="177"/>
    <s v="PEÇAS - Defeito de fabric./Ruído"/>
    <s v="FUNCIONAL"/>
    <x v="1"/>
    <n v="80432"/>
    <s v="FRIORIO DISTRIBUIDOR DE PECAS PARA"/>
    <s v="ES"/>
    <n v="713"/>
    <s v="Key Account"/>
    <n v="1350"/>
    <s v="W11299803"/>
    <s v="Mecanismos"/>
    <x v="4"/>
    <n v="3"/>
    <n v="5004042"/>
    <s v="BRASIL WEB TRANSPORTES E LOGISTICA"/>
    <n v="235.35"/>
    <d v="2025-03-26T00:00:00"/>
  </r>
  <r>
    <n v="253961415"/>
    <n v="64731253"/>
    <s v="REB"/>
    <n v="9802265"/>
    <n v="177"/>
    <s v="PEÇAS - Defeito de fabric./Ruído"/>
    <s v="FUNCIONAL"/>
    <x v="1"/>
    <n v="80432"/>
    <s v="FRIORIO DISTRIBUIDOR DE PECAS PARA"/>
    <s v="ES"/>
    <n v="713"/>
    <s v="Key Account"/>
    <n v="1350"/>
    <s v="W11300675"/>
    <s v="Mecanismos"/>
    <x v="4"/>
    <n v="4"/>
    <n v="5004042"/>
    <s v="BRASIL WEB TRANSPORTES E LOGISTICA"/>
    <n v="354"/>
    <d v="2025-03-26T00:00:00"/>
  </r>
  <r>
    <n v="253961415"/>
    <n v="64731253"/>
    <s v="REB"/>
    <n v="9802265"/>
    <n v="177"/>
    <s v="PEÇAS - Defeito de fabric./Ruído"/>
    <s v="FUNCIONAL"/>
    <x v="1"/>
    <n v="80432"/>
    <s v="FRIORIO DISTRIBUIDOR DE PECAS PARA"/>
    <s v="ES"/>
    <n v="713"/>
    <s v="Key Account"/>
    <n v="1350"/>
    <s v="W11300816"/>
    <s v="Mecanismos"/>
    <x v="4"/>
    <n v="4"/>
    <n v="5004042"/>
    <s v="BRASIL WEB TRANSPORTES E LOGISTICA"/>
    <n v="394.24"/>
    <d v="2025-03-26T00:00:00"/>
  </r>
  <r>
    <n v="253953752"/>
    <n v="64731280"/>
    <s v="REB"/>
    <n v="9894890"/>
    <n v="173"/>
    <s v="PEÇAS - Defeito de fabric./Alta Amperage"/>
    <s v="FUNCIONAL"/>
    <x v="1"/>
    <n v="9452"/>
    <s v="MULTICENTER COMERCIO E SERVICOS"/>
    <s v="SP"/>
    <n v="931"/>
    <s v="Ats Off"/>
    <n v="1350"/>
    <s v="W11516472"/>
    <s v="Compressores Herméticos"/>
    <x v="0"/>
    <n v="1"/>
    <n v="5004042"/>
    <s v="BRASIL WEB TRANSPORTES E LOGISTICA"/>
    <n v="381.64"/>
    <d v="2025-03-14T00:00:00"/>
  </r>
  <r>
    <n v="253953824"/>
    <n v="64731416"/>
    <s v="REB"/>
    <n v="9930817"/>
    <n v="90"/>
    <s v="CLIENTE-não solicitou"/>
    <s v="COMERCIAL"/>
    <x v="1"/>
    <n v="59136"/>
    <s v="REFRIGERACAO MIGUEL"/>
    <s v="SP"/>
    <n v="648"/>
    <s v="Ultra"/>
    <n v="1350"/>
    <s v="W10221056"/>
    <s v="Condensadores"/>
    <x v="0"/>
    <n v="4"/>
    <n v="5004042"/>
    <s v="BRASIL WEB TRANSPORTES E LOGISTICA"/>
    <n v="481.13"/>
    <d v="2025-03-14T00:00:00"/>
  </r>
  <r>
    <n v="253953756"/>
    <n v="64731417"/>
    <s v="REB"/>
    <n v="9255722"/>
    <n v="173"/>
    <s v="PEÇAS - Defeito de fabric./Alta Amperage"/>
    <s v="FUNCIONAL"/>
    <x v="1"/>
    <n v="14474"/>
    <s v="NATAL SERVICE LTDA N"/>
    <s v="RN"/>
    <n v="648"/>
    <s v="Ultra"/>
    <n v="1350"/>
    <s v="W11634491"/>
    <s v="Placas de Controle"/>
    <x v="2"/>
    <n v="1"/>
    <n v="5004101"/>
    <s v="UNIDOCK'S ASSESSORIA E LOGISTICA DE"/>
    <n v="101.1"/>
    <d v="2025-03-14T00:00:00"/>
  </r>
  <r>
    <n v="253953764"/>
    <n v="64731463"/>
    <s v="REB"/>
    <n v="9861857"/>
    <n v="173"/>
    <s v="PEÇAS - Defeito de fabric./Alta Amperage"/>
    <s v="FUNCIONAL"/>
    <x v="1"/>
    <n v="22985"/>
    <s v="Comercial Delfrio LTDA EPP"/>
    <s v="SC"/>
    <n v="641"/>
    <s v="CDP Diamante"/>
    <n v="1350"/>
    <s v="W10269365"/>
    <s v="Placas de Controle"/>
    <x v="2"/>
    <n v="1"/>
    <n v="5003024"/>
    <s v="RODOBRAS TRANSPORTES RODOVIARIOS LT"/>
    <n v="156.11000000000001"/>
    <d v="2025-03-14T00:00:00"/>
  </r>
  <r>
    <n v="253953827"/>
    <n v="64731930"/>
    <s v="REB"/>
    <n v="9868007"/>
    <n v="90"/>
    <s v="CLIENTE-não solicitou"/>
    <s v="COMERCIAL"/>
    <x v="2"/>
    <n v="61472"/>
    <s v="ELETROMAQ REFRIGERACAO LTDA"/>
    <s v="MG"/>
    <n v="350"/>
    <s v="Ats On"/>
    <n v="1350"/>
    <s v="W10647949"/>
    <s v="Suportes"/>
    <x v="3"/>
    <n v="1"/>
    <n v="5004215"/>
    <s v="BRASIL WEB TRANSPORTES E LOGISTICA"/>
    <n v="6.52"/>
    <d v="2025-03-14T00:00:00"/>
  </r>
  <r>
    <n v="253953764"/>
    <n v="64731946"/>
    <s v="REB"/>
    <n v="9916099"/>
    <n v="90"/>
    <s v="CLIENTE-não solicitou"/>
    <s v="COMERCIAL"/>
    <x v="1"/>
    <n v="22985"/>
    <s v="Comercial Delfrio LTDA EPP"/>
    <s v="SC"/>
    <n v="641"/>
    <s v="CDP Diamante"/>
    <n v="1350"/>
    <s v="W11268190"/>
    <s v="Placas de Controle"/>
    <x v="2"/>
    <n v="1"/>
    <n v="5003024"/>
    <s v="RODOBRAS TRANSPORTES RODOVIARIOS LT"/>
    <n v="155.74"/>
    <d v="2025-03-14T00:00:00"/>
  </r>
  <r>
    <n v="253953768"/>
    <n v="64731969"/>
    <s v="REB"/>
    <n v="9871422"/>
    <n v="176"/>
    <s v="PEÇAS - Defeito de fabric./Interrompido"/>
    <s v="FUNCIONAL"/>
    <x v="1"/>
    <n v="26697"/>
    <s v="JUAREZ LUIS LEITE"/>
    <s v="RS"/>
    <n v="350"/>
    <s v="Ats On"/>
    <n v="1350"/>
    <s v="W11653841"/>
    <s v="Placas de Controle"/>
    <x v="2"/>
    <n v="1"/>
    <n v="5003024"/>
    <s v="RODOBRAS TRANSPORTES RODOVIARIOS LT"/>
    <n v="727.22"/>
    <d v="2025-03-14T00:00:00"/>
  </r>
  <r>
    <n v="253953845"/>
    <n v="64732020"/>
    <s v="REB"/>
    <n v="9822654"/>
    <n v="176"/>
    <s v="PEÇAS - Defeito de fabric./Interrompido"/>
    <s v="FUNCIONAL"/>
    <x v="1"/>
    <n v="77212"/>
    <s v="FA REFRIGERACAO SERVICOS"/>
    <s v="CE"/>
    <n v="644"/>
    <s v="Plus"/>
    <n v="1350"/>
    <s v="W11415305"/>
    <s v="Placas de Controle"/>
    <x v="2"/>
    <n v="1"/>
    <n v="5004101"/>
    <s v="UNIDOCK'S ASSESSORIA E LOGISTICA DE"/>
    <n v="176.31"/>
    <d v="2025-03-14T00:00:00"/>
  </r>
  <r>
    <n v="253953811"/>
    <n v="64732027"/>
    <s v="REB"/>
    <n v="9888782"/>
    <n v="671"/>
    <s v="DEV-ENVIADO PARA GESTÃO DE CONSEQUENCIA"/>
    <s v="TRANSPORTADORA"/>
    <x v="1"/>
    <n v="38442"/>
    <s v="REGINALDO FABIANO HESSLER"/>
    <s v="RS"/>
    <n v="641"/>
    <s v="CDP Diamante"/>
    <n v="1350"/>
    <s v="W11364881"/>
    <s v="Válvulas de Água"/>
    <x v="6"/>
    <n v="1"/>
    <n v="5003024"/>
    <s v="RODOBRAS TRANSPORTES RODOVIARIOS LT"/>
    <n v="30.12"/>
    <d v="2025-03-14T00:00:00"/>
  </r>
  <r>
    <n v="253953860"/>
    <n v="64732034"/>
    <s v="REB"/>
    <n v="9726643"/>
    <n v="671"/>
    <s v="DEV-ENVIADO PARA GESTÃO DE CONSEQUENCIA"/>
    <s v="TRANSPORTADORA"/>
    <x v="1"/>
    <n v="85591"/>
    <s v="TREVIZAN &amp; CIA LTDA"/>
    <s v="SC"/>
    <n v="643"/>
    <s v="Elite"/>
    <n v="1350"/>
    <s v="W10637619"/>
    <s v="Placas de Interface"/>
    <x v="2"/>
    <n v="1"/>
    <n v="5003024"/>
    <s v="RODOBRAS TRANSPORTES RODOVIARIOS LT"/>
    <n v="469.82"/>
    <d v="2025-03-14T00:00:00"/>
  </r>
  <r>
    <n v="254044339"/>
    <n v="64732091"/>
    <s v="REB"/>
    <n v="9909268"/>
    <n v="176"/>
    <s v="PEÇAS - Defeito de fabric./Interrompido"/>
    <s v="FUNCIONAL"/>
    <x v="1"/>
    <n v="22041"/>
    <s v="VIP SERVICE COMERCIO DE PECAS"/>
    <s v="SP"/>
    <n v="931"/>
    <s v="Ats Off"/>
    <n v="1350"/>
    <s v="W10733226"/>
    <s v="Tubos Refrigeração"/>
    <x v="0"/>
    <n v="1"/>
    <n v="5004042"/>
    <s v="BRASIL WEB TRANSPORTES E LOGISTICA"/>
    <n v="5.61"/>
    <d v="2025-03-17T00:00:00"/>
  </r>
  <r>
    <n v="254044339"/>
    <n v="64732091"/>
    <s v="REB"/>
    <n v="9909268"/>
    <n v="176"/>
    <s v="PEÇAS - Defeito de fabric./Interrompido"/>
    <s v="FUNCIONAL"/>
    <x v="1"/>
    <n v="22041"/>
    <s v="VIP SERVICE COMERCIO DE PECAS"/>
    <s v="SP"/>
    <n v="931"/>
    <s v="Ats Off"/>
    <n v="1350"/>
    <s v="W10699240"/>
    <s v="Filtro Secadores"/>
    <x v="0"/>
    <n v="1"/>
    <n v="5004042"/>
    <s v="BRASIL WEB TRANSPORTES E LOGISTICA"/>
    <n v="8.15"/>
    <d v="2025-03-17T00:00:00"/>
  </r>
  <r>
    <n v="254041605"/>
    <n v="64732104"/>
    <s v="ZDVP"/>
    <n v="9909504"/>
    <n v="176"/>
    <s v="PEÇAS - Defeito de fabric./Interrompido"/>
    <s v="FUNCIONAL"/>
    <x v="1"/>
    <n v="24089"/>
    <s v="REVOLUTION COMERCIO E SERV"/>
    <s v="RJ"/>
    <n v="931"/>
    <s v="Ats Off"/>
    <n v="1350"/>
    <s v="W10399715"/>
    <s v="Motores Ventiladores"/>
    <x v="2"/>
    <n v="1"/>
    <n v="5003176"/>
    <s v="J C THEDIN TRANSPORTES LTDA"/>
    <n v="46.98"/>
    <d v="2025-03-14T00:00:00"/>
  </r>
  <r>
    <n v="253953766"/>
    <n v="64732109"/>
    <s v="REB"/>
    <n v="9841758"/>
    <n v="176"/>
    <s v="PEÇAS - Defeito de fabric./Interrompido"/>
    <s v="FUNCIONAL"/>
    <x v="1"/>
    <n v="24089"/>
    <s v="REVOLUTION COMERCIO E SERV"/>
    <s v="RJ"/>
    <n v="931"/>
    <s v="Ats Off"/>
    <n v="1350"/>
    <s v="W10347201"/>
    <s v="Prateleiras"/>
    <x v="1"/>
    <n v="2"/>
    <n v="5003176"/>
    <s v="J C THEDIN TRANSPORTES LTDA"/>
    <n v="173.73"/>
    <d v="2025-03-14T00:00:00"/>
  </r>
  <r>
    <n v="253953793"/>
    <n v="64732147"/>
    <s v="REB"/>
    <n v="9384503"/>
    <n v="671"/>
    <s v="DEV-ENVIADO PARA GESTÃO DE CONSEQUENCIA"/>
    <s v="TRANSPORTADORA"/>
    <x v="1"/>
    <n v="30742"/>
    <s v="SARDANHA COMERCIO DE PECAS E"/>
    <s v="SC"/>
    <n v="643"/>
    <s v="Elite"/>
    <n v="1350"/>
    <s v="W10446925"/>
    <s v="Placas de Controle"/>
    <x v="2"/>
    <n v="1"/>
    <n v="5003024"/>
    <s v="RODOBRAS TRANSPORTES RODOVIARIOS LT"/>
    <n v="111.87"/>
    <d v="2025-03-14T00:00:00"/>
  </r>
  <r>
    <s v="Sem TR"/>
    <n v="64732361"/>
    <s v="REB"/>
    <n v="9919351"/>
    <n v="115"/>
    <s v="PEÇAS-Recusa do cliente"/>
    <s v="COMERCIAL"/>
    <x v="1"/>
    <n v="72759"/>
    <s v="LAVGEL ELETRODOMESTICOS LTDA"/>
    <s v="BA"/>
    <n v="934"/>
    <s v="CDP Ouro"/>
    <n v="1350"/>
    <s v="W10916594"/>
    <s v="Gaxetas"/>
    <x v="10"/>
    <n v="5"/>
    <n v="5004101"/>
    <s v="UNIDOCK'S ASSESSORIA E LOGISTICA DE"/>
    <n v="236.35"/>
    <d v="2025-03-25T00:00:00"/>
  </r>
  <r>
    <s v="Sem TR"/>
    <n v="64732361"/>
    <s v="REB"/>
    <n v="9919351"/>
    <n v="115"/>
    <s v="PEÇAS-Recusa do cliente"/>
    <s v="COMERCIAL"/>
    <x v="1"/>
    <n v="72759"/>
    <s v="LAVGEL ELETRODOMESTICOS LTDA"/>
    <s v="BA"/>
    <n v="934"/>
    <s v="CDP Ouro"/>
    <n v="1350"/>
    <s v="W10916584"/>
    <s v="Gaxetas"/>
    <x v="10"/>
    <n v="5"/>
    <n v="5004101"/>
    <s v="UNIDOCK'S ASSESSORIA E LOGISTICA DE"/>
    <n v="308.55"/>
    <d v="2025-03-25T00:00:00"/>
  </r>
  <r>
    <n v="253956461"/>
    <n v="64732919"/>
    <s v="REB"/>
    <n v="9857733"/>
    <n v="671"/>
    <s v="DEV-ENVIADO PARA GESTÃO DE CONSEQUENCIA"/>
    <s v="TRANSPORTADORA"/>
    <x v="1"/>
    <n v="32856"/>
    <s v="REFRIGERACAO DUFRIO"/>
    <s v="PR"/>
    <n v="713"/>
    <s v="Key Account"/>
    <n v="1350"/>
    <s v="W10647948"/>
    <s v="Suportes"/>
    <x v="3"/>
    <n v="11"/>
    <n v="5003024"/>
    <s v="RODOBRAS TRANSPORTES RODOVIARIOS LT"/>
    <n v="96.33"/>
    <d v="2025-03-17T00:00:00"/>
  </r>
  <r>
    <n v="253956461"/>
    <n v="64732919"/>
    <s v="REB"/>
    <n v="9857733"/>
    <n v="671"/>
    <s v="DEV-ENVIADO PARA GESTÃO DE CONSEQUENCIA"/>
    <s v="TRANSPORTADORA"/>
    <x v="1"/>
    <n v="32856"/>
    <s v="REFRIGERACAO DUFRIO"/>
    <s v="PR"/>
    <n v="713"/>
    <s v="Key Account"/>
    <n v="1350"/>
    <s v="W10849470"/>
    <s v="Bombas"/>
    <x v="2"/>
    <n v="2"/>
    <n v="5003024"/>
    <s v="RODOBRAS TRANSPORTES RODOVIARIOS LT"/>
    <n v="51.83"/>
    <d v="2025-03-17T00:00:00"/>
  </r>
  <r>
    <n v="253956461"/>
    <n v="64732919"/>
    <s v="REB"/>
    <n v="9857733"/>
    <n v="671"/>
    <s v="DEV-ENVIADO PARA GESTÃO DE CONSEQUENCIA"/>
    <s v="TRANSPORTADORA"/>
    <x v="1"/>
    <n v="32856"/>
    <s v="REFRIGERACAO DUFRIO"/>
    <s v="PR"/>
    <n v="713"/>
    <s v="Key Account"/>
    <n v="1350"/>
    <s v="W10849469"/>
    <s v="Bombas"/>
    <x v="2"/>
    <n v="2"/>
    <n v="5003024"/>
    <s v="RODOBRAS TRANSPORTES RODOVIARIOS LT"/>
    <n v="51.83"/>
    <d v="2025-03-17T00:00:00"/>
  </r>
  <r>
    <n v="253956461"/>
    <n v="64732919"/>
    <s v="REB"/>
    <n v="9857733"/>
    <n v="671"/>
    <s v="DEV-ENVIADO PARA GESTÃO DE CONSEQUENCIA"/>
    <s v="TRANSPORTADORA"/>
    <x v="1"/>
    <n v="32856"/>
    <s v="REFRIGERACAO DUFRIO"/>
    <s v="PR"/>
    <n v="713"/>
    <s v="Key Account"/>
    <n v="1350"/>
    <s v="W10647949"/>
    <s v="Suportes"/>
    <x v="3"/>
    <n v="1"/>
    <n v="5003024"/>
    <s v="RODOBRAS TRANSPORTES RODOVIARIOS LT"/>
    <n v="4.57"/>
    <d v="2025-03-17T00:00:00"/>
  </r>
  <r>
    <s v="Sem TR"/>
    <n v="64733177"/>
    <s v="REB"/>
    <n v="9958206"/>
    <n v="671"/>
    <s v="DEV-ENVIADO PARA GESTÃO DE CONSEQUENCIA"/>
    <s v="TRANSPORTADORA"/>
    <x v="1"/>
    <n v="72786"/>
    <s v="FRIOLAR CONSERTOS DE"/>
    <s v="SC"/>
    <n v="643"/>
    <s v="Elite"/>
    <n v="1350"/>
    <s v="W11396368"/>
    <s v="Gavetas"/>
    <x v="1"/>
    <n v="1"/>
    <n v="5003024"/>
    <s v="RODOBRAS TRANSPORTES RODOVIARIOS LT"/>
    <n v="69"/>
    <d v="2025-04-08T00:00:00"/>
  </r>
  <r>
    <s v="Sem TR"/>
    <n v="64733659"/>
    <s v="REB"/>
    <n v="9913110"/>
    <n v="125"/>
    <s v="DEV-Extravio de produto (Transportadora)"/>
    <s v="TRANSPORTADORA"/>
    <x v="2"/>
    <n v="61263"/>
    <s v="NOVINHO PECAS LTDA - ME"/>
    <s v="CE"/>
    <n v="648"/>
    <s v="Ultra"/>
    <n v="1350"/>
    <s v="W10545668"/>
    <s v="Hélices"/>
    <x v="6"/>
    <n v="11"/>
    <n v="5004101"/>
    <s v="UNIDOCK'S ASSESSORIA E LOGISTICA DE"/>
    <n v="43.04"/>
    <d v="2025-03-18T00:00:00"/>
  </r>
  <r>
    <s v="Sem TR"/>
    <n v="64733841"/>
    <s v="REB"/>
    <n v="9904715"/>
    <n v="671"/>
    <s v="DEV-ENVIADO PARA GESTÃO DE CONSEQUENCIA"/>
    <s v="TRANSPORTADORA"/>
    <x v="1"/>
    <n v="72497"/>
    <s v="PLAC PECAS PARA REFRIGERACAO LTDA"/>
    <s v="SC"/>
    <n v="933"/>
    <s v="Top"/>
    <n v="1350"/>
    <s v="W11299803"/>
    <s v="Mecanismos"/>
    <x v="4"/>
    <n v="1"/>
    <n v="5003024"/>
    <s v="RODOBRAS TRANSPORTES RODOVIARIOS LT"/>
    <n v="103.74"/>
    <d v="2025-03-18T00:00:00"/>
  </r>
  <r>
    <s v="Sem TR"/>
    <n v="64733842"/>
    <s v="REB"/>
    <n v="9904715"/>
    <n v="671"/>
    <s v="DEV-ENVIADO PARA GESTÃO DE CONSEQUENCIA"/>
    <s v="TRANSPORTADORA"/>
    <x v="1"/>
    <n v="72497"/>
    <s v="PLAC PECAS PARA REFRIGERACAO LTDA"/>
    <s v="SC"/>
    <n v="933"/>
    <s v="Top"/>
    <n v="1350"/>
    <s v="W11299803"/>
    <s v="Mecanismos"/>
    <x v="4"/>
    <n v="1"/>
    <n v="5003024"/>
    <s v="RODOBRAS TRANSPORTES RODOVIARIOS LT"/>
    <n v="103.74"/>
    <d v="2025-03-18T00:00:00"/>
  </r>
  <r>
    <n v="253961267"/>
    <n v="64734182"/>
    <s v="REB"/>
    <n v="9744879"/>
    <n v="506"/>
    <s v="Qtd de peças a Maior dentro do Volume"/>
    <s v="LOGÍSTICA"/>
    <x v="2"/>
    <n v="21295"/>
    <s v="REFRIGAS COMERCIO E SERVICOS"/>
    <s v="SP"/>
    <n v="648"/>
    <s v="Ultra"/>
    <n v="1350"/>
    <s v="W11300816"/>
    <s v="Mecanismos"/>
    <x v="4"/>
    <n v="15"/>
    <n v="5004042"/>
    <s v="BRASIL WEB TRANSPORTES E LOGISTICA"/>
    <n v="1814.1"/>
    <d v="2025-03-24T00:00:00"/>
  </r>
  <r>
    <n v="253981573"/>
    <n v="64734188"/>
    <s v="REB"/>
    <n v="9900714"/>
    <n v="173"/>
    <s v="PEÇAS - Defeito de fabric./Alta Amperage"/>
    <s v="FUNCIONAL"/>
    <x v="1"/>
    <n v="79952"/>
    <s v="R F DA SILVA AR"/>
    <s v="SP"/>
    <n v="932"/>
    <s v="CDP Prata"/>
    <n v="1350"/>
    <s v="W11564674"/>
    <s v="Placas de Controle"/>
    <x v="2"/>
    <n v="1"/>
    <n v="5004042"/>
    <s v="BRASIL WEB TRANSPORTES E LOGISTICA"/>
    <n v="135.19999999999999"/>
    <d v="2025-04-16T00:00:00"/>
  </r>
  <r>
    <s v="Sem TR"/>
    <n v="64734274"/>
    <s v="ROB"/>
    <n v="9901965"/>
    <n v="671"/>
    <s v="DEV-ENVIADO PARA GESTÃO DE CONSEQUENCIA"/>
    <s v="TRANSPORTADORA"/>
    <x v="1"/>
    <n v="28563"/>
    <s v="SSL REFRIGERACAO LTDA"/>
    <s v="RS"/>
    <n v="701"/>
    <s v="Descredenciado"/>
    <n v="1350"/>
    <s v="W10640425"/>
    <s v="Placas de Interface"/>
    <x v="2"/>
    <n v="2"/>
    <n v="5003024"/>
    <s v="RODOBRAS TRANSPORTES RODOVIARIOS LT"/>
    <n v="478.4"/>
    <d v="2025-03-19T00:00:00"/>
  </r>
  <r>
    <s v="Sem TR"/>
    <n v="64734274"/>
    <s v="ROB"/>
    <n v="9901965"/>
    <n v="671"/>
    <s v="DEV-ENVIADO PARA GESTÃO DE CONSEQUENCIA"/>
    <s v="TRANSPORTADORA"/>
    <x v="1"/>
    <n v="28563"/>
    <s v="SSL REFRIGERACAO LTDA"/>
    <s v="RS"/>
    <n v="701"/>
    <s v="Descredenciado"/>
    <n v="1350"/>
    <s v="W10764578"/>
    <s v="Conjunto Varetas"/>
    <x v="11"/>
    <n v="3"/>
    <n v="5003024"/>
    <s v="RODOBRAS TRANSPORTES RODOVIARIOS LT"/>
    <n v="142.62"/>
    <d v="2025-03-19T00:00:00"/>
  </r>
  <r>
    <n v="253961267"/>
    <n v="64734592"/>
    <s v="REB"/>
    <n v="9744876"/>
    <n v="506"/>
    <s v="Qtd de peças a Maior dentro do Volume"/>
    <s v="LOGÍSTICA"/>
    <x v="2"/>
    <n v="21295"/>
    <s v="REFRIGAS COMERCIO E SERVICOS"/>
    <s v="SP"/>
    <n v="648"/>
    <s v="Ultra"/>
    <n v="1350"/>
    <s v="W10721910"/>
    <s v="Pressostatos"/>
    <x v="8"/>
    <n v="1"/>
    <n v="5004042"/>
    <s v="BRASIL WEB TRANSPORTES E LOGISTICA"/>
    <n v="26.3"/>
    <d v="2025-03-24T00:00:00"/>
  </r>
  <r>
    <n v="253961256"/>
    <n v="64735043"/>
    <s v="REB"/>
    <n v="9255722"/>
    <n v="173"/>
    <s v="PEÇAS - Defeito de fabric./Alta Amperage"/>
    <s v="FUNCIONAL"/>
    <x v="1"/>
    <n v="14474"/>
    <s v="NATAL SERVICE LTDA N"/>
    <s v="RN"/>
    <n v="648"/>
    <s v="Ultra"/>
    <n v="1350"/>
    <s v="W11634491"/>
    <s v="Placas de Controle"/>
    <x v="2"/>
    <n v="1"/>
    <n v="5004101"/>
    <s v="UNIDOCK'S ASSESSORIA E LOGISTICA DE"/>
    <n v="101.1"/>
    <d v="2025-03-25T00:00:00"/>
  </r>
  <r>
    <s v="Sem TR"/>
    <n v="64735293"/>
    <s v="REB"/>
    <n v="9936129"/>
    <n v="671"/>
    <s v="DEV-ENVIADO PARA GESTÃO DE CONSEQUENCIA"/>
    <s v="TRANSPORTADORA"/>
    <x v="1"/>
    <n v="27825"/>
    <s v="DANIELA CENSON DE OLIVEIRA ME"/>
    <s v="SP"/>
    <n v="641"/>
    <s v="CDP Diamante"/>
    <n v="1350"/>
    <s v="W11647660"/>
    <s v="Compressores Herméticos"/>
    <x v="0"/>
    <n v="1"/>
    <n v="5004042"/>
    <s v="BRASIL WEB TRANSPORTES E LOGISTICA"/>
    <n v="329.57"/>
    <d v="2025-03-20T00:00:00"/>
  </r>
  <r>
    <n v="253961430"/>
    <n v="64735323"/>
    <s v="REB"/>
    <n v="9866683"/>
    <n v="176"/>
    <s v="PEÇAS - Defeito de fabric./Interrompido"/>
    <s v="FUNCIONAL"/>
    <x v="1"/>
    <n v="83572"/>
    <s v="GRAN ELETRO GOURMET LTDA"/>
    <s v="SP"/>
    <n v="931"/>
    <s v="Ats Off"/>
    <n v="1350"/>
    <s v="W11199202"/>
    <s v="Placas de Controle"/>
    <x v="2"/>
    <n v="1"/>
    <n v="5004042"/>
    <s v="BRASIL WEB TRANSPORTES E LOGISTICA"/>
    <n v="321.77999999999997"/>
    <d v="2025-03-24T00:00:00"/>
  </r>
  <r>
    <n v="253961276"/>
    <n v="64735488"/>
    <s v="REB"/>
    <n v="9906455"/>
    <n v="176"/>
    <s v="PEÇAS - Defeito de fabric./Interrompido"/>
    <s v="FUNCIONAL"/>
    <x v="1"/>
    <n v="24089"/>
    <s v="REVOLUTION COMERCIO E SERV"/>
    <s v="RJ"/>
    <n v="931"/>
    <s v="Ats Off"/>
    <n v="1350"/>
    <s v="W10510889"/>
    <s v="Filtros"/>
    <x v="6"/>
    <n v="1"/>
    <n v="5003176"/>
    <s v="J C THEDIN TRANSPORTES LTDA"/>
    <n v="183.37"/>
    <d v="2025-03-26T00:00:00"/>
  </r>
  <r>
    <n v="253961418"/>
    <n v="64735820"/>
    <s v="REB"/>
    <n v="9833169"/>
    <n v="173"/>
    <s v="PEÇAS - Defeito de fabric./Alta Amperage"/>
    <s v="FUNCIONAL"/>
    <x v="1"/>
    <n v="81379"/>
    <s v="ELDORADO COMERCIO DE REFRIGERACAO"/>
    <s v="SP"/>
    <n v="934"/>
    <s v="CDP Ouro"/>
    <n v="1350"/>
    <s v="W10591605"/>
    <s v="Placas de Controle"/>
    <x v="2"/>
    <n v="1"/>
    <n v="5004042"/>
    <s v="BRASIL WEB TRANSPORTES E LOGISTICA"/>
    <n v="270.81"/>
    <d v="2025-03-25T00:00:00"/>
  </r>
  <r>
    <n v="253961418"/>
    <n v="64735978"/>
    <s v="REB"/>
    <n v="9734523"/>
    <n v="176"/>
    <s v="PEÇAS - Defeito de fabric./Interrompido"/>
    <s v="FUNCIONAL"/>
    <x v="1"/>
    <n v="81379"/>
    <s v="ELDORADO COMERCIO DE REFRIGERACAO"/>
    <s v="SP"/>
    <n v="934"/>
    <s v="CDP Ouro"/>
    <n v="1350"/>
    <s v="W11133677"/>
    <s v="Compressores Herméticos"/>
    <x v="0"/>
    <n v="1"/>
    <n v="5004042"/>
    <s v="BRASIL WEB TRANSPORTES E LOGISTICA"/>
    <n v="482.33"/>
    <d v="2025-03-25T00:00:00"/>
  </r>
  <r>
    <n v="253970943"/>
    <n v="64736077"/>
    <s v="REB"/>
    <n v="9952990"/>
    <n v="167"/>
    <s v="PEÇAS - Avaria - Quebrada/Depósito"/>
    <s v="LOGÍSTICA"/>
    <x v="1"/>
    <n v="75752"/>
    <s v="MGPARTS COMERCIO E DISTRIBUIDORA DE"/>
    <s v="PR"/>
    <n v="648"/>
    <s v="Ultra"/>
    <n v="1350"/>
    <s v="W11300681"/>
    <s v="Mecanismos"/>
    <x v="4"/>
    <n v="1"/>
    <n v="5003024"/>
    <s v="RODOBRAS TRANSPORTES RODOVIARIOS LT"/>
    <n v="189.23"/>
    <d v="2025-04-09T00:00:00"/>
  </r>
  <r>
    <n v="253970943"/>
    <n v="64736077"/>
    <s v="REB"/>
    <n v="9952990"/>
    <n v="167"/>
    <s v="PEÇAS - Avaria - Quebrada/Depósito"/>
    <s v="LOGÍSTICA"/>
    <x v="1"/>
    <n v="75752"/>
    <s v="MGPARTS COMERCIO E DISTRIBUIDORA DE"/>
    <s v="PR"/>
    <n v="648"/>
    <s v="Ultra"/>
    <n v="1350"/>
    <s v="W10287534"/>
    <s v="Prateleiras"/>
    <x v="1"/>
    <n v="2"/>
    <n v="5003024"/>
    <s v="RODOBRAS TRANSPORTES RODOVIARIOS LT"/>
    <n v="50.44"/>
    <d v="2025-04-09T00:00:00"/>
  </r>
  <r>
    <s v="Sem TR"/>
    <n v="64736077"/>
    <s v="REB"/>
    <n v="9952990"/>
    <n v="167"/>
    <s v="PEÇAS - Avaria - Quebrada/Depósito"/>
    <s v="LOGÍSTICA"/>
    <x v="1"/>
    <n v="75752"/>
    <s v="MGPARTS COMERCIO E DISTRIBUIDORA DE"/>
    <s v="PR"/>
    <n v="648"/>
    <s v="Ultra"/>
    <n v="1350"/>
    <s v="W10347199"/>
    <s v="Gavetas"/>
    <x v="1"/>
    <n v="1"/>
    <n v="5003024"/>
    <s v="RODOBRAS TRANSPORTES RODOVIARIOS LT"/>
    <n v="35.299999999999997"/>
    <d v="2025-04-09T00:00:00"/>
  </r>
  <r>
    <n v="253970943"/>
    <n v="64736077"/>
    <s v="REB"/>
    <n v="9952990"/>
    <n v="167"/>
    <s v="PEÇAS - Avaria - Quebrada/Depósito"/>
    <s v="LOGÍSTICA"/>
    <x v="1"/>
    <n v="75752"/>
    <s v="MGPARTS COMERCIO E DISTRIBUIDORA DE"/>
    <s v="PR"/>
    <n v="648"/>
    <s v="Ultra"/>
    <n v="1350"/>
    <s v="W11298033"/>
    <s v="Prateleiras"/>
    <x v="1"/>
    <n v="1"/>
    <n v="5003024"/>
    <s v="RODOBRAS TRANSPORTES RODOVIARIOS LT"/>
    <n v="45.39"/>
    <d v="2025-04-09T00:00:00"/>
  </r>
  <r>
    <n v="253965815"/>
    <n v="64736120"/>
    <s v="REB"/>
    <n v="9935329"/>
    <n v="104"/>
    <s v="PEÇAS-Código trocado(embalag X conteúdo)"/>
    <s v="LOGÍSTICA"/>
    <x v="2"/>
    <n v="15420"/>
    <s v="ITAMAR ANTONIO RODRIGUES ME"/>
    <s v="BA"/>
    <n v="350"/>
    <s v="Ats On"/>
    <n v="1350"/>
    <s v="W11371164"/>
    <s v="Mecanismos"/>
    <x v="4"/>
    <n v="1"/>
    <n v="5004101"/>
    <s v="UNIDOCK'S ASSESSORIA E LOGISTICA DE"/>
    <n v="189.71"/>
    <d v="2025-03-21T00:00:00"/>
  </r>
  <r>
    <s v="Sem TR"/>
    <n v="64736211"/>
    <s v="REB"/>
    <n v="9922353"/>
    <n v="125"/>
    <s v="DEV-Extravio de produto (Transportadora)"/>
    <s v="TRANSPORTADORA"/>
    <x v="2"/>
    <n v="34365"/>
    <s v="PONTO DE ORVALHO REFRIGERACAO EIREL"/>
    <s v="CE"/>
    <n v="931"/>
    <s v="Ats Off"/>
    <n v="1350"/>
    <s v="W10888353"/>
    <s v="Condensadores"/>
    <x v="0"/>
    <n v="1"/>
    <n v="5004101"/>
    <s v="UNIDOCK'S ASSESSORIA E LOGISTICA DE"/>
    <n v="384.58"/>
    <d v="2025-03-21T00:00:00"/>
  </r>
  <r>
    <n v="253961330"/>
    <n v="64736233"/>
    <s v="REB"/>
    <n v="9904255"/>
    <n v="167"/>
    <s v="PEÇAS - Avaria - Quebrada/Depósito"/>
    <s v="LOGÍSTICA"/>
    <x v="1"/>
    <n v="35368"/>
    <s v="MASP REFRIGERACAO E SERVICOS TECNIC"/>
    <s v="ES"/>
    <n v="350"/>
    <s v="Ats On"/>
    <n v="1350"/>
    <s v="W10477178"/>
    <s v="Capas"/>
    <x v="3"/>
    <n v="1"/>
    <n v="5004042"/>
    <s v="BRASIL WEB TRANSPORTES E LOGISTICA"/>
    <n v="21.03"/>
    <d v="2025-03-24T00:00:00"/>
  </r>
  <r>
    <n v="253961250"/>
    <n v="64736491"/>
    <s v="REB"/>
    <n v="8726574"/>
    <n v="173"/>
    <s v="PEÇAS - Defeito de fabric./Alta Amperage"/>
    <s v="FUNCIONAL"/>
    <x v="1"/>
    <n v="13757"/>
    <s v="FRIGELAR COMÉRCIO E INDÚSTRIA LTDA"/>
    <s v="SP"/>
    <n v="713"/>
    <s v="Key Account"/>
    <n v="1350"/>
    <s v="W11199202"/>
    <s v="Placas de Controle"/>
    <x v="2"/>
    <n v="1"/>
    <n v="5004042"/>
    <s v="BRASIL WEB TRANSPORTES E LOGISTICA"/>
    <n v="332.83"/>
    <d v="2025-03-24T00:00:00"/>
  </r>
  <r>
    <n v="253961250"/>
    <n v="64736492"/>
    <s v="REB"/>
    <n v="9906015"/>
    <n v="173"/>
    <s v="PEÇAS - Defeito de fabric./Alta Amperage"/>
    <s v="FUNCIONAL"/>
    <x v="1"/>
    <n v="13757"/>
    <s v="FRIGELAR COMÉRCIO E INDÚSTRIA LTDA"/>
    <s v="SP"/>
    <n v="713"/>
    <s v="Key Account"/>
    <n v="1350"/>
    <s v="W11082463"/>
    <s v="Termostatos"/>
    <x v="8"/>
    <n v="1"/>
    <n v="5004042"/>
    <s v="BRASIL WEB TRANSPORTES E LOGISTICA"/>
    <n v="49.43"/>
    <d v="2025-03-24T00:00:00"/>
  </r>
  <r>
    <n v="253961184"/>
    <n v="64736546"/>
    <s v="REB"/>
    <n v="9729104"/>
    <n v="173"/>
    <s v="PEÇAS - Defeito de fabric./Alta Amperage"/>
    <s v="FUNCIONAL"/>
    <x v="1"/>
    <n v="66"/>
    <s v="CENTROMAQ PECAS E SERVICOS LTDA"/>
    <s v="GO"/>
    <n v="931"/>
    <s v="Ats Off"/>
    <n v="1350"/>
    <s v="W10518617"/>
    <s v="Atuadores"/>
    <x v="4"/>
    <n v="1"/>
    <n v="5002858"/>
    <s v="FAVORITA TRANSPORTES LTDA"/>
    <n v="26.12"/>
    <d v="2025-03-26T00:00:00"/>
  </r>
  <r>
    <n v="253961280"/>
    <n v="64736547"/>
    <s v="REB"/>
    <n v="9850123"/>
    <n v="176"/>
    <s v="PEÇAS - Defeito de fabric./Interrompido"/>
    <s v="FUNCIONAL"/>
    <x v="1"/>
    <n v="27425"/>
    <s v="ALEXANDRA K.L. PINA"/>
    <s v="PA"/>
    <n v="641"/>
    <s v="CDP Diamante"/>
    <n v="1350"/>
    <s v="W10518616"/>
    <s v="Atuadores"/>
    <x v="4"/>
    <n v="1"/>
    <n v="5002858"/>
    <s v="FAVORITA TRANSPORTES LTDA"/>
    <n v="29.45"/>
    <d v="2025-03-26T00:00:00"/>
  </r>
  <r>
    <n v="253961280"/>
    <n v="64736548"/>
    <s v="REB"/>
    <n v="8755253"/>
    <n v="176"/>
    <s v="PEÇAS - Defeito de fabric./Interrompido"/>
    <s v="FUNCIONAL"/>
    <x v="1"/>
    <n v="27425"/>
    <s v="ALEXANDRA K.L. PINA"/>
    <s v="PA"/>
    <n v="641"/>
    <s v="CDP Diamante"/>
    <n v="1350"/>
    <s v="W11342617"/>
    <s v="Micro Chaves/Reed Switches"/>
    <x v="8"/>
    <n v="1"/>
    <n v="5002858"/>
    <s v="FAVORITA TRANSPORTES LTDA"/>
    <n v="72.94"/>
    <d v="2025-03-26T00:00:00"/>
  </r>
  <r>
    <n v="253961365"/>
    <n v="64737163"/>
    <s v="REB"/>
    <n v="9292556"/>
    <n v="178"/>
    <s v="PEÇAS -Defeito de fabric./Sem Compressão"/>
    <s v="FUNCIONAL"/>
    <x v="1"/>
    <n v="56605"/>
    <s v="CORREIA E CIPRIANO LTDA"/>
    <s v="AL"/>
    <n v="934"/>
    <s v="CDP Ouro"/>
    <n v="1350"/>
    <s v="W10393823"/>
    <s v="Compressores Herméticos"/>
    <x v="0"/>
    <n v="1"/>
    <n v="5004101"/>
    <s v="UNIDOCK'S ASSESSORIA E LOGISTICA DE"/>
    <n v="481.51"/>
    <d v="2025-03-24T00:00:00"/>
  </r>
  <r>
    <n v="253961256"/>
    <n v="64737176"/>
    <s v="REB"/>
    <n v="9877188"/>
    <n v="167"/>
    <s v="PEÇAS - Avaria - Quebrada/Depósito"/>
    <s v="LOGÍSTICA"/>
    <x v="2"/>
    <n v="14474"/>
    <s v="NATAL SERVICE LTDA N"/>
    <s v="RN"/>
    <n v="648"/>
    <s v="Ultra"/>
    <n v="1350"/>
    <s v="W10287547"/>
    <s v="Gavetas"/>
    <x v="1"/>
    <n v="1"/>
    <n v="5004101"/>
    <s v="UNIDOCK'S ASSESSORIA E LOGISTICA DE"/>
    <n v="99.18"/>
    <d v="2025-03-24T00:00:00"/>
  </r>
  <r>
    <n v="253961267"/>
    <n v="64737204"/>
    <s v="REB"/>
    <n v="9744878"/>
    <n v="506"/>
    <s v="Qtd de peças a Maior dentro do Volume"/>
    <s v="LOGÍSTICA"/>
    <x v="2"/>
    <n v="21295"/>
    <s v="REFRIGAS COMERCIO E SERVICOS"/>
    <s v="SP"/>
    <n v="648"/>
    <s v="Ultra"/>
    <n v="1350"/>
    <s v="W10791633"/>
    <s v="Retentores"/>
    <x v="10"/>
    <n v="100"/>
    <n v="5004042"/>
    <s v="BRASIL WEB TRANSPORTES E LOGISTICA"/>
    <n v="948.9"/>
    <d v="2025-03-24T00:00:00"/>
  </r>
  <r>
    <n v="253961316"/>
    <n v="64737284"/>
    <s v="REB"/>
    <n v="9746614"/>
    <n v="167"/>
    <s v="PEÇAS - Avaria - Quebrada/Depósito"/>
    <s v="LOGÍSTICA"/>
    <x v="1"/>
    <n v="30990"/>
    <s v="REFRIGERACAO DUFRIO COMERCIO E"/>
    <s v="ES"/>
    <n v="713"/>
    <s v="Key Account"/>
    <n v="1350"/>
    <s v="W10169464"/>
    <s v="Defletores/Difusores"/>
    <x v="6"/>
    <n v="1"/>
    <n v="5004042"/>
    <s v="BRASIL WEB TRANSPORTES E LOGISTICA"/>
    <n v="18.62"/>
    <d v="2025-03-24T00:00:00"/>
  </r>
  <r>
    <n v="253961384"/>
    <n v="64737286"/>
    <s v="REB"/>
    <n v="9864173"/>
    <n v="173"/>
    <s v="PEÇAS - Defeito de fabric./Alta Amperage"/>
    <s v="FUNCIONAL"/>
    <x v="1"/>
    <n v="67948"/>
    <s v="REFRICRIL DISTRIBUIDORA DE AR REFRI"/>
    <s v="SC"/>
    <n v="713"/>
    <s v="Key Account"/>
    <n v="1350"/>
    <s v="W10632495"/>
    <s v="Placas de Controle"/>
    <x v="2"/>
    <n v="2"/>
    <n v="5003024"/>
    <s v="RODOBRAS TRANSPORTES RODOVIARIOS LT"/>
    <n v="157.72999999999999"/>
    <d v="2025-03-24T00:00:00"/>
  </r>
  <r>
    <n v="254018235"/>
    <n v="64737289"/>
    <s v="REB"/>
    <n v="9922811"/>
    <n v="167"/>
    <s v="PEÇAS - Avaria - Quebrada/Depósito"/>
    <s v="LOGÍSTICA"/>
    <x v="1"/>
    <n v="21621"/>
    <s v="SAT SERVICOS DE ASSISTENCIA"/>
    <s v="SP"/>
    <n v="350"/>
    <s v="Ats On"/>
    <n v="1350"/>
    <n v="326030548"/>
    <s v="Portas"/>
    <x v="3"/>
    <n v="1"/>
    <n v="5004042"/>
    <s v="BRASIL WEB TRANSPORTES E LOGISTICA"/>
    <n v="41.71"/>
    <d v="2025-03-24T00:00:00"/>
  </r>
  <r>
    <n v="253961250"/>
    <n v="64737305"/>
    <s v="REB"/>
    <n v="9794233"/>
    <n v="173"/>
    <s v="PEÇAS - Defeito de fabric./Alta Amperage"/>
    <s v="FUNCIONAL"/>
    <x v="1"/>
    <n v="13757"/>
    <s v="FRIGELAR COMÉRCIO E INDÚSTRIA LTDA"/>
    <s v="SP"/>
    <n v="713"/>
    <s v="Key Account"/>
    <n v="1350"/>
    <s v="W11634491"/>
    <s v="Placas de Controle"/>
    <x v="2"/>
    <n v="1"/>
    <n v="5004042"/>
    <s v="BRASIL WEB TRANSPORTES E LOGISTICA"/>
    <n v="61.41"/>
    <d v="2025-03-24T00:00:00"/>
  </r>
  <r>
    <n v="253961295"/>
    <n v="64737306"/>
    <s v="REB"/>
    <n v="9660438"/>
    <n v="173"/>
    <s v="PEÇAS - Defeito de fabric./Alta Amperage"/>
    <s v="FUNCIONAL"/>
    <x v="1"/>
    <n v="29095"/>
    <s v="Nascimento Refrigeracao Pecas ltda"/>
    <s v="SP"/>
    <n v="933"/>
    <s v="Top"/>
    <n v="1350"/>
    <s v="W10310999"/>
    <s v="Motores Ventiladores"/>
    <x v="2"/>
    <n v="1"/>
    <n v="5004042"/>
    <s v="BRASIL WEB TRANSPORTES E LOGISTICA"/>
    <n v="47.61"/>
    <d v="2025-03-24T00:00:00"/>
  </r>
  <r>
    <n v="253961250"/>
    <n v="64737307"/>
    <s v="REB"/>
    <n v="9792280"/>
    <n v="173"/>
    <s v="PEÇAS - Defeito de fabric./Alta Amperage"/>
    <s v="FUNCIONAL"/>
    <x v="1"/>
    <n v="13757"/>
    <s v="FRIGELAR COMÉRCIO E INDÚSTRIA LTDA"/>
    <s v="SP"/>
    <n v="713"/>
    <s v="Key Account"/>
    <n v="1350"/>
    <s v="W11300816"/>
    <s v="Mecanismos"/>
    <x v="4"/>
    <n v="3"/>
    <n v="5004042"/>
    <s v="BRASIL WEB TRANSPORTES E LOGISTICA"/>
    <n v="337.32"/>
    <d v="2025-03-24T00:00:00"/>
  </r>
  <r>
    <n v="253961250"/>
    <n v="64737310"/>
    <s v="REB"/>
    <n v="9906014"/>
    <n v="173"/>
    <s v="PEÇAS - Defeito de fabric./Alta Amperage"/>
    <s v="FUNCIONAL"/>
    <x v="1"/>
    <n v="13757"/>
    <s v="FRIGELAR COMÉRCIO E INDÚSTRIA LTDA"/>
    <s v="SP"/>
    <n v="713"/>
    <s v="Key Account"/>
    <n v="1350"/>
    <n v="326061171"/>
    <s v="Placas de Controle"/>
    <x v="2"/>
    <n v="1"/>
    <n v="5004042"/>
    <s v="BRASIL WEB TRANSPORTES E LOGISTICA"/>
    <n v="292.37"/>
    <d v="2025-03-24T00:00:00"/>
  </r>
  <r>
    <n v="253981403"/>
    <n v="64737669"/>
    <s v="REB"/>
    <n v="9917345"/>
    <n v="176"/>
    <s v="PEÇAS - Defeito de fabric./Interrompido"/>
    <s v="FUNCIONAL"/>
    <x v="1"/>
    <n v="22041"/>
    <s v="VIP SERVICE COMERCIO DE PECAS"/>
    <s v="SP"/>
    <n v="931"/>
    <s v="Ats Off"/>
    <n v="1350"/>
    <n v="326008340"/>
    <s v="Anéis de Vedação"/>
    <x v="10"/>
    <n v="2"/>
    <n v="5004042"/>
    <s v="BRASIL WEB TRANSPORTES E LOGISTICA"/>
    <n v="36.76"/>
    <d v="2025-03-25T00:00:00"/>
  </r>
  <r>
    <n v="253961316"/>
    <n v="64737877"/>
    <s v="REB"/>
    <n v="9907466"/>
    <n v="173"/>
    <s v="PEÇAS - Defeito de fabric./Alta Amperage"/>
    <s v="FUNCIONAL"/>
    <x v="0"/>
    <n v="30990"/>
    <s v="REFRIGERACAO DUFRIO COMERCIO E"/>
    <s v="ES"/>
    <n v="713"/>
    <s v="Key Account"/>
    <n v="1350"/>
    <n v="326061171"/>
    <s v="Placas de Controle"/>
    <x v="2"/>
    <n v="2"/>
    <n v="5004042"/>
    <s v="BRASIL WEB TRANSPORTES E LOGISTICA"/>
    <n v="487.56"/>
    <d v="2025-03-26T00:00:00"/>
  </r>
  <r>
    <n v="253961341"/>
    <n v="64737879"/>
    <s v="REB"/>
    <n v="9747687"/>
    <n v="176"/>
    <s v="PEÇAS - Defeito de fabric./Interrompido"/>
    <s v="FUNCIONAL"/>
    <x v="1"/>
    <n v="46272"/>
    <s v="FRIGELAR COM. DISTRIBUICAO S/A"/>
    <s v="CE"/>
    <n v="713"/>
    <s v="Key Account"/>
    <n v="1350"/>
    <s v="W11300816"/>
    <s v="Mecanismos"/>
    <x v="4"/>
    <n v="1"/>
    <n v="5004101"/>
    <s v="UNIDOCK'S ASSESSORIA E LOGISTICA DE"/>
    <n v="104.19"/>
    <d v="2025-03-25T00:00:00"/>
  </r>
  <r>
    <n v="253961256"/>
    <n v="64737972"/>
    <s v="REB"/>
    <n v="9797760"/>
    <n v="176"/>
    <s v="PEÇAS - Defeito de fabric./Interrompido"/>
    <s v="FUNCIONAL"/>
    <x v="1"/>
    <n v="14474"/>
    <s v="NATAL SERVICE LTDA N"/>
    <s v="RN"/>
    <n v="648"/>
    <s v="Ultra"/>
    <n v="1350"/>
    <s v="W10882241"/>
    <s v="Agitadores"/>
    <x v="4"/>
    <n v="1"/>
    <n v="5004101"/>
    <s v="UNIDOCK'S ASSESSORIA E LOGISTICA DE"/>
    <n v="44.38"/>
    <d v="2025-03-25T00:00:00"/>
  </r>
  <r>
    <n v="253961316"/>
    <n v="64738025"/>
    <s v="REB"/>
    <n v="9853799"/>
    <n v="173"/>
    <s v="PEÇAS - Defeito de fabric./Alta Amperage"/>
    <s v="FUNCIONAL"/>
    <x v="0"/>
    <n v="30990"/>
    <s v="REFRIGERACAO DUFRIO COMERCIO E"/>
    <s v="ES"/>
    <n v="713"/>
    <s v="Key Account"/>
    <n v="1350"/>
    <s v="W11300675"/>
    <s v="Mecanismos"/>
    <x v="4"/>
    <n v="12"/>
    <n v="5004042"/>
    <s v="BRASIL WEB TRANSPORTES E LOGISTICA"/>
    <n v="1071"/>
    <d v="2025-03-26T00:00:00"/>
  </r>
  <r>
    <n v="253961316"/>
    <n v="64738026"/>
    <s v="REB"/>
    <n v="9314982"/>
    <n v="173"/>
    <s v="PEÇAS - Defeito de fabric./Alta Amperage"/>
    <s v="FUNCIONAL"/>
    <x v="0"/>
    <n v="30990"/>
    <s v="REFRIGERACAO DUFRIO COMERCIO E"/>
    <s v="ES"/>
    <n v="713"/>
    <s v="Key Account"/>
    <n v="1350"/>
    <s v="W10899324"/>
    <s v="Placas de Controle"/>
    <x v="2"/>
    <n v="2"/>
    <n v="5004042"/>
    <s v="BRASIL WEB TRANSPORTES E LOGISTICA"/>
    <n v="406.21"/>
    <d v="2025-03-26T00:00:00"/>
  </r>
  <r>
    <n v="253961449"/>
    <n v="64739199"/>
    <s v="ZDVP"/>
    <n v="9541971"/>
    <n v="177"/>
    <s v="PEÇAS - Defeito de fabric./Ruído"/>
    <s v="FUNCIONAL"/>
    <x v="1"/>
    <n v="56605"/>
    <s v="CORREIA E CIPRIANO LTDA"/>
    <s v="AL"/>
    <n v="934"/>
    <s v="CDP Ouro"/>
    <n v="1350"/>
    <s v="W11396188"/>
    <s v="Placas de Interface"/>
    <x v="2"/>
    <n v="1"/>
    <n v="5004101"/>
    <s v="UNIDOCK'S ASSESSORIA E LOGISTICA DE"/>
    <n v="103.82"/>
    <d v="2025-03-26T00:00:00"/>
  </r>
  <r>
    <n v="253961317"/>
    <n v="64739204"/>
    <s v="REB"/>
    <n v="9942707"/>
    <n v="173"/>
    <s v="PEÇAS - Defeito de fabric./Alta Amperage"/>
    <s v="FUNCIONAL"/>
    <x v="0"/>
    <n v="30990"/>
    <s v="REFRIGERACAO DUFRIO COMERCIO E"/>
    <s v="ES"/>
    <n v="713"/>
    <s v="Key Account"/>
    <n v="1350"/>
    <s v="W11300816"/>
    <s v="Mecanismos"/>
    <x v="4"/>
    <n v="16"/>
    <n v="5004042"/>
    <s v="BRASIL WEB TRANSPORTES E LOGISTICA"/>
    <n v="1691.84"/>
    <d v="2025-03-26T00:00:00"/>
  </r>
  <r>
    <s v="Sem TR"/>
    <n v="64739617"/>
    <s v="REB"/>
    <n v="9876385"/>
    <n v="671"/>
    <s v="DEV-ENVIADO PARA GESTÃO DE CONSEQUENCIA"/>
    <s v="TRANSPORTADORA"/>
    <x v="1"/>
    <n v="22211"/>
    <s v="BARNI PRES SER COM PROD REFIRG ME"/>
    <s v="SC"/>
    <n v="644"/>
    <s v="Plus"/>
    <n v="1350"/>
    <s v="W11552572"/>
    <s v="Outros"/>
    <x v="5"/>
    <n v="1"/>
    <n v="5003024"/>
    <s v="RODOBRAS TRANSPORTES RODOVIARIOS LT"/>
    <n v="103.43"/>
    <d v="2025-03-26T00:00:00"/>
  </r>
  <r>
    <n v="253965904"/>
    <n v="64739983"/>
    <s v="REB"/>
    <n v="9924208"/>
    <n v="167"/>
    <s v="PEÇAS - Avaria - Quebrada/Depósito"/>
    <s v="LOGÍSTICA"/>
    <x v="1"/>
    <n v="64523"/>
    <s v="REFIGERAÇÃO DUFRIO"/>
    <s v="PB"/>
    <n v="713"/>
    <s v="Key Account"/>
    <n v="1350"/>
    <s v="W10477178"/>
    <s v="Capas"/>
    <x v="3"/>
    <n v="1"/>
    <n v="5004101"/>
    <s v="UNIDOCK'S ASSESSORIA E LOGISTICA DE"/>
    <n v="20.309999999999999"/>
    <d v="2025-03-31T00:00:00"/>
  </r>
  <r>
    <n v="253967860"/>
    <n v="64740373"/>
    <s v="REB"/>
    <n v="9957568"/>
    <n v="167"/>
    <s v="PEÇAS - Avaria - Quebrada/Depósito"/>
    <s v="LOGÍSTICA"/>
    <x v="1"/>
    <n v="35368"/>
    <s v="MASP REFRIGERACAO E SERVICOS TECNIC"/>
    <s v="ES"/>
    <n v="350"/>
    <s v="Ats On"/>
    <n v="1350"/>
    <s v="W10169459"/>
    <s v="Prateleiras"/>
    <x v="1"/>
    <n v="1"/>
    <n v="5004042"/>
    <s v="BRASIL WEB TRANSPORTES E LOGISTICA"/>
    <n v="22.54"/>
    <d v="2025-04-04T00:00:00"/>
  </r>
  <r>
    <n v="253965914"/>
    <n v="64741232"/>
    <s v="REB"/>
    <n v="9911246"/>
    <n v="167"/>
    <s v="PEÇAS - Avaria - Quebrada/Depósito"/>
    <s v="LOGÍSTICA"/>
    <x v="2"/>
    <n v="81448"/>
    <s v="K DOS S LIMA EIRELI"/>
    <s v="PI"/>
    <n v="644"/>
    <s v="Plus"/>
    <n v="1350"/>
    <n v="326051022"/>
    <s v="Capas"/>
    <x v="3"/>
    <n v="1"/>
    <n v="5004101"/>
    <s v="UNIDOCK'S ASSESSORIA E LOGISTICA DE"/>
    <n v="44.03"/>
    <d v="2025-03-31T00:00:00"/>
  </r>
  <r>
    <n v="253965914"/>
    <n v="64741232"/>
    <s v="REB"/>
    <n v="9911246"/>
    <n v="167"/>
    <s v="PEÇAS - Avaria - Quebrada/Depósito"/>
    <s v="LOGÍSTICA"/>
    <x v="2"/>
    <n v="81448"/>
    <s v="K DOS S LIMA EIRELI"/>
    <s v="PI"/>
    <n v="644"/>
    <s v="Plus"/>
    <n v="1350"/>
    <s v="W10292562"/>
    <s v="Capas"/>
    <x v="3"/>
    <n v="3"/>
    <n v="5004101"/>
    <s v="UNIDOCK'S ASSESSORIA E LOGISTICA DE"/>
    <n v="70.459999999999994"/>
    <d v="2025-03-31T00:00:00"/>
  </r>
  <r>
    <n v="253965852"/>
    <n v="64741272"/>
    <s v="REB"/>
    <n v="9925700"/>
    <n v="167"/>
    <s v="PEÇAS - Avaria - Quebrada/Depósito"/>
    <s v="LOGÍSTICA"/>
    <x v="1"/>
    <n v="30000"/>
    <s v="REFRIGERACAO CALZA LTDA."/>
    <s v="SC"/>
    <n v="350"/>
    <s v="Ats On"/>
    <n v="1350"/>
    <s v="W11363944"/>
    <s v="Capas"/>
    <x v="3"/>
    <n v="1"/>
    <n v="5003024"/>
    <s v="RODOBRAS TRANSPORTES RODOVIARIOS LT"/>
    <n v="28.19"/>
    <d v="2025-03-31T00:00:00"/>
  </r>
  <r>
    <n v="253963624"/>
    <n v="64742030"/>
    <s v="ROB"/>
    <n v="9955835"/>
    <n v="671"/>
    <s v="DEV-ENVIADO PARA GESTÃO DE CONSEQUENCIA"/>
    <s v="TRANSPORTADORA"/>
    <x v="1"/>
    <n v="72526"/>
    <s v="TOMASI E CHRIST REFRIGERACAO LTDA"/>
    <s v="SC"/>
    <n v="932"/>
    <s v="CDP Prata"/>
    <n v="1350"/>
    <s v="W10367622"/>
    <s v="Gaxetas"/>
    <x v="10"/>
    <n v="5"/>
    <n v="5003024"/>
    <s v="RODOBRAS TRANSPORTES RODOVIARIOS LT"/>
    <n v="207.1"/>
    <d v="2025-03-31T00:00:00"/>
  </r>
  <r>
    <n v="253963628"/>
    <n v="64742039"/>
    <s v="ROB"/>
    <n v="9957993"/>
    <n v="671"/>
    <s v="DEV-ENVIADO PARA GESTÃO DE CONSEQUENCIA"/>
    <s v="TRANSPORTADORA"/>
    <x v="1"/>
    <n v="4430"/>
    <s v="LOANGAS REFRIG E ELETROD LTDA"/>
    <s v="PR"/>
    <n v="350"/>
    <s v="Ats On"/>
    <n v="1350"/>
    <n v="326009198"/>
    <s v="Gaxetas"/>
    <x v="10"/>
    <n v="5"/>
    <n v="5003024"/>
    <s v="RODOBRAS TRANSPORTES RODOVIARIOS LT"/>
    <n v="217.34"/>
    <d v="2025-03-31T00:00:00"/>
  </r>
  <r>
    <n v="253963628"/>
    <n v="64742039"/>
    <s v="ROB"/>
    <n v="9957993"/>
    <n v="671"/>
    <s v="DEV-ENVIADO PARA GESTÃO DE CONSEQUENCIA"/>
    <s v="TRANSPORTADORA"/>
    <x v="1"/>
    <n v="4430"/>
    <s v="LOANGAS REFRIG E ELETROD LTDA"/>
    <s v="PR"/>
    <n v="350"/>
    <s v="Ats On"/>
    <n v="1350"/>
    <s v="W10791633"/>
    <s v="Retentores"/>
    <x v="10"/>
    <n v="10"/>
    <n v="5003024"/>
    <s v="RODOBRAS TRANSPORTES RODOVIARIOS LT"/>
    <n v="83.21"/>
    <d v="2025-03-31T00:00:00"/>
  </r>
  <r>
    <n v="253963628"/>
    <n v="64742039"/>
    <s v="ROB"/>
    <n v="9957993"/>
    <n v="671"/>
    <s v="DEV-ENVIADO PARA GESTÃO DE CONSEQUENCIA"/>
    <s v="TRANSPORTADORA"/>
    <x v="1"/>
    <n v="4430"/>
    <s v="LOANGAS REFRIG E ELETROD LTDA"/>
    <s v="PR"/>
    <n v="350"/>
    <s v="Ats On"/>
    <n v="1350"/>
    <s v="W11459425"/>
    <s v="Compressores Herméticos"/>
    <x v="0"/>
    <n v="1"/>
    <n v="5003024"/>
    <s v="RODOBRAS TRANSPORTES RODOVIARIOS LT"/>
    <n v="517.91"/>
    <d v="2025-03-31T00:00:00"/>
  </r>
  <r>
    <n v="253963629"/>
    <n v="64742040"/>
    <s v="ROB"/>
    <n v="9957994"/>
    <n v="671"/>
    <s v="DEV-ENVIADO PARA GESTÃO DE CONSEQUENCIA"/>
    <s v="TRANSPORTADORA"/>
    <x v="1"/>
    <n v="4430"/>
    <s v="LOANGAS REFRIG E ELETROD LTDA"/>
    <s v="PR"/>
    <n v="350"/>
    <s v="Ats On"/>
    <n v="1350"/>
    <s v="W10779052"/>
    <s v="Mangueiras"/>
    <x v="6"/>
    <n v="4"/>
    <n v="5003024"/>
    <s v="RODOBRAS TRANSPORTES RODOVIARIOS LT"/>
    <n v="18.28"/>
    <d v="2025-03-31T00:00:00"/>
  </r>
  <r>
    <n v="253965870"/>
    <n v="64742243"/>
    <s v="REB"/>
    <n v="9916844"/>
    <n v="167"/>
    <s v="PEÇAS - Avaria - Quebrada/Depósito"/>
    <s v="LOGÍSTICA"/>
    <x v="1"/>
    <n v="33403"/>
    <s v="J N SOARES REFRIGERACAO - ME"/>
    <s v="RN"/>
    <n v="648"/>
    <s v="Ultra"/>
    <n v="1350"/>
    <n v="326047714"/>
    <s v="Prateleiras"/>
    <x v="1"/>
    <n v="1"/>
    <n v="5004101"/>
    <s v="UNIDOCK'S ASSESSORIA E LOGISTICA DE"/>
    <n v="40"/>
    <d v="2025-03-31T00:00:00"/>
  </r>
  <r>
    <s v="Sem TR"/>
    <n v="64742634"/>
    <s v="ROB"/>
    <n v="9930195"/>
    <n v="671"/>
    <s v="DEV-ENVIADO PARA GESTÃO DE CONSEQUENCIA"/>
    <s v="TRANSPORTADORA"/>
    <x v="1"/>
    <n v="89608"/>
    <s v="NOVO CLIMA REFRIGERACAO LTDA"/>
    <s v="MT"/>
    <n v="932"/>
    <s v="CDP Prata"/>
    <n v="1350"/>
    <s v="W11226018"/>
    <s v="Motores Ventiladores"/>
    <x v="2"/>
    <n v="4"/>
    <n v="5002573"/>
    <s v="CARVALIMA TRANSPORTES LTDA"/>
    <n v="279.18"/>
    <d v="2025-03-31T00:00:00"/>
  </r>
  <r>
    <n v="253966203"/>
    <n v="64742939"/>
    <s v="REB"/>
    <n v="9942707"/>
    <n v="104"/>
    <s v="PEÇAS-Código trocado(embalag X conteúdo)"/>
    <s v="LOGÍSTICA"/>
    <x v="1"/>
    <n v="30990"/>
    <s v="REFRIGERACAO DUFRIO COMERCIO E"/>
    <s v="ES"/>
    <n v="713"/>
    <s v="Key Account"/>
    <n v="1350"/>
    <s v="W11300816"/>
    <s v="Mecanismos"/>
    <x v="4"/>
    <n v="1"/>
    <n v="5004042"/>
    <s v="BRASIL WEB TRANSPORTES E LOGISTICA"/>
    <n v="105.74"/>
    <d v="2025-03-31T00:00:00"/>
  </r>
  <r>
    <n v="253965864"/>
    <n v="64742944"/>
    <s v="REB"/>
    <n v="9946154"/>
    <n v="167"/>
    <s v="PEÇAS - Avaria - Quebrada/Depósito"/>
    <s v="LOGÍSTICA"/>
    <x v="1"/>
    <n v="30847"/>
    <s v="PARANAGUA FRIO REFRIGERACAO LTDA"/>
    <s v="SP"/>
    <n v="644"/>
    <s v="Plus"/>
    <n v="1350"/>
    <s v="W11109166"/>
    <s v="Portas"/>
    <x v="3"/>
    <n v="1"/>
    <n v="5004042"/>
    <s v="BRASIL WEB TRANSPORTES E LOGISTICA"/>
    <n v="44.47"/>
    <d v="2025-03-31T00:00:00"/>
  </r>
  <r>
    <n v="253981503"/>
    <n v="64743257"/>
    <s v="REB"/>
    <n v="9890006"/>
    <n v="167"/>
    <s v="PEÇAS - Avaria - Quebrada/Depósito"/>
    <s v="LOGÍSTICA"/>
    <x v="1"/>
    <n v="33113"/>
    <s v="FREE PECAS COMER E DISTRIBUICAO"/>
    <s v="SP"/>
    <n v="641"/>
    <s v="CDP Diamante"/>
    <n v="1350"/>
    <s v="W10796892"/>
    <s v="Agitadores"/>
    <x v="4"/>
    <n v="1"/>
    <n v="5004042"/>
    <s v="BRASIL WEB TRANSPORTES E LOGISTICA"/>
    <n v="69.739999999999995"/>
    <d v="2025-04-16T00:00:00"/>
  </r>
  <r>
    <n v="253995073"/>
    <n v="64743431"/>
    <s v="REB"/>
    <n v="9949903"/>
    <n v="173"/>
    <s v="PEÇAS - Defeito de fabric./Alta Amperage"/>
    <s v="FUNCIONAL"/>
    <x v="2"/>
    <n v="4446"/>
    <s v="CONSAB PÇS E SERV. P/ ELETROD. LTDA"/>
    <s v="PR"/>
    <n v="350"/>
    <s v="Ats On"/>
    <n v="1350"/>
    <n v="326073243"/>
    <s v="Placas de Controle"/>
    <x v="2"/>
    <n v="1"/>
    <n v="5003024"/>
    <s v="RODOBRAS TRANSPORTES RODOVIARIOS LT"/>
    <n v="170.04"/>
    <d v="2025-04-01T00:00:00"/>
  </r>
  <r>
    <n v="253964521"/>
    <n v="64743719"/>
    <s v="REB"/>
    <n v="9932999"/>
    <n v="220"/>
    <s v="DEV-Avaria 1 trecho transp - Produto"/>
    <s v="QUALIDADE"/>
    <x v="1"/>
    <n v="66"/>
    <s v="CENTROMAQ PECAS E SERVICOS LTDA"/>
    <s v="GO"/>
    <n v="931"/>
    <s v="Ats Off"/>
    <n v="1350"/>
    <s v="W10347201"/>
    <s v="Prateleiras"/>
    <x v="1"/>
    <n v="1"/>
    <n v="5002858"/>
    <s v="FAVORITA TRANSPORTES LTDA"/>
    <n v="61.8"/>
    <d v="2025-04-01T00:00:00"/>
  </r>
  <r>
    <s v="Sem TR"/>
    <n v="64744664"/>
    <s v="ROB"/>
    <n v="9948389"/>
    <n v="671"/>
    <s v="DEV-ENVIADO PARA GESTÃO DE CONSEQUENCIA"/>
    <s v="TRANSPORTADORA"/>
    <x v="1"/>
    <n v="88969"/>
    <s v="FREEZE SHOP LTDA"/>
    <s v="SC"/>
    <n v="641"/>
    <s v="CDP Diamante"/>
    <n v="1350"/>
    <s v="W10907728"/>
    <s v="Acessórios"/>
    <x v="5"/>
    <n v="16"/>
    <n v="5003024"/>
    <s v="RODOBRAS TRANSPORTES RODOVIARIOS LT"/>
    <n v="1035.69"/>
    <d v="2025-04-02T00:00:00"/>
  </r>
  <r>
    <n v="254043341"/>
    <n v="64745069"/>
    <s v="REB"/>
    <n v="9916634"/>
    <n v="167"/>
    <s v="PEÇAS - Avaria - Quebrada/Depósito"/>
    <s v="LOGÍSTICA"/>
    <x v="2"/>
    <n v="1255"/>
    <s v="PRAMAK REFRIGERACAO, PECAS E"/>
    <s v="CE"/>
    <n v="931"/>
    <s v="Ats Off"/>
    <n v="1350"/>
    <s v="W11298039"/>
    <s v="Gavetas"/>
    <x v="1"/>
    <n v="1"/>
    <n v="5004101"/>
    <s v="UNIDOCK'S ASSESSORIA E LOGISTICA DE"/>
    <n v="86.53"/>
    <d v="2025-04-03T00:00:00"/>
  </r>
  <r>
    <n v="254043341"/>
    <n v="64745069"/>
    <s v="REB"/>
    <n v="9916634"/>
    <n v="167"/>
    <s v="PEÇAS - Avaria - Quebrada/Depósito"/>
    <s v="LOGÍSTICA"/>
    <x v="2"/>
    <n v="1255"/>
    <s v="PRAMAK REFRIGERACAO, PECAS E"/>
    <s v="CE"/>
    <n v="931"/>
    <s v="Ats Off"/>
    <n v="1350"/>
    <s v="W10624070"/>
    <s v="Gavetas"/>
    <x v="1"/>
    <n v="1"/>
    <n v="5004101"/>
    <s v="UNIDOCK'S ASSESSORIA E LOGISTICA DE"/>
    <n v="78.27"/>
    <d v="2025-04-03T00:00:00"/>
  </r>
  <r>
    <s v="Sem TR"/>
    <n v="64745074"/>
    <s v="REB"/>
    <n v="9882537"/>
    <n v="104"/>
    <s v="PEÇAS-Código trocado(embalag X conteúdo)"/>
    <s v="LOGÍSTICA"/>
    <x v="1"/>
    <n v="22518"/>
    <s v="GELUMAC PECAS E SERVICOS LTDA"/>
    <s v="SP"/>
    <n v="931"/>
    <s v="Ats Off"/>
    <n v="1350"/>
    <s v="W11102588"/>
    <s v="Acessórios"/>
    <x v="5"/>
    <n v="1"/>
    <n v="5004042"/>
    <s v="BRASIL WEB TRANSPORTES E LOGISTICA"/>
    <n v="44.62"/>
    <d v="2025-04-03T00:00:00"/>
  </r>
  <r>
    <n v="253970945"/>
    <n v="64745242"/>
    <s v="REB"/>
    <n v="9860534"/>
    <n v="176"/>
    <s v="PEÇAS - Defeito de fabric./Interrompido"/>
    <s v="FUNCIONAL"/>
    <x v="1"/>
    <n v="75812"/>
    <s v="NOVA GRANSERVICE ASSISTENCIA"/>
    <s v="SP"/>
    <n v="931"/>
    <s v="Ats Off"/>
    <n v="1350"/>
    <s v="W11300698"/>
    <s v="Mecanismos"/>
    <x v="4"/>
    <n v="1"/>
    <n v="5004042"/>
    <s v="BRASIL WEB TRANSPORTES E LOGISTICA"/>
    <n v="238.63"/>
    <d v="2025-04-09T00:00:00"/>
  </r>
  <r>
    <n v="254042049"/>
    <n v="64745817"/>
    <s v="REB"/>
    <n v="9941940"/>
    <n v="115"/>
    <s v="PEÇAS-Recusa do cliente"/>
    <s v="COMERCIAL"/>
    <x v="1"/>
    <n v="81258"/>
    <s v="ROTA 66 TRACKER LTDA"/>
    <s v="PR"/>
    <n v="350"/>
    <s v="Ats On"/>
    <n v="1350"/>
    <n v="326049974"/>
    <s v="Parafusos e afins"/>
    <x v="7"/>
    <n v="30"/>
    <n v="5003024"/>
    <s v="RODOBRAS TRANSPORTES RODOVIARIOS LT"/>
    <n v="84.99"/>
    <d v="2025-04-04T00:00:00"/>
  </r>
  <r>
    <n v="253967863"/>
    <n v="64746106"/>
    <s v="REB"/>
    <n v="9944034"/>
    <n v="104"/>
    <s v="PEÇAS-Código trocado(embalag X conteúdo)"/>
    <s v="LOGÍSTICA"/>
    <x v="1"/>
    <n v="54465"/>
    <s v="LCB COMERCIO E SERVICOS"/>
    <s v="SP"/>
    <n v="644"/>
    <s v="Plus"/>
    <n v="1350"/>
    <s v="W11300675"/>
    <s v="Mecanismos"/>
    <x v="4"/>
    <n v="1"/>
    <n v="5004042"/>
    <s v="BRASIL WEB TRANSPORTES E LOGISTICA"/>
    <n v="118.82"/>
    <d v="2025-04-04T00:00:00"/>
  </r>
  <r>
    <n v="253967873"/>
    <n v="64746120"/>
    <s v="REB"/>
    <n v="9948623"/>
    <n v="167"/>
    <s v="PEÇAS - Avaria - Quebrada/Depósito"/>
    <s v="LOGÍSTICA"/>
    <x v="1"/>
    <n v="76076"/>
    <s v="dSPACO DO CLIMA AR"/>
    <s v="RS"/>
    <n v="931"/>
    <s v="Ats Off"/>
    <n v="1350"/>
    <s v="W11113394"/>
    <s v="Gavetas"/>
    <x v="1"/>
    <n v="1"/>
    <n v="5003024"/>
    <s v="RODOBRAS TRANSPORTES RODOVIARIOS LT"/>
    <n v="84.84"/>
    <d v="2025-04-04T00:00:00"/>
  </r>
  <r>
    <n v="253970141"/>
    <n v="64746137"/>
    <s v="REB"/>
    <n v="9916636"/>
    <n v="167"/>
    <s v="PEÇAS - Avaria - Quebrada/Depósito"/>
    <s v="LOGÍSTICA"/>
    <x v="2"/>
    <n v="1255"/>
    <s v="PRAMAK REFRIGERACAO, PECAS E"/>
    <s v="CE"/>
    <n v="931"/>
    <s v="Ats Off"/>
    <n v="1350"/>
    <s v="W10212401"/>
    <s v="Prateleiras"/>
    <x v="1"/>
    <n v="1"/>
    <n v="5004101"/>
    <s v="UNIDOCK'S ASSESSORIA E LOGISTICA DE"/>
    <n v="17.3"/>
    <d v="2025-04-04T00:00:00"/>
  </r>
  <r>
    <s v="Sem TR"/>
    <n v="64746731"/>
    <s v="REB"/>
    <n v="9952718"/>
    <n v="671"/>
    <s v="DEV-ENVIADO PARA GESTÃO DE CONSEQUENCIA"/>
    <s v="TRANSPORTADORA"/>
    <x v="1"/>
    <n v="72786"/>
    <s v="FRIOLAR CONSERTOS DE"/>
    <s v="SC"/>
    <n v="643"/>
    <s v="Elite"/>
    <n v="1350"/>
    <s v="W11086108"/>
    <s v="Placas de Controle"/>
    <x v="2"/>
    <n v="1"/>
    <n v="5003024"/>
    <s v="RODOBRAS TRANSPORTES RODOVIARIOS LT"/>
    <n v="145.21"/>
    <d v="2025-04-07T00:00:00"/>
  </r>
  <r>
    <s v="Sem TR"/>
    <n v="64746732"/>
    <s v="REB"/>
    <n v="9955838"/>
    <n v="671"/>
    <s v="DEV-ENVIADO PARA GESTÃO DE CONSEQUENCIA"/>
    <s v="TRANSPORTADORA"/>
    <x v="1"/>
    <n v="72786"/>
    <s v="FRIOLAR CONSERTOS DE"/>
    <s v="SC"/>
    <n v="643"/>
    <s v="Elite"/>
    <n v="1350"/>
    <s v="W10212144"/>
    <s v="Gavetas"/>
    <x v="1"/>
    <n v="5"/>
    <n v="5003024"/>
    <s v="RODOBRAS TRANSPORTES RODOVIARIOS LT"/>
    <n v="154.75"/>
    <d v="2025-04-07T00:00:00"/>
  </r>
  <r>
    <n v="253970722"/>
    <n v="64746802"/>
    <s v="REB"/>
    <n v="9955531"/>
    <n v="173"/>
    <s v="PEÇAS - Defeito de fabric./Alta Amperage"/>
    <s v="FUNCIONAL"/>
    <x v="1"/>
    <n v="4446"/>
    <s v="CONSAB PÇS E SERV. P/ ELETROD. LTDA"/>
    <s v="PR"/>
    <n v="350"/>
    <s v="Ats On"/>
    <n v="1350"/>
    <s v="W11298039"/>
    <s v="Gavetas"/>
    <x v="1"/>
    <n v="1"/>
    <n v="5003024"/>
    <s v="RODOBRAS TRANSPORTES RODOVIARIOS LT"/>
    <n v="116.7"/>
    <d v="2025-04-09T00:00:00"/>
  </r>
  <r>
    <n v="253970722"/>
    <n v="64746803"/>
    <s v="REB"/>
    <n v="9906357"/>
    <n v="173"/>
    <s v="PEÇAS - Defeito de fabric./Alta Amperage"/>
    <s v="FUNCIONAL"/>
    <x v="1"/>
    <n v="4446"/>
    <s v="CONSAB PÇS E SERV. P/ ELETROD. LTDA"/>
    <s v="PR"/>
    <n v="350"/>
    <s v="Ats On"/>
    <n v="1350"/>
    <s v="W11375524"/>
    <s v="Tampas Móveis"/>
    <x v="3"/>
    <n v="1"/>
    <n v="5003024"/>
    <s v="RODOBRAS TRANSPORTES RODOVIARIOS LT"/>
    <n v="22.11"/>
    <d v="2025-04-09T00:00:00"/>
  </r>
  <r>
    <n v="253981563"/>
    <n v="64747078"/>
    <s v="REB"/>
    <n v="9605693"/>
    <n v="173"/>
    <s v="PEÇAS - Defeito de fabric./Alta Amperage"/>
    <s v="FUNCIONAL"/>
    <x v="1"/>
    <n v="64683"/>
    <s v="LAJEAR REFRIGERACAO LTDA ME"/>
    <s v="RS"/>
    <n v="648"/>
    <s v="Ultra"/>
    <n v="1350"/>
    <s v="W11677209"/>
    <s v="Compressores Herméticos"/>
    <x v="0"/>
    <n v="1"/>
    <n v="5003024"/>
    <s v="RODOBRAS TRANSPORTES RODOVIARIOS LT"/>
    <n v="279.2"/>
    <d v="2025-04-23T00:00:00"/>
  </r>
  <r>
    <n v="253970783"/>
    <n v="64747156"/>
    <s v="REB"/>
    <n v="9800169"/>
    <n v="176"/>
    <s v="PEÇAS - Defeito de fabric./Interrompido"/>
    <s v="FUNCIONAL"/>
    <x v="2"/>
    <n v="31537"/>
    <s v="RAQUEL SILVEIRA RODRIGUES &amp; CIA. LT"/>
    <s v="RS"/>
    <n v="641"/>
    <s v="CDP Diamante"/>
    <n v="1350"/>
    <s v="W11619317"/>
    <s v="Placas de Controle"/>
    <x v="2"/>
    <n v="1"/>
    <n v="5003024"/>
    <s v="RODOBRAS TRANSPORTES RODOVIARIOS LT"/>
    <n v="238.3"/>
    <d v="2025-04-09T00:00:00"/>
  </r>
  <r>
    <n v="253970783"/>
    <n v="64747157"/>
    <s v="REB"/>
    <n v="9788340"/>
    <n v="176"/>
    <s v="PEÇAS - Defeito de fabric./Interrompido"/>
    <s v="FUNCIONAL"/>
    <x v="2"/>
    <n v="31537"/>
    <s v="RAQUEL SILVEIRA RODRIGUES &amp; CIA. LT"/>
    <s v="RS"/>
    <n v="641"/>
    <s v="CDP Diamante"/>
    <n v="1350"/>
    <s v="W10714366"/>
    <s v="Válvulas de Água"/>
    <x v="6"/>
    <n v="1"/>
    <n v="5003024"/>
    <s v="RODOBRAS TRANSPORTES RODOVIARIOS LT"/>
    <n v="46.7"/>
    <d v="2025-04-09T00:00:00"/>
  </r>
  <r>
    <n v="253970783"/>
    <n v="64747158"/>
    <s v="REB"/>
    <n v="9839612"/>
    <n v="176"/>
    <s v="PEÇAS - Defeito de fabric./Interrompido"/>
    <s v="FUNCIONAL"/>
    <x v="2"/>
    <n v="31537"/>
    <s v="RAQUEL SILVEIRA RODRIGUES &amp; CIA. LT"/>
    <s v="RS"/>
    <n v="641"/>
    <s v="CDP Diamante"/>
    <n v="1350"/>
    <s v="W11619317"/>
    <s v="Placas de Controle"/>
    <x v="2"/>
    <n v="1"/>
    <n v="5003024"/>
    <s v="RODOBRAS TRANSPORTES RODOVIARIOS LT"/>
    <n v="238.66"/>
    <d v="2025-04-09T00:00:00"/>
  </r>
  <r>
    <n v="253970736"/>
    <n v="64747695"/>
    <s v="REB"/>
    <n v="9869857"/>
    <n v="177"/>
    <s v="PEÇAS - Defeito de fabric./Ruído"/>
    <s v="FUNCIONAL"/>
    <x v="1"/>
    <n v="17539"/>
    <s v="FABRETTI COMERCIO DE PECAS PARA"/>
    <s v="SP"/>
    <n v="350"/>
    <s v="Ats On"/>
    <n v="1350"/>
    <s v="W10894133"/>
    <s v="Motores Ventiladores"/>
    <x v="2"/>
    <n v="1"/>
    <n v="5004042"/>
    <s v="BRASIL WEB TRANSPORTES E LOGISTICA"/>
    <n v="122.74"/>
    <d v="2025-04-09T00:00:00"/>
  </r>
  <r>
    <n v="253969221"/>
    <n v="64747734"/>
    <s v="ROB"/>
    <n v="9960927"/>
    <n v="170"/>
    <s v="PEÇAS - Avaria - Riscada/Depósito"/>
    <s v="LOGÍSTICA"/>
    <x v="1"/>
    <n v="85032"/>
    <s v="ELETRONICA CAMPOS COMERCIO E SERVIC"/>
    <s v="BA"/>
    <n v="350"/>
    <s v="Ats On"/>
    <n v="1350"/>
    <s v="W11368460"/>
    <s v="Portas"/>
    <x v="3"/>
    <n v="1"/>
    <n v="5004101"/>
    <s v="UNIDOCK'S ASSESSORIA E LOGISTICA DE"/>
    <n v="333.98"/>
    <d v="2025-04-08T00:00:00"/>
  </r>
  <r>
    <n v="253970783"/>
    <n v="64748149"/>
    <s v="REB"/>
    <n v="9937445"/>
    <n v="90"/>
    <s v="CLIENTE-não solicitou"/>
    <s v="COMERCIAL"/>
    <x v="2"/>
    <n v="31537"/>
    <s v="RAQUEL SILVEIRA RODRIGUES &amp; CIA. LT"/>
    <s v="RS"/>
    <n v="641"/>
    <s v="CDP Diamante"/>
    <n v="1350"/>
    <n v="326065990"/>
    <s v="Recipientes de Evaporação"/>
    <x v="1"/>
    <n v="3"/>
    <n v="5003024"/>
    <s v="RODOBRAS TRANSPORTES RODOVIARIOS LT"/>
    <n v="32.56"/>
    <d v="2025-04-09T00:00:00"/>
  </r>
  <r>
    <n v="253970736"/>
    <n v="64748160"/>
    <s v="REB"/>
    <n v="9949482"/>
    <n v="173"/>
    <s v="PEÇAS - Defeito de fabric./Alta Amperage"/>
    <s v="FUNCIONAL"/>
    <x v="1"/>
    <n v="17539"/>
    <s v="FABRETTI COMERCIO DE PECAS PARA"/>
    <s v="SP"/>
    <n v="350"/>
    <s v="Ats On"/>
    <n v="1350"/>
    <s v="W10882241"/>
    <s v="Agitadores"/>
    <x v="4"/>
    <n v="1"/>
    <n v="5004042"/>
    <s v="BRASIL WEB TRANSPORTES E LOGISTICA"/>
    <n v="61.97"/>
    <d v="2025-04-09T00:00:00"/>
  </r>
  <r>
    <n v="254042315"/>
    <n v="64748176"/>
    <s v="REB"/>
    <n v="9919985"/>
    <n v="173"/>
    <s v="PEÇAS - Defeito de fabric./Alta Amperage"/>
    <s v="FUNCIONAL"/>
    <x v="1"/>
    <n v="3236"/>
    <s v="FRISON THERM AR CONDICIONADO LTDA F"/>
    <s v="SP"/>
    <n v="931"/>
    <s v="Ats Off"/>
    <n v="1350"/>
    <s v="W11226018"/>
    <s v="Motores Ventiladores"/>
    <x v="2"/>
    <n v="1"/>
    <n v="5004042"/>
    <s v="BRASIL WEB TRANSPORTES E LOGISTICA"/>
    <n v="72.900000000000006"/>
    <d v="2025-04-09T00:00:00"/>
  </r>
  <r>
    <n v="253970893"/>
    <n v="64748188"/>
    <s v="REB"/>
    <n v="7963727"/>
    <n v="178"/>
    <s v="PEÇAS -Defeito de fabric./Sem Compressão"/>
    <s v="FUNCIONAL"/>
    <x v="1"/>
    <n v="61858"/>
    <s v="BTU REFRIGERACAO LTDA"/>
    <s v="PI"/>
    <n v="934"/>
    <s v="CDP Ouro"/>
    <n v="1350"/>
    <n v="326053569"/>
    <s v="Compressores Rotativos"/>
    <x v="0"/>
    <n v="1"/>
    <n v="5004101"/>
    <s v="UNIDOCK'S ASSESSORIA E LOGISTICA DE"/>
    <n v="184.33"/>
    <d v="2025-04-09T00:00:00"/>
  </r>
  <r>
    <n v="253970801"/>
    <n v="64748226"/>
    <s v="REB"/>
    <n v="9957912"/>
    <n v="167"/>
    <s v="PEÇAS - Avaria - Quebrada/Depósito"/>
    <s v="LOGÍSTICA"/>
    <x v="2"/>
    <n v="38442"/>
    <s v="REGINALDO FABIANO HESSLER"/>
    <s v="RS"/>
    <n v="641"/>
    <s v="CDP Diamante"/>
    <n v="1350"/>
    <n v="326066852"/>
    <s v="Prateleiras"/>
    <x v="1"/>
    <n v="2"/>
    <n v="5003024"/>
    <s v="RODOBRAS TRANSPORTES RODOVIARIOS LT"/>
    <n v="71.47"/>
    <d v="2025-04-09T00:00:00"/>
  </r>
  <r>
    <n v="253970697"/>
    <n v="64748244"/>
    <s v="REB"/>
    <n v="9959044"/>
    <n v="176"/>
    <s v="PEÇAS - Defeito de fabric./Interrompido"/>
    <s v="FUNCIONAL"/>
    <x v="0"/>
    <n v="3506"/>
    <s v="TECBRAS ASSISTENCIA TECNICA"/>
    <s v="SP"/>
    <n v="931"/>
    <s v="Ats Off"/>
    <n v="1350"/>
    <s v="W11516472"/>
    <s v="Compressores Herméticos"/>
    <x v="0"/>
    <n v="2"/>
    <n v="5004042"/>
    <s v="BRASIL WEB TRANSPORTES E LOGISTICA"/>
    <n v="706.93"/>
    <d v="2025-04-09T00:00:00"/>
  </r>
  <r>
    <n v="253970783"/>
    <n v="64748273"/>
    <s v="REB"/>
    <n v="9509345"/>
    <n v="176"/>
    <s v="PEÇAS - Defeito de fabric./Interrompido"/>
    <s v="FUNCIONAL"/>
    <x v="2"/>
    <n v="31537"/>
    <s v="RAQUEL SILVEIRA RODRIGUES &amp; CIA. LT"/>
    <s v="RS"/>
    <n v="641"/>
    <s v="CDP Diamante"/>
    <n v="1350"/>
    <s v="W11619317"/>
    <s v="Placas de Controle"/>
    <x v="2"/>
    <n v="1"/>
    <n v="5003024"/>
    <s v="RODOBRAS TRANSPORTES RODOVIARIOS LT"/>
    <n v="235.42"/>
    <d v="2025-04-09T00:00:00"/>
  </r>
  <r>
    <n v="253970783"/>
    <n v="64748275"/>
    <s v="REB"/>
    <n v="9707683"/>
    <n v="168"/>
    <s v="PEÇAS-Def.Fabric.Empenamento/Abaulamento"/>
    <s v="FUNCIONAL"/>
    <x v="2"/>
    <n v="31537"/>
    <s v="RAQUEL SILVEIRA RODRIGUES &amp; CIA. LT"/>
    <s v="RS"/>
    <n v="641"/>
    <s v="CDP Diamante"/>
    <n v="1350"/>
    <n v="326006286"/>
    <s v="Agitadores"/>
    <x v="4"/>
    <n v="1"/>
    <n v="5003024"/>
    <s v="RODOBRAS TRANSPORTES RODOVIARIOS LT"/>
    <n v="40.54"/>
    <d v="2025-04-09T00:00:00"/>
  </r>
  <r>
    <n v="253970783"/>
    <n v="64748276"/>
    <s v="REB"/>
    <n v="9888627"/>
    <n v="176"/>
    <s v="PEÇAS - Defeito de fabric./Interrompido"/>
    <s v="FUNCIONAL"/>
    <x v="2"/>
    <n v="31537"/>
    <s v="RAQUEL SILVEIRA RODRIGUES &amp; CIA. LT"/>
    <s v="RS"/>
    <n v="641"/>
    <s v="CDP Diamante"/>
    <n v="1350"/>
    <n v="326004753"/>
    <s v="Válvulas de Água"/>
    <x v="6"/>
    <n v="1"/>
    <n v="5003024"/>
    <s v="RODOBRAS TRANSPORTES RODOVIARIOS LT"/>
    <n v="33.42"/>
    <d v="2025-04-09T00:00:00"/>
  </r>
  <r>
    <n v="253970783"/>
    <n v="64748277"/>
    <s v="REB"/>
    <n v="9603264"/>
    <n v="176"/>
    <s v="PEÇAS - Defeito de fabric./Interrompido"/>
    <s v="FUNCIONAL"/>
    <x v="2"/>
    <n v="31537"/>
    <s v="RAQUEL SILVEIRA RODRIGUES &amp; CIA. LT"/>
    <s v="RS"/>
    <n v="641"/>
    <s v="CDP Diamante"/>
    <n v="1350"/>
    <s v="W11619317"/>
    <s v="Placas de Controle"/>
    <x v="2"/>
    <n v="1"/>
    <n v="5003024"/>
    <s v="RODOBRAS TRANSPORTES RODOVIARIOS LT"/>
    <n v="240.64"/>
    <d v="2025-04-09T00:00:00"/>
  </r>
  <r>
    <n v="253970734"/>
    <n v="64748278"/>
    <s v="REB"/>
    <n v="9932136"/>
    <n v="177"/>
    <s v="PEÇAS - Defeito de fabric./Ruído"/>
    <s v="FUNCIONAL"/>
    <x v="1"/>
    <n v="15420"/>
    <s v="ITAMAR ANTONIO RODRIGUES ME"/>
    <s v="BA"/>
    <n v="350"/>
    <s v="Ats On"/>
    <n v="1350"/>
    <s v="W10553787"/>
    <s v="Motores Ventiladores"/>
    <x v="2"/>
    <n v="1"/>
    <n v="5004101"/>
    <s v="UNIDOCK'S ASSESSORIA E LOGISTICA DE"/>
    <n v="70.55"/>
    <d v="2025-04-09T00:00:00"/>
  </r>
  <r>
    <n v="253970783"/>
    <n v="64748294"/>
    <s v="REB"/>
    <n v="9472827"/>
    <n v="176"/>
    <s v="PEÇAS - Defeito de fabric./Interrompido"/>
    <s v="FUNCIONAL"/>
    <x v="2"/>
    <n v="31537"/>
    <s v="RAQUEL SILVEIRA RODRIGUES &amp; CIA. LT"/>
    <s v="RS"/>
    <n v="641"/>
    <s v="CDP Diamante"/>
    <n v="1350"/>
    <s v="W11619317"/>
    <s v="Placas de Controle"/>
    <x v="2"/>
    <n v="1"/>
    <n v="5003024"/>
    <s v="RODOBRAS TRANSPORTES RODOVIARIOS LT"/>
    <n v="235.49"/>
    <d v="2025-04-09T00:00:00"/>
  </r>
  <r>
    <n v="253970675"/>
    <n v="64748374"/>
    <s v="REB"/>
    <n v="9657637"/>
    <n v="173"/>
    <s v="PEÇAS - Defeito de fabric./Alta Amperage"/>
    <s v="FUNCIONAL"/>
    <x v="1"/>
    <n v="66"/>
    <s v="CENTROMAQ PECAS E SERVICOS LTDA"/>
    <s v="GO"/>
    <n v="931"/>
    <s v="Ats Off"/>
    <n v="1350"/>
    <s v="W10505774"/>
    <s v="Redes Elétricas"/>
    <x v="2"/>
    <n v="1"/>
    <n v="5002858"/>
    <s v="FAVORITA TRANSPORTES LTDA"/>
    <n v="43.92"/>
    <d v="2025-04-09T00:00:00"/>
  </r>
  <r>
    <n v="253970742"/>
    <n v="64748491"/>
    <s v="REB"/>
    <n v="9954541"/>
    <n v="173"/>
    <s v="PEÇAS - Defeito de fabric./Alta Amperage"/>
    <s v="FUNCIONAL"/>
    <x v="2"/>
    <n v="21594"/>
    <s v="GOLD SERVICE COMERCIO"/>
    <s v="SP"/>
    <n v="931"/>
    <s v="Ats Off"/>
    <n v="1350"/>
    <s v="W10666797"/>
    <s v="Compressores Herméticos"/>
    <x v="0"/>
    <n v="1"/>
    <n v="5004042"/>
    <s v="BRASIL WEB TRANSPORTES E LOGISTICA"/>
    <n v="707.3"/>
    <d v="2025-04-09T00:00:00"/>
  </r>
  <r>
    <n v="253970743"/>
    <n v="64748492"/>
    <s v="REB"/>
    <n v="9788866"/>
    <n v="173"/>
    <s v="PEÇAS - Defeito de fabric./Alta Amperage"/>
    <s v="FUNCIONAL"/>
    <x v="1"/>
    <n v="21594"/>
    <s v="GOLD SERVICE COMERCIO"/>
    <s v="SP"/>
    <n v="931"/>
    <s v="Ats Off"/>
    <n v="1350"/>
    <s v="W11045273"/>
    <s v="Capas"/>
    <x v="3"/>
    <n v="1"/>
    <n v="5004042"/>
    <s v="BRASIL WEB TRANSPORTES E LOGISTICA"/>
    <n v="137.49"/>
    <d v="2025-04-09T00:00:00"/>
  </r>
  <r>
    <n v="253970732"/>
    <n v="64748493"/>
    <s v="REB"/>
    <n v="9794233"/>
    <n v="173"/>
    <s v="PEÇAS - Defeito de fabric./Alta Amperage"/>
    <s v="FUNCIONAL"/>
    <x v="1"/>
    <n v="13757"/>
    <s v="FRIGELAR COMÉRCIO E INDÚSTRIA LTDA"/>
    <s v="SP"/>
    <n v="713"/>
    <s v="Key Account"/>
    <n v="1350"/>
    <s v="W11634491"/>
    <s v="Placas de Controle"/>
    <x v="2"/>
    <n v="1"/>
    <n v="5004042"/>
    <s v="BRASIL WEB TRANSPORTES E LOGISTICA"/>
    <n v="61.41"/>
    <d v="2025-04-09T00:00:00"/>
  </r>
  <r>
    <n v="253970854"/>
    <n v="64748513"/>
    <s v="REB"/>
    <n v="9956069"/>
    <n v="167"/>
    <s v="PEÇAS - Avaria - Quebrada/Depósito"/>
    <s v="LOGÍSTICA"/>
    <x v="1"/>
    <n v="56043"/>
    <s v="B C M - COMERCIO DE PECAS E"/>
    <s v="PR"/>
    <n v="963"/>
    <s v="Ats Distribuidoras"/>
    <n v="1350"/>
    <s v="W10287547"/>
    <s v="Gavetas"/>
    <x v="1"/>
    <n v="3"/>
    <n v="5003024"/>
    <s v="RODOBRAS TRANSPORTES RODOVIARIOS LT"/>
    <n v="395.11"/>
    <d v="2025-04-09T00:00:00"/>
  </r>
  <r>
    <n v="253970799"/>
    <n v="64748527"/>
    <s v="REB"/>
    <n v="9957912"/>
    <n v="170"/>
    <s v="PEÇAS - Avaria - Riscada/Depósito"/>
    <s v="LOGÍSTICA"/>
    <x v="1"/>
    <n v="38442"/>
    <s v="REGINALDO FABIANO HESSLER"/>
    <s v="RS"/>
    <n v="641"/>
    <s v="CDP Diamante"/>
    <n v="1350"/>
    <n v="326047349"/>
    <s v="Portas"/>
    <x v="3"/>
    <n v="1"/>
    <n v="5003024"/>
    <s v="RODOBRAS TRANSPORTES RODOVIARIOS LT"/>
    <n v="49.48"/>
    <d v="2025-04-09T00:00:00"/>
  </r>
  <r>
    <n v="253970732"/>
    <n v="64748544"/>
    <s v="REB"/>
    <n v="9626263"/>
    <n v="173"/>
    <s v="PEÇAS - Defeito de fabric./Alta Amperage"/>
    <s v="FUNCIONAL"/>
    <x v="1"/>
    <n v="13757"/>
    <s v="FRIGELAR COMÉRCIO E INDÚSTRIA LTDA"/>
    <s v="SP"/>
    <n v="713"/>
    <s v="Key Account"/>
    <n v="1350"/>
    <s v="W11369860"/>
    <s v="Motores Ventiladores"/>
    <x v="2"/>
    <n v="1"/>
    <n v="5004042"/>
    <s v="BRASIL WEB TRANSPORTES E LOGISTICA"/>
    <n v="74.2"/>
    <d v="2025-04-09T00:00:00"/>
  </r>
  <r>
    <n v="253970832"/>
    <n v="64748559"/>
    <s v="REB"/>
    <n v="9542836"/>
    <n v="173"/>
    <s v="PEÇAS - Defeito de fabric./Alta Amperage"/>
    <s v="FUNCIONAL"/>
    <x v="1"/>
    <n v="55451"/>
    <s v="SENADOR PECAS E SERVICOS"/>
    <s v="SP"/>
    <n v="934"/>
    <s v="CDP Ouro"/>
    <n v="1350"/>
    <s v="W11482942"/>
    <s v="Placas de Controle"/>
    <x v="2"/>
    <n v="1"/>
    <n v="5004042"/>
    <s v="BRASIL WEB TRANSPORTES E LOGISTICA"/>
    <n v="221.79"/>
    <d v="2025-04-09T00:00:00"/>
  </r>
  <r>
    <n v="253970832"/>
    <n v="64748560"/>
    <s v="REB"/>
    <n v="9951137"/>
    <n v="173"/>
    <s v="PEÇAS - Defeito de fabric./Alta Amperage"/>
    <s v="FUNCIONAL"/>
    <x v="1"/>
    <n v="55451"/>
    <s v="SENADOR PECAS E SERVICOS"/>
    <s v="SP"/>
    <n v="934"/>
    <s v="CDP Ouro"/>
    <n v="1350"/>
    <s v="W11251568"/>
    <s v="Placas de Controle"/>
    <x v="2"/>
    <n v="1"/>
    <n v="5004042"/>
    <s v="BRASIL WEB TRANSPORTES E LOGISTICA"/>
    <n v="521.64"/>
    <d v="2025-04-09T00:00:00"/>
  </r>
  <r>
    <n v="253970743"/>
    <n v="64748632"/>
    <s v="REB"/>
    <n v="9889918"/>
    <n v="173"/>
    <s v="PEÇAS - Defeito de fabric./Alta Amperage"/>
    <s v="FUNCIONAL"/>
    <x v="1"/>
    <n v="21594"/>
    <s v="GOLD SERVICE COMERCIO"/>
    <s v="SP"/>
    <n v="931"/>
    <s v="Ats Off"/>
    <n v="1350"/>
    <s v="W10882241"/>
    <s v="Agitadores"/>
    <x v="4"/>
    <n v="1"/>
    <n v="5004042"/>
    <s v="BRASIL WEB TRANSPORTES E LOGISTICA"/>
    <n v="57.49"/>
    <d v="2025-04-09T00:00:00"/>
  </r>
  <r>
    <n v="253970742"/>
    <n v="64748663"/>
    <s v="REB"/>
    <n v="9958990"/>
    <n v="173"/>
    <s v="PEÇAS - Defeito de fabric./Alta Amperage"/>
    <s v="FUNCIONAL"/>
    <x v="2"/>
    <n v="21594"/>
    <s v="GOLD SERVICE COMERCIO"/>
    <s v="SP"/>
    <n v="931"/>
    <s v="Ats Off"/>
    <n v="1350"/>
    <s v="W10518616"/>
    <s v="Atuadores"/>
    <x v="4"/>
    <n v="1"/>
    <n v="5004042"/>
    <s v="BRASIL WEB TRANSPORTES E LOGISTICA"/>
    <n v="33.9"/>
    <d v="2025-04-09T00:00:00"/>
  </r>
  <r>
    <n v="253970806"/>
    <n v="64748698"/>
    <s v="REB"/>
    <n v="9962970"/>
    <n v="90"/>
    <s v="CLIENTE-não solicitou"/>
    <s v="COMERCIAL"/>
    <x v="2"/>
    <n v="42046"/>
    <s v="AREA SUL COMERCIO E SERVICOS EIRELI"/>
    <s v="PE"/>
    <n v="350"/>
    <s v="Ats On"/>
    <n v="1350"/>
    <n v="326042568"/>
    <s v="Portas"/>
    <x v="3"/>
    <n v="1"/>
    <n v="5004101"/>
    <s v="UNIDOCK'S ASSESSORIA E LOGISTICA DE"/>
    <n v="444.25"/>
    <d v="2025-04-09T00:00:00"/>
  </r>
  <r>
    <n v="253970893"/>
    <n v="64748749"/>
    <s v="REB"/>
    <n v="9607237"/>
    <n v="178"/>
    <s v="PEÇAS -Defeito de fabric./Sem Compressão"/>
    <s v="FUNCIONAL"/>
    <x v="1"/>
    <n v="61858"/>
    <s v="BTU REFRIGERACAO LTDA"/>
    <s v="PI"/>
    <n v="934"/>
    <s v="CDP Ouro"/>
    <n v="1350"/>
    <s v="W11677209"/>
    <s v="Compressores Herméticos"/>
    <x v="0"/>
    <n v="1"/>
    <n v="5004101"/>
    <s v="UNIDOCK'S ASSESSORIA E LOGISTICA DE"/>
    <n v="293.24"/>
    <d v="2025-04-09T00:00:00"/>
  </r>
  <r>
    <n v="253970686"/>
    <n v="64748762"/>
    <s v="REB"/>
    <n v="9964466"/>
    <n v="178"/>
    <s v="PEÇAS -Defeito de fabric./Sem Compressão"/>
    <s v="FUNCIONAL"/>
    <x v="1"/>
    <n v="3389"/>
    <s v="LARTEC COML PECAS E ACESS LTDA"/>
    <s v="SP"/>
    <n v="350"/>
    <s v="Ats On"/>
    <n v="1350"/>
    <s v="W11516472"/>
    <s v="Compressores Herméticos"/>
    <x v="0"/>
    <n v="1"/>
    <n v="5004042"/>
    <s v="BRASIL WEB TRANSPORTES E LOGISTICA"/>
    <n v="401.49"/>
    <d v="2025-04-09T00:00:00"/>
  </r>
  <r>
    <n v="253970717"/>
    <n v="64748857"/>
    <s v="REB"/>
    <n v="9853586"/>
    <n v="177"/>
    <s v="PEÇAS - Defeito de fabric./Ruído"/>
    <s v="FUNCIONAL"/>
    <x v="1"/>
    <n v="4318"/>
    <s v="REFRIGERACAO MARTENDAL LTDA"/>
    <s v="SC"/>
    <n v="931"/>
    <s v="Ats Off"/>
    <n v="1350"/>
    <s v="W10470951"/>
    <s v="Correias"/>
    <x v="4"/>
    <n v="10"/>
    <n v="5003024"/>
    <s v="RODOBRAS TRANSPORTES RODOVIARIOS LT"/>
    <n v="86.37"/>
    <d v="2025-04-09T00:00:00"/>
  </r>
  <r>
    <n v="253970717"/>
    <n v="64748857"/>
    <s v="REB"/>
    <n v="9853586"/>
    <n v="177"/>
    <s v="PEÇAS - Defeito de fabric./Ruído"/>
    <s v="FUNCIONAL"/>
    <x v="1"/>
    <n v="4318"/>
    <s v="REFRIGERACAO MARTENDAL LTDA"/>
    <s v="SC"/>
    <n v="931"/>
    <s v="Ats Off"/>
    <n v="1350"/>
    <s v="W11448418"/>
    <s v="Polias/Roldanas"/>
    <x v="4"/>
    <n v="6"/>
    <n v="5003024"/>
    <s v="RODOBRAS TRANSPORTES RODOVIARIOS LT"/>
    <n v="50.26"/>
    <d v="2025-04-09T00:00:00"/>
  </r>
  <r>
    <n v="253970717"/>
    <n v="64748857"/>
    <s v="REB"/>
    <n v="9853586"/>
    <n v="177"/>
    <s v="PEÇAS - Defeito de fabric./Ruído"/>
    <s v="FUNCIONAL"/>
    <x v="1"/>
    <n v="4318"/>
    <s v="REFRIGERACAO MARTENDAL LTDA"/>
    <s v="SC"/>
    <n v="931"/>
    <s v="Ats Off"/>
    <n v="1350"/>
    <s v="W11551361"/>
    <s v="Peças Mecanismos"/>
    <x v="4"/>
    <n v="8"/>
    <n v="5003024"/>
    <s v="RODOBRAS TRANSPORTES RODOVIARIOS LT"/>
    <n v="78.47"/>
    <d v="2025-04-09T00:00:00"/>
  </r>
  <r>
    <n v="253970783"/>
    <n v="64748867"/>
    <s v="REB"/>
    <n v="9854775"/>
    <n v="168"/>
    <s v="PEÇAS-Def.Fabric.Empenamento/Abaulamento"/>
    <s v="FUNCIONAL"/>
    <x v="2"/>
    <n v="31537"/>
    <s v="RAQUEL SILVEIRA RODRIGUES &amp; CIA. LT"/>
    <s v="RS"/>
    <n v="641"/>
    <s v="CDP Diamante"/>
    <n v="1350"/>
    <s v="W11371164"/>
    <s v="Mecanismos"/>
    <x v="4"/>
    <n v="1"/>
    <n v="5003024"/>
    <s v="RODOBRAS TRANSPORTES RODOVIARIOS LT"/>
    <n v="162.21"/>
    <d v="2025-04-09T00:00:00"/>
  </r>
  <r>
    <n v="253970698"/>
    <n v="64748874"/>
    <s v="REB"/>
    <n v="9688270"/>
    <n v="176"/>
    <s v="PEÇAS - Defeito de fabric./Interrompido"/>
    <s v="FUNCIONAL"/>
    <x v="1"/>
    <n v="3506"/>
    <s v="TECBRAS ASSISTENCIA TECNICA"/>
    <s v="SP"/>
    <n v="931"/>
    <s v="Ats Off"/>
    <n v="1350"/>
    <s v="W11682256"/>
    <s v="Filtro Secadores"/>
    <x v="0"/>
    <n v="1"/>
    <n v="5004042"/>
    <s v="BRASIL WEB TRANSPORTES E LOGISTICA"/>
    <n v="8.75"/>
    <d v="2025-04-09T00:00:00"/>
  </r>
  <r>
    <n v="253970816"/>
    <n v="64748906"/>
    <s v="REB"/>
    <n v="8649270"/>
    <n v="178"/>
    <s v="PEÇAS -Defeito de fabric./Sem Compressão"/>
    <s v="FUNCIONAL"/>
    <x v="0"/>
    <n v="50822"/>
    <s v="CLAYTON DE OLIVEIRA"/>
    <s v="AL"/>
    <n v="644"/>
    <s v="Plus"/>
    <n v="1350"/>
    <s v="W11647662"/>
    <s v="Compressores Herméticos"/>
    <x v="0"/>
    <n v="5"/>
    <n v="5004101"/>
    <s v="UNIDOCK'S ASSESSORIA E LOGISTICA DE"/>
    <n v="1513.49"/>
    <d v="2025-04-09T00:00:00"/>
  </r>
  <r>
    <n v="253970735"/>
    <n v="64748914"/>
    <s v="REB"/>
    <n v="9949482"/>
    <n v="173"/>
    <s v="PEÇAS - Defeito de fabric./Alta Amperage"/>
    <s v="FUNCIONAL"/>
    <x v="1"/>
    <n v="17539"/>
    <s v="FABRETTI COMERCIO DE PECAS PARA"/>
    <s v="SP"/>
    <n v="350"/>
    <s v="Ats On"/>
    <n v="1350"/>
    <s v="W10882241"/>
    <s v="Agitadores"/>
    <x v="4"/>
    <n v="3"/>
    <n v="5004042"/>
    <s v="BRASIL WEB TRANSPORTES E LOGISTICA"/>
    <n v="185.91"/>
    <d v="2025-04-09T00:00:00"/>
  </r>
  <r>
    <n v="253970682"/>
    <n v="64748915"/>
    <s v="REB"/>
    <n v="9909439"/>
    <n v="173"/>
    <s v="PEÇAS - Defeito de fabric./Alta Amperage"/>
    <s v="FUNCIONAL"/>
    <x v="1"/>
    <n v="2809"/>
    <s v="ELECTRO REFRIGERACAO BRASILUSO"/>
    <s v="RJ"/>
    <n v="350"/>
    <s v="Ats On"/>
    <n v="1350"/>
    <s v="W10351342"/>
    <s v="Ice Maker"/>
    <x v="5"/>
    <n v="1"/>
    <n v="5003176"/>
    <s v="J C THEDIN TRANSPORTES LTDA"/>
    <n v="314.66000000000003"/>
    <d v="2025-04-09T00:00:00"/>
  </r>
  <r>
    <n v="253970732"/>
    <n v="64749099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1299803"/>
    <s v="Mecanismos"/>
    <x v="4"/>
    <n v="2"/>
    <n v="5004042"/>
    <s v="BRASIL WEB TRANSPORTES E LOGISTICA"/>
    <n v="221"/>
    <d v="2025-04-09T00:00:00"/>
  </r>
  <r>
    <n v="253970732"/>
    <n v="64749099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1300816"/>
    <s v="Mecanismos"/>
    <x v="4"/>
    <n v="2"/>
    <n v="5004042"/>
    <s v="BRASIL WEB TRANSPORTES E LOGISTICA"/>
    <n v="265.7"/>
    <d v="2025-04-09T00:00:00"/>
  </r>
  <r>
    <s v="Sem TR"/>
    <n v="64749875"/>
    <s v="REB"/>
    <n v="9961123"/>
    <n v="125"/>
    <s v="DEV-Extravio de produto (Transportadora)"/>
    <s v="TRANSPORTADORA"/>
    <x v="2"/>
    <n v="4189"/>
    <s v="PONTO DE ORVALHO REFRIG LTDA"/>
    <s v="CE"/>
    <n v="931"/>
    <s v="Ats Off"/>
    <n v="1350"/>
    <s v="W10468430"/>
    <s v="Manípulos"/>
    <x v="3"/>
    <n v="1"/>
    <n v="5004101"/>
    <s v="UNIDOCK'S ASSESSORIA E LOGISTICA DE"/>
    <n v="7.92"/>
    <d v="2025-04-10T00:00:00"/>
  </r>
  <r>
    <s v="Sem TR"/>
    <n v="64750056"/>
    <s v="REB"/>
    <n v="9876389"/>
    <n v="671"/>
    <s v="DEV-ENVIADO PARA GESTÃO DE CONSEQUENCIA"/>
    <s v="TRANSPORTADORA"/>
    <x v="1"/>
    <n v="22211"/>
    <s v="BARNI PRES SER COM PROD REFIRG ME"/>
    <s v="SC"/>
    <n v="644"/>
    <s v="Plus"/>
    <n v="1350"/>
    <s v="W11298039"/>
    <s v="Gavetas"/>
    <x v="1"/>
    <n v="1"/>
    <n v="5003024"/>
    <s v="RODOBRAS TRANSPORTES RODOVIARIOS LT"/>
    <n v="92.07"/>
    <d v="2025-04-11T00:00:00"/>
  </r>
  <r>
    <s v="Sem TR"/>
    <n v="64750497"/>
    <s v="REB"/>
    <n v="9974268"/>
    <n v="671"/>
    <s v="DEV-ENVIADO PARA GESTÃO DE CONSEQUENCIA"/>
    <s v="TRANSPORTADORA"/>
    <x v="1"/>
    <n v="18805"/>
    <s v="RECORRE R C REFRIG LTDA"/>
    <s v="PR"/>
    <n v="648"/>
    <s v="Ultra"/>
    <n v="1350"/>
    <s v="W10367623"/>
    <s v="Gaxetas"/>
    <x v="10"/>
    <n v="5"/>
    <n v="5003024"/>
    <s v="RODOBRAS TRANSPORTES RODOVIARIOS LT"/>
    <n v="259.55"/>
    <d v="2025-04-11T00:00:00"/>
  </r>
  <r>
    <n v="253976550"/>
    <n v="64751113"/>
    <s v="ROB"/>
    <n v="9983981"/>
    <n v="220"/>
    <s v="DEV-Avaria 1 trecho transp - Produto"/>
    <s v="QUALIDADE"/>
    <x v="1"/>
    <n v="77654"/>
    <s v="OSMAIL ANDREI NUNES"/>
    <s v="SC"/>
    <n v="698"/>
    <s v="CDP Bronze"/>
    <n v="1350"/>
    <s v="W10576312"/>
    <s v="Parafusos e afins"/>
    <x v="7"/>
    <n v="1"/>
    <n v="5003024"/>
    <s v="RODOBRAS TRANSPORTES RODOVIARIOS LT"/>
    <n v="117.75"/>
    <d v="2025-04-22T00:00:00"/>
  </r>
  <r>
    <n v="254050860"/>
    <n v="64752879"/>
    <s v="REB"/>
    <n v="9974214"/>
    <n v="167"/>
    <s v="PEÇAS - Avaria - Quebrada/Depósito"/>
    <s v="LOGÍSTICA"/>
    <x v="1"/>
    <n v="5129"/>
    <s v="CONSERTOS DE ELETRODOMESTICOS TEUT"/>
    <s v="RS"/>
    <n v="934"/>
    <s v="CDP Ouro"/>
    <n v="1350"/>
    <s v="W10287547"/>
    <s v="Gavetas"/>
    <x v="1"/>
    <n v="1"/>
    <n v="5003024"/>
    <s v="RODOBRAS TRANSPORTES RODOVIARIOS LT"/>
    <n v="104.28"/>
    <d v="2025-04-16T00:00:00"/>
  </r>
  <r>
    <s v="Sem TR"/>
    <n v="64753157"/>
    <s v="REB"/>
    <n v="9946477"/>
    <n v="115"/>
    <s v="PEÇAS-Recusa do cliente"/>
    <s v="COMERCIAL"/>
    <x v="1"/>
    <n v="32508"/>
    <s v="RESFRIE REFRIGERACAO ELETRO"/>
    <s v="ES"/>
    <n v="350"/>
    <s v="Ats On"/>
    <n v="1350"/>
    <s v="W11713153"/>
    <s v="Outros"/>
    <x v="5"/>
    <n v="1"/>
    <n v="5004042"/>
    <s v="BRASIL WEB TRANSPORTES E LOGISTICA"/>
    <n v="1290.8599999999999"/>
    <d v="2025-04-17T00:00:00"/>
  </r>
  <r>
    <s v="Sem TR"/>
    <n v="64754583"/>
    <s v="ROB"/>
    <n v="50131"/>
    <n v="671"/>
    <s v="DEV-ENVIADO PARA GESTÃO DE CONSEQUENCIA"/>
    <s v="TRANSPORTADORA"/>
    <x v="1"/>
    <n v="8975"/>
    <s v="FORT CENTER REFRIGERACAO LTDA"/>
    <s v="MA"/>
    <n v="931"/>
    <s v="Ats Off"/>
    <n v="1350"/>
    <s v="W10512776"/>
    <s v="Tanques"/>
    <x v="1"/>
    <n v="2"/>
    <n v="5004391"/>
    <s v="JEONCEL TRANSPORTES LTDA"/>
    <n v="359.75"/>
    <d v="2025-04-22T00:00:00"/>
  </r>
  <r>
    <s v="Sem TR"/>
    <n v="64754583"/>
    <s v="ROB"/>
    <n v="50131"/>
    <n v="671"/>
    <s v="DEV-ENVIADO PARA GESTÃO DE CONSEQUENCIA"/>
    <s v="TRANSPORTADORA"/>
    <x v="1"/>
    <n v="8975"/>
    <s v="FORT CENTER REFRIGERACAO LTDA"/>
    <s v="MA"/>
    <n v="931"/>
    <s v="Ats Off"/>
    <n v="1350"/>
    <s v="W11112652"/>
    <s v="Botões"/>
    <x v="3"/>
    <n v="10"/>
    <n v="5004391"/>
    <s v="JEONCEL TRANSPORTES LTDA"/>
    <n v="70.849999999999994"/>
    <d v="2025-04-22T00:00:00"/>
  </r>
  <r>
    <s v="Sem TR"/>
    <n v="64754593"/>
    <s v="ROB"/>
    <n v="50279"/>
    <n v="671"/>
    <s v="DEV-ENVIADO PARA GESTÃO DE CONSEQUENCIA"/>
    <s v="TRANSPORTADORA"/>
    <x v="1"/>
    <n v="8975"/>
    <s v="FORT CENTER REFRIGERACAO LTDA"/>
    <s v="MA"/>
    <n v="931"/>
    <s v="Ats Off"/>
    <n v="1350"/>
    <s v="W10539793"/>
    <s v="Capas"/>
    <x v="3"/>
    <n v="1"/>
    <n v="5004391"/>
    <s v="JEONCEL TRANSPORTES LTDA"/>
    <n v="22.03"/>
    <d v="2025-04-22T00:00:00"/>
  </r>
  <r>
    <s v="Sem TR"/>
    <n v="64754599"/>
    <s v="ROB"/>
    <n v="50280"/>
    <n v="671"/>
    <s v="DEV-ENVIADO PARA GESTÃO DE CONSEQUENCIA"/>
    <s v="TRANSPORTADORA"/>
    <x v="1"/>
    <n v="8975"/>
    <s v="FORT CENTER REFRIGERACAO LTDA"/>
    <s v="MA"/>
    <n v="931"/>
    <s v="Ats Off"/>
    <n v="1350"/>
    <s v="W11673948"/>
    <s v="Tirantes"/>
    <x v="11"/>
    <n v="50"/>
    <n v="5004391"/>
    <s v="JEONCEL TRANSPORTES LTDA"/>
    <n v="275.47000000000003"/>
    <d v="2025-04-22T00:00:00"/>
  </r>
  <r>
    <s v="Sem TR"/>
    <n v="64755072"/>
    <s v="ROB"/>
    <n v="9950449"/>
    <n v="671"/>
    <s v="DEV-ENVIADO PARA GESTÃO DE CONSEQUENCIA"/>
    <s v="TRANSPORTADORA"/>
    <x v="1"/>
    <n v="76076"/>
    <s v="dSPACO DO CLIMA AR"/>
    <s v="RS"/>
    <n v="931"/>
    <s v="Ats Off"/>
    <n v="1350"/>
    <s v="W10759020"/>
    <s v="Prateleiras"/>
    <x v="1"/>
    <n v="1"/>
    <n v="5003024"/>
    <s v="RODOBRAS TRANSPORTES RODOVIARIOS LT"/>
    <n v="56.54"/>
    <d v="2025-04-23T00:00:00"/>
  </r>
  <r>
    <s v="Sem TR"/>
    <n v="64755074"/>
    <s v="REB"/>
    <n v="9969382"/>
    <n v="671"/>
    <s v="DEV-ENVIADO PARA GESTÃO DE CONSEQUENCIA"/>
    <s v="TRANSPORTADORA"/>
    <x v="1"/>
    <n v="50055"/>
    <s v="LUCIANO APARECIDO LIMA CRISTALDO"/>
    <s v="MS"/>
    <n v="648"/>
    <s v="Ultra"/>
    <n v="1350"/>
    <s v="W10268575"/>
    <s v="Gaxetas"/>
    <x v="10"/>
    <n v="1"/>
    <n v="5002573"/>
    <s v="CARVALIMA TRANSPORTES LTDA"/>
    <n v="54.67"/>
    <d v="2025-04-23T00:00:00"/>
  </r>
  <r>
    <s v="Sem TR"/>
    <n v="64756320"/>
    <s v="REB"/>
    <n v="9931559"/>
    <n v="109"/>
    <s v="PEÇAS-Erro de catálogo/BT"/>
    <s v="ENGENHARIA"/>
    <x v="1"/>
    <n v="83387"/>
    <s v="METTA COMERCIO E SERVICOS LTDA"/>
    <s v="RJ"/>
    <n v="350"/>
    <s v="Ats On"/>
    <n v="1350"/>
    <s v="W11208459"/>
    <s v="Placas de Controle"/>
    <x v="2"/>
    <n v="1"/>
    <n v="5003176"/>
    <s v="J C THEDIN TRANSPORTES LTDA"/>
    <n v="374.36"/>
    <d v="2025-04-24T00:00:00"/>
  </r>
  <r>
    <s v="Sem TR"/>
    <n v="64756326"/>
    <s v="REB"/>
    <n v="9972943"/>
    <n v="115"/>
    <s v="PEÇAS-Recusa do cliente"/>
    <s v="COMERCIAL"/>
    <x v="1"/>
    <n v="88017"/>
    <s v="LOPES REPARACOES COMERCIO E"/>
    <s v="BA"/>
    <n v="350"/>
    <s v="Ats On"/>
    <n v="1350"/>
    <n v="326011600"/>
    <s v="Válvulas de Água"/>
    <x v="6"/>
    <n v="2"/>
    <n v="5004101"/>
    <s v="UNIDOCK'S ASSESSORIA E LOGISTICA DE"/>
    <n v="59.6"/>
    <d v="2025-04-24T00:00:00"/>
  </r>
  <r>
    <n v="253983962"/>
    <n v="64756917"/>
    <s v="REB"/>
    <n v="9904265"/>
    <n v="160"/>
    <s v="OI Cancelada - Ver motivo no texto"/>
    <s v="OUTROS"/>
    <x v="1"/>
    <n v="80567"/>
    <s v="SERVIPLUS REFRIGERACAO E"/>
    <s v="ES"/>
    <n v="350"/>
    <s v="Ats On"/>
    <n v="1350"/>
    <s v="W11660323"/>
    <s v="Retentores"/>
    <x v="10"/>
    <n v="1"/>
    <n v="5004042"/>
    <s v="BRASIL WEB TRANSPORTES E LOGISTICA"/>
    <n v="79.48"/>
    <d v="2025-04-28T00:00:00"/>
  </r>
  <r>
    <n v="254058256"/>
    <n v="64756917"/>
    <s v="REB"/>
    <n v="9904265"/>
    <n v="160"/>
    <s v="OI Cancelada - Ver motivo no texto"/>
    <s v="OUTROS"/>
    <x v="1"/>
    <n v="80567"/>
    <s v="SERVIPLUS REFRIGERACAO E"/>
    <s v="ES"/>
    <n v="350"/>
    <s v="Ats On"/>
    <n v="1350"/>
    <s v="W11370233"/>
    <s v="Gaxetas"/>
    <x v="10"/>
    <n v="1"/>
    <n v="5004042"/>
    <s v="BRASIL WEB TRANSPORTES E LOGISTICA"/>
    <n v="37.11"/>
    <d v="2025-04-28T00:00:00"/>
  </r>
  <r>
    <n v="254050861"/>
    <n v="64756976"/>
    <s v="ZDVP"/>
    <n v="9746010"/>
    <n v="178"/>
    <s v="PEÇAS -Defeito de fabric./Sem Compressão"/>
    <s v="FUNCIONAL"/>
    <x v="2"/>
    <n v="63300"/>
    <s v="REFRIGERACAO MOTA LTDA"/>
    <s v="MG"/>
    <n v="643"/>
    <s v="Elite"/>
    <n v="1350"/>
    <s v="W10393822"/>
    <s v="Compressores Herméticos"/>
    <x v="0"/>
    <n v="6"/>
    <n v="5004215"/>
    <s v="BRASIL WEB TRANSPORTES E LOGISTICA"/>
    <n v="3024.71"/>
    <d v="2025-05-05T00:00:00"/>
  </r>
  <r>
    <n v="253988800"/>
    <n v="64757273"/>
    <s v="REB"/>
    <n v="9860594"/>
    <n v="173"/>
    <s v="PEÇAS - Defeito de fabric./Alta Amperage"/>
    <s v="FUNCIONAL"/>
    <x v="1"/>
    <n v="13757"/>
    <s v="FRIGELAR COMÉRCIO E INDÚSTRIA LTDA"/>
    <s v="SP"/>
    <n v="713"/>
    <s v="Key Account"/>
    <n v="1350"/>
    <s v="W10700346"/>
    <s v="Placas de Controle"/>
    <x v="2"/>
    <n v="2"/>
    <n v="5004042"/>
    <s v="BRASIL WEB TRANSPORTES E LOGISTICA"/>
    <n v="199.9"/>
    <d v="2025-05-05T00:00:00"/>
  </r>
  <r>
    <n v="253981553"/>
    <n v="64757518"/>
    <s v="REB"/>
    <n v="9624832"/>
    <n v="178"/>
    <s v="PEÇAS -Defeito de fabric./Sem Compressão"/>
    <s v="FUNCIONAL"/>
    <x v="1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74.5"/>
    <d v="2025-04-25T00:00:00"/>
  </r>
  <r>
    <n v="253981554"/>
    <n v="64757615"/>
    <s v="REB"/>
    <n v="9624832"/>
    <n v="178"/>
    <s v="PEÇAS -Defeito de fabric./Sem Compressão"/>
    <s v="FUNCIONAL"/>
    <x v="1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74.5"/>
    <d v="2025-04-25T00:00:00"/>
  </r>
  <r>
    <n v="253981423"/>
    <n v="64757712"/>
    <s v="REB"/>
    <n v="9962767"/>
    <n v="167"/>
    <s v="PEÇAS - Avaria - Quebrada/Depósito"/>
    <s v="LOGÍSTICA"/>
    <x v="1"/>
    <n v="27253"/>
    <s v="S.M. QUARESMA"/>
    <s v="PI"/>
    <n v="931"/>
    <s v="Ats Off"/>
    <n v="1350"/>
    <s v="W10512612"/>
    <s v="Tampas Móveis"/>
    <x v="3"/>
    <n v="2"/>
    <n v="5004101"/>
    <s v="UNIDOCK'S ASSESSORIA E LOGISTICA DE"/>
    <n v="263.81"/>
    <d v="2025-04-25T00:00:00"/>
  </r>
  <r>
    <n v="253987986"/>
    <n v="64757740"/>
    <s v="REB"/>
    <n v="9929716"/>
    <n v="176"/>
    <s v="PEÇAS - Defeito de fabric./Interrompido"/>
    <s v="FUNCIONAL"/>
    <x v="1"/>
    <n v="31537"/>
    <s v="RAQUEL SILVEIRA RODRIGUES &amp; CIA. LT"/>
    <s v="RS"/>
    <n v="641"/>
    <s v="CDP Diamante"/>
    <n v="1350"/>
    <s v="W11082463"/>
    <s v="Termostatos"/>
    <x v="8"/>
    <n v="1"/>
    <n v="5003024"/>
    <s v="RODOBRAS TRANSPORTES RODOVIARIOS LT"/>
    <n v="44.34"/>
    <d v="2025-04-25T00:00:00"/>
  </r>
  <r>
    <n v="253981582"/>
    <n v="64757810"/>
    <s v="REB"/>
    <n v="9963208"/>
    <n v="177"/>
    <s v="PEÇAS - Defeito de fabric./Ruído"/>
    <s v="FUNCIONAL"/>
    <x v="1"/>
    <n v="80432"/>
    <s v="FRIORIO DISTRIBUIDOR DE PECAS PARA"/>
    <s v="ES"/>
    <n v="713"/>
    <s v="Key Account"/>
    <n v="1350"/>
    <s v="W10678923"/>
    <s v="Placas de Controle"/>
    <x v="2"/>
    <n v="2"/>
    <n v="5004042"/>
    <s v="BRASIL WEB TRANSPORTES E LOGISTICA"/>
    <n v="119.8"/>
    <d v="2025-04-25T00:00:00"/>
  </r>
  <r>
    <n v="253981398"/>
    <n v="64757814"/>
    <s v="REB"/>
    <n v="9737508"/>
    <n v="178"/>
    <s v="PEÇAS -Defeito de fabric./Sem Compressão"/>
    <s v="FUNCIONAL"/>
    <x v="1"/>
    <n v="19750"/>
    <s v="J. R. VALENTE LTDA"/>
    <s v="RR"/>
    <n v="648"/>
    <s v="Ultra"/>
    <n v="1350"/>
    <s v="W10393822"/>
    <s v="Compressores Herméticos"/>
    <x v="0"/>
    <n v="1"/>
    <n v="5002858"/>
    <s v="FAVORITA TRANSPORTES LTDA"/>
    <n v="398.05"/>
    <d v="2025-04-25T00:00:00"/>
  </r>
  <r>
    <n v="253981589"/>
    <n v="64757820"/>
    <s v="REB"/>
    <n v="9982364"/>
    <n v="104"/>
    <s v="PEÇAS-Código trocado(embalag X conteúdo)"/>
    <s v="LOGÍSTICA"/>
    <x v="1"/>
    <n v="83572"/>
    <s v="GRAN ELETRO GOURMET LTDA"/>
    <s v="SP"/>
    <n v="931"/>
    <s v="Ats Off"/>
    <n v="1350"/>
    <n v="326062041"/>
    <s v="Recipientes de Evaporação"/>
    <x v="1"/>
    <n v="10"/>
    <n v="5004042"/>
    <s v="BRASIL WEB TRANSPORTES E LOGISTICA"/>
    <n v="182.8"/>
    <d v="2025-04-25T00:00:00"/>
  </r>
  <r>
    <n v="253981558"/>
    <n v="64757861"/>
    <s v="REB"/>
    <n v="9973357"/>
    <n v="671"/>
    <s v="DEV-ENVIADO PARA GESTÃO DE CONSEQUENCIA"/>
    <s v="TRANSPORTADORA"/>
    <x v="1"/>
    <n v="63030"/>
    <s v="L. A. MUEDRA BATONI LTDA."/>
    <s v="SP"/>
    <n v="641"/>
    <s v="CDP Diamante"/>
    <n v="1350"/>
    <s v="W10169464"/>
    <s v="Defletores/Difusores"/>
    <x v="6"/>
    <n v="2"/>
    <n v="5004042"/>
    <s v="BRASIL WEB TRANSPORTES E LOGISTICA"/>
    <n v="63.54"/>
    <d v="2025-04-25T00:00:00"/>
  </r>
  <r>
    <n v="253981589"/>
    <n v="64757862"/>
    <s v="REB"/>
    <n v="9984544"/>
    <n v="165"/>
    <s v="PEÇAS - Defeito de fabric./Incompleta"/>
    <s v="FUNCIONAL"/>
    <x v="1"/>
    <n v="83572"/>
    <s v="GRAN ELETRO GOURMET LTDA"/>
    <s v="SP"/>
    <n v="931"/>
    <s v="Ats Off"/>
    <n v="1350"/>
    <s v="W10764578"/>
    <s v="Conjunto Varetas"/>
    <x v="11"/>
    <n v="1"/>
    <n v="5004042"/>
    <s v="BRASIL WEB TRANSPORTES E LOGISTICA"/>
    <n v="60.78"/>
    <d v="2025-04-25T00:00:00"/>
  </r>
  <r>
    <n v="253981491"/>
    <n v="64757869"/>
    <s v="REB"/>
    <n v="9959027"/>
    <n v="177"/>
    <s v="PEÇAS - Defeito de fabric./Ruído"/>
    <s v="FUNCIONAL"/>
    <x v="1"/>
    <n v="31587"/>
    <s v="COPEGEL REFRIGERACAO LTDA"/>
    <s v="SP"/>
    <n v="643"/>
    <s v="Elite"/>
    <n v="1350"/>
    <s v="W11300695"/>
    <s v="Mecanismos"/>
    <x v="4"/>
    <n v="1"/>
    <n v="5004042"/>
    <s v="BRASIL WEB TRANSPORTES E LOGISTICA"/>
    <n v="199.97"/>
    <d v="2025-04-25T00:00:00"/>
  </r>
  <r>
    <n v="253981412"/>
    <n v="64757870"/>
    <s v="REB"/>
    <n v="9961499"/>
    <n v="165"/>
    <s v="PEÇAS - Defeito de fabric./Incompleta"/>
    <s v="FUNCIONAL"/>
    <x v="1"/>
    <n v="26337"/>
    <s v="RENATA DE MELLO MIRALHAS LIMA"/>
    <s v="SP"/>
    <n v="350"/>
    <s v="Ats On"/>
    <n v="1350"/>
    <s v="W10665444"/>
    <s v="Bombas"/>
    <x v="2"/>
    <n v="1"/>
    <n v="5004042"/>
    <s v="BRASIL WEB TRANSPORTES E LOGISTICA"/>
    <n v="201.73"/>
    <d v="2025-04-25T00:00:00"/>
  </r>
  <r>
    <n v="253981585"/>
    <n v="64757895"/>
    <s v="REB"/>
    <n v="9639823"/>
    <n v="177"/>
    <s v="PEÇAS - Defeito de fabric./Ruído"/>
    <s v="FUNCIONAL"/>
    <x v="1"/>
    <n v="80834"/>
    <s v="REFRIMAQ COMERCIO DE PECAS"/>
    <s v="RO"/>
    <n v="934"/>
    <s v="CDP Ouro"/>
    <n v="1350"/>
    <s v="W11299803"/>
    <s v="Mecanismos"/>
    <x v="4"/>
    <n v="4"/>
    <n v="5002858"/>
    <s v="FAVORITA TRANSPORTES LTDA"/>
    <n v="373.24"/>
    <d v="2025-04-25T00:00:00"/>
  </r>
  <r>
    <n v="253981551"/>
    <n v="64758105"/>
    <s v="REB"/>
    <n v="9776511"/>
    <n v="178"/>
    <s v="PEÇAS -Defeito de fabric./Sem Compressão"/>
    <s v="FUNCIONAL"/>
    <x v="1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89.42"/>
    <d v="2025-04-25T00:00:00"/>
  </r>
  <r>
    <n v="253988949"/>
    <n v="64758360"/>
    <s v="REB"/>
    <n v="9974674"/>
    <n v="173"/>
    <s v="PEÇAS - Defeito de fabric./Alta Amperage"/>
    <s v="FUNCIONAL"/>
    <x v="1"/>
    <n v="85461"/>
    <s v="ASP COMPANY LTDA"/>
    <s v="MG"/>
    <n v="641"/>
    <s v="CDP Diamante"/>
    <n v="1350"/>
    <s v="W10678923"/>
    <s v="Placas de Controle"/>
    <x v="2"/>
    <n v="1"/>
    <n v="5004215"/>
    <s v="BRASIL WEB TRANSPORTES E LOGISTICA"/>
    <n v="64.72"/>
    <d v="2025-05-05T00:00:00"/>
  </r>
  <r>
    <n v="253992752"/>
    <n v="64758713"/>
    <s v="REB"/>
    <n v="9675867"/>
    <n v="173"/>
    <s v="PEÇAS - Defeito de fabric./Alta Amperage"/>
    <s v="FUNCIONAL"/>
    <x v="1"/>
    <n v="59025"/>
    <s v="VICENTE E GOMES LTDA"/>
    <s v="AL"/>
    <n v="644"/>
    <s v="Plus"/>
    <n v="1350"/>
    <s v="W10780260"/>
    <s v="Placas de Controle"/>
    <x v="2"/>
    <n v="1"/>
    <n v="5004101"/>
    <s v="UNIDOCK'S ASSESSORIA E LOGISTICA DE"/>
    <n v="166.84"/>
    <d v="2025-05-12T00:00:00"/>
  </r>
  <r>
    <n v="253983830"/>
    <n v="64759146"/>
    <s v="REB"/>
    <n v="9928177"/>
    <n v="90"/>
    <s v="CLIENTE-não solicitou"/>
    <s v="COMERCIAL"/>
    <x v="1"/>
    <n v="4446"/>
    <s v="CONSAB PÇS E SERV. P/ ELETROD. LTDA"/>
    <s v="PR"/>
    <n v="350"/>
    <s v="Ats On"/>
    <n v="1350"/>
    <s v="W11573342"/>
    <s v="Placas de Controle"/>
    <x v="2"/>
    <n v="1"/>
    <n v="5003024"/>
    <s v="RODOBRAS TRANSPORTES RODOVIARIOS LT"/>
    <n v="187.86"/>
    <d v="2025-04-28T00:00:00"/>
  </r>
  <r>
    <n v="253983920"/>
    <n v="64759213"/>
    <s v="REB"/>
    <n v="9904255"/>
    <n v="173"/>
    <s v="PEÇAS - Defeito de fabric./Alta Amperage"/>
    <s v="FUNCIONAL"/>
    <x v="1"/>
    <n v="35368"/>
    <s v="MASP REFRIGERACAO E SERVICOS TECNIC"/>
    <s v="ES"/>
    <n v="350"/>
    <s v="Ats On"/>
    <n v="1350"/>
    <s v="W10619463"/>
    <s v="Pressostatos"/>
    <x v="8"/>
    <n v="1"/>
    <n v="5004042"/>
    <s v="BRASIL WEB TRANSPORTES E LOGISTICA"/>
    <n v="36.869999999999997"/>
    <d v="2025-04-28T00:00:00"/>
  </r>
  <r>
    <n v="253988857"/>
    <n v="64759326"/>
    <s v="REB"/>
    <n v="9891989"/>
    <n v="173"/>
    <s v="PEÇAS - Defeito de fabric./Alta Amperage"/>
    <s v="FUNCIONAL"/>
    <x v="1"/>
    <n v="28296"/>
    <s v="REFRIGERACAO CASTELAO LTDA EPP"/>
    <s v="SP"/>
    <n v="648"/>
    <s v="Ultra"/>
    <n v="1350"/>
    <s v="W10799397"/>
    <s v="Compressores Herméticos"/>
    <x v="0"/>
    <n v="1"/>
    <n v="5004042"/>
    <s v="BRASIL WEB TRANSPORTES E LOGISTICA"/>
    <n v="423.52"/>
    <d v="2025-05-05T00:00:00"/>
  </r>
  <r>
    <n v="253988857"/>
    <n v="64759327"/>
    <s v="REB"/>
    <n v="9802772"/>
    <n v="173"/>
    <s v="PEÇAS - Defeito de fabric./Alta Amperage"/>
    <s v="FUNCIONAL"/>
    <x v="1"/>
    <n v="28296"/>
    <s v="REFRIGERACAO CASTELAO LTDA EPP"/>
    <s v="SP"/>
    <n v="648"/>
    <s v="Ultra"/>
    <n v="1350"/>
    <s v="W10393823"/>
    <s v="Compressores Herméticos"/>
    <x v="0"/>
    <n v="1"/>
    <n v="5004042"/>
    <s v="BRASIL WEB TRANSPORTES E LOGISTICA"/>
    <n v="555.73"/>
    <d v="2025-05-05T00:00:00"/>
  </r>
  <r>
    <n v="253988857"/>
    <n v="64759328"/>
    <s v="REB"/>
    <n v="9150202"/>
    <n v="173"/>
    <s v="PEÇAS - Defeito de fabric./Alta Amperage"/>
    <s v="FUNCIONAL"/>
    <x v="1"/>
    <n v="28296"/>
    <s v="REFRIGERACAO CASTELAO LTDA EPP"/>
    <s v="SP"/>
    <n v="648"/>
    <s v="Ultra"/>
    <n v="1350"/>
    <s v="W10393815"/>
    <s v="Compressores Herméticos"/>
    <x v="0"/>
    <n v="1"/>
    <n v="5004042"/>
    <s v="BRASIL WEB TRANSPORTES E LOGISTICA"/>
    <n v="472.92"/>
    <d v="2025-05-05T00:00:00"/>
  </r>
  <r>
    <n v="253983863"/>
    <n v="64759459"/>
    <s v="REB"/>
    <n v="9969283"/>
    <n v="167"/>
    <s v="PEÇAS - Avaria - Quebrada/Depósito"/>
    <s v="LOGÍSTICA"/>
    <x v="1"/>
    <n v="12692"/>
    <s v="COMERCIAL DE REFRIG  EQUIPAMEN LTDA"/>
    <s v="BA"/>
    <n v="641"/>
    <s v="CDP Diamante"/>
    <n v="1350"/>
    <s v="W10581058"/>
    <s v="Gavetas"/>
    <x v="1"/>
    <n v="1"/>
    <n v="5004101"/>
    <s v="UNIDOCK'S ASSESSORIA E LOGISTICA DE"/>
    <n v="83.82"/>
    <d v="2025-04-28T00:00:00"/>
  </r>
  <r>
    <n v="253983900"/>
    <n v="64759472"/>
    <s v="REB"/>
    <n v="9714108"/>
    <n v="176"/>
    <s v="PEÇAS - Defeito de fabric./Interrompido"/>
    <s v="FUNCIONAL"/>
    <x v="2"/>
    <n v="29706"/>
    <s v="Campos Equipamentos e Refrigeração"/>
    <s v="RN"/>
    <n v="644"/>
    <s v="Plus"/>
    <n v="1350"/>
    <s v="W10709306"/>
    <s v="Placas de Controle"/>
    <x v="2"/>
    <n v="1"/>
    <n v="5004101"/>
    <s v="UNIDOCK'S ASSESSORIA E LOGISTICA DE"/>
    <n v="160.72999999999999"/>
    <d v="2025-04-28T00:00:00"/>
  </r>
  <r>
    <n v="253983952"/>
    <n v="64759516"/>
    <s v="REB"/>
    <n v="9975662"/>
    <n v="173"/>
    <s v="PEÇAS - Defeito de fabric./Alta Amperage"/>
    <s v="FUNCIONAL"/>
    <x v="1"/>
    <n v="69166"/>
    <s v="PC COMERCIO E REPARACAO DE APARELHO"/>
    <s v="RJ"/>
    <n v="931"/>
    <s v="Ats Off"/>
    <n v="1350"/>
    <s v="W10518616"/>
    <s v="Atuadores"/>
    <x v="4"/>
    <n v="1"/>
    <n v="5003176"/>
    <s v="J C THEDIN TRANSPORTES LTDA"/>
    <n v="31.74"/>
    <d v="2025-04-28T00:00:00"/>
  </r>
  <r>
    <n v="253983920"/>
    <n v="64759549"/>
    <s v="REB"/>
    <n v="9892931"/>
    <n v="173"/>
    <s v="PEÇAS - Defeito de fabric./Alta Amperage"/>
    <s v="FUNCIONAL"/>
    <x v="1"/>
    <n v="35368"/>
    <s v="MASP REFRIGERACAO E SERVICOS TECNIC"/>
    <s v="ES"/>
    <n v="350"/>
    <s v="Ats On"/>
    <n v="1350"/>
    <s v="W10666797"/>
    <s v="Compressores Herméticos"/>
    <x v="0"/>
    <n v="1"/>
    <n v="5004042"/>
    <s v="BRASIL WEB TRANSPORTES E LOGISTICA"/>
    <n v="671.57"/>
    <d v="2025-04-28T00:00:00"/>
  </r>
  <r>
    <n v="253988935"/>
    <n v="64759628"/>
    <s v="REB"/>
    <n v="9727628"/>
    <n v="173"/>
    <s v="PEÇAS - Defeito de fabric./Alta Amperage"/>
    <s v="FUNCIONAL"/>
    <x v="1"/>
    <n v="81093"/>
    <s v="REFRICRIL DISTRIBUIDORA DE AR"/>
    <s v="ES"/>
    <n v="713"/>
    <s v="Key Account"/>
    <n v="1350"/>
    <s v="W11300816"/>
    <s v="Mecanismos"/>
    <x v="4"/>
    <n v="3"/>
    <n v="5004042"/>
    <s v="BRASIL WEB TRANSPORTES E LOGISTICA"/>
    <n v="311.31"/>
    <d v="2025-05-05T00:00:00"/>
  </r>
  <r>
    <n v="253983946"/>
    <n v="64759638"/>
    <s v="REB"/>
    <n v="9223692"/>
    <n v="173"/>
    <s v="PEÇAS - Defeito de fabric./Alta Amperage"/>
    <s v="FUNCIONAL"/>
    <x v="1"/>
    <n v="61858"/>
    <s v="BTU REFRIGERACAO LTDA"/>
    <s v="PI"/>
    <n v="934"/>
    <s v="CDP Ouro"/>
    <n v="1350"/>
    <s v="W11082462"/>
    <s v="Termostatos"/>
    <x v="8"/>
    <n v="2"/>
    <n v="5004101"/>
    <s v="UNIDOCK'S ASSESSORIA E LOGISTICA DE"/>
    <n v="57.88"/>
    <d v="2025-04-28T00:00:00"/>
  </r>
  <r>
    <n v="253988935"/>
    <n v="64759653"/>
    <s v="REB"/>
    <n v="9689715"/>
    <n v="173"/>
    <s v="PEÇAS - Defeito de fabric./Alta Amperage"/>
    <s v="FUNCIONAL"/>
    <x v="1"/>
    <n v="81093"/>
    <s v="REFRICRIL DISTRIBUIDORA DE AR"/>
    <s v="ES"/>
    <n v="713"/>
    <s v="Key Account"/>
    <n v="1350"/>
    <s v="W11551361"/>
    <s v="Peças Mecanismos"/>
    <x v="4"/>
    <n v="1"/>
    <n v="5004042"/>
    <s v="BRASIL WEB TRANSPORTES E LOGISTICA"/>
    <n v="10.14"/>
    <d v="2025-05-05T00:00:00"/>
  </r>
  <r>
    <n v="253992716"/>
    <n v="64759688"/>
    <s v="REB"/>
    <n v="9860092"/>
    <n v="176"/>
    <s v="PEÇAS - Defeito de fabric./Interrompido"/>
    <s v="FUNCIONAL"/>
    <x v="1"/>
    <n v="25727"/>
    <s v="Polo PeCas para RefrigeraCAo e"/>
    <s v="GO"/>
    <n v="644"/>
    <s v="Plus"/>
    <n v="1350"/>
    <s v="W11199202"/>
    <s v="Placas de Controle"/>
    <x v="2"/>
    <n v="1"/>
    <n v="5002858"/>
    <s v="FAVORITA TRANSPORTES LTDA"/>
    <n v="241.3"/>
    <d v="2025-05-12T00:00:00"/>
  </r>
  <r>
    <n v="253988815"/>
    <n v="64759703"/>
    <s v="REB"/>
    <n v="9889764"/>
    <n v="173"/>
    <s v="PEÇAS - Defeito de fabric./Alta Amperage"/>
    <s v="FUNCIONAL"/>
    <x v="1"/>
    <n v="14474"/>
    <s v="NATAL SERVICE LTDA N"/>
    <s v="RN"/>
    <n v="648"/>
    <s v="Ultra"/>
    <n v="1350"/>
    <s v="W10626365"/>
    <s v="Placas de Interface"/>
    <x v="2"/>
    <n v="1"/>
    <n v="5004101"/>
    <s v="UNIDOCK'S ASSESSORIA E LOGISTICA DE"/>
    <n v="128.56"/>
    <d v="2025-05-05T00:00:00"/>
  </r>
  <r>
    <n v="253983914"/>
    <n v="64759709"/>
    <s v="REB"/>
    <n v="9988840"/>
    <n v="167"/>
    <s v="PEÇAS - Avaria - Quebrada/Depósito"/>
    <s v="LOGÍSTICA"/>
    <x v="1"/>
    <n v="31537"/>
    <s v="RAQUEL SILVEIRA RODRIGUES &amp; CIA. LT"/>
    <s v="RS"/>
    <n v="641"/>
    <s v="CDP Diamante"/>
    <n v="1350"/>
    <s v="W10455522"/>
    <s v="Prateleiras"/>
    <x v="1"/>
    <n v="2"/>
    <n v="5003024"/>
    <s v="RODOBRAS TRANSPORTES RODOVIARIOS LT"/>
    <n v="48.51"/>
    <d v="2025-04-28T00:00:00"/>
  </r>
  <r>
    <s v="Sem TR"/>
    <n v="64760190"/>
    <s v="ROB"/>
    <n v="9961933"/>
    <n v="25"/>
    <s v="OC. 80 - EXTRAVIO TOTAL"/>
    <s v="TRANSPORTADORA"/>
    <x v="2"/>
    <n v="1953"/>
    <s v="REFRIGERACAO BARBOSA LTDA"/>
    <s v="MG"/>
    <n v="350"/>
    <s v="Ats On"/>
    <n v="1350"/>
    <s v="W10833267"/>
    <s v="Parafusos e afins"/>
    <x v="7"/>
    <n v="1"/>
    <n v="5004101"/>
    <s v="UNIDOCK'S ASSESSORIA E LOGISTICA DE"/>
    <n v="108.25"/>
    <d v="2025-04-28T00:00:00"/>
  </r>
  <r>
    <s v="Sem TR"/>
    <n v="64760191"/>
    <s v="ZRVP"/>
    <n v="9961934"/>
    <n v="25"/>
    <s v="OC. 80 - EXTRAVIO TOTAL"/>
    <s v="TRANSPORTADORA"/>
    <x v="2"/>
    <n v="1953"/>
    <s v="REFRIGERACAO BARBOSA LTDA"/>
    <s v="MG"/>
    <n v="350"/>
    <s v="Ats On"/>
    <n v="1350"/>
    <s v="W10531315"/>
    <s v="Sensores"/>
    <x v="8"/>
    <n v="10"/>
    <n v="5004101"/>
    <s v="UNIDOCK'S ASSESSORIA E LOGISTICA DE"/>
    <n v="81.69"/>
    <d v="2025-04-28T00:00:00"/>
  </r>
  <r>
    <s v="Sem TR"/>
    <n v="64760192"/>
    <s v="ROB"/>
    <n v="9971222"/>
    <n v="25"/>
    <s v="OC. 80 - EXTRAVIO TOTAL"/>
    <s v="TRANSPORTADORA"/>
    <x v="2"/>
    <n v="85823"/>
    <s v="JRS REFRIGERACAO COMERCIO E SERVICO"/>
    <s v="CE"/>
    <n v="932"/>
    <s v="CDP Prata"/>
    <n v="1350"/>
    <s v="W10169464"/>
    <s v="Defletores/Difusores"/>
    <x v="6"/>
    <n v="10"/>
    <n v="5004101"/>
    <s v="UNIDOCK'S ASSESSORIA E LOGISTICA DE"/>
    <n v="239.91"/>
    <d v="2025-04-28T00:00:00"/>
  </r>
  <r>
    <n v="254033258"/>
    <n v="64760481"/>
    <s v="REB"/>
    <n v="10092558"/>
    <n v="90"/>
    <s v="CLIENTE-não solicitou"/>
    <s v="COMERCIAL"/>
    <x v="1"/>
    <n v="3649"/>
    <s v="A ORIGINAL SERVICE PECAS"/>
    <s v="SP"/>
    <n v="350"/>
    <s v="Ats On"/>
    <n v="1350"/>
    <s v="W11229864"/>
    <s v="Isolantes"/>
    <x v="10"/>
    <n v="1"/>
    <n v="5004042"/>
    <s v="BRASIL WEB TRANSPORTES E LOGISTICA"/>
    <n v="216.06"/>
    <d v="2025-07-08T00:00:00"/>
  </r>
  <r>
    <n v="253988872"/>
    <n v="64760621"/>
    <s v="REB"/>
    <n v="9703124"/>
    <n v="173"/>
    <s v="PEÇAS - Defeito de fabric./Alta Amperage"/>
    <s v="FUNCIONAL"/>
    <x v="1"/>
    <n v="32533"/>
    <s v="FRIGELAR COM. DISTRIBUICAO S/A"/>
    <s v="PE"/>
    <n v="713"/>
    <s v="Key Account"/>
    <n v="1350"/>
    <s v="W10586927"/>
    <s v="Placas de Controle"/>
    <x v="2"/>
    <n v="1"/>
    <n v="5004101"/>
    <s v="UNIDOCK'S ASSESSORIA E LOGISTICA DE"/>
    <n v="167.61"/>
    <d v="2025-05-05T00:00:00"/>
  </r>
  <r>
    <s v="Sem TR"/>
    <n v="64760761"/>
    <s v="ROB"/>
    <n v="9926257"/>
    <n v="25"/>
    <s v="OC. 80 - EXTRAVIO TOTAL"/>
    <s v="TRANSPORTADORA"/>
    <x v="2"/>
    <n v="1221"/>
    <s v="FRANCISCO RODRIGUES E CIA LTDA"/>
    <s v="CE"/>
    <n v="350"/>
    <s v="Ats On"/>
    <n v="1350"/>
    <s v="W10767286"/>
    <s v="Capas"/>
    <x v="3"/>
    <n v="4"/>
    <n v="5004101"/>
    <s v="UNIDOCK'S ASSESSORIA E LOGISTICA DE"/>
    <n v="64.53"/>
    <d v="2025-04-29T00:00:00"/>
  </r>
  <r>
    <n v="253988917"/>
    <n v="64760963"/>
    <s v="REB"/>
    <n v="9837385"/>
    <n v="173"/>
    <s v="PEÇAS - Defeito de fabric./Alta Amperage"/>
    <s v="FUNCIONAL"/>
    <x v="1"/>
    <n v="73003"/>
    <s v="DISFRIO DISTRIBUIDORA DE AR"/>
    <s v="SC"/>
    <n v="931"/>
    <s v="Ats Off"/>
    <n v="1350"/>
    <s v="W11435392"/>
    <s v="Placas de Controle"/>
    <x v="2"/>
    <n v="1"/>
    <n v="5003024"/>
    <s v="RODOBRAS TRANSPORTES RODOVIARIOS LT"/>
    <n v="256.36"/>
    <d v="2025-05-05T00:00:00"/>
  </r>
  <r>
    <n v="253988802"/>
    <n v="64761418"/>
    <s v="REB"/>
    <n v="10014770"/>
    <n v="173"/>
    <s v="PEÇAS - Defeito de fabric./Alta Amperage"/>
    <s v="FUNCIONAL"/>
    <x v="1"/>
    <n v="14441"/>
    <s v="ALVITEK PECAS E SERVICOS LTDA"/>
    <s v="SP"/>
    <n v="931"/>
    <s v="Ats Off"/>
    <n v="1350"/>
    <s v="W10728427"/>
    <s v="Placas de Controle"/>
    <x v="2"/>
    <n v="1"/>
    <n v="5004042"/>
    <s v="BRASIL WEB TRANSPORTES E LOGISTICA"/>
    <n v="1529.14"/>
    <d v="2025-05-02T00:00:00"/>
  </r>
  <r>
    <n v="253988817"/>
    <n v="64761655"/>
    <s v="REB"/>
    <n v="9797760"/>
    <n v="176"/>
    <s v="PEÇAS - Defeito de fabric./Interrompido"/>
    <s v="FUNCIONAL"/>
    <x v="1"/>
    <n v="14474"/>
    <s v="NATAL SERVICE LTDA N"/>
    <s v="RN"/>
    <n v="648"/>
    <s v="Ultra"/>
    <n v="1350"/>
    <s v="W11435392"/>
    <s v="Placas de Controle"/>
    <x v="2"/>
    <n v="1"/>
    <n v="5004101"/>
    <s v="UNIDOCK'S ASSESSORIA E LOGISTICA DE"/>
    <n v="252.63"/>
    <d v="2025-05-05T00:00:00"/>
  </r>
  <r>
    <n v="253988817"/>
    <n v="64761656"/>
    <s v="REB"/>
    <n v="9889764"/>
    <n v="176"/>
    <s v="PEÇAS - Defeito de fabric./Interrompido"/>
    <s v="FUNCIONAL"/>
    <x v="1"/>
    <n v="14474"/>
    <s v="NATAL SERVICE LTDA N"/>
    <s v="RN"/>
    <n v="648"/>
    <s v="Ultra"/>
    <n v="1350"/>
    <s v="W10168510"/>
    <s v="Motores Ventiladores"/>
    <x v="2"/>
    <n v="1"/>
    <n v="5004101"/>
    <s v="UNIDOCK'S ASSESSORIA E LOGISTICA DE"/>
    <n v="53.43"/>
    <d v="2025-05-05T00:00:00"/>
  </r>
  <r>
    <n v="253988790"/>
    <n v="64761658"/>
    <s v="REB"/>
    <n v="9930578"/>
    <n v="178"/>
    <s v="PEÇAS -Defeito de fabric./Sem Compressão"/>
    <s v="FUNCIONAL"/>
    <x v="1"/>
    <n v="3652"/>
    <s v="ASTEG ASTEG"/>
    <s v="SP"/>
    <n v="350"/>
    <s v="Ats On"/>
    <n v="1350"/>
    <s v="W11516523"/>
    <s v="Compressores Herméticos"/>
    <x v="0"/>
    <n v="2"/>
    <n v="5004042"/>
    <s v="BRASIL WEB TRANSPORTES E LOGISTICA"/>
    <n v="828.95"/>
    <d v="2025-05-05T00:00:00"/>
  </r>
  <r>
    <s v="Sem TR"/>
    <n v="64761740"/>
    <s v="REB"/>
    <n v="9953459"/>
    <n v="104"/>
    <s v="PEÇAS-Código trocado(embalag X conteúdo)"/>
    <s v="LOGÍSTICA"/>
    <x v="1"/>
    <n v="8975"/>
    <s v="FORT CENTER REFRIGERACAO LTDA"/>
    <s v="MA"/>
    <n v="931"/>
    <s v="Ats Off"/>
    <n v="1350"/>
    <s v="W11626275"/>
    <s v="Portas"/>
    <x v="3"/>
    <n v="1"/>
    <n v="5004101"/>
    <s v="UNIDOCK'S ASSESSORIA E LOGISTICA DE"/>
    <n v="1066.8499999999999"/>
    <d v="2025-05-14T00:00:00"/>
  </r>
  <r>
    <n v="254044329"/>
    <n v="64762044"/>
    <s v="REB"/>
    <n v="10013354"/>
    <n v="176"/>
    <s v="PEÇAS - Defeito de fabric./Interrompido"/>
    <s v="FUNCIONAL"/>
    <x v="1"/>
    <n v="22041"/>
    <s v="VIP SERVICE COMERCIO DE PECAS"/>
    <s v="SP"/>
    <n v="931"/>
    <s v="Ats Off"/>
    <n v="1350"/>
    <s v="W10170954"/>
    <s v="Tubos Refrigeração"/>
    <x v="0"/>
    <n v="1"/>
    <n v="5004042"/>
    <s v="BRASIL WEB TRANSPORTES E LOGISTICA"/>
    <n v="26.86"/>
    <d v="2025-05-01T00:00:00"/>
  </r>
  <r>
    <n v="253988935"/>
    <n v="64762307"/>
    <s v="REB"/>
    <n v="9420807"/>
    <n v="173"/>
    <s v="PEÇAS - Defeito de fabric./Alta Amperage"/>
    <s v="FUNCIONAL"/>
    <x v="1"/>
    <n v="81093"/>
    <s v="REFRICRIL DISTRIBUIDORA DE AR"/>
    <s v="ES"/>
    <n v="713"/>
    <s v="Key Account"/>
    <n v="1350"/>
    <s v="W11199202"/>
    <s v="Placas de Controle"/>
    <x v="2"/>
    <n v="1"/>
    <n v="5004042"/>
    <s v="BRASIL WEB TRANSPORTES E LOGISTICA"/>
    <n v="230.36"/>
    <d v="2025-05-05T00:00:00"/>
  </r>
  <r>
    <n v="253988935"/>
    <n v="64762308"/>
    <s v="REB"/>
    <n v="9709477"/>
    <n v="173"/>
    <s v="PEÇAS - Defeito de fabric./Alta Amperage"/>
    <s v="FUNCIONAL"/>
    <x v="1"/>
    <n v="81093"/>
    <s v="REFRICRIL DISTRIBUIDORA DE AR"/>
    <s v="ES"/>
    <n v="713"/>
    <s v="Key Account"/>
    <n v="1350"/>
    <s v="W11300675"/>
    <s v="Mecanismos"/>
    <x v="4"/>
    <n v="2"/>
    <n v="5004042"/>
    <s v="BRASIL WEB TRANSPORTES E LOGISTICA"/>
    <n v="186.34"/>
    <d v="2025-05-05T00:00:00"/>
  </r>
  <r>
    <n v="253988935"/>
    <n v="64762717"/>
    <s v="REB"/>
    <n v="9608812"/>
    <n v="173"/>
    <s v="PEÇAS - Defeito de fabric./Alta Amperage"/>
    <s v="FUNCIONAL"/>
    <x v="1"/>
    <n v="81093"/>
    <s v="REFRICRIL DISTRIBUIDORA DE AR"/>
    <s v="ES"/>
    <n v="713"/>
    <s v="Key Account"/>
    <n v="1350"/>
    <s v="W10632302"/>
    <s v="Válvulas de Água"/>
    <x v="6"/>
    <n v="1"/>
    <n v="5004042"/>
    <s v="BRASIL WEB TRANSPORTES E LOGISTICA"/>
    <n v="29.91"/>
    <d v="2025-05-05T00:00:00"/>
  </r>
  <r>
    <n v="254003908"/>
    <n v="64762817"/>
    <s v="REB"/>
    <n v="8942542"/>
    <n v="173"/>
    <s v="PEÇAS - Defeito de fabric./Alta Amperage"/>
    <s v="FUNCIONAL"/>
    <x v="1"/>
    <n v="27770"/>
    <s v="JOSE IZIDORO SILVA REFRIGERACAO"/>
    <s v="AL"/>
    <n v="641"/>
    <s v="CDP Diamante"/>
    <n v="1350"/>
    <s v="W11523016"/>
    <s v="Placas de Controle"/>
    <x v="2"/>
    <n v="1"/>
    <n v="5004101"/>
    <s v="UNIDOCK'S ASSESSORIA E LOGISTICA DE"/>
    <n v="239.03"/>
    <d v="2025-05-26T00:00:00"/>
  </r>
  <r>
    <n v="253988815"/>
    <n v="64762910"/>
    <s v="REB"/>
    <n v="9940200"/>
    <n v="176"/>
    <s v="PEÇAS - Defeito de fabric./Interrompido"/>
    <s v="FUNCIONAL"/>
    <x v="1"/>
    <n v="14474"/>
    <s v="NATAL SERVICE LTDA N"/>
    <s v="RN"/>
    <n v="648"/>
    <s v="Ultra"/>
    <n v="1350"/>
    <s v="W10882241"/>
    <s v="Agitadores"/>
    <x v="4"/>
    <n v="1"/>
    <n v="5004101"/>
    <s v="UNIDOCK'S ASSESSORIA E LOGISTICA DE"/>
    <n v="42.87"/>
    <d v="2025-05-05T00:00:00"/>
  </r>
  <r>
    <n v="253988889"/>
    <n v="64763465"/>
    <s v="REB"/>
    <n v="9480709"/>
    <n v="176"/>
    <s v="PEÇAS - Defeito de fabric./Interrompido"/>
    <s v="FUNCIONAL"/>
    <x v="1"/>
    <n v="56605"/>
    <s v="CORREIA E CIPRIANO LTDA"/>
    <s v="AL"/>
    <n v="934"/>
    <s v="CDP Ouro"/>
    <n v="1350"/>
    <s v="W11082462"/>
    <s v="Termostatos"/>
    <x v="8"/>
    <n v="1"/>
    <n v="5004101"/>
    <s v="UNIDOCK'S ASSESSORIA E LOGISTICA DE"/>
    <n v="29.75"/>
    <d v="2025-05-05T00:00:00"/>
  </r>
  <r>
    <n v="253988940"/>
    <n v="64763468"/>
    <s v="REB"/>
    <n v="10011003"/>
    <n v="168"/>
    <s v="PEÇAS-Def.Fabric.Empenamento/Abaulamento"/>
    <s v="FUNCIONAL"/>
    <x v="1"/>
    <n v="83572"/>
    <s v="GRAN ELETRO GOURMET LTDA"/>
    <s v="SP"/>
    <n v="931"/>
    <s v="Ats Off"/>
    <n v="1350"/>
    <s v="W10882241"/>
    <s v="Agitadores"/>
    <x v="4"/>
    <n v="1"/>
    <n v="5004042"/>
    <s v="BRASIL WEB TRANSPORTES E LOGISTICA"/>
    <n v="58.2"/>
    <d v="2025-05-05T00:00:00"/>
  </r>
  <r>
    <n v="253988920"/>
    <n v="64763674"/>
    <s v="REB"/>
    <n v="9978950"/>
    <n v="173"/>
    <s v="PEÇAS - Defeito de fabric./Alta Amperage"/>
    <s v="FUNCIONAL"/>
    <x v="2"/>
    <n v="77212"/>
    <s v="FA REFRIGERACAO SERVICOS"/>
    <s v="CE"/>
    <n v="644"/>
    <s v="Plus"/>
    <n v="1350"/>
    <s v="W11435392"/>
    <s v="Placas de Controle"/>
    <x v="2"/>
    <n v="1"/>
    <n v="5004101"/>
    <s v="UNIDOCK'S ASSESSORIA E LOGISTICA DE"/>
    <n v="305.87"/>
    <d v="2025-05-05T00:00:00"/>
  </r>
  <r>
    <n v="253988907"/>
    <n v="64763676"/>
    <s v="REB"/>
    <n v="9909138"/>
    <n v="173"/>
    <s v="PEÇAS - Defeito de fabric./Alta Amperage"/>
    <s v="FUNCIONAL"/>
    <x v="1"/>
    <n v="69921"/>
    <s v="SILVA PECAS DE ELETRODOMESTICOS"/>
    <s v="SP"/>
    <n v="934"/>
    <s v="CDP Ouro"/>
    <n v="1350"/>
    <s v="W11396188"/>
    <s v="Placas de Interface"/>
    <x v="2"/>
    <n v="1"/>
    <n v="5004042"/>
    <s v="BRASIL WEB TRANSPORTES E LOGISTICA"/>
    <n v="130.59"/>
    <d v="2025-05-05T00:00:00"/>
  </r>
  <r>
    <n v="253988936"/>
    <n v="64763708"/>
    <s v="REB"/>
    <n v="9672146"/>
    <n v="173"/>
    <s v="PEÇAS - Defeito de fabric./Alta Amperage"/>
    <s v="FUNCIONAL"/>
    <x v="1"/>
    <n v="81093"/>
    <s v="REFRICRIL DISTRIBUIDORA DE AR"/>
    <s v="ES"/>
    <n v="713"/>
    <s v="Key Account"/>
    <n v="1350"/>
    <s v="W10849470"/>
    <s v="Bombas"/>
    <x v="2"/>
    <n v="1"/>
    <n v="5004042"/>
    <s v="BRASIL WEB TRANSPORTES E LOGISTICA"/>
    <n v="24.85"/>
    <d v="2025-05-05T00:00:00"/>
  </r>
  <r>
    <n v="253988938"/>
    <n v="64763730"/>
    <s v="REB"/>
    <n v="9737964"/>
    <n v="178"/>
    <s v="PEÇAS -Defeito de fabric./Sem Compressão"/>
    <s v="FUNCIONAL"/>
    <x v="1"/>
    <n v="83098"/>
    <s v="EXPRESSO REFRIGERACAO LTDA"/>
    <s v="PE"/>
    <n v="934"/>
    <s v="CDP Ouro"/>
    <n v="1350"/>
    <s v="W11510292"/>
    <s v="Interruptores"/>
    <x v="8"/>
    <n v="1"/>
    <n v="5004101"/>
    <s v="UNIDOCK'S ASSESSORIA E LOGISTICA DE"/>
    <n v="41.19"/>
    <d v="2025-05-05T00:00:00"/>
  </r>
  <r>
    <n v="253988857"/>
    <n v="64763732"/>
    <s v="REB"/>
    <n v="9731625"/>
    <n v="178"/>
    <s v="PEÇAS -Defeito de fabric./Sem Compressão"/>
    <s v="FUNCIONAL"/>
    <x v="1"/>
    <n v="28296"/>
    <s v="REFRIGERACAO CASTELAO LTDA EPP"/>
    <s v="SP"/>
    <n v="648"/>
    <s v="Ultra"/>
    <n v="1350"/>
    <s v="W10393823"/>
    <s v="Compressores Herméticos"/>
    <x v="0"/>
    <n v="1"/>
    <n v="5004042"/>
    <s v="BRASIL WEB TRANSPORTES E LOGISTICA"/>
    <n v="555.73"/>
    <d v="2025-05-05T00:00:00"/>
  </r>
  <r>
    <n v="253988857"/>
    <n v="64763733"/>
    <s v="REB"/>
    <n v="9218378"/>
    <n v="178"/>
    <s v="PEÇAS -Defeito de fabric./Sem Compressão"/>
    <s v="FUNCIONAL"/>
    <x v="1"/>
    <n v="28296"/>
    <s v="REFRIGERACAO CASTELAO LTDA EPP"/>
    <s v="SP"/>
    <n v="648"/>
    <s v="Ultra"/>
    <n v="1350"/>
    <s v="W10375479"/>
    <s v="Compressores Herméticos"/>
    <x v="0"/>
    <n v="1"/>
    <n v="5004042"/>
    <s v="BRASIL WEB TRANSPORTES E LOGISTICA"/>
    <n v="460.45"/>
    <d v="2025-05-05T00:00:00"/>
  </r>
  <r>
    <n v="253988857"/>
    <n v="64763749"/>
    <s v="REB"/>
    <n v="9028692"/>
    <n v="178"/>
    <s v="PEÇAS -Defeito de fabric./Sem Compressão"/>
    <s v="FUNCIONAL"/>
    <x v="1"/>
    <n v="28296"/>
    <s v="REFRIGERACAO CASTELAO LTDA EPP"/>
    <s v="SP"/>
    <n v="648"/>
    <s v="Ultra"/>
    <n v="1350"/>
    <s v="W10393809"/>
    <s v="Compressores Herméticos"/>
    <x v="0"/>
    <n v="1"/>
    <n v="5004042"/>
    <s v="BRASIL WEB TRANSPORTES E LOGISTICA"/>
    <n v="328.85"/>
    <d v="2025-05-05T00:00:00"/>
  </r>
  <r>
    <n v="253988857"/>
    <n v="64763750"/>
    <s v="REB"/>
    <n v="9833008"/>
    <n v="173"/>
    <s v="PEÇAS - Defeito de fabric./Alta Amperage"/>
    <s v="FUNCIONAL"/>
    <x v="1"/>
    <n v="28296"/>
    <s v="REFRIGERACAO CASTELAO LTDA EPP"/>
    <s v="SP"/>
    <n v="648"/>
    <s v="Ultra"/>
    <n v="1350"/>
    <s v="W10375479"/>
    <s v="Compressores Herméticos"/>
    <x v="0"/>
    <n v="1"/>
    <n v="5004042"/>
    <s v="BRASIL WEB TRANSPORTES E LOGISTICA"/>
    <n v="463.9"/>
    <d v="2025-05-05T00:00:00"/>
  </r>
  <r>
    <n v="253988935"/>
    <n v="64763799"/>
    <s v="REB"/>
    <n v="9742817"/>
    <n v="173"/>
    <s v="PEÇAS - Defeito de fabric./Alta Amperage"/>
    <s v="FUNCIONAL"/>
    <x v="1"/>
    <n v="81093"/>
    <s v="REFRICRIL DISTRIBUIDORA DE AR"/>
    <s v="ES"/>
    <n v="713"/>
    <s v="Key Account"/>
    <n v="1350"/>
    <s v="W10686100"/>
    <s v="Placas de Controle"/>
    <x v="2"/>
    <n v="1"/>
    <n v="5004042"/>
    <s v="BRASIL WEB TRANSPORTES E LOGISTICA"/>
    <n v="153.22999999999999"/>
    <d v="2025-05-05T00:00:00"/>
  </r>
  <r>
    <n v="253988935"/>
    <n v="64763810"/>
    <s v="REB"/>
    <n v="9482781"/>
    <n v="173"/>
    <s v="PEÇAS - Defeito de fabric./Alta Amperage"/>
    <s v="FUNCIONAL"/>
    <x v="1"/>
    <n v="81093"/>
    <s v="REFRICRIL DISTRIBUIDORA DE AR"/>
    <s v="ES"/>
    <n v="713"/>
    <s v="Key Account"/>
    <n v="1350"/>
    <s v="W11647660"/>
    <s v="Compressores Herméticos"/>
    <x v="0"/>
    <n v="6"/>
    <n v="5004042"/>
    <s v="BRASIL WEB TRANSPORTES E LOGISTICA"/>
    <n v="1638.33"/>
    <d v="2025-05-05T00:00:00"/>
  </r>
  <r>
    <n v="253988124"/>
    <n v="64763813"/>
    <s v="REB"/>
    <n v="9400450"/>
    <n v="178"/>
    <s v="PEÇAS -Defeito de fabric./Sem Compressão"/>
    <s v="FUNCIONAL"/>
    <x v="1"/>
    <n v="30121"/>
    <s v="DANDE COMERCIAL LTDA"/>
    <s v="SP"/>
    <n v="648"/>
    <s v="Ultra"/>
    <n v="1350"/>
    <s v="W11375485"/>
    <s v="Compressores Herméticos"/>
    <x v="0"/>
    <n v="1"/>
    <n v="5004042"/>
    <s v="BRASIL WEB TRANSPORTES E LOGISTICA"/>
    <n v="412.72"/>
    <d v="2025-05-08T00:00:00"/>
  </r>
  <r>
    <n v="253988776"/>
    <n v="64763819"/>
    <s v="REB"/>
    <n v="10001743"/>
    <n v="167"/>
    <s v="PEÇAS - Avaria - Quebrada/Depósito"/>
    <s v="LOGÍSTICA"/>
    <x v="1"/>
    <n v="578"/>
    <s v="AMERICA DISTR DE PECAS E SERVS LTDA"/>
    <s v="MG"/>
    <n v="350"/>
    <s v="Ats On"/>
    <n v="1350"/>
    <s v="W10859617"/>
    <s v="Tampas Móveis"/>
    <x v="3"/>
    <n v="1"/>
    <n v="5004215"/>
    <s v="BRASIL WEB TRANSPORTES E LOGISTICA"/>
    <n v="177.63"/>
    <d v="2025-05-05T00:00:00"/>
  </r>
  <r>
    <n v="253988797"/>
    <n v="64763827"/>
    <s v="REB"/>
    <n v="9984739"/>
    <n v="173"/>
    <s v="PEÇAS - Defeito de fabric./Alta Amperage"/>
    <s v="FUNCIONAL"/>
    <x v="1"/>
    <n v="9452"/>
    <s v="MULTICENTER COMERCIO E SERVICOS"/>
    <s v="SP"/>
    <n v="931"/>
    <s v="Ats Off"/>
    <n v="1350"/>
    <s v="W10882241"/>
    <s v="Agitadores"/>
    <x v="4"/>
    <n v="3"/>
    <n v="5004042"/>
    <s v="BRASIL WEB TRANSPORTES E LOGISTICA"/>
    <n v="172.47"/>
    <d v="2025-05-05T00:00:00"/>
  </r>
  <r>
    <n v="253989818"/>
    <n v="64763836"/>
    <s v="REB"/>
    <n v="9839612"/>
    <n v="176"/>
    <s v="PEÇAS - Defeito de fabric./Interrompido"/>
    <s v="FUNCIONAL"/>
    <x v="1"/>
    <n v="31537"/>
    <s v="RAQUEL SILVEIRA RODRIGUES &amp; CIA. LT"/>
    <s v="RS"/>
    <n v="641"/>
    <s v="CDP Diamante"/>
    <n v="1350"/>
    <s v="W10828358"/>
    <s v="Pressostatos"/>
    <x v="8"/>
    <n v="1"/>
    <n v="5003024"/>
    <s v="RODOBRAS TRANSPORTES RODOVIARIOS LT"/>
    <n v="29.33"/>
    <d v="2025-05-05T00:00:00"/>
  </r>
  <r>
    <n v="253988941"/>
    <n v="64763847"/>
    <s v="REB"/>
    <n v="10011003"/>
    <n v="176"/>
    <s v="PEÇAS - Defeito de fabric./Interrompido"/>
    <s v="FUNCIONAL"/>
    <x v="1"/>
    <n v="83572"/>
    <s v="GRAN ELETRO GOURMET LTDA"/>
    <s v="SP"/>
    <n v="931"/>
    <s v="Ats Off"/>
    <n v="1350"/>
    <s v="W10586927"/>
    <s v="Placas de Controle"/>
    <x v="2"/>
    <n v="1"/>
    <n v="5004042"/>
    <s v="BRASIL WEB TRANSPORTES E LOGISTICA"/>
    <n v="229.82"/>
    <d v="2025-05-05T00:00:00"/>
  </r>
  <r>
    <n v="253988816"/>
    <n v="64763880"/>
    <s v="REB"/>
    <n v="9889764"/>
    <n v="176"/>
    <s v="PEÇAS - Defeito de fabric./Interrompido"/>
    <s v="FUNCIONAL"/>
    <x v="1"/>
    <n v="14474"/>
    <s v="NATAL SERVICE LTDA N"/>
    <s v="RN"/>
    <n v="648"/>
    <s v="Ultra"/>
    <n v="1350"/>
    <s v="W10709306"/>
    <s v="Placas de Controle"/>
    <x v="2"/>
    <n v="1"/>
    <n v="5004101"/>
    <s v="UNIDOCK'S ASSESSORIA E LOGISTICA DE"/>
    <n v="177.67"/>
    <d v="2025-05-05T00:00:00"/>
  </r>
  <r>
    <n v="253988776"/>
    <n v="64763900"/>
    <s v="REB"/>
    <n v="9888345"/>
    <n v="173"/>
    <s v="PEÇAS - Defeito de fabric./Alta Amperage"/>
    <s v="FUNCIONAL"/>
    <x v="1"/>
    <n v="578"/>
    <s v="AMERICA DISTR DE PECAS E SERVS LTDA"/>
    <s v="MG"/>
    <n v="350"/>
    <s v="Ats On"/>
    <n v="1350"/>
    <s v="W11516472"/>
    <s v="Compressores Herméticos"/>
    <x v="0"/>
    <n v="1"/>
    <n v="5004215"/>
    <s v="BRASIL WEB TRANSPORTES E LOGISTICA"/>
    <n v="368.62"/>
    <d v="2025-05-05T00:00:00"/>
  </r>
  <r>
    <n v="254050945"/>
    <n v="64763940"/>
    <s v="ZDVP"/>
    <n v="9746009"/>
    <n v="178"/>
    <s v="PEÇAS -Defeito de fabric./Sem Compressão"/>
    <s v="FUNCIONAL"/>
    <x v="2"/>
    <n v="63300"/>
    <s v="REFRIGERACAO MOTA LTDA"/>
    <s v="MG"/>
    <n v="643"/>
    <s v="Elite"/>
    <n v="1350"/>
    <s v="W11677210"/>
    <s v="Compressores Herméticos"/>
    <x v="0"/>
    <n v="7"/>
    <n v="5004215"/>
    <s v="BRASIL WEB TRANSPORTES E LOGISTICA"/>
    <n v="2838.6"/>
    <d v="2025-05-05T00:00:00"/>
  </r>
  <r>
    <n v="253988835"/>
    <n v="64763969"/>
    <s v="REB"/>
    <n v="9788292"/>
    <n v="173"/>
    <s v="PEÇAS - Defeito de fabric./Alta Amperage"/>
    <s v="FUNCIONAL"/>
    <x v="1"/>
    <n v="21647"/>
    <s v="MAREMAIS CONSERTOS LTDA. - EPP"/>
    <s v="PR"/>
    <n v="641"/>
    <s v="CDP Diamante"/>
    <n v="1350"/>
    <s v="W11082463"/>
    <s v="Termostatos"/>
    <x v="8"/>
    <n v="11"/>
    <n v="5003024"/>
    <s v="RODOBRAS TRANSPORTES RODOVIARIOS LT"/>
    <n v="389.1"/>
    <d v="2025-05-05T00:00:00"/>
  </r>
  <r>
    <n v="253988835"/>
    <n v="64763975"/>
    <s v="REB"/>
    <n v="9404770"/>
    <n v="173"/>
    <s v="PEÇAS - Defeito de fabric./Alta Amperage"/>
    <s v="FUNCIONAL"/>
    <x v="1"/>
    <n v="21647"/>
    <s v="MAREMAIS CONSERTOS LTDA. - EPP"/>
    <s v="PR"/>
    <n v="641"/>
    <s v="CDP Diamante"/>
    <n v="1350"/>
    <s v="W10849469"/>
    <s v="Bombas"/>
    <x v="2"/>
    <n v="80"/>
    <n v="5003024"/>
    <s v="RODOBRAS TRANSPORTES RODOVIARIOS LT"/>
    <n v="2198.81"/>
    <d v="2025-05-05T00:00:00"/>
  </r>
  <r>
    <n v="253988801"/>
    <n v="64764027"/>
    <s v="REB"/>
    <n v="9918506"/>
    <n v="173"/>
    <s v="PEÇAS - Defeito de fabric./Alta Amperage"/>
    <s v="FUNCIONAL"/>
    <x v="1"/>
    <n v="13757"/>
    <s v="FRIGELAR COMÉRCIO E INDÚSTRIA LTDA"/>
    <s v="SP"/>
    <n v="713"/>
    <s v="Key Account"/>
    <n v="1350"/>
    <s v="W10882241"/>
    <s v="Agitadores"/>
    <x v="4"/>
    <n v="4"/>
    <n v="5004042"/>
    <s v="BRASIL WEB TRANSPORTES E LOGISTICA"/>
    <n v="131.03"/>
    <d v="2025-05-05T00:00:00"/>
  </r>
  <r>
    <n v="253988891"/>
    <n v="64764031"/>
    <s v="REB"/>
    <n v="9496935"/>
    <n v="173"/>
    <s v="PEÇAS - Defeito de fabric./Alta Amperage"/>
    <s v="FUNCIONAL"/>
    <x v="1"/>
    <n v="58773"/>
    <s v="NATALAV REFRIGERACAO E SERVICOS LTD"/>
    <s v="RN"/>
    <n v="350"/>
    <s v="Ats On"/>
    <n v="1350"/>
    <s v="W11051514"/>
    <s v="Placas de Controle"/>
    <x v="2"/>
    <n v="1"/>
    <n v="5004101"/>
    <s v="UNIDOCK'S ASSESSORIA E LOGISTICA DE"/>
    <n v="323.18"/>
    <d v="2025-05-05T00:00:00"/>
  </r>
  <r>
    <n v="253988897"/>
    <n v="64764033"/>
    <s v="REB"/>
    <n v="9424399"/>
    <n v="176"/>
    <s v="PEÇAS - Defeito de fabric./Interrompido"/>
    <s v="FUNCIONAL"/>
    <x v="1"/>
    <n v="62749"/>
    <s v="MACEDO E SILVA COMERCIO E SERVICO"/>
    <s v="CE"/>
    <n v="933"/>
    <s v="Top"/>
    <n v="1350"/>
    <s v="W10797831"/>
    <s v="Placas de Controle"/>
    <x v="2"/>
    <n v="1"/>
    <n v="5004101"/>
    <s v="UNIDOCK'S ASSESSORIA E LOGISTICA DE"/>
    <n v="258.77999999999997"/>
    <d v="2025-05-05T00:00:00"/>
  </r>
  <r>
    <n v="253988917"/>
    <n v="64764254"/>
    <s v="REB"/>
    <n v="9551504"/>
    <n v="173"/>
    <s v="PEÇAS - Defeito de fabric./Alta Amperage"/>
    <s v="FUNCIONAL"/>
    <x v="1"/>
    <n v="73003"/>
    <s v="DISFRIO DISTRIBUIDORA DE AR"/>
    <s v="SC"/>
    <n v="931"/>
    <s v="Ats Off"/>
    <n v="1350"/>
    <s v="W11543434"/>
    <s v="Outros"/>
    <x v="5"/>
    <n v="1"/>
    <n v="5003024"/>
    <s v="RODOBRAS TRANSPORTES RODOVIARIOS LT"/>
    <n v="182.26"/>
    <d v="2025-05-05T00:00:00"/>
  </r>
  <r>
    <n v="253988929"/>
    <n v="64764255"/>
    <s v="REB"/>
    <n v="9992051"/>
    <n v="176"/>
    <s v="PEÇAS - Defeito de fabric./Interrompido"/>
    <s v="FUNCIONAL"/>
    <x v="1"/>
    <n v="80834"/>
    <s v="REFRIMAQ COMERCIO DE PECAS"/>
    <s v="RO"/>
    <n v="934"/>
    <s v="CDP Ouro"/>
    <n v="1350"/>
    <s v="W11299803"/>
    <s v="Mecanismos"/>
    <x v="4"/>
    <n v="1"/>
    <n v="5002858"/>
    <s v="FAVORITA TRANSPORTES LTDA"/>
    <n v="108.79"/>
    <d v="2025-05-05T00:00:00"/>
  </r>
  <r>
    <n v="253988800"/>
    <n v="64764257"/>
    <s v="REB"/>
    <n v="9906011"/>
    <n v="173"/>
    <s v="PEÇAS - Defeito de fabric./Alta Amperage"/>
    <s v="FUNCIONAL"/>
    <x v="1"/>
    <n v="13757"/>
    <s v="FRIGELAR COMÉRCIO E INDÚSTRIA LTDA"/>
    <s v="SP"/>
    <n v="713"/>
    <s v="Key Account"/>
    <n v="1350"/>
    <s v="W10772235"/>
    <s v="Placas de Interface"/>
    <x v="2"/>
    <n v="1"/>
    <n v="5004042"/>
    <s v="BRASIL WEB TRANSPORTES E LOGISTICA"/>
    <n v="212.54"/>
    <d v="2025-05-05T00:00:00"/>
  </r>
  <r>
    <n v="253988891"/>
    <n v="64764284"/>
    <s v="REB"/>
    <n v="9981684"/>
    <n v="173"/>
    <s v="PEÇAS - Defeito de fabric./Alta Amperage"/>
    <s v="FUNCIONAL"/>
    <x v="1"/>
    <n v="58773"/>
    <s v="NATALAV REFRIGERACAO E SERVICOS LTD"/>
    <s v="RN"/>
    <n v="350"/>
    <s v="Ats On"/>
    <n v="1350"/>
    <s v="W10661056"/>
    <s v="Interruptores horário"/>
    <x v="8"/>
    <n v="1"/>
    <n v="5004101"/>
    <s v="UNIDOCK'S ASSESSORIA E LOGISTICA DE"/>
    <n v="140.29"/>
    <d v="2025-05-05T00:00:00"/>
  </r>
  <r>
    <n v="253988800"/>
    <n v="64764307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0399715"/>
    <s v="Motores Ventiladores"/>
    <x v="2"/>
    <n v="1"/>
    <n v="5004042"/>
    <s v="BRASIL WEB TRANSPORTES E LOGISTICA"/>
    <n v="44.78"/>
    <d v="2025-05-05T00:00:00"/>
  </r>
  <r>
    <n v="253988790"/>
    <n v="64764318"/>
    <s v="REB"/>
    <n v="9977986"/>
    <n v="176"/>
    <s v="PEÇAS - Defeito de fabric./Interrompido"/>
    <s v="FUNCIONAL"/>
    <x v="1"/>
    <n v="3652"/>
    <s v="ASTEG ASTEG"/>
    <s v="SP"/>
    <n v="350"/>
    <s v="Ats On"/>
    <n v="1350"/>
    <n v="326076881"/>
    <s v="Resistências"/>
    <x v="2"/>
    <n v="1"/>
    <n v="5004042"/>
    <s v="BRASIL WEB TRANSPORTES E LOGISTICA"/>
    <n v="85.2"/>
    <d v="2025-05-05T00:00:00"/>
  </r>
  <r>
    <n v="253988790"/>
    <n v="64764329"/>
    <s v="REB"/>
    <n v="10006237"/>
    <n v="176"/>
    <s v="PEÇAS - Defeito de fabric./Interrompido"/>
    <s v="FUNCIONAL"/>
    <x v="1"/>
    <n v="3652"/>
    <s v="ASTEG ASTEG"/>
    <s v="SP"/>
    <n v="350"/>
    <s v="Ats On"/>
    <n v="1350"/>
    <s v="W11452233"/>
    <s v="Placas de Controle"/>
    <x v="2"/>
    <n v="1"/>
    <n v="5004042"/>
    <s v="BRASIL WEB TRANSPORTES E LOGISTICA"/>
    <n v="196.55"/>
    <d v="2025-05-05T00:00:00"/>
  </r>
  <r>
    <n v="253988917"/>
    <n v="64764397"/>
    <s v="REB"/>
    <n v="9952954"/>
    <n v="173"/>
    <s v="PEÇAS - Defeito de fabric./Alta Amperage"/>
    <s v="FUNCIONAL"/>
    <x v="1"/>
    <n v="73003"/>
    <s v="DISFRIO DISTRIBUIDORA DE AR"/>
    <s v="SC"/>
    <n v="931"/>
    <s v="Ats Off"/>
    <n v="1350"/>
    <n v="326061172"/>
    <s v="Placas de Controle"/>
    <x v="2"/>
    <n v="1"/>
    <n v="5003024"/>
    <s v="RODOBRAS TRANSPORTES RODOVIARIOS LT"/>
    <n v="327.39999999999998"/>
    <d v="2025-05-05T00:00:00"/>
  </r>
  <r>
    <n v="253988917"/>
    <n v="64764449"/>
    <s v="REB"/>
    <n v="9716009"/>
    <n v="173"/>
    <s v="PEÇAS - Defeito de fabric./Alta Amperage"/>
    <s v="FUNCIONAL"/>
    <x v="1"/>
    <n v="73003"/>
    <s v="DISFRIO DISTRIBUIDORA DE AR"/>
    <s v="SC"/>
    <n v="931"/>
    <s v="Ats Off"/>
    <n v="1350"/>
    <s v="W10168510"/>
    <s v="Motores Ventiladores"/>
    <x v="2"/>
    <n v="1"/>
    <n v="5003024"/>
    <s v="RODOBRAS TRANSPORTES RODOVIARIOS LT"/>
    <n v="44.01"/>
    <d v="2025-05-05T00:00:00"/>
  </r>
  <r>
    <n v="253988917"/>
    <n v="64764450"/>
    <s v="REB"/>
    <n v="8650944"/>
    <n v="173"/>
    <s v="PEÇAS - Defeito de fabric./Alta Amperage"/>
    <s v="FUNCIONAL"/>
    <x v="1"/>
    <n v="73003"/>
    <s v="DISFRIO DISTRIBUIDORA DE AR"/>
    <s v="SC"/>
    <n v="931"/>
    <s v="Ats Off"/>
    <n v="1350"/>
    <s v="W11516477"/>
    <s v="Compressores Herméticos"/>
    <x v="0"/>
    <n v="1"/>
    <n v="5003024"/>
    <s v="RODOBRAS TRANSPORTES RODOVIARIOS LT"/>
    <n v="371.51"/>
    <d v="2025-05-05T00:00:00"/>
  </r>
  <r>
    <n v="253988880"/>
    <n v="64764474"/>
    <s v="REB"/>
    <n v="9729499"/>
    <n v="173"/>
    <s v="PEÇAS - Defeito de fabric./Alta Amperage"/>
    <s v="FUNCIONAL"/>
    <x v="0"/>
    <n v="42048"/>
    <s v="DUZZI CLIMATIZACAO E"/>
    <s v="MT"/>
    <n v="644"/>
    <s v="Plus"/>
    <n v="1350"/>
    <s v="W11299803"/>
    <s v="Mecanismos"/>
    <x v="4"/>
    <n v="4"/>
    <n v="5002573"/>
    <s v="CARVALIMA TRANSPORTES LTDA"/>
    <n v="354.36"/>
    <d v="2025-05-05T00:00:00"/>
  </r>
  <r>
    <n v="253988918"/>
    <n v="64764479"/>
    <s v="REB"/>
    <n v="9418502"/>
    <n v="173"/>
    <s v="PEÇAS - Defeito de fabric./Alta Amperage"/>
    <s v="FUNCIONAL"/>
    <x v="2"/>
    <n v="73050"/>
    <s v="EXPEDITO GONCALVES FILHO"/>
    <s v="PE"/>
    <n v="350"/>
    <s v="Ats On"/>
    <n v="1350"/>
    <s v="W10799397"/>
    <s v="Compressores Herméticos"/>
    <x v="0"/>
    <n v="1"/>
    <n v="5004101"/>
    <s v="UNIDOCK'S ASSESSORIA E LOGISTICA DE"/>
    <n v="301.36"/>
    <d v="2025-05-05T00:00:00"/>
  </r>
  <r>
    <s v="Sem TR"/>
    <n v="64764727"/>
    <s v="REB"/>
    <n v="9981776"/>
    <n v="115"/>
    <s v="PEÇAS-Recusa do cliente"/>
    <s v="COMERCIAL"/>
    <x v="1"/>
    <n v="43266"/>
    <s v="FG MOREIRA COMERCIAL LTDA"/>
    <s v="CE"/>
    <n v="350"/>
    <s v="Ats On"/>
    <n v="1350"/>
    <s v="W11687202"/>
    <s v="Isolantes"/>
    <x v="10"/>
    <n v="2"/>
    <n v="5004101"/>
    <s v="UNIDOCK'S ASSESSORIA E LOGISTICA DE"/>
    <n v="135.56"/>
    <d v="2025-05-06T00:00:00"/>
  </r>
  <r>
    <n v="253995072"/>
    <n v="64765032"/>
    <s v="REB"/>
    <n v="10016924"/>
    <n v="176"/>
    <s v="PEÇAS - Defeito de fabric./Interrompido"/>
    <s v="FUNCIONAL"/>
    <x v="1"/>
    <n v="4425"/>
    <s v="AGASERV COMERCIO E ASSISTENCIA"/>
    <s v="SC"/>
    <n v="931"/>
    <s v="Ats Off"/>
    <n v="1350"/>
    <s v="W11102588"/>
    <s v="Acessórios"/>
    <x v="5"/>
    <n v="1"/>
    <n v="5003024"/>
    <s v="RODOBRAS TRANSPORTES RODOVIARIOS LT"/>
    <n v="33.979999999999997"/>
    <d v="2025-05-16T00:00:00"/>
  </r>
  <r>
    <n v="253989798"/>
    <n v="64765040"/>
    <s v="REB"/>
    <n v="9994702"/>
    <n v="167"/>
    <s v="PEÇAS - Avaria - Quebrada/Depósito"/>
    <s v="LOGÍSTICA"/>
    <x v="2"/>
    <n v="14474"/>
    <s v="NATAL SERVICE LTDA N"/>
    <s v="RN"/>
    <n v="648"/>
    <s v="Ultra"/>
    <n v="1350"/>
    <s v="W10169464"/>
    <s v="Defletores/Difusores"/>
    <x v="6"/>
    <n v="4"/>
    <n v="5004101"/>
    <s v="UNIDOCK'S ASSESSORIA E LOGISTICA DE"/>
    <n v="68.97"/>
    <d v="2025-05-07T00:00:00"/>
  </r>
  <r>
    <n v="253989798"/>
    <n v="64765040"/>
    <s v="REB"/>
    <n v="9994702"/>
    <n v="167"/>
    <s v="PEÇAS - Avaria - Quebrada/Depósito"/>
    <s v="LOGÍSTICA"/>
    <x v="2"/>
    <n v="14474"/>
    <s v="NATAL SERVICE LTDA N"/>
    <s v="RN"/>
    <n v="648"/>
    <s v="Ultra"/>
    <n v="1350"/>
    <s v="W10287534"/>
    <s v="Prateleiras"/>
    <x v="1"/>
    <n v="4"/>
    <n v="5004101"/>
    <s v="UNIDOCK'S ASSESSORIA E LOGISTICA DE"/>
    <n v="106.9"/>
    <d v="2025-05-07T00:00:00"/>
  </r>
  <r>
    <s v="Sem TR"/>
    <n v="64765591"/>
    <s v="ROB"/>
    <n v="10017865"/>
    <n v="671"/>
    <s v="DEV-ENVIADO PARA GESTÃO DE CONSEQUENCIA"/>
    <s v="TRANSPORTADORA"/>
    <x v="1"/>
    <n v="58438"/>
    <s v="TREVIZAN &amp; CIA LTDA"/>
    <s v="PR"/>
    <n v="643"/>
    <s v="Elite"/>
    <n v="1350"/>
    <s v="W11448283"/>
    <s v="Capacitores"/>
    <x v="2"/>
    <n v="20"/>
    <n v="5003024"/>
    <s v="RODOBRAS TRANSPORTES RODOVIARIOS LT"/>
    <n v="254"/>
    <d v="2025-05-07T00:00:00"/>
  </r>
  <r>
    <n v="253989797"/>
    <n v="64766019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1300675"/>
    <s v="Mecanismos"/>
    <x v="4"/>
    <n v="1"/>
    <n v="5004042"/>
    <s v="BRASIL WEB TRANSPORTES E LOGISTICA"/>
    <n v="119.15"/>
    <d v="2025-05-07T00:00:00"/>
  </r>
  <r>
    <n v="253989797"/>
    <n v="64766019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0399715"/>
    <s v="Motores Ventiladores"/>
    <x v="2"/>
    <n v="1"/>
    <n v="5004042"/>
    <s v="BRASIL WEB TRANSPORTES E LOGISTICA"/>
    <n v="44.78"/>
    <d v="2025-05-07T00:00:00"/>
  </r>
  <r>
    <n v="253989797"/>
    <n v="64766019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1299803"/>
    <s v="Mecanismos"/>
    <x v="4"/>
    <n v="1"/>
    <n v="5004042"/>
    <s v="BRASIL WEB TRANSPORTES E LOGISTICA"/>
    <n v="110.49"/>
    <d v="2025-05-07T00:00:00"/>
  </r>
  <r>
    <n v="253989797"/>
    <n v="64766019"/>
    <s v="REB"/>
    <n v="9917582"/>
    <n v="173"/>
    <s v="PEÇAS - Defeito de fabric./Alta Amperage"/>
    <s v="FUNCIONAL"/>
    <x v="1"/>
    <n v="13757"/>
    <s v="FRIGELAR COMÉRCIO E INDÚSTRIA LTDA"/>
    <s v="SP"/>
    <n v="713"/>
    <s v="Key Account"/>
    <n v="1350"/>
    <s v="W11300816"/>
    <s v="Mecanismos"/>
    <x v="4"/>
    <n v="2"/>
    <n v="5004042"/>
    <s v="BRASIL WEB TRANSPORTES E LOGISTICA"/>
    <n v="265.7"/>
    <d v="2025-05-07T00:00:00"/>
  </r>
  <r>
    <n v="253992743"/>
    <n v="64766133"/>
    <s v="REB"/>
    <n v="9980277"/>
    <n v="178"/>
    <s v="PEÇAS -Defeito de fabric./Sem Compressão"/>
    <s v="FUNCIONAL"/>
    <x v="1"/>
    <n v="42455"/>
    <s v="D. B. GOMES SOROCABA"/>
    <s v="SP"/>
    <n v="931"/>
    <s v="Ats Off"/>
    <n v="1350"/>
    <s v="W10666797"/>
    <s v="Compressores Herméticos"/>
    <x v="0"/>
    <n v="1"/>
    <n v="5004042"/>
    <s v="BRASIL WEB TRANSPORTES E LOGISTICA"/>
    <n v="735.17"/>
    <d v="2025-05-12T00:00:00"/>
  </r>
  <r>
    <n v="253992746"/>
    <n v="64766437"/>
    <s v="REB"/>
    <n v="10009199"/>
    <n v="104"/>
    <s v="PEÇAS-Código trocado(embalag X conteúdo)"/>
    <s v="LOGÍSTICA"/>
    <x v="1"/>
    <n v="47475"/>
    <s v="RECK &amp; CIA LTDA"/>
    <s v="SC"/>
    <n v="350"/>
    <s v="Ats On"/>
    <n v="1350"/>
    <s v="W11498695"/>
    <s v="Capas"/>
    <x v="3"/>
    <n v="1"/>
    <n v="5003024"/>
    <s v="RODOBRAS TRANSPORTES RODOVIARIOS LT"/>
    <n v="39.31"/>
    <d v="2025-05-12T00:00:00"/>
  </r>
  <r>
    <n v="254003989"/>
    <n v="64766616"/>
    <s v="REB"/>
    <n v="9292031"/>
    <n v="178"/>
    <s v="PEÇAS -Defeito de fabric./Sem Compressão"/>
    <s v="FUNCIONAL"/>
    <x v="1"/>
    <n v="47026"/>
    <s v="JR PECAS LTDA JR PECAS LTDA"/>
    <s v="BA"/>
    <n v="643"/>
    <s v="Elite"/>
    <n v="1350"/>
    <s v="W11647660"/>
    <s v="Compressores Herméticos"/>
    <x v="0"/>
    <n v="1"/>
    <n v="5004101"/>
    <s v="UNIDOCK'S ASSESSORIA E LOGISTICA DE"/>
    <n v="280.25"/>
    <d v="2025-05-26T00:00:00"/>
  </r>
  <r>
    <s v="Sem TR"/>
    <n v="64767011"/>
    <s v="REB"/>
    <n v="9996832"/>
    <n v="115"/>
    <s v="PEÇAS-Recusa do cliente"/>
    <s v="COMERCIAL"/>
    <x v="1"/>
    <n v="54511"/>
    <s v="KLIMA COLD"/>
    <s v="RS"/>
    <n v="350"/>
    <s v="Ats On"/>
    <n v="1350"/>
    <s v="W11753724"/>
    <s v="Outros"/>
    <x v="5"/>
    <n v="1"/>
    <n v="5003024"/>
    <s v="RODOBRAS TRANSPORTES RODOVIARIOS LT"/>
    <n v="167.64"/>
    <d v="2025-05-16T00:00:00"/>
  </r>
  <r>
    <n v="253995122"/>
    <n v="64767017"/>
    <s v="REB"/>
    <n v="10025086"/>
    <n v="167"/>
    <s v="PEÇAS - Avaria - Quebrada/Depósito"/>
    <s v="LOGÍSTICA"/>
    <x v="1"/>
    <n v="27511"/>
    <s v="MARCOS JOSE DE OLIVEIRA SOROCABA-EP"/>
    <s v="SP"/>
    <n v="641"/>
    <s v="CDP Diamante"/>
    <n v="1350"/>
    <s v="W10347201"/>
    <s v="Prateleiras"/>
    <x v="1"/>
    <n v="1"/>
    <n v="5004042"/>
    <s v="BRASIL WEB TRANSPORTES E LOGISTICA"/>
    <n v="95.79"/>
    <d v="2025-05-16T00:00:00"/>
  </r>
  <r>
    <n v="254003931"/>
    <n v="64767315"/>
    <s v="REB"/>
    <n v="9924196"/>
    <n v="178"/>
    <s v="PEÇAS -Defeito de fabric./Sem Compressão"/>
    <s v="FUNCIONAL"/>
    <x v="1"/>
    <n v="29706"/>
    <s v="Campos Equipamentos e Refrigeração"/>
    <s v="RN"/>
    <n v="644"/>
    <s v="Plus"/>
    <n v="1350"/>
    <s v="W11516471"/>
    <s v="Compressores Herméticos"/>
    <x v="0"/>
    <n v="1"/>
    <n v="5004101"/>
    <s v="UNIDOCK'S ASSESSORIA E LOGISTICA DE"/>
    <n v="371.69"/>
    <d v="2025-05-26T00:00:00"/>
  </r>
  <r>
    <n v="254003931"/>
    <n v="64767373"/>
    <s v="REB"/>
    <n v="9791117"/>
    <n v="178"/>
    <s v="PEÇAS -Defeito de fabric./Sem Compressão"/>
    <s v="FUNCIONAL"/>
    <x v="1"/>
    <n v="29706"/>
    <s v="Campos Equipamentos e Refrigeração"/>
    <s v="RN"/>
    <n v="644"/>
    <s v="Plus"/>
    <n v="1350"/>
    <s v="W10393815"/>
    <s v="Compressores Herméticos"/>
    <x v="0"/>
    <n v="1"/>
    <n v="5004101"/>
    <s v="UNIDOCK'S ASSESSORIA E LOGISTICA DE"/>
    <n v="449.47"/>
    <d v="2025-05-26T00:00:00"/>
  </r>
  <r>
    <n v="253995073"/>
    <n v="64767455"/>
    <s v="REB"/>
    <n v="9974226"/>
    <n v="104"/>
    <s v="PEÇAS-Código trocado(embalag X conteúdo)"/>
    <s v="LOGÍSTICA"/>
    <x v="2"/>
    <n v="4446"/>
    <s v="CONSAB PÇS E SERV. P/ ELETROD. LTDA"/>
    <s v="PR"/>
    <n v="350"/>
    <s v="Ats On"/>
    <n v="1350"/>
    <s v="W11106593"/>
    <s v="Bombas"/>
    <x v="2"/>
    <n v="1"/>
    <n v="5003024"/>
    <s v="RODOBRAS TRANSPORTES RODOVIARIOS LT"/>
    <n v="313.14"/>
    <d v="2025-05-10T00:00:00"/>
  </r>
  <r>
    <s v="Sem TR"/>
    <n v="64767461"/>
    <s v="REB"/>
    <n v="9958086"/>
    <n v="110"/>
    <s v="PEÇAS-Troca de produtos"/>
    <s v="GESTÃO DE TROCAS"/>
    <x v="1"/>
    <n v="81689"/>
    <s v="RONDO MULTIPRODUTOS LTDA"/>
    <s v="PR"/>
    <n v="350"/>
    <s v="Ats On"/>
    <n v="1350"/>
    <s v="W11102525"/>
    <s v="Tanques"/>
    <x v="1"/>
    <n v="1"/>
    <n v="5003024"/>
    <s v="RODOBRAS TRANSPORTES RODOVIARIOS LT"/>
    <n v="1131.6300000000001"/>
    <d v="2025-05-10T00:00:00"/>
  </r>
  <r>
    <n v="253992728"/>
    <n v="64767515"/>
    <s v="REB"/>
    <n v="10018568"/>
    <n v="104"/>
    <s v="PEÇAS-Código trocado(embalag X conteúdo)"/>
    <s v="LOGÍSTICA"/>
    <x v="1"/>
    <n v="29112"/>
    <s v="REFRIGERACAO GELARES LTDA - ME"/>
    <s v="SP"/>
    <n v="932"/>
    <s v="CDP Prata"/>
    <n v="1350"/>
    <s v="W10846987"/>
    <s v="Gaxetas"/>
    <x v="10"/>
    <n v="5"/>
    <n v="5004042"/>
    <s v="BRASIL WEB TRANSPORTES E LOGISTICA"/>
    <n v="506.33"/>
    <d v="2025-05-12T00:00:00"/>
  </r>
  <r>
    <n v="253992728"/>
    <n v="64767515"/>
    <s v="REB"/>
    <n v="10018568"/>
    <n v="104"/>
    <s v="PEÇAS-Código trocado(embalag X conteúdo)"/>
    <s v="LOGÍSTICA"/>
    <x v="1"/>
    <n v="29112"/>
    <s v="REFRIGERACAO GELARES LTDA - ME"/>
    <s v="SP"/>
    <n v="932"/>
    <s v="CDP Prata"/>
    <n v="1350"/>
    <s v="W10846991"/>
    <s v="Gaxetas"/>
    <x v="10"/>
    <n v="5"/>
    <n v="5004042"/>
    <s v="BRASIL WEB TRANSPORTES E LOGISTICA"/>
    <n v="488.57"/>
    <d v="2025-05-12T00:00:00"/>
  </r>
  <r>
    <n v="253992759"/>
    <n v="64767542"/>
    <s v="REB"/>
    <n v="9913902"/>
    <n v="173"/>
    <s v="PEÇAS - Defeito de fabric./Alta Amperage"/>
    <s v="FUNCIONAL"/>
    <x v="1"/>
    <n v="64683"/>
    <s v="LAJEAR REFRIGERACAO LTDA ME"/>
    <s v="RS"/>
    <n v="648"/>
    <s v="Ultra"/>
    <n v="1350"/>
    <s v="W11647662"/>
    <s v="Compressores Herméticos"/>
    <x v="0"/>
    <n v="1"/>
    <n v="5003024"/>
    <s v="RODOBRAS TRANSPORTES RODOVIARIOS LT"/>
    <n v="292.68"/>
    <d v="2025-05-12T00:00:00"/>
  </r>
  <r>
    <n v="253992756"/>
    <n v="64767553"/>
    <s v="REB"/>
    <n v="9759405"/>
    <n v="168"/>
    <s v="PEÇAS-Def.Fabric.Empenamento/Abaulamento"/>
    <s v="FUNCIONAL"/>
    <x v="1"/>
    <n v="63028"/>
    <s v="ELETRO122 COMERCIO DE ELETRO"/>
    <s v="SP"/>
    <n v="641"/>
    <s v="CDP Diamante"/>
    <n v="1350"/>
    <s v="W11396889"/>
    <s v="Vidros"/>
    <x v="3"/>
    <n v="4"/>
    <n v="5004042"/>
    <s v="BRASIL WEB TRANSPORTES E LOGISTICA"/>
    <n v="227.01"/>
    <d v="2025-05-12T00:00:00"/>
  </r>
  <r>
    <n v="254065841"/>
    <n v="64767622"/>
    <s v="REB"/>
    <n v="10013354"/>
    <n v="176"/>
    <s v="PEÇAS - Defeito de fabric./Interrompido"/>
    <s v="FUNCIONAL"/>
    <x v="2"/>
    <n v="22041"/>
    <s v="VIP SERVICE COMERCIO DE PECAS"/>
    <s v="SP"/>
    <n v="931"/>
    <s v="Ats Off"/>
    <n v="1350"/>
    <s v="W11516476"/>
    <s v="Compressores Herméticos"/>
    <x v="0"/>
    <n v="1"/>
    <n v="5004042"/>
    <s v="BRASIL WEB TRANSPORTES E LOGISTICA"/>
    <n v="470.91"/>
    <d v="2025-05-14T00:00:00"/>
  </r>
  <r>
    <n v="254065841"/>
    <n v="64767622"/>
    <s v="REB"/>
    <n v="10013354"/>
    <n v="176"/>
    <s v="PEÇAS - Defeito de fabric./Interrompido"/>
    <s v="FUNCIONAL"/>
    <x v="2"/>
    <n v="22041"/>
    <s v="VIP SERVICE COMERCIO DE PECAS"/>
    <s v="SP"/>
    <n v="931"/>
    <s v="Ats Off"/>
    <n v="1350"/>
    <s v="W11682256"/>
    <s v="Filtro Secadores"/>
    <x v="0"/>
    <n v="1"/>
    <n v="5004042"/>
    <s v="BRASIL WEB TRANSPORTES E LOGISTICA"/>
    <n v="25.07"/>
    <d v="2025-05-14T00:00:00"/>
  </r>
  <r>
    <n v="253992664"/>
    <n v="64767992"/>
    <s v="REB"/>
    <n v="9737973"/>
    <n v="173"/>
    <s v="PEÇAS - Defeito de fabric./Alta Amperage"/>
    <s v="FUNCIONAL"/>
    <x v="1"/>
    <n v="113"/>
    <s v="SERVIBRAS COM SERVICOS TECNICOS LT"/>
    <s v="AL"/>
    <n v="350"/>
    <s v="Ats On"/>
    <n v="1350"/>
    <s v="W10799397"/>
    <s v="Compressores Herméticos"/>
    <x v="0"/>
    <n v="1"/>
    <n v="5004101"/>
    <s v="UNIDOCK'S ASSESSORIA E LOGISTICA DE"/>
    <n v="311.10000000000002"/>
    <d v="2025-05-12T00:00:00"/>
  </r>
  <r>
    <s v="Sem TR"/>
    <n v="64768032"/>
    <s v="ROB"/>
    <n v="9978262"/>
    <n v="671"/>
    <s v="DEV-ENVIADO PARA GESTÃO DE CONSEQUENCIA"/>
    <s v="TRANSPORTADORA"/>
    <x v="1"/>
    <n v="28888"/>
    <s v="REFRIGATTI - REFRIGERACAO FRAIBURG"/>
    <s v="SC"/>
    <n v="350"/>
    <s v="Ats On"/>
    <n v="1350"/>
    <s v="W10742654"/>
    <s v="Motores Ventiladores"/>
    <x v="2"/>
    <n v="1"/>
    <n v="5003024"/>
    <s v="RODOBRAS TRANSPORTES RODOVIARIOS LT"/>
    <n v="50.55"/>
    <d v="2025-05-29T00:00:00"/>
  </r>
  <r>
    <s v="Sem TR"/>
    <n v="64768032"/>
    <s v="ROB"/>
    <n v="9978262"/>
    <n v="671"/>
    <s v="DEV-ENVIADO PARA GESTÃO DE CONSEQUENCIA"/>
    <s v="TRANSPORTADORA"/>
    <x v="1"/>
    <n v="28888"/>
    <s v="REFRIGATTI - REFRIGERACAO FRAIBURG"/>
    <s v="SC"/>
    <n v="350"/>
    <s v="Ats On"/>
    <n v="1350"/>
    <s v="W11123831"/>
    <s v="Placas de Controle"/>
    <x v="2"/>
    <n v="1"/>
    <n v="5003024"/>
    <s v="RODOBRAS TRANSPORTES RODOVIARIOS LT"/>
    <n v="92.04"/>
    <d v="2025-05-29T00:00:00"/>
  </r>
  <r>
    <s v="Sem TR"/>
    <n v="64768032"/>
    <s v="ROB"/>
    <n v="9978262"/>
    <n v="671"/>
    <s v="DEV-ENVIADO PARA GESTÃO DE CONSEQUENCIA"/>
    <s v="TRANSPORTADORA"/>
    <x v="1"/>
    <n v="28888"/>
    <s v="REFRIGATTI - REFRIGERACAO FRAIBURG"/>
    <s v="SC"/>
    <n v="350"/>
    <s v="Ats On"/>
    <n v="1350"/>
    <s v="W11431350"/>
    <s v="Capas"/>
    <x v="3"/>
    <n v="1"/>
    <n v="5003024"/>
    <s v="RODOBRAS TRANSPORTES RODOVIARIOS LT"/>
    <n v="19.25"/>
    <d v="2025-05-29T00:00:00"/>
  </r>
  <r>
    <n v="253992789"/>
    <n v="64768049"/>
    <s v="REB"/>
    <n v="10015856"/>
    <n v="167"/>
    <s v="PEÇAS - Avaria - Quebrada/Depósito"/>
    <s v="LOGÍSTICA"/>
    <x v="1"/>
    <n v="86642"/>
    <s v="KALEO SANTOS - MULTIMARCAS LTDA"/>
    <s v="SP"/>
    <n v="932"/>
    <s v="CDP Prata"/>
    <n v="1350"/>
    <s v="W10477178"/>
    <s v="Capas"/>
    <x v="3"/>
    <n v="1"/>
    <n v="5004042"/>
    <s v="BRASIL WEB TRANSPORTES E LOGISTICA"/>
    <n v="32.29"/>
    <d v="2025-05-12T00:00:00"/>
  </r>
  <r>
    <n v="253992698"/>
    <n v="64768056"/>
    <s v="REB"/>
    <n v="10004695"/>
    <n v="167"/>
    <s v="PEÇAS - Avaria - Quebrada/Depósito"/>
    <s v="LOGÍSTICA"/>
    <x v="1"/>
    <n v="10164"/>
    <s v="FALCONE - COMERCIO E SERVICOS LTDA"/>
    <s v="PB"/>
    <n v="931"/>
    <s v="Ats Off"/>
    <n v="1350"/>
    <s v="W10420716"/>
    <s v="Acessórios"/>
    <x v="5"/>
    <n v="1"/>
    <n v="5004101"/>
    <s v="UNIDOCK'S ASSESSORIA E LOGISTICA DE"/>
    <n v="28.57"/>
    <d v="2025-05-12T00:00:00"/>
  </r>
  <r>
    <s v="Sem TR"/>
    <n v="64768134"/>
    <s v="ROB"/>
    <n v="9996641"/>
    <n v="25"/>
    <s v="OC. 80 - EXTRAVIO TOTAL"/>
    <s v="TRANSPORTADORA"/>
    <x v="2"/>
    <n v="27114"/>
    <s v="ELETROLAR PECAS E MANUTENCAO"/>
    <s v="MG"/>
    <n v="350"/>
    <s v="Ats On"/>
    <n v="1350"/>
    <s v="W11687045"/>
    <s v="Tanques"/>
    <x v="1"/>
    <n v="1"/>
    <n v="5004101"/>
    <s v="UNIDOCK'S ASSESSORIA E LOGISTICA DE"/>
    <n v="232.48"/>
    <d v="2025-05-12T00:00:00"/>
  </r>
  <r>
    <s v="Sem TR"/>
    <n v="64768135"/>
    <s v="ROB"/>
    <n v="9996642"/>
    <n v="671"/>
    <s v="DEV-ENVIADO PARA GESTÃO DE CONSEQUENCIA"/>
    <s v="TRANSPORTADORA"/>
    <x v="1"/>
    <n v="27114"/>
    <s v="ELETROLAR PECAS E MANUTENCAO"/>
    <s v="MG"/>
    <n v="350"/>
    <s v="Ats On"/>
    <n v="1350"/>
    <n v="326008340"/>
    <s v="Anéis de Vedação"/>
    <x v="10"/>
    <n v="10"/>
    <n v="5004101"/>
    <s v="UNIDOCK'S ASSESSORIA E LOGISTICA DE"/>
    <n v="171.09"/>
    <d v="2025-05-12T00:00:00"/>
  </r>
  <r>
    <n v="253992753"/>
    <n v="64768236"/>
    <s v="REB"/>
    <n v="9899290"/>
    <n v="168"/>
    <s v="PEÇAS-Def.Fabric.Empenamento/Abaulamento"/>
    <s v="FUNCIONAL"/>
    <x v="0"/>
    <n v="60342"/>
    <s v="CITYTEC COMERCIO"/>
    <s v="BA"/>
    <n v="648"/>
    <s v="Ultra"/>
    <n v="1350"/>
    <s v="W10882241"/>
    <s v="Agitadores"/>
    <x v="4"/>
    <n v="7"/>
    <n v="5004101"/>
    <s v="UNIDOCK'S ASSESSORIA E LOGISTICA DE"/>
    <n v="323.60000000000002"/>
    <d v="2025-05-12T00:00:00"/>
  </r>
  <r>
    <n v="253992771"/>
    <n v="64768239"/>
    <s v="REB"/>
    <n v="9743140"/>
    <n v="173"/>
    <s v="PEÇAS - Defeito de fabric./Alta Amperage"/>
    <s v="FUNCIONAL"/>
    <x v="1"/>
    <n v="77425"/>
    <s v="S L DE SOUSA REFRIGERACAO"/>
    <s v="PE"/>
    <n v="643"/>
    <s v="Elite"/>
    <n v="1350"/>
    <s v="W11677209"/>
    <s v="Compressores Herméticos"/>
    <x v="0"/>
    <n v="1"/>
    <n v="5004101"/>
    <s v="UNIDOCK'S ASSESSORIA E LOGISTICA DE"/>
    <n v="258.37"/>
    <d v="2025-05-12T00:00:00"/>
  </r>
  <r>
    <n v="253992755"/>
    <n v="64768250"/>
    <s v="REB"/>
    <n v="9908617"/>
    <n v="173"/>
    <s v="PEÇAS - Defeito de fabric./Alta Amperage"/>
    <s v="FUNCIONAL"/>
    <x v="1"/>
    <n v="61473"/>
    <s v="ALKATEC COMERCIO E CONSERTOS DE"/>
    <s v="SP"/>
    <n v="932"/>
    <s v="CDP Prata"/>
    <n v="1350"/>
    <n v="326061171"/>
    <s v="Placas de Controle"/>
    <x v="2"/>
    <n v="1"/>
    <n v="5004042"/>
    <s v="BRASIL WEB TRANSPORTES E LOGISTICA"/>
    <n v="310.93"/>
    <d v="2025-05-12T00:00:00"/>
  </r>
  <r>
    <n v="253992664"/>
    <n v="64768251"/>
    <s v="REB"/>
    <n v="9988966"/>
    <n v="173"/>
    <s v="PEÇAS - Defeito de fabric./Alta Amperage"/>
    <s v="FUNCIONAL"/>
    <x v="1"/>
    <n v="113"/>
    <s v="SERVIBRAS COM SERVICOS TECNICOS LT"/>
    <s v="AL"/>
    <n v="350"/>
    <s v="Ats On"/>
    <n v="1350"/>
    <s v="W10780260"/>
    <s v="Placas de Controle"/>
    <x v="2"/>
    <n v="1"/>
    <n v="5004101"/>
    <s v="UNIDOCK'S ASSESSORIA E LOGISTICA DE"/>
    <n v="184.9"/>
    <d v="2025-05-12T00:00:00"/>
  </r>
  <r>
    <n v="253992733"/>
    <n v="64768296"/>
    <s v="REB"/>
    <n v="9929716"/>
    <n v="176"/>
    <s v="PEÇAS - Defeito de fabric./Interrompido"/>
    <s v="FUNCIONAL"/>
    <x v="1"/>
    <n v="31537"/>
    <s v="RAQUEL SILVEIRA RODRIGUES &amp; CIA. LT"/>
    <s v="RS"/>
    <n v="641"/>
    <s v="CDP Diamante"/>
    <n v="1350"/>
    <s v="W11082463"/>
    <s v="Termostatos"/>
    <x v="8"/>
    <n v="1"/>
    <n v="5003024"/>
    <s v="RODOBRAS TRANSPORTES RODOVIARIOS LT"/>
    <n v="44.34"/>
    <d v="2025-05-12T00:00:00"/>
  </r>
  <r>
    <n v="253992760"/>
    <n v="64768386"/>
    <s v="REB"/>
    <n v="9944892"/>
    <n v="176"/>
    <s v="PEÇAS - Defeito de fabric./Interrompido"/>
    <s v="FUNCIONAL"/>
    <x v="1"/>
    <n v="64683"/>
    <s v="LAJEAR REFRIGERACAO LTDA ME"/>
    <s v="RS"/>
    <n v="648"/>
    <s v="Ultra"/>
    <n v="1350"/>
    <s v="W10882241"/>
    <s v="Agitadores"/>
    <x v="4"/>
    <n v="1"/>
    <n v="5003024"/>
    <s v="RODOBRAS TRANSPORTES RODOVIARIOS LT"/>
    <n v="41.01"/>
    <d v="2025-05-12T00:00:00"/>
  </r>
  <r>
    <s v="Sem TR"/>
    <n v="64768398"/>
    <s v="ROB"/>
    <n v="49898"/>
    <n v="25"/>
    <s v="OC. 80 - EXTRAVIO TOTAL"/>
    <s v="TRANSPORTADORA"/>
    <x v="1"/>
    <n v="88321"/>
    <s v="ANTONIA APARECIDA PEIXOTO LIMA LTDA"/>
    <s v="CE"/>
    <n v="932"/>
    <s v="CDP Prata"/>
    <n v="1550"/>
    <s v="W10347201"/>
    <s v="Prateleiras"/>
    <x v="1"/>
    <n v="20"/>
    <n v="5004391"/>
    <s v="JEONCEL TRANSPORTES LTDA"/>
    <n v="1374.95"/>
    <d v="2025-05-12T00:00:00"/>
  </r>
  <r>
    <s v="Sem TR"/>
    <n v="64768398"/>
    <s v="ROB"/>
    <n v="49898"/>
    <n v="25"/>
    <s v="OC. 80 - EXTRAVIO TOTAL"/>
    <s v="TRANSPORTADORA"/>
    <x v="1"/>
    <n v="88321"/>
    <s v="ANTONIA APARECIDA PEIXOTO LIMA LTDA"/>
    <s v="CE"/>
    <n v="932"/>
    <s v="CDP Prata"/>
    <n v="1550"/>
    <s v="W10347201"/>
    <s v="Prateleiras"/>
    <x v="1"/>
    <n v="20"/>
    <n v="5004391"/>
    <s v="JEONCEL TRANSPORTES LTDA"/>
    <n v="1374.95"/>
    <d v="2025-05-12T00:00:00"/>
  </r>
  <r>
    <s v="Sem TR"/>
    <n v="64768425"/>
    <s v="ROB"/>
    <n v="50578"/>
    <n v="25"/>
    <s v="OC. 80 - EXTRAVIO TOTAL"/>
    <s v="TRANSPORTADORA"/>
    <x v="1"/>
    <n v="2832"/>
    <s v="REFRIG DANTAS LTDA"/>
    <s v="BA"/>
    <n v="350"/>
    <s v="Ats On"/>
    <n v="1550"/>
    <s v="W10678919"/>
    <s v="Placas de Controle"/>
    <x v="2"/>
    <n v="5"/>
    <n v="5004391"/>
    <s v="JEONCEL TRANSPORTES LTDA"/>
    <n v="368.65"/>
    <d v="2025-05-12T00:00:00"/>
  </r>
  <r>
    <s v="Sem TR"/>
    <n v="64768425"/>
    <s v="ROB"/>
    <n v="50578"/>
    <n v="25"/>
    <s v="OC. 80 - EXTRAVIO TOTAL"/>
    <s v="TRANSPORTADORA"/>
    <x v="1"/>
    <n v="2832"/>
    <s v="REFRIG DANTAS LTDA"/>
    <s v="BA"/>
    <n v="350"/>
    <s v="Ats On"/>
    <n v="1550"/>
    <s v="W10764578"/>
    <s v="Conjunto Varetas"/>
    <x v="11"/>
    <n v="6"/>
    <n v="5004391"/>
    <s v="JEONCEL TRANSPORTES LTDA"/>
    <n v="285.77999999999997"/>
    <d v="2025-05-12T00:00:00"/>
  </r>
  <r>
    <s v="Sem TR"/>
    <n v="64768425"/>
    <s v="ROB"/>
    <n v="50578"/>
    <n v="25"/>
    <s v="OC. 80 - EXTRAVIO TOTAL"/>
    <s v="TRANSPORTADORA"/>
    <x v="1"/>
    <n v="2832"/>
    <s v="REFRIG DANTAS LTDA"/>
    <s v="BA"/>
    <n v="350"/>
    <s v="Ats On"/>
    <n v="1550"/>
    <s v="W10882241"/>
    <s v="Agitadores"/>
    <x v="4"/>
    <n v="5"/>
    <n v="5004391"/>
    <s v="JEONCEL TRANSPORTES LTDA"/>
    <n v="244.98"/>
    <d v="2025-05-12T00:00:00"/>
  </r>
  <r>
    <s v="Sem TR"/>
    <n v="64768425"/>
    <s v="ROB"/>
    <n v="50578"/>
    <n v="25"/>
    <s v="OC. 80 - EXTRAVIO TOTAL"/>
    <s v="TRANSPORTADORA"/>
    <x v="1"/>
    <n v="2832"/>
    <s v="REFRIG DANTAS LTDA"/>
    <s v="BA"/>
    <n v="350"/>
    <s v="Ats On"/>
    <n v="1550"/>
    <s v="W11300676"/>
    <s v="Mecanismos"/>
    <x v="4"/>
    <n v="5"/>
    <n v="5004391"/>
    <s v="JEONCEL TRANSPORTES LTDA"/>
    <n v="611"/>
    <d v="2025-05-12T00:00:00"/>
  </r>
  <r>
    <n v="253992760"/>
    <n v="64768485"/>
    <s v="REB"/>
    <n v="9913902"/>
    <n v="173"/>
    <s v="PEÇAS - Defeito de fabric./Alta Amperage"/>
    <s v="FUNCIONAL"/>
    <x v="1"/>
    <n v="64683"/>
    <s v="LAJEAR REFRIGERACAO LTDA ME"/>
    <s v="RS"/>
    <n v="648"/>
    <s v="Ultra"/>
    <n v="1350"/>
    <s v="W11647662"/>
    <s v="Compressores Herméticos"/>
    <x v="0"/>
    <n v="1"/>
    <n v="5003024"/>
    <s v="RODOBRAS TRANSPORTES RODOVIARIOS LT"/>
    <n v="292.68"/>
    <d v="2025-05-12T00:00:00"/>
  </r>
  <r>
    <n v="253995156"/>
    <n v="64768858"/>
    <s v="REB"/>
    <n v="9988787"/>
    <n v="173"/>
    <s v="PEÇAS - Defeito de fabric./Alta Amperage"/>
    <s v="FUNCIONAL"/>
    <x v="1"/>
    <n v="34365"/>
    <s v="PONTO DE ORVALHO REFRIGERACAO EIREL"/>
    <s v="CE"/>
    <n v="931"/>
    <s v="Ats Off"/>
    <n v="1350"/>
    <s v="W10591460"/>
    <s v="Placas de Controle"/>
    <x v="2"/>
    <n v="1"/>
    <n v="5004101"/>
    <s v="UNIDOCK'S ASSESSORIA E LOGISTICA DE"/>
    <n v="277.89999999999998"/>
    <d v="2025-05-16T00:00:00"/>
  </r>
  <r>
    <n v="253998011"/>
    <n v="64769036"/>
    <s v="REB"/>
    <n v="10018820"/>
    <n v="167"/>
    <s v="PEÇAS - Avaria - Quebrada/Depósito"/>
    <s v="LOGÍSTICA"/>
    <x v="1"/>
    <n v="82087"/>
    <s v="AMPLA REFRIGERACAO LTDA"/>
    <s v="SP"/>
    <n v="350"/>
    <s v="Ats On"/>
    <n v="1350"/>
    <s v="W10347208"/>
    <s v="Prateleiras"/>
    <x v="1"/>
    <n v="1"/>
    <n v="5004042"/>
    <s v="BRASIL WEB TRANSPORTES E LOGISTICA"/>
    <n v="36.299999999999997"/>
    <d v="2025-05-16T00:00:00"/>
  </r>
  <r>
    <s v="Sem TR"/>
    <n v="64769320"/>
    <s v="REB"/>
    <n v="9996832"/>
    <n v="115"/>
    <s v="PEÇAS-Recusa do cliente"/>
    <s v="COMERCIAL"/>
    <x v="1"/>
    <n v="54511"/>
    <s v="KLIMA COLD"/>
    <s v="RS"/>
    <n v="350"/>
    <s v="Ats On"/>
    <n v="1350"/>
    <s v="W11753724"/>
    <s v="Outros"/>
    <x v="5"/>
    <n v="1"/>
    <n v="5003024"/>
    <s v="RODOBRAS TRANSPORTES RODOVIARIOS LT"/>
    <n v="167.64"/>
    <d v="2025-05-17T00:00:00"/>
  </r>
  <r>
    <n v="253995145"/>
    <n v="64769785"/>
    <s v="REB"/>
    <n v="10027704"/>
    <n v="167"/>
    <s v="PEÇAS - Avaria - Quebrada/Depósito"/>
    <s v="LOGÍSTICA"/>
    <x v="1"/>
    <n v="30847"/>
    <s v="PARANAGUA FRIO REFRIGERACAO LTDA"/>
    <s v="SP"/>
    <n v="644"/>
    <s v="Plus"/>
    <n v="1350"/>
    <s v="W10882241"/>
    <s v="Agitadores"/>
    <x v="4"/>
    <n v="2"/>
    <n v="5004042"/>
    <s v="BRASIL WEB TRANSPORTES E LOGISTICA"/>
    <n v="127.33"/>
    <d v="2025-05-15T00:00:00"/>
  </r>
  <r>
    <s v="Sem TR"/>
    <n v="64769999"/>
    <s v="REB"/>
    <n v="9788882"/>
    <n v="176"/>
    <s v="PEÇAS - Defeito de fabric./Interrompido"/>
    <s v="FUNCIONAL"/>
    <x v="1"/>
    <n v="22041"/>
    <s v="VIP SERVICE COMERCIO DE PECAS"/>
    <s v="SP"/>
    <n v="931"/>
    <s v="Ats Off"/>
    <n v="1350"/>
    <s v="W11435390"/>
    <s v="Placas de Controle"/>
    <x v="2"/>
    <n v="1"/>
    <n v="5004042"/>
    <s v="BRASIL WEB TRANSPORTES E LOGISTICA"/>
    <n v="334.79"/>
    <d v="2025-05-14T00:00:00"/>
  </r>
  <r>
    <n v="254050950"/>
    <n v="64770018"/>
    <s v="ZDVP"/>
    <n v="9969353"/>
    <n v="173"/>
    <s v="PEÇAS - Defeito de fabric./Alta Amperage"/>
    <s v="FUNCIONAL"/>
    <x v="2"/>
    <n v="49243"/>
    <s v="IVANILSON INACIO DA SILVA - ME"/>
    <s v="MS"/>
    <n v="643"/>
    <s v="Elite"/>
    <n v="1350"/>
    <s v="W11647660"/>
    <s v="Compressores Herméticos"/>
    <x v="0"/>
    <n v="1"/>
    <n v="5002573"/>
    <s v="CARVALIMA TRANSPORTES LTDA"/>
    <n v="296.16000000000003"/>
    <d v="2025-05-20T00:00:00"/>
  </r>
  <r>
    <n v="253998022"/>
    <n v="64770390"/>
    <s v="ZDVP"/>
    <n v="9929274"/>
    <n v="173"/>
    <s v="PEÇAS - Defeito de fabric./Alta Amperage"/>
    <s v="FUNCIONAL"/>
    <x v="1"/>
    <n v="60342"/>
    <s v="CITYTEC COMERCIO"/>
    <s v="BA"/>
    <n v="648"/>
    <s v="Ultra"/>
    <n v="1350"/>
    <s v="W11300816"/>
    <s v="Mecanismos"/>
    <x v="4"/>
    <n v="2"/>
    <n v="5004101"/>
    <s v="UNIDOCK'S ASSESSORIA E LOGISTICA DE"/>
    <n v="241.1"/>
    <d v="2025-05-16T00:00:00"/>
  </r>
  <r>
    <n v="253998022"/>
    <n v="64770390"/>
    <s v="ZDVP"/>
    <n v="9929274"/>
    <n v="173"/>
    <s v="PEÇAS - Defeito de fabric./Alta Amperage"/>
    <s v="FUNCIONAL"/>
    <x v="1"/>
    <n v="60342"/>
    <s v="CITYTEC COMERCIO"/>
    <s v="BA"/>
    <n v="648"/>
    <s v="Ultra"/>
    <n v="1350"/>
    <s v="W11299803"/>
    <s v="Mecanismos"/>
    <x v="4"/>
    <n v="1"/>
    <n v="5004101"/>
    <s v="UNIDOCK'S ASSESSORIA E LOGISTICA DE"/>
    <n v="100.25"/>
    <d v="2025-05-16T00:00:00"/>
  </r>
  <r>
    <n v="254003989"/>
    <n v="64770537"/>
    <s v="REB"/>
    <n v="9726991"/>
    <n v="173"/>
    <s v="PEÇAS - Defeito de fabric./Alta Amperage"/>
    <s v="FUNCIONAL"/>
    <x v="1"/>
    <n v="47026"/>
    <s v="JR PECAS LTDA JR PECAS LTDA"/>
    <s v="BA"/>
    <n v="643"/>
    <s v="Elite"/>
    <n v="1350"/>
    <s v="W11112671"/>
    <s v="Interruptores horário"/>
    <x v="8"/>
    <n v="1"/>
    <n v="5004101"/>
    <s v="UNIDOCK'S ASSESSORIA E LOGISTICA DE"/>
    <n v="56.54"/>
    <d v="2025-05-26T00:00:00"/>
  </r>
  <r>
    <n v="253995240"/>
    <n v="64770965"/>
    <s v="REB"/>
    <n v="9986086"/>
    <n v="173"/>
    <s v="PEÇAS - Defeito de fabric./Alta Amperage"/>
    <s v="FUNCIONAL"/>
    <x v="1"/>
    <n v="85461"/>
    <s v="ASP COMPANY LTDA"/>
    <s v="MG"/>
    <n v="641"/>
    <s v="CDP Diamante"/>
    <n v="1350"/>
    <s v="W10686100"/>
    <s v="Placas de Controle"/>
    <x v="2"/>
    <n v="1"/>
    <n v="5004215"/>
    <s v="BRASIL WEB TRANSPORTES E LOGISTICA"/>
    <n v="161.41"/>
    <d v="2025-05-15T00:00:00"/>
  </r>
  <r>
    <n v="253995078"/>
    <n v="64771032"/>
    <s v="REB"/>
    <n v="10027668"/>
    <n v="104"/>
    <s v="PEÇAS-Código trocado(embalag X conteúdo)"/>
    <s v="LOGÍSTICA"/>
    <x v="1"/>
    <n v="9452"/>
    <s v="MULTICENTER COMERCIO E SERVICOS"/>
    <s v="SP"/>
    <n v="931"/>
    <s v="Ats Off"/>
    <n v="1350"/>
    <s v="W10224624"/>
    <s v="Queimadores"/>
    <x v="9"/>
    <n v="1"/>
    <n v="5004042"/>
    <s v="BRASIL WEB TRANSPORTES E LOGISTICA"/>
    <n v="9.4600000000000009"/>
    <d v="2025-05-15T00:00:00"/>
  </r>
  <r>
    <n v="253995156"/>
    <n v="64772103"/>
    <s v="REB"/>
    <n v="9937793"/>
    <n v="173"/>
    <s v="PEÇAS - Defeito de fabric./Alta Amperage"/>
    <s v="FUNCIONAL"/>
    <x v="1"/>
    <n v="34365"/>
    <s v="PONTO DE ORVALHO REFRIGERACAO EIREL"/>
    <s v="CE"/>
    <n v="931"/>
    <s v="Ats Off"/>
    <n v="1350"/>
    <s v="W11195523"/>
    <s v="Motores"/>
    <x v="2"/>
    <n v="1"/>
    <n v="5004101"/>
    <s v="UNIDOCK'S ASSESSORIA E LOGISTICA DE"/>
    <n v="170.05"/>
    <d v="2025-05-16T00:00:00"/>
  </r>
  <r>
    <n v="253995219"/>
    <n v="64772231"/>
    <s v="REB"/>
    <n v="9618556"/>
    <n v="173"/>
    <s v="PEÇAS - Defeito de fabric./Alta Amperage"/>
    <s v="FUNCIONAL"/>
    <x v="1"/>
    <n v="69921"/>
    <s v="SILVA PECAS DE ELETRODOMESTICOS"/>
    <s v="SP"/>
    <n v="934"/>
    <s v="CDP Ouro"/>
    <n v="1350"/>
    <s v="W10827972"/>
    <s v="Placas de Controle"/>
    <x v="2"/>
    <n v="1"/>
    <n v="5004042"/>
    <s v="BRASIL WEB TRANSPORTES E LOGISTICA"/>
    <n v="446.43"/>
    <d v="2025-05-16T00:00:00"/>
  </r>
  <r>
    <n v="253995133"/>
    <n v="64772251"/>
    <s v="REB"/>
    <n v="10025086"/>
    <n v="165"/>
    <s v="PEÇAS - Defeito de fabric./Incompleta"/>
    <s v="FUNCIONAL"/>
    <x v="1"/>
    <n v="27511"/>
    <s v="MARCOS JOSE DE OLIVEIRA SOROCABA-EP"/>
    <s v="SP"/>
    <n v="641"/>
    <s v="CDP Diamante"/>
    <n v="1350"/>
    <s v="W11300816"/>
    <s v="Mecanismos"/>
    <x v="4"/>
    <n v="1"/>
    <n v="5004042"/>
    <s v="BRASIL WEB TRANSPORTES E LOGISTICA"/>
    <n v="133.16999999999999"/>
    <d v="2025-05-16T00:00:00"/>
  </r>
  <r>
    <n v="254003901"/>
    <n v="64772298"/>
    <s v="REB"/>
    <n v="9546239"/>
    <n v="178"/>
    <s v="PEÇAS -Defeito de fabric./Sem Compressão"/>
    <s v="FUNCIONAL"/>
    <x v="2"/>
    <n v="27253"/>
    <s v="S.M. QUARESMA"/>
    <s v="PI"/>
    <n v="931"/>
    <s v="Ats Off"/>
    <n v="1350"/>
    <s v="W11516471"/>
    <s v="Compressores Herméticos"/>
    <x v="0"/>
    <n v="1"/>
    <n v="5004101"/>
    <s v="UNIDOCK'S ASSESSORIA E LOGISTICA DE"/>
    <n v="320.86"/>
    <d v="2025-05-26T00:00:00"/>
  </r>
  <r>
    <n v="254041616"/>
    <n v="64772324"/>
    <s v="ROB"/>
    <n v="10005316"/>
    <n v="668"/>
    <s v="DEV-ERRO DE CADASTRO DA ALÍQUOTA"/>
    <s v="TRIBUTÁRIO"/>
    <x v="0"/>
    <n v="32533"/>
    <s v="FRIGELAR COM. DISTRIBUICAO S/A"/>
    <s v="PE"/>
    <n v="713"/>
    <s v="Key Account"/>
    <n v="1350"/>
    <s v="W10899325"/>
    <s v="Placas de Controle"/>
    <x v="2"/>
    <n v="2"/>
    <n v="5004101"/>
    <s v="UNIDOCK'S ASSESSORIA E LOGISTICA DE"/>
    <n v="488.73"/>
    <d v="2025-05-16T00:00:00"/>
  </r>
  <r>
    <n v="253995078"/>
    <n v="64772334"/>
    <s v="REB"/>
    <n v="9889968"/>
    <n v="173"/>
    <s v="PEÇAS - Defeito de fabric./Alta Amperage"/>
    <s v="FUNCIONAL"/>
    <x v="1"/>
    <n v="9452"/>
    <s v="MULTICENTER COMERCIO E SERVICOS"/>
    <s v="SP"/>
    <n v="931"/>
    <s v="Ats Off"/>
    <n v="1350"/>
    <s v="W11208458"/>
    <s v="Placas de Controle"/>
    <x v="2"/>
    <n v="1"/>
    <n v="5004042"/>
    <s v="BRASIL WEB TRANSPORTES E LOGISTICA"/>
    <n v="339.83"/>
    <d v="2025-05-16T00:00:00"/>
  </r>
  <r>
    <n v="253995099"/>
    <n v="64772465"/>
    <s v="REB"/>
    <n v="9815832"/>
    <n v="176"/>
    <s v="PEÇAS - Defeito de fabric./Interrompido"/>
    <s v="FUNCIONAL"/>
    <x v="1"/>
    <n v="22211"/>
    <s v="BARNI PRES SER COM PROD REFIRG ME"/>
    <s v="SC"/>
    <n v="644"/>
    <s v="Plus"/>
    <n v="1350"/>
    <s v="W10446925"/>
    <s v="Placas de Controle"/>
    <x v="2"/>
    <n v="1"/>
    <n v="5003024"/>
    <s v="RODOBRAS TRANSPORTES RODOVIARIOS LT"/>
    <n v="120"/>
    <d v="2025-05-16T00:00:00"/>
  </r>
  <r>
    <n v="253995078"/>
    <n v="64772619"/>
    <s v="REB"/>
    <n v="10010906"/>
    <n v="173"/>
    <s v="PEÇAS - Defeito de fabric./Alta Amperage"/>
    <s v="FUNCIONAL"/>
    <x v="1"/>
    <n v="9452"/>
    <s v="MULTICENTER COMERCIO E SERVICOS"/>
    <s v="SP"/>
    <n v="931"/>
    <s v="Ats Off"/>
    <n v="1350"/>
    <s v="W11516472"/>
    <s v="Compressores Herméticos"/>
    <x v="0"/>
    <n v="1"/>
    <n v="5004042"/>
    <s v="BRASIL WEB TRANSPORTES E LOGISTICA"/>
    <n v="381.64"/>
    <d v="2025-05-16T00:00:00"/>
  </r>
  <r>
    <n v="254046250"/>
    <n v="64773227"/>
    <s v="REB"/>
    <n v="9731528"/>
    <n v="173"/>
    <s v="PEÇAS - Defeito de fabric./Alta Amperage"/>
    <s v="FUNCIONAL"/>
    <x v="2"/>
    <n v="4167"/>
    <s v="MAQ VILLE PECAS E SERVICOS LTDA"/>
    <s v="SP"/>
    <n v="931"/>
    <s v="Ats Off"/>
    <n v="1350"/>
    <s v="W11636257"/>
    <s v="Placas de Controle"/>
    <x v="2"/>
    <n v="1"/>
    <n v="5004042"/>
    <s v="BRASIL WEB TRANSPORTES E LOGISTICA"/>
    <n v="303.5"/>
    <d v="2025-07-25T00:00:00"/>
  </r>
  <r>
    <n v="254003876"/>
    <n v="64773477"/>
    <s v="REB"/>
    <n v="10035028"/>
    <n v="173"/>
    <s v="PEÇAS - Defeito de fabric./Alta Amperage"/>
    <s v="FUNCIONAL"/>
    <x v="1"/>
    <n v="17539"/>
    <s v="FABRETTI COMERCIO DE PECAS PARA"/>
    <s v="SP"/>
    <n v="350"/>
    <s v="Ats On"/>
    <n v="1350"/>
    <s v="W11516471"/>
    <s v="Compressores Herméticos"/>
    <x v="0"/>
    <n v="1"/>
    <n v="5004042"/>
    <s v="BRASIL WEB TRANSPORTES E LOGISTICA"/>
    <n v="417.9"/>
    <d v="2025-05-26T00:00:00"/>
  </r>
  <r>
    <s v="Sem TR"/>
    <n v="64773522"/>
    <s v="ROB"/>
    <n v="10009484"/>
    <n v="671"/>
    <s v="DEV-ENVIADO PARA GESTÃO DE CONSEQUENCIA"/>
    <s v="TRANSPORTADORA"/>
    <x v="1"/>
    <n v="65593"/>
    <s v="R BRUM"/>
    <s v="RO"/>
    <n v="932"/>
    <s v="CDP Prata"/>
    <n v="1350"/>
    <s v="W10855665"/>
    <s v="Placas de Controle"/>
    <x v="2"/>
    <n v="1"/>
    <n v="5002858"/>
    <s v="FAVORITA TRANSPORTES LTDA"/>
    <n v="203.14"/>
    <d v="2025-05-19T00:00:00"/>
  </r>
  <r>
    <s v="Sem TR"/>
    <n v="64773523"/>
    <s v="ROB"/>
    <n v="10009485"/>
    <n v="671"/>
    <s v="DEV-ENVIADO PARA GESTÃO DE CONSEQUENCIA"/>
    <s v="TRANSPORTADORA"/>
    <x v="1"/>
    <n v="65593"/>
    <s v="R BRUM"/>
    <s v="RO"/>
    <n v="932"/>
    <s v="CDP Prata"/>
    <n v="1350"/>
    <s v="W10855665"/>
    <s v="Placas de Controle"/>
    <x v="2"/>
    <n v="1"/>
    <n v="5002858"/>
    <s v="FAVORITA TRANSPORTES LTDA"/>
    <n v="203.42"/>
    <d v="2025-05-19T00:00:00"/>
  </r>
  <r>
    <s v="Sem TR"/>
    <n v="64773524"/>
    <s v="ROB"/>
    <n v="10009486"/>
    <n v="671"/>
    <s v="DEV-ENVIADO PARA GESTÃO DE CONSEQUENCIA"/>
    <s v="TRANSPORTADORA"/>
    <x v="1"/>
    <n v="65593"/>
    <s v="R BRUM"/>
    <s v="RO"/>
    <n v="932"/>
    <s v="CDP Prata"/>
    <n v="1350"/>
    <s v="W10855665"/>
    <s v="Placas de Controle"/>
    <x v="2"/>
    <n v="1"/>
    <n v="5002858"/>
    <s v="FAVORITA TRANSPORTES LTDA"/>
    <n v="197.31"/>
    <d v="2025-05-19T00:00:00"/>
  </r>
  <r>
    <n v="253995539"/>
    <n v="64773527"/>
    <s v="ROB"/>
    <n v="10038717"/>
    <n v="115"/>
    <s v="PEÇAS-Recusa do cliente"/>
    <s v="COMERCIAL"/>
    <x v="1"/>
    <n v="13747"/>
    <s v="FRIGELAR COMÉRCIO E INDÚSTRIA LTDA"/>
    <s v="RS"/>
    <n v="713"/>
    <s v="Key Account"/>
    <n v="1350"/>
    <s v="W10855670"/>
    <s v="Placas de Controle"/>
    <x v="2"/>
    <n v="2"/>
    <n v="5003024"/>
    <s v="RODOBRAS TRANSPORTES RODOVIARIOS LT"/>
    <n v="415.93"/>
    <d v="2025-05-19T00:00:00"/>
  </r>
  <r>
    <n v="254003931"/>
    <n v="64773913"/>
    <s v="REB"/>
    <n v="9599936"/>
    <n v="178"/>
    <s v="PEÇAS -Defeito de fabric./Sem Compressão"/>
    <s v="FUNCIONAL"/>
    <x v="1"/>
    <n v="29706"/>
    <s v="Campos Equipamentos e Refrigeração"/>
    <s v="RN"/>
    <n v="644"/>
    <s v="Plus"/>
    <n v="1350"/>
    <s v="W10769940"/>
    <s v="Compressores Herméticos"/>
    <x v="0"/>
    <n v="2"/>
    <n v="5004101"/>
    <s v="UNIDOCK'S ASSESSORIA E LOGISTICA DE"/>
    <n v="747.2"/>
    <d v="2025-05-26T00:00:00"/>
  </r>
  <r>
    <n v="253998005"/>
    <n v="64774044"/>
    <s v="REB"/>
    <n v="10034801"/>
    <n v="167"/>
    <s v="PEÇAS - Avaria - Quebrada/Depósito"/>
    <s v="LOGÍSTICA"/>
    <x v="1"/>
    <n v="72205"/>
    <s v="TECMASTER COMERCIO DE PECAS"/>
    <s v="SP"/>
    <n v="641"/>
    <s v="CDP Diamante"/>
    <n v="1350"/>
    <s v="W10287534"/>
    <s v="Prateleiras"/>
    <x v="1"/>
    <n v="1"/>
    <n v="5004042"/>
    <s v="BRASIL WEB TRANSPORTES E LOGISTICA"/>
    <n v="38.69"/>
    <d v="2025-05-20T00:00:00"/>
  </r>
  <r>
    <n v="254050951"/>
    <n v="64774117"/>
    <s v="ZDVP"/>
    <n v="9969353"/>
    <n v="173"/>
    <s v="PEÇAS - Defeito de fabric./Alta Amperage"/>
    <s v="FUNCIONAL"/>
    <x v="2"/>
    <n v="49243"/>
    <s v="IVANILSON INACIO DA SILVA - ME"/>
    <s v="MS"/>
    <n v="643"/>
    <s v="Elite"/>
    <n v="1350"/>
    <s v="W11647660"/>
    <s v="Compressores Herméticos"/>
    <x v="0"/>
    <n v="1"/>
    <n v="5002573"/>
    <s v="CARVALIMA TRANSPORTES LTDA"/>
    <n v="296.16000000000003"/>
    <d v="2025-05-20T00:00:00"/>
  </r>
  <r>
    <s v="Sem TR"/>
    <n v="64774186"/>
    <s v="REB"/>
    <n v="9955880"/>
    <n v="104"/>
    <s v="PEÇAS-Código trocado(embalag X conteúdo)"/>
    <s v="LOGÍSTICA"/>
    <x v="1"/>
    <n v="24993"/>
    <s v="REFREGERACAO A S F LTDA"/>
    <s v="MG"/>
    <n v="350"/>
    <s v="Ats On"/>
    <n v="1350"/>
    <n v="326007886"/>
    <s v="Válvulas de Água"/>
    <x v="6"/>
    <n v="2"/>
    <n v="5004215"/>
    <s v="BRASIL WEB TRANSPORTES E LOGISTICA"/>
    <n v="62.18"/>
    <d v="2025-06-05T00:00:00"/>
  </r>
  <r>
    <n v="254042863"/>
    <n v="64774187"/>
    <s v="REB"/>
    <n v="10029532"/>
    <n v="167"/>
    <s v="PEÇAS - Avaria - Quebrada/Depósito"/>
    <s v="LOGÍSTICA"/>
    <x v="2"/>
    <n v="38384"/>
    <s v="IVAN LOPES DE MEDEIROS ME"/>
    <s v="RN"/>
    <n v="350"/>
    <s v="Ats On"/>
    <n v="1350"/>
    <s v="W10915770"/>
    <s v="Vidros"/>
    <x v="3"/>
    <n v="1"/>
    <n v="5004101"/>
    <s v="UNIDOCK'S ASSESSORIA E LOGISTICA DE"/>
    <n v="178.09"/>
    <d v="2025-06-05T00:00:00"/>
  </r>
  <r>
    <n v="254053842"/>
    <n v="64774193"/>
    <s v="REB"/>
    <n v="10129902"/>
    <n v="167"/>
    <s v="PEÇAS - Avaria - Quebrada/Depósito"/>
    <s v="LOGÍSTICA"/>
    <x v="1"/>
    <n v="28993"/>
    <s v="A Geral Frio RefrigeraCAo Ltda"/>
    <s v="MG"/>
    <n v="644"/>
    <s v="Plus"/>
    <n v="1350"/>
    <s v="W10169457"/>
    <s v="Prateleiras"/>
    <x v="1"/>
    <n v="1"/>
    <n v="5004215"/>
    <s v="BRASIL WEB TRANSPORTES E LOGISTICA"/>
    <n v="44.58"/>
    <d v="2025-07-21T00:00:00"/>
  </r>
  <r>
    <n v="254053842"/>
    <n v="64774193"/>
    <s v="REB"/>
    <n v="10129902"/>
    <n v="167"/>
    <s v="PEÇAS - Avaria - Quebrada/Depósito"/>
    <s v="LOGÍSTICA"/>
    <x v="1"/>
    <n v="28993"/>
    <s v="A Geral Frio RefrigeraCAo Ltda"/>
    <s v="MG"/>
    <n v="644"/>
    <s v="Plus"/>
    <n v="1350"/>
    <s v="W10455522"/>
    <s v="Prateleiras"/>
    <x v="1"/>
    <n v="1"/>
    <n v="5004215"/>
    <s v="BRASIL WEB TRANSPORTES E LOGISTICA"/>
    <n v="30.86"/>
    <d v="2025-07-21T00:00:00"/>
  </r>
  <r>
    <n v="254003872"/>
    <n v="64774422"/>
    <s v="REB"/>
    <n v="9909158"/>
    <n v="173"/>
    <s v="PEÇAS - Defeito de fabric./Alta Amperage"/>
    <s v="FUNCIONAL"/>
    <x v="2"/>
    <n v="13757"/>
    <s v="FRIGELAR COMÉRCIO E INDÚSTRIA LTDA"/>
    <s v="SP"/>
    <n v="713"/>
    <s v="Key Account"/>
    <n v="1350"/>
    <s v="W10617044"/>
    <s v="Pressostatos"/>
    <x v="8"/>
    <n v="1"/>
    <n v="5004042"/>
    <s v="BRASIL WEB TRANSPORTES E LOGISTICA"/>
    <n v="34.200000000000003"/>
    <d v="2025-05-26T00:00:00"/>
  </r>
  <r>
    <n v="254044175"/>
    <n v="64774730"/>
    <s v="REB"/>
    <n v="9956446"/>
    <n v="176"/>
    <s v="PEÇAS - Defeito de fabric./Interrompido"/>
    <s v="FUNCIONAL"/>
    <x v="1"/>
    <n v="22041"/>
    <s v="VIP SERVICE COMERCIO DE PECAS"/>
    <s v="SP"/>
    <n v="931"/>
    <s v="Ats Off"/>
    <n v="1350"/>
    <n v="326008340"/>
    <s v="Anéis de Vedação"/>
    <x v="10"/>
    <n v="2"/>
    <n v="5004042"/>
    <s v="BRASIL WEB TRANSPORTES E LOGISTICA"/>
    <n v="36.76"/>
    <d v="2025-05-21T00:00:00"/>
  </r>
  <r>
    <n v="254003903"/>
    <n v="64775156"/>
    <s v="REB"/>
    <n v="7399019"/>
    <n v="178"/>
    <s v="PEÇAS -Defeito de fabric./Sem Compressão"/>
    <s v="FUNCIONAL"/>
    <x v="2"/>
    <n v="27253"/>
    <s v="S.M. QUARESMA"/>
    <s v="PI"/>
    <n v="931"/>
    <s v="Ats Off"/>
    <n v="1350"/>
    <s v="W10532542"/>
    <s v="Compressores Rotativos"/>
    <x v="0"/>
    <n v="1"/>
    <n v="5004101"/>
    <s v="UNIDOCK'S ASSESSORIA E LOGISTICA DE"/>
    <n v="322.16000000000003"/>
    <d v="2025-05-26T00:00:00"/>
  </r>
  <r>
    <n v="254003872"/>
    <n v="64775172"/>
    <s v="REB"/>
    <n v="10013661"/>
    <n v="173"/>
    <s v="PEÇAS - Defeito de fabric./Alta Amperage"/>
    <s v="FUNCIONAL"/>
    <x v="2"/>
    <n v="13757"/>
    <s v="FRIGELAR COMÉRCIO E INDÚSTRIA LTDA"/>
    <s v="SP"/>
    <n v="713"/>
    <s v="Key Account"/>
    <n v="1350"/>
    <s v="W10518617"/>
    <s v="Atuadores"/>
    <x v="4"/>
    <n v="2"/>
    <n v="5004042"/>
    <s v="BRASIL WEB TRANSPORTES E LOGISTICA"/>
    <n v="71.16"/>
    <d v="2025-05-26T00:00:00"/>
  </r>
  <r>
    <n v="254003908"/>
    <n v="64775431"/>
    <s v="REB"/>
    <n v="9250714"/>
    <n v="173"/>
    <s v="PEÇAS - Defeito de fabric./Alta Amperage"/>
    <s v="FUNCIONAL"/>
    <x v="1"/>
    <n v="27770"/>
    <s v="JOSE IZIDORO SILVA REFRIGERACAO"/>
    <s v="AL"/>
    <n v="641"/>
    <s v="CDP Diamante"/>
    <n v="1350"/>
    <s v="W10686100"/>
    <s v="Placas de Controle"/>
    <x v="2"/>
    <n v="1"/>
    <n v="5004101"/>
    <s v="UNIDOCK'S ASSESSORIA E LOGISTICA DE"/>
    <n v="162.06"/>
    <d v="2025-05-26T00:00:00"/>
  </r>
  <r>
    <n v="254003906"/>
    <n v="64775432"/>
    <s v="REB"/>
    <n v="9840947"/>
    <n v="173"/>
    <s v="PEÇAS - Defeito de fabric./Alta Amperage"/>
    <s v="FUNCIONAL"/>
    <x v="1"/>
    <n v="27770"/>
    <s v="JOSE IZIDORO SILVA REFRIGERACAO"/>
    <s v="AL"/>
    <n v="641"/>
    <s v="CDP Diamante"/>
    <n v="1350"/>
    <s v="W10632497"/>
    <s v="Placas de Controle"/>
    <x v="2"/>
    <n v="1"/>
    <n v="5004101"/>
    <s v="UNIDOCK'S ASSESSORIA E LOGISTICA DE"/>
    <n v="86.26"/>
    <d v="2025-05-26T00:00:00"/>
  </r>
  <r>
    <n v="254003906"/>
    <n v="64775498"/>
    <s v="REB"/>
    <n v="9747311"/>
    <n v="173"/>
    <s v="PEÇAS - Defeito de fabric./Alta Amperage"/>
    <s v="FUNCIONAL"/>
    <x v="2"/>
    <n v="27770"/>
    <s v="JOSE IZIDORO SILVA REFRIGERACAO"/>
    <s v="AL"/>
    <n v="641"/>
    <s v="CDP Diamante"/>
    <n v="1350"/>
    <s v="W10310999"/>
    <s v="Motores Ventiladores"/>
    <x v="2"/>
    <n v="1"/>
    <n v="5004101"/>
    <s v="UNIDOCK'S ASSESSORIA E LOGISTICA DE"/>
    <n v="38.85"/>
    <d v="2025-05-26T00:00:00"/>
  </r>
  <r>
    <n v="254004011"/>
    <n v="64775508"/>
    <s v="REB"/>
    <n v="9916945"/>
    <n v="173"/>
    <s v="PEÇAS - Defeito de fabric./Alta Amperage"/>
    <s v="FUNCIONAL"/>
    <x v="1"/>
    <n v="56592"/>
    <s v="MUNDO DA REFRIGERACAO LTDA - ME"/>
    <s v="SE"/>
    <n v="641"/>
    <s v="CDP Diamante"/>
    <n v="1350"/>
    <s v="W10393822"/>
    <s v="Compressores Herméticos"/>
    <x v="0"/>
    <n v="1"/>
    <n v="5004101"/>
    <s v="UNIDOCK'S ASSESSORIA E LOGISTICA DE"/>
    <n v="538.55999999999995"/>
    <d v="2025-05-26T00:00:00"/>
  </r>
  <r>
    <s v="Sem TR"/>
    <n v="64775672"/>
    <s v="REB"/>
    <n v="10059331"/>
    <n v="167"/>
    <s v="PEÇAS - Avaria - Quebrada/Depósito"/>
    <s v="LOGÍSTICA"/>
    <x v="1"/>
    <n v="24993"/>
    <s v="REFREGERACAO A S F LTDA"/>
    <s v="MG"/>
    <n v="350"/>
    <s v="Ats On"/>
    <n v="1350"/>
    <s v="W10512610"/>
    <s v="Tampas Móveis"/>
    <x v="3"/>
    <n v="1"/>
    <n v="5004215"/>
    <s v="BRASIL WEB TRANSPORTES E LOGISTICA"/>
    <n v="169.65"/>
    <d v="2025-06-06T00:00:00"/>
  </r>
  <r>
    <n v="254004010"/>
    <n v="64775680"/>
    <s v="REB"/>
    <n v="9935994"/>
    <n v="173"/>
    <s v="PEÇAS - Defeito de fabric./Alta Amperage"/>
    <s v="FUNCIONAL"/>
    <x v="1"/>
    <n v="55093"/>
    <s v="NAUTICA REFRIGERACAO E"/>
    <s v="SP"/>
    <n v="648"/>
    <s v="Ultra"/>
    <n v="1350"/>
    <s v="W11435392"/>
    <s v="Placas de Controle"/>
    <x v="2"/>
    <n v="1"/>
    <n v="5004042"/>
    <s v="BRASIL WEB TRANSPORTES E LOGISTICA"/>
    <n v="385.85"/>
    <d v="2025-05-26T00:00:00"/>
  </r>
  <r>
    <n v="254004036"/>
    <n v="64775682"/>
    <s v="REB"/>
    <n v="10018022"/>
    <n v="167"/>
    <s v="PEÇAS - Avaria - Quebrada/Depósito"/>
    <s v="LOGÍSTICA"/>
    <x v="1"/>
    <n v="64523"/>
    <s v="REFIGERAÇÃO DUFRIO"/>
    <s v="PB"/>
    <n v="713"/>
    <s v="Key Account"/>
    <n v="1350"/>
    <s v="W11363944"/>
    <s v="Capas"/>
    <x v="3"/>
    <n v="3"/>
    <n v="5004101"/>
    <s v="UNIDOCK'S ASSESSORIA E LOGISTICA DE"/>
    <n v="79.150000000000006"/>
    <d v="2025-05-26T00:00:00"/>
  </r>
  <r>
    <n v="254003872"/>
    <n v="64775852"/>
    <s v="REB"/>
    <n v="9988170"/>
    <n v="173"/>
    <s v="PEÇAS - Defeito de fabric./Alta Amperage"/>
    <s v="FUNCIONAL"/>
    <x v="2"/>
    <n v="13757"/>
    <s v="FRIGELAR COMÉRCIO E INDÚSTRIA LTDA"/>
    <s v="SP"/>
    <n v="713"/>
    <s v="Key Account"/>
    <n v="1350"/>
    <s v="W11254865"/>
    <s v="Mecanismos"/>
    <x v="4"/>
    <n v="1"/>
    <n v="5004042"/>
    <s v="BRASIL WEB TRANSPORTES E LOGISTICA"/>
    <n v="158.08000000000001"/>
    <d v="2025-05-26T00:00:00"/>
  </r>
  <r>
    <n v="254003872"/>
    <n v="64775852"/>
    <s v="REB"/>
    <n v="9988170"/>
    <n v="173"/>
    <s v="PEÇAS - Defeito de fabric./Alta Amperage"/>
    <s v="FUNCIONAL"/>
    <x v="2"/>
    <n v="13757"/>
    <s v="FRIGELAR COMÉRCIO E INDÚSTRIA LTDA"/>
    <s v="SP"/>
    <n v="713"/>
    <s v="Key Account"/>
    <n v="1350"/>
    <s v="W11371164"/>
    <s v="Mecanismos"/>
    <x v="4"/>
    <n v="1"/>
    <n v="5004042"/>
    <s v="BRASIL WEB TRANSPORTES E LOGISTICA"/>
    <n v="204.81"/>
    <d v="2025-05-26T00:00:00"/>
  </r>
  <r>
    <n v="254003872"/>
    <n v="64775861"/>
    <s v="REB"/>
    <n v="9906011"/>
    <n v="173"/>
    <s v="PEÇAS - Defeito de fabric./Alta Amperage"/>
    <s v="FUNCIONAL"/>
    <x v="2"/>
    <n v="13757"/>
    <s v="FRIGELAR COMÉRCIO E INDÚSTRIA LTDA"/>
    <s v="SP"/>
    <n v="713"/>
    <s v="Key Account"/>
    <n v="1350"/>
    <s v="W11435390"/>
    <s v="Placas de Controle"/>
    <x v="2"/>
    <n v="1"/>
    <n v="5004042"/>
    <s v="BRASIL WEB TRANSPORTES E LOGISTICA"/>
    <n v="309.77999999999997"/>
    <d v="2025-05-26T00:00:00"/>
  </r>
  <r>
    <n v="254003872"/>
    <n v="64775862"/>
    <s v="REB"/>
    <n v="9953811"/>
    <n v="173"/>
    <s v="PEÇAS - Defeito de fabric./Alta Amperage"/>
    <s v="FUNCIONAL"/>
    <x v="2"/>
    <n v="13757"/>
    <s v="FRIGELAR COMÉRCIO E INDÚSTRIA LTDA"/>
    <s v="SP"/>
    <n v="713"/>
    <s v="Key Account"/>
    <n v="1350"/>
    <s v="W11634491"/>
    <s v="Placas de Controle"/>
    <x v="2"/>
    <n v="1"/>
    <n v="5004042"/>
    <s v="BRASIL WEB TRANSPORTES E LOGISTICA"/>
    <n v="63.92"/>
    <d v="2025-05-26T00:00:00"/>
  </r>
  <r>
    <n v="254004011"/>
    <n v="64776192"/>
    <s v="REB"/>
    <n v="9688056"/>
    <n v="173"/>
    <s v="PEÇAS - Defeito de fabric./Alta Amperage"/>
    <s v="FUNCIONAL"/>
    <x v="1"/>
    <n v="56592"/>
    <s v="MUNDO DA REFRIGERACAO LTDA - ME"/>
    <s v="SE"/>
    <n v="641"/>
    <s v="CDP Diamante"/>
    <n v="1350"/>
    <s v="W11677208"/>
    <s v="Compressores Herméticos"/>
    <x v="0"/>
    <n v="1"/>
    <n v="5004101"/>
    <s v="UNIDOCK'S ASSESSORIA E LOGISTICA DE"/>
    <n v="282.33"/>
    <d v="2025-05-26T00:00:00"/>
  </r>
  <r>
    <n v="254004023"/>
    <n v="64776193"/>
    <s v="REB"/>
    <n v="10042922"/>
    <n v="176"/>
    <s v="PEÇAS - Defeito de fabric./Interrompido"/>
    <s v="FUNCIONAL"/>
    <x v="1"/>
    <n v="61472"/>
    <s v="ELETROMAQ REFRIGERACAO LTDA"/>
    <s v="MG"/>
    <n v="350"/>
    <s v="Ats On"/>
    <n v="1350"/>
    <s v="W11300676"/>
    <s v="Mecanismos"/>
    <x v="4"/>
    <n v="1"/>
    <n v="5004215"/>
    <s v="BRASIL WEB TRANSPORTES E LOGISTICA"/>
    <n v="117.31"/>
    <d v="2025-05-26T00:00:00"/>
  </r>
  <r>
    <n v="254004032"/>
    <n v="64776197"/>
    <s v="REB"/>
    <n v="9793564"/>
    <n v="178"/>
    <s v="PEÇAS -Defeito de fabric./Sem Compressão"/>
    <s v="FUNCIONAL"/>
    <x v="1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5-26T00:00:00"/>
  </r>
  <r>
    <n v="254003906"/>
    <n v="64776242"/>
    <s v="REB"/>
    <n v="9690020"/>
    <n v="173"/>
    <s v="PEÇAS - Defeito de fabric./Alta Amperage"/>
    <s v="FUNCIONAL"/>
    <x v="1"/>
    <n v="27770"/>
    <s v="JOSE IZIDORO SILVA REFRIGERACAO"/>
    <s v="AL"/>
    <n v="641"/>
    <s v="CDP Diamante"/>
    <n v="1350"/>
    <s v="W10678919"/>
    <s v="Placas de Controle"/>
    <x v="2"/>
    <n v="1"/>
    <n v="5004101"/>
    <s v="UNIDOCK'S ASSESSORIA E LOGISTICA DE"/>
    <n v="66.48"/>
    <d v="2025-05-26T00:00:00"/>
  </r>
  <r>
    <n v="254004013"/>
    <n v="64776256"/>
    <s v="REB"/>
    <n v="9843643"/>
    <n v="176"/>
    <s v="PEÇAS - Defeito de fabric./Interrompido"/>
    <s v="FUNCIONAL"/>
    <x v="2"/>
    <n v="56605"/>
    <s v="CORREIA E CIPRIANO LTDA"/>
    <s v="AL"/>
    <n v="934"/>
    <s v="CDP Ouro"/>
    <n v="1350"/>
    <s v="W11435392"/>
    <s v="Placas de Controle"/>
    <x v="2"/>
    <n v="1"/>
    <n v="5004101"/>
    <s v="UNIDOCK'S ASSESSORIA E LOGISTICA DE"/>
    <n v="198.78"/>
    <d v="2025-05-26T00:00:00"/>
  </r>
  <r>
    <n v="254004079"/>
    <n v="64776620"/>
    <s v="REB"/>
    <n v="9555567"/>
    <n v="173"/>
    <s v="PEÇAS - Defeito de fabric./Alta Amperage"/>
    <s v="FUNCIONAL"/>
    <x v="1"/>
    <n v="88020"/>
    <s v="REFRIGERACAO NARVAL PECAS E"/>
    <s v="GO"/>
    <n v="932"/>
    <s v="CDP Prata"/>
    <n v="1350"/>
    <s v="W11435392"/>
    <s v="Placas de Controle"/>
    <x v="2"/>
    <n v="2"/>
    <n v="5002858"/>
    <s v="FAVORITA TRANSPORTES LTDA"/>
    <n v="498.31"/>
    <d v="2025-05-26T00:00:00"/>
  </r>
  <r>
    <n v="254021854"/>
    <n v="64776621"/>
    <s v="REB"/>
    <n v="10024340"/>
    <n v="90"/>
    <s v="CLIENTE-não solicitou"/>
    <s v="COMERCIAL"/>
    <x v="2"/>
    <n v="38442"/>
    <s v="REGINALDO FABIANO HESSLER"/>
    <s v="RS"/>
    <n v="641"/>
    <s v="CDP Diamante"/>
    <n v="1350"/>
    <s v="W11186097"/>
    <s v="Dispensers"/>
    <x v="1"/>
    <n v="1"/>
    <n v="5003024"/>
    <s v="RODOBRAS TRANSPORTES RODOVIARIOS LT"/>
    <n v="37.89"/>
    <d v="2025-05-26T00:00:00"/>
  </r>
  <r>
    <s v="Sem TR"/>
    <n v="64776624"/>
    <s v="REB"/>
    <n v="10041892"/>
    <n v="671"/>
    <s v="DEV-ENVIADO PARA GESTÃO DE CONSEQUENCIA"/>
    <s v="TRANSPORTADORA"/>
    <x v="1"/>
    <n v="27825"/>
    <s v="DANIELA CENSON DE OLIVEIRA ME"/>
    <s v="SP"/>
    <n v="641"/>
    <s v="CDP Diamante"/>
    <n v="1350"/>
    <s v="W11677208"/>
    <s v="Compressores Herméticos"/>
    <x v="0"/>
    <n v="1"/>
    <n v="5004042"/>
    <s v="BRASIL WEB TRANSPORTES E LOGISTICA"/>
    <n v="335.57"/>
    <d v="2025-05-23T00:00:00"/>
  </r>
  <r>
    <n v="254007621"/>
    <n v="64776937"/>
    <s v="REB"/>
    <n v="10028801"/>
    <n v="168"/>
    <s v="PEÇAS-Def.Fabric.Empenamento/Abaulamento"/>
    <s v="FUNCIONAL"/>
    <x v="1"/>
    <n v="82179"/>
    <s v="JOAO BATISTA MOREIRA DA SILVA"/>
    <s v="MG"/>
    <n v="350"/>
    <s v="Ats On"/>
    <n v="1350"/>
    <s v="W10882241"/>
    <s v="Agitadores"/>
    <x v="4"/>
    <n v="3"/>
    <n v="5004215"/>
    <s v="BRASIL WEB TRANSPORTES E LOGISTICA"/>
    <n v="168.41"/>
    <d v="2025-06-02T00:00:00"/>
  </r>
  <r>
    <n v="254003944"/>
    <n v="64776958"/>
    <s v="REB"/>
    <n v="9860049"/>
    <n v="178"/>
    <s v="PEÇAS -Defeito de fabric./Sem Compressão"/>
    <s v="FUNCIONAL"/>
    <x v="1"/>
    <n v="30416"/>
    <s v="JF OLIVEIRA PEREIRA ELETROD LTDA"/>
    <s v="AM"/>
    <n v="648"/>
    <s v="Ultra"/>
    <n v="1350"/>
    <s v="W10393822"/>
    <s v="Compressores Herméticos"/>
    <x v="0"/>
    <n v="2"/>
    <n v="5002858"/>
    <s v="FAVORITA TRANSPORTES LTDA"/>
    <n v="838.45"/>
    <d v="2025-05-26T00:00:00"/>
  </r>
  <r>
    <s v="Sem TR"/>
    <n v="64777138"/>
    <s v="REB"/>
    <n v="9984146"/>
    <n v="411"/>
    <s v="DEV-Extravio de PEÇAS (Transportadora)"/>
    <s v="TRANSPORTADORA"/>
    <x v="2"/>
    <n v="79856"/>
    <s v="PLANETA COMERCIO DE PRODUTOS"/>
    <s v="PA"/>
    <n v="934"/>
    <s v="CDP Ouro"/>
    <n v="1350"/>
    <s v="W10711361"/>
    <s v="Placas de Interface"/>
    <x v="2"/>
    <n v="1"/>
    <n v="5002858"/>
    <s v="FAVORITA TRANSPORTES LTDA"/>
    <n v="268.62"/>
    <d v="2025-06-07T00:00:00"/>
  </r>
  <r>
    <n v="254004023"/>
    <n v="64777163"/>
    <s v="REB"/>
    <n v="9788484"/>
    <n v="173"/>
    <s v="PEÇAS - Defeito de fabric./Alta Amperage"/>
    <s v="FUNCIONAL"/>
    <x v="1"/>
    <n v="61472"/>
    <s v="ELETROMAQ REFRIGERACAO LTDA"/>
    <s v="MG"/>
    <n v="350"/>
    <s v="Ats On"/>
    <n v="1350"/>
    <s v="W10798744"/>
    <s v="Compressores Herméticos"/>
    <x v="0"/>
    <n v="1"/>
    <n v="5004215"/>
    <s v="BRASIL WEB TRANSPORTES E LOGISTICA"/>
    <n v="324.63"/>
    <d v="2025-05-26T00:00:00"/>
  </r>
  <r>
    <n v="254004076"/>
    <n v="64777265"/>
    <s v="REB"/>
    <n v="10026325"/>
    <n v="173"/>
    <s v="PEÇAS - Defeito de fabric./Alta Amperage"/>
    <s v="FUNCIONAL"/>
    <x v="1"/>
    <n v="85461"/>
    <s v="ASP COMPANY LTDA"/>
    <s v="MG"/>
    <n v="641"/>
    <s v="CDP Diamante"/>
    <n v="1350"/>
    <s v="W11160655"/>
    <s v="Placas de Interface"/>
    <x v="2"/>
    <n v="1"/>
    <n v="5004215"/>
    <s v="BRASIL WEB TRANSPORTES E LOGISTICA"/>
    <n v="95.93"/>
    <d v="2025-05-26T00:00:00"/>
  </r>
  <r>
    <n v="254003906"/>
    <n v="64777291"/>
    <s v="REB"/>
    <n v="9480704"/>
    <n v="173"/>
    <s v="PEÇAS - Defeito de fabric./Alta Amperage"/>
    <s v="FUNCIONAL"/>
    <x v="0"/>
    <n v="27770"/>
    <s v="JOSE IZIDORO SILVA REFRIGERACAO"/>
    <s v="AL"/>
    <n v="641"/>
    <s v="CDP Diamante"/>
    <n v="1350"/>
    <s v="W10709306"/>
    <s v="Placas de Controle"/>
    <x v="2"/>
    <n v="2"/>
    <n v="5004101"/>
    <s v="UNIDOCK'S ASSESSORIA E LOGISTICA DE"/>
    <n v="443.59"/>
    <d v="2025-05-26T00:00:00"/>
  </r>
  <r>
    <n v="254004081"/>
    <n v="64777301"/>
    <s v="REB"/>
    <n v="10026248"/>
    <n v="177"/>
    <s v="PEÇAS - Defeito de fabric./Ruído"/>
    <s v="FUNCIONAL"/>
    <x v="1"/>
    <n v="94399"/>
    <s v="59.027.845 VICTORIO JUNIOR"/>
    <s v="ES"/>
    <n v="932"/>
    <s v="CDP Prata"/>
    <n v="1350"/>
    <s v="W10882241"/>
    <s v="Agitadores"/>
    <x v="4"/>
    <n v="2"/>
    <n v="5004042"/>
    <s v="BRASIL WEB TRANSPORTES E LOGISTICA"/>
    <n v="87.76"/>
    <d v="2025-05-26T00:00:00"/>
  </r>
  <r>
    <n v="254003906"/>
    <n v="64777581"/>
    <s v="REB"/>
    <n v="9661798"/>
    <n v="173"/>
    <s v="PEÇAS - Defeito de fabric./Alta Amperage"/>
    <s v="FUNCIONAL"/>
    <x v="1"/>
    <n v="27770"/>
    <s v="JOSE IZIDORO SILVA REFRIGERACAO"/>
    <s v="AL"/>
    <n v="641"/>
    <s v="CDP Diamante"/>
    <n v="1350"/>
    <s v="W10742654"/>
    <s v="Motores Ventiladores"/>
    <x v="2"/>
    <n v="1"/>
    <n v="5004101"/>
    <s v="UNIDOCK'S ASSESSORIA E LOGISTICA DE"/>
    <n v="53.2"/>
    <d v="2025-05-26T00:00:00"/>
  </r>
  <r>
    <n v="254004032"/>
    <n v="64777582"/>
    <s v="REB"/>
    <n v="9500606"/>
    <n v="178"/>
    <s v="PEÇAS -Defeito de fabric./Sem Compressão"/>
    <s v="FUNCIONAL"/>
    <x v="1"/>
    <n v="61868"/>
    <s v="D L REFRIGERACOES PECAS E"/>
    <s v="MA"/>
    <n v="643"/>
    <s v="Elite"/>
    <n v="1350"/>
    <s v="W10769940"/>
    <s v="Compressores Herméticos"/>
    <x v="0"/>
    <n v="1"/>
    <n v="5004101"/>
    <s v="UNIDOCK'S ASSESSORIA E LOGISTICA DE"/>
    <n v="352.54"/>
    <d v="2025-05-26T00:00:00"/>
  </r>
  <r>
    <s v="Sem TR"/>
    <n v="64777674"/>
    <s v="REB"/>
    <n v="10029204"/>
    <n v="671"/>
    <s v="DEV-ENVIADO PARA GESTÃO DE CONSEQUENCIA"/>
    <s v="TRANSPORTADORA"/>
    <x v="1"/>
    <n v="57940"/>
    <s v="MILTON CAETANO DE"/>
    <s v="SC"/>
    <n v="698"/>
    <s v="CDP Bronze"/>
    <n v="1350"/>
    <s v="W11634491"/>
    <s v="Placas de Controle"/>
    <x v="2"/>
    <n v="1"/>
    <n v="5003024"/>
    <s v="RODOBRAS TRANSPORTES RODOVIARIOS LT"/>
    <n v="103.71"/>
    <d v="2025-05-26T00:00:00"/>
  </r>
  <r>
    <s v="Sem TR"/>
    <n v="64777675"/>
    <s v="REB"/>
    <n v="10029205"/>
    <n v="411"/>
    <s v="DEV-Extravio de PEÇAS (Transportadora)"/>
    <s v="TRANSPORTADORA"/>
    <x v="1"/>
    <n v="57940"/>
    <s v="MILTON CAETANO DE"/>
    <s v="SC"/>
    <n v="698"/>
    <s v="CDP Bronze"/>
    <n v="1350"/>
    <s v="W10807957"/>
    <s v="Conjunto Varetas"/>
    <x v="11"/>
    <n v="1"/>
    <n v="5003024"/>
    <s v="RODOBRAS TRANSPORTES RODOVIARIOS LT"/>
    <n v="77.41"/>
    <d v="2025-05-26T00:00:00"/>
  </r>
  <r>
    <n v="254007618"/>
    <n v="64777687"/>
    <s v="REB"/>
    <n v="9953886"/>
    <n v="176"/>
    <s v="PEÇAS - Defeito de fabric./Interrompido"/>
    <s v="FUNCIONAL"/>
    <x v="1"/>
    <n v="81988"/>
    <s v="BH COMERCIO DE PECAS E FRIGERACAO"/>
    <s v="MG"/>
    <n v="648"/>
    <s v="Ultra"/>
    <n v="1350"/>
    <s v="W11647660"/>
    <s v="Compressores Herméticos"/>
    <x v="0"/>
    <n v="1"/>
    <n v="5004215"/>
    <s v="BRASIL WEB TRANSPORTES E LOGISTICA"/>
    <n v="283.39999999999998"/>
    <d v="2025-06-02T00:00:00"/>
  </r>
  <r>
    <n v="254007520"/>
    <n v="64777698"/>
    <s v="REB"/>
    <n v="10041658"/>
    <n v="173"/>
    <s v="PEÇAS - Defeito de fabric./Alta Amperage"/>
    <s v="FUNCIONAL"/>
    <x v="1"/>
    <n v="9452"/>
    <s v="MULTICENTER COMERCIO E SERVICOS"/>
    <s v="SP"/>
    <n v="931"/>
    <s v="Ats Off"/>
    <n v="1350"/>
    <s v="W10276002"/>
    <s v="Motores"/>
    <x v="2"/>
    <n v="1"/>
    <n v="5004042"/>
    <s v="BRASIL WEB TRANSPORTES E LOGISTICA"/>
    <n v="219.01"/>
    <d v="2025-06-02T00:00:00"/>
  </r>
  <r>
    <n v="254003872"/>
    <n v="64777759"/>
    <s v="REB"/>
    <n v="9917582"/>
    <n v="173"/>
    <s v="PEÇAS - Defeito de fabric./Alta Amperage"/>
    <s v="FUNCIONAL"/>
    <x v="2"/>
    <n v="13757"/>
    <s v="FRIGELAR COMÉRCIO E INDÚSTRIA LTDA"/>
    <s v="SP"/>
    <n v="713"/>
    <s v="Key Account"/>
    <n v="1350"/>
    <s v="W10399715"/>
    <s v="Motores Ventiladores"/>
    <x v="2"/>
    <n v="1"/>
    <n v="5004042"/>
    <s v="BRASIL WEB TRANSPORTES E LOGISTICA"/>
    <n v="44.78"/>
    <d v="2025-05-26T00:00:00"/>
  </r>
  <r>
    <n v="254003872"/>
    <n v="64777759"/>
    <s v="REB"/>
    <n v="9917582"/>
    <n v="173"/>
    <s v="PEÇAS - Defeito de fabric./Alta Amperage"/>
    <s v="FUNCIONAL"/>
    <x v="2"/>
    <n v="13757"/>
    <s v="FRIGELAR COMÉRCIO E INDÚSTRIA LTDA"/>
    <s v="SP"/>
    <n v="713"/>
    <s v="Key Account"/>
    <n v="1350"/>
    <s v="W11299803"/>
    <s v="Mecanismos"/>
    <x v="4"/>
    <n v="4"/>
    <n v="5004042"/>
    <s v="BRASIL WEB TRANSPORTES E LOGISTICA"/>
    <n v="442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1551361"/>
    <s v="Peças Mecanismos"/>
    <x v="4"/>
    <n v="50"/>
    <n v="5004042"/>
    <s v="BRASIL WEB TRANSPORTES E LOGISTICA"/>
    <n v="605.12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0754676"/>
    <s v="Suportes"/>
    <x v="3"/>
    <n v="50"/>
    <n v="5004042"/>
    <s v="BRASIL WEB TRANSPORTES E LOGISTICA"/>
    <n v="1829.47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0606115"/>
    <s v="Polias/Roldanas"/>
    <x v="4"/>
    <n v="50"/>
    <n v="5004042"/>
    <s v="BRASIL WEB TRANSPORTES E LOGISTICA"/>
    <n v="711.48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n v="326052930"/>
    <s v="Hélices"/>
    <x v="6"/>
    <n v="25"/>
    <n v="5004042"/>
    <s v="BRASIL WEB TRANSPORTES E LOGISTICA"/>
    <n v="815.93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n v="326005854"/>
    <s v="Sensores"/>
    <x v="8"/>
    <n v="50"/>
    <n v="5004042"/>
    <s v="BRASIL WEB TRANSPORTES E LOGISTICA"/>
    <n v="1632.11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1448283"/>
    <s v="Capacitores"/>
    <x v="2"/>
    <n v="50"/>
    <n v="5004042"/>
    <s v="BRASIL WEB TRANSPORTES E LOGISTICA"/>
    <n v="818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0721910"/>
    <s v="Pressostatos"/>
    <x v="8"/>
    <n v="50"/>
    <n v="5004042"/>
    <s v="BRASIL WEB TRANSPORTES E LOGISTICA"/>
    <n v="1233.04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1369860"/>
    <s v="Motores Ventiladores"/>
    <x v="2"/>
    <n v="50"/>
    <n v="5004042"/>
    <s v="BRASIL WEB TRANSPORTES E LOGISTICA"/>
    <n v="2244.5500000000002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1082462"/>
    <s v="Termostatos"/>
    <x v="8"/>
    <n v="50"/>
    <n v="5004042"/>
    <s v="BRASIL WEB TRANSPORTES E LOGISTICA"/>
    <n v="2901.79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1300698"/>
    <s v="Mecanismos"/>
    <x v="4"/>
    <n v="50"/>
    <n v="5004042"/>
    <s v="BRASIL WEB TRANSPORTES E LOGISTICA"/>
    <n v="13297.5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n v="326031817"/>
    <s v="Mangueiras"/>
    <x v="6"/>
    <n v="50"/>
    <n v="5004042"/>
    <s v="BRASIL WEB TRANSPORTES E LOGISTICA"/>
    <n v="958.16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1135728"/>
    <s v="Mangueiras"/>
    <x v="6"/>
    <n v="50"/>
    <n v="5004042"/>
    <s v="BRASIL WEB TRANSPORTES E LOGISTICA"/>
    <n v="723.78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0619463"/>
    <s v="Pressostatos"/>
    <x v="8"/>
    <n v="50"/>
    <n v="5004042"/>
    <s v="BRASIL WEB TRANSPORTES E LOGISTICA"/>
    <n v="2036.41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0257566"/>
    <s v="Fusíveis/Fusíveis térmicos"/>
    <x v="2"/>
    <n v="50"/>
    <n v="5004042"/>
    <s v="BRASIL WEB TRANSPORTES E LOGISTICA"/>
    <n v="565.76"/>
    <d v="2025-05-26T00:00:00"/>
  </r>
  <r>
    <n v="254003872"/>
    <n v="64777772"/>
    <s v="REB"/>
    <n v="10006871"/>
    <n v="90"/>
    <s v="CLIENTE-não solicitou"/>
    <s v="COMERCIAL"/>
    <x v="2"/>
    <n v="13757"/>
    <s v="FRIGELAR COMÉRCIO E INDÚSTRIA LTDA"/>
    <s v="SP"/>
    <n v="713"/>
    <s v="Key Account"/>
    <n v="1350"/>
    <s v="W10849470"/>
    <s v="Bombas"/>
    <x v="2"/>
    <n v="50"/>
    <n v="5004042"/>
    <s v="BRASIL WEB TRANSPORTES E LOGISTICA"/>
    <n v="1717.05"/>
    <d v="2025-05-26T00:00:00"/>
  </r>
  <r>
    <n v="254007587"/>
    <n v="64777778"/>
    <s v="REB"/>
    <n v="9860066"/>
    <n v="176"/>
    <s v="PEÇAS - Defeito de fabric./Interrompido"/>
    <s v="FUNCIONAL"/>
    <x v="2"/>
    <n v="46272"/>
    <s v="FRIGELAR COM. DISTRIBUICAO S/A"/>
    <s v="CE"/>
    <n v="713"/>
    <s v="Key Account"/>
    <n v="1350"/>
    <s v="W11299803"/>
    <s v="Mecanismos"/>
    <x v="4"/>
    <n v="7"/>
    <n v="5004101"/>
    <s v="UNIDOCK'S ASSESSORIA E LOGISTICA DE"/>
    <n v="612.99"/>
    <d v="2025-06-02T00:00:00"/>
  </r>
  <r>
    <n v="254003875"/>
    <n v="64777796"/>
    <s v="REB"/>
    <n v="10029517"/>
    <n v="167"/>
    <s v="PEÇAS - Avaria - Quebrada/Depósito"/>
    <s v="LOGÍSTICA"/>
    <x v="1"/>
    <n v="14474"/>
    <s v="NATAL SERVICE LTDA N"/>
    <s v="RN"/>
    <n v="648"/>
    <s v="Ultra"/>
    <n v="1350"/>
    <s v="W11113394"/>
    <s v="Gavetas"/>
    <x v="1"/>
    <n v="1"/>
    <n v="5004101"/>
    <s v="UNIDOCK'S ASSESSORIA E LOGISTICA DE"/>
    <n v="82.77"/>
    <d v="2025-05-26T00:00:00"/>
  </r>
  <r>
    <n v="254004053"/>
    <n v="64777819"/>
    <s v="REB"/>
    <n v="9737656"/>
    <n v="178"/>
    <s v="PEÇAS -Defeito de fabric./Sem Compressão"/>
    <s v="FUNCIONAL"/>
    <x v="1"/>
    <n v="76654"/>
    <s v="JR REFRIGERACAO JUAZEIRO LTDA"/>
    <s v="BA"/>
    <n v="934"/>
    <s v="CDP Ouro"/>
    <n v="1350"/>
    <s v="W11647662"/>
    <s v="Compressores Herméticos"/>
    <x v="0"/>
    <n v="1"/>
    <n v="5004101"/>
    <s v="UNIDOCK'S ASSESSORIA E LOGISTICA DE"/>
    <n v="315.57"/>
    <d v="2025-05-26T00:00:00"/>
  </r>
  <r>
    <n v="254004006"/>
    <n v="64777824"/>
    <s v="REB"/>
    <n v="9482787"/>
    <n v="168"/>
    <s v="PEÇAS-Def.Fabric.Empenamento/Abaulamento"/>
    <s v="FUNCIONAL"/>
    <x v="1"/>
    <n v="53319"/>
    <s v="PARTS FRIO DISTRIBUIDORA DE"/>
    <s v="PR"/>
    <n v="644"/>
    <s v="Plus"/>
    <n v="1350"/>
    <s v="W10882241"/>
    <s v="Agitadores"/>
    <x v="4"/>
    <n v="3"/>
    <n v="5003024"/>
    <s v="RODOBRAS TRANSPORTES RODOVIARIOS LT"/>
    <n v="179.21"/>
    <d v="2025-05-26T00:00:00"/>
  </r>
  <r>
    <n v="254004022"/>
    <n v="64777831"/>
    <s v="REB"/>
    <n v="9803043"/>
    <n v="173"/>
    <s v="PEÇAS - Defeito de fabric./Alta Amperage"/>
    <s v="FUNCIONAL"/>
    <x v="1"/>
    <n v="61467"/>
    <s v="ILES DAYANE ARAUJO"/>
    <s v="CE"/>
    <n v="644"/>
    <s v="Plus"/>
    <n v="1350"/>
    <s v="W11435392"/>
    <s v="Placas de Controle"/>
    <x v="2"/>
    <n v="2"/>
    <n v="5004101"/>
    <s v="UNIDOCK'S ASSESSORIA E LOGISTICA DE"/>
    <n v="276.95999999999998"/>
    <d v="2025-05-26T00:00:00"/>
  </r>
  <r>
    <n v="254003874"/>
    <n v="64777844"/>
    <s v="REB"/>
    <n v="9967322"/>
    <n v="173"/>
    <s v="PEÇAS - Defeito de fabric./Alta Amperage"/>
    <s v="FUNCIONAL"/>
    <x v="1"/>
    <n v="14441"/>
    <s v="ALVITEK PECAS E SERVICOS LTDA"/>
    <s v="SP"/>
    <n v="931"/>
    <s v="Ats Off"/>
    <n v="1350"/>
    <s v="W11516477"/>
    <s v="Compressores Herméticos"/>
    <x v="0"/>
    <n v="1"/>
    <n v="5004042"/>
    <s v="BRASIL WEB TRANSPORTES E LOGISTICA"/>
    <n v="475.62"/>
    <d v="2025-05-26T00:00:00"/>
  </r>
  <r>
    <n v="254003902"/>
    <n v="64777846"/>
    <s v="REB"/>
    <n v="9546239"/>
    <n v="178"/>
    <s v="PEÇAS -Defeito de fabric./Sem Compressão"/>
    <s v="FUNCIONAL"/>
    <x v="2"/>
    <n v="27253"/>
    <s v="S.M. QUARESMA"/>
    <s v="PI"/>
    <n v="931"/>
    <s v="Ats Off"/>
    <n v="1350"/>
    <s v="W11516471"/>
    <s v="Compressores Herméticos"/>
    <x v="0"/>
    <n v="1"/>
    <n v="5004101"/>
    <s v="UNIDOCK'S ASSESSORIA E LOGISTICA DE"/>
    <n v="320.86"/>
    <d v="2025-05-26T00:00:00"/>
  </r>
  <r>
    <n v="254003874"/>
    <n v="64777859"/>
    <s v="REB"/>
    <n v="9841545"/>
    <n v="173"/>
    <s v="PEÇAS - Defeito de fabric./Alta Amperage"/>
    <s v="FUNCIONAL"/>
    <x v="1"/>
    <n v="14441"/>
    <s v="ALVITEK PECAS E SERVICOS LTDA"/>
    <s v="SP"/>
    <n v="931"/>
    <s v="Ats Off"/>
    <n v="1350"/>
    <s v="W11516471"/>
    <s v="Compressores Herméticos"/>
    <x v="0"/>
    <n v="3"/>
    <n v="5004042"/>
    <s v="BRASIL WEB TRANSPORTES E LOGISTICA"/>
    <n v="1131.21"/>
    <d v="2025-05-26T00:00:00"/>
  </r>
  <r>
    <n v="254003903"/>
    <n v="64777865"/>
    <s v="REB"/>
    <n v="9546239"/>
    <n v="173"/>
    <s v="PEÇAS - Defeito de fabric./Alta Amperage"/>
    <s v="FUNCIONAL"/>
    <x v="2"/>
    <n v="27253"/>
    <s v="S.M. QUARESMA"/>
    <s v="PI"/>
    <n v="931"/>
    <s v="Ats Off"/>
    <n v="1350"/>
    <s v="W11516471"/>
    <s v="Compressores Herméticos"/>
    <x v="0"/>
    <n v="1"/>
    <n v="5004101"/>
    <s v="UNIDOCK'S ASSESSORIA E LOGISTICA DE"/>
    <n v="320.86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561657"/>
    <s v="Suportes"/>
    <x v="3"/>
    <n v="120"/>
    <n v="5004042"/>
    <s v="BRASIL WEB TRANSPORTES E LOGISTICA"/>
    <n v="877.99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n v="326008340"/>
    <s v="Anéis de Vedação"/>
    <x v="10"/>
    <n v="200"/>
    <n v="5004042"/>
    <s v="BRASIL WEB TRANSPORTES E LOGISTICA"/>
    <n v="3719.07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477178"/>
    <s v="Capas"/>
    <x v="3"/>
    <n v="100"/>
    <n v="5004042"/>
    <s v="BRASIL WEB TRANSPORTES E LOGISTICA"/>
    <n v="2323.41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629019"/>
    <s v="Recipientes de Evaporação"/>
    <x v="1"/>
    <n v="60"/>
    <n v="5004042"/>
    <s v="BRASIL WEB TRANSPORTES E LOGISTICA"/>
    <n v="923.22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245249"/>
    <s v="Válvulas de Água"/>
    <x v="6"/>
    <n v="60"/>
    <n v="5004042"/>
    <s v="BRASIL WEB TRANSPORTES E LOGISTICA"/>
    <n v="3082.8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n v="326004688"/>
    <s v="Puxadores"/>
    <x v="3"/>
    <n v="20"/>
    <n v="5004042"/>
    <s v="BRASIL WEB TRANSPORTES E LOGISTICA"/>
    <n v="124.3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498695"/>
    <s v="Capas"/>
    <x v="3"/>
    <n v="50"/>
    <n v="5004042"/>
    <s v="BRASIL WEB TRANSPORTES E LOGISTICA"/>
    <n v="2263.0500000000002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364881"/>
    <s v="Válvulas de Água"/>
    <x v="6"/>
    <n v="60"/>
    <n v="5004042"/>
    <s v="BRASIL WEB TRANSPORTES E LOGISTICA"/>
    <n v="1814.4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754807"/>
    <s v="Agitadores"/>
    <x v="4"/>
    <n v="20"/>
    <n v="5004042"/>
    <s v="BRASIL WEB TRANSPORTES E LOGISTICA"/>
    <n v="869.87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n v="326043145"/>
    <s v="Filtros"/>
    <x v="6"/>
    <n v="20"/>
    <n v="5004042"/>
    <s v="BRASIL WEB TRANSPORTES E LOGISTICA"/>
    <n v="891.25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617044"/>
    <s v="Pressostatos"/>
    <x v="8"/>
    <n v="10"/>
    <n v="5004042"/>
    <s v="BRASIL WEB TRANSPORTES E LOGISTICA"/>
    <n v="344.07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428263"/>
    <s v="Atuadores"/>
    <x v="4"/>
    <n v="30"/>
    <n v="5004042"/>
    <s v="BRASIL WEB TRANSPORTES E LOGISTICA"/>
    <n v="1421.09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696980"/>
    <s v="Painéis de Controle"/>
    <x v="3"/>
    <n v="10"/>
    <n v="5004042"/>
    <s v="BRASIL WEB TRANSPORTES E LOGISTICA"/>
    <n v="247.38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n v="326010297"/>
    <s v="Condensadores"/>
    <x v="0"/>
    <n v="10"/>
    <n v="5004042"/>
    <s v="BRASIL WEB TRANSPORTES E LOGISTICA"/>
    <n v="766.32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807957"/>
    <s v="Conjunto Varetas"/>
    <x v="11"/>
    <n v="20"/>
    <n v="5004042"/>
    <s v="BRASIL WEB TRANSPORTES E LOGISTICA"/>
    <n v="1553.3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1508048"/>
    <s v="Placas de Interface"/>
    <x v="2"/>
    <n v="2"/>
    <n v="5004042"/>
    <s v="BRASIL WEB TRANSPORTES E LOGISTICA"/>
    <n v="192.62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616687"/>
    <s v="Capas"/>
    <x v="3"/>
    <n v="10"/>
    <n v="5004042"/>
    <s v="BRASIL WEB TRANSPORTES E LOGISTICA"/>
    <n v="271.52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269366"/>
    <s v="Placas de Controle"/>
    <x v="2"/>
    <n v="5"/>
    <n v="5004042"/>
    <s v="BRASIL WEB TRANSPORTES E LOGISTICA"/>
    <n v="792.01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632303"/>
    <s v="Válvulas de Água"/>
    <x v="6"/>
    <n v="10"/>
    <n v="5004042"/>
    <s v="BRASIL WEB TRANSPORTES E LOGISTICA"/>
    <n v="371.1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471975"/>
    <s v="Interruptores"/>
    <x v="8"/>
    <n v="5"/>
    <n v="5004042"/>
    <s v="BRASIL WEB TRANSPORTES E LOGISTICA"/>
    <n v="181.03"/>
    <d v="2025-05-26T00:00:00"/>
  </r>
  <r>
    <n v="254003872"/>
    <n v="64777866"/>
    <s v="REB"/>
    <n v="10006872"/>
    <n v="90"/>
    <s v="CLIENTE-não solicitou"/>
    <s v="COMERCIAL"/>
    <x v="2"/>
    <n v="13757"/>
    <s v="FRIGELAR COMÉRCIO E INDÚSTRIA LTDA"/>
    <s v="SP"/>
    <n v="713"/>
    <s v="Key Account"/>
    <n v="1350"/>
    <s v="W10488370"/>
    <s v="Suportes"/>
    <x v="3"/>
    <n v="3"/>
    <n v="5004042"/>
    <s v="BRASIL WEB TRANSPORTES E LOGISTICA"/>
    <n v="149.13"/>
    <d v="2025-05-26T00:00:00"/>
  </r>
  <r>
    <n v="254004014"/>
    <n v="64777869"/>
    <s v="REB"/>
    <n v="10021256"/>
    <n v="176"/>
    <s v="PEÇAS - Defeito de fabric./Interrompido"/>
    <s v="FUNCIONAL"/>
    <x v="1"/>
    <n v="58276"/>
    <s v="CHAMATEC COMERCIO E"/>
    <s v="CE"/>
    <n v="644"/>
    <s v="Plus"/>
    <n v="1350"/>
    <s v="W11160655"/>
    <s v="Placas de Interface"/>
    <x v="2"/>
    <n v="3"/>
    <n v="5004101"/>
    <s v="UNIDOCK'S ASSESSORIA E LOGISTICA DE"/>
    <n v="308.66000000000003"/>
    <d v="2025-05-26T00:00:00"/>
  </r>
  <r>
    <n v="254003951"/>
    <n v="64777870"/>
    <s v="REB"/>
    <n v="9999334"/>
    <n v="173"/>
    <s v="PEÇAS - Defeito de fabric./Alta Amperage"/>
    <s v="FUNCIONAL"/>
    <x v="1"/>
    <n v="31738"/>
    <s v="UNIVERSO REFRIGERACAO COMERCIO"/>
    <s v="RN"/>
    <n v="933"/>
    <s v="Top"/>
    <n v="1350"/>
    <s v="W11435392"/>
    <s v="Placas de Controle"/>
    <x v="2"/>
    <n v="1"/>
    <n v="5004101"/>
    <s v="UNIDOCK'S ASSESSORIA E LOGISTICA DE"/>
    <n v="298.74"/>
    <d v="2025-05-26T00:00:00"/>
  </r>
  <r>
    <n v="254003950"/>
    <n v="64777871"/>
    <s v="REB"/>
    <n v="9999334"/>
    <n v="176"/>
    <s v="PEÇAS - Defeito de fabric./Interrompido"/>
    <s v="FUNCIONAL"/>
    <x v="1"/>
    <n v="31738"/>
    <s v="UNIVERSO REFRIGERACAO COMERCIO"/>
    <s v="RN"/>
    <n v="933"/>
    <s v="Top"/>
    <n v="1350"/>
    <s v="W10796892"/>
    <s v="Agitadores"/>
    <x v="4"/>
    <n v="1"/>
    <n v="5004101"/>
    <s v="UNIDOCK'S ASSESSORIA E LOGISTICA DE"/>
    <n v="51"/>
    <d v="2025-05-26T00:00:00"/>
  </r>
  <r>
    <n v="254003869"/>
    <n v="64777874"/>
    <s v="REB"/>
    <n v="10029772"/>
    <n v="104"/>
    <s v="PEÇAS-Código trocado(embalag X conteúdo)"/>
    <s v="LOGÍSTICA"/>
    <x v="1"/>
    <n v="9991"/>
    <s v="HIPERFRIO COMERCIO DE PECAS LTDA"/>
    <s v="DF"/>
    <n v="648"/>
    <s v="Ultra"/>
    <n v="1350"/>
    <s v="W10268576"/>
    <s v="Gaxetas"/>
    <x v="10"/>
    <n v="1"/>
    <n v="5002858"/>
    <s v="FAVORITA TRANSPORTES LTDA"/>
    <n v="49.88"/>
    <d v="2025-05-26T00:00:00"/>
  </r>
  <r>
    <n v="254003900"/>
    <n v="64777876"/>
    <s v="REB"/>
    <n v="9546239"/>
    <n v="173"/>
    <s v="PEÇAS - Defeito de fabric./Alta Amperage"/>
    <s v="FUNCIONAL"/>
    <x v="2"/>
    <n v="27253"/>
    <s v="S.M. QUARESMA"/>
    <s v="PI"/>
    <n v="931"/>
    <s v="Ats Off"/>
    <n v="1350"/>
    <s v="W11516471"/>
    <s v="Compressores Herméticos"/>
    <x v="0"/>
    <n v="1"/>
    <n v="5004101"/>
    <s v="UNIDOCK'S ASSESSORIA E LOGISTICA DE"/>
    <n v="320.86"/>
    <d v="2025-05-26T00:00:00"/>
  </r>
  <r>
    <n v="254003870"/>
    <n v="64777896"/>
    <s v="REB"/>
    <n v="9916729"/>
    <n v="177"/>
    <s v="PEÇAS - Defeito de fabric./Ruído"/>
    <s v="FUNCIONAL"/>
    <x v="1"/>
    <n v="10164"/>
    <s v="FALCONE - COMERCIO E SERVICOS LTDA"/>
    <s v="PB"/>
    <n v="931"/>
    <s v="Ats Off"/>
    <n v="1350"/>
    <s v="W11300681"/>
    <s v="Mecanismos"/>
    <x v="4"/>
    <n v="1"/>
    <n v="5004101"/>
    <s v="UNIDOCK'S ASSESSORIA E LOGISTICA DE"/>
    <n v="193.6"/>
    <d v="2025-05-26T00:00:00"/>
  </r>
  <r>
    <n v="254003989"/>
    <n v="64777900"/>
    <s v="REB"/>
    <n v="9280400"/>
    <n v="178"/>
    <s v="PEÇAS -Defeito de fabric./Sem Compressão"/>
    <s v="FUNCIONAL"/>
    <x v="0"/>
    <n v="47026"/>
    <s v="JR PECAS LTDA JR PECAS LTDA"/>
    <s v="BA"/>
    <n v="643"/>
    <s v="Elite"/>
    <n v="1350"/>
    <s v="W10798744"/>
    <s v="Compressores Herméticos"/>
    <x v="0"/>
    <n v="3"/>
    <n v="5004101"/>
    <s v="UNIDOCK'S ASSESSORIA E LOGISTICA DE"/>
    <n v="809.9"/>
    <d v="2025-05-26T00:00:00"/>
  </r>
  <r>
    <n v="254003989"/>
    <n v="64777901"/>
    <s v="REB"/>
    <n v="9294699"/>
    <n v="178"/>
    <s v="PEÇAS -Defeito de fabric./Sem Compressão"/>
    <s v="FUNCIONAL"/>
    <x v="1"/>
    <n v="47026"/>
    <s v="JR PECAS LTDA JR PECAS LTDA"/>
    <s v="BA"/>
    <n v="643"/>
    <s v="Elite"/>
    <n v="1350"/>
    <s v="W11647660"/>
    <s v="Compressores Herméticos"/>
    <x v="0"/>
    <n v="3"/>
    <n v="5004101"/>
    <s v="UNIDOCK'S ASSESSORIA E LOGISTICA DE"/>
    <n v="840.75"/>
    <d v="2025-05-26T00:00:00"/>
  </r>
  <r>
    <n v="254003951"/>
    <n v="64777905"/>
    <s v="REB"/>
    <n v="10012761"/>
    <n v="173"/>
    <s v="PEÇAS - Defeito de fabric./Alta Amperage"/>
    <s v="FUNCIONAL"/>
    <x v="1"/>
    <n v="31738"/>
    <s v="UNIVERSO REFRIGERACAO COMERCIO"/>
    <s v="RN"/>
    <n v="933"/>
    <s v="Top"/>
    <n v="1350"/>
    <s v="W10678923"/>
    <s v="Placas de Controle"/>
    <x v="2"/>
    <n v="1"/>
    <n v="5004101"/>
    <s v="UNIDOCK'S ASSESSORIA E LOGISTICA DE"/>
    <n v="67.63"/>
    <d v="2025-05-26T00:00:00"/>
  </r>
  <r>
    <n v="254003951"/>
    <n v="64777905"/>
    <s v="REB"/>
    <n v="10012761"/>
    <n v="173"/>
    <s v="PEÇAS - Defeito de fabric./Alta Amperage"/>
    <s v="FUNCIONAL"/>
    <x v="1"/>
    <n v="31738"/>
    <s v="UNIVERSO REFRIGERACAO COMERCIO"/>
    <s v="RN"/>
    <n v="933"/>
    <s v="Top"/>
    <n v="1350"/>
    <s v="W11364881"/>
    <s v="Válvulas de Água"/>
    <x v="6"/>
    <n v="1"/>
    <n v="5004101"/>
    <s v="UNIDOCK'S ASSESSORIA E LOGISTICA DE"/>
    <n v="28.38"/>
    <d v="2025-05-26T00:00:00"/>
  </r>
  <r>
    <n v="254003860"/>
    <n v="64777910"/>
    <s v="REB"/>
    <n v="9959643"/>
    <n v="177"/>
    <s v="PEÇAS - Defeito de fabric./Ruído"/>
    <s v="FUNCIONAL"/>
    <x v="2"/>
    <n v="3648"/>
    <s v="AMAURI CARLIS JACON &amp; CIA LTDA"/>
    <s v="SP"/>
    <n v="350"/>
    <s v="Ats On"/>
    <n v="1350"/>
    <s v="W11299803"/>
    <s v="Mecanismos"/>
    <x v="4"/>
    <n v="1"/>
    <n v="5004042"/>
    <s v="BRASIL WEB TRANSPORTES E LOGISTICA"/>
    <n v="108.5"/>
    <d v="2025-05-26T00:00:00"/>
  </r>
  <r>
    <n v="254053846"/>
    <n v="64777911"/>
    <s v="REB"/>
    <n v="9658328"/>
    <n v="176"/>
    <s v="PEÇAS - Defeito de fabric./Interrompido"/>
    <s v="FUNCIONAL"/>
    <x v="2"/>
    <n v="27804"/>
    <s v="REFRIGERACAO MAGAZINE DO FRIO LTDA"/>
    <s v="SP"/>
    <n v="641"/>
    <s v="CDP Diamante"/>
    <n v="1350"/>
    <s v="W10471975"/>
    <s v="Interruptores"/>
    <x v="8"/>
    <n v="1"/>
    <n v="5004042"/>
    <s v="BRASIL WEB TRANSPORTES E LOGISTICA"/>
    <n v="41.12"/>
    <d v="2025-05-26T00:00:00"/>
  </r>
  <r>
    <n v="254003967"/>
    <n v="64777924"/>
    <s v="REB"/>
    <n v="9737171"/>
    <n v="173"/>
    <s v="PEÇAS - Defeito de fabric./Alta Amperage"/>
    <s v="FUNCIONAL"/>
    <x v="1"/>
    <n v="32533"/>
    <s v="FRIGELAR COM. DISTRIBUICAO S/A"/>
    <s v="PE"/>
    <n v="713"/>
    <s v="Key Account"/>
    <n v="1350"/>
    <s v="W11300675"/>
    <s v="Mecanismos"/>
    <x v="4"/>
    <n v="1"/>
    <n v="5004101"/>
    <s v="UNIDOCK'S ASSESSORIA E LOGISTICA DE"/>
    <n v="91.41"/>
    <d v="2025-05-26T00:00:00"/>
  </r>
  <r>
    <n v="254003867"/>
    <n v="64777930"/>
    <s v="REB"/>
    <n v="10027668"/>
    <n v="173"/>
    <s v="PEÇAS - Defeito de fabric./Alta Amperage"/>
    <s v="FUNCIONAL"/>
    <x v="1"/>
    <n v="9452"/>
    <s v="MULTICENTER COMERCIO E SERVICOS"/>
    <s v="SP"/>
    <n v="931"/>
    <s v="Ats Off"/>
    <n v="1350"/>
    <s v="W11516476"/>
    <s v="Compressores Herméticos"/>
    <x v="0"/>
    <n v="1"/>
    <n v="5004042"/>
    <s v="BRASIL WEB TRANSPORTES E LOGISTICA"/>
    <n v="453.06"/>
    <d v="2025-05-26T00:00:00"/>
  </r>
  <r>
    <n v="254004073"/>
    <n v="64777940"/>
    <s v="REB"/>
    <n v="9408658"/>
    <n v="176"/>
    <s v="PEÇAS - Defeito de fabric./Interrompido"/>
    <s v="FUNCIONAL"/>
    <x v="1"/>
    <n v="81988"/>
    <s v="BH COMERCIO DE PECAS E FRIGERACAO"/>
    <s v="MG"/>
    <n v="648"/>
    <s v="Ultra"/>
    <n v="1350"/>
    <s v="W10769941"/>
    <s v="Compressores Herméticos"/>
    <x v="0"/>
    <n v="1"/>
    <n v="5004215"/>
    <s v="BRASIL WEB TRANSPORTES E LOGISTICA"/>
    <n v="393.61"/>
    <d v="2025-05-26T00:00:00"/>
  </r>
  <r>
    <n v="254003906"/>
    <n v="64777941"/>
    <s v="REB"/>
    <n v="9549233"/>
    <n v="173"/>
    <s v="PEÇAS - Defeito de fabric./Alta Amperage"/>
    <s v="FUNCIONAL"/>
    <x v="1"/>
    <n v="27770"/>
    <s v="JOSE IZIDORO SILVA REFRIGERACAO"/>
    <s v="AL"/>
    <n v="641"/>
    <s v="CDP Diamante"/>
    <n v="1350"/>
    <s v="W11268184"/>
    <s v="Placas de Controle"/>
    <x v="2"/>
    <n v="1"/>
    <n v="5004101"/>
    <s v="UNIDOCK'S ASSESSORIA E LOGISTICA DE"/>
    <n v="180.56"/>
    <d v="2025-05-26T00:00:00"/>
  </r>
  <r>
    <n v="254003860"/>
    <n v="64777942"/>
    <s v="REB"/>
    <n v="9995955"/>
    <n v="173"/>
    <s v="PEÇAS - Defeito de fabric./Alta Amperage"/>
    <s v="FUNCIONAL"/>
    <x v="2"/>
    <n v="3648"/>
    <s v="AMAURI CARLIS JACON &amp; CIA LTDA"/>
    <s v="SP"/>
    <n v="350"/>
    <s v="Ats On"/>
    <n v="1350"/>
    <s v="W11254865"/>
    <s v="Mecanismos"/>
    <x v="4"/>
    <n v="1"/>
    <n v="5004042"/>
    <s v="BRASIL WEB TRANSPORTES E LOGISTICA"/>
    <n v="154.66"/>
    <d v="2025-05-26T00:00:00"/>
  </r>
  <r>
    <n v="254003872"/>
    <n v="64777944"/>
    <s v="REB"/>
    <n v="10006867"/>
    <n v="90"/>
    <s v="CLIENTE-não solicitou"/>
    <s v="COMERCIAL"/>
    <x v="2"/>
    <n v="13757"/>
    <s v="FRIGELAR COMÉRCIO E INDÚSTRIA LTDA"/>
    <s v="SP"/>
    <n v="713"/>
    <s v="Key Account"/>
    <n v="1350"/>
    <s v="W10882443"/>
    <s v="Placas de Controle"/>
    <x v="2"/>
    <n v="3"/>
    <n v="5004042"/>
    <s v="BRASIL WEB TRANSPORTES E LOGISTICA"/>
    <n v="1154.53"/>
    <d v="2025-05-26T00:00:00"/>
  </r>
  <r>
    <n v="254003860"/>
    <n v="64777946"/>
    <s v="REB"/>
    <n v="10037580"/>
    <n v="90"/>
    <s v="CLIENTE-não solicitou"/>
    <s v="COMERCIAL"/>
    <x v="2"/>
    <n v="3648"/>
    <s v="AMAURI CARLIS JACON &amp; CIA LTDA"/>
    <s v="SP"/>
    <n v="350"/>
    <s v="Ats On"/>
    <n v="1350"/>
    <s v="W10855670"/>
    <s v="Placas de Controle"/>
    <x v="2"/>
    <n v="1"/>
    <n v="5004042"/>
    <s v="BRASIL WEB TRANSPORTES E LOGISTICA"/>
    <n v="285.8"/>
    <d v="2025-05-26T00:00:00"/>
  </r>
  <r>
    <n v="254003872"/>
    <n v="64777948"/>
    <s v="REB"/>
    <n v="10006868"/>
    <n v="90"/>
    <s v="CLIENTE-não solicitou"/>
    <s v="COMERCIAL"/>
    <x v="2"/>
    <n v="13757"/>
    <s v="FRIGELAR COMÉRCIO E INDÚSTRIA LTDA"/>
    <s v="SP"/>
    <n v="713"/>
    <s v="Key Account"/>
    <n v="1350"/>
    <s v="W10855665"/>
    <s v="Placas de Controle"/>
    <x v="2"/>
    <n v="1"/>
    <n v="5004042"/>
    <s v="BRASIL WEB TRANSPORTES E LOGISTICA"/>
    <n v="241.12"/>
    <d v="2025-05-26T00:00:00"/>
  </r>
  <r>
    <n v="254003872"/>
    <n v="64777949"/>
    <s v="REB"/>
    <n v="10006869"/>
    <n v="90"/>
    <s v="CLIENTE-não solicitou"/>
    <s v="COMERCIAL"/>
    <x v="2"/>
    <n v="13757"/>
    <s v="FRIGELAR COMÉRCIO E INDÚSTRIA LTDA"/>
    <s v="SP"/>
    <n v="713"/>
    <s v="Key Account"/>
    <n v="1350"/>
    <s v="W10899324"/>
    <s v="Placas de Controle"/>
    <x v="2"/>
    <n v="1"/>
    <n v="5004042"/>
    <s v="BRASIL WEB TRANSPORTES E LOGISTICA"/>
    <n v="248.24"/>
    <d v="2025-05-26T00:00:00"/>
  </r>
  <r>
    <n v="254003874"/>
    <n v="64777984"/>
    <s v="REB"/>
    <n v="10042361"/>
    <n v="165"/>
    <s v="PEÇAS - Defeito de fabric./Incompleta"/>
    <s v="FUNCIONAL"/>
    <x v="1"/>
    <n v="14441"/>
    <s v="ALVITEK PECAS E SERVICOS LTDA"/>
    <s v="SP"/>
    <n v="931"/>
    <s v="Ats Off"/>
    <n v="1350"/>
    <s v="W10531315"/>
    <s v="Sensores"/>
    <x v="8"/>
    <n v="1"/>
    <n v="5004042"/>
    <s v="BRASIL WEB TRANSPORTES E LOGISTICA"/>
    <n v="8.4600000000000009"/>
    <d v="2025-05-26T00:00:00"/>
  </r>
  <r>
    <n v="254003906"/>
    <n v="64777986"/>
    <s v="REB"/>
    <n v="9708387"/>
    <n v="173"/>
    <s v="PEÇAS - Defeito de fabric./Alta Amperage"/>
    <s v="FUNCIONAL"/>
    <x v="1"/>
    <n v="27770"/>
    <s v="JOSE IZIDORO SILVA REFRIGERACAO"/>
    <s v="AL"/>
    <n v="641"/>
    <s v="CDP Diamante"/>
    <n v="1350"/>
    <s v="W10882241"/>
    <s v="Agitadores"/>
    <x v="4"/>
    <n v="1"/>
    <n v="5004101"/>
    <s v="UNIDOCK'S ASSESSORIA E LOGISTICA DE"/>
    <n v="64.94"/>
    <d v="2025-05-26T00:00:00"/>
  </r>
  <r>
    <n v="254053847"/>
    <n v="64778020"/>
    <s v="REB"/>
    <n v="9814725"/>
    <n v="173"/>
    <s v="PEÇAS - Defeito de fabric./Alta Amperage"/>
    <s v="FUNCIONAL"/>
    <x v="2"/>
    <n v="27804"/>
    <s v="REFRIGERACAO MAGAZINE DO FRIO LTDA"/>
    <s v="SP"/>
    <n v="641"/>
    <s v="CDP Diamante"/>
    <n v="1350"/>
    <n v="326061171"/>
    <s v="Placas de Controle"/>
    <x v="2"/>
    <n v="1"/>
    <n v="5004042"/>
    <s v="BRASIL WEB TRANSPORTES E LOGISTICA"/>
    <n v="267.89999999999998"/>
    <d v="2025-05-26T00:00:00"/>
  </r>
  <r>
    <n v="254053848"/>
    <n v="64778029"/>
    <s v="REB"/>
    <n v="9795036"/>
    <n v="176"/>
    <s v="PEÇAS - Defeito de fabric./Interrompido"/>
    <s v="FUNCIONAL"/>
    <x v="1"/>
    <n v="27804"/>
    <s v="REFRIGERACAO MAGAZINE DO FRIO LTDA"/>
    <s v="SP"/>
    <n v="641"/>
    <s v="CDP Diamante"/>
    <n v="1350"/>
    <s v="W10171528"/>
    <s v="Pressostatos"/>
    <x v="8"/>
    <n v="1"/>
    <n v="5004042"/>
    <s v="BRASIL WEB TRANSPORTES E LOGISTICA"/>
    <n v="28.93"/>
    <d v="2025-05-26T00:00:00"/>
  </r>
  <r>
    <n v="254007613"/>
    <n v="64778183"/>
    <s v="REB"/>
    <n v="9944929"/>
    <n v="176"/>
    <s v="PEÇAS - Defeito de fabric./Interrompido"/>
    <s v="FUNCIONAL"/>
    <x v="2"/>
    <n v="76269"/>
    <s v="AGASERV COMERCIO E ASSISTENCIA"/>
    <s v="SC"/>
    <n v="931"/>
    <s v="Ats Off"/>
    <n v="1350"/>
    <s v="W11516471"/>
    <s v="Compressores Herméticos"/>
    <x v="0"/>
    <n v="1"/>
    <n v="5003024"/>
    <s v="RODOBRAS TRANSPORTES RODOVIARIOS LT"/>
    <n v="355.62"/>
    <d v="2025-06-02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1102783"/>
    <s v="Sensores"/>
    <x v="8"/>
    <n v="1"/>
    <n v="5004042"/>
    <s v="BRASIL WEB TRANSPORTES E LOGISTICA"/>
    <n v="63.8"/>
    <d v="2025-06-24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0905603"/>
    <s v="Sensores"/>
    <x v="8"/>
    <n v="1"/>
    <n v="5004042"/>
    <s v="BRASIL WEB TRANSPORTES E LOGISTICA"/>
    <n v="30.16"/>
    <d v="2025-06-24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1102691"/>
    <s v="Conexões Hidráulicas"/>
    <x v="7"/>
    <n v="1"/>
    <n v="5004042"/>
    <s v="BRASIL WEB TRANSPORTES E LOGISTICA"/>
    <n v="81.86"/>
    <d v="2025-06-24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0833441"/>
    <s v="Gaxetas"/>
    <x v="10"/>
    <n v="1"/>
    <n v="5004042"/>
    <s v="BRASIL WEB TRANSPORTES E LOGISTICA"/>
    <n v="44.12"/>
    <d v="2025-06-24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1102572"/>
    <s v="Bandejas"/>
    <x v="1"/>
    <n v="1"/>
    <n v="5004042"/>
    <s v="BRASIL WEB TRANSPORTES E LOGISTICA"/>
    <n v="362.12"/>
    <d v="2025-06-24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1102573"/>
    <s v="Suportes"/>
    <x v="3"/>
    <n v="1"/>
    <n v="5004042"/>
    <s v="BRASIL WEB TRANSPORTES E LOGISTICA"/>
    <n v="33.479999999999997"/>
    <d v="2025-06-24T00:00:00"/>
  </r>
  <r>
    <n v="254042367"/>
    <n v="64778263"/>
    <s v="REB"/>
    <n v="10084126"/>
    <n v="90"/>
    <s v="CLIENTE-não solicitou"/>
    <s v="COMERCIAL"/>
    <x v="2"/>
    <n v="3361"/>
    <s v="J LOURENCO SOBRINHO"/>
    <s v="SP"/>
    <n v="350"/>
    <s v="Ats On"/>
    <n v="1350"/>
    <s v="W10720216"/>
    <s v="Micro Chaves/Reed Switches"/>
    <x v="8"/>
    <n v="1"/>
    <n v="5004042"/>
    <s v="BRASIL WEB TRANSPORTES E LOGISTICA"/>
    <n v="195.95"/>
    <d v="2025-06-24T00:00:00"/>
  </r>
  <r>
    <n v="254003907"/>
    <n v="64778269"/>
    <s v="REB"/>
    <n v="9250714"/>
    <n v="173"/>
    <s v="PEÇAS - Defeito de fabric./Alta Amperage"/>
    <s v="FUNCIONAL"/>
    <x v="1"/>
    <n v="27770"/>
    <s v="JOSE IZIDORO SILVA REFRIGERACAO"/>
    <s v="AL"/>
    <n v="641"/>
    <s v="CDP Diamante"/>
    <n v="1350"/>
    <s v="W10686100"/>
    <s v="Placas de Controle"/>
    <x v="2"/>
    <n v="1"/>
    <n v="5004101"/>
    <s v="UNIDOCK'S ASSESSORIA E LOGISTICA DE"/>
    <n v="162.06"/>
    <d v="2025-05-26T00:00:00"/>
  </r>
  <r>
    <n v="254003772"/>
    <n v="64778271"/>
    <s v="REB"/>
    <n v="10012558"/>
    <n v="178"/>
    <s v="PEÇAS -Defeito de fabric./Sem Compressão"/>
    <s v="FUNCIONAL"/>
    <x v="1"/>
    <n v="1255"/>
    <s v="PRAMAK REFRIGERACAO, PECAS E"/>
    <s v="CE"/>
    <n v="931"/>
    <s v="Ats Off"/>
    <n v="1350"/>
    <s v="W11741179"/>
    <s v="Outros"/>
    <x v="5"/>
    <n v="1"/>
    <n v="5004101"/>
    <s v="UNIDOCK'S ASSESSORIA E LOGISTICA DE"/>
    <n v="332.58"/>
    <d v="2025-05-26T00:00:00"/>
  </r>
  <r>
    <n v="254004032"/>
    <n v="64778272"/>
    <s v="REB"/>
    <n v="9779878"/>
    <n v="178"/>
    <s v="PEÇAS -Defeito de fabric./Sem Compressão"/>
    <s v="FUNCIONAL"/>
    <x v="1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5-26T00:00:00"/>
  </r>
  <r>
    <n v="254003906"/>
    <n v="64778273"/>
    <s v="REB"/>
    <n v="9804140"/>
    <n v="173"/>
    <s v="PEÇAS - Defeito de fabric./Alta Amperage"/>
    <s v="FUNCIONAL"/>
    <x v="1"/>
    <n v="27770"/>
    <s v="JOSE IZIDORO SILVA REFRIGERACAO"/>
    <s v="AL"/>
    <n v="641"/>
    <s v="CDP Diamante"/>
    <n v="1350"/>
    <s v="W11603414"/>
    <s v="Placas de Controle"/>
    <x v="2"/>
    <n v="1"/>
    <n v="5004101"/>
    <s v="UNIDOCK'S ASSESSORIA E LOGISTICA DE"/>
    <n v="209.97"/>
    <d v="2025-05-26T00:00:00"/>
  </r>
  <r>
    <n v="254004077"/>
    <n v="64778289"/>
    <s v="REB"/>
    <n v="9926456"/>
    <n v="173"/>
    <s v="PEÇAS - Defeito de fabric./Alta Amperage"/>
    <s v="FUNCIONAL"/>
    <x v="2"/>
    <n v="85591"/>
    <s v="TREVIZAN &amp; CIA LTDA"/>
    <s v="SC"/>
    <n v="643"/>
    <s v="Elite"/>
    <n v="1350"/>
    <s v="W10902873"/>
    <s v="Placas de Controle"/>
    <x v="2"/>
    <n v="1"/>
    <n v="5003024"/>
    <s v="RODOBRAS TRANSPORTES RODOVIARIOS LT"/>
    <n v="703.1"/>
    <d v="2025-05-26T00:00:00"/>
  </r>
  <r>
    <n v="254004032"/>
    <n v="64778499"/>
    <s v="REB"/>
    <n v="9776513"/>
    <n v="178"/>
    <s v="PEÇAS -Defeito de fabric./Sem Compressão"/>
    <s v="FUNCIONAL"/>
    <x v="1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5-26T00:00:00"/>
  </r>
  <r>
    <n v="254003992"/>
    <n v="64778666"/>
    <s v="REB"/>
    <n v="9129364"/>
    <n v="178"/>
    <s v="PEÇAS -Defeito de fabric./Sem Compressão"/>
    <s v="FUNCIONAL"/>
    <x v="1"/>
    <n v="50822"/>
    <s v="CLAYTON DE OLIVEIRA"/>
    <s v="AL"/>
    <n v="644"/>
    <s v="Plus"/>
    <n v="1350"/>
    <n v="326053935"/>
    <s v="Compressores Rotativos"/>
    <x v="0"/>
    <n v="1"/>
    <n v="5004101"/>
    <s v="UNIDOCK'S ASSESSORIA E LOGISTICA DE"/>
    <n v="573.61"/>
    <d v="2025-05-26T00:00:00"/>
  </r>
  <r>
    <n v="254003906"/>
    <n v="64778704"/>
    <s v="REB"/>
    <n v="9629199"/>
    <n v="173"/>
    <s v="PEÇAS - Defeito de fabric./Alta Amperage"/>
    <s v="FUNCIONAL"/>
    <x v="1"/>
    <n v="27770"/>
    <s v="JOSE IZIDORO SILVA REFRIGERACAO"/>
    <s v="AL"/>
    <n v="641"/>
    <s v="CDP Diamante"/>
    <n v="1350"/>
    <s v="W11396188"/>
    <s v="Placas de Interface"/>
    <x v="2"/>
    <n v="1"/>
    <n v="5004101"/>
    <s v="UNIDOCK'S ASSESSORIA E LOGISTICA DE"/>
    <n v="106.41"/>
    <d v="2025-05-26T00:00:00"/>
  </r>
  <r>
    <n v="254003967"/>
    <n v="64778705"/>
    <s v="REB"/>
    <n v="9793635"/>
    <n v="173"/>
    <s v="PEÇAS - Defeito de fabric./Alta Amperage"/>
    <s v="FUNCIONAL"/>
    <x v="1"/>
    <n v="32533"/>
    <s v="FRIGELAR COM. DISTRIBUICAO S/A"/>
    <s v="PE"/>
    <n v="713"/>
    <s v="Key Account"/>
    <n v="1350"/>
    <s v="W11299803"/>
    <s v="Mecanismos"/>
    <x v="4"/>
    <n v="1"/>
    <n v="5004101"/>
    <s v="UNIDOCK'S ASSESSORIA E LOGISTICA DE"/>
    <n v="82.93"/>
    <d v="2025-05-26T00:00:00"/>
  </r>
  <r>
    <n v="254003771"/>
    <n v="64778729"/>
    <s v="REB"/>
    <n v="10012558"/>
    <n v="178"/>
    <s v="PEÇAS -Defeito de fabric./Sem Compressão"/>
    <s v="FUNCIONAL"/>
    <x v="2"/>
    <n v="1255"/>
    <s v="PRAMAK REFRIGERACAO, PECAS E"/>
    <s v="CE"/>
    <n v="931"/>
    <s v="Ats Off"/>
    <n v="1350"/>
    <s v="W11741179"/>
    <s v="Outros"/>
    <x v="5"/>
    <n v="1"/>
    <n v="5004101"/>
    <s v="UNIDOCK'S ASSESSORIA E LOGISTICA DE"/>
    <n v="332.58"/>
    <d v="2025-05-26T00:00:00"/>
  </r>
  <r>
    <s v="Sem TR"/>
    <n v="64779102"/>
    <s v="REB"/>
    <n v="10087887"/>
    <n v="173"/>
    <s v="PEÇAS - Defeito de fabric./Alta Amperage"/>
    <s v="FUNCIONAL"/>
    <x v="1"/>
    <n v="87707"/>
    <s v="REFRIGERA BRASIL CLIMATIZACAO E REF"/>
    <s v="BA"/>
    <n v="648"/>
    <s v="Ultra"/>
    <n v="1350"/>
    <s v="W11123829"/>
    <s v="Placas de Controle"/>
    <x v="2"/>
    <n v="1"/>
    <n v="5004101"/>
    <s v="UNIDOCK'S ASSESSORIA E LOGISTICA DE"/>
    <n v="103.06"/>
    <d v="2025-08-07T00:00:00"/>
  </r>
  <r>
    <n v="254007614"/>
    <n v="64779151"/>
    <s v="REB"/>
    <n v="10039477"/>
    <n v="167"/>
    <s v="PEÇAS - Avaria - Quebrada/Depósito"/>
    <s v="LOGÍSTICA"/>
    <x v="1"/>
    <n v="77676"/>
    <s v="SATELITE REFRIGERACAO PECAS"/>
    <s v="DF"/>
    <n v="350"/>
    <s v="Ats On"/>
    <n v="1350"/>
    <s v="W10347201"/>
    <s v="Prateleiras"/>
    <x v="1"/>
    <n v="1"/>
    <n v="5002858"/>
    <s v="FAVORITA TRANSPORTES LTDA"/>
    <n v="67.55"/>
    <d v="2025-06-02T00:00:00"/>
  </r>
  <r>
    <n v="254007535"/>
    <n v="64779372"/>
    <s v="REB"/>
    <n v="9940200"/>
    <n v="173"/>
    <s v="PEÇAS - Defeito de fabric./Alta Amperage"/>
    <s v="FUNCIONAL"/>
    <x v="2"/>
    <n v="14474"/>
    <s v="NATAL SERVICE LTDA N"/>
    <s v="RN"/>
    <n v="648"/>
    <s v="Ultra"/>
    <n v="1350"/>
    <s v="W10619463"/>
    <s v="Pressostatos"/>
    <x v="8"/>
    <n v="1"/>
    <n v="5004101"/>
    <s v="UNIDOCK'S ASSESSORIA E LOGISTICA DE"/>
    <n v="39.090000000000003"/>
    <d v="2025-06-02T00:00:00"/>
  </r>
  <r>
    <n v="254041986"/>
    <n v="64780047"/>
    <s v="REB"/>
    <n v="10004699"/>
    <n v="173"/>
    <s v="PEÇAS - Defeito de fabric./Alta Amperage"/>
    <s v="FUNCIONAL"/>
    <x v="2"/>
    <n v="14474"/>
    <s v="NATAL SERVICE LTDA N"/>
    <s v="RN"/>
    <n v="648"/>
    <s v="Ultra"/>
    <n v="1350"/>
    <s v="W11435392"/>
    <s v="Placas de Controle"/>
    <x v="2"/>
    <n v="2"/>
    <n v="5004101"/>
    <s v="UNIDOCK'S ASSESSORIA E LOGISTICA DE"/>
    <n v="613.14"/>
    <d v="2025-06-23T00:00:00"/>
  </r>
  <r>
    <n v="254062803"/>
    <n v="64780048"/>
    <s v="REB"/>
    <n v="10060562"/>
    <n v="178"/>
    <s v="PEÇAS -Defeito de fabric./Sem Compressão"/>
    <s v="FUNCIONAL"/>
    <x v="2"/>
    <n v="22041"/>
    <s v="VIP SERVICE COMERCIO DE PECAS"/>
    <s v="SP"/>
    <n v="931"/>
    <s v="Ats Off"/>
    <n v="1350"/>
    <s v="W10733226"/>
    <s v="Tubos Refrigeração"/>
    <x v="0"/>
    <n v="1"/>
    <n v="5004042"/>
    <s v="BRASIL WEB TRANSPORTES E LOGISTICA"/>
    <n v="5.63"/>
    <d v="2025-07-01T00:00:00"/>
  </r>
  <r>
    <n v="254062803"/>
    <n v="64780048"/>
    <s v="REB"/>
    <n v="10060562"/>
    <n v="178"/>
    <s v="PEÇAS -Defeito de fabric./Sem Compressão"/>
    <s v="FUNCIONAL"/>
    <x v="2"/>
    <n v="22041"/>
    <s v="VIP SERVICE COMERCIO DE PECAS"/>
    <s v="SP"/>
    <n v="931"/>
    <s v="Ats Off"/>
    <n v="1350"/>
    <s v="W11606669"/>
    <s v="Compressores Herméticos"/>
    <x v="0"/>
    <n v="1"/>
    <n v="5004042"/>
    <s v="BRASIL WEB TRANSPORTES E LOGISTICA"/>
    <n v="708.47"/>
    <d v="2025-07-01T00:00:00"/>
  </r>
  <r>
    <n v="254062803"/>
    <n v="64780048"/>
    <s v="REB"/>
    <n v="10060562"/>
    <n v="178"/>
    <s v="PEÇAS -Defeito de fabric./Sem Compressão"/>
    <s v="FUNCIONAL"/>
    <x v="2"/>
    <n v="22041"/>
    <s v="VIP SERVICE COMERCIO DE PECAS"/>
    <s v="SP"/>
    <n v="931"/>
    <s v="Ats Off"/>
    <n v="1350"/>
    <s v="W11682256"/>
    <s v="Filtro Secadores"/>
    <x v="0"/>
    <n v="1"/>
    <n v="5004042"/>
    <s v="BRASIL WEB TRANSPORTES E LOGISTICA"/>
    <n v="25.07"/>
    <d v="2025-07-01T00:00:00"/>
  </r>
  <r>
    <n v="254042075"/>
    <n v="64780237"/>
    <s v="REB"/>
    <n v="9785537"/>
    <n v="178"/>
    <s v="PEÇAS -Defeito de fabric./Sem Compressão"/>
    <s v="FUNCIONAL"/>
    <x v="1"/>
    <n v="30416"/>
    <s v="JF OLIVEIRA PEREIRA ELETROD LTDA"/>
    <s v="AM"/>
    <n v="648"/>
    <s v="Ultra"/>
    <n v="1350"/>
    <s v="W10575086"/>
    <s v="Compressores Herméticos"/>
    <x v="0"/>
    <n v="1"/>
    <n v="5002858"/>
    <s v="FAVORITA TRANSPORTES LTDA"/>
    <n v="332.25"/>
    <d v="2025-07-01T00:00:00"/>
  </r>
  <r>
    <n v="254012539"/>
    <n v="64780421"/>
    <s v="REB"/>
    <n v="10048026"/>
    <n v="170"/>
    <s v="PEÇAS - Avaria - Riscada/Depósito"/>
    <s v="LOGÍSTICA"/>
    <x v="1"/>
    <n v="54465"/>
    <s v="LCB COMERCIO E SERVICOS"/>
    <s v="SP"/>
    <n v="644"/>
    <s v="Plus"/>
    <n v="1350"/>
    <s v="W10287534"/>
    <s v="Prateleiras"/>
    <x v="1"/>
    <n v="5"/>
    <n v="5004042"/>
    <s v="BRASIL WEB TRANSPORTES E LOGISTICA"/>
    <n v="192.53"/>
    <d v="2025-06-10T00:00:00"/>
  </r>
  <r>
    <s v="Sem TR"/>
    <n v="64780487"/>
    <s v="REB"/>
    <n v="10040327"/>
    <n v="90"/>
    <s v="CLIENTE-não solicitou"/>
    <s v="COMERCIAL"/>
    <x v="1"/>
    <n v="22040"/>
    <s v="LM COMERCIO E SERVICOS EM SISTEMA"/>
    <s v="SP"/>
    <n v="350"/>
    <s v="Ats On"/>
    <n v="1350"/>
    <s v="W10809101"/>
    <s v="Placas de Controle"/>
    <x v="2"/>
    <n v="1"/>
    <n v="0"/>
    <n v="0"/>
    <n v="701.34"/>
    <d v="2025-05-29T00:00:00"/>
  </r>
  <r>
    <s v="Sem TR"/>
    <n v="64780487"/>
    <s v="REB"/>
    <n v="10040327"/>
    <n v="90"/>
    <s v="CLIENTE-não solicitou"/>
    <s v="COMERCIAL"/>
    <x v="1"/>
    <n v="22040"/>
    <s v="LM COMERCIO E SERVICOS EM SISTEMA"/>
    <s v="SP"/>
    <n v="350"/>
    <s v="Ats On"/>
    <n v="1350"/>
    <s v="W10891926"/>
    <s v="Sensores"/>
    <x v="8"/>
    <n v="1"/>
    <n v="0"/>
    <n v="0"/>
    <n v="28.66"/>
    <d v="2025-05-29T00:00:00"/>
  </r>
  <r>
    <s v="Sem TR"/>
    <n v="64780487"/>
    <s v="REB"/>
    <n v="10040327"/>
    <n v="90"/>
    <s v="CLIENTE-não solicitou"/>
    <s v="COMERCIAL"/>
    <x v="1"/>
    <n v="22040"/>
    <s v="LM COMERCIO E SERVICOS EM SISTEMA"/>
    <s v="SP"/>
    <n v="350"/>
    <s v="Ats On"/>
    <n v="1350"/>
    <s v="W10810355"/>
    <s v="Válvulas de Segurança"/>
    <x v="9"/>
    <n v="1"/>
    <n v="0"/>
    <n v="0"/>
    <n v="98.79"/>
    <d v="2025-05-29T00:00:00"/>
  </r>
  <r>
    <s v="Sem TR"/>
    <n v="64780487"/>
    <s v="REB"/>
    <n v="10040327"/>
    <n v="90"/>
    <s v="CLIENTE-não solicitou"/>
    <s v="COMERCIAL"/>
    <x v="1"/>
    <n v="22040"/>
    <s v="LM COMERCIO E SERVICOS EM SISTEMA"/>
    <s v="SP"/>
    <n v="350"/>
    <s v="Ats On"/>
    <n v="1350"/>
    <s v="W10231316"/>
    <s v="Válvulas de Água"/>
    <x v="6"/>
    <n v="2"/>
    <n v="0"/>
    <n v="0"/>
    <n v="76.75"/>
    <d v="2025-05-29T00:00:00"/>
  </r>
  <r>
    <s v="Sem TR"/>
    <n v="64780487"/>
    <s v="REB"/>
    <n v="10040327"/>
    <n v="90"/>
    <s v="CLIENTE-não solicitou"/>
    <s v="COMERCIAL"/>
    <x v="1"/>
    <n v="22040"/>
    <s v="LM COMERCIO E SERVICOS EM SISTEMA"/>
    <s v="SP"/>
    <n v="350"/>
    <s v="Ats On"/>
    <n v="1350"/>
    <s v="W10544750"/>
    <s v="Motores"/>
    <x v="2"/>
    <n v="1"/>
    <n v="0"/>
    <n v="0"/>
    <n v="567.04"/>
    <d v="2025-05-29T00:00:00"/>
  </r>
  <r>
    <s v="Sem TR"/>
    <n v="64780527"/>
    <s v="REB"/>
    <n v="10009807"/>
    <n v="167"/>
    <s v="PEÇAS - Avaria - Quebrada/Depósito"/>
    <s v="LOGÍSTICA"/>
    <x v="1"/>
    <n v="31820"/>
    <s v="FERREIRA &amp; DANTAS LTDA ME"/>
    <s v="BA"/>
    <n v="350"/>
    <s v="Ats On"/>
    <n v="1350"/>
    <s v="W11393157"/>
    <s v="Tampas Móveis"/>
    <x v="3"/>
    <n v="1"/>
    <n v="5004101"/>
    <s v="UNIDOCK'S ASSESSORIA E LOGISTICA DE"/>
    <n v="163.47999999999999"/>
    <d v="2025-06-10T00:00:00"/>
  </r>
  <r>
    <n v="254007536"/>
    <n v="64780845"/>
    <s v="REB"/>
    <n v="9940200"/>
    <n v="173"/>
    <s v="PEÇAS - Defeito de fabric./Alta Amperage"/>
    <s v="FUNCIONAL"/>
    <x v="2"/>
    <n v="14474"/>
    <s v="NATAL SERVICE LTDA N"/>
    <s v="RN"/>
    <n v="648"/>
    <s v="Ultra"/>
    <n v="1350"/>
    <s v="W10696196"/>
    <s v="Válvulas de Água"/>
    <x v="6"/>
    <n v="1"/>
    <n v="5004101"/>
    <s v="UNIDOCK'S ASSESSORIA E LOGISTICA DE"/>
    <n v="31.96"/>
    <d v="2025-06-02T00:00:00"/>
  </r>
  <r>
    <n v="254007587"/>
    <n v="64780882"/>
    <s v="REB"/>
    <n v="9362576"/>
    <n v="176"/>
    <s v="PEÇAS - Defeito de fabric./Interrompido"/>
    <s v="FUNCIONAL"/>
    <x v="2"/>
    <n v="46272"/>
    <s v="FRIGELAR COM. DISTRIBUICAO S/A"/>
    <s v="CE"/>
    <n v="713"/>
    <s v="Key Account"/>
    <n v="1350"/>
    <s v="W11366400"/>
    <s v="Placas de Controle"/>
    <x v="2"/>
    <n v="1"/>
    <n v="5004101"/>
    <s v="UNIDOCK'S ASSESSORIA E LOGISTICA DE"/>
    <n v="152.75"/>
    <d v="2025-06-02T00:00:00"/>
  </r>
  <r>
    <n v="254007587"/>
    <n v="64780883"/>
    <s v="REB"/>
    <n v="9692124"/>
    <n v="176"/>
    <s v="PEÇAS - Defeito de fabric./Interrompido"/>
    <s v="FUNCIONAL"/>
    <x v="2"/>
    <n v="46272"/>
    <s v="FRIGELAR COM. DISTRIBUICAO S/A"/>
    <s v="CE"/>
    <n v="713"/>
    <s v="Key Account"/>
    <n v="1350"/>
    <s v="W10310999"/>
    <s v="Motores Ventiladores"/>
    <x v="2"/>
    <n v="1"/>
    <n v="5004101"/>
    <s v="UNIDOCK'S ASSESSORIA E LOGISTICA DE"/>
    <n v="39.549999999999997"/>
    <d v="2025-06-02T00:00:00"/>
  </r>
  <r>
    <n v="254007516"/>
    <n v="64780900"/>
    <s v="REB"/>
    <n v="9783172"/>
    <n v="176"/>
    <s v="PEÇAS - Defeito de fabric./Interrompido"/>
    <s v="FUNCIONAL"/>
    <x v="2"/>
    <n v="4425"/>
    <s v="AGASERV COMERCIO E ASSISTENCIA"/>
    <s v="SC"/>
    <n v="931"/>
    <s v="Ats Off"/>
    <n v="1350"/>
    <s v="W11283283"/>
    <s v="Termostatos"/>
    <x v="8"/>
    <n v="1"/>
    <n v="5003024"/>
    <s v="RODOBRAS TRANSPORTES RODOVIARIOS LT"/>
    <n v="34.46"/>
    <d v="2025-06-02T00:00:00"/>
  </r>
  <r>
    <n v="254007581"/>
    <n v="64781010"/>
    <s v="REB"/>
    <n v="9793635"/>
    <n v="173"/>
    <s v="PEÇAS - Defeito de fabric./Alta Amperage"/>
    <s v="FUNCIONAL"/>
    <x v="2"/>
    <n v="32533"/>
    <s v="FRIGELAR COM. DISTRIBUICAO S/A"/>
    <s v="PE"/>
    <n v="713"/>
    <s v="Key Account"/>
    <n v="1350"/>
    <s v="W11299803"/>
    <s v="Mecanismos"/>
    <x v="4"/>
    <n v="1"/>
    <n v="5004101"/>
    <s v="UNIDOCK'S ASSESSORIA E LOGISTICA DE"/>
    <n v="82.93"/>
    <d v="2025-06-02T00:00:00"/>
  </r>
  <r>
    <n v="254007617"/>
    <n v="64781012"/>
    <s v="REB"/>
    <n v="9993691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9.47"/>
    <d v="2025-06-02T00:00:00"/>
  </r>
  <r>
    <n v="254007587"/>
    <n v="64781520"/>
    <s v="REB"/>
    <n v="9860264"/>
    <n v="176"/>
    <s v="PEÇAS - Defeito de fabric./Interrompido"/>
    <s v="FUNCIONAL"/>
    <x v="2"/>
    <n v="46272"/>
    <s v="FRIGELAR COM. DISTRIBUICAO S/A"/>
    <s v="CE"/>
    <n v="713"/>
    <s v="Key Account"/>
    <n v="1350"/>
    <s v="W11634491"/>
    <s v="Placas de Controle"/>
    <x v="2"/>
    <n v="4"/>
    <n v="5004101"/>
    <s v="UNIDOCK'S ASSESSORIA E LOGISTICA DE"/>
    <n v="225.87"/>
    <d v="2025-06-02T00:00:00"/>
  </r>
  <r>
    <n v="254012497"/>
    <n v="64781647"/>
    <s v="REB"/>
    <n v="10041366"/>
    <n v="104"/>
    <s v="PEÇAS-Código trocado(embalag X conteúdo)"/>
    <s v="LOGÍSTICA"/>
    <x v="2"/>
    <n v="28303"/>
    <s v="SOFRIO REFRIGERACAO LTDA"/>
    <s v="PB"/>
    <n v="641"/>
    <s v="CDP Diamante"/>
    <n v="1350"/>
    <s v="W10292562"/>
    <s v="Capas"/>
    <x v="3"/>
    <n v="2"/>
    <n v="5004101"/>
    <s v="UNIDOCK'S ASSESSORIA E LOGISTICA DE"/>
    <n v="47.35"/>
    <d v="2025-06-10T00:00:00"/>
  </r>
  <r>
    <n v="254018321"/>
    <n v="64781773"/>
    <s v="REB"/>
    <n v="9608854"/>
    <n v="173"/>
    <s v="PEÇAS - Defeito de fabric./Alta Amperage"/>
    <s v="FUNCIONAL"/>
    <x v="2"/>
    <n v="53252"/>
    <s v="KI PONTO FRIO COMERCIO ATACADISTA"/>
    <s v="TO"/>
    <n v="641"/>
    <s v="CDP Diamante"/>
    <n v="1350"/>
    <s v="W11643968"/>
    <s v="Placas de Controle"/>
    <x v="2"/>
    <n v="1"/>
    <n v="5002858"/>
    <s v="FAVORITA TRANSPORTES LTDA"/>
    <n v="213.19"/>
    <d v="2025-06-16T00:00:00"/>
  </r>
  <r>
    <n v="254007537"/>
    <n v="64782011"/>
    <s v="REB"/>
    <n v="10004699"/>
    <n v="173"/>
    <s v="PEÇAS - Defeito de fabric./Alta Amperage"/>
    <s v="FUNCIONAL"/>
    <x v="2"/>
    <n v="14474"/>
    <s v="NATAL SERVICE LTDA N"/>
    <s v="RN"/>
    <n v="648"/>
    <s v="Ultra"/>
    <n v="1350"/>
    <s v="W10709306"/>
    <s v="Placas de Controle"/>
    <x v="2"/>
    <n v="1"/>
    <n v="5004101"/>
    <s v="UNIDOCK'S ASSESSORIA E LOGISTICA DE"/>
    <n v="178.19"/>
    <d v="2025-06-02T00:00:00"/>
  </r>
  <r>
    <n v="254007556"/>
    <n v="64782020"/>
    <s v="REB"/>
    <n v="9913104"/>
    <n v="178"/>
    <s v="PEÇAS -Defeito de fabric./Sem Compressão"/>
    <s v="FUNCIONAL"/>
    <x v="2"/>
    <n v="27253"/>
    <s v="S.M. QUARESMA"/>
    <s v="PI"/>
    <n v="931"/>
    <s v="Ats Off"/>
    <n v="1350"/>
    <s v="W10393823"/>
    <s v="Compressores Herméticos"/>
    <x v="0"/>
    <n v="1"/>
    <n v="5004101"/>
    <s v="UNIDOCK'S ASSESSORIA E LOGISTICA DE"/>
    <n v="544.33000000000004"/>
    <d v="2025-06-02T00:00:00"/>
  </r>
  <r>
    <n v="254012434"/>
    <n v="64782053"/>
    <s v="REB"/>
    <n v="9803005"/>
    <n v="178"/>
    <s v="PEÇAS -Defeito de fabric./Sem Compressão"/>
    <s v="FUNCIONAL"/>
    <x v="2"/>
    <n v="1255"/>
    <s v="PRAMAK REFRIGERACAO, PECAS E"/>
    <s v="CE"/>
    <n v="931"/>
    <s v="Ats Off"/>
    <n v="1350"/>
    <s v="W10393823"/>
    <s v="Compressores Herméticos"/>
    <x v="0"/>
    <n v="1"/>
    <n v="5004101"/>
    <s v="UNIDOCK'S ASSESSORIA E LOGISTICA DE"/>
    <n v="510.29"/>
    <d v="2025-06-10T00:00:00"/>
  </r>
  <r>
    <n v="254007541"/>
    <n v="64782095"/>
    <s v="REB"/>
    <n v="9998585"/>
    <n v="173"/>
    <s v="PEÇAS - Defeito de fabric./Alta Amperage"/>
    <s v="FUNCIONAL"/>
    <x v="1"/>
    <n v="21330"/>
    <s v="REFRIEL COM DE PEÇAS REFRIG LTDA RE"/>
    <s v="PR"/>
    <n v="643"/>
    <s v="Elite"/>
    <n v="1350"/>
    <s v="W11634491"/>
    <s v="Placas de Controle"/>
    <x v="2"/>
    <n v="1"/>
    <n v="5003024"/>
    <s v="RODOBRAS TRANSPORTES RODOVIARIOS LT"/>
    <n v="91.9"/>
    <d v="2025-06-02T00:00:00"/>
  </r>
  <r>
    <n v="254007553"/>
    <n v="64782140"/>
    <s v="REB"/>
    <n v="10007519"/>
    <n v="90"/>
    <s v="CLIENTE-não solicitou"/>
    <s v="COMERCIAL"/>
    <x v="2"/>
    <n v="23098"/>
    <s v="FRIGELAR COMÉRCIO E INDÚSTRIA LTDA"/>
    <s v="PR"/>
    <n v="713"/>
    <s v="Key Account"/>
    <n v="1350"/>
    <s v="W10855665"/>
    <s v="Placas de Controle"/>
    <x v="2"/>
    <n v="2"/>
    <n v="5003024"/>
    <s v="RODOBRAS TRANSPORTES RODOVIARIOS LT"/>
    <n v="605.29"/>
    <d v="2025-06-02T00:00:00"/>
  </r>
  <r>
    <n v="254007553"/>
    <n v="64782141"/>
    <s v="REB"/>
    <n v="10017845"/>
    <n v="90"/>
    <s v="CLIENTE-não solicitou"/>
    <s v="COMERCIAL"/>
    <x v="2"/>
    <n v="23098"/>
    <s v="FRIGELAR COMÉRCIO E INDÚSTRIA LTDA"/>
    <s v="PR"/>
    <n v="713"/>
    <s v="Key Account"/>
    <n v="1350"/>
    <s v="W10710769"/>
    <s v="Termostatos"/>
    <x v="8"/>
    <n v="2"/>
    <n v="5003024"/>
    <s v="RODOBRAS TRANSPORTES RODOVIARIOS LT"/>
    <n v="104.77"/>
    <d v="2025-06-02T00:00:00"/>
  </r>
  <r>
    <n v="254007517"/>
    <n v="64782204"/>
    <s v="REB"/>
    <n v="10011834"/>
    <n v="167"/>
    <s v="PEÇAS - Avaria - Quebrada/Depósito"/>
    <s v="LOGÍSTICA"/>
    <x v="1"/>
    <n v="4446"/>
    <s v="CONSAB PÇS E SERV. P/ ELETROD. LTDA"/>
    <s v="PR"/>
    <n v="350"/>
    <s v="Ats On"/>
    <n v="1350"/>
    <s v="W10398757"/>
    <s v="Prateleiras"/>
    <x v="1"/>
    <n v="1"/>
    <n v="5003024"/>
    <s v="RODOBRAS TRANSPORTES RODOVIARIOS LT"/>
    <n v="35.01"/>
    <d v="2025-06-02T00:00:00"/>
  </r>
  <r>
    <n v="254007553"/>
    <n v="64782224"/>
    <s v="REB"/>
    <n v="10017846"/>
    <n v="90"/>
    <s v="CLIENTE-não solicitou"/>
    <s v="COMERCIAL"/>
    <x v="2"/>
    <n v="23098"/>
    <s v="FRIGELAR COMÉRCIO E INDÚSTRIA LTDA"/>
    <s v="PR"/>
    <n v="713"/>
    <s v="Key Account"/>
    <n v="1350"/>
    <s v="W10710769"/>
    <s v="Termostatos"/>
    <x v="8"/>
    <n v="2"/>
    <n v="5003024"/>
    <s v="RODOBRAS TRANSPORTES RODOVIARIOS LT"/>
    <n v="104.72"/>
    <d v="2025-06-02T00:00:00"/>
  </r>
  <r>
    <n v="254007602"/>
    <n v="64782226"/>
    <s v="REB"/>
    <n v="9965622"/>
    <n v="104"/>
    <s v="PEÇAS-Código trocado(embalag X conteúdo)"/>
    <s v="LOGÍSTICA"/>
    <x v="1"/>
    <n v="67948"/>
    <s v="REFRICRIL DISTRIBUIDORA DE AR REFRI"/>
    <s v="SC"/>
    <n v="713"/>
    <s v="Key Account"/>
    <n v="1350"/>
    <s v="W11299805"/>
    <s v="Mecanismos"/>
    <x v="4"/>
    <n v="1"/>
    <n v="5003024"/>
    <s v="RODOBRAS TRANSPORTES RODOVIARIOS LT"/>
    <n v="113.77"/>
    <d v="2025-06-02T00:00:00"/>
  </r>
  <r>
    <n v="254007576"/>
    <n v="64782278"/>
    <s v="REB"/>
    <n v="10038740"/>
    <n v="90"/>
    <s v="CLIENTE-não solicitou"/>
    <s v="COMERCIAL"/>
    <x v="1"/>
    <n v="29731"/>
    <s v="FRIGELAR COMÉRCIO E INDÚSTRIA LTDA"/>
    <s v="RS"/>
    <n v="713"/>
    <s v="Key Account"/>
    <n v="1350"/>
    <s v="W10855670"/>
    <s v="Placas de Controle"/>
    <x v="2"/>
    <n v="1"/>
    <n v="5003024"/>
    <s v="RODOBRAS TRANSPORTES RODOVIARIOS LT"/>
    <n v="214.37"/>
    <d v="2025-06-02T00:00:00"/>
  </r>
  <r>
    <n v="254007536"/>
    <n v="64782314"/>
    <s v="REB"/>
    <n v="10004699"/>
    <n v="176"/>
    <s v="PEÇAS - Defeito de fabric./Interrompido"/>
    <s v="FUNCIONAL"/>
    <x v="2"/>
    <n v="14474"/>
    <s v="NATAL SERVICE LTDA N"/>
    <s v="RN"/>
    <n v="648"/>
    <s v="Ultra"/>
    <n v="1350"/>
    <s v="W10310999"/>
    <s v="Motores Ventiladores"/>
    <x v="2"/>
    <n v="1"/>
    <n v="5004101"/>
    <s v="UNIDOCK'S ASSESSORIA E LOGISTICA DE"/>
    <n v="46.87"/>
    <d v="2025-06-02T00:00:00"/>
  </r>
  <r>
    <n v="254007535"/>
    <n v="64782315"/>
    <s v="REB"/>
    <n v="9889764"/>
    <n v="173"/>
    <s v="PEÇAS - Defeito de fabric./Alta Amperage"/>
    <s v="FUNCIONAL"/>
    <x v="2"/>
    <n v="14474"/>
    <s v="NATAL SERVICE LTDA N"/>
    <s v="RN"/>
    <n v="648"/>
    <s v="Ultra"/>
    <n v="1350"/>
    <s v="W10737624"/>
    <s v="Pressostatos"/>
    <x v="8"/>
    <n v="1"/>
    <n v="5004101"/>
    <s v="UNIDOCK'S ASSESSORIA E LOGISTICA DE"/>
    <n v="39.159999999999997"/>
    <d v="2025-06-02T00:00:00"/>
  </r>
  <r>
    <n v="254007554"/>
    <n v="64782318"/>
    <s v="REB"/>
    <n v="8977497"/>
    <n v="176"/>
    <s v="PEÇAS - Defeito de fabric./Interrompido"/>
    <s v="FUNCIONAL"/>
    <x v="1"/>
    <n v="24089"/>
    <s v="REVOLUTION COMERCIO E SERV"/>
    <s v="RJ"/>
    <n v="931"/>
    <s v="Ats Off"/>
    <n v="1350"/>
    <s v="W11161214"/>
    <s v="Placas de Interface"/>
    <x v="2"/>
    <n v="2"/>
    <n v="5003176"/>
    <s v="J C THEDIN TRANSPORTES LTDA"/>
    <n v="339.32"/>
    <d v="2025-06-02T00:00:00"/>
  </r>
  <r>
    <n v="254007582"/>
    <n v="64782423"/>
    <s v="REB"/>
    <n v="10008999"/>
    <n v="177"/>
    <s v="PEÇAS - Defeito de fabric./Ruído"/>
    <s v="FUNCIONAL"/>
    <x v="2"/>
    <n v="33403"/>
    <s v="J N SOARES REFRIGERACAO - ME"/>
    <s v="RN"/>
    <n v="648"/>
    <s v="Ultra"/>
    <n v="1350"/>
    <s v="W11375485"/>
    <s v="Compressores Herméticos"/>
    <x v="0"/>
    <n v="1"/>
    <n v="5004101"/>
    <s v="UNIDOCK'S ASSESSORIA E LOGISTICA DE"/>
    <n v="500.36"/>
    <d v="2025-06-02T00:00:00"/>
  </r>
  <r>
    <n v="254007597"/>
    <n v="64782588"/>
    <s v="REB"/>
    <n v="9855101"/>
    <n v="173"/>
    <s v="PEÇAS - Defeito de fabric./Alta Amperage"/>
    <s v="FUNCIONAL"/>
    <x v="1"/>
    <n v="56605"/>
    <s v="CORREIA E CIPRIANO LTDA"/>
    <s v="AL"/>
    <n v="934"/>
    <s v="CDP Ouro"/>
    <n v="1350"/>
    <s v="W11254865"/>
    <s v="Mecanismos"/>
    <x v="4"/>
    <n v="1"/>
    <n v="5004101"/>
    <s v="UNIDOCK'S ASSESSORIA E LOGISTICA DE"/>
    <n v="160.53"/>
    <d v="2025-06-02T00:00:00"/>
  </r>
  <r>
    <n v="254007575"/>
    <n v="64782693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0393823"/>
    <s v="Compressores Herméticos"/>
    <x v="0"/>
    <n v="1"/>
    <n v="5004101"/>
    <s v="UNIDOCK'S ASSESSORIA E LOGISTICA DE"/>
    <n v="525.35"/>
    <d v="2025-06-02T00:00:00"/>
  </r>
  <r>
    <n v="254007575"/>
    <n v="64782693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1647662"/>
    <s v="Compressores Herméticos"/>
    <x v="0"/>
    <n v="1"/>
    <n v="5004101"/>
    <s v="UNIDOCK'S ASSESSORIA E LOGISTICA DE"/>
    <n v="282.72000000000003"/>
    <d v="2025-06-02T00:00:00"/>
  </r>
  <r>
    <n v="254007541"/>
    <n v="64783181"/>
    <s v="REB"/>
    <n v="10035612"/>
    <n v="173"/>
    <s v="PEÇAS - Defeito de fabric./Alta Amperage"/>
    <s v="FUNCIONAL"/>
    <x v="1"/>
    <n v="21330"/>
    <s v="REFRIEL COM DE PEÇAS REFRIG LTDA RE"/>
    <s v="PR"/>
    <n v="643"/>
    <s v="Elite"/>
    <n v="1350"/>
    <s v="W11299805"/>
    <s v="Mecanismos"/>
    <x v="4"/>
    <n v="3"/>
    <n v="5003024"/>
    <s v="RODOBRAS TRANSPORTES RODOVIARIOS LT"/>
    <n v="359.91"/>
    <d v="2025-06-02T00:00:00"/>
  </r>
  <r>
    <n v="254007613"/>
    <n v="64783259"/>
    <s v="REB"/>
    <n v="9857739"/>
    <n v="176"/>
    <s v="PEÇAS - Defeito de fabric./Interrompido"/>
    <s v="FUNCIONAL"/>
    <x v="2"/>
    <n v="76269"/>
    <s v="AGASERV COMERCIO E ASSISTENCIA"/>
    <s v="SC"/>
    <n v="931"/>
    <s v="Ats Off"/>
    <n v="1350"/>
    <s v="W11647662"/>
    <s v="Compressores Herméticos"/>
    <x v="0"/>
    <n v="1"/>
    <n v="5003024"/>
    <s v="RODOBRAS TRANSPORTES RODOVIARIOS LT"/>
    <n v="302.82"/>
    <d v="2025-06-02T00:00:00"/>
  </r>
  <r>
    <n v="254007297"/>
    <n v="64783265"/>
    <s v="REB"/>
    <n v="9779744"/>
    <n v="177"/>
    <s v="PEÇAS - Defeito de fabric./Ruído"/>
    <s v="FUNCIONAL"/>
    <x v="2"/>
    <n v="1255"/>
    <s v="PRAMAK REFRIGERACAO, PECAS E"/>
    <s v="CE"/>
    <n v="931"/>
    <s v="Ats Off"/>
    <n v="1350"/>
    <s v="W11677211"/>
    <s v="Compressores Herméticos"/>
    <x v="0"/>
    <n v="1"/>
    <n v="5004101"/>
    <s v="UNIDOCK'S ASSESSORIA E LOGISTICA DE"/>
    <n v="410.49"/>
    <d v="2025-06-02T00:00:00"/>
  </r>
  <r>
    <n v="254007541"/>
    <n v="64783377"/>
    <s v="REB"/>
    <n v="9996750"/>
    <n v="173"/>
    <s v="PEÇAS - Defeito de fabric./Alta Amperage"/>
    <s v="FUNCIONAL"/>
    <x v="1"/>
    <n v="21330"/>
    <s v="REFRIEL COM DE PEÇAS REFRIG LTDA RE"/>
    <s v="PR"/>
    <n v="643"/>
    <s v="Elite"/>
    <n v="1350"/>
    <s v="W11299803"/>
    <s v="Mecanismos"/>
    <x v="4"/>
    <n v="2"/>
    <n v="5003024"/>
    <s v="RODOBRAS TRANSPORTES RODOVIARIOS LT"/>
    <n v="195.9"/>
    <d v="2025-06-02T00:00:00"/>
  </r>
  <r>
    <n v="254007617"/>
    <n v="64783385"/>
    <s v="REB"/>
    <n v="9953886"/>
    <n v="176"/>
    <s v="PEÇAS - Defeito de fabric./Interrompido"/>
    <s v="FUNCIONAL"/>
    <x v="1"/>
    <n v="81988"/>
    <s v="BH COMERCIO DE PECAS E FRIGERACAO"/>
    <s v="MG"/>
    <n v="648"/>
    <s v="Ultra"/>
    <n v="1350"/>
    <s v="W11677208"/>
    <s v="Compressores Herméticos"/>
    <x v="0"/>
    <n v="1"/>
    <n v="5004215"/>
    <s v="BRASIL WEB TRANSPORTES E LOGISTICA"/>
    <n v="277.62"/>
    <d v="2025-06-02T00:00:00"/>
  </r>
  <r>
    <n v="254007541"/>
    <n v="64783391"/>
    <s v="REB"/>
    <n v="9920605"/>
    <n v="173"/>
    <s v="PEÇAS - Defeito de fabric./Alta Amperage"/>
    <s v="FUNCIONAL"/>
    <x v="1"/>
    <n v="21330"/>
    <s v="REFRIEL COM DE PEÇAS REFRIG LTDA RE"/>
    <s v="PR"/>
    <n v="643"/>
    <s v="Elite"/>
    <n v="1350"/>
    <s v="W10678923"/>
    <s v="Placas de Controle"/>
    <x v="2"/>
    <n v="1"/>
    <n v="5003024"/>
    <s v="RODOBRAS TRANSPORTES RODOVIARIOS LT"/>
    <n v="60.24"/>
    <d v="2025-06-02T00:00:00"/>
  </r>
  <r>
    <n v="254007541"/>
    <n v="64783392"/>
    <s v="REB"/>
    <n v="9901033"/>
    <n v="173"/>
    <s v="PEÇAS - Defeito de fabric./Alta Amperage"/>
    <s v="FUNCIONAL"/>
    <x v="1"/>
    <n v="21330"/>
    <s v="REFRIEL COM DE PEÇAS REFRIG LTDA RE"/>
    <s v="PR"/>
    <n v="643"/>
    <s v="Elite"/>
    <n v="1350"/>
    <n v="326063223"/>
    <s v="Placas de Controle"/>
    <x v="2"/>
    <n v="1"/>
    <n v="5003024"/>
    <s v="RODOBRAS TRANSPORTES RODOVIARIOS LT"/>
    <n v="317.94"/>
    <d v="2025-06-02T00:00:00"/>
  </r>
  <r>
    <n v="254007556"/>
    <n v="64783566"/>
    <s v="REB"/>
    <n v="9552768"/>
    <n v="173"/>
    <s v="PEÇAS - Defeito de fabric./Alta Amperage"/>
    <s v="FUNCIONAL"/>
    <x v="2"/>
    <n v="27253"/>
    <s v="S.M. QUARESMA"/>
    <s v="PI"/>
    <n v="931"/>
    <s v="Ats Off"/>
    <n v="1350"/>
    <s v="W11516477"/>
    <s v="Compressores Herméticos"/>
    <x v="0"/>
    <n v="1"/>
    <n v="5004101"/>
    <s v="UNIDOCK'S ASSESSORIA E LOGISTICA DE"/>
    <n v="380.89"/>
    <d v="2025-06-02T00:00:00"/>
  </r>
  <r>
    <n v="254007556"/>
    <n v="64783567"/>
    <s v="REB"/>
    <n v="9692355"/>
    <n v="173"/>
    <s v="PEÇAS - Defeito de fabric./Alta Amperage"/>
    <s v="FUNCIONAL"/>
    <x v="2"/>
    <n v="27253"/>
    <s v="S.M. QUARESMA"/>
    <s v="PI"/>
    <n v="931"/>
    <s v="Ats Off"/>
    <n v="1350"/>
    <s v="W10393809"/>
    <s v="Compressores Herméticos"/>
    <x v="0"/>
    <n v="1"/>
    <n v="5004101"/>
    <s v="UNIDOCK'S ASSESSORIA E LOGISTICA DE"/>
    <n v="317.64"/>
    <d v="2025-06-02T00:00:00"/>
  </r>
  <r>
    <n v="254007556"/>
    <n v="64783568"/>
    <s v="REB"/>
    <n v="9692360"/>
    <n v="173"/>
    <s v="PEÇAS - Defeito de fabric./Alta Amperage"/>
    <s v="FUNCIONAL"/>
    <x v="2"/>
    <n v="27253"/>
    <s v="S.M. QUARESMA"/>
    <s v="PI"/>
    <n v="931"/>
    <s v="Ats Off"/>
    <n v="1350"/>
    <s v="W11677209"/>
    <s v="Compressores Herméticos"/>
    <x v="0"/>
    <n v="1"/>
    <n v="5004101"/>
    <s v="UNIDOCK'S ASSESSORIA E LOGISTICA DE"/>
    <n v="305.58"/>
    <d v="2025-06-02T00:00:00"/>
  </r>
  <r>
    <n v="254007582"/>
    <n v="64783634"/>
    <s v="REB"/>
    <n v="9350148"/>
    <n v="173"/>
    <s v="PEÇAS - Defeito de fabric./Alta Amperage"/>
    <s v="FUNCIONAL"/>
    <x v="2"/>
    <n v="33403"/>
    <s v="J N SOARES REFRIGERACAO - ME"/>
    <s v="RN"/>
    <n v="648"/>
    <s v="Ultra"/>
    <n v="1350"/>
    <s v="W10393823"/>
    <s v="Compressores Herméticos"/>
    <x v="0"/>
    <n v="1"/>
    <n v="5004101"/>
    <s v="UNIDOCK'S ASSESSORIA E LOGISTICA DE"/>
    <n v="465.33"/>
    <d v="2025-06-02T00:00:00"/>
  </r>
  <r>
    <n v="254007541"/>
    <n v="64783635"/>
    <s v="REB"/>
    <n v="10001474"/>
    <n v="173"/>
    <s v="PEÇAS - Defeito de fabric./Alta Amperage"/>
    <s v="FUNCIONAL"/>
    <x v="1"/>
    <n v="21330"/>
    <s v="REFRIEL COM DE PEÇAS REFRIG LTDA RE"/>
    <s v="PR"/>
    <n v="643"/>
    <s v="Elite"/>
    <n v="1350"/>
    <s v="W11160655"/>
    <s v="Placas de Interface"/>
    <x v="2"/>
    <n v="1"/>
    <n v="5003024"/>
    <s v="RODOBRAS TRANSPORTES RODOVIARIOS LT"/>
    <n v="126"/>
    <d v="2025-06-02T00:00:00"/>
  </r>
  <r>
    <n v="254042221"/>
    <n v="64784163"/>
    <s v="REB"/>
    <n v="10035612"/>
    <n v="173"/>
    <s v="PEÇAS - Defeito de fabric./Alta Amperage"/>
    <s v="FUNCIONAL"/>
    <x v="1"/>
    <n v="21330"/>
    <s v="REFRIEL COM DE PEÇAS REFRIG LTDA RE"/>
    <s v="PR"/>
    <n v="643"/>
    <s v="Elite"/>
    <n v="1350"/>
    <s v="W11299805"/>
    <s v="Mecanismos"/>
    <x v="4"/>
    <n v="1"/>
    <n v="5003024"/>
    <s v="RODOBRAS TRANSPORTES RODOVIARIOS LT"/>
    <n v="119.97"/>
    <d v="2025-06-23T00:00:00"/>
  </r>
  <r>
    <s v="Sem TR"/>
    <n v="64784942"/>
    <s v="ROB"/>
    <n v="10005653"/>
    <n v="25"/>
    <s v="OC. 80 - EXTRAVIO TOTAL"/>
    <s v="TRANSPORTADORA"/>
    <x v="2"/>
    <n v="19750"/>
    <s v="J. R. VALENTE LTDA"/>
    <s v="RR"/>
    <n v="648"/>
    <s v="Ultra"/>
    <n v="1350"/>
    <s v="W10476183"/>
    <s v="Prateleiras"/>
    <x v="1"/>
    <n v="8"/>
    <n v="5002858"/>
    <s v="FAVORITA TRANSPORTES LTDA"/>
    <n v="148.4"/>
    <d v="2025-06-13T00:00:00"/>
  </r>
  <r>
    <n v="254053851"/>
    <n v="64785288"/>
    <s v="REB"/>
    <n v="10025111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63"/>
    <d v="2025-06-17T00:00:00"/>
  </r>
  <r>
    <n v="254058090"/>
    <n v="64785844"/>
    <s v="REB"/>
    <n v="10008613"/>
    <n v="109"/>
    <s v="PEÇAS-Erro de catálogo/BT"/>
    <s v="ENGENHARIA"/>
    <x v="1"/>
    <n v="62140"/>
    <s v="GELUBRAS COMERCIO E SERVICOS LTDA"/>
    <s v="SP"/>
    <n v="350"/>
    <s v="Ats On"/>
    <n v="1350"/>
    <s v="W10289381"/>
    <s v="Queimadores"/>
    <x v="9"/>
    <n v="1"/>
    <n v="5004042"/>
    <s v="BRASIL WEB TRANSPORTES E LOGISTICA"/>
    <n v="36.01"/>
    <d v="2025-06-04T00:00:00"/>
  </r>
  <r>
    <n v="254062661"/>
    <n v="64785845"/>
    <s v="REB"/>
    <n v="10033835"/>
    <n v="109"/>
    <s v="PEÇAS-Erro de catálogo/BT"/>
    <s v="ENGENHARIA"/>
    <x v="2"/>
    <n v="88334"/>
    <s v="MANUTEC MANUTENCAO EM EQUIPAMENTOS"/>
    <s v="SC"/>
    <n v="350"/>
    <s v="Ats On"/>
    <n v="1350"/>
    <s v="W11740846"/>
    <s v="Outros"/>
    <x v="5"/>
    <n v="1"/>
    <n v="5003024"/>
    <s v="RODOBRAS TRANSPORTES RODOVIARIOS LT"/>
    <n v="1.91"/>
    <d v="2025-06-04T00:00:00"/>
  </r>
  <r>
    <n v="254062661"/>
    <n v="64785845"/>
    <s v="REB"/>
    <n v="10033835"/>
    <n v="109"/>
    <s v="PEÇAS-Erro de catálogo/BT"/>
    <s v="ENGENHARIA"/>
    <x v="2"/>
    <n v="88334"/>
    <s v="MANUTEC MANUTENCAO EM EQUIPAMENTOS"/>
    <s v="SC"/>
    <n v="350"/>
    <s v="Ats On"/>
    <n v="1350"/>
    <s v="W11740847"/>
    <s v="Outros"/>
    <x v="5"/>
    <n v="1"/>
    <n v="5003024"/>
    <s v="RODOBRAS TRANSPORTES RODOVIARIOS LT"/>
    <n v="1.64"/>
    <d v="2025-06-04T00:00:00"/>
  </r>
  <r>
    <s v="Sem TR"/>
    <n v="64785885"/>
    <s v="REB"/>
    <n v="10008613"/>
    <n v="173"/>
    <s v="PEÇAS - Defeito de fabric./Alta Amperage"/>
    <s v="FUNCIONAL"/>
    <x v="1"/>
    <n v="62140"/>
    <s v="GELUBRAS COMERCIO E SERVICOS LTDA"/>
    <s v="SP"/>
    <n v="350"/>
    <s v="Ats On"/>
    <n v="1350"/>
    <s v="W10810355"/>
    <s v="Válvulas de Segurança"/>
    <x v="9"/>
    <n v="1"/>
    <n v="5004042"/>
    <s v="BRASIL WEB TRANSPORTES E LOGISTICA"/>
    <n v="96.28"/>
    <d v="2025-06-04T00:00:00"/>
  </r>
  <r>
    <n v="254041867"/>
    <n v="64785946"/>
    <s v="REB"/>
    <n v="10015588"/>
    <n v="177"/>
    <s v="PEÇAS - Defeito de fabric./Ruído"/>
    <s v="FUNCIONAL"/>
    <x v="1"/>
    <n v="80834"/>
    <s v="REFRIMAQ COMERCIO DE PECAS"/>
    <s v="RO"/>
    <n v="934"/>
    <s v="CDP Ouro"/>
    <n v="1350"/>
    <s v="W11299803"/>
    <s v="Mecanismos"/>
    <x v="4"/>
    <n v="2"/>
    <n v="5002858"/>
    <s v="FAVORITA TRANSPORTES LTDA"/>
    <n v="220.1"/>
    <d v="2025-06-23T00:00:00"/>
  </r>
  <r>
    <n v="254041868"/>
    <n v="64785947"/>
    <s v="REB"/>
    <n v="10072876"/>
    <n v="167"/>
    <s v="PEÇAS - Avaria - Quebrada/Depósito"/>
    <s v="LOGÍSTICA"/>
    <x v="2"/>
    <n v="27790"/>
    <s v="HO COMERCIO E SERVICOS DE PECAS"/>
    <s v="SE"/>
    <n v="934"/>
    <s v="CDP Ouro"/>
    <n v="1350"/>
    <n v="326047714"/>
    <s v="Prateleiras"/>
    <x v="1"/>
    <n v="1"/>
    <n v="5004101"/>
    <s v="UNIDOCK'S ASSESSORIA E LOGISTICA DE"/>
    <n v="43.04"/>
    <d v="2025-06-23T00:00:00"/>
  </r>
  <r>
    <n v="254012434"/>
    <n v="64785983"/>
    <s v="REB"/>
    <n v="9862342"/>
    <n v="177"/>
    <s v="PEÇAS - Defeito de fabric./Ruído"/>
    <s v="FUNCIONAL"/>
    <x v="2"/>
    <n v="1255"/>
    <s v="PRAMAK REFRIGERACAO, PECAS E"/>
    <s v="CE"/>
    <n v="931"/>
    <s v="Ats Off"/>
    <n v="1350"/>
    <s v="W11677211"/>
    <s v="Compressores Herméticos"/>
    <x v="0"/>
    <n v="1"/>
    <n v="5004101"/>
    <s v="UNIDOCK'S ASSESSORIA E LOGISTICA DE"/>
    <n v="410.49"/>
    <d v="2025-06-10T00:00:00"/>
  </r>
  <r>
    <s v="Sem TR"/>
    <n v="64786600"/>
    <s v="REB"/>
    <n v="10037575"/>
    <n v="509"/>
    <s v="Qtd de peças a Menor dentro do Volume"/>
    <s v="LOGÍSTICA"/>
    <x v="1"/>
    <n v="31790"/>
    <s v="TEIXEIRA &amp; TEIXEIRA COMERCIO"/>
    <s v="SP"/>
    <n v="350"/>
    <s v="Ats On"/>
    <n v="1350"/>
    <s v="W10290362"/>
    <s v="Dispensers"/>
    <x v="1"/>
    <n v="1"/>
    <n v="5002359"/>
    <s v="EMPRESA BRASILEIRA DE CORREIOS E"/>
    <n v="72"/>
    <d v="2025-06-05T00:00:00"/>
  </r>
  <r>
    <n v="254012592"/>
    <n v="64787105"/>
    <s v="REB"/>
    <n v="9965623"/>
    <n v="173"/>
    <s v="PEÇAS - Defeito de fabric./Alta Amperage"/>
    <s v="FUNCIONAL"/>
    <x v="1"/>
    <n v="67948"/>
    <s v="REFRICRIL DISTRIBUIDORA DE AR REFRI"/>
    <s v="SC"/>
    <n v="713"/>
    <s v="Key Account"/>
    <n v="1350"/>
    <s v="W10518617"/>
    <s v="Atuadores"/>
    <x v="4"/>
    <n v="1"/>
    <n v="5003024"/>
    <s v="RODOBRAS TRANSPORTES RODOVIARIOS LT"/>
    <n v="31.25"/>
    <d v="2025-06-10T00:00:00"/>
  </r>
  <r>
    <n v="254018238"/>
    <n v="64787143"/>
    <s v="REB"/>
    <n v="9259043"/>
    <n v="176"/>
    <s v="PEÇAS - Defeito de fabric./Interrompido"/>
    <s v="FUNCIONAL"/>
    <x v="1"/>
    <n v="24089"/>
    <s v="REVOLUTION COMERCIO E SERV"/>
    <s v="RJ"/>
    <n v="931"/>
    <s v="Ats Off"/>
    <n v="1350"/>
    <s v="W10274105"/>
    <s v="Capacitores"/>
    <x v="2"/>
    <n v="1"/>
    <n v="5003176"/>
    <s v="J C THEDIN TRANSPORTES LTDA"/>
    <n v="34.880000000000003"/>
    <d v="2025-06-17T00:00:00"/>
  </r>
  <r>
    <s v="Sem TR"/>
    <n v="64787362"/>
    <s v="REB"/>
    <n v="10057095"/>
    <n v="509"/>
    <s v="Qtd de peças a Menor dentro do Volume"/>
    <s v="LOGÍSTICA"/>
    <x v="2"/>
    <n v="24994"/>
    <s v="ROSA MARIA CORREA RIBEIRO &amp; CIA LT"/>
    <s v="MG"/>
    <n v="350"/>
    <s v="Ats On"/>
    <n v="1350"/>
    <s v="W11555162"/>
    <s v="Espargidores"/>
    <x v="4"/>
    <n v="1"/>
    <n v="5002359"/>
    <s v="EMPRESA BRASILEIRA DE CORREIOS E"/>
    <n v="22.63"/>
    <d v="2025-06-06T00:00:00"/>
  </r>
  <r>
    <s v="Sem TR"/>
    <n v="64787363"/>
    <s v="REB"/>
    <n v="10057096"/>
    <n v="509"/>
    <s v="Qtd de peças a Menor dentro do Volume"/>
    <s v="LOGÍSTICA"/>
    <x v="2"/>
    <n v="24994"/>
    <s v="ROSA MARIA CORREA RIBEIRO &amp; CIA LT"/>
    <s v="MG"/>
    <n v="350"/>
    <s v="Ats On"/>
    <n v="1350"/>
    <n v="326073242"/>
    <s v="Placas de Controle"/>
    <x v="2"/>
    <n v="1"/>
    <n v="5002359"/>
    <s v="EMPRESA BRASILEIRA DE CORREIOS E"/>
    <n v="133.26"/>
    <d v="2025-06-06T00:00:00"/>
  </r>
  <r>
    <s v="Sem TR"/>
    <n v="64787643"/>
    <s v="REB"/>
    <n v="10120393"/>
    <n v="177"/>
    <s v="PEÇAS - Defeito de fabric./Ruído"/>
    <s v="FUNCIONAL"/>
    <x v="1"/>
    <n v="24994"/>
    <s v="ROSA MARIA CORREA RIBEIRO &amp; CIA LT"/>
    <s v="MG"/>
    <n v="350"/>
    <s v="Ats On"/>
    <n v="1350"/>
    <s v="W10897149"/>
    <s v="Rolamentos"/>
    <x v="4"/>
    <n v="1"/>
    <n v="5004215"/>
    <s v="BRASIL WEB TRANSPORTES E LOGISTICA"/>
    <n v="8.44"/>
    <d v="2025-08-14T00:00:00"/>
  </r>
  <r>
    <n v="254009589"/>
    <n v="64787898"/>
    <s v="ROB"/>
    <n v="10075359"/>
    <n v="170"/>
    <s v="PEÇAS - Avaria - Riscada/Depósito"/>
    <s v="LOGÍSTICA"/>
    <x v="1"/>
    <n v="84461"/>
    <s v="PWA SERVICE - ELETRO ELETRONICO LTD"/>
    <s v="SP"/>
    <n v="350"/>
    <s v="Ats On"/>
    <n v="1350"/>
    <s v="W11627749"/>
    <s v="Manuais do Consumidor"/>
    <x v="12"/>
    <n v="42"/>
    <n v="5004101"/>
    <s v="UNIDOCK'S ASSESSORIA E LOGISTICA DE"/>
    <n v="59.22"/>
    <d v="2025-06-06T00:00:00"/>
  </r>
  <r>
    <n v="254012515"/>
    <n v="64787913"/>
    <s v="REB"/>
    <n v="9793635"/>
    <n v="173"/>
    <s v="PEÇAS - Defeito de fabric./Alta Amperage"/>
    <s v="FUNCIONAL"/>
    <x v="2"/>
    <n v="32533"/>
    <s v="FRIGELAR COM. DISTRIBUICAO S/A"/>
    <s v="PE"/>
    <n v="713"/>
    <s v="Key Account"/>
    <n v="1350"/>
    <s v="W11299803"/>
    <s v="Mecanismos"/>
    <x v="4"/>
    <n v="1"/>
    <n v="5004101"/>
    <s v="UNIDOCK'S ASSESSORIA E LOGISTICA DE"/>
    <n v="82.93"/>
    <d v="2025-06-10T00:00:00"/>
  </r>
  <r>
    <n v="254038398"/>
    <n v="64787968"/>
    <s v="REB"/>
    <n v="9536883"/>
    <n v="178"/>
    <s v="PEÇAS -Defeito de fabric./Sem Compressão"/>
    <s v="FUNCIONAL"/>
    <x v="1"/>
    <n v="80432"/>
    <s v="FRIORIO DISTRIBUIDOR DE PECAS PARA"/>
    <s v="ES"/>
    <n v="713"/>
    <s v="Key Account"/>
    <n v="1350"/>
    <s v="W11677209"/>
    <s v="Compressores Herméticos"/>
    <x v="0"/>
    <n v="33"/>
    <n v="5004042"/>
    <s v="BRASIL WEB TRANSPORTES E LOGISTICA"/>
    <n v="8695.2999999999993"/>
    <d v="2025-07-22T00:00:00"/>
  </r>
  <r>
    <s v="Sem TR"/>
    <n v="64788178"/>
    <s v="REB"/>
    <n v="10030522"/>
    <n v="173"/>
    <s v="PEÇAS - Defeito de fabric./Alta Amperage"/>
    <s v="FUNCIONAL"/>
    <x v="1"/>
    <n v="22040"/>
    <s v="LM COMERCIO E SERVICOS EM SISTEMA"/>
    <s v="SP"/>
    <n v="350"/>
    <s v="Ats On"/>
    <n v="1350"/>
    <s v="W10631936"/>
    <s v="Lâmpadas"/>
    <x v="2"/>
    <n v="1"/>
    <n v="5004042"/>
    <s v="BRASIL WEB TRANSPORTES E LOGISTICA"/>
    <n v="31.7"/>
    <d v="2025-06-07T00:00:00"/>
  </r>
  <r>
    <n v="254033319"/>
    <n v="64788388"/>
    <s v="REB"/>
    <n v="10082965"/>
    <n v="173"/>
    <s v="PEÇAS - Defeito de fabric./Alta Amperage"/>
    <s v="FUNCIONAL"/>
    <x v="1"/>
    <n v="26939"/>
    <s v="TEMPERFRIO-DISTRIBUICAO E"/>
    <s v="PR"/>
    <n v="643"/>
    <s v="Elite"/>
    <n v="1350"/>
    <s v="W11160655"/>
    <s v="Placas de Interface"/>
    <x v="2"/>
    <n v="7"/>
    <n v="5003024"/>
    <s v="RODOBRAS TRANSPORTES RODOVIARIOS LT"/>
    <n v="881.89"/>
    <d v="2025-07-08T00:00:00"/>
  </r>
  <r>
    <n v="254012550"/>
    <n v="64788482"/>
    <s v="REB"/>
    <n v="9966084"/>
    <n v="176"/>
    <s v="PEÇAS - Defeito de fabric./Interrompido"/>
    <s v="FUNCIONAL"/>
    <x v="2"/>
    <n v="58276"/>
    <s v="CHAMATEC COMERCIO E"/>
    <s v="CE"/>
    <n v="644"/>
    <s v="Plus"/>
    <n v="1350"/>
    <s v="W10586927"/>
    <s v="Placas de Controle"/>
    <x v="2"/>
    <n v="1"/>
    <n v="5004101"/>
    <s v="UNIDOCK'S ASSESSORIA E LOGISTICA DE"/>
    <n v="172.48"/>
    <d v="2025-06-10T00:00:00"/>
  </r>
  <r>
    <n v="254012438"/>
    <n v="64788483"/>
    <s v="REB"/>
    <n v="10027801"/>
    <n v="177"/>
    <s v="PEÇAS - Defeito de fabric./Ruído"/>
    <s v="FUNCIONAL"/>
    <x v="1"/>
    <n v="3361"/>
    <s v="J LOURENCO SOBRINHO"/>
    <s v="SP"/>
    <n v="350"/>
    <s v="Ats On"/>
    <n v="1350"/>
    <s v="W11300816"/>
    <s v="Mecanismos"/>
    <x v="4"/>
    <n v="1"/>
    <n v="5004042"/>
    <s v="BRASIL WEB TRANSPORTES E LOGISTICA"/>
    <n v="139.13999999999999"/>
    <d v="2025-06-10T00:00:00"/>
  </r>
  <r>
    <n v="254012491"/>
    <n v="64788500"/>
    <s v="REB"/>
    <n v="10060714"/>
    <n v="167"/>
    <s v="PEÇAS - Avaria - Quebrada/Depósito"/>
    <s v="LOGÍSTICA"/>
    <x v="1"/>
    <n v="27574"/>
    <s v="GLACIAL REFRIG MAQ E EQUIP LTDA"/>
    <s v="SP"/>
    <n v="641"/>
    <s v="CDP Diamante"/>
    <n v="1350"/>
    <s v="W10619463"/>
    <s v="Pressostatos"/>
    <x v="8"/>
    <n v="2"/>
    <n v="5004042"/>
    <s v="BRASIL WEB TRANSPORTES E LOGISTICA"/>
    <n v="84.57"/>
    <d v="2025-06-10T00:00:00"/>
  </r>
  <r>
    <n v="254012458"/>
    <n v="64788633"/>
    <s v="REB"/>
    <n v="10045793"/>
    <n v="167"/>
    <s v="PEÇAS - Avaria - Quebrada/Depósito"/>
    <s v="LOGÍSTICA"/>
    <x v="2"/>
    <n v="9248"/>
    <s v="ELETROMAR MOVEIS E ELETRODOM LTDA"/>
    <s v="MT"/>
    <n v="932"/>
    <s v="CDP Prata"/>
    <n v="1350"/>
    <n v="326039088"/>
    <s v="Gabinetes"/>
    <x v="3"/>
    <n v="1"/>
    <n v="5002573"/>
    <s v="CARVALIMA TRANSPORTES LTDA"/>
    <n v="396.89"/>
    <d v="2025-06-10T00:00:00"/>
  </r>
  <r>
    <n v="254053853"/>
    <n v="64788771"/>
    <s v="REB"/>
    <n v="9954719"/>
    <n v="176"/>
    <s v="PEÇAS - Defeito de fabric./Interrompido"/>
    <s v="FUNCIONAL"/>
    <x v="1"/>
    <n v="3594"/>
    <s v="MIRIM SERV COM DE PECAS E REPAROS"/>
    <s v="SP"/>
    <n v="350"/>
    <s v="Ats On"/>
    <n v="1350"/>
    <s v="W10269365"/>
    <s v="Placas de Controle"/>
    <x v="2"/>
    <n v="1"/>
    <n v="5004042"/>
    <s v="BRASIL WEB TRANSPORTES E LOGISTICA"/>
    <n v="214.31"/>
    <d v="2025-07-08T00:00:00"/>
  </r>
  <r>
    <n v="254018258"/>
    <n v="64788821"/>
    <s v="REB"/>
    <n v="9939598"/>
    <n v="178"/>
    <s v="PEÇAS -Defeito de fabric./Sem Compressão"/>
    <s v="FUNCIONAL"/>
    <x v="1"/>
    <n v="29164"/>
    <s v="BRASTEMAK REFRIGERACAO LTDA"/>
    <s v="BA"/>
    <n v="648"/>
    <s v="Ultra"/>
    <n v="1350"/>
    <s v="W11677211"/>
    <s v="Compressores Herméticos"/>
    <x v="0"/>
    <n v="1"/>
    <n v="5004101"/>
    <s v="UNIDOCK'S ASSESSORIA E LOGISTICA DE"/>
    <n v="444.49"/>
    <d v="2025-06-17T00:00:00"/>
  </r>
  <r>
    <n v="254044304"/>
    <n v="64788880"/>
    <s v="REB"/>
    <n v="10051268"/>
    <n v="176"/>
    <s v="PEÇAS - Defeito de fabric./Interrompido"/>
    <s v="FUNCIONAL"/>
    <x v="1"/>
    <n v="22041"/>
    <s v="VIP SERVICE COMERCIO DE PECAS"/>
    <s v="SP"/>
    <n v="931"/>
    <s v="Ats Off"/>
    <n v="1350"/>
    <n v="326008340"/>
    <s v="Anéis de Vedação"/>
    <x v="10"/>
    <n v="1"/>
    <n v="5004042"/>
    <s v="BRASIL WEB TRANSPORTES E LOGISTICA"/>
    <n v="18.420000000000002"/>
    <d v="2025-06-10T00:00:00"/>
  </r>
  <r>
    <n v="254012454"/>
    <n v="64788908"/>
    <s v="REB"/>
    <n v="10055112"/>
    <n v="165"/>
    <s v="PEÇAS - Defeito de fabric./Incompleta"/>
    <s v="FUNCIONAL"/>
    <x v="1"/>
    <n v="5011"/>
    <s v="GIANI PECAS E SERVICOS PARA"/>
    <s v="RS"/>
    <n v="350"/>
    <s v="Ats On"/>
    <n v="1350"/>
    <s v="W11197058"/>
    <s v="Trempes"/>
    <x v="3"/>
    <n v="1"/>
    <n v="5003024"/>
    <s v="RODOBRAS TRANSPORTES RODOVIARIOS LT"/>
    <n v="158.33000000000001"/>
    <d v="2025-06-10T00:00:00"/>
  </r>
  <r>
    <n v="254024305"/>
    <n v="64789028"/>
    <s v="ROB"/>
    <n v="10108733"/>
    <n v="115"/>
    <s v="PEÇAS-Recusa do cliente"/>
    <s v="COMERCIAL"/>
    <x v="1"/>
    <n v="32856"/>
    <s v="REFRIGERACAO DUFRIO"/>
    <s v="PR"/>
    <n v="713"/>
    <s v="Key Account"/>
    <n v="1350"/>
    <s v="W10515645"/>
    <s v="Filtros"/>
    <x v="6"/>
    <n v="9"/>
    <n v="5003024"/>
    <s v="RODOBRAS TRANSPORTES RODOVIARIOS LT"/>
    <n v="181.08"/>
    <d v="2025-07-02T00:00:00"/>
  </r>
  <r>
    <n v="254012628"/>
    <n v="64789079"/>
    <s v="REB"/>
    <n v="10042418"/>
    <n v="165"/>
    <s v="PEÇAS - Defeito de fabric./Incompleta"/>
    <s v="FUNCIONAL"/>
    <x v="1"/>
    <n v="83581"/>
    <s v="ELLIMAQ REFRIGERACAO"/>
    <s v="SP"/>
    <n v="932"/>
    <s v="CDP Prata"/>
    <n v="1350"/>
    <s v="W10688302"/>
    <s v="Manípulos"/>
    <x v="3"/>
    <n v="5"/>
    <n v="5004042"/>
    <s v="BRASIL WEB TRANSPORTES E LOGISTICA"/>
    <n v="151.26"/>
    <d v="2025-06-10T00:00:00"/>
  </r>
  <r>
    <n v="254012608"/>
    <n v="64789099"/>
    <s v="REB"/>
    <n v="10058408"/>
    <n v="167"/>
    <s v="PEÇAS - Avaria - Quebrada/Depósito"/>
    <s v="LOGÍSTICA"/>
    <x v="1"/>
    <n v="72205"/>
    <s v="TECMASTER COMERCIO DE PECAS"/>
    <s v="SP"/>
    <n v="641"/>
    <s v="CDP Diamante"/>
    <n v="1350"/>
    <s v="W10200101"/>
    <s v="Prateleiras"/>
    <x v="1"/>
    <n v="1"/>
    <n v="5004042"/>
    <s v="BRASIL WEB TRANSPORTES E LOGISTICA"/>
    <n v="38.69"/>
    <d v="2025-06-10T00:00:00"/>
  </r>
  <r>
    <n v="254012608"/>
    <n v="64789099"/>
    <s v="REB"/>
    <n v="10058408"/>
    <n v="167"/>
    <s v="PEÇAS - Avaria - Quebrada/Depósito"/>
    <s v="LOGÍSTICA"/>
    <x v="1"/>
    <n v="72205"/>
    <s v="TECMASTER COMERCIO DE PECAS"/>
    <s v="SP"/>
    <n v="641"/>
    <s v="CDP Diamante"/>
    <n v="1350"/>
    <s v="W10212441"/>
    <s v="Prateleiras"/>
    <x v="1"/>
    <n v="1"/>
    <n v="5004042"/>
    <s v="BRASIL WEB TRANSPORTES E LOGISTICA"/>
    <n v="27.29"/>
    <d v="2025-06-10T00:00:00"/>
  </r>
  <r>
    <n v="254012490"/>
    <n v="64789116"/>
    <s v="REB"/>
    <n v="9692356"/>
    <n v="178"/>
    <s v="PEÇAS -Defeito de fabric./Sem Compressão"/>
    <s v="FUNCIONAL"/>
    <x v="2"/>
    <n v="27253"/>
    <s v="S.M. QUARESMA"/>
    <s v="PI"/>
    <n v="931"/>
    <s v="Ats Off"/>
    <n v="1350"/>
    <s v="W11741179"/>
    <s v="Outros"/>
    <x v="5"/>
    <n v="2"/>
    <n v="5004101"/>
    <s v="UNIDOCK'S ASSESSORIA E LOGISTICA DE"/>
    <n v="696.05"/>
    <d v="2025-06-10T00:00:00"/>
  </r>
  <r>
    <n v="254012489"/>
    <n v="64789117"/>
    <s v="REB"/>
    <n v="8589407"/>
    <n v="173"/>
    <s v="PEÇAS - Defeito de fabric./Alta Amperage"/>
    <s v="FUNCIONAL"/>
    <x v="2"/>
    <n v="27253"/>
    <s v="S.M. QUARESMA"/>
    <s v="PI"/>
    <n v="931"/>
    <s v="Ats Off"/>
    <n v="1350"/>
    <s v="W10799397"/>
    <s v="Compressores Herméticos"/>
    <x v="0"/>
    <n v="1"/>
    <n v="5004101"/>
    <s v="UNIDOCK'S ASSESSORIA E LOGISTICA DE"/>
    <n v="287.32"/>
    <d v="2025-06-10T00:00:00"/>
  </r>
  <r>
    <n v="254012553"/>
    <n v="64789159"/>
    <s v="REB"/>
    <n v="10045883"/>
    <n v="167"/>
    <s v="PEÇAS - Avaria - Quebrada/Depósito"/>
    <s v="LOGÍSTICA"/>
    <x v="1"/>
    <n v="61467"/>
    <s v="ILES DAYANE ARAUJO"/>
    <s v="CE"/>
    <n v="644"/>
    <s v="Plus"/>
    <n v="1350"/>
    <s v="W11393157"/>
    <s v="Tampas Móveis"/>
    <x v="3"/>
    <n v="1"/>
    <n v="5004101"/>
    <s v="UNIDOCK'S ASSESSORIA E LOGISTICA DE"/>
    <n v="167.12"/>
    <d v="2025-06-10T00:00:00"/>
  </r>
  <r>
    <n v="254012506"/>
    <n v="64789166"/>
    <s v="REB"/>
    <n v="10015689"/>
    <n v="178"/>
    <s v="PEÇAS -Defeito de fabric./Sem Compressão"/>
    <s v="FUNCIONAL"/>
    <x v="1"/>
    <n v="29164"/>
    <s v="BRASTEMAK REFRIGERACAO LTDA"/>
    <s v="BA"/>
    <n v="648"/>
    <s v="Ultra"/>
    <n v="1350"/>
    <s v="W11516471"/>
    <s v="Compressores Herméticos"/>
    <x v="0"/>
    <n v="1"/>
    <n v="5004101"/>
    <s v="UNIDOCK'S ASSESSORIA E LOGISTICA DE"/>
    <n v="361.13"/>
    <d v="2025-06-10T00:00:00"/>
  </r>
  <r>
    <n v="254012627"/>
    <n v="64789175"/>
    <s v="REB"/>
    <n v="10063626"/>
    <n v="104"/>
    <s v="PEÇAS-Código trocado(embalag X conteúdo)"/>
    <s v="LOGÍSTICA"/>
    <x v="1"/>
    <n v="83572"/>
    <s v="GRAN ELETRO GOURMET LTDA"/>
    <s v="SP"/>
    <n v="931"/>
    <s v="Ats Off"/>
    <n v="1350"/>
    <n v="326062041"/>
    <s v="Recipientes de Evaporação"/>
    <x v="1"/>
    <n v="1"/>
    <n v="5004042"/>
    <s v="BRASIL WEB TRANSPORTES E LOGISTICA"/>
    <n v="18.309999999999999"/>
    <d v="2025-06-10T00:00:00"/>
  </r>
  <r>
    <n v="254012490"/>
    <n v="64789198"/>
    <s v="REB"/>
    <n v="8589407"/>
    <n v="178"/>
    <s v="PEÇAS -Defeito de fabric./Sem Compressão"/>
    <s v="FUNCIONAL"/>
    <x v="2"/>
    <n v="27253"/>
    <s v="S.M. QUARESMA"/>
    <s v="PI"/>
    <n v="931"/>
    <s v="Ats Off"/>
    <n v="1350"/>
    <s v="W10799397"/>
    <s v="Compressores Herméticos"/>
    <x v="0"/>
    <n v="1"/>
    <n v="5004101"/>
    <s v="UNIDOCK'S ASSESSORIA E LOGISTICA DE"/>
    <n v="287.32"/>
    <d v="2025-06-10T00:00:00"/>
  </r>
  <r>
    <n v="254012626"/>
    <n v="64789249"/>
    <s v="REB"/>
    <n v="10056062"/>
    <n v="160"/>
    <s v="OI Cancelada - Ver motivo no texto"/>
    <s v="OUTROS"/>
    <x v="2"/>
    <n v="83304"/>
    <s v="WJ PEREIRA PECAS ACESSORIOS E"/>
    <s v="SP"/>
    <n v="932"/>
    <s v="CDP Prata"/>
    <n v="1350"/>
    <s v="W10212150"/>
    <s v="Gavetas"/>
    <x v="1"/>
    <n v="3"/>
    <n v="5004042"/>
    <s v="BRASIL WEB TRANSPORTES E LOGISTICA"/>
    <n v="195.47"/>
    <d v="2025-06-10T00:00:00"/>
  </r>
  <r>
    <n v="254041652"/>
    <n v="64789323"/>
    <s v="REB"/>
    <n v="10082462"/>
    <n v="92"/>
    <s v="PEÇAS-Preço divergente"/>
    <s v="COMERCIAL"/>
    <x v="1"/>
    <n v="35368"/>
    <s v="MASP REFRIGERACAO E SERVICOS TECNIC"/>
    <s v="ES"/>
    <n v="350"/>
    <s v="Ats On"/>
    <n v="1350"/>
    <n v="326006796"/>
    <s v="Outros"/>
    <x v="5"/>
    <n v="2"/>
    <n v="5004042"/>
    <s v="BRASIL WEB TRANSPORTES E LOGISTICA"/>
    <n v="116.48"/>
    <d v="2025-06-24T00:00:00"/>
  </r>
  <r>
    <s v="Sem TR"/>
    <n v="64789329"/>
    <s v="REB"/>
    <n v="10044889"/>
    <n v="411"/>
    <s v="DEV-Extravio de PEÇAS (Transportadora)"/>
    <s v="TRANSPORTADORA"/>
    <x v="2"/>
    <n v="72786"/>
    <s v="FRIOLAR CONSERTOS DE"/>
    <s v="SC"/>
    <n v="643"/>
    <s v="Elite"/>
    <n v="1350"/>
    <s v="W10212441"/>
    <s v="Prateleiras"/>
    <x v="1"/>
    <n v="28"/>
    <n v="5003024"/>
    <s v="RODOBRAS TRANSPORTES RODOVIARIOS LT"/>
    <n v="499.98"/>
    <d v="2025-06-10T00:00:00"/>
  </r>
  <r>
    <n v="254042043"/>
    <n v="64789342"/>
    <s v="REB"/>
    <n v="10000210"/>
    <n v="173"/>
    <s v="PEÇAS - Defeito de fabric./Alta Amperage"/>
    <s v="FUNCIONAL"/>
    <x v="1"/>
    <n v="3236"/>
    <s v="FRISON THERM AR CONDICIONADO LTDA F"/>
    <s v="SP"/>
    <n v="931"/>
    <s v="Ats Off"/>
    <n v="1350"/>
    <s v="W11516472"/>
    <s v="Compressores Herméticos"/>
    <x v="0"/>
    <n v="1"/>
    <n v="5004042"/>
    <s v="BRASIL WEB TRANSPORTES E LOGISTICA"/>
    <n v="386.26"/>
    <d v="2025-06-24T00:00:00"/>
  </r>
  <r>
    <n v="254012515"/>
    <n v="64789364"/>
    <s v="REB"/>
    <n v="9799932"/>
    <n v="173"/>
    <s v="PEÇAS - Defeito de fabric./Alta Amperage"/>
    <s v="FUNCIONAL"/>
    <x v="2"/>
    <n v="32533"/>
    <s v="FRIGELAR COM. DISTRIBUICAO S/A"/>
    <s v="PE"/>
    <n v="713"/>
    <s v="Key Account"/>
    <n v="1350"/>
    <s v="W10709306"/>
    <s v="Placas de Controle"/>
    <x v="2"/>
    <n v="1"/>
    <n v="5004101"/>
    <s v="UNIDOCK'S ASSESSORIA E LOGISTICA DE"/>
    <n v="132.93"/>
    <d v="2025-06-10T00:00:00"/>
  </r>
  <r>
    <n v="254012528"/>
    <n v="64789368"/>
    <s v="REB"/>
    <n v="9860066"/>
    <n v="176"/>
    <s v="PEÇAS - Defeito de fabric./Interrompido"/>
    <s v="FUNCIONAL"/>
    <x v="2"/>
    <n v="46272"/>
    <s v="FRIGELAR COM. DISTRIBUICAO S/A"/>
    <s v="CE"/>
    <n v="713"/>
    <s v="Key Account"/>
    <n v="1350"/>
    <s v="W11299803"/>
    <s v="Mecanismos"/>
    <x v="4"/>
    <n v="3"/>
    <n v="5004101"/>
    <s v="UNIDOCK'S ASSESSORIA E LOGISTICA DE"/>
    <n v="262.70999999999998"/>
    <d v="2025-06-10T00:00:00"/>
  </r>
  <r>
    <n v="254012491"/>
    <n v="64789374"/>
    <s v="REB"/>
    <n v="10069903"/>
    <n v="167"/>
    <s v="PEÇAS - Avaria - Quebrada/Depósito"/>
    <s v="LOGÍSTICA"/>
    <x v="1"/>
    <n v="27574"/>
    <s v="GLACIAL REFRIG MAQ E EQUIP LTDA"/>
    <s v="SP"/>
    <n v="641"/>
    <s v="CDP Diamante"/>
    <n v="1350"/>
    <s v="W10616687"/>
    <s v="Capas"/>
    <x v="3"/>
    <n v="1"/>
    <n v="5004042"/>
    <s v="BRASIL WEB TRANSPORTES E LOGISTICA"/>
    <n v="36.19"/>
    <d v="2025-06-10T00:00:00"/>
  </r>
  <r>
    <n v="254012505"/>
    <n v="64789376"/>
    <s v="REB"/>
    <n v="10009026"/>
    <n v="173"/>
    <s v="PEÇAS - Defeito de fabric./Alta Amperage"/>
    <s v="FUNCIONAL"/>
    <x v="1"/>
    <n v="29164"/>
    <s v="BRASTEMAK REFRIGERACAO LTDA"/>
    <s v="BA"/>
    <n v="648"/>
    <s v="Ultra"/>
    <n v="1350"/>
    <s v="W11132066"/>
    <s v="Painéis de Controle"/>
    <x v="3"/>
    <n v="1"/>
    <n v="5004101"/>
    <s v="UNIDOCK'S ASSESSORIA E LOGISTICA DE"/>
    <n v="98.76"/>
    <d v="2025-06-10T00:00:00"/>
  </r>
  <r>
    <n v="254012505"/>
    <n v="64789376"/>
    <s v="REB"/>
    <n v="10009026"/>
    <n v="173"/>
    <s v="PEÇAS - Defeito de fabric./Alta Amperage"/>
    <s v="FUNCIONAL"/>
    <x v="1"/>
    <n v="29164"/>
    <s v="BRASTEMAK REFRIGERACAO LTDA"/>
    <s v="BA"/>
    <n v="648"/>
    <s v="Ultra"/>
    <n v="1350"/>
    <s v="W11160655"/>
    <s v="Placas de Interface"/>
    <x v="2"/>
    <n v="1"/>
    <n v="5004101"/>
    <s v="UNIDOCK'S ASSESSORIA E LOGISTICA DE"/>
    <n v="101.69"/>
    <d v="2025-06-10T00:00:00"/>
  </r>
  <r>
    <n v="254012479"/>
    <n v="64789395"/>
    <s v="REB"/>
    <n v="10063485"/>
    <n v="173"/>
    <s v="PEÇAS - Defeito de fabric./Alta Amperage"/>
    <s v="FUNCIONAL"/>
    <x v="1"/>
    <n v="21594"/>
    <s v="GOLD SERVICE COMERCIO"/>
    <s v="SP"/>
    <n v="931"/>
    <s v="Ats Off"/>
    <n v="1350"/>
    <n v="326012237"/>
    <s v="Motores"/>
    <x v="2"/>
    <n v="1"/>
    <n v="5004042"/>
    <s v="BRASIL WEB TRANSPORTES E LOGISTICA"/>
    <n v="128.16"/>
    <d v="2025-06-10T00:00:00"/>
  </r>
  <r>
    <n v="254012505"/>
    <n v="64789396"/>
    <s v="REB"/>
    <n v="10015689"/>
    <n v="178"/>
    <s v="PEÇAS -Defeito de fabric./Sem Compressão"/>
    <s v="FUNCIONAL"/>
    <x v="2"/>
    <n v="29164"/>
    <s v="BRASTEMAK REFRIGERACAO LTDA"/>
    <s v="BA"/>
    <n v="648"/>
    <s v="Ultra"/>
    <n v="1350"/>
    <s v="W11516471"/>
    <s v="Compressores Herméticos"/>
    <x v="0"/>
    <n v="1"/>
    <n v="5004101"/>
    <s v="UNIDOCK'S ASSESSORIA E LOGISTICA DE"/>
    <n v="361.13"/>
    <d v="2025-06-10T00:00:00"/>
  </r>
  <r>
    <n v="254012505"/>
    <n v="64789409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0393823"/>
    <s v="Compressores Herméticos"/>
    <x v="0"/>
    <n v="1"/>
    <n v="5004101"/>
    <s v="UNIDOCK'S ASSESSORIA E LOGISTICA DE"/>
    <n v="525.35"/>
    <d v="2025-06-10T00:00:00"/>
  </r>
  <r>
    <n v="254056485"/>
    <n v="64789433"/>
    <s v="REB"/>
    <n v="10111488"/>
    <n v="173"/>
    <s v="PEÇAS - Defeito de fabric./Alta Amperage"/>
    <s v="FUNCIONAL"/>
    <x v="2"/>
    <n v="40998"/>
    <s v="CALDEIRA E SANTOS LTDA M.E"/>
    <s v="GO"/>
    <n v="648"/>
    <s v="Ultra"/>
    <n v="1350"/>
    <s v="W10709306"/>
    <s v="Placas de Controle"/>
    <x v="2"/>
    <n v="1"/>
    <n v="5002858"/>
    <s v="FAVORITA TRANSPORTES LTDA"/>
    <n v="172.6"/>
    <d v="2025-08-15T00:00:00"/>
  </r>
  <r>
    <n v="254012550"/>
    <n v="64789443"/>
    <s v="REB"/>
    <n v="10002974"/>
    <n v="173"/>
    <s v="PEÇAS - Defeito de fabric./Alta Amperage"/>
    <s v="FUNCIONAL"/>
    <x v="2"/>
    <n v="58276"/>
    <s v="CHAMATEC COMERCIO E"/>
    <s v="CE"/>
    <n v="644"/>
    <s v="Plus"/>
    <n v="1350"/>
    <s v="W10849470"/>
    <s v="Bombas"/>
    <x v="2"/>
    <n v="1"/>
    <n v="5004101"/>
    <s v="UNIDOCK'S ASSESSORIA E LOGISTICA DE"/>
    <n v="32.99"/>
    <d v="2025-06-10T00:00:00"/>
  </r>
  <r>
    <n v="254012505"/>
    <n v="64789446"/>
    <s v="REB"/>
    <n v="9852024"/>
    <n v="173"/>
    <s v="PEÇAS - Defeito de fabric./Alta Amperage"/>
    <s v="FUNCIONAL"/>
    <x v="1"/>
    <n v="29164"/>
    <s v="BRASTEMAK REFRIGERACAO LTDA"/>
    <s v="BA"/>
    <n v="648"/>
    <s v="Ultra"/>
    <n v="1350"/>
    <s v="W10446925"/>
    <s v="Placas de Controle"/>
    <x v="2"/>
    <n v="1"/>
    <n v="5004101"/>
    <s v="UNIDOCK'S ASSESSORIA E LOGISTICA DE"/>
    <n v="115.56"/>
    <d v="2025-06-10T00:00:00"/>
  </r>
  <r>
    <n v="254012505"/>
    <n v="64789446"/>
    <s v="REB"/>
    <n v="9852024"/>
    <n v="173"/>
    <s v="PEÇAS - Defeito de fabric./Alta Amperage"/>
    <s v="FUNCIONAL"/>
    <x v="1"/>
    <n v="29164"/>
    <s v="BRASTEMAK REFRIGERACAO LTDA"/>
    <s v="BA"/>
    <n v="648"/>
    <s v="Ultra"/>
    <n v="1350"/>
    <s v="W11300816"/>
    <s v="Mecanismos"/>
    <x v="4"/>
    <n v="1"/>
    <n v="5004101"/>
    <s v="UNIDOCK'S ASSESSORIA E LOGISTICA DE"/>
    <n v="112.47"/>
    <d v="2025-06-10T00:00:00"/>
  </r>
  <r>
    <n v="254012530"/>
    <n v="64789450"/>
    <s v="REB"/>
    <n v="10053475"/>
    <n v="173"/>
    <s v="PEÇAS - Defeito de fabric./Alta Amperage"/>
    <s v="FUNCIONAL"/>
    <x v="0"/>
    <n v="47026"/>
    <s v="JR PECAS LTDA JR PECAS LTDA"/>
    <s v="BA"/>
    <n v="643"/>
    <s v="Elite"/>
    <n v="1350"/>
    <s v="W10838042"/>
    <s v="Placas de Controle"/>
    <x v="2"/>
    <n v="1"/>
    <n v="5004101"/>
    <s v="UNIDOCK'S ASSESSORIA E LOGISTICA DE"/>
    <n v="338.28"/>
    <d v="2025-06-10T00:00:00"/>
  </r>
  <r>
    <n v="254012528"/>
    <n v="64789495"/>
    <s v="REB"/>
    <n v="9860264"/>
    <n v="173"/>
    <s v="PEÇAS - Defeito de fabric./Alta Amperage"/>
    <s v="FUNCIONAL"/>
    <x v="2"/>
    <n v="46272"/>
    <s v="FRIGELAR COM. DISTRIBUICAO S/A"/>
    <s v="CE"/>
    <n v="713"/>
    <s v="Key Account"/>
    <n v="1350"/>
    <s v="W11634491"/>
    <s v="Placas de Controle"/>
    <x v="2"/>
    <n v="1"/>
    <n v="5004101"/>
    <s v="UNIDOCK'S ASSESSORIA E LOGISTICA DE"/>
    <n v="56.47"/>
    <d v="2025-06-10T00:00:00"/>
  </r>
  <r>
    <n v="254012528"/>
    <n v="64789564"/>
    <s v="REB"/>
    <n v="9776403"/>
    <n v="176"/>
    <s v="PEÇAS - Defeito de fabric./Interrompido"/>
    <s v="FUNCIONAL"/>
    <x v="2"/>
    <n v="46272"/>
    <s v="FRIGELAR COM. DISTRIBUICAO S/A"/>
    <s v="CE"/>
    <n v="713"/>
    <s v="Key Account"/>
    <n v="1350"/>
    <s v="W11300816"/>
    <s v="Mecanismos"/>
    <x v="4"/>
    <n v="3"/>
    <n v="5004101"/>
    <s v="UNIDOCK'S ASSESSORIA E LOGISTICA DE"/>
    <n v="312.60000000000002"/>
    <d v="2025-06-10T00:00:00"/>
  </r>
  <r>
    <n v="254012528"/>
    <n v="64789569"/>
    <s v="REB"/>
    <n v="9797541"/>
    <n v="173"/>
    <s v="PEÇAS - Defeito de fabric./Alta Amperage"/>
    <s v="FUNCIONAL"/>
    <x v="2"/>
    <n v="46272"/>
    <s v="FRIGELAR COM. DISTRIBUICAO S/A"/>
    <s v="CE"/>
    <n v="713"/>
    <s v="Key Account"/>
    <n v="1350"/>
    <s v="W11300675"/>
    <s v="Mecanismos"/>
    <x v="4"/>
    <n v="3"/>
    <n v="5004101"/>
    <s v="UNIDOCK'S ASSESSORIA E LOGISTICA DE"/>
    <n v="272.43"/>
    <d v="2025-06-10T00:00:00"/>
  </r>
  <r>
    <n v="254012551"/>
    <n v="64789574"/>
    <s v="REB"/>
    <n v="9829399"/>
    <n v="173"/>
    <s v="PEÇAS - Defeito de fabric./Alta Amperage"/>
    <s v="FUNCIONAL"/>
    <x v="2"/>
    <n v="59025"/>
    <s v="VICENTE E GOMES LTDA"/>
    <s v="AL"/>
    <n v="644"/>
    <s v="Plus"/>
    <n v="1350"/>
    <s v="W11123830"/>
    <s v="Placas de Controle"/>
    <x v="2"/>
    <n v="1"/>
    <n v="5004101"/>
    <s v="UNIDOCK'S ASSESSORIA E LOGISTICA DE"/>
    <n v="136.16"/>
    <d v="2025-06-10T00:00:00"/>
  </r>
  <r>
    <n v="254056468"/>
    <n v="64789770"/>
    <s v="REB"/>
    <n v="10027897"/>
    <n v="176"/>
    <s v="PEÇAS - Defeito de fabric./Interrompido"/>
    <s v="FUNCIONAL"/>
    <x v="1"/>
    <n v="25656"/>
    <s v="OFICIAL REFRIGERACAO COMERCIO"/>
    <s v="SP"/>
    <n v="931"/>
    <s v="Ats Off"/>
    <n v="1350"/>
    <s v="W10882241"/>
    <s v="Agitadores"/>
    <x v="4"/>
    <n v="1"/>
    <n v="5004042"/>
    <s v="BRASIL WEB TRANSPORTES E LOGISTICA"/>
    <n v="57.49"/>
    <d v="2025-06-17T00:00:00"/>
  </r>
  <r>
    <s v="Sem TR"/>
    <n v="64789832"/>
    <s v="REB"/>
    <n v="10065665"/>
    <n v="176"/>
    <s v="PEÇAS - Defeito de fabric./Interrompido"/>
    <s v="FUNCIONAL"/>
    <x v="1"/>
    <n v="3555"/>
    <s v="LESTE SERVICE PCS SERVICOS LTDA LES"/>
    <s v="SP"/>
    <n v="931"/>
    <s v="Ats Off"/>
    <n v="1350"/>
    <n v="326075877"/>
    <s v="Placas de Controle"/>
    <x v="2"/>
    <n v="1"/>
    <n v="5004042"/>
    <s v="BRASIL WEB TRANSPORTES E LOGISTICA"/>
    <n v="789.19"/>
    <d v="2025-06-11T00:00:00"/>
  </r>
  <r>
    <n v="254018317"/>
    <n v="64789841"/>
    <s v="REB"/>
    <n v="9942024"/>
    <n v="178"/>
    <s v="PEÇAS -Defeito de fabric./Sem Compressão"/>
    <s v="FUNCIONAL"/>
    <x v="2"/>
    <n v="50822"/>
    <s v="CLAYTON DE OLIVEIRA"/>
    <s v="AL"/>
    <n v="644"/>
    <s v="Plus"/>
    <n v="1350"/>
    <s v="W11647662"/>
    <s v="Compressores Herméticos"/>
    <x v="0"/>
    <n v="1"/>
    <n v="5004101"/>
    <s v="UNIDOCK'S ASSESSORIA E LOGISTICA DE"/>
    <n v="280.8"/>
    <d v="2025-06-16T00:00:00"/>
  </r>
  <r>
    <n v="254018321"/>
    <n v="64789842"/>
    <s v="REB"/>
    <n v="9864084"/>
    <n v="173"/>
    <s v="PEÇAS - Defeito de fabric./Alta Amperage"/>
    <s v="FUNCIONAL"/>
    <x v="2"/>
    <n v="53252"/>
    <s v="KI PONTO FRIO COMERCIO ATACADISTA"/>
    <s v="TO"/>
    <n v="641"/>
    <s v="CDP Diamante"/>
    <n v="1350"/>
    <n v="326061171"/>
    <s v="Placas de Controle"/>
    <x v="2"/>
    <n v="1"/>
    <n v="5002858"/>
    <s v="FAVORITA TRANSPORTES LTDA"/>
    <n v="251.06"/>
    <d v="2025-06-16T00:00:00"/>
  </r>
  <r>
    <n v="254053854"/>
    <n v="64789951"/>
    <s v="REB"/>
    <n v="10025111"/>
    <n v="177"/>
    <s v="PEÇAS - Defeito de fabric./Ruído"/>
    <s v="FUNCIONAL"/>
    <x v="1"/>
    <n v="27804"/>
    <s v="REFRIGERACAO MAGAZINE DO FRIO LTDA"/>
    <s v="SP"/>
    <n v="641"/>
    <s v="CDP Diamante"/>
    <n v="1350"/>
    <s v="W11299805"/>
    <s v="Mecanismos"/>
    <x v="4"/>
    <n v="1"/>
    <n v="5004042"/>
    <s v="BRASIL WEB TRANSPORTES E LOGISTICA"/>
    <n v="142.85"/>
    <d v="2025-06-17T00:00:00"/>
  </r>
  <r>
    <n v="254018224"/>
    <n v="64790337"/>
    <s v="REB"/>
    <n v="9860594"/>
    <n v="176"/>
    <s v="PEÇAS - Defeito de fabric./Interrompido"/>
    <s v="FUNCIONAL"/>
    <x v="1"/>
    <n v="13757"/>
    <s v="FRIGELAR COMÉRCIO E INDÚSTRIA LTDA"/>
    <s v="SP"/>
    <n v="713"/>
    <s v="Key Account"/>
    <n v="1350"/>
    <s v="W10678919"/>
    <s v="Placas de Controle"/>
    <x v="2"/>
    <n v="1"/>
    <n v="5004042"/>
    <s v="BRASIL WEB TRANSPORTES E LOGISTICA"/>
    <n v="65.5"/>
    <d v="2025-06-16T00:00:00"/>
  </r>
  <r>
    <n v="254042009"/>
    <n v="64790713"/>
    <s v="REB"/>
    <n v="9605699"/>
    <n v="176"/>
    <s v="PEÇAS - Defeito de fabric./Interrompido"/>
    <s v="FUNCIONAL"/>
    <x v="1"/>
    <n v="78757"/>
    <s v="POSFRIO REFRIGERACAO LTDA"/>
    <s v="RS"/>
    <n v="643"/>
    <s v="Elite"/>
    <n v="1350"/>
    <s v="W11268186"/>
    <s v="Placas de Controle"/>
    <x v="2"/>
    <n v="1"/>
    <n v="5003024"/>
    <s v="RODOBRAS TRANSPORTES RODOVIARIOS LT"/>
    <n v="122.49"/>
    <d v="2025-06-23T00:00:00"/>
  </r>
  <r>
    <n v="254042989"/>
    <n v="64790838"/>
    <s v="REB"/>
    <n v="10073514"/>
    <n v="173"/>
    <s v="PEÇAS - Defeito de fabric./Alta Amperage"/>
    <s v="FUNCIONAL"/>
    <x v="1"/>
    <n v="2666"/>
    <s v="C.L.A"/>
    <s v="RJ"/>
    <n v="931"/>
    <s v="Ats Off"/>
    <n v="1350"/>
    <s v="W11191668"/>
    <s v="Motores"/>
    <x v="2"/>
    <n v="1"/>
    <n v="5003176"/>
    <s v="J C THEDIN TRANSPORTES LTDA"/>
    <n v="517.54999999999995"/>
    <d v="2025-06-30T00:00:00"/>
  </r>
  <r>
    <n v="254044305"/>
    <n v="64790921"/>
    <s v="REB"/>
    <n v="10051268"/>
    <n v="178"/>
    <s v="PEÇAS -Defeito de fabric./Sem Compressão"/>
    <s v="FUNCIONAL"/>
    <x v="2"/>
    <n v="22041"/>
    <s v="VIP SERVICE COMERCIO DE PECAS"/>
    <s v="SP"/>
    <n v="931"/>
    <s v="Ats Off"/>
    <n v="1350"/>
    <s v="W11606669"/>
    <s v="Compressores Herméticos"/>
    <x v="0"/>
    <n v="1"/>
    <n v="5004042"/>
    <s v="BRASIL WEB TRANSPORTES E LOGISTICA"/>
    <n v="708.47"/>
    <d v="2025-06-13T00:00:00"/>
  </r>
  <r>
    <n v="254044305"/>
    <n v="64790921"/>
    <s v="REB"/>
    <n v="10051268"/>
    <n v="178"/>
    <s v="PEÇAS -Defeito de fabric./Sem Compressão"/>
    <s v="FUNCIONAL"/>
    <x v="2"/>
    <n v="22041"/>
    <s v="VIP SERVICE COMERCIO DE PECAS"/>
    <s v="SP"/>
    <n v="931"/>
    <s v="Ats Off"/>
    <n v="1350"/>
    <s v="W11682256"/>
    <s v="Filtro Secadores"/>
    <x v="0"/>
    <n v="1"/>
    <n v="5004042"/>
    <s v="BRASIL WEB TRANSPORTES E LOGISTICA"/>
    <n v="25.07"/>
    <d v="2025-06-13T00:00:00"/>
  </r>
  <r>
    <n v="254053857"/>
    <n v="64790928"/>
    <s v="REB"/>
    <n v="10086400"/>
    <n v="167"/>
    <s v="PEÇAS - Avaria - Quebrada/Depósito"/>
    <s v="LOGÍSTICA"/>
    <x v="2"/>
    <n v="25656"/>
    <s v="OFICIAL REFRIGERACAO COMERCIO"/>
    <s v="SP"/>
    <n v="931"/>
    <s v="Ats Off"/>
    <n v="1350"/>
    <s v="W10437053"/>
    <s v="Parafusos e afins"/>
    <x v="7"/>
    <n v="1"/>
    <n v="5004042"/>
    <s v="BRASIL WEB TRANSPORTES E LOGISTICA"/>
    <n v="6.05"/>
    <d v="2025-06-23T00:00:00"/>
  </r>
  <r>
    <n v="254018391"/>
    <n v="64791093"/>
    <s v="REB"/>
    <n v="10066354"/>
    <n v="167"/>
    <s v="PEÇAS - Avaria - Quebrada/Depósito"/>
    <s v="LOGÍSTICA"/>
    <x v="2"/>
    <n v="87707"/>
    <s v="REFRIGERA BRASIL CLIMATIZACAO E REF"/>
    <s v="BA"/>
    <n v="648"/>
    <s v="Ultra"/>
    <n v="1350"/>
    <s v="W11363944"/>
    <s v="Capas"/>
    <x v="3"/>
    <n v="1"/>
    <n v="5004101"/>
    <s v="UNIDOCK'S ASSESSORIA E LOGISTICA DE"/>
    <n v="27.28"/>
    <d v="2025-06-16T00:00:00"/>
  </r>
  <r>
    <n v="254042338"/>
    <n v="64791136"/>
    <s v="ZDVP"/>
    <n v="9997508"/>
    <n v="176"/>
    <s v="PEÇAS - Defeito de fabric./Interrompido"/>
    <s v="FUNCIONAL"/>
    <x v="2"/>
    <n v="14474"/>
    <s v="NATAL SERVICE LTDA N"/>
    <s v="RN"/>
    <n v="648"/>
    <s v="Ultra"/>
    <n v="1350"/>
    <s v="W10518617"/>
    <s v="Atuadores"/>
    <x v="4"/>
    <n v="1"/>
    <n v="5004101"/>
    <s v="UNIDOCK'S ASSESSORIA E LOGISTICA DE"/>
    <n v="32.54"/>
    <d v="2025-06-24T00:00:00"/>
  </r>
  <r>
    <s v="Sem TR"/>
    <n v="64791225"/>
    <s v="REB"/>
    <n v="10033662"/>
    <n v="411"/>
    <s v="DEV-Extravio de PEÇAS (Transportadora)"/>
    <s v="TRANSPORTADORA"/>
    <x v="2"/>
    <n v="5094"/>
    <s v="ALMIR NARDINI &amp; CIA LTDA"/>
    <s v="RS"/>
    <n v="350"/>
    <s v="Ats On"/>
    <n v="1350"/>
    <s v="W10313529"/>
    <s v="Motores"/>
    <x v="2"/>
    <n v="4"/>
    <n v="5003024"/>
    <s v="RODOBRAS TRANSPORTES RODOVIARIOS LT"/>
    <n v="100.07"/>
    <d v="2025-06-13T00:00:00"/>
  </r>
  <r>
    <n v="254042275"/>
    <n v="64791553"/>
    <s v="REB"/>
    <n v="10066087"/>
    <n v="173"/>
    <s v="PEÇAS - Defeito de fabric./Alta Amperage"/>
    <s v="FUNCIONAL"/>
    <x v="1"/>
    <n v="69166"/>
    <s v="PC COMERCIO E REPARACAO DE APARELHO"/>
    <s v="RJ"/>
    <n v="931"/>
    <s v="Ats Off"/>
    <n v="1350"/>
    <s v="W10882241"/>
    <s v="Agitadores"/>
    <x v="4"/>
    <n v="1"/>
    <n v="5003176"/>
    <s v="J C THEDIN TRANSPORTES LTDA"/>
    <n v="59.26"/>
    <d v="2025-06-23T00:00:00"/>
  </r>
  <r>
    <n v="254018313"/>
    <n v="64791681"/>
    <s v="REB"/>
    <n v="10039576"/>
    <n v="90"/>
    <s v="CLIENTE-não solicitou"/>
    <s v="COMERCIAL"/>
    <x v="2"/>
    <n v="47689"/>
    <s v="LITORAL COMERCIO E SERV"/>
    <s v="PE"/>
    <n v="350"/>
    <s v="Ats On"/>
    <n v="1350"/>
    <s v="W10476183"/>
    <s v="Prateleiras"/>
    <x v="1"/>
    <n v="1"/>
    <n v="5004101"/>
    <s v="UNIDOCK'S ASSESSORIA E LOGISTICA DE"/>
    <n v="21.2"/>
    <d v="2025-06-16T00:00:00"/>
  </r>
  <r>
    <n v="254018328"/>
    <n v="64791696"/>
    <s v="REB"/>
    <n v="10045883"/>
    <n v="173"/>
    <s v="PEÇAS - Defeito de fabric./Alta Amperage"/>
    <s v="FUNCIONAL"/>
    <x v="1"/>
    <n v="61467"/>
    <s v="ILES DAYANE ARAUJO"/>
    <s v="CE"/>
    <n v="644"/>
    <s v="Plus"/>
    <n v="1350"/>
    <s v="W10518617"/>
    <s v="Atuadores"/>
    <x v="4"/>
    <n v="4"/>
    <n v="5004101"/>
    <s v="UNIDOCK'S ASSESSORIA E LOGISTICA DE"/>
    <n v="136.69999999999999"/>
    <d v="2025-06-16T00:00:00"/>
  </r>
  <r>
    <n v="254018328"/>
    <n v="64791696"/>
    <s v="REB"/>
    <n v="10045883"/>
    <n v="173"/>
    <s v="PEÇAS - Defeito de fabric./Alta Amperage"/>
    <s v="FUNCIONAL"/>
    <x v="1"/>
    <n v="61467"/>
    <s v="ILES DAYANE ARAUJO"/>
    <s v="CE"/>
    <n v="644"/>
    <s v="Plus"/>
    <n v="1350"/>
    <s v="W10721910"/>
    <s v="Pressostatos"/>
    <x v="8"/>
    <n v="1"/>
    <n v="5004101"/>
    <s v="UNIDOCK'S ASSESSORIA E LOGISTICA DE"/>
    <n v="26.57"/>
    <d v="2025-06-16T00:00:00"/>
  </r>
  <r>
    <n v="254020521"/>
    <n v="64791817"/>
    <s v="ZDVP"/>
    <n v="9840959"/>
    <n v="176"/>
    <s v="PEÇAS - Defeito de fabric./Interrompido"/>
    <s v="FUNCIONAL"/>
    <x v="2"/>
    <n v="29706"/>
    <s v="Campos Equipamentos e Refrigeração"/>
    <s v="RN"/>
    <n v="644"/>
    <s v="Plus"/>
    <n v="1350"/>
    <s v="W11299803"/>
    <s v="Mecanismos"/>
    <x v="4"/>
    <n v="1"/>
    <n v="5004101"/>
    <s v="UNIDOCK'S ASSESSORIA E LOGISTICA DE"/>
    <n v="87.91"/>
    <d v="2025-06-17T00:00:00"/>
  </r>
  <r>
    <n v="254042208"/>
    <n v="64792082"/>
    <s v="REB"/>
    <n v="9988834"/>
    <n v="176"/>
    <s v="PEÇAS - Defeito de fabric./Interrompido"/>
    <s v="FUNCIONAL"/>
    <x v="1"/>
    <n v="29731"/>
    <s v="FRIGELAR COMÉRCIO E INDÚSTRIA LTDA"/>
    <s v="RS"/>
    <n v="713"/>
    <s v="Key Account"/>
    <n v="1350"/>
    <s v="W11161217"/>
    <s v="Placas de Controle"/>
    <x v="2"/>
    <n v="1"/>
    <n v="5003024"/>
    <s v="RODOBRAS TRANSPORTES RODOVIARIOS LT"/>
    <n v="299.33"/>
    <d v="2025-06-23T00:00:00"/>
  </r>
  <r>
    <n v="254042337"/>
    <n v="64792106"/>
    <s v="REB"/>
    <n v="10079509"/>
    <n v="104"/>
    <s v="PEÇAS-Código trocado(embalag X conteúdo)"/>
    <s v="LOGÍSTICA"/>
    <x v="1"/>
    <n v="2666"/>
    <s v="C.L.A"/>
    <s v="RJ"/>
    <n v="931"/>
    <s v="Ats Off"/>
    <n v="1350"/>
    <s v="W11342952"/>
    <s v="Gaxetas"/>
    <x v="10"/>
    <n v="1"/>
    <n v="5003176"/>
    <s v="J C THEDIN TRANSPORTES LTDA"/>
    <n v="417.89"/>
    <d v="2025-06-17T00:00:00"/>
  </r>
  <r>
    <n v="254041756"/>
    <n v="64792153"/>
    <s v="REB"/>
    <n v="10085955"/>
    <n v="176"/>
    <s v="PEÇAS - Defeito de fabric./Interrompido"/>
    <s v="FUNCIONAL"/>
    <x v="1"/>
    <n v="83572"/>
    <s v="GRAN ELETRO GOURMET LTDA"/>
    <s v="SP"/>
    <n v="931"/>
    <s v="Ats Off"/>
    <n v="1350"/>
    <s v="W11603416"/>
    <s v="Placas de Controle"/>
    <x v="2"/>
    <n v="1"/>
    <n v="5004042"/>
    <s v="BRASIL WEB TRANSPORTES E LOGISTICA"/>
    <n v="249.1"/>
    <d v="2025-06-24T00:00:00"/>
  </r>
  <r>
    <n v="254053860"/>
    <n v="64792158"/>
    <s v="REB"/>
    <n v="10084196"/>
    <n v="167"/>
    <s v="PEÇAS - Avaria - Quebrada/Depósito"/>
    <s v="LOGÍSTICA"/>
    <x v="2"/>
    <n v="3694"/>
    <s v="DO LAR ELETRO TECNICA LTDA"/>
    <s v="SP"/>
    <n v="350"/>
    <s v="Ats On"/>
    <n v="1350"/>
    <s v="W10169464"/>
    <s v="Defletores/Difusores"/>
    <x v="6"/>
    <n v="1"/>
    <n v="5004042"/>
    <s v="BRASIL WEB TRANSPORTES E LOGISTICA"/>
    <n v="30.69"/>
    <d v="2025-06-23T00:00:00"/>
  </r>
  <r>
    <n v="254018332"/>
    <n v="64792232"/>
    <s v="REB"/>
    <n v="10045448"/>
    <n v="506"/>
    <s v="Qtd de peças a Maior dentro do Volume"/>
    <s v="LOGÍSTICA"/>
    <x v="2"/>
    <n v="64523"/>
    <s v="REFIGERAÇÃO DUFRIO"/>
    <s v="PB"/>
    <n v="713"/>
    <s v="Key Account"/>
    <n v="1350"/>
    <n v="326062041"/>
    <s v="Recipientes de Evaporação"/>
    <x v="1"/>
    <n v="27"/>
    <n v="5004101"/>
    <s v="UNIDOCK'S ASSESSORIA E LOGISTICA DE"/>
    <n v="324.18"/>
    <d v="2025-06-16T00:00:00"/>
  </r>
  <r>
    <n v="254018236"/>
    <n v="64792233"/>
    <s v="REB"/>
    <n v="10063004"/>
    <n v="90"/>
    <s v="CLIENTE-não solicitou"/>
    <s v="COMERCIAL"/>
    <x v="1"/>
    <n v="21647"/>
    <s v="MAREMAIS CONSERTOS LTDA. - EPP"/>
    <s v="PR"/>
    <n v="641"/>
    <s v="CDP Diamante"/>
    <n v="1350"/>
    <s v="W11300675"/>
    <s v="Mecanismos"/>
    <x v="4"/>
    <n v="3"/>
    <n v="5003024"/>
    <s v="RODOBRAS TRANSPORTES RODOVIARIOS LT"/>
    <n v="333.9"/>
    <d v="2025-06-16T00:00:00"/>
  </r>
  <r>
    <n v="254018235"/>
    <n v="64792272"/>
    <s v="REB"/>
    <n v="10058904"/>
    <n v="90"/>
    <s v="CLIENTE-não solicitou"/>
    <s v="COMERCIAL"/>
    <x v="1"/>
    <n v="21621"/>
    <s v="SAT SERVICOS DE ASSISTENCIA"/>
    <s v="SP"/>
    <n v="350"/>
    <s v="Ats On"/>
    <n v="1350"/>
    <n v="326071153"/>
    <s v="Filtros"/>
    <x v="6"/>
    <n v="1"/>
    <n v="5004042"/>
    <s v="BRASIL WEB TRANSPORTES E LOGISTICA"/>
    <n v="400.87"/>
    <d v="2025-06-16T00:00:00"/>
  </r>
  <r>
    <n v="254018235"/>
    <n v="64792272"/>
    <s v="REB"/>
    <n v="10058904"/>
    <n v="90"/>
    <s v="CLIENTE-não solicitou"/>
    <s v="COMERCIAL"/>
    <x v="1"/>
    <n v="21621"/>
    <s v="SAT SERVICOS DE ASSISTENCIA"/>
    <s v="SP"/>
    <n v="350"/>
    <s v="Ats On"/>
    <n v="1350"/>
    <s v="W10810920"/>
    <s v="Prateleiras"/>
    <x v="1"/>
    <n v="1"/>
    <n v="5004042"/>
    <s v="BRASIL WEB TRANSPORTES E LOGISTICA"/>
    <n v="91.95"/>
    <d v="2025-06-16T00:00:00"/>
  </r>
  <r>
    <n v="254018235"/>
    <n v="64792272"/>
    <s v="REB"/>
    <n v="10058904"/>
    <n v="90"/>
    <s v="CLIENTE-não solicitou"/>
    <s v="COMERCIAL"/>
    <x v="1"/>
    <n v="21621"/>
    <s v="SAT SERVICOS DE ASSISTENCIA"/>
    <s v="SP"/>
    <n v="350"/>
    <s v="Ats On"/>
    <n v="1350"/>
    <s v="W11090054"/>
    <s v="Interruptores"/>
    <x v="8"/>
    <n v="1"/>
    <n v="5004042"/>
    <s v="BRASIL WEB TRANSPORTES E LOGISTICA"/>
    <n v="43.1"/>
    <d v="2025-06-16T00:00:00"/>
  </r>
  <r>
    <n v="254018235"/>
    <n v="64792272"/>
    <s v="REB"/>
    <n v="10058904"/>
    <n v="90"/>
    <s v="CLIENTE-não solicitou"/>
    <s v="COMERCIAL"/>
    <x v="1"/>
    <n v="21621"/>
    <s v="SAT SERVICOS DE ASSISTENCIA"/>
    <s v="SP"/>
    <n v="350"/>
    <s v="Ats On"/>
    <n v="1350"/>
    <s v="W11320161"/>
    <s v="Vidros"/>
    <x v="3"/>
    <n v="1"/>
    <n v="5004042"/>
    <s v="BRASIL WEB TRANSPORTES E LOGISTICA"/>
    <n v="346.32"/>
    <d v="2025-06-16T00:00:00"/>
  </r>
  <r>
    <n v="254018260"/>
    <n v="64792276"/>
    <s v="REB"/>
    <n v="10007706"/>
    <n v="90"/>
    <s v="CLIENTE-não solicitou"/>
    <s v="COMERCIAL"/>
    <x v="2"/>
    <n v="29731"/>
    <s v="FRIGELAR COMÉRCIO E INDÚSTRIA LTDA"/>
    <s v="RS"/>
    <n v="713"/>
    <s v="Key Account"/>
    <n v="1350"/>
    <s v="W10882443"/>
    <s v="Placas de Controle"/>
    <x v="2"/>
    <n v="1"/>
    <n v="5003024"/>
    <s v="RODOBRAS TRANSPORTES RODOVIARIOS LT"/>
    <n v="331.91"/>
    <d v="2025-06-16T00:00:00"/>
  </r>
  <r>
    <n v="254018406"/>
    <n v="64792280"/>
    <s v="REB"/>
    <n v="10063242"/>
    <n v="167"/>
    <s v="PEÇAS - Avaria - Quebrada/Depósito"/>
    <s v="LOGÍSTICA"/>
    <x v="2"/>
    <n v="89222"/>
    <s v="MANASSES REFRIGERACAO E CLIMATIZACA"/>
    <s v="MA"/>
    <n v="934"/>
    <s v="CDP Ouro"/>
    <n v="1350"/>
    <s v="W10796892"/>
    <s v="Agitadores"/>
    <x v="4"/>
    <n v="1"/>
    <n v="5004101"/>
    <s v="UNIDOCK'S ASSESSORIA E LOGISTICA DE"/>
    <n v="52.53"/>
    <d v="2025-06-16T00:00:00"/>
  </r>
  <r>
    <n v="254018240"/>
    <n v="64792286"/>
    <s v="REB"/>
    <n v="10068034"/>
    <n v="167"/>
    <s v="PEÇAS - Avaria - Quebrada/Depósito"/>
    <s v="LOGÍSTICA"/>
    <x v="1"/>
    <n v="27337"/>
    <s v="REFRIGERACAO A C CATA VENTO LTDA"/>
    <s v="RJ"/>
    <n v="641"/>
    <s v="CDP Diamante"/>
    <n v="1350"/>
    <s v="W11364875"/>
    <s v="Válvulas de Água"/>
    <x v="6"/>
    <n v="1"/>
    <n v="5003176"/>
    <s v="J C THEDIN TRANSPORTES LTDA"/>
    <n v="29.38"/>
    <d v="2025-06-16T00:00:00"/>
  </r>
  <r>
    <n v="254018332"/>
    <n v="64792301"/>
    <s v="REB"/>
    <n v="10053540"/>
    <n v="167"/>
    <s v="PEÇAS - Avaria - Quebrada/Depósito"/>
    <s v="LOGÍSTICA"/>
    <x v="2"/>
    <n v="64523"/>
    <s v="REFIGERAÇÃO DUFRIO"/>
    <s v="PB"/>
    <n v="713"/>
    <s v="Key Account"/>
    <n v="1350"/>
    <s v="W10477178"/>
    <s v="Capas"/>
    <x v="3"/>
    <n v="4"/>
    <n v="5004101"/>
    <s v="UNIDOCK'S ASSESSORIA E LOGISTICA DE"/>
    <n v="81.260000000000005"/>
    <d v="2025-06-16T00:00:00"/>
  </r>
  <r>
    <n v="254018230"/>
    <n v="64792319"/>
    <s v="REB"/>
    <n v="10055445"/>
    <n v="90"/>
    <s v="CLIENTE-não solicitou"/>
    <s v="COMERCIAL"/>
    <x v="2"/>
    <n v="15493"/>
    <s v="EDUARDO RIBEIRO VIEIRA"/>
    <s v="BA"/>
    <n v="350"/>
    <s v="Ats On"/>
    <n v="1350"/>
    <s v="W11300698"/>
    <s v="Mecanismos"/>
    <x v="4"/>
    <n v="4"/>
    <n v="5004101"/>
    <s v="UNIDOCK'S ASSESSORIA E LOGISTICA DE"/>
    <n v="1025.68"/>
    <d v="2025-06-16T00:00:00"/>
  </r>
  <r>
    <n v="254018207"/>
    <n v="64792329"/>
    <s v="REB"/>
    <n v="10066366"/>
    <n v="167"/>
    <s v="PEÇAS - Avaria - Quebrada/Depósito"/>
    <s v="LOGÍSTICA"/>
    <x v="2"/>
    <n v="8975"/>
    <s v="FORT CENTER REFRIGERACAO LTDA"/>
    <s v="MA"/>
    <n v="931"/>
    <s v="Ats Off"/>
    <n v="1350"/>
    <s v="W11298039"/>
    <s v="Gavetas"/>
    <x v="1"/>
    <n v="1"/>
    <n v="5004101"/>
    <s v="UNIDOCK'S ASSESSORIA E LOGISTICA DE"/>
    <n v="89.11"/>
    <d v="2025-06-16T00:00:00"/>
  </r>
  <r>
    <n v="254018298"/>
    <n v="64792339"/>
    <s v="REB"/>
    <n v="8656903"/>
    <n v="168"/>
    <s v="PEÇAS-Def.Fabric.Empenamento/Abaulamento"/>
    <s v="FUNCIONAL"/>
    <x v="2"/>
    <n v="46272"/>
    <s v="FRIGELAR COM. DISTRIBUICAO S/A"/>
    <s v="CE"/>
    <n v="713"/>
    <s v="Key Account"/>
    <n v="1350"/>
    <s v="W10882241"/>
    <s v="Agitadores"/>
    <x v="4"/>
    <n v="1"/>
    <n v="5004101"/>
    <s v="UNIDOCK'S ASSESSORIA E LOGISTICA DE"/>
    <n v="34"/>
    <d v="2025-06-16T00:00:00"/>
  </r>
  <r>
    <n v="254018259"/>
    <n v="64792350"/>
    <s v="REB"/>
    <n v="9714108"/>
    <n v="176"/>
    <s v="PEÇAS - Defeito de fabric./Interrompido"/>
    <s v="FUNCIONAL"/>
    <x v="2"/>
    <n v="29706"/>
    <s v="Campos Equipamentos e Refrigeração"/>
    <s v="RN"/>
    <n v="644"/>
    <s v="Plus"/>
    <n v="1350"/>
    <s v="W10709306"/>
    <s v="Placas de Controle"/>
    <x v="2"/>
    <n v="1"/>
    <n v="5004101"/>
    <s v="UNIDOCK'S ASSESSORIA E LOGISTICA DE"/>
    <n v="160.72999999999999"/>
    <d v="2025-06-16T00:00:00"/>
  </r>
  <r>
    <n v="254018278"/>
    <n v="64792351"/>
    <s v="REB"/>
    <n v="9411004"/>
    <n v="176"/>
    <s v="PEÇAS - Defeito de fabric./Interrompido"/>
    <s v="FUNCIONAL"/>
    <x v="2"/>
    <n v="33403"/>
    <s v="J N SOARES REFRIGERACAO - ME"/>
    <s v="RN"/>
    <n v="648"/>
    <s v="Ultra"/>
    <n v="1350"/>
    <s v="W10393810"/>
    <s v="Compressores Herméticos"/>
    <x v="0"/>
    <n v="1"/>
    <n v="5004101"/>
    <s v="UNIDOCK'S ASSESSORIA E LOGISTICA DE"/>
    <n v="355.85"/>
    <d v="2025-06-16T00:00:00"/>
  </r>
  <r>
    <n v="254018189"/>
    <n v="64792353"/>
    <s v="REB"/>
    <n v="10024132"/>
    <n v="176"/>
    <s v="PEÇAS - Defeito de fabric./Interrompido"/>
    <s v="FUNCIONAL"/>
    <x v="1"/>
    <n v="4425"/>
    <s v="AGASERV COMERCIO E ASSISTENCIA"/>
    <s v="SC"/>
    <n v="931"/>
    <s v="Ats Off"/>
    <n v="1350"/>
    <s v="W10603895"/>
    <s v="Lâmpadas"/>
    <x v="2"/>
    <n v="1"/>
    <n v="5003024"/>
    <s v="RODOBRAS TRANSPORTES RODOVIARIOS LT"/>
    <n v="57.71"/>
    <d v="2025-06-16T00:00:00"/>
  </r>
  <r>
    <n v="254018330"/>
    <n v="64792421"/>
    <s v="REB"/>
    <n v="10067462"/>
    <n v="104"/>
    <s v="PEÇAS-Código trocado(embalag X conteúdo)"/>
    <s v="LOGÍSTICA"/>
    <x v="1"/>
    <n v="61675"/>
    <s v="BEAGA REFRIGERACAO LTDA"/>
    <s v="MG"/>
    <n v="643"/>
    <s v="Elite"/>
    <n v="1350"/>
    <s v="W11195522"/>
    <s v="Motores"/>
    <x v="2"/>
    <n v="1"/>
    <n v="5004215"/>
    <s v="BRASIL WEB TRANSPORTES E LOGISTICA"/>
    <n v="122.05"/>
    <d v="2025-06-16T00:00:00"/>
  </r>
  <r>
    <n v="254018209"/>
    <n v="64792422"/>
    <s v="REB"/>
    <n v="9991750"/>
    <n v="167"/>
    <s v="PEÇAS - Avaria - Quebrada/Depósito"/>
    <s v="LOGÍSTICA"/>
    <x v="2"/>
    <n v="9248"/>
    <s v="ELETROMAR MOVEIS E ELETRODOM LTDA"/>
    <s v="MT"/>
    <n v="932"/>
    <s v="CDP Prata"/>
    <n v="1350"/>
    <s v="W11679212"/>
    <s v="Outros"/>
    <x v="5"/>
    <n v="2"/>
    <n v="5002573"/>
    <s v="CARVALIMA TRANSPORTES LTDA"/>
    <n v="1509.25"/>
    <d v="2025-06-16T00:00:00"/>
  </r>
  <r>
    <n v="254018366"/>
    <n v="64792429"/>
    <s v="REB"/>
    <n v="10037665"/>
    <n v="176"/>
    <s v="PEÇAS - Defeito de fabric./Interrompido"/>
    <s v="FUNCIONAL"/>
    <x v="1"/>
    <n v="72332"/>
    <s v="ARGELO REFRIGERACAO LTDA"/>
    <s v="RJ"/>
    <n v="933"/>
    <s v="Top"/>
    <n v="1350"/>
    <s v="W11364875"/>
    <s v="Válvulas de Água"/>
    <x v="6"/>
    <n v="12"/>
    <n v="5003176"/>
    <s v="J C THEDIN TRANSPORTES LTDA"/>
    <n v="341.04"/>
    <d v="2025-06-16T00:00:00"/>
  </r>
  <r>
    <n v="254018211"/>
    <n v="64792459"/>
    <s v="REB"/>
    <n v="10079046"/>
    <n v="173"/>
    <s v="PEÇAS - Defeito de fabric./Alta Amperage"/>
    <s v="FUNCIONAL"/>
    <x v="1"/>
    <n v="9452"/>
    <s v="MULTICENTER COMERCIO E SERVICOS"/>
    <s v="SP"/>
    <n v="931"/>
    <s v="Ats Off"/>
    <n v="1350"/>
    <s v="W11687045"/>
    <s v="Tanques"/>
    <x v="1"/>
    <n v="1"/>
    <n v="5004042"/>
    <s v="BRASIL WEB TRANSPORTES E LOGISTICA"/>
    <n v="247.47"/>
    <d v="2025-06-16T00:00:00"/>
  </r>
  <r>
    <n v="254018228"/>
    <n v="64792474"/>
    <s v="REB"/>
    <n v="9968109"/>
    <n v="168"/>
    <s v="PEÇAS-Def.Fabric.Empenamento/Abaulamento"/>
    <s v="FUNCIONAL"/>
    <x v="1"/>
    <n v="13757"/>
    <s v="FRIGELAR COMÉRCIO E INDÚSTRIA LTDA"/>
    <s v="SP"/>
    <n v="713"/>
    <s v="Key Account"/>
    <n v="1350"/>
    <s v="W10882241"/>
    <s v="Agitadores"/>
    <x v="4"/>
    <n v="7"/>
    <n v="5004042"/>
    <s v="BRASIL WEB TRANSPORTES E LOGISTICA"/>
    <n v="255.02"/>
    <d v="2025-06-16T00:00:00"/>
  </r>
  <r>
    <n v="254053862"/>
    <n v="64792489"/>
    <s v="REB"/>
    <n v="9985171"/>
    <n v="176"/>
    <s v="PEÇAS - Defeito de fabric./Interrompido"/>
    <s v="FUNCIONAL"/>
    <x v="1"/>
    <n v="25656"/>
    <s v="OFICIAL REFRIGERACAO COMERCIO"/>
    <s v="SP"/>
    <n v="931"/>
    <s v="Ats Off"/>
    <n v="1350"/>
    <s v="W10882241"/>
    <s v="Agitadores"/>
    <x v="4"/>
    <n v="6"/>
    <n v="5004042"/>
    <s v="BRASIL WEB TRANSPORTES E LOGISTICA"/>
    <n v="344.95"/>
    <d v="2025-06-16T00:00:00"/>
  </r>
  <r>
    <n v="254018189"/>
    <n v="64792593"/>
    <s v="REB"/>
    <n v="10073567"/>
    <n v="176"/>
    <s v="PEÇAS - Defeito de fabric./Interrompido"/>
    <s v="FUNCIONAL"/>
    <x v="1"/>
    <n v="4425"/>
    <s v="AGASERV COMERCIO E ASSISTENCIA"/>
    <s v="SC"/>
    <n v="931"/>
    <s v="Ats Off"/>
    <n v="1350"/>
    <n v="326076881"/>
    <s v="Resistências"/>
    <x v="2"/>
    <n v="1"/>
    <n v="5003024"/>
    <s v="RODOBRAS TRANSPORTES RODOVIARIOS LT"/>
    <n v="63.15"/>
    <d v="2025-06-17T00:00:00"/>
  </r>
  <r>
    <s v="Sem TR"/>
    <n v="64792621"/>
    <s v="REB"/>
    <n v="10067386"/>
    <n v="125"/>
    <s v="DEV-Extravio de produto (Transportadora)"/>
    <s v="TRANSPORTADORA"/>
    <x v="2"/>
    <n v="27874"/>
    <s v="REFRIGERACAO ERECHIM COML TECNICA"/>
    <s v="RS"/>
    <n v="641"/>
    <s v="CDP Diamante"/>
    <n v="1350"/>
    <s v="W11647662"/>
    <s v="Compressores Herméticos"/>
    <x v="0"/>
    <n v="1"/>
    <n v="5003024"/>
    <s v="RODOBRAS TRANSPORTES RODOVIARIOS LT"/>
    <n v="276.06"/>
    <d v="2025-06-16T00:00:00"/>
  </r>
  <r>
    <n v="254018189"/>
    <n v="64792805"/>
    <s v="REB"/>
    <n v="10073563"/>
    <n v="176"/>
    <s v="PEÇAS - Defeito de fabric./Interrompido"/>
    <s v="FUNCIONAL"/>
    <x v="1"/>
    <n v="4425"/>
    <s v="AGASERV COMERCIO E ASSISTENCIA"/>
    <s v="SC"/>
    <n v="931"/>
    <s v="Ats Off"/>
    <n v="1350"/>
    <n v="326030548"/>
    <s v="Portas"/>
    <x v="3"/>
    <n v="1"/>
    <n v="5003024"/>
    <s v="RODOBRAS TRANSPORTES RODOVIARIOS LT"/>
    <n v="29.47"/>
    <d v="2025-06-17T00:00:00"/>
  </r>
  <r>
    <n v="254053863"/>
    <n v="64792806"/>
    <s v="REB"/>
    <n v="10041891"/>
    <n v="177"/>
    <s v="PEÇAS - Defeito de fabric./Ruído"/>
    <s v="FUNCIONAL"/>
    <x v="1"/>
    <n v="27804"/>
    <s v="REFRIGERACAO MAGAZINE DO FRIO LTDA"/>
    <s v="SP"/>
    <n v="641"/>
    <s v="CDP Diamante"/>
    <n v="1350"/>
    <s v="W11300816"/>
    <s v="Mecanismos"/>
    <x v="4"/>
    <n v="1"/>
    <n v="5004042"/>
    <s v="BRASIL WEB TRANSPORTES E LOGISTICA"/>
    <n v="140.21"/>
    <d v="2025-06-17T00:00:00"/>
  </r>
  <r>
    <s v="Sem TR"/>
    <n v="64792899"/>
    <s v="REB"/>
    <n v="10088092"/>
    <n v="167"/>
    <s v="PEÇAS - Avaria - Quebrada/Depósito"/>
    <s v="LOGÍSTICA"/>
    <x v="1"/>
    <n v="22041"/>
    <s v="VIP SERVICE COMERCIO DE PECAS"/>
    <s v="SP"/>
    <n v="931"/>
    <s v="Ats Off"/>
    <n v="1350"/>
    <s v="W11726227"/>
    <s v="Outros"/>
    <x v="5"/>
    <n v="1"/>
    <n v="5004042"/>
    <s v="BRASIL WEB TRANSPORTES E LOGISTICA"/>
    <n v="786.61"/>
    <d v="2025-06-17T00:00:00"/>
  </r>
  <r>
    <n v="254018240"/>
    <n v="64793107"/>
    <s v="REB"/>
    <n v="9988295"/>
    <n v="168"/>
    <s v="PEÇAS-Def.Fabric.Empenamento/Abaulamento"/>
    <s v="FUNCIONAL"/>
    <x v="1"/>
    <n v="27337"/>
    <s v="REFRIGERACAO A C CATA VENTO LTDA"/>
    <s v="RJ"/>
    <n v="641"/>
    <s v="CDP Diamante"/>
    <n v="1350"/>
    <s v="W10888363"/>
    <s v="Condensadores"/>
    <x v="0"/>
    <n v="1"/>
    <n v="5003176"/>
    <s v="J C THEDIN TRANSPORTES LTDA"/>
    <n v="661.37"/>
    <d v="2025-06-17T00:00:00"/>
  </r>
  <r>
    <n v="254018240"/>
    <n v="64793108"/>
    <s v="REB"/>
    <n v="10030923"/>
    <n v="168"/>
    <s v="PEÇAS-Def.Fabric.Empenamento/Abaulamento"/>
    <s v="FUNCIONAL"/>
    <x v="1"/>
    <n v="27337"/>
    <s v="REFRIGERACAO A C CATA VENTO LTDA"/>
    <s v="RJ"/>
    <n v="641"/>
    <s v="CDP Diamante"/>
    <n v="1350"/>
    <s v="W10888353"/>
    <s v="Condensadores"/>
    <x v="0"/>
    <n v="1"/>
    <n v="5003176"/>
    <s v="J C THEDIN TRANSPORTES LTDA"/>
    <n v="350.02"/>
    <d v="2025-06-17T00:00:00"/>
  </r>
  <r>
    <n v="254018211"/>
    <n v="64793116"/>
    <s v="REB"/>
    <n v="10081339"/>
    <n v="173"/>
    <s v="PEÇAS - Defeito de fabric./Alta Amperage"/>
    <s v="FUNCIONAL"/>
    <x v="1"/>
    <n v="9452"/>
    <s v="MULTICENTER COMERCIO E SERVICOS"/>
    <s v="SP"/>
    <n v="931"/>
    <s v="Ats Off"/>
    <n v="1350"/>
    <s v="W11354770"/>
    <s v="Aletas"/>
    <x v="6"/>
    <n v="1"/>
    <n v="5004042"/>
    <s v="BRASIL WEB TRANSPORTES E LOGISTICA"/>
    <n v="45.82"/>
    <d v="2025-06-17T00:00:00"/>
  </r>
  <r>
    <n v="254018238"/>
    <n v="64793117"/>
    <s v="REB"/>
    <n v="10066074"/>
    <n v="176"/>
    <s v="PEÇAS - Defeito de fabric./Interrompido"/>
    <s v="FUNCIONAL"/>
    <x v="1"/>
    <n v="24089"/>
    <s v="REVOLUTION COMERCIO E SERV"/>
    <s v="RJ"/>
    <n v="931"/>
    <s v="Ats Off"/>
    <n v="1350"/>
    <s v="W11045219"/>
    <s v="Motores Ventiladores"/>
    <x v="2"/>
    <n v="1"/>
    <n v="5003176"/>
    <s v="J C THEDIN TRANSPORTES LTDA"/>
    <n v="40.49"/>
    <d v="2025-06-17T00:00:00"/>
  </r>
  <r>
    <n v="254018225"/>
    <n v="64793151"/>
    <s v="REB"/>
    <n v="9953372"/>
    <n v="176"/>
    <s v="PEÇAS - Defeito de fabric./Interrompido"/>
    <s v="FUNCIONAL"/>
    <x v="1"/>
    <n v="13757"/>
    <s v="FRIGELAR COMÉRCIO E INDÚSTRIA LTDA"/>
    <s v="SP"/>
    <n v="713"/>
    <s v="Key Account"/>
    <n v="1350"/>
    <s v="W11299803"/>
    <s v="Mecanismos"/>
    <x v="4"/>
    <n v="1"/>
    <n v="5004042"/>
    <s v="BRASIL WEB TRANSPORTES E LOGISTICA"/>
    <n v="104.5"/>
    <d v="2025-06-17T00:00:00"/>
  </r>
  <r>
    <n v="254018225"/>
    <n v="64793151"/>
    <s v="REB"/>
    <n v="9953372"/>
    <n v="176"/>
    <s v="PEÇAS - Defeito de fabric./Interrompido"/>
    <s v="FUNCIONAL"/>
    <x v="1"/>
    <n v="13757"/>
    <s v="FRIGELAR COMÉRCIO E INDÚSTRIA LTDA"/>
    <s v="SP"/>
    <n v="713"/>
    <s v="Key Account"/>
    <n v="1350"/>
    <s v="W11300675"/>
    <s v="Mecanismos"/>
    <x v="4"/>
    <n v="2"/>
    <n v="5004042"/>
    <s v="BRASIL WEB TRANSPORTES E LOGISTICA"/>
    <n v="217.58"/>
    <d v="2025-06-17T00:00:00"/>
  </r>
  <r>
    <n v="254018225"/>
    <n v="64793151"/>
    <s v="REB"/>
    <n v="9953372"/>
    <n v="176"/>
    <s v="PEÇAS - Defeito de fabric./Interrompido"/>
    <s v="FUNCIONAL"/>
    <x v="1"/>
    <n v="13757"/>
    <s v="FRIGELAR COMÉRCIO E INDÚSTRIA LTDA"/>
    <s v="SP"/>
    <n v="713"/>
    <s v="Key Account"/>
    <n v="1350"/>
    <s v="W11300816"/>
    <s v="Mecanismos"/>
    <x v="4"/>
    <n v="1"/>
    <n v="5004042"/>
    <s v="BRASIL WEB TRANSPORTES E LOGISTICA"/>
    <n v="121.29"/>
    <d v="2025-06-17T00:00:00"/>
  </r>
  <r>
    <n v="254018388"/>
    <n v="64793216"/>
    <s v="REB"/>
    <n v="10077370"/>
    <n v="173"/>
    <s v="PEÇAS - Defeito de fabric./Alta Amperage"/>
    <s v="FUNCIONAL"/>
    <x v="1"/>
    <n v="83572"/>
    <s v="GRAN ELETRO GOURMET LTDA"/>
    <s v="SP"/>
    <n v="931"/>
    <s v="Ats Off"/>
    <n v="1350"/>
    <s v="W11621541"/>
    <s v="Registros"/>
    <x v="9"/>
    <n v="1"/>
    <n v="5004042"/>
    <s v="BRASIL WEB TRANSPORTES E LOGISTICA"/>
    <n v="8.52"/>
    <d v="2025-06-17T00:00:00"/>
  </r>
  <r>
    <n v="254018238"/>
    <n v="64793224"/>
    <s v="REB"/>
    <n v="10020892"/>
    <n v="176"/>
    <s v="PEÇAS - Defeito de fabric./Interrompido"/>
    <s v="FUNCIONAL"/>
    <x v="1"/>
    <n v="24089"/>
    <s v="REVOLUTION COMERCIO E SERV"/>
    <s v="RJ"/>
    <n v="931"/>
    <s v="Ats Off"/>
    <n v="1350"/>
    <s v="W10398340"/>
    <s v="Sensores"/>
    <x v="8"/>
    <n v="1"/>
    <n v="5003176"/>
    <s v="J C THEDIN TRANSPORTES LTDA"/>
    <n v="263.64"/>
    <d v="2025-06-17T00:00:00"/>
  </r>
  <r>
    <n v="254053869"/>
    <n v="64793282"/>
    <s v="REB"/>
    <n v="10025111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63"/>
    <d v="2025-06-17T00:00:00"/>
  </r>
  <r>
    <n v="254053870"/>
    <n v="64793308"/>
    <s v="REB"/>
    <n v="10025111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63"/>
    <d v="2025-06-17T00:00:00"/>
  </r>
  <r>
    <n v="254053871"/>
    <n v="64793311"/>
    <s v="REB"/>
    <n v="10085879"/>
    <n v="176"/>
    <s v="PEÇAS - Defeito de fabric./Interrompido"/>
    <s v="FUNCIONAL"/>
    <x v="1"/>
    <n v="3524"/>
    <s v="CATEL - COMERCIO DE PECAS"/>
    <s v="SP"/>
    <n v="931"/>
    <s v="Ats Off"/>
    <n v="1350"/>
    <s v="W11043743"/>
    <s v="Cordões de Alimentação"/>
    <x v="2"/>
    <n v="1"/>
    <n v="5004042"/>
    <s v="BRASIL WEB TRANSPORTES E LOGISTICA"/>
    <n v="38.619999999999997"/>
    <d v="2025-06-17T00:00:00"/>
  </r>
  <r>
    <n v="254018225"/>
    <n v="64793369"/>
    <s v="REB"/>
    <n v="9953811"/>
    <n v="176"/>
    <s v="PEÇAS - Defeito de fabric./Interrompido"/>
    <s v="FUNCIONAL"/>
    <x v="1"/>
    <n v="13757"/>
    <s v="FRIGELAR COMÉRCIO E INDÚSTRIA LTDA"/>
    <s v="SP"/>
    <n v="713"/>
    <s v="Key Account"/>
    <n v="1350"/>
    <s v="W11123830"/>
    <s v="Placas de Controle"/>
    <x v="2"/>
    <n v="1"/>
    <n v="5004042"/>
    <s v="BRASIL WEB TRANSPORTES E LOGISTICA"/>
    <n v="112.72"/>
    <d v="2025-06-17T00:00:00"/>
  </r>
  <r>
    <n v="254018211"/>
    <n v="64793375"/>
    <s v="REB"/>
    <n v="10055959"/>
    <n v="173"/>
    <s v="PEÇAS - Defeito de fabric./Alta Amperage"/>
    <s v="FUNCIONAL"/>
    <x v="1"/>
    <n v="9452"/>
    <s v="MULTICENTER COMERCIO E SERVICOS"/>
    <s v="SP"/>
    <n v="931"/>
    <s v="Ats Off"/>
    <n v="1350"/>
    <s v="W11618949"/>
    <s v="Placas de Controle"/>
    <x v="2"/>
    <n v="1"/>
    <n v="5004042"/>
    <s v="BRASIL WEB TRANSPORTES E LOGISTICA"/>
    <n v="1020.16"/>
    <d v="2025-06-17T00:00:00"/>
  </r>
  <r>
    <n v="254018211"/>
    <n v="64793379"/>
    <s v="REB"/>
    <n v="10088127"/>
    <n v="173"/>
    <s v="PEÇAS - Defeito de fabric./Alta Amperage"/>
    <s v="FUNCIONAL"/>
    <x v="1"/>
    <n v="9452"/>
    <s v="MULTICENTER COMERCIO E SERVICOS"/>
    <s v="SP"/>
    <n v="931"/>
    <s v="Ats Off"/>
    <n v="1350"/>
    <s v="W11426737"/>
    <s v="Placas de Controle"/>
    <x v="2"/>
    <n v="1"/>
    <n v="5004042"/>
    <s v="BRASIL WEB TRANSPORTES E LOGISTICA"/>
    <n v="980.26"/>
    <d v="2025-06-17T00:00:00"/>
  </r>
  <r>
    <n v="254018327"/>
    <n v="64793484"/>
    <s v="REB"/>
    <n v="9954617"/>
    <n v="176"/>
    <s v="PEÇAS - Defeito de fabric./Interrompido"/>
    <s v="FUNCIONAL"/>
    <x v="1"/>
    <n v="59011"/>
    <s v="H D CASTELAO EIRELI - EPP"/>
    <s v="SP"/>
    <n v="648"/>
    <s v="Ultra"/>
    <n v="1350"/>
    <s v="W11435392"/>
    <s v="Placas de Controle"/>
    <x v="2"/>
    <n v="1"/>
    <n v="5004042"/>
    <s v="BRASIL WEB TRANSPORTES E LOGISTICA"/>
    <n v="385.85"/>
    <d v="2025-06-17T00:00:00"/>
  </r>
  <r>
    <n v="254018258"/>
    <n v="64793490"/>
    <s v="REB"/>
    <n v="9899889"/>
    <n v="178"/>
    <s v="PEÇAS -Defeito de fabric./Sem Compressão"/>
    <s v="FUNCIONAL"/>
    <x v="1"/>
    <n v="29164"/>
    <s v="BRASTEMAK REFRIGERACAO LTDA"/>
    <s v="BA"/>
    <n v="648"/>
    <s v="Ultra"/>
    <n v="1350"/>
    <s v="W10393823"/>
    <s v="Compressores Herméticos"/>
    <x v="0"/>
    <n v="1"/>
    <n v="5004101"/>
    <s v="UNIDOCK'S ASSESSORIA E LOGISTICA DE"/>
    <n v="539.32000000000005"/>
    <d v="2025-06-17T00:00:00"/>
  </r>
  <r>
    <n v="254042259"/>
    <n v="64793528"/>
    <s v="REB"/>
    <n v="9782807"/>
    <n v="168"/>
    <s v="PEÇAS-Def.Fabric.Empenamento/Abaulamento"/>
    <s v="FUNCIONAL"/>
    <x v="1"/>
    <n v="61847"/>
    <s v="REFRIGERACAO UBER LTDA"/>
    <s v="MG"/>
    <n v="643"/>
    <s v="Elite"/>
    <n v="1350"/>
    <s v="W10882241"/>
    <s v="Agitadores"/>
    <x v="4"/>
    <n v="62"/>
    <n v="5004215"/>
    <s v="BRASIL WEB TRANSPORTES E LOGISTICA"/>
    <n v="2357.9299999999998"/>
    <d v="2025-06-23T00:00:00"/>
  </r>
  <r>
    <n v="254041949"/>
    <n v="64793582"/>
    <s v="REB"/>
    <n v="10082462"/>
    <n v="167"/>
    <s v="PEÇAS - Avaria - Quebrada/Depósito"/>
    <s v="LOGÍSTICA"/>
    <x v="1"/>
    <n v="35368"/>
    <s v="MASP REFRIGERACAO E SERVICOS TECNIC"/>
    <s v="ES"/>
    <n v="350"/>
    <s v="Ats On"/>
    <n v="1350"/>
    <s v="W10483993"/>
    <s v="Capas"/>
    <x v="3"/>
    <n v="2"/>
    <n v="5004042"/>
    <s v="BRASIL WEB TRANSPORTES E LOGISTICA"/>
    <n v="42.01"/>
    <d v="2025-06-23T00:00:00"/>
  </r>
  <r>
    <n v="254058091"/>
    <n v="64793708"/>
    <s v="REB"/>
    <n v="10087906"/>
    <n v="104"/>
    <s v="PEÇAS-Código trocado(embalag X conteúdo)"/>
    <s v="LOGÍSTICA"/>
    <x v="1"/>
    <n v="3677"/>
    <s v="WATEC SERVICE PECAS E SERV LTDA"/>
    <s v="SP"/>
    <n v="931"/>
    <s v="Ats Off"/>
    <n v="1350"/>
    <s v="W11197096"/>
    <s v="Kits Instalação"/>
    <x v="5"/>
    <n v="1"/>
    <n v="5004042"/>
    <s v="BRASIL WEB TRANSPORTES E LOGISTICA"/>
    <n v="91.96"/>
    <d v="2025-06-18T00:00:00"/>
  </r>
  <r>
    <n v="254058092"/>
    <n v="64793709"/>
    <s v="REB"/>
    <n v="10087908"/>
    <n v="104"/>
    <s v="PEÇAS-Código trocado(embalag X conteúdo)"/>
    <s v="LOGÍSTICA"/>
    <x v="1"/>
    <n v="3677"/>
    <s v="WATEC SERVICE PECAS E SERV LTDA"/>
    <s v="SP"/>
    <n v="931"/>
    <s v="Ats Off"/>
    <n v="1350"/>
    <s v="W11342975"/>
    <s v="Molduras"/>
    <x v="3"/>
    <n v="1"/>
    <n v="5004042"/>
    <s v="BRASIL WEB TRANSPORTES E LOGISTICA"/>
    <n v="99.36"/>
    <d v="2025-06-18T00:00:00"/>
  </r>
  <r>
    <n v="254038998"/>
    <n v="64793888"/>
    <s v="REB"/>
    <n v="10062423"/>
    <n v="167"/>
    <s v="PEÇAS - Avaria - Quebrada/Depósito"/>
    <s v="LOGÍSTICA"/>
    <x v="2"/>
    <n v="2832"/>
    <s v="REFRIG DANTAS LTDA"/>
    <s v="BA"/>
    <n v="350"/>
    <s v="Ats On"/>
    <n v="1350"/>
    <s v="W11082462"/>
    <s v="Termostatos"/>
    <x v="8"/>
    <n v="1"/>
    <n v="5004101"/>
    <s v="UNIDOCK'S ASSESSORIA E LOGISTICA DE"/>
    <n v="53.53"/>
    <d v="2025-06-23T00:00:00"/>
  </r>
  <r>
    <n v="254018227"/>
    <n v="64793904"/>
    <s v="REB"/>
    <n v="9968109"/>
    <n v="168"/>
    <s v="PEÇAS-Def.Fabric.Empenamento/Abaulamento"/>
    <s v="FUNCIONAL"/>
    <x v="1"/>
    <n v="13757"/>
    <s v="FRIGELAR COMÉRCIO E INDÚSTRIA LTDA"/>
    <s v="SP"/>
    <n v="713"/>
    <s v="Key Account"/>
    <n v="1350"/>
    <s v="W10882241"/>
    <s v="Agitadores"/>
    <x v="4"/>
    <n v="7"/>
    <n v="5004042"/>
    <s v="BRASIL WEB TRANSPORTES E LOGISTICA"/>
    <n v="255.02"/>
    <d v="2025-06-18T00:00:00"/>
  </r>
  <r>
    <n v="254061210"/>
    <n v="64794173"/>
    <s v="ZDVP"/>
    <n v="10067106"/>
    <n v="178"/>
    <s v="PEÇAS -Defeito de fabric./Sem Compressão"/>
    <s v="FUNCIONAL"/>
    <x v="1"/>
    <n v="88906"/>
    <s v="CALDEIRA LEMES DISTRIBUIDORA DE"/>
    <s v="GO"/>
    <n v="648"/>
    <s v="Ultra"/>
    <n v="1350"/>
    <s v="W11677209"/>
    <s v="Compressores Herméticos"/>
    <x v="0"/>
    <n v="1"/>
    <n v="5002858"/>
    <s v="FAVORITA TRANSPORTES LTDA"/>
    <n v="248.98"/>
    <d v="2025-08-22T00:00:00"/>
  </r>
  <r>
    <n v="254042022"/>
    <n v="64794277"/>
    <s v="REB"/>
    <n v="9623484"/>
    <n v="173"/>
    <s v="PEÇAS - Defeito de fabric./Alta Amperage"/>
    <s v="FUNCIONAL"/>
    <x v="2"/>
    <n v="32533"/>
    <s v="FRIGELAR COM. DISTRIBUICAO S/A"/>
    <s v="PE"/>
    <n v="713"/>
    <s v="Key Account"/>
    <n v="1350"/>
    <s v="W10678923"/>
    <s v="Placas de Controle"/>
    <x v="2"/>
    <n v="3"/>
    <n v="5004101"/>
    <s v="UNIDOCK'S ASSESSORIA E LOGISTICA DE"/>
    <n v="156.03"/>
    <d v="2025-06-23T00:00:00"/>
  </r>
  <r>
    <s v="Sem TR"/>
    <n v="64794461"/>
    <s v="REB"/>
    <n v="10044906"/>
    <n v="411"/>
    <s v="DEV-Extravio de PEÇAS (Transportadora)"/>
    <s v="TRANSPORTADORA"/>
    <x v="2"/>
    <n v="8192"/>
    <s v="BRASTEPEÇAS COM. PÇS. REFRIG LTDA"/>
    <s v="PR"/>
    <n v="933"/>
    <s v="Top"/>
    <n v="1350"/>
    <s v="W11300681"/>
    <s v="Mecanismos"/>
    <x v="4"/>
    <n v="1"/>
    <n v="5003024"/>
    <s v="RODOBRAS TRANSPORTES RODOVIARIOS LT"/>
    <n v="194.15"/>
    <d v="2025-06-18T00:00:00"/>
  </r>
  <r>
    <n v="254016289"/>
    <n v="64794462"/>
    <s v="ROB"/>
    <n v="10038955"/>
    <n v="182"/>
    <s v="PEÇAS - Extravio - Volume a menor"/>
    <s v="TRANSPORTADORA"/>
    <x v="1"/>
    <n v="4523"/>
    <s v="REFRIGERACAO A. M LTDA"/>
    <s v="SC"/>
    <n v="350"/>
    <s v="Ats On"/>
    <n v="1350"/>
    <n v="4258010"/>
    <s v="Parafusos e afins"/>
    <x v="7"/>
    <n v="10"/>
    <n v="5003024"/>
    <s v="RODOBRAS TRANSPORTES RODOVIARIOS LT"/>
    <n v="93.4"/>
    <d v="2025-06-18T00:00:00"/>
  </r>
  <r>
    <n v="254016289"/>
    <n v="64794462"/>
    <s v="ROB"/>
    <n v="10038955"/>
    <n v="182"/>
    <s v="PEÇAS - Extravio - Volume a menor"/>
    <s v="TRANSPORTADORA"/>
    <x v="1"/>
    <n v="4523"/>
    <s v="REFRIGERACAO A. M LTDA"/>
    <s v="SC"/>
    <n v="350"/>
    <s v="Ats On"/>
    <n v="1350"/>
    <s v="W10623732"/>
    <s v="Acessórios"/>
    <x v="5"/>
    <n v="8"/>
    <n v="5003024"/>
    <s v="RODOBRAS TRANSPORTES RODOVIARIOS LT"/>
    <n v="22.04"/>
    <d v="2025-06-18T00:00:00"/>
  </r>
  <r>
    <n v="254016289"/>
    <n v="64794462"/>
    <s v="ROB"/>
    <n v="10038955"/>
    <n v="182"/>
    <s v="PEÇAS - Extravio - Volume a menor"/>
    <s v="TRANSPORTADORA"/>
    <x v="1"/>
    <n v="4523"/>
    <s v="REFRIGERACAO A. M LTDA"/>
    <s v="SC"/>
    <n v="350"/>
    <s v="Ats On"/>
    <n v="1350"/>
    <s v="W10838063"/>
    <s v="Placas de Controle"/>
    <x v="2"/>
    <n v="1"/>
    <n v="5003024"/>
    <s v="RODOBRAS TRANSPORTES RODOVIARIOS LT"/>
    <n v="433.32"/>
    <d v="2025-06-18T00:00:00"/>
  </r>
  <r>
    <n v="254016289"/>
    <n v="64794462"/>
    <s v="ROB"/>
    <n v="10038955"/>
    <n v="182"/>
    <s v="PEÇAS - Extravio - Volume a menor"/>
    <s v="TRANSPORTADORA"/>
    <x v="1"/>
    <n v="4523"/>
    <s v="REFRIGERACAO A. M LTDA"/>
    <s v="SC"/>
    <n v="350"/>
    <s v="Ats On"/>
    <n v="1350"/>
    <s v="W11036296"/>
    <s v="Calhas/Canaletas"/>
    <x v="1"/>
    <n v="10"/>
    <n v="5003024"/>
    <s v="RODOBRAS TRANSPORTES RODOVIARIOS LT"/>
    <n v="192.5"/>
    <d v="2025-06-18T00:00:00"/>
  </r>
  <r>
    <n v="254016289"/>
    <n v="64794462"/>
    <s v="ROB"/>
    <n v="10038955"/>
    <n v="182"/>
    <s v="PEÇAS - Extravio - Volume a menor"/>
    <s v="TRANSPORTADORA"/>
    <x v="1"/>
    <n v="4523"/>
    <s v="REFRIGERACAO A. M LTDA"/>
    <s v="SC"/>
    <n v="350"/>
    <s v="Ats On"/>
    <n v="1350"/>
    <s v="W11082454"/>
    <s v="Termostatos"/>
    <x v="8"/>
    <n v="3"/>
    <n v="5003024"/>
    <s v="RODOBRAS TRANSPORTES RODOVIARIOS LT"/>
    <n v="162.65"/>
    <d v="2025-06-18T00:00:00"/>
  </r>
  <r>
    <n v="254016289"/>
    <n v="64794462"/>
    <s v="ROB"/>
    <n v="10038955"/>
    <n v="182"/>
    <s v="PEÇAS - Extravio - Volume a menor"/>
    <s v="TRANSPORTADORA"/>
    <x v="1"/>
    <n v="4523"/>
    <s v="REFRIGERACAO A. M LTDA"/>
    <s v="SC"/>
    <n v="350"/>
    <s v="Ats On"/>
    <n v="1350"/>
    <s v="W11299794"/>
    <s v="Peças Mecanismos"/>
    <x v="4"/>
    <n v="10"/>
    <n v="5003024"/>
    <s v="RODOBRAS TRANSPORTES RODOVIARIOS LT"/>
    <n v="499.91"/>
    <d v="2025-06-18T00:00:00"/>
  </r>
  <r>
    <s v="Sem TR"/>
    <n v="64794523"/>
    <s v="REB"/>
    <n v="9998640"/>
    <n v="178"/>
    <s v="PEÇAS -Defeito de fabric./Sem Compressão"/>
    <s v="FUNCIONAL"/>
    <x v="1"/>
    <n v="28991"/>
    <s v="FRIO BEL REFRIGERACAO LTDA"/>
    <s v="MG"/>
    <n v="643"/>
    <s v="Elite"/>
    <n v="1350"/>
    <s v="W10393822"/>
    <s v="Compressores Herméticos"/>
    <x v="0"/>
    <n v="1"/>
    <n v="5004215"/>
    <s v="BRASIL WEB TRANSPORTES E LOGISTICA"/>
    <n v="487.99"/>
    <d v="2025-08-14T00:00:00"/>
  </r>
  <r>
    <n v="254042368"/>
    <n v="64794755"/>
    <s v="REB"/>
    <n v="10066546"/>
    <n v="178"/>
    <s v="PEÇAS -Defeito de fabric./Sem Compressão"/>
    <s v="FUNCIONAL"/>
    <x v="2"/>
    <n v="80421"/>
    <s v="NE COMERCIO DE PECAS E SERVICOS"/>
    <s v="PE"/>
    <n v="701"/>
    <s v="Descredenciado"/>
    <n v="1350"/>
    <s v="W10665434"/>
    <s v="Motores Ventiladores"/>
    <x v="2"/>
    <n v="1"/>
    <n v="5004101"/>
    <s v="UNIDOCK'S ASSESSORIA E LOGISTICA DE"/>
    <n v="145.24"/>
    <d v="2025-06-19T00:00:00"/>
  </r>
  <r>
    <n v="254033412"/>
    <n v="64794868"/>
    <s v="REB"/>
    <n v="9645394"/>
    <n v="173"/>
    <s v="PEÇAS - Defeito de fabric./Alta Amperage"/>
    <s v="FUNCIONAL"/>
    <x v="1"/>
    <n v="47471"/>
    <s v="REFRISOLAR REFRIGERACAO LTDA"/>
    <s v="TO"/>
    <n v="643"/>
    <s v="Elite"/>
    <n v="1350"/>
    <s v="W11123831"/>
    <s v="Placas de Controle"/>
    <x v="2"/>
    <n v="1"/>
    <n v="5002858"/>
    <s v="FAVORITA TRANSPORTES LTDA"/>
    <n v="83.11"/>
    <d v="2025-07-01T00:00:00"/>
  </r>
  <r>
    <n v="254041759"/>
    <n v="64794883"/>
    <s v="REB"/>
    <n v="10015317"/>
    <n v="168"/>
    <s v="PEÇAS-Def.Fabric.Empenamento/Abaulamento"/>
    <s v="FUNCIONAL"/>
    <x v="1"/>
    <n v="27359"/>
    <s v="PEDRO PECAS P LAVAD E REFRIG LTDA"/>
    <s v="RS"/>
    <n v="641"/>
    <s v="CDP Diamante"/>
    <n v="1350"/>
    <s v="W10882241"/>
    <s v="Agitadores"/>
    <x v="4"/>
    <n v="8"/>
    <n v="5003024"/>
    <s v="RODOBRAS TRANSPORTES RODOVIARIOS LT"/>
    <n v="388"/>
    <d v="2025-06-24T00:00:00"/>
  </r>
  <r>
    <n v="254041759"/>
    <n v="64794883"/>
    <s v="REB"/>
    <n v="10015317"/>
    <n v="168"/>
    <s v="PEÇAS-Def.Fabric.Empenamento/Abaulamento"/>
    <s v="FUNCIONAL"/>
    <x v="1"/>
    <n v="27359"/>
    <s v="PEDRO PECAS P LAVAD E REFRIG LTDA"/>
    <s v="RS"/>
    <n v="641"/>
    <s v="CDP Diamante"/>
    <n v="1350"/>
    <s v="W10882241"/>
    <s v="Agitadores"/>
    <x v="4"/>
    <n v="30"/>
    <n v="5003024"/>
    <s v="RODOBRAS TRANSPORTES RODOVIARIOS LT"/>
    <n v="1454.99"/>
    <d v="2025-06-24T00:00:00"/>
  </r>
  <r>
    <s v="Sem TR"/>
    <n v="64794905"/>
    <s v="ROB"/>
    <n v="10074921"/>
    <n v="25"/>
    <s v="OC. 80 - EXTRAVIO TOTAL"/>
    <s v="TRANSPORTADORA"/>
    <x v="2"/>
    <n v="52543"/>
    <s v="MOACIR A DE AMORIM - ME"/>
    <s v="RO"/>
    <n v="934"/>
    <s v="CDP Ouro"/>
    <n v="1350"/>
    <s v="W10779052"/>
    <s v="Mangueiras"/>
    <x v="6"/>
    <n v="100"/>
    <n v="5002858"/>
    <s v="FAVORITA TRANSPORTES LTDA"/>
    <n v="458"/>
    <d v="2025-06-19T00:00:00"/>
  </r>
  <r>
    <n v="254033101"/>
    <n v="64794963"/>
    <s v="REB"/>
    <n v="10053448"/>
    <n v="173"/>
    <s v="PEÇAS - Defeito de fabric./Alta Amperage"/>
    <s v="FUNCIONAL"/>
    <x v="1"/>
    <n v="113"/>
    <s v="SERVIBRAS COM SERVICOS TECNICOS LT"/>
    <s v="AL"/>
    <n v="350"/>
    <s v="Ats On"/>
    <n v="1350"/>
    <s v="W10810088"/>
    <s v="Motores Ventiladores"/>
    <x v="2"/>
    <n v="1"/>
    <n v="5004101"/>
    <s v="UNIDOCK'S ASSESSORIA E LOGISTICA DE"/>
    <n v="92.29"/>
    <d v="2025-07-01T00:00:00"/>
  </r>
  <r>
    <n v="254042214"/>
    <n v="64795128"/>
    <s v="REB"/>
    <n v="9718946"/>
    <n v="173"/>
    <s v="PEÇAS - Defeito de fabric./Alta Amperage"/>
    <s v="FUNCIONAL"/>
    <x v="1"/>
    <n v="69578"/>
    <s v="ASPEN REFRIGERACAO"/>
    <s v="MG"/>
    <n v="933"/>
    <s v="Top"/>
    <n v="1350"/>
    <s v="W11581052"/>
    <s v="Placas de Controle"/>
    <x v="2"/>
    <n v="1"/>
    <n v="5004215"/>
    <s v="BRASIL WEB TRANSPORTES E LOGISTICA"/>
    <n v="135.91999999999999"/>
    <d v="2025-06-23T00:00:00"/>
  </r>
  <r>
    <n v="254042139"/>
    <n v="64795255"/>
    <s v="REB"/>
    <n v="10066831"/>
    <n v="173"/>
    <s v="PEÇAS - Defeito de fabric./Alta Amperage"/>
    <s v="FUNCIONAL"/>
    <x v="1"/>
    <n v="27808"/>
    <s v="LUSOMAQ COMERCIO DE PECAS"/>
    <s v="SP"/>
    <n v="641"/>
    <s v="CDP Diamante"/>
    <n v="1350"/>
    <s v="W11647660"/>
    <s v="Compressores Herméticos"/>
    <x v="0"/>
    <n v="1"/>
    <n v="5004042"/>
    <s v="BRASIL WEB TRANSPORTES E LOGISTICA"/>
    <n v="309.93"/>
    <d v="2025-06-24T00:00:00"/>
  </r>
  <r>
    <n v="254042265"/>
    <n v="64795366"/>
    <s v="REB"/>
    <n v="10042373"/>
    <n v="176"/>
    <s v="PEÇAS - Defeito de fabric./Interrompido"/>
    <s v="FUNCIONAL"/>
    <x v="1"/>
    <n v="31063"/>
    <s v="ELETROFRIGOR PECAS LTDA ME"/>
    <s v="RJ"/>
    <n v="644"/>
    <s v="Plus"/>
    <n v="1350"/>
    <s v="W11226018"/>
    <s v="Motores Ventiladores"/>
    <x v="2"/>
    <n v="1"/>
    <n v="5003176"/>
    <s v="J C THEDIN TRANSPORTES LTDA"/>
    <n v="67.02"/>
    <d v="2025-06-23T00:00:00"/>
  </r>
  <r>
    <n v="254042266"/>
    <n v="64795367"/>
    <s v="REB"/>
    <n v="9956534"/>
    <n v="176"/>
    <s v="PEÇAS - Defeito de fabric./Interrompido"/>
    <s v="FUNCIONAL"/>
    <x v="1"/>
    <n v="52349"/>
    <s v="GP COMERCIO E PECAS PARA"/>
    <s v="SP"/>
    <n v="934"/>
    <s v="CDP Ouro"/>
    <n v="1350"/>
    <s v="W11245249"/>
    <s v="Válvulas de Água"/>
    <x v="6"/>
    <n v="1"/>
    <n v="5004042"/>
    <s v="BRASIL WEB TRANSPORTES E LOGISTICA"/>
    <n v="54.42"/>
    <d v="2025-06-23T00:00:00"/>
  </r>
  <r>
    <n v="254042266"/>
    <n v="64795367"/>
    <s v="REB"/>
    <n v="9956534"/>
    <n v="176"/>
    <s v="PEÇAS - Defeito de fabric./Interrompido"/>
    <s v="FUNCIONAL"/>
    <x v="1"/>
    <n v="52349"/>
    <s v="GP COMERCIO E PECAS PARA"/>
    <s v="SP"/>
    <n v="934"/>
    <s v="CDP Ouro"/>
    <n v="1350"/>
    <s v="W11352538"/>
    <s v="Placas de Controle"/>
    <x v="2"/>
    <n v="1"/>
    <n v="5004042"/>
    <s v="BRASIL WEB TRANSPORTES E LOGISTICA"/>
    <n v="124.64"/>
    <d v="2025-06-23T00:00:00"/>
  </r>
  <r>
    <n v="254042267"/>
    <n v="64795368"/>
    <s v="REB"/>
    <n v="9942024"/>
    <n v="178"/>
    <s v="PEÇAS -Defeito de fabric./Sem Compressão"/>
    <s v="FUNCIONAL"/>
    <x v="2"/>
    <n v="50822"/>
    <s v="CLAYTON DE OLIVEIRA"/>
    <s v="AL"/>
    <n v="644"/>
    <s v="Plus"/>
    <n v="1350"/>
    <s v="W11647662"/>
    <s v="Compressores Herméticos"/>
    <x v="0"/>
    <n v="1"/>
    <n v="5004101"/>
    <s v="UNIDOCK'S ASSESSORIA E LOGISTICA DE"/>
    <n v="280.8"/>
    <d v="2025-06-23T00:00:00"/>
  </r>
  <r>
    <n v="254033681"/>
    <n v="64795375"/>
    <s v="REB"/>
    <n v="10008462"/>
    <n v="176"/>
    <s v="PEÇAS - Defeito de fabric./Interrompido"/>
    <s v="FUNCIONAL"/>
    <x v="1"/>
    <n v="24089"/>
    <s v="REVOLUTION COMERCIO E SERV"/>
    <s v="RJ"/>
    <n v="931"/>
    <s v="Ats Off"/>
    <n v="1350"/>
    <s v="W10585027"/>
    <s v="Bombas"/>
    <x v="2"/>
    <n v="1"/>
    <n v="5003176"/>
    <s v="J C THEDIN TRANSPORTES LTDA"/>
    <n v="151.94999999999999"/>
    <d v="2025-06-23T00:00:00"/>
  </r>
  <r>
    <n v="254041632"/>
    <n v="64795376"/>
    <s v="REB"/>
    <n v="10068552"/>
    <n v="176"/>
    <s v="PEÇAS - Defeito de fabric./Interrompido"/>
    <s v="FUNCIONAL"/>
    <x v="1"/>
    <n v="4425"/>
    <s v="AGASERV COMERCIO E ASSISTENCIA"/>
    <s v="SC"/>
    <n v="931"/>
    <s v="Ats Off"/>
    <n v="1350"/>
    <s v="W10393963"/>
    <s v="Redes Elétricas"/>
    <x v="2"/>
    <n v="1"/>
    <n v="5003024"/>
    <s v="RODOBRAS TRANSPORTES RODOVIARIOS LT"/>
    <n v="7.36"/>
    <d v="2025-06-23T00:00:00"/>
  </r>
  <r>
    <n v="254041813"/>
    <n v="64795380"/>
    <s v="REB"/>
    <n v="10039998"/>
    <n v="176"/>
    <s v="PEÇAS - Defeito de fabric./Interrompido"/>
    <s v="FUNCIONAL"/>
    <x v="1"/>
    <n v="52520"/>
    <s v="REFRIGERACAO AMARAL LTDA"/>
    <s v="RJ"/>
    <n v="713"/>
    <s v="Key Account"/>
    <n v="1350"/>
    <s v="W10269366"/>
    <s v="Placas de Controle"/>
    <x v="2"/>
    <n v="1"/>
    <n v="5003176"/>
    <s v="J C THEDIN TRANSPORTES LTDA"/>
    <n v="134.21"/>
    <d v="2025-06-23T00:00:00"/>
  </r>
  <r>
    <n v="254041814"/>
    <n v="64795381"/>
    <s v="REB"/>
    <n v="8829826"/>
    <n v="173"/>
    <s v="PEÇAS - Defeito de fabric./Alta Amperage"/>
    <s v="FUNCIONAL"/>
    <x v="1"/>
    <n v="47471"/>
    <s v="REFRISOLAR REFRIGERACAO LTDA"/>
    <s v="TO"/>
    <n v="643"/>
    <s v="Elite"/>
    <n v="1350"/>
    <s v="W11647660"/>
    <s v="Compressores Herméticos"/>
    <x v="0"/>
    <n v="1"/>
    <n v="5002858"/>
    <s v="FAVORITA TRANSPORTES LTDA"/>
    <n v="290.88"/>
    <d v="2025-06-23T00:00:00"/>
  </r>
  <r>
    <n v="254042067"/>
    <n v="64795385"/>
    <s v="REB"/>
    <n v="10004699"/>
    <n v="176"/>
    <s v="PEÇAS - Defeito de fabric./Interrompido"/>
    <s v="FUNCIONAL"/>
    <x v="2"/>
    <n v="14474"/>
    <s v="NATAL SERVICE LTDA N"/>
    <s v="RN"/>
    <n v="648"/>
    <s v="Ultra"/>
    <n v="1350"/>
    <s v="W11435392"/>
    <s v="Placas de Controle"/>
    <x v="2"/>
    <n v="1"/>
    <n v="5004101"/>
    <s v="UNIDOCK'S ASSESSORIA E LOGISTICA DE"/>
    <n v="306.56"/>
    <d v="2025-06-23T00:00:00"/>
  </r>
  <r>
    <n v="254042089"/>
    <n v="64795427"/>
    <s v="REB"/>
    <n v="10056279"/>
    <n v="90"/>
    <s v="CLIENTE-não solicitou"/>
    <s v="COMERCIAL"/>
    <x v="1"/>
    <n v="69166"/>
    <s v="PC COMERCIO E REPARACAO DE APARELHO"/>
    <s v="RJ"/>
    <n v="931"/>
    <s v="Ats Off"/>
    <n v="1350"/>
    <s v="W10637593"/>
    <s v="Peças Mecanismos"/>
    <x v="4"/>
    <n v="1"/>
    <n v="5003176"/>
    <s v="J C THEDIN TRANSPORTES LTDA"/>
    <n v="43.57"/>
    <d v="2025-06-23T00:00:00"/>
  </r>
  <r>
    <n v="254042117"/>
    <n v="64795466"/>
    <s v="REB"/>
    <n v="10091308"/>
    <n v="173"/>
    <s v="PEÇAS - Defeito de fabric./Alta Amperage"/>
    <s v="FUNCIONAL"/>
    <x v="1"/>
    <n v="14441"/>
    <s v="ALVITEK PECAS E SERVICOS LTDA"/>
    <s v="SP"/>
    <n v="931"/>
    <s v="Ats Off"/>
    <n v="1350"/>
    <s v="W10729705"/>
    <s v="Válvulas de Água"/>
    <x v="6"/>
    <n v="1"/>
    <n v="5004042"/>
    <s v="BRASIL WEB TRANSPORTES E LOGISTICA"/>
    <n v="209.58"/>
    <d v="2025-06-21T00:00:00"/>
  </r>
  <r>
    <n v="254042148"/>
    <n v="64795565"/>
    <s v="REB"/>
    <n v="10063014"/>
    <n v="167"/>
    <s v="PEÇAS - Avaria - Quebrada/Depósito"/>
    <s v="LOGÍSTICA"/>
    <x v="1"/>
    <n v="53319"/>
    <s v="PARTS FRIO DISTRIBUIDORA DE"/>
    <s v="PR"/>
    <n v="644"/>
    <s v="Plus"/>
    <n v="1350"/>
    <s v="W10553055"/>
    <s v="Prateleiras"/>
    <x v="1"/>
    <n v="2"/>
    <n v="5003024"/>
    <s v="RODOBRAS TRANSPORTES RODOVIARIOS LT"/>
    <n v="70.91"/>
    <d v="2025-06-23T00:00:00"/>
  </r>
  <r>
    <n v="254042149"/>
    <n v="64795566"/>
    <s v="REB"/>
    <n v="10078430"/>
    <n v="170"/>
    <s v="PEÇAS - Avaria - Riscada/Depósito"/>
    <s v="LOGÍSTICA"/>
    <x v="1"/>
    <n v="5118"/>
    <s v="REFRIGERACAO BINSFELD LTDA"/>
    <s v="RS"/>
    <n v="350"/>
    <s v="Ats On"/>
    <n v="1350"/>
    <s v="W10581058"/>
    <s v="Gavetas"/>
    <x v="1"/>
    <n v="1"/>
    <n v="5003024"/>
    <s v="RODOBRAS TRANSPORTES RODOVIARIOS LT"/>
    <n v="76.19"/>
    <d v="2025-06-23T00:00:00"/>
  </r>
  <r>
    <n v="254042150"/>
    <n v="64795567"/>
    <s v="REB"/>
    <n v="10068509"/>
    <n v="176"/>
    <s v="PEÇAS - Defeito de fabric./Interrompido"/>
    <s v="FUNCIONAL"/>
    <x v="1"/>
    <n v="3389"/>
    <s v="LARTEC COML PECAS E ACESS LTDA"/>
    <s v="SP"/>
    <n v="350"/>
    <s v="Ats On"/>
    <n v="1350"/>
    <s v="W11435392"/>
    <s v="Placas de Controle"/>
    <x v="2"/>
    <n v="1"/>
    <n v="5004042"/>
    <s v="BRASIL WEB TRANSPORTES E LOGISTICA"/>
    <n v="395.93"/>
    <d v="2025-06-23T00:00:00"/>
  </r>
  <r>
    <n v="254042135"/>
    <n v="64795578"/>
    <s v="REB"/>
    <n v="10009300"/>
    <n v="173"/>
    <s v="PEÇAS - Defeito de fabric./Alta Amperage"/>
    <s v="FUNCIONAL"/>
    <x v="1"/>
    <n v="27210"/>
    <s v="BELTRAO COMERCIO DE REFRIG"/>
    <s v="PR"/>
    <n v="350"/>
    <s v="Ats On"/>
    <n v="1350"/>
    <s v="W11619403"/>
    <s v="Placas de Controle"/>
    <x v="2"/>
    <n v="1"/>
    <n v="5003024"/>
    <s v="RODOBRAS TRANSPORTES RODOVIARIOS LT"/>
    <n v="291.95999999999998"/>
    <d v="2025-06-23T00:00:00"/>
  </r>
  <r>
    <n v="254042012"/>
    <n v="64795586"/>
    <s v="REB"/>
    <n v="10086308"/>
    <n v="176"/>
    <s v="PEÇAS - Defeito de fabric./Interrompido"/>
    <s v="FUNCIONAL"/>
    <x v="1"/>
    <n v="3389"/>
    <s v="LARTEC COML PECAS E ACESS LTDA"/>
    <s v="SP"/>
    <n v="350"/>
    <s v="Ats On"/>
    <n v="1350"/>
    <s v="W11435392"/>
    <s v="Placas de Controle"/>
    <x v="2"/>
    <n v="1"/>
    <n v="5004042"/>
    <s v="BRASIL WEB TRANSPORTES E LOGISTICA"/>
    <n v="395.93"/>
    <d v="2025-06-23T00:00:00"/>
  </r>
  <r>
    <n v="254042013"/>
    <n v="64795587"/>
    <s v="REB"/>
    <n v="10074023"/>
    <n v="173"/>
    <s v="PEÇAS - Defeito de fabric./Alta Amperage"/>
    <s v="FUNCIONAL"/>
    <x v="2"/>
    <n v="30820"/>
    <s v="ADVANCE REFRIGERACAO LTDA"/>
    <s v="PE"/>
    <n v="350"/>
    <s v="Ats On"/>
    <n v="1350"/>
    <s v="W11125635"/>
    <s v="Placas de Controle"/>
    <x v="2"/>
    <n v="1"/>
    <n v="5004101"/>
    <s v="UNIDOCK'S ASSESSORIA E LOGISTICA DE"/>
    <n v="144.22999999999999"/>
    <d v="2025-06-23T00:00:00"/>
  </r>
  <r>
    <n v="254053876"/>
    <n v="64795600"/>
    <s v="REB"/>
    <n v="10080004"/>
    <n v="167"/>
    <s v="PEÇAS - Avaria - Quebrada/Depósito"/>
    <s v="LOGÍSTICA"/>
    <x v="1"/>
    <n v="3694"/>
    <s v="DO LAR ELETRO TECNICA LTDA"/>
    <s v="SP"/>
    <n v="350"/>
    <s v="Ats On"/>
    <n v="1350"/>
    <n v="326051022"/>
    <s v="Capas"/>
    <x v="3"/>
    <n v="1"/>
    <n v="5004042"/>
    <s v="BRASIL WEB TRANSPORTES E LOGISTICA"/>
    <n v="58.34"/>
    <d v="2025-06-23T00:00:00"/>
  </r>
  <r>
    <n v="254041822"/>
    <n v="64795601"/>
    <s v="REB"/>
    <n v="10008998"/>
    <n v="176"/>
    <s v="PEÇAS - Defeito de fabric./Interrompido"/>
    <s v="FUNCIONAL"/>
    <x v="2"/>
    <n v="33403"/>
    <s v="J N SOARES REFRIGERACAO - ME"/>
    <s v="RN"/>
    <n v="648"/>
    <s v="Ultra"/>
    <n v="1350"/>
    <s v="W10168510"/>
    <s v="Motores Ventiladores"/>
    <x v="2"/>
    <n v="1"/>
    <n v="5004101"/>
    <s v="UNIDOCK'S ASSESSORIA E LOGISTICA DE"/>
    <n v="44.53"/>
    <d v="2025-06-23T00:00:00"/>
  </r>
  <r>
    <n v="254041863"/>
    <n v="64795602"/>
    <s v="REB"/>
    <n v="10088187"/>
    <n v="176"/>
    <s v="PEÇAS - Defeito de fabric./Interrompido"/>
    <s v="FUNCIONAL"/>
    <x v="2"/>
    <n v="70149"/>
    <s v="BR PECAS COMERCIO DE PECAS"/>
    <s v="SP"/>
    <n v="963"/>
    <s v="Ats Distribuidoras"/>
    <n v="1350"/>
    <s v="W10699293"/>
    <s v="Mangueiras"/>
    <x v="6"/>
    <n v="1"/>
    <n v="5004042"/>
    <s v="BRASIL WEB TRANSPORTES E LOGISTICA"/>
    <n v="148.47"/>
    <d v="2025-06-23T00:00:00"/>
  </r>
  <r>
    <n v="254042078"/>
    <n v="64795652"/>
    <s v="REB"/>
    <n v="10080227"/>
    <n v="167"/>
    <s v="PEÇAS - Avaria - Quebrada/Depósito"/>
    <s v="LOGÍSTICA"/>
    <x v="1"/>
    <n v="26337"/>
    <s v="RENATA DE MELLO MIRALHAS LIMA"/>
    <s v="SP"/>
    <n v="350"/>
    <s v="Ats On"/>
    <n v="1350"/>
    <s v="W11209044"/>
    <s v="Prateleiras"/>
    <x v="1"/>
    <n v="1"/>
    <n v="5004042"/>
    <s v="BRASIL WEB TRANSPORTES E LOGISTICA"/>
    <n v="60.66"/>
    <d v="2025-06-23T00:00:00"/>
  </r>
  <r>
    <n v="254042145"/>
    <n v="64795677"/>
    <s v="REB"/>
    <n v="10080324"/>
    <n v="167"/>
    <s v="PEÇAS - Avaria - Quebrada/Depósito"/>
    <s v="LOGÍSTICA"/>
    <x v="2"/>
    <n v="81373"/>
    <s v="M. M. DA S. MOURA"/>
    <s v="BA"/>
    <n v="350"/>
    <s v="Ats On"/>
    <n v="1350"/>
    <s v="W10624070"/>
    <s v="Gavetas"/>
    <x v="1"/>
    <n v="1"/>
    <n v="5004101"/>
    <s v="UNIDOCK'S ASSESSORIA E LOGISTICA DE"/>
    <n v="77.739999999999995"/>
    <d v="2025-06-23T00:00:00"/>
  </r>
  <r>
    <n v="254042146"/>
    <n v="64795678"/>
    <s v="REB"/>
    <n v="10071928"/>
    <n v="168"/>
    <s v="PEÇAS-Def.Fabric.Empenamento/Abaulamento"/>
    <s v="FUNCIONAL"/>
    <x v="1"/>
    <n v="34532"/>
    <s v="FRIOGASMAQ COMERCIAL LTDA"/>
    <s v="SC"/>
    <n v="350"/>
    <s v="Ats On"/>
    <n v="1350"/>
    <s v="W11299803"/>
    <s v="Mecanismos"/>
    <x v="4"/>
    <n v="1"/>
    <n v="5003024"/>
    <s v="RODOBRAS TRANSPORTES RODOVIARIOS LT"/>
    <n v="106.45"/>
    <d v="2025-06-23T00:00:00"/>
  </r>
  <r>
    <n v="254042080"/>
    <n v="64795826"/>
    <s v="REB"/>
    <n v="9993596"/>
    <n v="173"/>
    <s v="PEÇAS - Defeito de fabric./Alta Amperage"/>
    <s v="FUNCIONAL"/>
    <x v="1"/>
    <n v="21330"/>
    <s v="REFRIEL COM DE PEÇAS REFRIG LTDA RE"/>
    <s v="PR"/>
    <n v="643"/>
    <s v="Elite"/>
    <n v="1350"/>
    <s v="W11254865"/>
    <s v="Mecanismos"/>
    <x v="4"/>
    <n v="1"/>
    <n v="5003024"/>
    <s v="RODOBRAS TRANSPORTES RODOVIARIOS LT"/>
    <n v="139.62"/>
    <d v="2025-06-23T00:00:00"/>
  </r>
  <r>
    <n v="254041626"/>
    <n v="64795879"/>
    <s v="REB"/>
    <n v="10068596"/>
    <n v="104"/>
    <s v="PEÇAS-Código trocado(embalag X conteúdo)"/>
    <s v="LOGÍSTICA"/>
    <x v="1"/>
    <n v="41585"/>
    <s v="REFRIGERAÇÃO GLÓRIA PEÇAS E SERVIÇO"/>
    <s v="PR"/>
    <n v="350"/>
    <s v="Ats On"/>
    <n v="1350"/>
    <s v="W10644162"/>
    <s v="Tampas Móveis"/>
    <x v="3"/>
    <n v="1"/>
    <n v="5003024"/>
    <s v="RODOBRAS TRANSPORTES RODOVIARIOS LT"/>
    <n v="95.87"/>
    <d v="2025-06-23T00:00:00"/>
  </r>
  <r>
    <n v="254053877"/>
    <n v="64795884"/>
    <s v="REB"/>
    <n v="10061375"/>
    <n v="90"/>
    <s v="CLIENTE-não solicitou"/>
    <s v="COMERCIAL"/>
    <x v="2"/>
    <n v="25656"/>
    <s v="OFICIAL REFRIGERACAO COMERCIO"/>
    <s v="SP"/>
    <n v="931"/>
    <s v="Ats Off"/>
    <n v="1350"/>
    <s v="W10915379"/>
    <s v="Placas de Controle"/>
    <x v="2"/>
    <n v="1"/>
    <n v="5004042"/>
    <s v="BRASIL WEB TRANSPORTES E LOGISTICA"/>
    <n v="485.78"/>
    <d v="2025-06-23T00:00:00"/>
  </r>
  <r>
    <n v="254041842"/>
    <n v="64795890"/>
    <s v="REB"/>
    <n v="10063014"/>
    <n v="167"/>
    <s v="PEÇAS - Avaria - Quebrada/Depósito"/>
    <s v="LOGÍSTICA"/>
    <x v="1"/>
    <n v="53319"/>
    <s v="PARTS FRIO DISTRIBUIDORA DE"/>
    <s v="PR"/>
    <n v="644"/>
    <s v="Plus"/>
    <n v="1350"/>
    <s v="W10169464"/>
    <s v="Defletores/Difusores"/>
    <x v="6"/>
    <n v="7"/>
    <n v="5003024"/>
    <s v="RODOBRAS TRANSPORTES RODOVIARIOS LT"/>
    <n v="218.94"/>
    <d v="2025-06-23T00:00:00"/>
  </r>
  <r>
    <n v="254042133"/>
    <n v="64795892"/>
    <s v="REB"/>
    <n v="10076025"/>
    <n v="167"/>
    <s v="PEÇAS - Avaria - Quebrada/Depósito"/>
    <s v="LOGÍSTICA"/>
    <x v="1"/>
    <n v="84684"/>
    <s v="CENTERMAQ COMERCIO E CONSERTOS DE M"/>
    <s v="SC"/>
    <n v="934"/>
    <s v="CDP Ouro"/>
    <n v="1350"/>
    <s v="W10616687"/>
    <s v="Capas"/>
    <x v="3"/>
    <n v="1"/>
    <n v="5003024"/>
    <s v="RODOBRAS TRANSPORTES RODOVIARIOS LT"/>
    <n v="25.54"/>
    <d v="2025-06-23T00:00:00"/>
  </r>
  <r>
    <n v="254042154"/>
    <n v="64795893"/>
    <s v="REB"/>
    <n v="10076025"/>
    <n v="167"/>
    <s v="PEÇAS - Avaria - Quebrada/Depósito"/>
    <s v="LOGÍSTICA"/>
    <x v="1"/>
    <n v="84684"/>
    <s v="CENTERMAQ COMERCIO E CONSERTOS DE M"/>
    <s v="SC"/>
    <n v="934"/>
    <s v="CDP Ouro"/>
    <n v="1350"/>
    <s v="W10169464"/>
    <s v="Defletores/Difusores"/>
    <x v="6"/>
    <n v="1"/>
    <n v="5003024"/>
    <s v="RODOBRAS TRANSPORTES RODOVIARIOS LT"/>
    <n v="22.39"/>
    <d v="2025-06-23T00:00:00"/>
  </r>
  <r>
    <n v="254042121"/>
    <n v="64795904"/>
    <s v="REB"/>
    <n v="10075009"/>
    <n v="165"/>
    <s v="PEÇAS - Defeito de fabric./Incompleta"/>
    <s v="FUNCIONAL"/>
    <x v="1"/>
    <n v="4354"/>
    <s v="ELETRO PECAS MINGAO LTDA"/>
    <s v="PR"/>
    <n v="350"/>
    <s v="Ats On"/>
    <n v="1350"/>
    <n v="326072657"/>
    <s v="Peças Transmissão/Embreagens"/>
    <x v="4"/>
    <n v="1"/>
    <n v="5003024"/>
    <s v="RODOBRAS TRANSPORTES RODOVIARIOS LT"/>
    <n v="85.01"/>
    <d v="2025-06-23T00:00:00"/>
  </r>
  <r>
    <n v="254041816"/>
    <n v="64795909"/>
    <s v="REB"/>
    <n v="10079711"/>
    <n v="90"/>
    <s v="CLIENTE-não solicitou"/>
    <s v="COMERCIAL"/>
    <x v="2"/>
    <n v="42455"/>
    <s v="D. B. GOMES SOROCABA"/>
    <s v="SP"/>
    <n v="931"/>
    <s v="Ats Off"/>
    <n v="1350"/>
    <s v="W11342952"/>
    <s v="Gaxetas"/>
    <x v="10"/>
    <n v="1"/>
    <n v="5004042"/>
    <s v="BRASIL WEB TRANSPORTES E LOGISTICA"/>
    <n v="419.74"/>
    <d v="2025-06-23T00:00:00"/>
  </r>
  <r>
    <n v="254041817"/>
    <n v="64795910"/>
    <s v="REB"/>
    <n v="9986988"/>
    <n v="173"/>
    <s v="PEÇAS - Defeito de fabric./Alta Amperage"/>
    <s v="FUNCIONAL"/>
    <x v="1"/>
    <n v="70555"/>
    <s v="WG SOLUCOES EM ELETRODOMESTICOS"/>
    <s v="SC"/>
    <n v="648"/>
    <s v="Ultra"/>
    <n v="1350"/>
    <s v="W11161214"/>
    <s v="Placas de Interface"/>
    <x v="2"/>
    <n v="1"/>
    <n v="5003024"/>
    <s v="RODOBRAS TRANSPORTES RODOVIARIOS LT"/>
    <n v="144.05000000000001"/>
    <d v="2025-06-23T00:00:00"/>
  </r>
  <r>
    <n v="254057435"/>
    <n v="64795930"/>
    <s v="REB"/>
    <n v="10093534"/>
    <n v="176"/>
    <s v="PEÇAS - Defeito de fabric./Interrompido"/>
    <s v="FUNCIONAL"/>
    <x v="1"/>
    <n v="25656"/>
    <s v="OFICIAL REFRIGERACAO COMERCIO"/>
    <s v="SP"/>
    <n v="931"/>
    <s v="Ats Off"/>
    <n v="1350"/>
    <s v="W11300816"/>
    <s v="Mecanismos"/>
    <x v="4"/>
    <n v="1"/>
    <n v="5004042"/>
    <s v="BRASIL WEB TRANSPORTES E LOGISTICA"/>
    <n v="127.04"/>
    <d v="2025-06-23T00:00:00"/>
  </r>
  <r>
    <n v="254042205"/>
    <n v="64795941"/>
    <s v="REB"/>
    <n v="10004699"/>
    <n v="173"/>
    <s v="PEÇAS - Defeito de fabric./Alta Amperage"/>
    <s v="FUNCIONAL"/>
    <x v="2"/>
    <n v="14474"/>
    <s v="NATAL SERVICE LTDA N"/>
    <s v="RN"/>
    <n v="648"/>
    <s v="Ultra"/>
    <n v="1350"/>
    <s v="W11082463"/>
    <s v="Termostatos"/>
    <x v="8"/>
    <n v="1"/>
    <n v="5004101"/>
    <s v="UNIDOCK'S ASSESSORIA E LOGISTICA DE"/>
    <n v="46.38"/>
    <d v="2025-06-23T00:00:00"/>
  </r>
  <r>
    <n v="254042206"/>
    <n v="64795942"/>
    <s v="REB"/>
    <n v="10084877"/>
    <n v="176"/>
    <s v="PEÇAS - Defeito de fabric./Interrompido"/>
    <s v="FUNCIONAL"/>
    <x v="2"/>
    <n v="4425"/>
    <s v="AGASERV COMERCIO E ASSISTENCIA"/>
    <s v="SC"/>
    <n v="931"/>
    <s v="Ats Off"/>
    <n v="1350"/>
    <s v="W10588273"/>
    <s v="Eletrodos"/>
    <x v="9"/>
    <n v="1"/>
    <n v="5003024"/>
    <s v="RODOBRAS TRANSPORTES RODOVIARIOS LT"/>
    <n v="15.76"/>
    <d v="2025-06-23T00:00:00"/>
  </r>
  <r>
    <n v="254042018"/>
    <n v="64795944"/>
    <s v="REB"/>
    <n v="10088773"/>
    <n v="167"/>
    <s v="PEÇAS - Avaria - Quebrada/Depósito"/>
    <s v="LOGÍSTICA"/>
    <x v="1"/>
    <n v="3389"/>
    <s v="LARTEC COML PECAS E ACESS LTDA"/>
    <s v="SP"/>
    <n v="350"/>
    <s v="Ats On"/>
    <n v="1350"/>
    <s v="W10619463"/>
    <s v="Pressostatos"/>
    <x v="8"/>
    <n v="1"/>
    <n v="5004042"/>
    <s v="BRASIL WEB TRANSPORTES E LOGISTICA"/>
    <n v="40.89"/>
    <d v="2025-06-23T00:00:00"/>
  </r>
  <r>
    <n v="254042293"/>
    <n v="64795946"/>
    <s v="REB"/>
    <n v="10004700"/>
    <n v="176"/>
    <s v="PEÇAS - Defeito de fabric./Interrompido"/>
    <s v="FUNCIONAL"/>
    <x v="2"/>
    <n v="14474"/>
    <s v="NATAL SERVICE LTDA N"/>
    <s v="RN"/>
    <n v="648"/>
    <s v="Ultra"/>
    <n v="1350"/>
    <s v="W10828358"/>
    <s v="Pressostatos"/>
    <x v="8"/>
    <n v="2"/>
    <n v="5004101"/>
    <s v="UNIDOCK'S ASSESSORIA E LOGISTICA DE"/>
    <n v="64.73"/>
    <d v="2025-06-23T00:00:00"/>
  </r>
  <r>
    <n v="254033688"/>
    <n v="64795956"/>
    <s v="REB"/>
    <n v="9909503"/>
    <n v="176"/>
    <s v="PEÇAS - Defeito de fabric./Interrompido"/>
    <s v="FUNCIONAL"/>
    <x v="1"/>
    <n v="24089"/>
    <s v="REVOLUTION COMERCIO E SERV"/>
    <s v="RJ"/>
    <n v="931"/>
    <s v="Ats Off"/>
    <n v="1350"/>
    <s v="W11435390"/>
    <s v="Placas de Controle"/>
    <x v="2"/>
    <n v="1"/>
    <n v="5003176"/>
    <s v="J C THEDIN TRANSPORTES LTDA"/>
    <n v="360.92"/>
    <d v="2025-06-23T00:00:00"/>
  </r>
  <r>
    <n v="254042182"/>
    <n v="64795957"/>
    <s v="REB"/>
    <n v="10077063"/>
    <n v="168"/>
    <s v="PEÇAS-Def.Fabric.Empenamento/Abaulamento"/>
    <s v="FUNCIONAL"/>
    <x v="2"/>
    <n v="8975"/>
    <s v="FORT CENTER REFRIGERACAO LTDA"/>
    <s v="MA"/>
    <n v="931"/>
    <s v="Ats Off"/>
    <n v="1350"/>
    <s v="W10480671"/>
    <s v="Anéis Hidro"/>
    <x v="3"/>
    <n v="1"/>
    <n v="5004101"/>
    <s v="UNIDOCK'S ASSESSORIA E LOGISTICA DE"/>
    <n v="66.150000000000006"/>
    <d v="2025-06-23T00:00:00"/>
  </r>
  <r>
    <n v="254033377"/>
    <n v="64795963"/>
    <s v="REB"/>
    <n v="10018135"/>
    <n v="178"/>
    <s v="PEÇAS -Defeito de fabric./Sem Compressão"/>
    <s v="FUNCIONAL"/>
    <x v="1"/>
    <n v="30416"/>
    <s v="JF OLIVEIRA PEREIRA ELETROD LTDA"/>
    <s v="AM"/>
    <n v="648"/>
    <s v="Ultra"/>
    <n v="1350"/>
    <s v="W11647660"/>
    <s v="Compressores Herméticos"/>
    <x v="0"/>
    <n v="1"/>
    <n v="5002858"/>
    <s v="FAVORITA TRANSPORTES LTDA"/>
    <n v="234.93"/>
    <d v="2025-07-01T00:00:00"/>
  </r>
  <r>
    <n v="254042215"/>
    <n v="64796009"/>
    <s v="REB"/>
    <n v="9860195"/>
    <n v="173"/>
    <s v="PEÇAS - Defeito de fabric./Alta Amperage"/>
    <s v="FUNCIONAL"/>
    <x v="2"/>
    <n v="32533"/>
    <s v="FRIGELAR COM. DISTRIBUICAO S/A"/>
    <s v="PE"/>
    <n v="713"/>
    <s v="Key Account"/>
    <n v="1350"/>
    <s v="W11634491"/>
    <s v="Placas de Controle"/>
    <x v="2"/>
    <n v="1"/>
    <n v="5004101"/>
    <s v="UNIDOCK'S ASSESSORIA E LOGISTICA DE"/>
    <n v="56.47"/>
    <d v="2025-06-23T00:00:00"/>
  </r>
  <r>
    <n v="254042219"/>
    <n v="64796016"/>
    <s v="REB"/>
    <n v="8829826"/>
    <n v="173"/>
    <s v="PEÇAS - Defeito de fabric./Alta Amperage"/>
    <s v="FUNCIONAL"/>
    <x v="1"/>
    <n v="47471"/>
    <s v="REFRISOLAR REFRIGERACAO LTDA"/>
    <s v="TO"/>
    <n v="643"/>
    <s v="Elite"/>
    <n v="1350"/>
    <s v="W11647660"/>
    <s v="Compressores Herméticos"/>
    <x v="0"/>
    <n v="1"/>
    <n v="5002858"/>
    <s v="FAVORITA TRANSPORTES LTDA"/>
    <n v="290.88"/>
    <d v="2025-06-23T00:00:00"/>
  </r>
  <r>
    <n v="254042269"/>
    <n v="64796018"/>
    <s v="REB"/>
    <n v="9998225"/>
    <n v="173"/>
    <s v="PEÇAS - Defeito de fabric./Alta Amperage"/>
    <s v="FUNCIONAL"/>
    <x v="1"/>
    <n v="69166"/>
    <s v="PC COMERCIO E REPARACAO DE APARELHO"/>
    <s v="RJ"/>
    <n v="931"/>
    <s v="Ats Off"/>
    <n v="1350"/>
    <n v="326073242"/>
    <s v="Placas de Controle"/>
    <x v="2"/>
    <n v="1"/>
    <n v="5003176"/>
    <s v="J C THEDIN TRANSPORTES LTDA"/>
    <n v="140.63999999999999"/>
    <d v="2025-06-23T00:00:00"/>
  </r>
  <r>
    <n v="254042222"/>
    <n v="64796019"/>
    <s v="REB"/>
    <n v="10066003"/>
    <n v="176"/>
    <s v="PEÇAS - Defeito de fabric./Interrompido"/>
    <s v="FUNCIONAL"/>
    <x v="1"/>
    <n v="2424"/>
    <s v="TERMO STATUS INSTALADORA DE"/>
    <s v="RJ"/>
    <n v="350"/>
    <s v="Ats On"/>
    <n v="1350"/>
    <s v="W11106593"/>
    <s v="Bombas"/>
    <x v="2"/>
    <n v="1"/>
    <n v="5003176"/>
    <s v="J C THEDIN TRANSPORTES LTDA"/>
    <n v="318.72000000000003"/>
    <d v="2025-06-23T00:00:00"/>
  </r>
  <r>
    <n v="254042109"/>
    <n v="64796034"/>
    <s v="REB"/>
    <n v="9996750"/>
    <n v="173"/>
    <s v="PEÇAS - Defeito de fabric./Alta Amperage"/>
    <s v="FUNCIONAL"/>
    <x v="1"/>
    <n v="21330"/>
    <s v="REFRIEL COM DE PEÇAS REFRIG LTDA RE"/>
    <s v="PR"/>
    <n v="643"/>
    <s v="Elite"/>
    <n v="1350"/>
    <s v="W11299803"/>
    <s v="Mecanismos"/>
    <x v="4"/>
    <n v="1"/>
    <n v="5003024"/>
    <s v="RODOBRAS TRANSPORTES RODOVIARIOS LT"/>
    <n v="97.95"/>
    <d v="2025-06-23T00:00:00"/>
  </r>
  <r>
    <n v="254042246"/>
    <n v="64796039"/>
    <s v="REB"/>
    <n v="10089234"/>
    <n v="167"/>
    <s v="PEÇAS - Avaria - Quebrada/Depósito"/>
    <s v="LOGÍSTICA"/>
    <x v="1"/>
    <n v="5136"/>
    <s v="BRAZILIAN SERVICE ELETRODOMESTICOS"/>
    <s v="RS"/>
    <n v="350"/>
    <s v="Ats On"/>
    <n v="1350"/>
    <s v="W10882241"/>
    <s v="Agitadores"/>
    <x v="4"/>
    <n v="1"/>
    <n v="5003024"/>
    <s v="RODOBRAS TRANSPORTES RODOVIARIOS LT"/>
    <n v="44.74"/>
    <d v="2025-06-23T00:00:00"/>
  </r>
  <r>
    <n v="254042153"/>
    <n v="64796050"/>
    <s v="REB"/>
    <n v="10008484"/>
    <n v="173"/>
    <s v="PEÇAS - Defeito de fabric./Alta Amperage"/>
    <s v="FUNCIONAL"/>
    <x v="1"/>
    <n v="69166"/>
    <s v="PC COMERCIO E REPARACAO DE APARELHO"/>
    <s v="RJ"/>
    <n v="931"/>
    <s v="Ats Off"/>
    <n v="1350"/>
    <s v="W10398340"/>
    <s v="Sensores"/>
    <x v="8"/>
    <n v="1"/>
    <n v="5003176"/>
    <s v="J C THEDIN TRANSPORTES LTDA"/>
    <n v="263.64"/>
    <d v="2025-06-23T00:00:00"/>
  </r>
  <r>
    <n v="254042263"/>
    <n v="64796057"/>
    <s v="REB"/>
    <n v="10006784"/>
    <n v="176"/>
    <s v="PEÇAS - Defeito de fabric./Interrompido"/>
    <s v="FUNCIONAL"/>
    <x v="1"/>
    <n v="5136"/>
    <s v="BRAZILIAN SERVICE ELETRODOMESTICOS"/>
    <s v="RS"/>
    <n v="350"/>
    <s v="Ats On"/>
    <n v="1350"/>
    <s v="W11245249"/>
    <s v="Válvulas de Água"/>
    <x v="6"/>
    <n v="1"/>
    <n v="5003024"/>
    <s v="RODOBRAS TRANSPORTES RODOVIARIOS LT"/>
    <n v="49.03"/>
    <d v="2025-06-23T00:00:00"/>
  </r>
  <r>
    <n v="254042290"/>
    <n v="64796058"/>
    <s v="REB"/>
    <n v="9968109"/>
    <n v="176"/>
    <s v="PEÇAS - Defeito de fabric./Interrompido"/>
    <s v="FUNCIONAL"/>
    <x v="2"/>
    <n v="13757"/>
    <s v="FRIGELAR COMÉRCIO E INDÚSTRIA LTDA"/>
    <s v="SP"/>
    <n v="713"/>
    <s v="Key Account"/>
    <n v="1350"/>
    <s v="W10882241"/>
    <s v="Agitadores"/>
    <x v="4"/>
    <n v="1"/>
    <n v="5004042"/>
    <s v="BRASIL WEB TRANSPORTES E LOGISTICA"/>
    <n v="36.43"/>
    <d v="2025-06-23T00:00:00"/>
  </r>
  <r>
    <n v="254042286"/>
    <n v="64796062"/>
    <s v="REB"/>
    <n v="9593769"/>
    <n v="176"/>
    <s v="PEÇAS - Defeito de fabric./Interrompido"/>
    <s v="FUNCIONAL"/>
    <x v="1"/>
    <n v="78757"/>
    <s v="POSFRIO REFRIGERACAO LTDA"/>
    <s v="RS"/>
    <n v="643"/>
    <s v="Elite"/>
    <n v="1350"/>
    <s v="W11634491"/>
    <s v="Placas de Controle"/>
    <x v="2"/>
    <n v="1"/>
    <n v="5003024"/>
    <s v="RODOBRAS TRANSPORTES RODOVIARIOS LT"/>
    <n v="67.19"/>
    <d v="2025-06-23T00:00:00"/>
  </r>
  <r>
    <n v="254042175"/>
    <n v="64796079"/>
    <s v="REB"/>
    <n v="9941330"/>
    <n v="178"/>
    <s v="PEÇAS -Defeito de fabric./Sem Compressão"/>
    <s v="FUNCIONAL"/>
    <x v="1"/>
    <n v="69166"/>
    <s v="PC COMERCIO E REPARACAO DE APARELHO"/>
    <s v="RJ"/>
    <n v="931"/>
    <s v="Ats Off"/>
    <n v="1350"/>
    <s v="W10882241"/>
    <s v="Agitadores"/>
    <x v="4"/>
    <n v="1"/>
    <n v="5003176"/>
    <s v="J C THEDIN TRANSPORTES LTDA"/>
    <n v="54.04"/>
    <d v="2025-06-23T00:00:00"/>
  </r>
  <r>
    <n v="254042278"/>
    <n v="64796115"/>
    <s v="REB"/>
    <n v="10004701"/>
    <n v="176"/>
    <s v="PEÇAS - Defeito de fabric./Interrompido"/>
    <s v="FUNCIONAL"/>
    <x v="2"/>
    <n v="14474"/>
    <s v="NATAL SERVICE LTDA N"/>
    <s v="RN"/>
    <n v="648"/>
    <s v="Ultra"/>
    <n v="1350"/>
    <s v="W10446925"/>
    <s v="Placas de Controle"/>
    <x v="2"/>
    <n v="1"/>
    <n v="5004101"/>
    <s v="UNIDOCK'S ASSESSORIA E LOGISTICA DE"/>
    <n v="132.34"/>
    <d v="2025-06-23T00:00:00"/>
  </r>
  <r>
    <n v="254042280"/>
    <n v="64796117"/>
    <s v="REB"/>
    <n v="9863811"/>
    <n v="173"/>
    <s v="PEÇAS - Defeito de fabric./Alta Amperage"/>
    <s v="FUNCIONAL"/>
    <x v="1"/>
    <n v="70555"/>
    <s v="WG SOLUCOES EM ELETRODOMESTICOS"/>
    <s v="SC"/>
    <n v="648"/>
    <s v="Ultra"/>
    <n v="1350"/>
    <s v="W11161219"/>
    <s v="Placas de Interface"/>
    <x v="2"/>
    <n v="1"/>
    <n v="5003024"/>
    <s v="RODOBRAS TRANSPORTES RODOVIARIOS LT"/>
    <n v="138.97"/>
    <d v="2025-06-23T00:00:00"/>
  </r>
  <r>
    <n v="254042280"/>
    <n v="64796117"/>
    <s v="REB"/>
    <n v="9863811"/>
    <n v="173"/>
    <s v="PEÇAS - Defeito de fabric./Alta Amperage"/>
    <s v="FUNCIONAL"/>
    <x v="1"/>
    <n v="70555"/>
    <s v="WG SOLUCOES EM ELETRODOMESTICOS"/>
    <s v="SC"/>
    <n v="648"/>
    <s v="Ultra"/>
    <n v="1350"/>
    <s v="W11396188"/>
    <s v="Placas de Interface"/>
    <x v="2"/>
    <n v="1"/>
    <n v="5003024"/>
    <s v="RODOBRAS TRANSPORTES RODOVIARIOS LT"/>
    <n v="77.540000000000006"/>
    <d v="2025-06-23T00:00:00"/>
  </r>
  <r>
    <n v="254042173"/>
    <n v="64796144"/>
    <s v="REB"/>
    <n v="9551273"/>
    <n v="176"/>
    <s v="PEÇAS - Defeito de fabric./Interrompido"/>
    <s v="FUNCIONAL"/>
    <x v="1"/>
    <n v="78757"/>
    <s v="POSFRIO REFRIGERACAO LTDA"/>
    <s v="RS"/>
    <n v="643"/>
    <s v="Elite"/>
    <n v="1350"/>
    <s v="W11196470"/>
    <s v="Placas de Interface"/>
    <x v="2"/>
    <n v="1"/>
    <n v="5003024"/>
    <s v="RODOBRAS TRANSPORTES RODOVIARIOS LT"/>
    <n v="162.63999999999999"/>
    <d v="2025-06-23T00:00:00"/>
  </r>
  <r>
    <n v="254041865"/>
    <n v="64796159"/>
    <s v="REB"/>
    <n v="10053897"/>
    <n v="173"/>
    <s v="PEÇAS - Defeito de fabric./Alta Amperage"/>
    <s v="FUNCIONAL"/>
    <x v="2"/>
    <n v="13757"/>
    <s v="FRIGELAR COMÉRCIO E INDÚSTRIA LTDA"/>
    <s v="SP"/>
    <n v="713"/>
    <s v="Key Account"/>
    <n v="1350"/>
    <s v="W10171528"/>
    <s v="Pressostatos"/>
    <x v="8"/>
    <n v="1"/>
    <n v="5004042"/>
    <s v="BRASIL WEB TRANSPORTES E LOGISTICA"/>
    <n v="32.97"/>
    <d v="2025-06-23T00:00:00"/>
  </r>
  <r>
    <n v="254042158"/>
    <n v="64796164"/>
    <s v="REB"/>
    <n v="9953372"/>
    <n v="176"/>
    <s v="PEÇAS - Defeito de fabric./Interrompido"/>
    <s v="FUNCIONAL"/>
    <x v="2"/>
    <n v="13757"/>
    <s v="FRIGELAR COMÉRCIO E INDÚSTRIA LTDA"/>
    <s v="SP"/>
    <n v="713"/>
    <s v="Key Account"/>
    <n v="1350"/>
    <s v="W11300816"/>
    <s v="Mecanismos"/>
    <x v="4"/>
    <n v="1"/>
    <n v="5004042"/>
    <s v="BRASIL WEB TRANSPORTES E LOGISTICA"/>
    <n v="121.29"/>
    <d v="2025-06-23T00:00:00"/>
  </r>
  <r>
    <n v="254030530"/>
    <n v="64796182"/>
    <s v="REB"/>
    <n v="10091960"/>
    <n v="167"/>
    <s v="PEÇAS - Avaria - Quebrada/Depósito"/>
    <s v="LOGÍSTICA"/>
    <x v="1"/>
    <n v="35368"/>
    <s v="MASP REFRIGERACAO E SERVICOS TECNIC"/>
    <s v="ES"/>
    <n v="350"/>
    <s v="Ats On"/>
    <n v="1350"/>
    <s v="W11298033"/>
    <s v="Prateleiras"/>
    <x v="1"/>
    <n v="1"/>
    <n v="5004042"/>
    <s v="BRASIL WEB TRANSPORTES E LOGISTICA"/>
    <n v="43.05"/>
    <d v="2025-07-01T00:00:00"/>
  </r>
  <r>
    <n v="254042294"/>
    <n v="64796189"/>
    <s v="REB"/>
    <n v="10053463"/>
    <n v="176"/>
    <s v="PEÇAS - Defeito de fabric./Interrompido"/>
    <s v="FUNCIONAL"/>
    <x v="2"/>
    <n v="14474"/>
    <s v="NATAL SERVICE LTDA N"/>
    <s v="RN"/>
    <n v="648"/>
    <s v="Ultra"/>
    <n v="1350"/>
    <s v="W11396188"/>
    <s v="Placas de Interface"/>
    <x v="2"/>
    <n v="1"/>
    <n v="5004101"/>
    <s v="UNIDOCK'S ASSESSORIA E LOGISTICA DE"/>
    <n v="89.81"/>
    <d v="2025-06-23T00:00:00"/>
  </r>
  <r>
    <n v="254042291"/>
    <n v="64796199"/>
    <s v="REB"/>
    <n v="9876936"/>
    <n v="173"/>
    <s v="PEÇAS - Defeito de fabric./Alta Amperage"/>
    <s v="FUNCIONAL"/>
    <x v="1"/>
    <n v="78757"/>
    <s v="POSFRIO REFRIGERACAO LTDA"/>
    <s v="RS"/>
    <n v="643"/>
    <s v="Elite"/>
    <n v="1350"/>
    <s v="W11435396"/>
    <s v="Placas de Controle"/>
    <x v="2"/>
    <n v="1"/>
    <n v="5003024"/>
    <s v="RODOBRAS TRANSPORTES RODOVIARIOS LT"/>
    <n v="175.03"/>
    <d v="2025-06-23T00:00:00"/>
  </r>
  <r>
    <n v="254037878"/>
    <n v="64796200"/>
    <s v="REB"/>
    <n v="9915490"/>
    <n v="178"/>
    <s v="PEÇAS -Defeito de fabric./Sem Compressão"/>
    <s v="FUNCIONAL"/>
    <x v="1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3.87"/>
    <d v="2025-06-23T00:00:00"/>
  </r>
  <r>
    <n v="254037879"/>
    <n v="64796201"/>
    <s v="REB"/>
    <n v="9915490"/>
    <n v="178"/>
    <s v="PEÇAS -Defeito de fabric./Sem Compressão"/>
    <s v="FUNCIONAL"/>
    <x v="1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3.87"/>
    <d v="2025-06-23T00:00:00"/>
  </r>
  <r>
    <n v="254037880"/>
    <n v="64796202"/>
    <s v="REB"/>
    <n v="9915490"/>
    <n v="178"/>
    <s v="PEÇAS -Defeito de fabric./Sem Compressão"/>
    <s v="FUNCIONAL"/>
    <x v="1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3.87"/>
    <d v="2025-06-23T00:00:00"/>
  </r>
  <r>
    <n v="254038519"/>
    <n v="64796203"/>
    <s v="REB"/>
    <n v="10074123"/>
    <n v="176"/>
    <s v="PEÇAS - Defeito de fabric./Interrompido"/>
    <s v="FUNCIONAL"/>
    <x v="2"/>
    <n v="1632"/>
    <s v="BRASERVICE COMERCIO E SERVICOS"/>
    <s v="AL"/>
    <n v="931"/>
    <s v="Ats Off"/>
    <n v="1350"/>
    <s v="W11121357"/>
    <s v="Placas de Controle"/>
    <x v="2"/>
    <n v="1"/>
    <n v="5004101"/>
    <s v="UNIDOCK'S ASSESSORIA E LOGISTICA DE"/>
    <n v="367.22"/>
    <d v="2025-06-23T00:00:00"/>
  </r>
  <r>
    <n v="254042557"/>
    <n v="64796205"/>
    <s v="REB"/>
    <n v="9981183"/>
    <n v="173"/>
    <s v="PEÇAS - Defeito de fabric./Alta Amperage"/>
    <s v="FUNCIONAL"/>
    <x v="1"/>
    <n v="78757"/>
    <s v="POSFRIO REFRIGERACAO LTDA"/>
    <s v="RS"/>
    <n v="643"/>
    <s v="Elite"/>
    <n v="1350"/>
    <s v="W10518617"/>
    <s v="Atuadores"/>
    <x v="4"/>
    <n v="2"/>
    <n v="5003024"/>
    <s v="RODOBRAS TRANSPORTES RODOVIARIOS LT"/>
    <n v="66.41"/>
    <d v="2025-06-23T00:00:00"/>
  </r>
  <r>
    <n v="254042557"/>
    <n v="64796205"/>
    <s v="REB"/>
    <n v="9981183"/>
    <n v="173"/>
    <s v="PEÇAS - Defeito de fabric./Alta Amperage"/>
    <s v="FUNCIONAL"/>
    <x v="1"/>
    <n v="78757"/>
    <s v="POSFRIO REFRIGERACAO LTDA"/>
    <s v="RS"/>
    <n v="643"/>
    <s v="Elite"/>
    <n v="1350"/>
    <s v="W10912972"/>
    <s v="Placas de Controle"/>
    <x v="2"/>
    <n v="1"/>
    <n v="5003024"/>
    <s v="RODOBRAS TRANSPORTES RODOVIARIOS LT"/>
    <n v="340.2"/>
    <d v="2025-06-23T00:00:00"/>
  </r>
  <r>
    <n v="254042557"/>
    <n v="64796205"/>
    <s v="REB"/>
    <n v="9981183"/>
    <n v="173"/>
    <s v="PEÇAS - Defeito de fabric./Alta Amperage"/>
    <s v="FUNCIONAL"/>
    <x v="1"/>
    <n v="78757"/>
    <s v="POSFRIO REFRIGERACAO LTDA"/>
    <s v="RS"/>
    <n v="643"/>
    <s v="Elite"/>
    <n v="1350"/>
    <s v="W10678923"/>
    <s v="Placas de Controle"/>
    <x v="2"/>
    <n v="1"/>
    <n v="5003024"/>
    <s v="RODOBRAS TRANSPORTES RODOVIARIOS LT"/>
    <n v="63.66"/>
    <d v="2025-06-23T00:00:00"/>
  </r>
  <r>
    <n v="254042324"/>
    <n v="64796214"/>
    <s v="REB"/>
    <n v="9570753"/>
    <n v="173"/>
    <s v="PEÇAS - Defeito de fabric./Alta Amperage"/>
    <s v="FUNCIONAL"/>
    <x v="1"/>
    <n v="70555"/>
    <s v="WG SOLUCOES EM ELETRODOMESTICOS"/>
    <s v="SC"/>
    <n v="648"/>
    <s v="Ultra"/>
    <n v="1350"/>
    <s v="W11458016"/>
    <s v="Placas de Controle"/>
    <x v="2"/>
    <n v="1"/>
    <n v="5003024"/>
    <s v="RODOBRAS TRANSPORTES RODOVIARIOS LT"/>
    <n v="214.55"/>
    <d v="2025-06-23T00:00:00"/>
  </r>
  <r>
    <n v="254042332"/>
    <n v="64796289"/>
    <s v="REB"/>
    <n v="10004353"/>
    <n v="173"/>
    <s v="PEÇAS - Defeito de fabric./Alta Amperage"/>
    <s v="FUNCIONAL"/>
    <x v="1"/>
    <n v="78757"/>
    <s v="POSFRIO REFRIGERACAO LTDA"/>
    <s v="RS"/>
    <n v="643"/>
    <s v="Elite"/>
    <n v="1350"/>
    <s v="W11240401"/>
    <s v="Placas de Controle"/>
    <x v="2"/>
    <n v="1"/>
    <n v="5003024"/>
    <s v="RODOBRAS TRANSPORTES RODOVIARIOS LT"/>
    <n v="94.37"/>
    <d v="2025-06-23T00:00:00"/>
  </r>
  <r>
    <n v="254042333"/>
    <n v="64796290"/>
    <s v="REB"/>
    <n v="10004353"/>
    <n v="173"/>
    <s v="PEÇAS - Defeito de fabric./Alta Amperage"/>
    <s v="FUNCIONAL"/>
    <x v="1"/>
    <n v="78757"/>
    <s v="POSFRIO REFRIGERACAO LTDA"/>
    <s v="RS"/>
    <n v="643"/>
    <s v="Elite"/>
    <n v="1350"/>
    <s v="W11611482"/>
    <s v="Placas de Controle"/>
    <x v="2"/>
    <n v="1"/>
    <n v="5003024"/>
    <s v="RODOBRAS TRANSPORTES RODOVIARIOS LT"/>
    <n v="84.18"/>
    <d v="2025-06-23T00:00:00"/>
  </r>
  <r>
    <n v="254042107"/>
    <n v="64796319"/>
    <s v="REB"/>
    <n v="10009352"/>
    <n v="173"/>
    <s v="PEÇAS - Defeito de fabric./Alta Amperage"/>
    <s v="FUNCIONAL"/>
    <x v="1"/>
    <n v="78757"/>
    <s v="POSFRIO REFRIGERACAO LTDA"/>
    <s v="RS"/>
    <n v="643"/>
    <s v="Elite"/>
    <n v="1350"/>
    <s v="W10780260"/>
    <s v="Placas de Controle"/>
    <x v="2"/>
    <n v="1"/>
    <n v="5003024"/>
    <s v="RODOBRAS TRANSPORTES RODOVIARIOS LT"/>
    <n v="171.68"/>
    <d v="2025-06-23T00:00:00"/>
  </r>
  <r>
    <n v="254042107"/>
    <n v="64796319"/>
    <s v="REB"/>
    <n v="10009352"/>
    <n v="173"/>
    <s v="PEÇAS - Defeito de fabric./Alta Amperage"/>
    <s v="FUNCIONAL"/>
    <x v="1"/>
    <n v="78757"/>
    <s v="POSFRIO REFRIGERACAO LTDA"/>
    <s v="RS"/>
    <n v="643"/>
    <s v="Elite"/>
    <n v="1350"/>
    <s v="W11113071"/>
    <s v="Termostatos"/>
    <x v="8"/>
    <n v="1"/>
    <n v="5003024"/>
    <s v="RODOBRAS TRANSPORTES RODOVIARIOS LT"/>
    <n v="76.17"/>
    <d v="2025-06-23T00:00:00"/>
  </r>
  <r>
    <n v="254042010"/>
    <n v="64796334"/>
    <s v="REB"/>
    <n v="9471535"/>
    <n v="173"/>
    <s v="PEÇAS - Defeito de fabric./Alta Amperage"/>
    <s v="FUNCIONAL"/>
    <x v="1"/>
    <n v="78757"/>
    <s v="POSFRIO REFRIGERACAO LTDA"/>
    <s v="RS"/>
    <n v="643"/>
    <s v="Elite"/>
    <n v="1350"/>
    <s v="W10626365"/>
    <s v="Placas de Interface"/>
    <x v="2"/>
    <n v="1"/>
    <n v="5003024"/>
    <s v="RODOBRAS TRANSPORTES RODOVIARIOS LT"/>
    <n v="100.8"/>
    <d v="2025-06-23T00:00:00"/>
  </r>
  <r>
    <n v="254042038"/>
    <n v="64796369"/>
    <s v="REB"/>
    <n v="10044908"/>
    <n v="173"/>
    <s v="PEÇAS - Defeito de fabric./Alta Amperage"/>
    <s v="FUNCIONAL"/>
    <x v="1"/>
    <n v="21647"/>
    <s v="MAREMAIS CONSERTOS LTDA. - EPP"/>
    <s v="PR"/>
    <n v="641"/>
    <s v="CDP Diamante"/>
    <n v="1350"/>
    <s v="W10531315"/>
    <s v="Sensores"/>
    <x v="8"/>
    <n v="102"/>
    <n v="5003024"/>
    <s v="RODOBRAS TRANSPORTES RODOVIARIOS LT"/>
    <n v="841.88"/>
    <d v="2025-06-23T00:00:00"/>
  </r>
  <r>
    <n v="254044379"/>
    <n v="64796461"/>
    <s v="REB"/>
    <n v="10060562"/>
    <n v="176"/>
    <s v="PEÇAS - Defeito de fabric./Interrompido"/>
    <s v="FUNCIONAL"/>
    <x v="1"/>
    <n v="22041"/>
    <s v="VIP SERVICE COMERCIO DE PECAS"/>
    <s v="SP"/>
    <n v="931"/>
    <s v="Ats Off"/>
    <n v="1350"/>
    <n v="326008340"/>
    <s v="Anéis de Vedação"/>
    <x v="10"/>
    <n v="3"/>
    <n v="5004042"/>
    <s v="BRASIL WEB TRANSPORTES E LOGISTICA"/>
    <n v="55.26"/>
    <d v="2025-06-24T00:00:00"/>
  </r>
  <r>
    <n v="254031837"/>
    <n v="64796530"/>
    <s v="REB"/>
    <n v="10085961"/>
    <n v="176"/>
    <s v="PEÇAS - Defeito de fabric./Interrompido"/>
    <s v="FUNCIONAL"/>
    <x v="1"/>
    <n v="3506"/>
    <s v="TECBRAS ASSISTENCIA TECNICA"/>
    <s v="SP"/>
    <n v="931"/>
    <s v="Ats Off"/>
    <n v="1350"/>
    <s v="W10905603"/>
    <s v="Sensores"/>
    <x v="8"/>
    <n v="1"/>
    <n v="5004042"/>
    <s v="BRASIL WEB TRANSPORTES E LOGISTICA"/>
    <n v="27.89"/>
    <d v="2025-06-24T00:00:00"/>
  </r>
  <r>
    <n v="254033445"/>
    <n v="64796688"/>
    <s v="REB"/>
    <n v="9949748"/>
    <n v="178"/>
    <s v="PEÇAS -Defeito de fabric./Sem Compressão"/>
    <s v="FUNCIONAL"/>
    <x v="1"/>
    <n v="72332"/>
    <s v="ARGELO REFRIGERACAO LTDA"/>
    <s v="RJ"/>
    <n v="933"/>
    <s v="Top"/>
    <n v="1350"/>
    <s v="W11741178"/>
    <s v="Outros"/>
    <x v="5"/>
    <n v="2"/>
    <n v="5003176"/>
    <s v="J C THEDIN TRANSPORTES LTDA"/>
    <n v="622.62"/>
    <d v="2025-07-01T00:00:00"/>
  </r>
  <r>
    <n v="254033295"/>
    <n v="64796702"/>
    <s v="REB"/>
    <n v="9994066"/>
    <n v="177"/>
    <s v="PEÇAS - Defeito de fabric./Ruído"/>
    <s v="FUNCIONAL"/>
    <x v="2"/>
    <n v="18805"/>
    <s v="RECORRE R C REFRIG LTDA"/>
    <s v="PR"/>
    <n v="648"/>
    <s v="Ultra"/>
    <n v="1350"/>
    <s v="W11254865"/>
    <s v="Mecanismos"/>
    <x v="4"/>
    <n v="3"/>
    <n v="5003024"/>
    <s v="RODOBRAS TRANSPORTES RODOVIARIOS LT"/>
    <n v="432.36"/>
    <d v="2025-07-08T00:00:00"/>
  </r>
  <r>
    <n v="254042316"/>
    <n v="64796705"/>
    <s v="REB"/>
    <n v="10000210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54"/>
    <d v="2025-06-24T00:00:00"/>
  </r>
  <r>
    <n v="254042336"/>
    <n v="64796848"/>
    <s v="REB"/>
    <n v="10055443"/>
    <n v="176"/>
    <s v="PEÇAS - Defeito de fabric./Interrompido"/>
    <s v="FUNCIONAL"/>
    <x v="2"/>
    <n v="12692"/>
    <s v="COMERCIAL DE REFRIG  EQUIPAMEN LTDA"/>
    <s v="BA"/>
    <n v="641"/>
    <s v="CDP Diamante"/>
    <n v="1350"/>
    <s v="W10780260"/>
    <s v="Placas de Controle"/>
    <x v="2"/>
    <n v="1"/>
    <n v="5004101"/>
    <s v="UNIDOCK'S ASSESSORIA E LOGISTICA DE"/>
    <n v="188.4"/>
    <d v="2025-06-24T00:00:00"/>
  </r>
  <r>
    <n v="254042098"/>
    <n v="64796864"/>
    <s v="REB"/>
    <n v="10080162"/>
    <n v="90"/>
    <s v="CLIENTE-não solicitou"/>
    <s v="COMERCIAL"/>
    <x v="1"/>
    <n v="45440"/>
    <s v="SANTOS REFRIGERACAO LTDA"/>
    <s v="MG"/>
    <n v="350"/>
    <s v="Ats On"/>
    <n v="1350"/>
    <s v="W10616737"/>
    <s v="Gavetas"/>
    <x v="1"/>
    <n v="1"/>
    <n v="5004215"/>
    <s v="BRASIL WEB TRANSPORTES E LOGISTICA"/>
    <n v="168.69"/>
    <d v="2025-06-24T00:00:00"/>
  </r>
  <r>
    <n v="254042317"/>
    <n v="64796888"/>
    <s v="REB"/>
    <n v="9971584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36"/>
    <d v="2025-06-24T00:00:00"/>
  </r>
  <r>
    <n v="254031851"/>
    <n v="64796890"/>
    <s v="REB"/>
    <n v="10065563"/>
    <n v="176"/>
    <s v="PEÇAS - Defeito de fabric./Interrompido"/>
    <s v="FUNCIONAL"/>
    <x v="1"/>
    <n v="3506"/>
    <s v="TECBRAS ASSISTENCIA TECNICA"/>
    <s v="SP"/>
    <n v="931"/>
    <s v="Ats Off"/>
    <n v="1350"/>
    <n v="326013733"/>
    <s v="Termostatos"/>
    <x v="8"/>
    <n v="1"/>
    <n v="5004042"/>
    <s v="BRASIL WEB TRANSPORTES E LOGISTICA"/>
    <n v="34.35"/>
    <d v="2025-06-24T00:00:00"/>
  </r>
  <r>
    <n v="254031852"/>
    <n v="64796894"/>
    <s v="REB"/>
    <n v="10072574"/>
    <n v="176"/>
    <s v="PEÇAS - Defeito de fabric./Interrompido"/>
    <s v="FUNCIONAL"/>
    <x v="1"/>
    <n v="3506"/>
    <s v="TECBRAS ASSISTENCIA TECNICA"/>
    <s v="SP"/>
    <n v="931"/>
    <s v="Ats Off"/>
    <n v="1350"/>
    <s v="W11621541"/>
    <s v="Registros"/>
    <x v="9"/>
    <n v="2"/>
    <n v="5004042"/>
    <s v="BRASIL WEB TRANSPORTES E LOGISTICA"/>
    <n v="17.04"/>
    <d v="2025-06-24T00:00:00"/>
  </r>
  <r>
    <n v="254042042"/>
    <n v="64796896"/>
    <s v="REB"/>
    <n v="10001471"/>
    <n v="173"/>
    <s v="PEÇAS - Defeito de fabric./Alta Amperage"/>
    <s v="FUNCIONAL"/>
    <x v="1"/>
    <n v="21330"/>
    <s v="REFRIEL COM DE PEÇAS REFRIG LTDA RE"/>
    <s v="PR"/>
    <n v="643"/>
    <s v="Elite"/>
    <n v="1350"/>
    <s v="W11300816"/>
    <s v="Mecanismos"/>
    <x v="4"/>
    <n v="1"/>
    <n v="5003024"/>
    <s v="RODOBRAS TRANSPORTES RODOVIARIOS LT"/>
    <n v="117.76"/>
    <d v="2025-06-24T00:00:00"/>
  </r>
  <r>
    <n v="254042463"/>
    <n v="64796897"/>
    <s v="REB"/>
    <n v="9500668"/>
    <n v="176"/>
    <s v="PEÇAS - Defeito de fabric./Interrompido"/>
    <s v="FUNCIONAL"/>
    <x v="2"/>
    <n v="12692"/>
    <s v="COMERCIAL DE REFRIG  EQUIPAMEN LTDA"/>
    <s v="BA"/>
    <n v="641"/>
    <s v="CDP Diamante"/>
    <n v="1350"/>
    <s v="W11352536"/>
    <s v="Placas de Controle"/>
    <x v="2"/>
    <n v="1"/>
    <n v="5004101"/>
    <s v="UNIDOCK'S ASSESSORIA E LOGISTICA DE"/>
    <n v="86.68"/>
    <d v="2025-06-24T00:00:00"/>
  </r>
  <r>
    <n v="254042370"/>
    <n v="64796911"/>
    <s v="REB"/>
    <n v="10047936"/>
    <n v="173"/>
    <s v="PEÇAS - Defeito de fabric./Alta Amperage"/>
    <s v="FUNCIONAL"/>
    <x v="1"/>
    <n v="28016"/>
    <s v="MAREAR SERVIÇOS TECNICOS LTDA"/>
    <s v="RJ"/>
    <n v="933"/>
    <s v="Top"/>
    <n v="1350"/>
    <s v="W11364875"/>
    <s v="Válvulas de Água"/>
    <x v="6"/>
    <n v="1"/>
    <n v="5003176"/>
    <s v="J C THEDIN TRANSPORTES LTDA"/>
    <n v="29.92"/>
    <d v="2025-06-24T00:00:00"/>
  </r>
  <r>
    <n v="254042115"/>
    <n v="64796931"/>
    <s v="REB"/>
    <n v="9951762"/>
    <n v="173"/>
    <s v="PEÇAS - Defeito de fabric./Alta Amperage"/>
    <s v="FUNCIONAL"/>
    <x v="1"/>
    <n v="28016"/>
    <s v="MAREAR SERVIÇOS TECNICOS LTDA"/>
    <s v="RJ"/>
    <n v="933"/>
    <s v="Top"/>
    <n v="1350"/>
    <s v="W11163349"/>
    <s v="Placas de Controle"/>
    <x v="2"/>
    <n v="1"/>
    <n v="5003176"/>
    <s v="J C THEDIN TRANSPORTES LTDA"/>
    <n v="72.31"/>
    <d v="2025-06-24T00:00:00"/>
  </r>
  <r>
    <n v="254042511"/>
    <n v="64796941"/>
    <s v="REB"/>
    <n v="9846422"/>
    <n v="173"/>
    <s v="PEÇAS - Defeito de fabric./Alta Amperage"/>
    <s v="FUNCIONAL"/>
    <x v="2"/>
    <n v="37369"/>
    <s v="NETO ASSISTENCIA TECNICA EM ELETROD"/>
    <s v="SC"/>
    <n v="932"/>
    <s v="CDP Prata"/>
    <n v="1350"/>
    <n v="326076083"/>
    <s v="Motores Ventiladores"/>
    <x v="2"/>
    <n v="1"/>
    <n v="5003024"/>
    <s v="RODOBRAS TRANSPORTES RODOVIARIOS LT"/>
    <n v="72.94"/>
    <d v="2025-06-25T00:00:00"/>
  </r>
  <r>
    <n v="254035415"/>
    <n v="64796952"/>
    <s v="REB"/>
    <n v="10022599"/>
    <n v="176"/>
    <s v="PEÇAS - Defeito de fabric./Interrompido"/>
    <s v="FUNCIONAL"/>
    <x v="1"/>
    <n v="70149"/>
    <s v="BR PECAS COMERCIO DE PECAS"/>
    <s v="SP"/>
    <n v="963"/>
    <s v="Ats Distribuidoras"/>
    <n v="1350"/>
    <s v="W10772235"/>
    <s v="Placas de Interface"/>
    <x v="2"/>
    <n v="1"/>
    <n v="5004042"/>
    <s v="BRASIL WEB TRANSPORTES E LOGISTICA"/>
    <n v="204.14"/>
    <d v="2025-07-17T00:00:00"/>
  </r>
  <r>
    <n v="254035398"/>
    <n v="64796953"/>
    <s v="REB"/>
    <n v="9509575"/>
    <n v="173"/>
    <s v="PEÇAS - Defeito de fabric./Alta Amperage"/>
    <s v="FUNCIONAL"/>
    <x v="2"/>
    <n v="61263"/>
    <s v="NOVINHO PECAS LTDA - ME"/>
    <s v="CE"/>
    <n v="648"/>
    <s v="Ultra"/>
    <n v="1350"/>
    <s v="W11121357"/>
    <s v="Placas de Controle"/>
    <x v="2"/>
    <n v="2"/>
    <n v="5004101"/>
    <s v="UNIDOCK'S ASSESSORIA E LOGISTICA DE"/>
    <n v="479.46"/>
    <d v="2025-07-17T00:00:00"/>
  </r>
  <r>
    <n v="254042318"/>
    <n v="64796959"/>
    <s v="REB"/>
    <n v="10027963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54"/>
    <d v="2025-06-24T00:00:00"/>
  </r>
  <r>
    <n v="254042319"/>
    <n v="64796964"/>
    <s v="REB"/>
    <n v="10060706"/>
    <n v="173"/>
    <s v="PEÇAS - Defeito de fabric./Alta Amperage"/>
    <s v="FUNCIONAL"/>
    <x v="1"/>
    <n v="3236"/>
    <s v="FRISON THERM AR CONDICIONADO LTDA F"/>
    <s v="SP"/>
    <n v="931"/>
    <s v="Ats Off"/>
    <n v="1350"/>
    <s v="W10666796"/>
    <s v="Compressores Herméticos"/>
    <x v="0"/>
    <n v="1"/>
    <n v="5004042"/>
    <s v="BRASIL WEB TRANSPORTES E LOGISTICA"/>
    <n v="683.16"/>
    <d v="2025-06-24T00:00:00"/>
  </r>
  <r>
    <n v="254042466"/>
    <n v="64796969"/>
    <s v="REB"/>
    <n v="9964313"/>
    <n v="173"/>
    <s v="PEÇAS - Defeito de fabric./Alta Amperage"/>
    <s v="FUNCIONAL"/>
    <x v="1"/>
    <n v="27825"/>
    <s v="DANIELA CENSON DE OLIVEIRA ME"/>
    <s v="SP"/>
    <n v="641"/>
    <s v="CDP Diamante"/>
    <n v="1350"/>
    <s v="W10849469"/>
    <s v="Bombas"/>
    <x v="2"/>
    <n v="1"/>
    <n v="5004042"/>
    <s v="BRASIL WEB TRANSPORTES E LOGISTICA"/>
    <n v="35.58"/>
    <d v="2025-06-24T00:00:00"/>
  </r>
  <r>
    <n v="254035580"/>
    <n v="64796971"/>
    <s v="REB"/>
    <n v="9891234"/>
    <n v="173"/>
    <s v="PEÇAS - Defeito de fabric./Alta Amperage"/>
    <s v="FUNCIONAL"/>
    <x v="2"/>
    <n v="59520"/>
    <s v="SARDANHA COMERC PECAS E ACESSORIOS"/>
    <s v="SC"/>
    <n v="643"/>
    <s v="Elite"/>
    <n v="1350"/>
    <s v="W11647662"/>
    <s v="Compressores Herméticos"/>
    <x v="0"/>
    <n v="1"/>
    <n v="5003024"/>
    <s v="RODOBRAS TRANSPORTES RODOVIARIOS LT"/>
    <n v="290.58999999999997"/>
    <d v="2025-06-24T00:00:00"/>
  </r>
  <r>
    <n v="254019490"/>
    <n v="64797502"/>
    <s v="REB"/>
    <n v="10100057"/>
    <n v="170"/>
    <s v="PEÇAS - Avaria - Riscada/Depósito"/>
    <s v="LOGÍSTICA"/>
    <x v="1"/>
    <n v="30742"/>
    <s v="SARDANHA COMERCIO DE PECAS E"/>
    <s v="SC"/>
    <n v="643"/>
    <s v="Elite"/>
    <n v="1350"/>
    <s v="W11435825"/>
    <s v="Tampas Móveis"/>
    <x v="3"/>
    <n v="1"/>
    <n v="5003024"/>
    <s v="RODOBRAS TRANSPORTES RODOVIARIOS LT"/>
    <n v="111.51"/>
    <d v="2025-06-24T00:00:00"/>
  </r>
  <r>
    <n v="254019959"/>
    <n v="64797861"/>
    <s v="ROB"/>
    <n v="10097567"/>
    <n v="184"/>
    <s v="PEÇAS - Emissão de Nota Fiscal Errada"/>
    <s v="LOGÍSTICA"/>
    <x v="1"/>
    <n v="15663"/>
    <s v="M P XAVIER CONSERTOS DE REFRIG"/>
    <s v="RJ"/>
    <n v="350"/>
    <s v="Ats On"/>
    <n v="1350"/>
    <s v="W11691009"/>
    <s v="Outros"/>
    <x v="5"/>
    <n v="1"/>
    <n v="5003176"/>
    <s v="J C THEDIN TRANSPORTES LTDA"/>
    <n v="235.77"/>
    <d v="2025-06-25T00:00:00"/>
  </r>
  <r>
    <n v="254033302"/>
    <n v="64797913"/>
    <s v="REB"/>
    <n v="9976783"/>
    <n v="173"/>
    <s v="PEÇAS - Defeito de fabric./Alta Amperage"/>
    <s v="FUNCIONAL"/>
    <x v="1"/>
    <n v="21594"/>
    <s v="GOLD SERVICE COMERCIO"/>
    <s v="SP"/>
    <n v="931"/>
    <s v="Ats Off"/>
    <n v="1350"/>
    <s v="W10751205"/>
    <s v="Placas de Interface"/>
    <x v="2"/>
    <n v="1"/>
    <n v="5004042"/>
    <s v="BRASIL WEB TRANSPORTES E LOGISTICA"/>
    <n v="229.14"/>
    <d v="2025-07-08T00:00:00"/>
  </r>
  <r>
    <s v="Sem TR"/>
    <n v="64798326"/>
    <s v="REB"/>
    <n v="10116808"/>
    <n v="170"/>
    <s v="PEÇAS - Avaria - Riscada/Depósito"/>
    <s v="LOGÍSTICA"/>
    <x v="1"/>
    <n v="92025"/>
    <s v="ASTEBEL REDE DE SERVICOS LTDA"/>
    <s v="MG"/>
    <n v="350"/>
    <s v="Ats On"/>
    <n v="1350"/>
    <s v="W10755441"/>
    <s v="Suportes"/>
    <x v="3"/>
    <n v="1"/>
    <n v="5004215"/>
    <s v="BRASIL WEB TRANSPORTES E LOGISTICA"/>
    <n v="234.75"/>
    <d v="2025-07-09T00:00:00"/>
  </r>
  <r>
    <n v="254043555"/>
    <n v="64798328"/>
    <s v="REB"/>
    <n v="10111749"/>
    <n v="165"/>
    <s v="PEÇAS - Defeito de fabric./Incompleta"/>
    <s v="FUNCIONAL"/>
    <x v="1"/>
    <n v="578"/>
    <s v="AMERICA DISTR DE PECAS E SERVS LTDA"/>
    <s v="MG"/>
    <n v="350"/>
    <s v="Ats On"/>
    <n v="1350"/>
    <s v="W10774833"/>
    <s v="Placas de Controle"/>
    <x v="2"/>
    <n v="1"/>
    <n v="5004215"/>
    <s v="BRASIL WEB TRANSPORTES E LOGISTICA"/>
    <n v="48.99"/>
    <d v="2025-07-09T00:00:00"/>
  </r>
  <r>
    <n v="254042048"/>
    <n v="64799139"/>
    <s v="REB"/>
    <n v="10097694"/>
    <n v="176"/>
    <s v="PEÇAS - Defeito de fabric./Interrompido"/>
    <s v="FUNCIONAL"/>
    <x v="1"/>
    <n v="578"/>
    <s v="AMERICA DISTR DE PECAS E SERVS LTDA"/>
    <s v="MG"/>
    <n v="350"/>
    <s v="Ats On"/>
    <n v="1350"/>
    <s v="W10774833"/>
    <s v="Placas de Controle"/>
    <x v="2"/>
    <n v="1"/>
    <n v="5004215"/>
    <s v="BRASIL WEB TRANSPORTES E LOGISTICA"/>
    <n v="48.99"/>
    <d v="2025-06-27T00:00:00"/>
  </r>
  <r>
    <s v="Sem TR"/>
    <n v="64799344"/>
    <s v="REB"/>
    <n v="10083756"/>
    <n v="170"/>
    <s v="PEÇAS - Avaria - Riscada/Depósito"/>
    <s v="LOGÍSTICA"/>
    <x v="1"/>
    <n v="22041"/>
    <s v="VIP SERVICE COMERCIO DE PECAS"/>
    <s v="SP"/>
    <n v="931"/>
    <s v="Ats Off"/>
    <n v="1350"/>
    <s v="W11101824"/>
    <s v="Portas"/>
    <x v="3"/>
    <n v="1"/>
    <n v="5004042"/>
    <s v="BRASIL WEB TRANSPORTES E LOGISTICA"/>
    <n v="380.66"/>
    <d v="2025-06-27T00:00:00"/>
  </r>
  <r>
    <n v="254038397"/>
    <n v="64799368"/>
    <s v="REB"/>
    <n v="10101123"/>
    <n v="177"/>
    <s v="PEÇAS - Defeito de fabric./Ruído"/>
    <s v="FUNCIONAL"/>
    <x v="1"/>
    <n v="80432"/>
    <s v="FRIORIO DISTRIBUIDOR DE PECAS PARA"/>
    <s v="ES"/>
    <n v="713"/>
    <s v="Key Account"/>
    <n v="1350"/>
    <s v="W10399715"/>
    <s v="Motores Ventiladores"/>
    <x v="2"/>
    <n v="2"/>
    <n v="5004042"/>
    <s v="BRASIL WEB TRANSPORTES E LOGISTICA"/>
    <n v="92.66"/>
    <d v="2025-07-22T00:00:00"/>
  </r>
  <r>
    <n v="254033316"/>
    <n v="64799540"/>
    <s v="REB"/>
    <n v="10098200"/>
    <n v="173"/>
    <s v="PEÇAS - Defeito de fabric./Alta Amperage"/>
    <s v="FUNCIONAL"/>
    <x v="1"/>
    <n v="22985"/>
    <s v="Comercial Delfrio LTDA EPP"/>
    <s v="SC"/>
    <n v="641"/>
    <s v="CDP Diamante"/>
    <n v="1350"/>
    <s v="W11364881"/>
    <s v="Válvulas de Água"/>
    <x v="6"/>
    <n v="1"/>
    <n v="5003024"/>
    <s v="RODOBRAS TRANSPORTES RODOVIARIOS LT"/>
    <n v="28.15"/>
    <d v="2025-07-08T00:00:00"/>
  </r>
  <r>
    <n v="254033399"/>
    <n v="64799577"/>
    <s v="REB"/>
    <n v="10015525"/>
    <n v="173"/>
    <s v="PEÇAS - Defeito de fabric./Alta Amperage"/>
    <s v="FUNCIONAL"/>
    <x v="1"/>
    <n v="37434"/>
    <s v="ELETRO MARTINS LTDA"/>
    <s v="GO"/>
    <n v="931"/>
    <s v="Ats Off"/>
    <n v="1350"/>
    <s v="W11245250"/>
    <s v="Válvulas de Água"/>
    <x v="6"/>
    <n v="1"/>
    <n v="5002858"/>
    <s v="FAVORITA TRANSPORTES LTDA"/>
    <n v="41.64"/>
    <d v="2025-07-01T00:00:00"/>
  </r>
  <r>
    <n v="254033302"/>
    <n v="64799583"/>
    <s v="REB"/>
    <n v="10063487"/>
    <n v="173"/>
    <s v="PEÇAS - Defeito de fabric./Alta Amperage"/>
    <s v="FUNCIONAL"/>
    <x v="1"/>
    <n v="21594"/>
    <s v="GOLD SERVICE COMERCIO"/>
    <s v="SP"/>
    <n v="931"/>
    <s v="Ats Off"/>
    <n v="1350"/>
    <s v="W11647660"/>
    <s v="Compressores Herméticos"/>
    <x v="0"/>
    <n v="1"/>
    <n v="5004042"/>
    <s v="BRASIL WEB TRANSPORTES E LOGISTICA"/>
    <n v="331.35"/>
    <d v="2025-07-01T00:00:00"/>
  </r>
  <r>
    <n v="254030534"/>
    <n v="64799602"/>
    <s v="REB"/>
    <n v="10082992"/>
    <n v="167"/>
    <s v="PEÇAS - Avaria - Quebrada/Depósito"/>
    <s v="LOGÍSTICA"/>
    <x v="1"/>
    <n v="71476"/>
    <s v="R FERREIRA DA SILVA"/>
    <s v="RJ"/>
    <n v="934"/>
    <s v="CDP Ouro"/>
    <n v="1350"/>
    <n v="326051022"/>
    <s v="Capas"/>
    <x v="3"/>
    <n v="1"/>
    <n v="5003176"/>
    <s v="J C THEDIN TRANSPORTES LTDA"/>
    <n v="58.99"/>
    <d v="2025-07-01T00:00:00"/>
  </r>
  <r>
    <n v="254030534"/>
    <n v="64799602"/>
    <s v="REB"/>
    <n v="10082992"/>
    <n v="167"/>
    <s v="PEÇAS - Avaria - Quebrada/Depósito"/>
    <s v="LOGÍSTICA"/>
    <x v="1"/>
    <n v="71476"/>
    <s v="R FERREIRA DA SILVA"/>
    <s v="RJ"/>
    <n v="934"/>
    <s v="CDP Ouro"/>
    <n v="1350"/>
    <s v="W10169464"/>
    <s v="Defletores/Difusores"/>
    <x v="6"/>
    <n v="1"/>
    <n v="5003176"/>
    <s v="J C THEDIN TRANSPORTES LTDA"/>
    <n v="31.03"/>
    <d v="2025-07-01T00:00:00"/>
  </r>
  <r>
    <n v="254030534"/>
    <n v="64799602"/>
    <s v="REB"/>
    <n v="10082992"/>
    <n v="167"/>
    <s v="PEÇAS - Avaria - Quebrada/Depósito"/>
    <s v="LOGÍSTICA"/>
    <x v="1"/>
    <n v="71476"/>
    <s v="R FERREIRA DA SILVA"/>
    <s v="RJ"/>
    <n v="934"/>
    <s v="CDP Ouro"/>
    <n v="1350"/>
    <s v="W11363944"/>
    <s v="Capas"/>
    <x v="3"/>
    <n v="1"/>
    <n v="5003176"/>
    <s v="J C THEDIN TRANSPORTES LTDA"/>
    <n v="39.33"/>
    <d v="2025-07-01T00:00:00"/>
  </r>
  <r>
    <n v="254033376"/>
    <n v="64799713"/>
    <s v="REB"/>
    <n v="10053086"/>
    <n v="178"/>
    <s v="PEÇAS -Defeito de fabric./Sem Compressão"/>
    <s v="FUNCIONAL"/>
    <x v="1"/>
    <n v="30416"/>
    <s v="JF OLIVEIRA PEREIRA ELETROD LTDA"/>
    <s v="AM"/>
    <n v="648"/>
    <s v="Ultra"/>
    <n v="1350"/>
    <s v="W10769941"/>
    <s v="Compressores Herméticos"/>
    <x v="0"/>
    <n v="2"/>
    <n v="5002858"/>
    <s v="FAVORITA TRANSPORTES LTDA"/>
    <n v="834.9"/>
    <d v="2025-07-01T00:00:00"/>
  </r>
  <r>
    <n v="254030524"/>
    <n v="64799731"/>
    <s v="REB"/>
    <n v="9769816"/>
    <n v="173"/>
    <s v="PEÇAS - Defeito de fabric./Alta Amperage"/>
    <s v="FUNCIONAL"/>
    <x v="1"/>
    <n v="30416"/>
    <s v="JF OLIVEIRA PEREIRA ELETROD LTDA"/>
    <s v="AM"/>
    <n v="648"/>
    <s v="Ultra"/>
    <n v="1350"/>
    <s v="W11163349"/>
    <s v="Placas de Controle"/>
    <x v="2"/>
    <n v="1"/>
    <n v="5002858"/>
    <s v="FAVORITA TRANSPORTES LTDA"/>
    <n v="54.94"/>
    <d v="2025-07-01T00:00:00"/>
  </r>
  <r>
    <n v="254033416"/>
    <n v="64799733"/>
    <s v="REB"/>
    <n v="9998755"/>
    <n v="173"/>
    <s v="PEÇAS - Defeito de fabric./Alta Amperage"/>
    <s v="FUNCIONAL"/>
    <x v="1"/>
    <n v="51613"/>
    <s v="EDU REFRIGERACAO LTDA - ME"/>
    <s v="MG"/>
    <n v="643"/>
    <s v="Elite"/>
    <n v="1350"/>
    <s v="W11300675"/>
    <s v="Mecanismos"/>
    <x v="4"/>
    <n v="1"/>
    <n v="5004215"/>
    <s v="BRASIL WEB TRANSPORTES E LOGISTICA"/>
    <n v="100.9"/>
    <d v="2025-07-01T00:00:00"/>
  </r>
  <r>
    <n v="254033377"/>
    <n v="64799926"/>
    <s v="REB"/>
    <n v="9991991"/>
    <n v="173"/>
    <s v="PEÇAS - Defeito de fabric./Alta Amperage"/>
    <s v="FUNCIONAL"/>
    <x v="1"/>
    <n v="30416"/>
    <s v="JF OLIVEIRA PEREIRA ELETROD LTDA"/>
    <s v="AM"/>
    <n v="648"/>
    <s v="Ultra"/>
    <n v="1350"/>
    <s v="W10586927"/>
    <s v="Placas de Controle"/>
    <x v="2"/>
    <n v="1"/>
    <n v="5002858"/>
    <s v="FAVORITA TRANSPORTES LTDA"/>
    <n v="131.66"/>
    <d v="2025-07-01T00:00:00"/>
  </r>
  <r>
    <n v="254044377"/>
    <n v="64799953"/>
    <s v="REB"/>
    <n v="10085182"/>
    <n v="115"/>
    <s v="PEÇAS-Recusa do cliente"/>
    <s v="COMERCIAL"/>
    <x v="1"/>
    <n v="48539"/>
    <s v="MAQFRIO PECAS E SERVICOS LTDA"/>
    <s v="MG"/>
    <n v="350"/>
    <s v="Ats On"/>
    <n v="1350"/>
    <s v="W11046681"/>
    <s v="Outros"/>
    <x v="5"/>
    <n v="1"/>
    <n v="5004215"/>
    <s v="BRASIL WEB TRANSPORTES E LOGISTICA"/>
    <n v="141.31"/>
    <d v="2025-06-28T00:00:00"/>
  </r>
  <r>
    <n v="254030459"/>
    <n v="64800021"/>
    <s v="REB"/>
    <n v="10006871"/>
    <n v="176"/>
    <s v="PEÇAS - Defeito de fabric./Interrompido"/>
    <s v="FUNCIONAL"/>
    <x v="2"/>
    <n v="13757"/>
    <s v="FRIGELAR COMÉRCIO E INDÚSTRIA LTDA"/>
    <s v="SP"/>
    <n v="713"/>
    <s v="Key Account"/>
    <n v="1350"/>
    <s v="W11300675"/>
    <s v="Mecanismos"/>
    <x v="4"/>
    <n v="1"/>
    <n v="5004042"/>
    <s v="BRASIL WEB TRANSPORTES E LOGISTICA"/>
    <n v="109.2"/>
    <d v="2025-07-01T00:00:00"/>
  </r>
  <r>
    <n v="254030459"/>
    <n v="64800021"/>
    <s v="REB"/>
    <n v="10006871"/>
    <n v="176"/>
    <s v="PEÇAS - Defeito de fabric./Interrompido"/>
    <s v="FUNCIONAL"/>
    <x v="2"/>
    <n v="13757"/>
    <s v="FRIGELAR COMÉRCIO E INDÚSTRIA LTDA"/>
    <s v="SP"/>
    <n v="713"/>
    <s v="Key Account"/>
    <n v="1350"/>
    <s v="W11300676"/>
    <s v="Mecanismos"/>
    <x v="4"/>
    <n v="1"/>
    <n v="5004042"/>
    <s v="BRASIL WEB TRANSPORTES E LOGISTICA"/>
    <n v="121.47"/>
    <d v="2025-07-01T00:00:00"/>
  </r>
  <r>
    <n v="254030459"/>
    <n v="64800022"/>
    <s v="REB"/>
    <n v="9412028"/>
    <n v="176"/>
    <s v="PEÇAS - Defeito de fabric./Interrompido"/>
    <s v="FUNCIONAL"/>
    <x v="2"/>
    <n v="13757"/>
    <s v="FRIGELAR COMÉRCIO E INDÚSTRIA LTDA"/>
    <s v="SP"/>
    <n v="713"/>
    <s v="Key Account"/>
    <n v="1350"/>
    <s v="W11611482"/>
    <s v="Placas de Controle"/>
    <x v="2"/>
    <n v="1"/>
    <n v="5004042"/>
    <s v="BRASIL WEB TRANSPORTES E LOGISTICA"/>
    <n v="96.62"/>
    <d v="2025-07-01T00:00:00"/>
  </r>
  <r>
    <n v="254030537"/>
    <n v="64800098"/>
    <s v="REB"/>
    <n v="10094945"/>
    <n v="165"/>
    <s v="PEÇAS - Defeito de fabric./Incompleta"/>
    <s v="FUNCIONAL"/>
    <x v="2"/>
    <n v="80164"/>
    <s v="FRIOMASTER COMERCIO DE"/>
    <s v="SP"/>
    <n v="641"/>
    <s v="CDP Diamante"/>
    <n v="1350"/>
    <s v="W10828358"/>
    <s v="Pressostatos"/>
    <x v="8"/>
    <n v="1"/>
    <n v="5004042"/>
    <s v="BRASIL WEB TRANSPORTES E LOGISTICA"/>
    <n v="36.020000000000003"/>
    <d v="2025-07-01T00:00:00"/>
  </r>
  <r>
    <n v="254033361"/>
    <n v="64800147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0393809"/>
    <s v="Compressores Herméticos"/>
    <x v="0"/>
    <n v="1"/>
    <n v="5004101"/>
    <s v="UNIDOCK'S ASSESSORIA E LOGISTICA DE"/>
    <n v="404.67"/>
    <d v="2025-07-01T00:00:00"/>
  </r>
  <r>
    <n v="254033101"/>
    <n v="64800502"/>
    <s v="REB"/>
    <n v="9877348"/>
    <n v="173"/>
    <s v="PEÇAS - Defeito de fabric./Alta Amperage"/>
    <s v="FUNCIONAL"/>
    <x v="1"/>
    <n v="113"/>
    <s v="SERVIBRAS COM SERVICOS TECNICOS LT"/>
    <s v="AL"/>
    <n v="350"/>
    <s v="Ats On"/>
    <n v="1350"/>
    <s v="W11240384"/>
    <s v="Placas de Controle"/>
    <x v="2"/>
    <n v="1"/>
    <n v="5004101"/>
    <s v="UNIDOCK'S ASSESSORIA E LOGISTICA DE"/>
    <n v="97.69"/>
    <d v="2025-07-01T00:00:00"/>
  </r>
  <r>
    <n v="254033377"/>
    <n v="64800508"/>
    <s v="REB"/>
    <n v="9968501"/>
    <n v="178"/>
    <s v="PEÇAS -Defeito de fabric./Sem Compressão"/>
    <s v="FUNCIONAL"/>
    <x v="1"/>
    <n v="30416"/>
    <s v="JF OLIVEIRA PEREIRA ELETROD LTDA"/>
    <s v="AM"/>
    <n v="648"/>
    <s v="Ultra"/>
    <n v="1350"/>
    <s v="W10393802"/>
    <s v="Compressores Herméticos"/>
    <x v="0"/>
    <n v="1"/>
    <n v="5002858"/>
    <s v="FAVORITA TRANSPORTES LTDA"/>
    <n v="317.31"/>
    <d v="2025-07-01T00:00:00"/>
  </r>
  <r>
    <n v="254030527"/>
    <n v="64800550"/>
    <s v="REB"/>
    <n v="10087191"/>
    <n v="167"/>
    <s v="PEÇAS - Avaria - Quebrada/Depósito"/>
    <s v="LOGÍSTICA"/>
    <x v="1"/>
    <n v="31537"/>
    <s v="RAQUEL SILVEIRA RODRIGUES &amp; CIA. LT"/>
    <s v="RS"/>
    <n v="641"/>
    <s v="CDP Diamante"/>
    <n v="1350"/>
    <s v="W10287527"/>
    <s v="Prateleiras"/>
    <x v="1"/>
    <n v="1"/>
    <n v="5003024"/>
    <s v="RODOBRAS TRANSPORTES RODOVIARIOS LT"/>
    <n v="121.76"/>
    <d v="2025-07-01T00:00:00"/>
  </r>
  <r>
    <n v="254033469"/>
    <n v="64800553"/>
    <s v="REB"/>
    <n v="10056636"/>
    <n v="173"/>
    <s v="PEÇAS - Defeito de fabric./Alta Amperage"/>
    <s v="FUNCIONAL"/>
    <x v="2"/>
    <n v="83387"/>
    <s v="METTA COMERCIO E SERVICOS LTDA"/>
    <s v="RJ"/>
    <n v="350"/>
    <s v="Ats On"/>
    <n v="1350"/>
    <s v="W11349635"/>
    <s v="Protetores Térmicos"/>
    <x v="2"/>
    <n v="1"/>
    <n v="5003176"/>
    <s v="J C THEDIN TRANSPORTES LTDA"/>
    <n v="10.53"/>
    <d v="2025-07-01T00:00:00"/>
  </r>
  <r>
    <n v="254033469"/>
    <n v="64800553"/>
    <s v="REB"/>
    <n v="10056636"/>
    <n v="173"/>
    <s v="PEÇAS - Defeito de fabric./Alta Amperage"/>
    <s v="FUNCIONAL"/>
    <x v="2"/>
    <n v="83387"/>
    <s v="METTA COMERCIO E SERVICOS LTDA"/>
    <s v="RJ"/>
    <n v="350"/>
    <s v="Ats On"/>
    <n v="1350"/>
    <s v="W11345781"/>
    <s v="Sensores"/>
    <x v="8"/>
    <n v="1"/>
    <n v="5003176"/>
    <s v="J C THEDIN TRANSPORTES LTDA"/>
    <n v="17.25"/>
    <d v="2025-07-01T00:00:00"/>
  </r>
  <r>
    <n v="254033438"/>
    <n v="64800611"/>
    <s v="REB"/>
    <n v="10040014"/>
    <n v="173"/>
    <s v="PEÇAS - Defeito de fabric./Alta Amperage"/>
    <s v="FUNCIONAL"/>
    <x v="1"/>
    <n v="68962"/>
    <s v="ELETROFRIGOR PECAS LTDA ME"/>
    <s v="RJ"/>
    <n v="644"/>
    <s v="Plus"/>
    <n v="1350"/>
    <s v="W11240384"/>
    <s v="Placas de Controle"/>
    <x v="2"/>
    <n v="1"/>
    <n v="5003176"/>
    <s v="J C THEDIN TRANSPORTES LTDA"/>
    <n v="98.96"/>
    <d v="2025-07-01T00:00:00"/>
  </r>
  <r>
    <n v="254033314"/>
    <n v="64800612"/>
    <s v="REB"/>
    <n v="10107389"/>
    <n v="177"/>
    <s v="PEÇAS - Defeito de fabric./Ruído"/>
    <s v="FUNCIONAL"/>
    <x v="1"/>
    <n v="21594"/>
    <s v="GOLD SERVICE COMERCIO"/>
    <s v="SP"/>
    <n v="931"/>
    <s v="Ats Off"/>
    <n v="1350"/>
    <s v="W10764578"/>
    <s v="Conjunto Varetas"/>
    <x v="11"/>
    <n v="1"/>
    <n v="5004042"/>
    <s v="BRASIL WEB TRANSPORTES E LOGISTICA"/>
    <n v="55.87"/>
    <d v="2025-07-01T00:00:00"/>
  </r>
  <r>
    <s v="Sem TR"/>
    <n v="64800667"/>
    <s v="ZRDI"/>
    <n v="10197258"/>
    <s v="D10"/>
    <s v="DEV D2C - Comprou modelo errado"/>
    <s v="COMERCIAL"/>
    <x v="0"/>
    <n v="53761399"/>
    <s v="JULIANA MANASSERO"/>
    <s v="RS"/>
    <n v="474"/>
    <s v="Site Brastemp"/>
    <n v="1352"/>
    <s v="W11298039"/>
    <s v="Gavetas"/>
    <x v="1"/>
    <n v="1"/>
    <n v="5002359"/>
    <s v="EMPRESA BRASILEIRA DE CORREIOS E"/>
    <n v="183"/>
    <d v="2025-08-29T00:00:00"/>
  </r>
  <r>
    <s v="Sem TR"/>
    <n v="64802210"/>
    <s v="REB"/>
    <n v="10089706"/>
    <n v="104"/>
    <s v="PEÇAS-Código trocado(embalag X conteúdo)"/>
    <s v="LOGÍSTICA"/>
    <x v="1"/>
    <n v="22759"/>
    <s v="E. V. FERREIRA MARQUES -SERVICOS"/>
    <s v="MT"/>
    <n v="931"/>
    <s v="Ats Off"/>
    <n v="1350"/>
    <s v="W11520142"/>
    <s v="Capas"/>
    <x v="3"/>
    <n v="1"/>
    <n v="5002573"/>
    <s v="CARVALIMA TRANSPORTES LTDA"/>
    <n v="211.74"/>
    <d v="2025-07-01T00:00:00"/>
  </r>
  <r>
    <n v="254038269"/>
    <n v="64802338"/>
    <s v="REB"/>
    <n v="9553407"/>
    <n v="173"/>
    <s v="PEÇAS - Defeito de fabric./Alta Amperage"/>
    <s v="FUNCIONAL"/>
    <x v="1"/>
    <n v="4167"/>
    <s v="MAQ VILLE PECAS E SERVICOS LTDA"/>
    <s v="SP"/>
    <n v="931"/>
    <s v="Ats Off"/>
    <n v="1350"/>
    <s v="W11047054"/>
    <s v="Interruptores horário"/>
    <x v="8"/>
    <n v="1"/>
    <n v="5004042"/>
    <s v="BRASIL WEB TRANSPORTES E LOGISTICA"/>
    <n v="134.09"/>
    <d v="2025-07-22T00:00:00"/>
  </r>
  <r>
    <n v="254030455"/>
    <n v="64802400"/>
    <s v="REB"/>
    <n v="10076370"/>
    <n v="167"/>
    <s v="PEÇAS - Avaria - Quebrada/Depósito"/>
    <s v="LOGÍSTICA"/>
    <x v="1"/>
    <n v="1632"/>
    <s v="BRASERVICE COMERCIO E SERVICOS"/>
    <s v="AL"/>
    <n v="931"/>
    <s v="Ats Off"/>
    <n v="1350"/>
    <s v="W10920084"/>
    <s v="Prateleiras"/>
    <x v="1"/>
    <n v="1"/>
    <n v="5004101"/>
    <s v="UNIDOCK'S ASSESSORIA E LOGISTICA DE"/>
    <n v="53.08"/>
    <d v="2025-07-01T00:00:00"/>
  </r>
  <r>
    <n v="254031863"/>
    <n v="64802401"/>
    <s v="REB"/>
    <n v="10060630"/>
    <n v="176"/>
    <s v="PEÇAS - Defeito de fabric./Interrompido"/>
    <s v="FUNCIONAL"/>
    <x v="0"/>
    <n v="3506"/>
    <s v="TECBRAS ASSISTENCIA TECNICA"/>
    <s v="SP"/>
    <n v="931"/>
    <s v="Ats Off"/>
    <n v="1350"/>
    <s v="W10544750"/>
    <s v="Motores"/>
    <x v="2"/>
    <n v="1"/>
    <n v="5004042"/>
    <s v="BRASIL WEB TRANSPORTES E LOGISTICA"/>
    <n v="524.52"/>
    <d v="2025-07-01T00:00:00"/>
  </r>
  <r>
    <n v="254030525"/>
    <n v="64802419"/>
    <s v="REB"/>
    <n v="10076875"/>
    <n v="104"/>
    <s v="PEÇAS-Código trocado(embalag X conteúdo)"/>
    <s v="LOGÍSTICA"/>
    <x v="2"/>
    <n v="30820"/>
    <s v="ADVANCE REFRIGERACAO LTDA"/>
    <s v="PE"/>
    <n v="350"/>
    <s v="Ats On"/>
    <n v="1350"/>
    <s v="W11535903"/>
    <s v="Tampas Móveis"/>
    <x v="3"/>
    <n v="1"/>
    <n v="5004101"/>
    <s v="UNIDOCK'S ASSESSORIA E LOGISTICA DE"/>
    <n v="246.2"/>
    <d v="2025-07-01T00:00:00"/>
  </r>
  <r>
    <n v="254030527"/>
    <n v="64802420"/>
    <s v="REB"/>
    <n v="10087190"/>
    <n v="167"/>
    <s v="PEÇAS - Avaria - Quebrada/Depósito"/>
    <s v="LOGÍSTICA"/>
    <x v="1"/>
    <n v="31537"/>
    <s v="RAQUEL SILVEIRA RODRIGUES &amp; CIA. LT"/>
    <s v="RS"/>
    <n v="641"/>
    <s v="CDP Diamante"/>
    <n v="1350"/>
    <s v="W11431350"/>
    <s v="Capas"/>
    <x v="3"/>
    <n v="1"/>
    <n v="5003024"/>
    <s v="RODOBRAS TRANSPORTES RODOVIARIOS LT"/>
    <n v="20.58"/>
    <d v="2025-07-01T00:00:00"/>
  </r>
  <r>
    <n v="254042959"/>
    <n v="64802427"/>
    <s v="REB"/>
    <n v="49238"/>
    <n v="176"/>
    <s v="PEÇAS - Defeito de fabric./Interrompido"/>
    <s v="FUNCIONAL"/>
    <x v="2"/>
    <n v="33403"/>
    <s v="J N SOARES REFRIGERACAO - ME"/>
    <s v="RN"/>
    <n v="648"/>
    <s v="Ultra"/>
    <n v="1550"/>
    <s v="W10799397"/>
    <s v="Compressores Herméticos"/>
    <x v="0"/>
    <n v="1"/>
    <n v="5004391"/>
    <s v="JEONCEL TRANSPORTES LTDA"/>
    <n v="418.3"/>
    <d v="2025-07-01T00:00:00"/>
  </r>
  <r>
    <n v="254030461"/>
    <n v="64802434"/>
    <s v="REB"/>
    <n v="10079984"/>
    <n v="104"/>
    <s v="PEÇAS-Código trocado(embalag X conteúdo)"/>
    <s v="LOGÍSTICA"/>
    <x v="1"/>
    <n v="16459"/>
    <s v="REFRIGERACAO PAIZANTE LTDA"/>
    <s v="MG"/>
    <n v="350"/>
    <s v="Ats On"/>
    <n v="1350"/>
    <s v="W10581058"/>
    <s v="Gavetas"/>
    <x v="1"/>
    <n v="1"/>
    <n v="5004215"/>
    <s v="BRASIL WEB TRANSPORTES E LOGISTICA"/>
    <n v="99.89"/>
    <d v="2025-07-01T00:00:00"/>
  </r>
  <r>
    <n v="254057428"/>
    <n v="64802438"/>
    <s v="REB"/>
    <n v="10090356"/>
    <n v="176"/>
    <s v="PEÇAS - Defeito de fabric./Interrompido"/>
    <s v="FUNCIONAL"/>
    <x v="1"/>
    <n v="3524"/>
    <s v="CATEL - COMERCIO DE PECAS"/>
    <s v="SP"/>
    <n v="931"/>
    <s v="Ats Off"/>
    <n v="1350"/>
    <n v="326075869"/>
    <s v="Placas de Controle"/>
    <x v="2"/>
    <n v="1"/>
    <n v="5004042"/>
    <s v="BRASIL WEB TRANSPORTES E LOGISTICA"/>
    <n v="1085.55"/>
    <d v="2025-07-01T00:00:00"/>
  </r>
  <r>
    <n v="254033278"/>
    <n v="64802445"/>
    <s v="REB"/>
    <n v="10029778"/>
    <n v="173"/>
    <s v="PEÇAS - Defeito de fabric./Alta Amperage"/>
    <s v="FUNCIONAL"/>
    <x v="1"/>
    <n v="9991"/>
    <s v="HIPERFRIO COMERCIO DE PECAS LTDA"/>
    <s v="DF"/>
    <n v="648"/>
    <s v="Ultra"/>
    <n v="1350"/>
    <s v="W11047054"/>
    <s v="Interruptores horário"/>
    <x v="8"/>
    <n v="1"/>
    <n v="5002858"/>
    <s v="FAVORITA TRANSPORTES LTDA"/>
    <n v="148.94999999999999"/>
    <d v="2025-07-01T00:00:00"/>
  </r>
  <r>
    <n v="254033440"/>
    <n v="64802453"/>
    <s v="REB"/>
    <n v="10064065"/>
    <n v="173"/>
    <s v="PEÇAS - Defeito de fabric./Alta Amperage"/>
    <s v="FUNCIONAL"/>
    <x v="1"/>
    <n v="69166"/>
    <s v="PC COMERCIO E REPARACAO DE APARELHO"/>
    <s v="RJ"/>
    <n v="931"/>
    <s v="Ats Off"/>
    <n v="1350"/>
    <s v="W11364875"/>
    <s v="Válvulas de Água"/>
    <x v="6"/>
    <n v="1"/>
    <n v="5003176"/>
    <s v="J C THEDIN TRANSPORTES LTDA"/>
    <n v="28.41"/>
    <d v="2025-07-01T00:00:00"/>
  </r>
  <r>
    <n v="254030540"/>
    <n v="64802454"/>
    <s v="REB"/>
    <n v="9904213"/>
    <n v="176"/>
    <s v="PEÇAS - Defeito de fabric./Interrompido"/>
    <s v="FUNCIONAL"/>
    <x v="1"/>
    <n v="81988"/>
    <s v="BH COMERCIO DE PECAS E FRIGERACAO"/>
    <s v="MG"/>
    <n v="648"/>
    <s v="Ultra"/>
    <n v="1350"/>
    <s v="W10518616"/>
    <s v="Atuadores"/>
    <x v="4"/>
    <n v="1"/>
    <n v="5004215"/>
    <s v="BRASIL WEB TRANSPORTES E LOGISTICA"/>
    <n v="34.78"/>
    <d v="2025-07-01T00:00:00"/>
  </r>
  <r>
    <n v="254033394"/>
    <n v="64802471"/>
    <s v="REB"/>
    <n v="10085677"/>
    <n v="173"/>
    <s v="PEÇAS - Defeito de fabric./Alta Amperage"/>
    <s v="FUNCIONAL"/>
    <x v="1"/>
    <n v="37434"/>
    <s v="ELETRO MARTINS LTDA"/>
    <s v="GO"/>
    <n v="931"/>
    <s v="Ats Off"/>
    <n v="1350"/>
    <s v="W11581054"/>
    <s v="Placas de Controle"/>
    <x v="2"/>
    <n v="1"/>
    <n v="5002858"/>
    <s v="FAVORITA TRANSPORTES LTDA"/>
    <n v="132.27000000000001"/>
    <d v="2025-07-01T00:00:00"/>
  </r>
  <r>
    <n v="254042958"/>
    <n v="64802472"/>
    <s v="REB"/>
    <n v="49238"/>
    <n v="173"/>
    <s v="PEÇAS - Defeito de fabric./Alta Amperage"/>
    <s v="FUNCIONAL"/>
    <x v="2"/>
    <n v="33403"/>
    <s v="J N SOARES REFRIGERACAO - ME"/>
    <s v="RN"/>
    <n v="648"/>
    <s v="Ultra"/>
    <n v="1550"/>
    <s v="W10799397"/>
    <s v="Compressores Herméticos"/>
    <x v="0"/>
    <n v="1"/>
    <n v="5004391"/>
    <s v="JEONCEL TRANSPORTES LTDA"/>
    <n v="418.3"/>
    <d v="2025-07-01T00:00:00"/>
  </r>
  <r>
    <n v="254033394"/>
    <n v="64802476"/>
    <s v="REB"/>
    <n v="10055628"/>
    <n v="173"/>
    <s v="PEÇAS - Defeito de fabric./Alta Amperage"/>
    <s v="FUNCIONAL"/>
    <x v="1"/>
    <n v="37434"/>
    <s v="ELETRO MARTINS LTDA"/>
    <s v="GO"/>
    <n v="931"/>
    <s v="Ats Off"/>
    <n v="1350"/>
    <s v="W11299803"/>
    <s v="Mecanismos"/>
    <x v="4"/>
    <n v="2"/>
    <n v="5002858"/>
    <s v="FAVORITA TRANSPORTES LTDA"/>
    <n v="196.96"/>
    <d v="2025-07-01T00:00:00"/>
  </r>
  <r>
    <n v="254033419"/>
    <n v="64802477"/>
    <s v="REB"/>
    <n v="10043408"/>
    <n v="173"/>
    <s v="PEÇAS - Defeito de fabric./Alta Amperage"/>
    <s v="FUNCIONAL"/>
    <x v="2"/>
    <n v="54055"/>
    <s v="R. GOMES NETA CANTANHEDE - ME"/>
    <s v="MA"/>
    <n v="933"/>
    <s v="Top"/>
    <n v="1350"/>
    <s v="W10518617"/>
    <s v="Atuadores"/>
    <x v="4"/>
    <n v="1"/>
    <n v="5004101"/>
    <s v="UNIDOCK'S ASSESSORIA E LOGISTICA DE"/>
    <n v="35.020000000000003"/>
    <d v="2025-07-01T00:00:00"/>
  </r>
  <r>
    <n v="254033416"/>
    <n v="64802534"/>
    <s v="REB"/>
    <n v="9998756"/>
    <n v="173"/>
    <s v="PEÇAS - Defeito de fabric./Alta Amperage"/>
    <s v="FUNCIONAL"/>
    <x v="1"/>
    <n v="51613"/>
    <s v="EDU REFRIGERACAO LTDA - ME"/>
    <s v="MG"/>
    <n v="643"/>
    <s v="Elite"/>
    <n v="1350"/>
    <s v="W10849469"/>
    <s v="Bombas"/>
    <x v="2"/>
    <n v="6"/>
    <n v="5004215"/>
    <s v="BRASIL WEB TRANSPORTES E LOGISTICA"/>
    <n v="183.74"/>
    <d v="2025-07-01T00:00:00"/>
  </r>
  <r>
    <n v="254033416"/>
    <n v="64802535"/>
    <s v="REB"/>
    <n v="10015049"/>
    <n v="173"/>
    <s v="PEÇAS - Defeito de fabric./Alta Amperage"/>
    <s v="FUNCIONAL"/>
    <x v="1"/>
    <n v="51613"/>
    <s v="EDU REFRIGERACAO LTDA - ME"/>
    <s v="MG"/>
    <n v="643"/>
    <s v="Elite"/>
    <n v="1350"/>
    <s v="W10399715"/>
    <s v="Motores Ventiladores"/>
    <x v="2"/>
    <n v="1"/>
    <n v="5004215"/>
    <s v="BRASIL WEB TRANSPORTES E LOGISTICA"/>
    <n v="40.9"/>
    <d v="2025-07-01T00:00:00"/>
  </r>
  <r>
    <n v="254033417"/>
    <n v="64802539"/>
    <s v="REB"/>
    <n v="10015049"/>
    <n v="173"/>
    <s v="PEÇAS - Defeito de fabric./Alta Amperage"/>
    <s v="FUNCIONAL"/>
    <x v="1"/>
    <n v="51613"/>
    <s v="EDU REFRIGERACAO LTDA - ME"/>
    <s v="MG"/>
    <n v="643"/>
    <s v="Elite"/>
    <n v="1350"/>
    <s v="W10399715"/>
    <s v="Motores Ventiladores"/>
    <x v="2"/>
    <n v="1"/>
    <n v="5004215"/>
    <s v="BRASIL WEB TRANSPORTES E LOGISTICA"/>
    <n v="40.9"/>
    <d v="2025-07-01T00:00:00"/>
  </r>
  <r>
    <n v="254057429"/>
    <n v="64802540"/>
    <s v="REB"/>
    <n v="10063463"/>
    <n v="173"/>
    <s v="PEÇAS - Defeito de fabric./Alta Amperage"/>
    <s v="FUNCIONAL"/>
    <x v="1"/>
    <n v="3524"/>
    <s v="CATEL - COMERCIO DE PECAS"/>
    <s v="SP"/>
    <n v="931"/>
    <s v="Ats Off"/>
    <n v="1350"/>
    <s v="W11459425"/>
    <s v="Compressores Herméticos"/>
    <x v="0"/>
    <n v="1"/>
    <n v="5004042"/>
    <s v="BRASIL WEB TRANSPORTES E LOGISTICA"/>
    <n v="536.98"/>
    <d v="2025-07-01T00:00:00"/>
  </r>
  <r>
    <n v="254031867"/>
    <n v="64802554"/>
    <s v="REB"/>
    <n v="10096980"/>
    <n v="176"/>
    <s v="PEÇAS - Defeito de fabric./Interrompido"/>
    <s v="FUNCIONAL"/>
    <x v="1"/>
    <n v="3506"/>
    <s v="TECBRAS ASSISTENCIA TECNICA"/>
    <s v="SP"/>
    <n v="931"/>
    <s v="Ats Off"/>
    <n v="1350"/>
    <n v="326073242"/>
    <s v="Placas de Controle"/>
    <x v="2"/>
    <n v="1"/>
    <n v="5004042"/>
    <s v="BRASIL WEB TRANSPORTES E LOGISTICA"/>
    <n v="151.58000000000001"/>
    <d v="2025-07-01T00:00:00"/>
  </r>
  <r>
    <n v="254033389"/>
    <n v="64802563"/>
    <s v="REB"/>
    <n v="10017966"/>
    <n v="90"/>
    <s v="CLIENTE-não solicitou"/>
    <s v="COMERCIAL"/>
    <x v="2"/>
    <n v="32856"/>
    <s v="REFRIGERACAO DUFRIO"/>
    <s v="PR"/>
    <n v="713"/>
    <s v="Key Account"/>
    <n v="1350"/>
    <s v="W11082462"/>
    <s v="Termostatos"/>
    <x v="8"/>
    <n v="1"/>
    <n v="5003024"/>
    <s v="RODOBRAS TRANSPORTES RODOVIARIOS LT"/>
    <n v="46.47"/>
    <d v="2025-07-01T00:00:00"/>
  </r>
  <r>
    <n v="254033389"/>
    <n v="64802563"/>
    <s v="REB"/>
    <n v="10017966"/>
    <n v="90"/>
    <s v="CLIENTE-não solicitou"/>
    <s v="COMERCIAL"/>
    <x v="2"/>
    <n v="32856"/>
    <s v="REFRIGERACAO DUFRIO"/>
    <s v="PR"/>
    <n v="713"/>
    <s v="Key Account"/>
    <n v="1350"/>
    <n v="4197305"/>
    <s v="Dobradiças"/>
    <x v="7"/>
    <n v="2"/>
    <n v="5003024"/>
    <s v="RODOBRAS TRANSPORTES RODOVIARIOS LT"/>
    <n v="59.46"/>
    <d v="2025-07-01T00:00:00"/>
  </r>
  <r>
    <n v="254033389"/>
    <n v="64802563"/>
    <s v="REB"/>
    <n v="10017966"/>
    <n v="90"/>
    <s v="CLIENTE-não solicitou"/>
    <s v="COMERCIAL"/>
    <x v="2"/>
    <n v="32856"/>
    <s v="REFRIGERACAO DUFRIO"/>
    <s v="PR"/>
    <n v="713"/>
    <s v="Key Account"/>
    <n v="1350"/>
    <s v="W10754676"/>
    <s v="Suportes"/>
    <x v="3"/>
    <n v="1"/>
    <n v="5003024"/>
    <s v="RODOBRAS TRANSPORTES RODOVIARIOS LT"/>
    <n v="31.98"/>
    <d v="2025-07-01T00:00:00"/>
  </r>
  <r>
    <n v="254035375"/>
    <n v="64802573"/>
    <s v="REB"/>
    <n v="10106777"/>
    <n v="167"/>
    <s v="PEÇAS - Avaria - Quebrada/Depósito"/>
    <s v="LOGÍSTICA"/>
    <x v="1"/>
    <n v="31537"/>
    <s v="RAQUEL SILVEIRA RODRIGUES &amp; CIA. LT"/>
    <s v="RS"/>
    <n v="641"/>
    <s v="CDP Diamante"/>
    <n v="1350"/>
    <s v="W10287547"/>
    <s v="Gavetas"/>
    <x v="1"/>
    <n v="1"/>
    <n v="5003024"/>
    <s v="RODOBRAS TRANSPORTES RODOVIARIOS LT"/>
    <n v="107.3"/>
    <d v="2025-07-17T00:00:00"/>
  </r>
  <r>
    <n v="254030271"/>
    <n v="64802594"/>
    <s v="REB"/>
    <n v="9280400"/>
    <n v="178"/>
    <s v="PEÇAS -Defeito de fabric./Sem Compressão"/>
    <s v="FUNCIONAL"/>
    <x v="0"/>
    <n v="47026"/>
    <s v="JR PECAS LTDA JR PECAS LTDA"/>
    <s v="BA"/>
    <n v="643"/>
    <s v="Elite"/>
    <n v="1350"/>
    <s v="W10798744"/>
    <s v="Compressores Herméticos"/>
    <x v="0"/>
    <n v="4"/>
    <n v="5004101"/>
    <s v="UNIDOCK'S ASSESSORIA E LOGISTICA DE"/>
    <n v="1079.8699999999999"/>
    <d v="2025-07-01T00:00:00"/>
  </r>
  <r>
    <n v="254038384"/>
    <n v="64802638"/>
    <s v="REB"/>
    <n v="10045122"/>
    <n v="167"/>
    <s v="PEÇAS - Avaria - Quebrada/Depósito"/>
    <s v="LOGÍSTICA"/>
    <x v="1"/>
    <n v="67567"/>
    <s v="SANTOS REFRIGERACAO GV LTDA"/>
    <s v="MG"/>
    <n v="350"/>
    <s v="Ats On"/>
    <n v="1350"/>
    <s v="W11393157"/>
    <s v="Tampas Móveis"/>
    <x v="3"/>
    <n v="1"/>
    <n v="5004215"/>
    <s v="BRASIL WEB TRANSPORTES E LOGISTICA"/>
    <n v="200.47"/>
    <d v="2025-07-22T00:00:00"/>
  </r>
  <r>
    <n v="254033313"/>
    <n v="64802695"/>
    <s v="REB"/>
    <n v="10102277"/>
    <n v="173"/>
    <s v="PEÇAS - Defeito de fabric./Alta Amperage"/>
    <s v="FUNCIONAL"/>
    <x v="1"/>
    <n v="21594"/>
    <s v="GOLD SERVICE COMERCIO"/>
    <s v="SP"/>
    <n v="931"/>
    <s v="Ats Off"/>
    <n v="1350"/>
    <s v="W10160037"/>
    <s v="Capacitores"/>
    <x v="2"/>
    <n v="1"/>
    <n v="5004042"/>
    <s v="BRASIL WEB TRANSPORTES E LOGISTICA"/>
    <n v="43.8"/>
    <d v="2025-07-01T00:00:00"/>
  </r>
  <r>
    <n v="254033302"/>
    <n v="64802696"/>
    <s v="REB"/>
    <n v="10099436"/>
    <n v="173"/>
    <s v="PEÇAS - Defeito de fabric./Alta Amperage"/>
    <s v="FUNCIONAL"/>
    <x v="1"/>
    <n v="21594"/>
    <s v="GOLD SERVICE COMERCIO"/>
    <s v="SP"/>
    <n v="931"/>
    <s v="Ats Off"/>
    <n v="1350"/>
    <s v="W10544749"/>
    <s v="Motores"/>
    <x v="2"/>
    <n v="1"/>
    <n v="5004042"/>
    <s v="BRASIL WEB TRANSPORTES E LOGISTICA"/>
    <n v="746.31"/>
    <d v="2025-07-01T00:00:00"/>
  </r>
  <r>
    <n v="254033262"/>
    <n v="64802697"/>
    <s v="REB"/>
    <n v="10104101"/>
    <n v="173"/>
    <s v="PEÇAS - Defeito de fabric./Alta Amperage"/>
    <s v="FUNCIONAL"/>
    <x v="1"/>
    <n v="4585"/>
    <s v="ELETRO PECAS REAL LTDA"/>
    <s v="SC"/>
    <n v="350"/>
    <s v="Ats On"/>
    <n v="1350"/>
    <s v="W11299803"/>
    <s v="Mecanismos"/>
    <x v="4"/>
    <n v="1"/>
    <n v="5003024"/>
    <s v="RODOBRAS TRANSPORTES RODOVIARIOS LT"/>
    <n v="101.1"/>
    <d v="2025-07-01T00:00:00"/>
  </r>
  <r>
    <n v="254028924"/>
    <n v="64802755"/>
    <s v="REB"/>
    <n v="10090174"/>
    <n v="173"/>
    <s v="PEÇAS - Defeito de fabric./Alta Amperage"/>
    <s v="FUNCIONAL"/>
    <x v="1"/>
    <n v="67948"/>
    <s v="REFRICRIL DISTRIBUIDORA DE AR REFRI"/>
    <s v="SC"/>
    <n v="713"/>
    <s v="Key Account"/>
    <n v="1350"/>
    <s v="W10796892"/>
    <s v="Agitadores"/>
    <x v="4"/>
    <n v="1"/>
    <n v="5003024"/>
    <s v="RODOBRAS TRANSPORTES RODOVIARIOS LT"/>
    <n v="47.53"/>
    <d v="2025-07-01T00:00:00"/>
  </r>
  <r>
    <n v="254033377"/>
    <n v="64802775"/>
    <s v="REB"/>
    <n v="10018136"/>
    <n v="178"/>
    <s v="PEÇAS -Defeito de fabric./Sem Compressão"/>
    <s v="FUNCIONAL"/>
    <x v="1"/>
    <n v="30416"/>
    <s v="JF OLIVEIRA PEREIRA ELETROD LTDA"/>
    <s v="AM"/>
    <n v="648"/>
    <s v="Ultra"/>
    <n v="1350"/>
    <s v="W10393822"/>
    <s v="Compressores Herméticos"/>
    <x v="0"/>
    <n v="1"/>
    <n v="5002858"/>
    <s v="FAVORITA TRANSPORTES LTDA"/>
    <n v="393.38"/>
    <d v="2025-07-01T00:00:00"/>
  </r>
  <r>
    <n v="254033377"/>
    <n v="64802776"/>
    <s v="REB"/>
    <n v="9913972"/>
    <n v="178"/>
    <s v="PEÇAS -Defeito de fabric./Sem Compressão"/>
    <s v="FUNCIONAL"/>
    <x v="1"/>
    <n v="30416"/>
    <s v="JF OLIVEIRA PEREIRA ELETROD LTDA"/>
    <s v="AM"/>
    <n v="648"/>
    <s v="Ultra"/>
    <n v="1350"/>
    <s v="W11133677"/>
    <s v="Compressores Herméticos"/>
    <x v="0"/>
    <n v="1"/>
    <n v="5002858"/>
    <s v="FAVORITA TRANSPORTES LTDA"/>
    <n v="423.88"/>
    <d v="2025-07-01T00:00:00"/>
  </r>
  <r>
    <n v="254033314"/>
    <n v="64802777"/>
    <s v="REB"/>
    <n v="10105074"/>
    <n v="176"/>
    <s v="PEÇAS - Defeito de fabric./Interrompido"/>
    <s v="FUNCIONAL"/>
    <x v="1"/>
    <n v="21594"/>
    <s v="GOLD SERVICE COMERCIO"/>
    <s v="SP"/>
    <n v="931"/>
    <s v="Ats Off"/>
    <n v="1350"/>
    <n v="326061172"/>
    <s v="Placas de Controle"/>
    <x v="2"/>
    <n v="1"/>
    <n v="5004042"/>
    <s v="BRASIL WEB TRANSPORTES E LOGISTICA"/>
    <n v="425.25"/>
    <d v="2025-07-01T00:00:00"/>
  </r>
  <r>
    <n v="254033254"/>
    <n v="64802815"/>
    <s v="REB"/>
    <n v="10066399"/>
    <n v="173"/>
    <s v="PEÇAS - Defeito de fabric./Alta Amperage"/>
    <s v="FUNCIONAL"/>
    <x v="1"/>
    <n v="1334"/>
    <s v="FLORIANO REFRIGERACAO LTDA"/>
    <s v="PI"/>
    <n v="350"/>
    <s v="Ats On"/>
    <n v="1350"/>
    <s v="W11677209"/>
    <s v="Compressores Herméticos"/>
    <x v="0"/>
    <n v="1"/>
    <n v="5004101"/>
    <s v="UNIDOCK'S ASSESSORIA E LOGISTICA DE"/>
    <n v="286.31"/>
    <d v="2025-07-01T00:00:00"/>
  </r>
  <r>
    <n v="254033440"/>
    <n v="64802817"/>
    <s v="REB"/>
    <n v="10100324"/>
    <n v="173"/>
    <s v="PEÇAS - Defeito de fabric./Alta Amperage"/>
    <s v="FUNCIONAL"/>
    <x v="1"/>
    <n v="69166"/>
    <s v="PC COMERCIO E REPARACAO DE APARELHO"/>
    <s v="RJ"/>
    <n v="931"/>
    <s v="Ats Off"/>
    <n v="1350"/>
    <s v="W10637619"/>
    <s v="Placas de Interface"/>
    <x v="2"/>
    <n v="1"/>
    <n v="5003176"/>
    <s v="J C THEDIN TRANSPORTES LTDA"/>
    <n v="867.66"/>
    <d v="2025-07-01T00:00:00"/>
  </r>
  <r>
    <n v="254033440"/>
    <n v="64802817"/>
    <s v="REB"/>
    <n v="10100324"/>
    <n v="173"/>
    <s v="PEÇAS - Defeito de fabric./Alta Amperage"/>
    <s v="FUNCIONAL"/>
    <x v="1"/>
    <n v="69166"/>
    <s v="PC COMERCIO E REPARACAO DE APARELHO"/>
    <s v="RJ"/>
    <n v="931"/>
    <s v="Ats Off"/>
    <n v="1350"/>
    <n v="326075422"/>
    <s v="Redes Elétricas"/>
    <x v="2"/>
    <n v="1"/>
    <n v="5003176"/>
    <s v="J C THEDIN TRANSPORTES LTDA"/>
    <n v="27.21"/>
    <d v="2025-07-01T00:00:00"/>
  </r>
  <r>
    <n v="254033440"/>
    <n v="64802817"/>
    <s v="REB"/>
    <n v="10100324"/>
    <n v="173"/>
    <s v="PEÇAS - Defeito de fabric./Alta Amperage"/>
    <s v="FUNCIONAL"/>
    <x v="1"/>
    <n v="69166"/>
    <s v="PC COMERCIO E REPARACAO DE APARELHO"/>
    <s v="RJ"/>
    <n v="931"/>
    <s v="Ats Off"/>
    <n v="1350"/>
    <n v="326075625"/>
    <s v="Placas de Controle"/>
    <x v="2"/>
    <n v="2"/>
    <n v="5003176"/>
    <s v="J C THEDIN TRANSPORTES LTDA"/>
    <n v="353.77"/>
    <d v="2025-07-01T00:00:00"/>
  </r>
  <r>
    <n v="254033302"/>
    <n v="64802818"/>
    <s v="REB"/>
    <n v="10065689"/>
    <n v="176"/>
    <s v="PEÇAS - Defeito de fabric./Interrompido"/>
    <s v="FUNCIONAL"/>
    <x v="1"/>
    <n v="21594"/>
    <s v="GOLD SERVICE COMERCIO"/>
    <s v="SP"/>
    <n v="931"/>
    <s v="Ats Off"/>
    <n v="1350"/>
    <s v="W11410580"/>
    <s v="Compressores Herméticos"/>
    <x v="0"/>
    <n v="1"/>
    <n v="5004042"/>
    <s v="BRASIL WEB TRANSPORTES E LOGISTICA"/>
    <n v="338.1"/>
    <d v="2025-07-01T00:00:00"/>
  </r>
  <r>
    <n v="254033254"/>
    <n v="64802819"/>
    <s v="REB"/>
    <n v="9997463"/>
    <n v="173"/>
    <s v="PEÇAS - Defeito de fabric./Alta Amperage"/>
    <s v="FUNCIONAL"/>
    <x v="1"/>
    <n v="1334"/>
    <s v="FLORIANO REFRIGERACAO LTDA"/>
    <s v="PI"/>
    <n v="350"/>
    <s v="Ats On"/>
    <n v="1350"/>
    <s v="W11516486"/>
    <s v="Compressores Herméticos"/>
    <x v="0"/>
    <n v="1"/>
    <n v="5004101"/>
    <s v="UNIDOCK'S ASSESSORIA E LOGISTICA DE"/>
    <n v="344.53"/>
    <d v="2025-07-01T00:00:00"/>
  </r>
  <r>
    <n v="254033376"/>
    <n v="64802839"/>
    <s v="REB"/>
    <n v="10018136"/>
    <n v="178"/>
    <s v="PEÇAS -Defeito de fabric./Sem Compressão"/>
    <s v="FUNCIONAL"/>
    <x v="1"/>
    <n v="30416"/>
    <s v="JF OLIVEIRA PEREIRA ELETROD LTDA"/>
    <s v="AM"/>
    <n v="648"/>
    <s v="Ultra"/>
    <n v="1350"/>
    <s v="W10393822"/>
    <s v="Compressores Herméticos"/>
    <x v="0"/>
    <n v="1"/>
    <n v="5002858"/>
    <s v="FAVORITA TRANSPORTES LTDA"/>
    <n v="393.38"/>
    <d v="2025-07-01T00:00:00"/>
  </r>
  <r>
    <n v="254033456"/>
    <n v="64802840"/>
    <s v="REB"/>
    <n v="9743140"/>
    <n v="173"/>
    <s v="PEÇAS - Defeito de fabric./Alta Amperage"/>
    <s v="FUNCIONAL"/>
    <x v="2"/>
    <n v="77425"/>
    <s v="S L DE SOUSA REFRIGERACAO"/>
    <s v="PE"/>
    <n v="643"/>
    <s v="Elite"/>
    <n v="1350"/>
    <s v="W11677209"/>
    <s v="Compressores Herméticos"/>
    <x v="0"/>
    <n v="1"/>
    <n v="5004101"/>
    <s v="UNIDOCK'S ASSESSORIA E LOGISTICA DE"/>
    <n v="258.37"/>
    <d v="2025-07-01T00:00:00"/>
  </r>
  <r>
    <n v="254033455"/>
    <n v="64802841"/>
    <s v="REB"/>
    <n v="9743140"/>
    <n v="176"/>
    <s v="PEÇAS - Defeito de fabric./Interrompido"/>
    <s v="FUNCIONAL"/>
    <x v="2"/>
    <n v="77425"/>
    <s v="S L DE SOUSA REFRIGERACAO"/>
    <s v="PE"/>
    <n v="643"/>
    <s v="Elite"/>
    <n v="1350"/>
    <s v="W11677209"/>
    <s v="Compressores Herméticos"/>
    <x v="0"/>
    <n v="2"/>
    <n v="5004101"/>
    <s v="UNIDOCK'S ASSESSORIA E LOGISTICA DE"/>
    <n v="516.77"/>
    <d v="2025-07-01T00:00:00"/>
  </r>
  <r>
    <n v="254057441"/>
    <n v="64802864"/>
    <s v="REB"/>
    <n v="10069785"/>
    <n v="176"/>
    <s v="PEÇAS - Defeito de fabric./Interrompido"/>
    <s v="FUNCIONAL"/>
    <x v="1"/>
    <n v="3524"/>
    <s v="CATEL - COMERCIO DE PECAS"/>
    <s v="SP"/>
    <n v="931"/>
    <s v="Ats Off"/>
    <n v="1350"/>
    <s v="W10417020"/>
    <s v="Portas"/>
    <x v="3"/>
    <n v="1"/>
    <n v="5004042"/>
    <s v="BRASIL WEB TRANSPORTES E LOGISTICA"/>
    <n v="389.92"/>
    <d v="2025-07-01T00:00:00"/>
  </r>
  <r>
    <n v="254035431"/>
    <n v="64802966"/>
    <s v="REB"/>
    <n v="10094115"/>
    <n v="167"/>
    <s v="PEÇAS - Avaria - Quebrada/Depósito"/>
    <s v="LOGÍSTICA"/>
    <x v="2"/>
    <n v="76269"/>
    <s v="AGASERV COMERCIO E ASSISTENCIA"/>
    <s v="SC"/>
    <n v="931"/>
    <s v="Ats Off"/>
    <n v="1350"/>
    <s v="W10169464"/>
    <s v="Defletores/Difusores"/>
    <x v="6"/>
    <n v="2"/>
    <n v="5003024"/>
    <s v="RODOBRAS TRANSPORTES RODOVIARIOS LT"/>
    <n v="42.32"/>
    <d v="2025-07-17T00:00:00"/>
  </r>
  <r>
    <n v="254035368"/>
    <n v="64802967"/>
    <s v="REB"/>
    <n v="10096722"/>
    <n v="167"/>
    <s v="PEÇAS - Avaria - Quebrada/Depósito"/>
    <s v="LOGÍSTICA"/>
    <x v="2"/>
    <n v="29706"/>
    <s v="Campos Equipamentos e Refrigeração"/>
    <s v="RN"/>
    <n v="644"/>
    <s v="Plus"/>
    <n v="1350"/>
    <n v="326064410"/>
    <s v="Gavetas"/>
    <x v="1"/>
    <n v="2"/>
    <n v="5004101"/>
    <s v="UNIDOCK'S ASSESSORIA E LOGISTICA DE"/>
    <n v="104.53"/>
    <d v="2025-07-17T00:00:00"/>
  </r>
  <r>
    <n v="254033253"/>
    <n v="64803097"/>
    <s v="REB"/>
    <n v="10076403"/>
    <n v="173"/>
    <s v="PEÇAS - Defeito de fabric./Alta Amperage"/>
    <s v="FUNCIONAL"/>
    <x v="1"/>
    <n v="1255"/>
    <s v="PRAMAK REFRIGERACAO, PECAS E"/>
    <s v="CE"/>
    <n v="931"/>
    <s v="Ats Off"/>
    <n v="1350"/>
    <s v="W11366400"/>
    <s v="Placas de Controle"/>
    <x v="2"/>
    <n v="1"/>
    <n v="5004101"/>
    <s v="UNIDOCK'S ASSESSORIA E LOGISTICA DE"/>
    <n v="190.24"/>
    <d v="2025-07-08T00:00:00"/>
  </r>
  <r>
    <n v="254024031"/>
    <n v="64803510"/>
    <s v="ROB"/>
    <n v="10084181"/>
    <n v="115"/>
    <s v="PEÇAS-Recusa do cliente"/>
    <s v="COMERCIAL"/>
    <x v="2"/>
    <n v="76650"/>
    <s v="PATRICIA CRISTINA COQUINHAS JESUS"/>
    <s v="SP"/>
    <n v="698"/>
    <s v="CDP Bronze"/>
    <n v="1350"/>
    <s v="W11113056"/>
    <s v="Tampas Fixas"/>
    <x v="3"/>
    <n v="1"/>
    <n v="5004101"/>
    <s v="UNIDOCK'S ASSESSORIA E LOGISTICA DE"/>
    <n v="2.13"/>
    <d v="2025-07-01T00:00:00"/>
  </r>
  <r>
    <s v="Sem TR"/>
    <n v="64804161"/>
    <s v="REB"/>
    <n v="10066884"/>
    <n v="411"/>
    <s v="DEV-Extravio de PEÇAS (Transportadora)"/>
    <s v="TRANSPORTADORA"/>
    <x v="2"/>
    <n v="30416"/>
    <s v="JF OLIVEIRA PEREIRA ELETROD LTDA"/>
    <s v="AM"/>
    <n v="648"/>
    <s v="Ultra"/>
    <n v="1350"/>
    <s v="W11647660"/>
    <s v="Compressores Herméticos"/>
    <x v="0"/>
    <n v="1"/>
    <n v="5002858"/>
    <s v="FAVORITA TRANSPORTES LTDA"/>
    <n v="218.54"/>
    <d v="2025-07-02T00:00:00"/>
  </r>
  <r>
    <n v="254057432"/>
    <n v="64804257"/>
    <s v="REB"/>
    <n v="10049621"/>
    <n v="90"/>
    <s v="CLIENTE-não solicitou"/>
    <s v="COMERCIAL"/>
    <x v="1"/>
    <n v="92453"/>
    <s v="ELEZIANA PEREIRA IBIDI DE LIMA"/>
    <s v="SP"/>
    <n v="350"/>
    <s v="Ats On"/>
    <n v="1350"/>
    <s v="W11340256"/>
    <s v="Placas de Interface"/>
    <x v="2"/>
    <n v="1"/>
    <n v="5004042"/>
    <s v="BRASIL WEB TRANSPORTES E LOGISTICA"/>
    <n v="696.09"/>
    <d v="2025-07-08T00:00:00"/>
  </r>
  <r>
    <n v="254038371"/>
    <n v="64804268"/>
    <s v="REB"/>
    <n v="9641652"/>
    <n v="167"/>
    <s v="PEÇAS - Avaria - Quebrada/Depósito"/>
    <s v="LOGÍSTICA"/>
    <x v="2"/>
    <n v="32488"/>
    <s v="NETO E FERREIRA COMERCIO E SERV"/>
    <s v="RJ"/>
    <n v="933"/>
    <s v="Top"/>
    <n v="1350"/>
    <s v="W10767286"/>
    <s v="Capas"/>
    <x v="3"/>
    <n v="1"/>
    <n v="5003176"/>
    <s v="J C THEDIN TRANSPORTES LTDA"/>
    <n v="20.76"/>
    <d v="2025-07-22T00:00:00"/>
  </r>
  <r>
    <n v="254038371"/>
    <n v="64804268"/>
    <s v="REB"/>
    <n v="9641652"/>
    <n v="167"/>
    <s v="PEÇAS - Avaria - Quebrada/Depósito"/>
    <s v="LOGÍSTICA"/>
    <x v="2"/>
    <n v="32488"/>
    <s v="NETO E FERREIRA COMERCIO E SERV"/>
    <s v="RJ"/>
    <n v="933"/>
    <s v="Top"/>
    <n v="1350"/>
    <s v="W11566930"/>
    <s v="Outros"/>
    <x v="5"/>
    <n v="2"/>
    <n v="5003176"/>
    <s v="J C THEDIN TRANSPORTES LTDA"/>
    <n v="479.86"/>
    <d v="2025-07-22T00:00:00"/>
  </r>
  <r>
    <n v="254024314"/>
    <n v="64804299"/>
    <s v="ROB"/>
    <n v="10116122"/>
    <n v="184"/>
    <s v="PEÇAS - Emissão de Nota Fiscal Errada"/>
    <s v="LOGÍSTICA"/>
    <x v="1"/>
    <n v="5136"/>
    <s v="BRAZILIAN SERVICE ELETRODOMESTICOS"/>
    <s v="RS"/>
    <n v="350"/>
    <s v="Ats On"/>
    <n v="1350"/>
    <s v="W10710642"/>
    <s v="Portas"/>
    <x v="3"/>
    <n v="1"/>
    <n v="5002835"/>
    <s v="RODOBRAS TRANSPORTES (5003024)"/>
    <n v="143.88999999999999"/>
    <d v="2025-07-02T00:00:00"/>
  </r>
  <r>
    <n v="254024315"/>
    <n v="64804300"/>
    <s v="ROB"/>
    <n v="10116123"/>
    <n v="184"/>
    <s v="PEÇAS - Emissão de Nota Fiscal Errada"/>
    <s v="LOGÍSTICA"/>
    <x v="1"/>
    <n v="5136"/>
    <s v="BRAZILIAN SERVICE ELETRODOMESTICOS"/>
    <s v="RS"/>
    <n v="350"/>
    <s v="Ats On"/>
    <n v="1350"/>
    <s v="W11082454"/>
    <s v="Termostatos"/>
    <x v="8"/>
    <n v="1"/>
    <n v="5002835"/>
    <s v="RODOBRAS TRANSPORTES (5003024)"/>
    <n v="54.6"/>
    <d v="2025-07-02T00:00:00"/>
  </r>
  <r>
    <n v="254033414"/>
    <n v="64804427"/>
    <s v="REB"/>
    <n v="9942024"/>
    <n v="178"/>
    <s v="PEÇAS -Defeito de fabric./Sem Compressão"/>
    <s v="FUNCIONAL"/>
    <x v="2"/>
    <n v="50822"/>
    <s v="CLAYTON DE OLIVEIRA"/>
    <s v="AL"/>
    <n v="644"/>
    <s v="Plus"/>
    <n v="1350"/>
    <s v="W10393823"/>
    <s v="Compressores Herméticos"/>
    <x v="0"/>
    <n v="1"/>
    <n v="5004101"/>
    <s v="UNIDOCK'S ASSESSORIA E LOGISTICA DE"/>
    <n v="562.5"/>
    <d v="2025-07-08T00:00:00"/>
  </r>
  <r>
    <n v="254033425"/>
    <n v="64804492"/>
    <s v="REB"/>
    <n v="10045883"/>
    <n v="173"/>
    <s v="PEÇAS - Defeito de fabric./Alta Amperage"/>
    <s v="FUNCIONAL"/>
    <x v="1"/>
    <n v="61467"/>
    <s v="ILES DAYANE ARAUJO"/>
    <s v="CE"/>
    <n v="644"/>
    <s v="Plus"/>
    <n v="1350"/>
    <s v="W10518617"/>
    <s v="Atuadores"/>
    <x v="4"/>
    <n v="1"/>
    <n v="5004101"/>
    <s v="UNIDOCK'S ASSESSORIA E LOGISTICA DE"/>
    <n v="34.18"/>
    <d v="2025-07-08T00:00:00"/>
  </r>
  <r>
    <n v="254033460"/>
    <n v="64804503"/>
    <s v="REB"/>
    <n v="10039483"/>
    <n v="176"/>
    <s v="PEÇAS - Defeito de fabric./Interrompido"/>
    <s v="FUNCIONAL"/>
    <x v="1"/>
    <n v="80181"/>
    <s v="REFRIGERACAO GUIMARAES LTDA"/>
    <s v="DF"/>
    <n v="934"/>
    <s v="CDP Ouro"/>
    <n v="1350"/>
    <s v="W11435392"/>
    <s v="Placas de Controle"/>
    <x v="2"/>
    <n v="1"/>
    <n v="5002858"/>
    <s v="FAVORITA TRANSPORTES LTDA"/>
    <n v="307.89999999999998"/>
    <d v="2025-07-08T00:00:00"/>
  </r>
  <r>
    <s v="Sem TR"/>
    <n v="64804510"/>
    <s v="REB"/>
    <n v="10096281"/>
    <n v="509"/>
    <s v="Qtd de peças a Menor dentro do Volume"/>
    <s v="LOGÍSTICA"/>
    <x v="2"/>
    <n v="85461"/>
    <s v="ASP COMPANY LTDA"/>
    <s v="MG"/>
    <n v="641"/>
    <s v="CDP Diamante"/>
    <n v="1350"/>
    <s v="W11391012"/>
    <s v="Placas de Controle"/>
    <x v="2"/>
    <n v="1"/>
    <n v="5002359"/>
    <s v="EMPRESA BRASILEIRA DE CORREIOS E"/>
    <n v="302.02"/>
    <d v="2025-07-08T00:00:00"/>
  </r>
  <r>
    <s v="Sem TR"/>
    <n v="64804942"/>
    <s v="REB"/>
    <n v="10101857"/>
    <n v="509"/>
    <s v="Qtd de peças a Menor dentro do Volume"/>
    <s v="LOGÍSTICA"/>
    <x v="2"/>
    <n v="87389"/>
    <s v="M. DA C. C. ROLIM COMERCIO E"/>
    <s v="PA"/>
    <n v="932"/>
    <s v="CDP Prata"/>
    <n v="1350"/>
    <s v="W11299805"/>
    <s v="Mecanismos"/>
    <x v="4"/>
    <n v="1"/>
    <n v="5002359"/>
    <s v="EMPRESA BRASILEIRA DE CORREIOS E"/>
    <n v="141.56"/>
    <d v="2025-08-14T00:00:00"/>
  </r>
  <r>
    <n v="254033440"/>
    <n v="64805065"/>
    <s v="REB"/>
    <n v="10061871"/>
    <n v="173"/>
    <s v="PEÇAS - Defeito de fabric./Alta Amperage"/>
    <s v="FUNCIONAL"/>
    <x v="1"/>
    <n v="69166"/>
    <s v="PC COMERCIO E REPARACAO DE APARELHO"/>
    <s v="RJ"/>
    <n v="931"/>
    <s v="Ats Off"/>
    <n v="1350"/>
    <s v="W10806305"/>
    <s v="Placas de Controle"/>
    <x v="2"/>
    <n v="1"/>
    <n v="5003176"/>
    <s v="J C THEDIN TRANSPORTES LTDA"/>
    <n v="252.03"/>
    <d v="2025-07-08T00:00:00"/>
  </r>
  <r>
    <n v="254033440"/>
    <n v="64805065"/>
    <s v="REB"/>
    <n v="10061871"/>
    <n v="173"/>
    <s v="PEÇAS - Defeito de fabric./Alta Amperage"/>
    <s v="FUNCIONAL"/>
    <x v="1"/>
    <n v="69166"/>
    <s v="PC COMERCIO E REPARACAO DE APARELHO"/>
    <s v="RJ"/>
    <n v="931"/>
    <s v="Ats Off"/>
    <n v="1350"/>
    <n v="326075394"/>
    <s v="Sensores"/>
    <x v="8"/>
    <n v="1"/>
    <n v="5003176"/>
    <s v="J C THEDIN TRANSPORTES LTDA"/>
    <n v="124.71"/>
    <d v="2025-07-08T00:00:00"/>
  </r>
  <r>
    <n v="254033440"/>
    <n v="64805065"/>
    <s v="REB"/>
    <n v="10061871"/>
    <n v="173"/>
    <s v="PEÇAS - Defeito de fabric./Alta Amperage"/>
    <s v="FUNCIONAL"/>
    <x v="1"/>
    <n v="69166"/>
    <s v="PC COMERCIO E REPARACAO DE APARELHO"/>
    <s v="RJ"/>
    <n v="931"/>
    <s v="Ats Off"/>
    <n v="1350"/>
    <s v="W10637619"/>
    <s v="Placas de Interface"/>
    <x v="2"/>
    <n v="1"/>
    <n v="5003176"/>
    <s v="J C THEDIN TRANSPORTES LTDA"/>
    <n v="867.66"/>
    <d v="2025-07-08T00:00:00"/>
  </r>
  <r>
    <n v="254033386"/>
    <n v="64805111"/>
    <s v="REB"/>
    <n v="9992278"/>
    <n v="176"/>
    <s v="PEÇAS - Defeito de fabric./Interrompido"/>
    <s v="FUNCIONAL"/>
    <x v="1"/>
    <n v="32263"/>
    <s v="A C LIMA PONTES COMERCIO"/>
    <s v="PA"/>
    <n v="641"/>
    <s v="CDP Diamante"/>
    <n v="1350"/>
    <s v="W11307524"/>
    <s v="Placas de Interface"/>
    <x v="2"/>
    <n v="1"/>
    <n v="5002858"/>
    <s v="FAVORITA TRANSPORTES LTDA"/>
    <n v="91.51"/>
    <d v="2025-07-08T00:00:00"/>
  </r>
  <r>
    <n v="254035353"/>
    <n v="64805123"/>
    <s v="REB"/>
    <n v="10117667"/>
    <n v="167"/>
    <s v="PEÇAS - Avaria - Quebrada/Depósito"/>
    <s v="LOGÍSTICA"/>
    <x v="1"/>
    <n v="21594"/>
    <s v="GOLD SERVICE COMERCIO"/>
    <s v="SP"/>
    <n v="931"/>
    <s v="Ats Off"/>
    <n v="1350"/>
    <s v="W10657521"/>
    <s v="Portas"/>
    <x v="3"/>
    <n v="1"/>
    <n v="5004042"/>
    <s v="BRASIL WEB TRANSPORTES E LOGISTICA"/>
    <n v="64.61"/>
    <d v="2025-07-17T00:00:00"/>
  </r>
  <r>
    <n v="254057426"/>
    <n v="64805127"/>
    <s v="REB"/>
    <n v="10085512"/>
    <n v="90"/>
    <s v="CLIENTE-não solicitou"/>
    <s v="COMERCIAL"/>
    <x v="2"/>
    <n v="39760"/>
    <s v="REFRITHOR REFRIGERACAO LTDA"/>
    <s v="PR"/>
    <n v="350"/>
    <s v="Ats On"/>
    <n v="1350"/>
    <s v="W11343132"/>
    <s v="Outros"/>
    <x v="5"/>
    <n v="1"/>
    <n v="5003024"/>
    <s v="RODOBRAS TRANSPORTES RODOVIARIOS LT"/>
    <n v="556.24"/>
    <d v="2025-07-17T00:00:00"/>
  </r>
  <r>
    <s v="Sem TR"/>
    <n v="64805138"/>
    <s v="REB"/>
    <n v="10110089"/>
    <n v="509"/>
    <s v="Qtd de peças a Menor dentro do Volume"/>
    <s v="LOGÍSTICA"/>
    <x v="2"/>
    <n v="25656"/>
    <s v="OFICIAL REFRIGERACAO COMERCIO"/>
    <s v="SP"/>
    <n v="931"/>
    <s v="Ats Off"/>
    <n v="1350"/>
    <s v="W11045219"/>
    <s v="Motores Ventiladores"/>
    <x v="2"/>
    <n v="2"/>
    <n v="5002359"/>
    <s v="EMPRESA BRASILEIRA DE CORREIOS E"/>
    <n v="75.8"/>
    <d v="2025-07-17T00:00:00"/>
  </r>
  <r>
    <n v="254044330"/>
    <n v="64805498"/>
    <s v="REB"/>
    <n v="9996112"/>
    <n v="176"/>
    <s v="PEÇAS - Defeito de fabric./Interrompido"/>
    <s v="FUNCIONAL"/>
    <x v="1"/>
    <n v="42455"/>
    <s v="D. B. GOMES SOROCABA"/>
    <s v="SP"/>
    <n v="931"/>
    <s v="Ats Off"/>
    <n v="1350"/>
    <s v="W10892757"/>
    <s v="Interruptores horário"/>
    <x v="8"/>
    <n v="1"/>
    <n v="5004042"/>
    <s v="BRASIL WEB TRANSPORTES E LOGISTICA"/>
    <n v="33.909999999999997"/>
    <d v="2025-07-04T00:00:00"/>
  </r>
  <r>
    <n v="254035353"/>
    <n v="64805548"/>
    <s v="REB"/>
    <n v="10107389"/>
    <n v="167"/>
    <s v="PEÇAS - Avaria - Quebrada/Depósito"/>
    <s v="LOGÍSTICA"/>
    <x v="1"/>
    <n v="21594"/>
    <s v="GOLD SERVICE COMERCIO"/>
    <s v="SP"/>
    <n v="931"/>
    <s v="Ats Off"/>
    <n v="1350"/>
    <s v="W10347206"/>
    <s v="Prateleiras"/>
    <x v="1"/>
    <n v="1"/>
    <n v="5004042"/>
    <s v="BRASIL WEB TRANSPORTES E LOGISTICA"/>
    <n v="103.39"/>
    <d v="2025-07-17T00:00:00"/>
  </r>
  <r>
    <n v="254038373"/>
    <n v="64805550"/>
    <s v="REB"/>
    <n v="10113999"/>
    <n v="176"/>
    <s v="PEÇAS - Defeito de fabric./Interrompido"/>
    <s v="FUNCIONAL"/>
    <x v="1"/>
    <n v="41585"/>
    <s v="REFRIGERAÇÃO GLÓRIA PEÇAS E SERVIÇO"/>
    <s v="PR"/>
    <n v="350"/>
    <s v="Ats On"/>
    <n v="1350"/>
    <n v="326075420"/>
    <s v="Placas de Interface"/>
    <x v="2"/>
    <n v="1"/>
    <n v="5003024"/>
    <s v="RODOBRAS TRANSPORTES RODOVIARIOS LT"/>
    <n v="1616.91"/>
    <d v="2025-07-22T00:00:00"/>
  </r>
  <r>
    <n v="254033294"/>
    <n v="64805606"/>
    <s v="REB"/>
    <n v="9907274"/>
    <n v="176"/>
    <s v="PEÇAS - Defeito de fabric./Interrompido"/>
    <s v="FUNCIONAL"/>
    <x v="2"/>
    <n v="18805"/>
    <s v="RECORRE R C REFRIG LTDA"/>
    <s v="PR"/>
    <n v="648"/>
    <s v="Ultra"/>
    <n v="1350"/>
    <s v="W11160655"/>
    <s v="Placas de Interface"/>
    <x v="2"/>
    <n v="1"/>
    <n v="5003024"/>
    <s v="RODOBRAS TRANSPORTES RODOVIARIOS LT"/>
    <n v="130.06"/>
    <d v="2025-07-08T00:00:00"/>
  </r>
  <r>
    <n v="254033273"/>
    <n v="64805712"/>
    <s v="REB"/>
    <n v="10096323"/>
    <n v="90"/>
    <s v="CLIENTE-não solicitou"/>
    <s v="COMERCIAL"/>
    <x v="1"/>
    <n v="5096"/>
    <s v="GUILHERME KLEY EIRELI"/>
    <s v="RS"/>
    <n v="350"/>
    <s v="Ats On"/>
    <n v="1350"/>
    <s v="W10160074"/>
    <s v="Embalagens Plásticas"/>
    <x v="12"/>
    <n v="2"/>
    <n v="5003024"/>
    <s v="RODOBRAS TRANSPORTES RODOVIARIOS LT"/>
    <n v="4.0199999999999996"/>
    <d v="2025-07-08T00:00:00"/>
  </r>
  <r>
    <n v="254033262"/>
    <n v="64805730"/>
    <s v="REB"/>
    <n v="10091220"/>
    <n v="167"/>
    <s v="PEÇAS - Avaria - Quebrada/Depósito"/>
    <s v="LOGÍSTICA"/>
    <x v="1"/>
    <n v="4585"/>
    <s v="ELETRO PECAS REAL LTDA"/>
    <s v="SC"/>
    <n v="350"/>
    <s v="Ats On"/>
    <n v="1350"/>
    <s v="W10849470"/>
    <s v="Bombas"/>
    <x v="2"/>
    <n v="1"/>
    <n v="5003024"/>
    <s v="RODOBRAS TRANSPORTES RODOVIARIOS LT"/>
    <n v="31.32"/>
    <d v="2025-07-08T00:00:00"/>
  </r>
  <r>
    <n v="254033389"/>
    <n v="64805732"/>
    <s v="REB"/>
    <n v="10044808"/>
    <n v="90"/>
    <s v="CLIENTE-não solicitou"/>
    <s v="COMERCIAL"/>
    <x v="2"/>
    <n v="32856"/>
    <s v="REFRIGERACAO DUFRIO"/>
    <s v="PR"/>
    <n v="713"/>
    <s v="Key Account"/>
    <n v="1350"/>
    <s v="W10714366"/>
    <s v="Válvulas de Água"/>
    <x v="6"/>
    <n v="3"/>
    <n v="5003024"/>
    <s v="RODOBRAS TRANSPORTES RODOVIARIOS LT"/>
    <n v="146.28"/>
    <d v="2025-07-08T00:00:00"/>
  </r>
  <r>
    <n v="254033389"/>
    <n v="64805732"/>
    <s v="REB"/>
    <n v="10044808"/>
    <n v="90"/>
    <s v="CLIENTE-não solicitou"/>
    <s v="COMERCIAL"/>
    <x v="2"/>
    <n v="32856"/>
    <s v="REFRIGERACAO DUFRIO"/>
    <s v="PR"/>
    <n v="713"/>
    <s v="Key Account"/>
    <n v="1350"/>
    <n v="326054047"/>
    <s v="Suportes"/>
    <x v="3"/>
    <n v="2"/>
    <n v="5003024"/>
    <s v="RODOBRAS TRANSPORTES RODOVIARIOS LT"/>
    <n v="43.05"/>
    <d v="2025-07-08T00:00:00"/>
  </r>
  <r>
    <n v="254057444"/>
    <n v="64805733"/>
    <s v="REB"/>
    <n v="9378510"/>
    <n v="178"/>
    <s v="PEÇAS -Defeito de fabric./Sem Compressão"/>
    <s v="FUNCIONAL"/>
    <x v="2"/>
    <n v="63300"/>
    <s v="REFRIGERACAO MOTA LTDA"/>
    <s v="MG"/>
    <n v="643"/>
    <s v="Elite"/>
    <n v="1350"/>
    <s v="W10798744"/>
    <s v="Compressores Herméticos"/>
    <x v="0"/>
    <n v="1"/>
    <n v="5004215"/>
    <s v="BRASIL WEB TRANSPORTES E LOGISTICA"/>
    <n v="280.82"/>
    <d v="2025-07-22T00:00:00"/>
  </r>
  <r>
    <n v="254033342"/>
    <n v="64805747"/>
    <s v="REB"/>
    <n v="10088895"/>
    <n v="167"/>
    <s v="PEÇAS - Avaria - Quebrada/Depósito"/>
    <s v="LOGÍSTICA"/>
    <x v="2"/>
    <n v="28403"/>
    <s v="REFRIGERACAO LINHA BRANCA DO RIO"/>
    <s v="RJ"/>
    <n v="934"/>
    <s v="CDP Ouro"/>
    <n v="1350"/>
    <s v="W11298039"/>
    <s v="Gavetas"/>
    <x v="1"/>
    <n v="1"/>
    <n v="5003176"/>
    <s v="J C THEDIN TRANSPORTES LTDA"/>
    <n v="119.43"/>
    <d v="2025-07-08T00:00:00"/>
  </r>
  <r>
    <n v="254038385"/>
    <n v="64805783"/>
    <s v="REB"/>
    <n v="9631613"/>
    <n v="173"/>
    <s v="PEÇAS - Defeito de fabric./Alta Amperage"/>
    <s v="FUNCIONAL"/>
    <x v="1"/>
    <n v="67595"/>
    <s v="MACHADO refrigeraCAo"/>
    <s v="DF"/>
    <n v="648"/>
    <s v="Ultra"/>
    <n v="1350"/>
    <s v="W10393823"/>
    <s v="Compressores Herméticos"/>
    <x v="0"/>
    <n v="7"/>
    <n v="5002858"/>
    <s v="FAVORITA TRANSPORTES LTDA"/>
    <n v="3450.12"/>
    <d v="2025-07-22T00:00:00"/>
  </r>
  <r>
    <n v="254033276"/>
    <n v="64805788"/>
    <s v="REB"/>
    <n v="10095645"/>
    <n v="167"/>
    <s v="PEÇAS - Avaria - Quebrada/Depósito"/>
    <s v="LOGÍSTICA"/>
    <x v="1"/>
    <n v="8192"/>
    <s v="BRASTEPEÇAS COM. PÇS. REFRIG LTDA"/>
    <s v="PR"/>
    <n v="933"/>
    <s v="Top"/>
    <n v="1350"/>
    <s v="W11109166"/>
    <s v="Portas"/>
    <x v="3"/>
    <n v="1"/>
    <n v="5003024"/>
    <s v="RODOBRAS TRANSPORTES RODOVIARIOS LT"/>
    <n v="41.82"/>
    <d v="2025-07-08T00:00:00"/>
  </r>
  <r>
    <n v="254038363"/>
    <n v="64805798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1677209"/>
    <s v="Compressores Herméticos"/>
    <x v="0"/>
    <n v="1"/>
    <n v="5004101"/>
    <s v="UNIDOCK'S ASSESSORIA E LOGISTICA DE"/>
    <n v="276.95"/>
    <d v="2025-07-22T00:00:00"/>
  </r>
  <r>
    <s v="Sem TR"/>
    <n v="64805822"/>
    <s v="REB"/>
    <n v="10099147"/>
    <n v="411"/>
    <s v="DEV-Extravio de PEÇAS (Transportadora)"/>
    <s v="TRANSPORTADORA"/>
    <x v="2"/>
    <n v="34875"/>
    <s v="COMERCIAL MORATELLI - EIRELI"/>
    <s v="SC"/>
    <n v="350"/>
    <s v="Ats On"/>
    <n v="1350"/>
    <s v="W10721980"/>
    <s v="Motores Ventiladores"/>
    <x v="2"/>
    <n v="1"/>
    <n v="5003024"/>
    <s v="RODOBRAS TRANSPORTES RODOVIARIOS LT"/>
    <n v="66.63"/>
    <d v="2025-07-04T00:00:00"/>
  </r>
  <r>
    <n v="254043472"/>
    <n v="64806021"/>
    <s v="REB"/>
    <n v="10118042"/>
    <n v="173"/>
    <s v="PEÇAS - Defeito de fabric./Alta Amperage"/>
    <s v="FUNCIONAL"/>
    <x v="1"/>
    <n v="2666"/>
    <s v="C.L.A"/>
    <s v="RJ"/>
    <n v="931"/>
    <s v="Ats Off"/>
    <n v="1350"/>
    <n v="326073242"/>
    <s v="Placas de Controle"/>
    <x v="2"/>
    <n v="1"/>
    <n v="5003176"/>
    <s v="J C THEDIN TRANSPORTES LTDA"/>
    <n v="148.08000000000001"/>
    <d v="2025-07-05T00:00:00"/>
  </r>
  <r>
    <n v="254033317"/>
    <n v="64806123"/>
    <s v="REB"/>
    <n v="9766580"/>
    <n v="176"/>
    <s v="PEÇAS - Defeito de fabric./Interrompido"/>
    <s v="FUNCIONAL"/>
    <x v="1"/>
    <n v="24089"/>
    <s v="REVOLUTION COMERCIO E SERV"/>
    <s v="RJ"/>
    <n v="931"/>
    <s v="Ats Off"/>
    <n v="1350"/>
    <s v="W11047052"/>
    <s v="Interruptores horário"/>
    <x v="8"/>
    <n v="1"/>
    <n v="5003176"/>
    <s v="J C THEDIN TRANSPORTES LTDA"/>
    <n v="141.09"/>
    <d v="2025-07-08T00:00:00"/>
  </r>
  <r>
    <n v="254033295"/>
    <n v="64806252"/>
    <s v="REB"/>
    <n v="10009337"/>
    <n v="176"/>
    <s v="PEÇAS - Defeito de fabric./Interrompido"/>
    <s v="FUNCIONAL"/>
    <x v="2"/>
    <n v="18805"/>
    <s v="RECORRE R C REFRIG LTDA"/>
    <s v="PR"/>
    <n v="648"/>
    <s v="Ultra"/>
    <n v="1350"/>
    <s v="W10791633"/>
    <s v="Retentores"/>
    <x v="10"/>
    <n v="1"/>
    <n v="5003024"/>
    <s v="RODOBRAS TRANSPORTES RODOVIARIOS LT"/>
    <n v="7.8"/>
    <d v="2025-07-10T00:00:00"/>
  </r>
  <r>
    <n v="254033295"/>
    <n v="64806252"/>
    <s v="REB"/>
    <n v="10009337"/>
    <n v="176"/>
    <s v="PEÇAS - Defeito de fabric./Interrompido"/>
    <s v="FUNCIONAL"/>
    <x v="2"/>
    <n v="18805"/>
    <s v="RECORRE R C REFRIG LTDA"/>
    <s v="PR"/>
    <n v="648"/>
    <s v="Ultra"/>
    <n v="1350"/>
    <s v="W10897149"/>
    <s v="Rolamentos"/>
    <x v="4"/>
    <n v="4"/>
    <n v="5003024"/>
    <s v="RODOBRAS TRANSPORTES RODOVIARIOS LT"/>
    <n v="32.86"/>
    <d v="2025-07-10T00:00:00"/>
  </r>
  <r>
    <n v="254057427"/>
    <n v="64806331"/>
    <s v="REB"/>
    <n v="10091557"/>
    <n v="506"/>
    <s v="Qtd de peças a Maior dentro do Volume"/>
    <s v="LOGÍSTICA"/>
    <x v="1"/>
    <n v="28681"/>
    <s v="PERIN &amp; CIA"/>
    <s v="SP"/>
    <n v="643"/>
    <s v="Elite"/>
    <n v="1350"/>
    <s v="W10531315"/>
    <s v="Sensores"/>
    <x v="8"/>
    <n v="20"/>
    <n v="5004042"/>
    <s v="BRASIL WEB TRANSPORTES E LOGISTICA"/>
    <n v="165.5"/>
    <d v="2025-07-08T00:00:00"/>
  </r>
  <r>
    <n v="254057427"/>
    <n v="64806331"/>
    <s v="REB"/>
    <n v="10091557"/>
    <n v="506"/>
    <s v="Qtd de peças a Maior dentro do Volume"/>
    <s v="LOGÍSTICA"/>
    <x v="1"/>
    <n v="28681"/>
    <s v="PERIN &amp; CIA"/>
    <s v="SP"/>
    <n v="643"/>
    <s v="Elite"/>
    <n v="1350"/>
    <s v="W11245250"/>
    <s v="Válvulas de Água"/>
    <x v="6"/>
    <n v="3"/>
    <n v="5004042"/>
    <s v="BRASIL WEB TRANSPORTES E LOGISTICA"/>
    <n v="165.12"/>
    <d v="2025-07-08T00:00:00"/>
  </r>
  <r>
    <n v="254033334"/>
    <n v="64806353"/>
    <s v="REB"/>
    <n v="9927667"/>
    <n v="178"/>
    <s v="PEÇAS -Defeito de fabric./Sem Compressão"/>
    <s v="FUNCIONAL"/>
    <x v="1"/>
    <n v="27337"/>
    <s v="REFRIGERACAO A C CATA VENTO LTDA"/>
    <s v="RJ"/>
    <n v="641"/>
    <s v="CDP Diamante"/>
    <n v="1350"/>
    <s v="W10441742"/>
    <s v="Compressores Herméticos"/>
    <x v="0"/>
    <n v="1"/>
    <n v="5003176"/>
    <s v="J C THEDIN TRANSPORTES LTDA"/>
    <n v="518.91999999999996"/>
    <d v="2025-07-08T00:00:00"/>
  </r>
  <r>
    <n v="254033379"/>
    <n v="64806356"/>
    <s v="REB"/>
    <n v="10072203"/>
    <n v="90"/>
    <s v="CLIENTE-não solicitou"/>
    <s v="COMERCIAL"/>
    <x v="1"/>
    <n v="31030"/>
    <s v="BARIZON REFRIGERACAO"/>
    <s v="RS"/>
    <n v="934"/>
    <s v="CDP Ouro"/>
    <n v="1350"/>
    <s v="W10684267"/>
    <s v="Placas de Controle"/>
    <x v="2"/>
    <n v="1"/>
    <n v="5003024"/>
    <s v="RODOBRAS TRANSPORTES RODOVIARIOS LT"/>
    <n v="197.25"/>
    <d v="2025-07-08T00:00:00"/>
  </r>
  <r>
    <n v="254033316"/>
    <n v="64806357"/>
    <s v="REB"/>
    <n v="10049640"/>
    <n v="173"/>
    <s v="PEÇAS - Defeito de fabric./Alta Amperage"/>
    <s v="FUNCIONAL"/>
    <x v="1"/>
    <n v="22985"/>
    <s v="Comercial Delfrio LTDA EPP"/>
    <s v="SC"/>
    <n v="641"/>
    <s v="CDP Diamante"/>
    <n v="1350"/>
    <s v="W11047054"/>
    <s v="Interruptores horário"/>
    <x v="8"/>
    <n v="1"/>
    <n v="5003024"/>
    <s v="RODOBRAS TRANSPORTES RODOVIARIOS LT"/>
    <n v="119.34"/>
    <d v="2025-07-08T00:00:00"/>
  </r>
  <r>
    <n v="254057449"/>
    <n v="64806358"/>
    <s v="REB"/>
    <n v="10068638"/>
    <n v="173"/>
    <s v="PEÇAS - Defeito de fabric./Alta Amperage"/>
    <s v="FUNCIONAL"/>
    <x v="2"/>
    <n v="74760"/>
    <s v="BMC COMERCIO E SERVICOS DE REFRIG"/>
    <s v="SP"/>
    <n v="350"/>
    <s v="Ats On"/>
    <n v="1350"/>
    <s v="W10351342"/>
    <s v="Ice Maker"/>
    <x v="5"/>
    <n v="1"/>
    <n v="5004042"/>
    <s v="BRASIL WEB TRANSPORTES E LOGISTICA"/>
    <n v="323.32"/>
    <d v="2025-07-08T00:00:00"/>
  </r>
  <r>
    <n v="254033394"/>
    <n v="64806360"/>
    <s v="REB"/>
    <n v="10111445"/>
    <n v="173"/>
    <s v="PEÇAS - Defeito de fabric./Alta Amperage"/>
    <s v="FUNCIONAL"/>
    <x v="1"/>
    <n v="37434"/>
    <s v="ELETRO MARTINS LTDA"/>
    <s v="GO"/>
    <n v="931"/>
    <s v="Ats Off"/>
    <n v="1350"/>
    <s v="W10882241"/>
    <s v="Agitadores"/>
    <x v="4"/>
    <n v="2"/>
    <n v="5002858"/>
    <s v="FAVORITA TRANSPORTES LTDA"/>
    <n v="86.51"/>
    <d v="2025-07-08T00:00:00"/>
  </r>
  <r>
    <s v="Sem TR"/>
    <n v="64806371"/>
    <s v="REB"/>
    <n v="10106365"/>
    <n v="104"/>
    <s v="PEÇAS-Código trocado(embalag X conteúdo)"/>
    <s v="LOGÍSTICA"/>
    <x v="1"/>
    <n v="86964"/>
    <s v="REFRICRIL DISTRIBUIDORA"/>
    <s v="PB"/>
    <n v="713"/>
    <s v="Key Account"/>
    <n v="1350"/>
    <s v="W11300675"/>
    <s v="Mecanismos"/>
    <x v="4"/>
    <n v="1"/>
    <n v="5004101"/>
    <s v="UNIDOCK'S ASSESSORIA E LOGISTICA DE"/>
    <n v="98.82"/>
    <d v="2025-07-22T00:00:00"/>
  </r>
  <r>
    <n v="254058727"/>
    <n v="64806372"/>
    <s v="REB"/>
    <n v="9934428"/>
    <n v="176"/>
    <s v="PEÇAS - Defeito de fabric./Interrompido"/>
    <s v="FUNCIONAL"/>
    <x v="1"/>
    <n v="81988"/>
    <s v="BH COMERCIO DE PECAS E FRIGERACAO"/>
    <s v="MG"/>
    <n v="648"/>
    <s v="Ultra"/>
    <n v="1350"/>
    <n v="326065129"/>
    <s v="Resistências"/>
    <x v="2"/>
    <n v="5"/>
    <n v="5004215"/>
    <s v="BRASIL WEB TRANSPORTES E LOGISTICA"/>
    <n v="396.36"/>
    <d v="2025-07-22T00:00:00"/>
  </r>
  <r>
    <n v="254058727"/>
    <n v="64806372"/>
    <s v="REB"/>
    <n v="9934428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2.61"/>
    <d v="2025-07-22T00:00:00"/>
  </r>
  <r>
    <n v="254058723"/>
    <n v="64806373"/>
    <s v="REB"/>
    <n v="10066097"/>
    <n v="177"/>
    <s v="PEÇAS - Defeito de fabric./Ruído"/>
    <s v="FUNCIONAL"/>
    <x v="1"/>
    <n v="121"/>
    <s v="BRASTAUB COMERCIO DE PECAS"/>
    <s v="PR"/>
    <n v="931"/>
    <s v="Ats Off"/>
    <n v="1350"/>
    <s v="W10666797"/>
    <s v="Compressores Herméticos"/>
    <x v="0"/>
    <n v="2"/>
    <n v="5003024"/>
    <s v="RODOBRAS TRANSPORTES RODOVIARIOS LT"/>
    <n v="1318.19"/>
    <d v="2025-07-22T00:00:00"/>
  </r>
  <r>
    <n v="254033390"/>
    <n v="64806387"/>
    <s v="REB"/>
    <n v="10070204"/>
    <n v="90"/>
    <s v="CLIENTE-não solicitou"/>
    <s v="COMERCIAL"/>
    <x v="2"/>
    <n v="33574"/>
    <s v="REFRIGERACOES SABOIA LTDA"/>
    <s v="PE"/>
    <n v="350"/>
    <s v="Ats On"/>
    <n v="1350"/>
    <s v="W10887231"/>
    <s v="Placas de Controle"/>
    <x v="2"/>
    <n v="1"/>
    <n v="5004101"/>
    <s v="UNIDOCK'S ASSESSORIA E LOGISTICA DE"/>
    <n v="449.24"/>
    <d v="2025-07-08T00:00:00"/>
  </r>
  <r>
    <s v="Sem TR"/>
    <n v="64806388"/>
    <s v="REB"/>
    <n v="10087670"/>
    <n v="509"/>
    <s v="Qtd de peças a Menor dentro do Volume"/>
    <s v="LOGÍSTICA"/>
    <x v="2"/>
    <n v="42046"/>
    <s v="AREA SUL COMERCIO E SERVICOS EIRELI"/>
    <s v="PE"/>
    <n v="350"/>
    <s v="Ats On"/>
    <n v="1350"/>
    <s v="W11396188"/>
    <s v="Placas de Interface"/>
    <x v="2"/>
    <n v="1"/>
    <n v="5002359"/>
    <s v="EMPRESA BRASILEIRA DE CORREIOS E"/>
    <n v="80.77"/>
    <d v="2025-07-08T00:00:00"/>
  </r>
  <r>
    <n v="254035367"/>
    <n v="64806443"/>
    <s v="REB"/>
    <n v="10015689"/>
    <n v="178"/>
    <s v="PEÇAS -Defeito de fabric./Sem Compressão"/>
    <s v="FUNCIONAL"/>
    <x v="1"/>
    <n v="29164"/>
    <s v="BRASTEMAK REFRIGERACAO LTDA"/>
    <s v="BA"/>
    <n v="648"/>
    <s v="Ultra"/>
    <n v="1350"/>
    <s v="W11516471"/>
    <s v="Compressores Herméticos"/>
    <x v="0"/>
    <n v="1"/>
    <n v="5004101"/>
    <s v="UNIDOCK'S ASSESSORIA E LOGISTICA DE"/>
    <n v="361.13"/>
    <d v="2025-07-17T00:00:00"/>
  </r>
  <r>
    <n v="254033317"/>
    <n v="64806570"/>
    <s v="REB"/>
    <n v="10107908"/>
    <n v="176"/>
    <s v="PEÇAS - Defeito de fabric./Interrompido"/>
    <s v="FUNCIONAL"/>
    <x v="1"/>
    <n v="24089"/>
    <s v="REVOLUTION COMERCIO E SERV"/>
    <s v="RJ"/>
    <n v="931"/>
    <s v="Ats Off"/>
    <n v="1350"/>
    <s v="W11435390"/>
    <s v="Placas de Controle"/>
    <x v="2"/>
    <n v="1"/>
    <n v="5003176"/>
    <s v="J C THEDIN TRANSPORTES LTDA"/>
    <n v="290.87"/>
    <d v="2025-07-08T00:00:00"/>
  </r>
  <r>
    <n v="254033373"/>
    <n v="64806680"/>
    <s v="REB"/>
    <n v="10087188"/>
    <n v="92"/>
    <s v="PEÇAS-Preço divergente"/>
    <s v="COMERCIAL"/>
    <x v="1"/>
    <n v="29731"/>
    <s v="FRIGELAR COMÉRCIO E INDÚSTRIA LTDA"/>
    <s v="RS"/>
    <n v="713"/>
    <s v="Key Account"/>
    <n v="1350"/>
    <s v="W11703911"/>
    <s v="Outros"/>
    <x v="5"/>
    <n v="10"/>
    <n v="5003024"/>
    <s v="RODOBRAS TRANSPORTES RODOVIARIOS LT"/>
    <n v="1161.7"/>
    <d v="2025-07-08T00:00:00"/>
  </r>
  <r>
    <n v="254033459"/>
    <n v="64806682"/>
    <s v="REB"/>
    <n v="10096420"/>
    <n v="167"/>
    <s v="PEÇAS - Avaria - Quebrada/Depósito"/>
    <s v="LOGÍSTICA"/>
    <x v="1"/>
    <n v="78757"/>
    <s v="POSFRIO REFRIGERACAO LTDA"/>
    <s v="RS"/>
    <n v="643"/>
    <s v="Elite"/>
    <n v="1350"/>
    <s v="W10211808"/>
    <s v="Evaporadores"/>
    <x v="0"/>
    <n v="1"/>
    <n v="5003024"/>
    <s v="RODOBRAS TRANSPORTES RODOVIARIOS LT"/>
    <n v="147.55000000000001"/>
    <d v="2025-07-08T00:00:00"/>
  </r>
  <r>
    <n v="254033474"/>
    <n v="64806683"/>
    <s v="REB"/>
    <n v="10087889"/>
    <n v="167"/>
    <s v="PEÇAS - Avaria - Quebrada/Depósito"/>
    <s v="LOGÍSTICA"/>
    <x v="2"/>
    <n v="87707"/>
    <s v="REFRIGERA BRASIL CLIMATIZACAO E REF"/>
    <s v="BA"/>
    <n v="648"/>
    <s v="Ultra"/>
    <n v="1350"/>
    <s v="W10292562"/>
    <s v="Capas"/>
    <x v="3"/>
    <n v="1"/>
    <n v="5004101"/>
    <s v="UNIDOCK'S ASSESSORIA E LOGISTICA DE"/>
    <n v="21.82"/>
    <d v="2025-07-08T00:00:00"/>
  </r>
  <r>
    <n v="254033342"/>
    <n v="64806875"/>
    <s v="REB"/>
    <n v="10088896"/>
    <n v="167"/>
    <s v="PEÇAS - Avaria - Quebrada/Depósito"/>
    <s v="LOGÍSTICA"/>
    <x v="2"/>
    <n v="28403"/>
    <s v="REFRIGERACAO LINHA BRANCA DO RIO"/>
    <s v="RJ"/>
    <n v="934"/>
    <s v="CDP Ouro"/>
    <n v="1350"/>
    <s v="W10431991"/>
    <s v="Gavetas"/>
    <x v="1"/>
    <n v="1"/>
    <n v="5003176"/>
    <s v="J C THEDIN TRANSPORTES LTDA"/>
    <n v="196.04"/>
    <d v="2025-07-08T00:00:00"/>
  </r>
  <r>
    <n v="254033457"/>
    <n v="64806876"/>
    <s v="REB"/>
    <n v="10087229"/>
    <n v="167"/>
    <s v="PEÇAS - Avaria - Quebrada/Depósito"/>
    <s v="LOGÍSTICA"/>
    <x v="1"/>
    <n v="78757"/>
    <s v="POSFRIO REFRIGERACAO LTDA"/>
    <s v="RS"/>
    <n v="643"/>
    <s v="Elite"/>
    <n v="1350"/>
    <s v="W10287534"/>
    <s v="Prateleiras"/>
    <x v="1"/>
    <n v="1"/>
    <n v="5003024"/>
    <s v="RODOBRAS TRANSPORTES RODOVIARIOS LT"/>
    <n v="25.53"/>
    <d v="2025-07-08T00:00:00"/>
  </r>
  <r>
    <n v="254033282"/>
    <n v="64806877"/>
    <s v="REB"/>
    <n v="10062702"/>
    <n v="90"/>
    <s v="CLIENTE-não solicitou"/>
    <s v="COMERCIAL"/>
    <x v="2"/>
    <n v="14474"/>
    <s v="NATAL SERVICE LTDA N"/>
    <s v="RN"/>
    <n v="648"/>
    <s v="Ultra"/>
    <n v="1350"/>
    <s v="W10696196"/>
    <s v="Válvulas de Água"/>
    <x v="6"/>
    <n v="24"/>
    <n v="5004101"/>
    <s v="UNIDOCK'S ASSESSORIA E LOGISTICA DE"/>
    <n v="769.2"/>
    <d v="2025-07-08T00:00:00"/>
  </r>
  <r>
    <n v="254054714"/>
    <n v="64806937"/>
    <s v="REB"/>
    <n v="10108508"/>
    <n v="173"/>
    <s v="PEÇAS - Defeito de fabric./Alta Amperage"/>
    <s v="FUNCIONAL"/>
    <x v="1"/>
    <n v="48500"/>
    <s v="REFRIGERACAO MONTEIRO LTDA"/>
    <s v="MG"/>
    <n v="350"/>
    <s v="Ats On"/>
    <n v="1350"/>
    <s v="W11199202"/>
    <s v="Placas de Controle"/>
    <x v="2"/>
    <n v="1"/>
    <n v="5004215"/>
    <s v="BRASIL WEB TRANSPORTES E LOGISTICA"/>
    <n v="286.31"/>
    <d v="2025-07-17T00:00:00"/>
  </r>
  <r>
    <n v="254035399"/>
    <n v="64806938"/>
    <s v="REB"/>
    <n v="9733811"/>
    <n v="173"/>
    <s v="PEÇAS - Defeito de fabric./Alta Amperage"/>
    <s v="FUNCIONAL"/>
    <x v="2"/>
    <n v="61263"/>
    <s v="NOVINHO PECAS LTDA - ME"/>
    <s v="CE"/>
    <n v="648"/>
    <s v="Ultra"/>
    <n v="1350"/>
    <s v="W11415305"/>
    <s v="Placas de Controle"/>
    <x v="2"/>
    <n v="1"/>
    <n v="5004101"/>
    <s v="UNIDOCK'S ASSESSORIA E LOGISTICA DE"/>
    <n v="165.12"/>
    <d v="2025-07-17T00:00:00"/>
  </r>
  <r>
    <n v="254033302"/>
    <n v="64806940"/>
    <s v="REB"/>
    <n v="10094849"/>
    <n v="176"/>
    <s v="PEÇAS - Defeito de fabric./Interrompido"/>
    <s v="FUNCIONAL"/>
    <x v="1"/>
    <n v="21594"/>
    <s v="GOLD SERVICE COMERCIO"/>
    <s v="SP"/>
    <n v="931"/>
    <s v="Ats Off"/>
    <n v="1350"/>
    <s v="W11622875"/>
    <s v="Conexões Hidráulicas"/>
    <x v="7"/>
    <n v="4"/>
    <n v="5004042"/>
    <s v="BRASIL WEB TRANSPORTES E LOGISTICA"/>
    <n v="162.31"/>
    <d v="2025-07-08T00:00:00"/>
  </r>
  <r>
    <n v="254033454"/>
    <n v="64806988"/>
    <s v="REB"/>
    <n v="9884152"/>
    <n v="173"/>
    <s v="PEÇAS - Defeito de fabric./Alta Amperage"/>
    <s v="FUNCIONAL"/>
    <x v="1"/>
    <n v="76462"/>
    <s v="RC REFRIGERACAO LTDA"/>
    <s v="DF"/>
    <n v="933"/>
    <s v="Top"/>
    <n v="1350"/>
    <s v="W10640425"/>
    <s v="Placas de Interface"/>
    <x v="2"/>
    <n v="1"/>
    <n v="5002858"/>
    <s v="FAVORITA TRANSPORTES LTDA"/>
    <n v="237.63"/>
    <d v="2025-07-08T00:00:00"/>
  </r>
  <r>
    <n v="254033440"/>
    <n v="64807088"/>
    <s v="REB"/>
    <n v="10073672"/>
    <n v="173"/>
    <s v="PEÇAS - Defeito de fabric./Alta Amperage"/>
    <s v="FUNCIONAL"/>
    <x v="1"/>
    <n v="69166"/>
    <s v="PC COMERCIO E REPARACAO DE APARELHO"/>
    <s v="RJ"/>
    <n v="931"/>
    <s v="Ats Off"/>
    <n v="1350"/>
    <n v="326075625"/>
    <s v="Placas de Controle"/>
    <x v="2"/>
    <n v="1"/>
    <n v="5003176"/>
    <s v="J C THEDIN TRANSPORTES LTDA"/>
    <n v="176.88"/>
    <d v="2025-07-08T00:00:00"/>
  </r>
  <r>
    <n v="254033353"/>
    <n v="64807094"/>
    <s v="REB"/>
    <n v="10088896"/>
    <n v="167"/>
    <s v="PEÇAS - Avaria - Quebrada/Depósito"/>
    <s v="LOGÍSTICA"/>
    <x v="2"/>
    <n v="28403"/>
    <s v="REFRIGERACAO LINHA BRANCA DO RIO"/>
    <s v="RJ"/>
    <n v="934"/>
    <s v="CDP Ouro"/>
    <n v="1350"/>
    <n v="326047714"/>
    <s v="Prateleiras"/>
    <x v="1"/>
    <n v="1"/>
    <n v="5003176"/>
    <s v="J C THEDIN TRANSPORTES LTDA"/>
    <n v="54.96"/>
    <d v="2025-07-08T00:00:00"/>
  </r>
  <r>
    <n v="254062077"/>
    <n v="64807115"/>
    <s v="REB"/>
    <n v="10107281"/>
    <n v="167"/>
    <s v="PEÇAS - Avaria - Quebrada/Depósito"/>
    <s v="LOGÍSTICA"/>
    <x v="2"/>
    <n v="3524"/>
    <s v="CATEL - COMERCIO DE PECAS"/>
    <s v="SP"/>
    <n v="931"/>
    <s v="Ats Off"/>
    <n v="1350"/>
    <s v="W10581058"/>
    <s v="Gavetas"/>
    <x v="1"/>
    <n v="1"/>
    <n v="5004042"/>
    <s v="BRASIL WEB TRANSPORTES E LOGISTICA"/>
    <n v="115.13"/>
    <d v="2025-07-08T00:00:00"/>
  </r>
  <r>
    <n v="254033440"/>
    <n v="64807116"/>
    <s v="REB"/>
    <n v="10100332"/>
    <n v="104"/>
    <s v="PEÇAS-Código trocado(embalag X conteúdo)"/>
    <s v="LOGÍSTICA"/>
    <x v="1"/>
    <n v="69166"/>
    <s v="PC COMERCIO E REPARACAO DE APARELHO"/>
    <s v="RJ"/>
    <n v="931"/>
    <s v="Ats Off"/>
    <n v="1350"/>
    <s v="W10224624"/>
    <s v="Queimadores"/>
    <x v="9"/>
    <n v="1"/>
    <n v="5003176"/>
    <s v="J C THEDIN TRANSPORTES LTDA"/>
    <n v="9.32"/>
    <d v="2025-07-08T00:00:00"/>
  </r>
  <r>
    <n v="254033474"/>
    <n v="64807124"/>
    <s v="REB"/>
    <n v="10087890"/>
    <n v="167"/>
    <s v="PEÇAS - Avaria - Quebrada/Depósito"/>
    <s v="LOGÍSTICA"/>
    <x v="2"/>
    <n v="87707"/>
    <s v="REFRIGERA BRASIL CLIMATIZACAO E REF"/>
    <s v="BA"/>
    <n v="648"/>
    <s v="Ultra"/>
    <n v="1350"/>
    <s v="W10477178"/>
    <s v="Capas"/>
    <x v="3"/>
    <n v="1"/>
    <n v="5004101"/>
    <s v="UNIDOCK'S ASSESSORIA E LOGISTICA DE"/>
    <n v="21.01"/>
    <d v="2025-07-08T00:00:00"/>
  </r>
  <r>
    <n v="254033334"/>
    <n v="64807129"/>
    <s v="REB"/>
    <n v="10093771"/>
    <n v="167"/>
    <s v="PEÇAS - Avaria - Quebrada/Depósito"/>
    <s v="LOGÍSTICA"/>
    <x v="1"/>
    <n v="27337"/>
    <s v="REFRIGERACAO A C CATA VENTO LTDA"/>
    <s v="RJ"/>
    <n v="641"/>
    <s v="CDP Diamante"/>
    <n v="1350"/>
    <s v="W10169464"/>
    <s v="Defletores/Difusores"/>
    <x v="6"/>
    <n v="1"/>
    <n v="5003176"/>
    <s v="J C THEDIN TRANSPORTES LTDA"/>
    <n v="30.79"/>
    <d v="2025-07-08T00:00:00"/>
  </r>
  <r>
    <n v="254033334"/>
    <n v="64807129"/>
    <s v="REB"/>
    <n v="10093771"/>
    <n v="167"/>
    <s v="PEÇAS - Avaria - Quebrada/Depósito"/>
    <s v="LOGÍSTICA"/>
    <x v="1"/>
    <n v="27337"/>
    <s v="REFRIGERACAO A C CATA VENTO LTDA"/>
    <s v="RJ"/>
    <n v="641"/>
    <s v="CDP Diamante"/>
    <n v="1350"/>
    <s v="W10212441"/>
    <s v="Prateleiras"/>
    <x v="1"/>
    <n v="1"/>
    <n v="5003176"/>
    <s v="J C THEDIN TRANSPORTES LTDA"/>
    <n v="27.35"/>
    <d v="2025-07-08T00:00:00"/>
  </r>
  <r>
    <n v="254033334"/>
    <n v="64807129"/>
    <s v="REB"/>
    <n v="10093771"/>
    <n v="167"/>
    <s v="PEÇAS - Avaria - Quebrada/Depósito"/>
    <s v="LOGÍSTICA"/>
    <x v="1"/>
    <n v="27337"/>
    <s v="REFRIGERACAO A C CATA VENTO LTDA"/>
    <s v="RJ"/>
    <n v="641"/>
    <s v="CDP Diamante"/>
    <n v="1350"/>
    <s v="W10875028"/>
    <s v="Hélices"/>
    <x v="6"/>
    <n v="1"/>
    <n v="5003176"/>
    <s v="J C THEDIN TRANSPORTES LTDA"/>
    <n v="180.78"/>
    <d v="2025-07-08T00:00:00"/>
  </r>
  <r>
    <n v="254033443"/>
    <n v="64807134"/>
    <s v="REB"/>
    <n v="10097142"/>
    <n v="167"/>
    <s v="PEÇAS - Avaria - Quebrada/Depósito"/>
    <s v="LOGÍSTICA"/>
    <x v="1"/>
    <n v="71476"/>
    <s v="R FERREIRA DA SILVA"/>
    <s v="RJ"/>
    <n v="934"/>
    <s v="CDP Ouro"/>
    <n v="1350"/>
    <s v="W10347201"/>
    <s v="Prateleiras"/>
    <x v="1"/>
    <n v="2"/>
    <n v="5003176"/>
    <s v="J C THEDIN TRANSPORTES LTDA"/>
    <n v="193.62"/>
    <d v="2025-07-08T00:00:00"/>
  </r>
  <r>
    <n v="254062081"/>
    <n v="64807150"/>
    <s v="REB"/>
    <n v="10082972"/>
    <n v="506"/>
    <s v="Qtd de peças a Maior dentro do Volume"/>
    <s v="LOGÍSTICA"/>
    <x v="1"/>
    <n v="28681"/>
    <s v="PERIN &amp; CIA"/>
    <s v="SP"/>
    <n v="643"/>
    <s v="Elite"/>
    <n v="1350"/>
    <n v="326065990"/>
    <s v="Recipientes de Evaporação"/>
    <x v="1"/>
    <n v="20"/>
    <n v="5004042"/>
    <s v="BRASIL WEB TRANSPORTES E LOGISTICA"/>
    <n v="282.44"/>
    <d v="2025-07-08T00:00:00"/>
  </r>
  <r>
    <n v="254033274"/>
    <n v="64807152"/>
    <s v="REB"/>
    <n v="10071843"/>
    <n v="177"/>
    <s v="PEÇAS - Defeito de fabric./Ruído"/>
    <s v="FUNCIONAL"/>
    <x v="1"/>
    <n v="5118"/>
    <s v="REFRIGERACAO BINSFELD LTDA"/>
    <s v="RS"/>
    <n v="350"/>
    <s v="Ats On"/>
    <n v="1350"/>
    <s v="W11299803"/>
    <s v="Mecanismos"/>
    <x v="4"/>
    <n v="1"/>
    <n v="5003024"/>
    <s v="RODOBRAS TRANSPORTES RODOVIARIOS LT"/>
    <n v="101.83"/>
    <d v="2025-07-08T00:00:00"/>
  </r>
  <r>
    <n v="254033295"/>
    <n v="64807157"/>
    <s v="REB"/>
    <n v="10048138"/>
    <n v="176"/>
    <s v="PEÇAS - Defeito de fabric./Interrompido"/>
    <s v="FUNCIONAL"/>
    <x v="2"/>
    <n v="18805"/>
    <s v="RECORRE R C REFRIG LTDA"/>
    <s v="PR"/>
    <n v="648"/>
    <s v="Ultra"/>
    <n v="1350"/>
    <n v="326006453"/>
    <s v="Termostatos"/>
    <x v="8"/>
    <n v="1"/>
    <n v="5003024"/>
    <s v="RODOBRAS TRANSPORTES RODOVIARIOS LT"/>
    <n v="20.91"/>
    <d v="2025-07-08T00:00:00"/>
  </r>
  <r>
    <n v="254033428"/>
    <n v="64807167"/>
    <s v="REB"/>
    <n v="10108170"/>
    <n v="506"/>
    <s v="Qtd de peças a Maior dentro do Volume"/>
    <s v="LOGÍSTICA"/>
    <x v="1"/>
    <n v="63028"/>
    <s v="ELETRO122 COMERCIO DE ELETRO"/>
    <s v="SP"/>
    <n v="641"/>
    <s v="CDP Diamante"/>
    <n v="1350"/>
    <s v="W10816564"/>
    <s v="Capas Queimadores"/>
    <x v="9"/>
    <n v="1"/>
    <n v="5004042"/>
    <s v="BRASIL WEB TRANSPORTES E LOGISTICA"/>
    <n v="7.67"/>
    <d v="2025-07-08T00:00:00"/>
  </r>
  <r>
    <n v="254033294"/>
    <n v="64807172"/>
    <s v="REB"/>
    <n v="9876714"/>
    <n v="176"/>
    <s v="PEÇAS - Defeito de fabric./Interrompido"/>
    <s v="FUNCIONAL"/>
    <x v="2"/>
    <n v="18805"/>
    <s v="RECORRE R C REFRIG LTDA"/>
    <s v="PR"/>
    <n v="648"/>
    <s v="Ultra"/>
    <n v="1350"/>
    <s v="W10463578"/>
    <s v="Placas de Interface"/>
    <x v="2"/>
    <n v="1"/>
    <n v="5003024"/>
    <s v="RODOBRAS TRANSPORTES RODOVIARIOS LT"/>
    <n v="258.57"/>
    <d v="2025-07-08T00:00:00"/>
  </r>
  <r>
    <n v="254033274"/>
    <n v="64807175"/>
    <s v="REB"/>
    <n v="10036432"/>
    <n v="177"/>
    <s v="PEÇAS - Defeito de fabric./Ruído"/>
    <s v="FUNCIONAL"/>
    <x v="1"/>
    <n v="5118"/>
    <s v="REFRIGERACAO BINSFELD LTDA"/>
    <s v="RS"/>
    <n v="350"/>
    <s v="Ats On"/>
    <n v="1350"/>
    <s v="W11300698"/>
    <s v="Mecanismos"/>
    <x v="4"/>
    <n v="1"/>
    <n v="5003024"/>
    <s v="RODOBRAS TRANSPORTES RODOVIARIOS LT"/>
    <n v="244.21"/>
    <d v="2025-07-08T00:00:00"/>
  </r>
  <r>
    <n v="254033302"/>
    <n v="64807176"/>
    <s v="REB"/>
    <n v="10008058"/>
    <n v="173"/>
    <s v="PEÇAS - Defeito de fabric./Alta Amperage"/>
    <s v="FUNCIONAL"/>
    <x v="1"/>
    <n v="21594"/>
    <s v="GOLD SERVICE COMERCIO"/>
    <s v="SP"/>
    <n v="931"/>
    <s v="Ats Off"/>
    <n v="1350"/>
    <s v="W11208459"/>
    <s v="Placas de Controle"/>
    <x v="2"/>
    <n v="1"/>
    <n v="5004042"/>
    <s v="BRASIL WEB TRANSPORTES E LOGISTICA"/>
    <n v="367.19"/>
    <d v="2025-07-08T00:00:00"/>
  </r>
  <r>
    <n v="254033437"/>
    <n v="64807180"/>
    <s v="REB"/>
    <n v="9479990"/>
    <n v="173"/>
    <s v="PEÇAS - Defeito de fabric./Alta Amperage"/>
    <s v="FUNCIONAL"/>
    <x v="1"/>
    <n v="67948"/>
    <s v="REFRICRIL DISTRIBUIDORA DE AR REFRI"/>
    <s v="SC"/>
    <n v="713"/>
    <s v="Key Account"/>
    <n v="1350"/>
    <s v="W11195522"/>
    <s v="Motores"/>
    <x v="2"/>
    <n v="1"/>
    <n v="5003024"/>
    <s v="RODOBRAS TRANSPORTES RODOVIARIOS LT"/>
    <n v="120.96"/>
    <d v="2025-07-08T00:00:00"/>
  </r>
  <r>
    <n v="254033437"/>
    <n v="64807181"/>
    <s v="REB"/>
    <n v="9664794"/>
    <n v="176"/>
    <s v="PEÇAS - Defeito de fabric./Interrompido"/>
    <s v="FUNCIONAL"/>
    <x v="1"/>
    <n v="67948"/>
    <s v="REFRICRIL DISTRIBUIDORA DE AR REFRI"/>
    <s v="SC"/>
    <n v="713"/>
    <s v="Key Account"/>
    <n v="1350"/>
    <s v="W11498695"/>
    <s v="Capas"/>
    <x v="3"/>
    <n v="1"/>
    <n v="5003024"/>
    <s v="RODOBRAS TRANSPORTES RODOVIARIOS LT"/>
    <n v="37.53"/>
    <d v="2025-07-08T00:00:00"/>
  </r>
  <r>
    <n v="254033458"/>
    <n v="64807184"/>
    <s v="REB"/>
    <n v="10096420"/>
    <n v="170"/>
    <s v="PEÇAS - Avaria - Riscada/Depósito"/>
    <s v="LOGÍSTICA"/>
    <x v="1"/>
    <n v="78757"/>
    <s v="POSFRIO REFRIGERACAO LTDA"/>
    <s v="RS"/>
    <n v="643"/>
    <s v="Elite"/>
    <n v="1350"/>
    <s v="W11431350"/>
    <s v="Capas"/>
    <x v="3"/>
    <n v="2"/>
    <n v="5003024"/>
    <s v="RODOBRAS TRANSPORTES RODOVIARIOS LT"/>
    <n v="39.549999999999997"/>
    <d v="2025-07-08T00:00:00"/>
  </r>
  <r>
    <n v="254033456"/>
    <n v="64807195"/>
    <s v="REB"/>
    <n v="9856644"/>
    <n v="178"/>
    <s v="PEÇAS -Defeito de fabric./Sem Compressão"/>
    <s v="FUNCIONAL"/>
    <x v="2"/>
    <n v="77425"/>
    <s v="S L DE SOUSA REFRIGERACAO"/>
    <s v="PE"/>
    <n v="643"/>
    <s v="Elite"/>
    <n v="1350"/>
    <s v="W11647662"/>
    <s v="Compressores Herméticos"/>
    <x v="0"/>
    <n v="4"/>
    <n v="5004101"/>
    <s v="UNIDOCK'S ASSESSORIA E LOGISTICA DE"/>
    <n v="1055.05"/>
    <d v="2025-07-08T00:00:00"/>
  </r>
  <r>
    <n v="254027639"/>
    <n v="64807241"/>
    <s v="ROB"/>
    <n v="10115324"/>
    <n v="240"/>
    <s v="DEV-Avaria - 2 trecho transp - Produto"/>
    <s v="QUALIDADE"/>
    <x v="2"/>
    <n v="67852"/>
    <s v="ALEX P. DE SOUZA - ME123"/>
    <s v="MT"/>
    <n v="350"/>
    <s v="Ats On"/>
    <n v="1350"/>
    <s v="W10292562"/>
    <s v="Capas"/>
    <x v="3"/>
    <n v="1"/>
    <n v="5002573"/>
    <s v="CARVALIMA TRANSPORTES LTDA"/>
    <n v="26.37"/>
    <d v="2025-07-08T00:00:00"/>
  </r>
  <r>
    <n v="254027639"/>
    <n v="64807241"/>
    <s v="ROB"/>
    <n v="10115324"/>
    <n v="240"/>
    <s v="DEV-Avaria - 2 trecho transp - Produto"/>
    <s v="QUALIDADE"/>
    <x v="2"/>
    <n v="67852"/>
    <s v="ALEX P. DE SOUZA - ME123"/>
    <s v="MT"/>
    <n v="350"/>
    <s v="Ats On"/>
    <n v="1350"/>
    <s v="W10555140"/>
    <s v="Resistências"/>
    <x v="2"/>
    <n v="3"/>
    <n v="5002573"/>
    <s v="CARVALIMA TRANSPORTES LTDA"/>
    <n v="182.5"/>
    <d v="2025-07-08T00:00:00"/>
  </r>
  <r>
    <n v="254027639"/>
    <n v="64807241"/>
    <s v="ROB"/>
    <n v="10115324"/>
    <n v="240"/>
    <s v="DEV-Avaria - 2 trecho transp - Produto"/>
    <s v="QUALIDADE"/>
    <x v="2"/>
    <n v="67852"/>
    <s v="ALEX P. DE SOUZA - ME123"/>
    <s v="MT"/>
    <n v="350"/>
    <s v="Ats On"/>
    <n v="1350"/>
    <s v="W11112671"/>
    <s v="Interruptores horário"/>
    <x v="8"/>
    <n v="1"/>
    <n v="5002573"/>
    <s v="CARVALIMA TRANSPORTES LTDA"/>
    <n v="61.17"/>
    <d v="2025-07-08T00:00:00"/>
  </r>
  <r>
    <n v="254027639"/>
    <n v="64807241"/>
    <s v="ROB"/>
    <n v="10115324"/>
    <n v="240"/>
    <s v="DEV-Avaria - 2 trecho transp - Produto"/>
    <s v="QUALIDADE"/>
    <x v="2"/>
    <n v="67852"/>
    <s v="ALEX P. DE SOUZA - ME123"/>
    <s v="MT"/>
    <n v="350"/>
    <s v="Ats On"/>
    <n v="1350"/>
    <s v="W11369860"/>
    <s v="Motores Ventiladores"/>
    <x v="2"/>
    <n v="1"/>
    <n v="5002573"/>
    <s v="CARVALIMA TRANSPORTES LTDA"/>
    <n v="50.27"/>
    <d v="2025-07-08T00:00:00"/>
  </r>
  <r>
    <n v="254062128"/>
    <n v="64807274"/>
    <s v="REB"/>
    <n v="10014919"/>
    <n v="173"/>
    <s v="PEÇAS - Defeito de fabric./Alta Amperage"/>
    <s v="FUNCIONAL"/>
    <x v="2"/>
    <n v="74760"/>
    <s v="BMC COMERCIO E SERVICOS DE REFRIG"/>
    <s v="SP"/>
    <n v="350"/>
    <s v="Ats On"/>
    <n v="1350"/>
    <s v="W10351342"/>
    <s v="Ice Maker"/>
    <x v="5"/>
    <n v="1"/>
    <n v="5004042"/>
    <s v="BRASIL WEB TRANSPORTES E LOGISTICA"/>
    <n v="323.32"/>
    <d v="2025-07-08T00:00:00"/>
  </r>
  <r>
    <n v="254033394"/>
    <n v="64807279"/>
    <s v="REB"/>
    <n v="10108654"/>
    <n v="173"/>
    <s v="PEÇAS - Defeito de fabric./Alta Amperage"/>
    <s v="FUNCIONAL"/>
    <x v="1"/>
    <n v="37434"/>
    <s v="ELETRO MARTINS LTDA"/>
    <s v="GO"/>
    <n v="931"/>
    <s v="Ats Off"/>
    <n v="1350"/>
    <s v="W10882241"/>
    <s v="Agitadores"/>
    <x v="4"/>
    <n v="2"/>
    <n v="5002858"/>
    <s v="FAVORITA TRANSPORTES LTDA"/>
    <n v="87.64"/>
    <d v="2025-07-08T00:00:00"/>
  </r>
  <r>
    <n v="254033277"/>
    <n v="64807299"/>
    <s v="REB"/>
    <n v="10105756"/>
    <n v="173"/>
    <s v="PEÇAS - Defeito de fabric./Alta Amperage"/>
    <s v="FUNCIONAL"/>
    <x v="1"/>
    <n v="9272"/>
    <s v="DREAM SERVICE COMERCIO DE PECAS E"/>
    <s v="RS"/>
    <n v="931"/>
    <s v="Ats Off"/>
    <n v="1350"/>
    <s v="W11543430"/>
    <s v="Outros"/>
    <x v="5"/>
    <n v="1"/>
    <n v="5003024"/>
    <s v="RODOBRAS TRANSPORTES RODOVIARIOS LT"/>
    <n v="250.06"/>
    <d v="2025-07-08T00:00:00"/>
  </r>
  <r>
    <n v="254033427"/>
    <n v="64807310"/>
    <s v="REB"/>
    <n v="9887508"/>
    <n v="176"/>
    <s v="PEÇAS - Defeito de fabric./Interrompido"/>
    <s v="FUNCIONAL"/>
    <x v="2"/>
    <n v="62872"/>
    <s v="DSFRIO REFRIGERACAO EIRELI"/>
    <s v="SP"/>
    <n v="644"/>
    <s v="Plus"/>
    <n v="1350"/>
    <s v="W11435390"/>
    <s v="Placas de Controle"/>
    <x v="2"/>
    <n v="1"/>
    <n v="5004042"/>
    <s v="BRASIL WEB TRANSPORTES E LOGISTICA"/>
    <n v="220.74"/>
    <d v="2025-07-08T00:00:00"/>
  </r>
  <r>
    <n v="254033390"/>
    <n v="64807314"/>
    <s v="REB"/>
    <n v="10057505"/>
    <n v="90"/>
    <s v="CLIENTE-não solicitou"/>
    <s v="COMERCIAL"/>
    <x v="2"/>
    <n v="33574"/>
    <s v="REFRIGERACOES SABOIA LTDA"/>
    <s v="PE"/>
    <n v="350"/>
    <s v="Ats On"/>
    <n v="1350"/>
    <n v="326059371"/>
    <s v="Placas de Controle"/>
    <x v="2"/>
    <n v="1"/>
    <n v="5004101"/>
    <s v="UNIDOCK'S ASSESSORIA E LOGISTICA DE"/>
    <n v="229.75"/>
    <d v="2025-07-08T00:00:00"/>
  </r>
  <r>
    <n v="254033390"/>
    <n v="64807314"/>
    <s v="REB"/>
    <n v="10057505"/>
    <n v="90"/>
    <s v="CLIENTE-não solicitou"/>
    <s v="COMERCIAL"/>
    <x v="2"/>
    <n v="33574"/>
    <s v="REFRIGERACOES SABOIA LTDA"/>
    <s v="PE"/>
    <n v="350"/>
    <s v="Ats On"/>
    <n v="1350"/>
    <s v="W10848270"/>
    <s v="Botões"/>
    <x v="3"/>
    <n v="1"/>
    <n v="5004101"/>
    <s v="UNIDOCK'S ASSESSORIA E LOGISTICA DE"/>
    <n v="7.46"/>
    <d v="2025-07-08T00:00:00"/>
  </r>
  <r>
    <n v="254033260"/>
    <n v="64807317"/>
    <s v="REB"/>
    <n v="10080666"/>
    <n v="173"/>
    <s v="PEÇAS - Defeito de fabric./Alta Amperage"/>
    <s v="FUNCIONAL"/>
    <x v="1"/>
    <n v="4189"/>
    <s v="PONTO DE ORVALHO REFRIG LTDA"/>
    <s v="CE"/>
    <n v="931"/>
    <s v="Ats Off"/>
    <n v="1350"/>
    <s v="W11132065"/>
    <s v="Painéis de Controle"/>
    <x v="3"/>
    <n v="1"/>
    <n v="5004101"/>
    <s v="UNIDOCK'S ASSESSORIA E LOGISTICA DE"/>
    <n v="99.72"/>
    <d v="2025-07-08T00:00:00"/>
  </r>
  <r>
    <n v="254033295"/>
    <n v="64807321"/>
    <s v="REB"/>
    <n v="10029199"/>
    <n v="176"/>
    <s v="PEÇAS - Defeito de fabric./Interrompido"/>
    <s v="FUNCIONAL"/>
    <x v="2"/>
    <n v="18805"/>
    <s v="RECORRE R C REFRIG LTDA"/>
    <s v="PR"/>
    <n v="648"/>
    <s v="Ultra"/>
    <n v="1350"/>
    <s v="W10586927"/>
    <s v="Placas de Controle"/>
    <x v="2"/>
    <n v="1"/>
    <n v="5003024"/>
    <s v="RODOBRAS TRANSPORTES RODOVIARIOS LT"/>
    <n v="226.6"/>
    <d v="2025-07-08T00:00:00"/>
  </r>
  <r>
    <n v="254033295"/>
    <n v="64807321"/>
    <s v="REB"/>
    <n v="10029199"/>
    <n v="176"/>
    <s v="PEÇAS - Defeito de fabric./Interrompido"/>
    <s v="FUNCIONAL"/>
    <x v="2"/>
    <n v="18805"/>
    <s v="RECORRE R C REFRIG LTDA"/>
    <s v="PR"/>
    <n v="648"/>
    <s v="Ultra"/>
    <n v="1350"/>
    <s v="W10632495"/>
    <s v="Placas de Controle"/>
    <x v="2"/>
    <n v="1"/>
    <n v="5003024"/>
    <s v="RODOBRAS TRANSPORTES RODOVIARIOS LT"/>
    <n v="81.95"/>
    <d v="2025-07-08T00:00:00"/>
  </r>
  <r>
    <n v="254033322"/>
    <n v="64807324"/>
    <s v="REB"/>
    <n v="10074276"/>
    <n v="173"/>
    <s v="PEÇAS - Defeito de fabric./Alta Amperage"/>
    <s v="FUNCIONAL"/>
    <x v="1"/>
    <n v="27113"/>
    <s v="EDUARDO CESAR DA ROCHA"/>
    <s v="MG"/>
    <n v="350"/>
    <s v="Ats On"/>
    <n v="1350"/>
    <s v="W10605809"/>
    <s v="Placas de Interface"/>
    <x v="2"/>
    <n v="1"/>
    <n v="5004215"/>
    <s v="BRASIL WEB TRANSPORTES E LOGISTICA"/>
    <n v="166.43"/>
    <d v="2025-07-08T00:00:00"/>
  </r>
  <r>
    <n v="254033301"/>
    <n v="64807332"/>
    <s v="REB"/>
    <n v="9976783"/>
    <n v="173"/>
    <s v="PEÇAS - Defeito de fabric./Alta Amperage"/>
    <s v="FUNCIONAL"/>
    <x v="1"/>
    <n v="21594"/>
    <s v="GOLD SERVICE COMERCIO"/>
    <s v="SP"/>
    <n v="931"/>
    <s v="Ats Off"/>
    <n v="1350"/>
    <s v="W10904720"/>
    <s v="Placas de Controle"/>
    <x v="2"/>
    <n v="1"/>
    <n v="5004042"/>
    <s v="BRASIL WEB TRANSPORTES E LOGISTICA"/>
    <n v="392.3"/>
    <d v="2025-07-08T00:00:00"/>
  </r>
  <r>
    <n v="254033302"/>
    <n v="64807355"/>
    <s v="REB"/>
    <n v="10049059"/>
    <n v="177"/>
    <s v="PEÇAS - Defeito de fabric./Ruído"/>
    <s v="FUNCIONAL"/>
    <x v="1"/>
    <n v="21594"/>
    <s v="GOLD SERVICE COMERCIO"/>
    <s v="SP"/>
    <n v="931"/>
    <s v="Ats Off"/>
    <n v="1350"/>
    <s v="W10882241"/>
    <s v="Agitadores"/>
    <x v="4"/>
    <n v="1"/>
    <n v="5004042"/>
    <s v="BRASIL WEB TRANSPORTES E LOGISTICA"/>
    <n v="57.49"/>
    <d v="2025-07-08T00:00:00"/>
  </r>
  <r>
    <n v="254033302"/>
    <n v="64807356"/>
    <s v="REB"/>
    <n v="10085915"/>
    <n v="173"/>
    <s v="PEÇAS - Defeito de fabric./Alta Amperage"/>
    <s v="FUNCIONAL"/>
    <x v="1"/>
    <n v="21594"/>
    <s v="GOLD SERVICE COMERCIO"/>
    <s v="SP"/>
    <n v="931"/>
    <s v="Ats Off"/>
    <n v="1350"/>
    <s v="W11228626"/>
    <s v="Placas de Interface"/>
    <x v="2"/>
    <n v="1"/>
    <n v="5004042"/>
    <s v="BRASIL WEB TRANSPORTES E LOGISTICA"/>
    <n v="313.83999999999997"/>
    <d v="2025-07-08T00:00:00"/>
  </r>
  <r>
    <n v="254033319"/>
    <n v="64807358"/>
    <s v="REB"/>
    <n v="10096436"/>
    <n v="173"/>
    <s v="PEÇAS - Defeito de fabric./Alta Amperage"/>
    <s v="FUNCIONAL"/>
    <x v="1"/>
    <n v="26939"/>
    <s v="TEMPERFRIO-DISTRIBUICAO E"/>
    <s v="PR"/>
    <n v="643"/>
    <s v="Elite"/>
    <n v="1350"/>
    <s v="W11387505"/>
    <s v="Placas de Controle"/>
    <x v="2"/>
    <n v="1"/>
    <n v="5003024"/>
    <s v="RODOBRAS TRANSPORTES RODOVIARIOS LT"/>
    <n v="279.10000000000002"/>
    <d v="2025-07-08T00:00:00"/>
  </r>
  <r>
    <n v="254033313"/>
    <n v="64807364"/>
    <s v="REB"/>
    <n v="10105074"/>
    <n v="176"/>
    <s v="PEÇAS - Defeito de fabric./Interrompido"/>
    <s v="FUNCIONAL"/>
    <x v="1"/>
    <n v="21594"/>
    <s v="GOLD SERVICE COMERCIO"/>
    <s v="SP"/>
    <n v="931"/>
    <s v="Ats Off"/>
    <n v="1350"/>
    <s v="W10405579"/>
    <s v="Bombas"/>
    <x v="2"/>
    <n v="1"/>
    <n v="5004042"/>
    <s v="BRASIL WEB TRANSPORTES E LOGISTICA"/>
    <n v="81.209999999999994"/>
    <d v="2025-07-08T00:00:00"/>
  </r>
  <r>
    <n v="254033313"/>
    <n v="64807374"/>
    <s v="REB"/>
    <n v="10099436"/>
    <n v="177"/>
    <s v="PEÇAS - Defeito de fabric./Ruído"/>
    <s v="FUNCIONAL"/>
    <x v="1"/>
    <n v="21594"/>
    <s v="GOLD SERVICE COMERCIO"/>
    <s v="SP"/>
    <n v="931"/>
    <s v="Ats Off"/>
    <n v="1350"/>
    <s v="W10606422"/>
    <s v="Usinas"/>
    <x v="9"/>
    <n v="1"/>
    <n v="5004042"/>
    <s v="BRASIL WEB TRANSPORTES E LOGISTICA"/>
    <n v="27.5"/>
    <d v="2025-07-08T00:00:00"/>
  </r>
  <r>
    <n v="254033295"/>
    <n v="64807389"/>
    <s v="REB"/>
    <n v="10009336"/>
    <n v="176"/>
    <s v="PEÇAS - Defeito de fabric./Interrompido"/>
    <s v="FUNCIONAL"/>
    <x v="2"/>
    <n v="18805"/>
    <s v="RECORRE R C REFRIG LTDA"/>
    <s v="PR"/>
    <n v="648"/>
    <s v="Ultra"/>
    <n v="1350"/>
    <s v="W10408280"/>
    <s v="Válvulas de Água"/>
    <x v="6"/>
    <n v="1"/>
    <n v="5003024"/>
    <s v="RODOBRAS TRANSPORTES RODOVIARIOS LT"/>
    <n v="65.91"/>
    <d v="2025-07-08T00:00:00"/>
  </r>
  <r>
    <n v="254033295"/>
    <n v="64807389"/>
    <s v="REB"/>
    <n v="10009336"/>
    <n v="176"/>
    <s v="PEÇAS - Defeito de fabric./Interrompido"/>
    <s v="FUNCIONAL"/>
    <x v="2"/>
    <n v="18805"/>
    <s v="RECORRE R C REFRIG LTDA"/>
    <s v="PR"/>
    <n v="648"/>
    <s v="Ultra"/>
    <n v="1350"/>
    <s v="W10849469"/>
    <s v="Bombas"/>
    <x v="2"/>
    <n v="5"/>
    <n v="5003024"/>
    <s v="RODOBRAS TRANSPORTES RODOVIARIOS LT"/>
    <n v="164.84"/>
    <d v="2025-07-08T00:00:00"/>
  </r>
  <r>
    <n v="254033319"/>
    <n v="64807394"/>
    <s v="REB"/>
    <n v="9564386"/>
    <n v="173"/>
    <s v="PEÇAS - Defeito de fabric./Alta Amperage"/>
    <s v="FUNCIONAL"/>
    <x v="1"/>
    <n v="26939"/>
    <s v="TEMPERFRIO-DISTRIBUICAO E"/>
    <s v="PR"/>
    <n v="643"/>
    <s v="Elite"/>
    <n v="1350"/>
    <s v="W11161216"/>
    <s v="Placas de Controle"/>
    <x v="2"/>
    <n v="1"/>
    <n v="5003024"/>
    <s v="RODOBRAS TRANSPORTES RODOVIARIOS LT"/>
    <n v="383.56"/>
    <d v="2025-07-08T00:00:00"/>
  </r>
  <r>
    <n v="254033460"/>
    <n v="64807459"/>
    <s v="REB"/>
    <n v="10092492"/>
    <n v="176"/>
    <s v="PEÇAS - Defeito de fabric./Interrompido"/>
    <s v="FUNCIONAL"/>
    <x v="1"/>
    <n v="80181"/>
    <s v="REFRIGERACAO GUIMARAES LTDA"/>
    <s v="DF"/>
    <n v="934"/>
    <s v="CDP Ouro"/>
    <n v="1350"/>
    <s v="W10591605"/>
    <s v="Placas de Controle"/>
    <x v="2"/>
    <n v="2"/>
    <n v="5002858"/>
    <s v="FAVORITA TRANSPORTES LTDA"/>
    <n v="602.80999999999995"/>
    <d v="2025-07-08T00:00:00"/>
  </r>
  <r>
    <n v="254033293"/>
    <n v="64807460"/>
    <s v="REB"/>
    <n v="9146420"/>
    <n v="173"/>
    <s v="PEÇAS - Defeito de fabric./Alta Amperage"/>
    <s v="FUNCIONAL"/>
    <x v="2"/>
    <n v="18708"/>
    <s v="QUEIROZ E SA LTDA"/>
    <s v="MA"/>
    <n v="933"/>
    <s v="Top"/>
    <n v="1350"/>
    <s v="W11647662"/>
    <s v="Compressores Herméticos"/>
    <x v="0"/>
    <n v="1"/>
    <n v="5004101"/>
    <s v="UNIDOCK'S ASSESSORIA E LOGISTICA DE"/>
    <n v="314.02"/>
    <d v="2025-07-08T00:00:00"/>
  </r>
  <r>
    <n v="254058726"/>
    <n v="64807486"/>
    <s v="REB"/>
    <n v="9857619"/>
    <n v="173"/>
    <s v="PEÇAS - Defeito de fabric./Alta Amperage"/>
    <s v="FUNCIONAL"/>
    <x v="1"/>
    <n v="63300"/>
    <s v="REFRIGERACAO MOTA LTDA"/>
    <s v="MG"/>
    <n v="643"/>
    <s v="Elite"/>
    <n v="1350"/>
    <s v="W11352536"/>
    <s v="Placas de Controle"/>
    <x v="2"/>
    <n v="1"/>
    <n v="5004215"/>
    <s v="BRASIL WEB TRANSPORTES E LOGISTICA"/>
    <n v="76.58"/>
    <d v="2025-07-22T00:00:00"/>
  </r>
  <r>
    <n v="254038384"/>
    <n v="64807495"/>
    <s v="REB"/>
    <n v="10108522"/>
    <n v="167"/>
    <s v="PEÇAS - Avaria - Quebrada/Depósito"/>
    <s v="LOGÍSTICA"/>
    <x v="1"/>
    <n v="67567"/>
    <s v="SANTOS REFRIGERACAO GV LTDA"/>
    <s v="MG"/>
    <n v="350"/>
    <s v="Ats On"/>
    <n v="1350"/>
    <s v="W11393157"/>
    <s v="Tampas Móveis"/>
    <x v="3"/>
    <n v="1"/>
    <n v="5004215"/>
    <s v="BRASIL WEB TRANSPORTES E LOGISTICA"/>
    <n v="200.47"/>
    <d v="2025-07-22T00:00:00"/>
  </r>
  <r>
    <n v="254058726"/>
    <n v="64807497"/>
    <s v="REB"/>
    <n v="10132201"/>
    <n v="167"/>
    <s v="PEÇAS - Avaria - Quebrada/Depósito"/>
    <s v="LOGÍSTICA"/>
    <x v="1"/>
    <n v="71898"/>
    <s v="ALEX DE SOUZA 05555193688"/>
    <s v="MG"/>
    <n v="641"/>
    <s v="CDP Diamante"/>
    <n v="1350"/>
    <n v="326066852"/>
    <s v="Prateleiras"/>
    <x v="1"/>
    <n v="1"/>
    <n v="5004215"/>
    <s v="BRASIL WEB TRANSPORTES E LOGISTICA"/>
    <n v="44.78"/>
    <d v="2025-07-22T00:00:00"/>
  </r>
  <r>
    <n v="254033440"/>
    <n v="64807499"/>
    <s v="REB"/>
    <n v="10097279"/>
    <n v="173"/>
    <s v="PEÇAS - Defeito de fabric./Alta Amperage"/>
    <s v="FUNCIONAL"/>
    <x v="1"/>
    <n v="69166"/>
    <s v="PC COMERCIO E REPARACAO DE APARELHO"/>
    <s v="RJ"/>
    <n v="931"/>
    <s v="Ats Off"/>
    <n v="1350"/>
    <n v="326075625"/>
    <s v="Placas de Controle"/>
    <x v="2"/>
    <n v="1"/>
    <n v="5003176"/>
    <s v="J C THEDIN TRANSPORTES LTDA"/>
    <n v="176.88"/>
    <d v="2025-07-08T00:00:00"/>
  </r>
  <r>
    <n v="254038298"/>
    <n v="64807542"/>
    <s v="REB"/>
    <n v="10096719"/>
    <n v="173"/>
    <s v="PEÇAS - Defeito de fabric./Alta Amperage"/>
    <s v="FUNCIONAL"/>
    <x v="2"/>
    <n v="14474"/>
    <s v="NATAL SERVICE LTDA N"/>
    <s v="RN"/>
    <n v="648"/>
    <s v="Ultra"/>
    <n v="1350"/>
    <s v="W11195523"/>
    <s v="Motores"/>
    <x v="2"/>
    <n v="1"/>
    <n v="5004101"/>
    <s v="UNIDOCK'S ASSESSORIA E LOGISTICA DE"/>
    <n v="173.4"/>
    <d v="2025-07-22T00:00:00"/>
  </r>
  <r>
    <n v="254038301"/>
    <n v="64807582"/>
    <s v="REB"/>
    <n v="10052646"/>
    <n v="173"/>
    <s v="PEÇAS - Defeito de fabric./Alta Amperage"/>
    <s v="FUNCIONAL"/>
    <x v="2"/>
    <n v="18805"/>
    <s v="RECORRE R C REFRIG LTDA"/>
    <s v="PR"/>
    <n v="648"/>
    <s v="Ultra"/>
    <n v="1350"/>
    <n v="326006453"/>
    <s v="Termostatos"/>
    <x v="8"/>
    <n v="1"/>
    <n v="5003024"/>
    <s v="RODOBRAS TRANSPORTES RODOVIARIOS LT"/>
    <n v="20.91"/>
    <d v="2025-07-22T00:00:00"/>
  </r>
  <r>
    <n v="254038301"/>
    <n v="64807582"/>
    <s v="REB"/>
    <n v="10052646"/>
    <n v="173"/>
    <s v="PEÇAS - Defeito de fabric./Alta Amperage"/>
    <s v="FUNCIONAL"/>
    <x v="2"/>
    <n v="18805"/>
    <s v="RECORRE R C REFRIG LTDA"/>
    <s v="PR"/>
    <n v="648"/>
    <s v="Ultra"/>
    <n v="1350"/>
    <s v="W11254865"/>
    <s v="Mecanismos"/>
    <x v="4"/>
    <n v="2"/>
    <n v="5003024"/>
    <s v="RODOBRAS TRANSPORTES RODOVIARIOS LT"/>
    <n v="288.24"/>
    <d v="2025-07-22T00:00:00"/>
  </r>
  <r>
    <n v="254033463"/>
    <n v="64807605"/>
    <s v="REB"/>
    <n v="8685521"/>
    <n v="173"/>
    <s v="PEÇAS - Defeito de fabric./Alta Amperage"/>
    <s v="FUNCIONAL"/>
    <x v="1"/>
    <n v="80834"/>
    <s v="REFRIMAQ COMERCIO DE PECAS"/>
    <s v="RO"/>
    <n v="934"/>
    <s v="CDP Ouro"/>
    <n v="1350"/>
    <s v="W10330848"/>
    <s v="Compressores Herméticos"/>
    <x v="0"/>
    <n v="1"/>
    <n v="5002858"/>
    <s v="FAVORITA TRANSPORTES LTDA"/>
    <n v="371.16"/>
    <d v="2025-07-08T00:00:00"/>
  </r>
  <r>
    <n v="254033412"/>
    <n v="64807606"/>
    <s v="REB"/>
    <n v="10039420"/>
    <n v="173"/>
    <s v="PEÇAS - Defeito de fabric./Alta Amperage"/>
    <s v="FUNCIONAL"/>
    <x v="1"/>
    <n v="47471"/>
    <s v="REFRISOLAR REFRIGERACAO LTDA"/>
    <s v="TO"/>
    <n v="643"/>
    <s v="Elite"/>
    <n v="1350"/>
    <s v="W10882241"/>
    <s v="Agitadores"/>
    <x v="4"/>
    <n v="1"/>
    <n v="5002858"/>
    <s v="FAVORITA TRANSPORTES LTDA"/>
    <n v="44.24"/>
    <d v="2025-07-08T00:00:00"/>
  </r>
  <r>
    <n v="254033474"/>
    <n v="64807607"/>
    <s v="REB"/>
    <n v="10090119"/>
    <n v="90"/>
    <s v="CLIENTE-não solicitou"/>
    <s v="COMERCIAL"/>
    <x v="2"/>
    <n v="87707"/>
    <s v="REFRIGERA BRASIL CLIMATIZACAO E REF"/>
    <s v="BA"/>
    <n v="648"/>
    <s v="Ultra"/>
    <n v="1350"/>
    <s v="W11199342"/>
    <s v="Filtros"/>
    <x v="6"/>
    <n v="1"/>
    <n v="5004101"/>
    <s v="UNIDOCK'S ASSESSORIA E LOGISTICA DE"/>
    <n v="76.87"/>
    <d v="2025-07-08T00:00:00"/>
  </r>
  <r>
    <n v="254043785"/>
    <n v="64807765"/>
    <s v="REB"/>
    <n v="10121340"/>
    <n v="104"/>
    <s v="PEÇAS-Código trocado(embalag X conteúdo)"/>
    <s v="LOGÍSTICA"/>
    <x v="1"/>
    <n v="4167"/>
    <s v="MAQ VILLE PECAS E SERVICOS LTDA"/>
    <s v="SP"/>
    <n v="931"/>
    <s v="Ats Off"/>
    <n v="1350"/>
    <s v="W11694641"/>
    <s v="Placas de Controle"/>
    <x v="2"/>
    <n v="1"/>
    <n v="5004042"/>
    <s v="BRASIL WEB TRANSPORTES E LOGISTICA"/>
    <n v="1485.89"/>
    <d v="2025-07-09T00:00:00"/>
  </r>
  <r>
    <n v="254059861"/>
    <n v="64807862"/>
    <s v="REB"/>
    <n v="10104408"/>
    <n v="104"/>
    <s v="PEÇAS-Código trocado(embalag X conteúdo)"/>
    <s v="LOGÍSTICA"/>
    <x v="1"/>
    <n v="42244"/>
    <s v="REFRIGERACAO ELETRO FRIO LTDA"/>
    <s v="GO"/>
    <n v="932"/>
    <s v="CDP Prata"/>
    <n v="1350"/>
    <s v="W10882241"/>
    <s v="Agitadores"/>
    <x v="4"/>
    <n v="3"/>
    <n v="5002858"/>
    <s v="FAVORITA TRANSPORTES LTDA"/>
    <n v="133.53"/>
    <d v="2025-07-17T00:00:00"/>
  </r>
  <r>
    <n v="254035351"/>
    <n v="64807963"/>
    <s v="REB"/>
    <n v="10092756"/>
    <n v="176"/>
    <s v="PEÇAS - Defeito de fabric./Interrompido"/>
    <s v="FUNCIONAL"/>
    <x v="1"/>
    <n v="21594"/>
    <s v="GOLD SERVICE COMERCIO"/>
    <s v="SP"/>
    <n v="931"/>
    <s v="Ats Off"/>
    <n v="1350"/>
    <s v="W11047054"/>
    <s v="Interruptores horário"/>
    <x v="8"/>
    <n v="1"/>
    <n v="5004042"/>
    <s v="BRASIL WEB TRANSPORTES E LOGISTICA"/>
    <n v="136.47"/>
    <d v="2025-07-17T00:00:00"/>
  </r>
  <r>
    <n v="254038398"/>
    <n v="64808087"/>
    <s v="REB"/>
    <n v="10101123"/>
    <n v="177"/>
    <s v="PEÇAS - Defeito de fabric./Ruído"/>
    <s v="FUNCIONAL"/>
    <x v="1"/>
    <n v="80432"/>
    <s v="FRIORIO DISTRIBUIDOR DE PECAS PARA"/>
    <s v="ES"/>
    <n v="713"/>
    <s v="Key Account"/>
    <n v="1350"/>
    <s v="W11300698"/>
    <s v="Mecanismos"/>
    <x v="4"/>
    <n v="1"/>
    <n v="5004042"/>
    <s v="BRASIL WEB TRANSPORTES E LOGISTICA"/>
    <n v="221.46"/>
    <d v="2025-07-22T00:00:00"/>
  </r>
  <r>
    <n v="254066636"/>
    <n v="64808088"/>
    <s v="REB"/>
    <n v="10017176"/>
    <n v="173"/>
    <s v="PEÇAS - Defeito de fabric./Alta Amperage"/>
    <s v="FUNCIONAL"/>
    <x v="2"/>
    <n v="28902"/>
    <s v="Padock Refrigeracao Ltda  ME"/>
    <s v="DF"/>
    <n v="648"/>
    <s v="Ultra"/>
    <n v="1350"/>
    <s v="W11647662"/>
    <s v="Compressores Herméticos"/>
    <x v="0"/>
    <n v="6"/>
    <n v="5002858"/>
    <s v="FAVORITA TRANSPORTES LTDA"/>
    <n v="1604.13"/>
    <d v="2025-07-22T00:00:00"/>
  </r>
  <r>
    <n v="254062126"/>
    <n v="64808122"/>
    <s v="REB"/>
    <n v="9675543"/>
    <n v="173"/>
    <s v="PEÇAS - Defeito de fabric./Alta Amperage"/>
    <s v="FUNCIONAL"/>
    <x v="2"/>
    <n v="66015"/>
    <s v="BAMBUI CONSERTOS LTDA ME"/>
    <s v="MG"/>
    <n v="350"/>
    <s v="Ats On"/>
    <n v="1350"/>
    <s v="W10393822"/>
    <s v="Compressores Herméticos"/>
    <x v="0"/>
    <n v="2"/>
    <n v="5004215"/>
    <s v="BRASIL WEB TRANSPORTES E LOGISTICA"/>
    <n v="1077.7"/>
    <d v="2025-07-17T00:00:00"/>
  </r>
  <r>
    <n v="254062129"/>
    <n v="64808123"/>
    <s v="REB"/>
    <n v="9934428"/>
    <n v="176"/>
    <s v="PEÇAS - Defeito de fabric./Interrompido"/>
    <s v="FUNCIONAL"/>
    <x v="2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2.61"/>
    <d v="2025-07-17T00:00:00"/>
  </r>
  <r>
    <n v="254033478"/>
    <n v="64808291"/>
    <s v="ZDVP"/>
    <n v="10111072"/>
    <n v="173"/>
    <s v="PEÇAS - Defeito de fabric./Alta Amperage"/>
    <s v="FUNCIONAL"/>
    <x v="1"/>
    <n v="26939"/>
    <s v="TEMPERFRIO-DISTRIBUICAO E"/>
    <s v="PR"/>
    <n v="643"/>
    <s v="Elite"/>
    <n v="1350"/>
    <s v="W11299803"/>
    <s v="Mecanismos"/>
    <x v="4"/>
    <n v="1"/>
    <n v="5003024"/>
    <s v="RODOBRAS TRANSPORTES RODOVIARIOS LT"/>
    <n v="97.95"/>
    <d v="2025-07-10T00:00:00"/>
  </r>
  <r>
    <n v="254033478"/>
    <n v="64808291"/>
    <s v="ZDVP"/>
    <n v="10111072"/>
    <n v="173"/>
    <s v="PEÇAS - Defeito de fabric./Alta Amperage"/>
    <s v="FUNCIONAL"/>
    <x v="1"/>
    <n v="26939"/>
    <s v="TEMPERFRIO-DISTRIBUICAO E"/>
    <s v="PR"/>
    <n v="643"/>
    <s v="Elite"/>
    <n v="1350"/>
    <s v="W11300675"/>
    <s v="Mecanismos"/>
    <x v="4"/>
    <n v="1"/>
    <n v="5003024"/>
    <s v="RODOBRAS TRANSPORTES RODOVIARIOS LT"/>
    <n v="105.62"/>
    <d v="2025-07-10T00:00:00"/>
  </r>
  <r>
    <s v="Sem TR"/>
    <n v="64808412"/>
    <s v="REB"/>
    <n v="10074773"/>
    <n v="411"/>
    <s v="DEV-Extravio de PEÇAS (Transportadora)"/>
    <s v="TRANSPORTADORA"/>
    <x v="2"/>
    <n v="30000"/>
    <s v="REFRIGERACAO CALZA LTDA."/>
    <s v="SC"/>
    <n v="350"/>
    <s v="Ats On"/>
    <n v="1350"/>
    <s v="W10666547"/>
    <s v="Gaxetas"/>
    <x v="10"/>
    <n v="1"/>
    <n v="5003024"/>
    <s v="RODOBRAS TRANSPORTES RODOVIARIOS LT"/>
    <n v="111.88"/>
    <d v="2025-07-10T00:00:00"/>
  </r>
  <r>
    <n v="254062123"/>
    <n v="64808488"/>
    <s v="REB"/>
    <n v="10124480"/>
    <n v="104"/>
    <s v="PEÇAS-Código trocado(embalag X conteúdo)"/>
    <s v="LOGÍSTICA"/>
    <x v="2"/>
    <n v="31030"/>
    <s v="BARIZON REFRIGERACAO"/>
    <s v="RS"/>
    <n v="934"/>
    <s v="CDP Ouro"/>
    <n v="1350"/>
    <s v="W10417020"/>
    <s v="Portas"/>
    <x v="3"/>
    <n v="1"/>
    <n v="5003024"/>
    <s v="RODOBRAS TRANSPORTES RODOVIARIOS LT"/>
    <n v="349"/>
    <d v="2025-07-17T00:00:00"/>
  </r>
  <r>
    <s v="Sem TR"/>
    <n v="64808543"/>
    <s v="ZRDI"/>
    <n v="10142757"/>
    <s v="D18"/>
    <s v="DEV D2C - Arrependimento não quero mais"/>
    <s v="COMERCIAL"/>
    <x v="2"/>
    <n v="58165289"/>
    <s v="MURILO HALAT KILLAR"/>
    <s v="PR"/>
    <n v="474"/>
    <s v="Site Brastemp"/>
    <n v="1352"/>
    <s v="W10470951"/>
    <s v="Correias"/>
    <x v="4"/>
    <n v="1"/>
    <n v="5002359"/>
    <s v="EMPRESA BRASILEIRA DE CORREIOS E"/>
    <n v="33.57"/>
    <d v="2025-08-01T00:00:00"/>
  </r>
  <r>
    <n v="254058723"/>
    <n v="64808778"/>
    <s v="REB"/>
    <n v="9867774"/>
    <n v="178"/>
    <s v="PEÇAS -Defeito de fabric./Sem Compressão"/>
    <s v="FUNCIONAL"/>
    <x v="1"/>
    <n v="121"/>
    <s v="BRASTAUB COMERCIO DE PECAS"/>
    <s v="PR"/>
    <n v="931"/>
    <s v="Ats Off"/>
    <n v="1350"/>
    <s v="W11516472"/>
    <s v="Compressores Herméticos"/>
    <x v="0"/>
    <n v="1"/>
    <n v="5003024"/>
    <s v="RODOBRAS TRANSPORTES RODOVIARIOS LT"/>
    <n v="355.62"/>
    <d v="2025-07-22T00:00:00"/>
  </r>
  <r>
    <s v="Sem TR"/>
    <n v="64809024"/>
    <s v="ROB"/>
    <n v="10114504"/>
    <n v="182"/>
    <s v="PEÇAS - Extravio - Volume a menor"/>
    <s v="TRANSPORTADORA"/>
    <x v="1"/>
    <n v="61371"/>
    <s v="RC REFRIGERACAO PECAS E FERRAMENTAS"/>
    <s v="DF"/>
    <n v="933"/>
    <s v="Top"/>
    <n v="1350"/>
    <s v="W11741179"/>
    <s v="Outros"/>
    <x v="5"/>
    <n v="50"/>
    <n v="5002858"/>
    <s v="FAVORITA TRANSPORTES LTDA"/>
    <n v="15729.62"/>
    <d v="2025-07-11T00:00:00"/>
  </r>
  <r>
    <s v="Sem TR"/>
    <n v="64809025"/>
    <s v="ZRVP"/>
    <n v="10114505"/>
    <n v="182"/>
    <s v="PEÇAS - Extravio - Volume a menor"/>
    <s v="TRANSPORTADORA"/>
    <x v="1"/>
    <n v="61371"/>
    <s v="RC REFRIGERACAO PECAS E FERRAMENTAS"/>
    <s v="DF"/>
    <n v="933"/>
    <s v="Top"/>
    <n v="1350"/>
    <s v="W10531315"/>
    <s v="Sensores"/>
    <x v="8"/>
    <n v="10"/>
    <n v="5002858"/>
    <s v="FAVORITA TRANSPORTES LTDA"/>
    <n v="78.38"/>
    <d v="2025-07-11T00:00:00"/>
  </r>
  <r>
    <s v="Sem TR"/>
    <n v="64809026"/>
    <s v="ZRVP"/>
    <n v="10114506"/>
    <n v="182"/>
    <s v="PEÇAS - Extravio - Volume a menor"/>
    <s v="TRANSPORTADORA"/>
    <x v="1"/>
    <n v="61371"/>
    <s v="RC REFRIGERACAO PECAS E FERRAMENTAS"/>
    <s v="DF"/>
    <n v="933"/>
    <s v="Top"/>
    <n v="1350"/>
    <s v="W10531315"/>
    <s v="Sensores"/>
    <x v="8"/>
    <n v="5"/>
    <n v="5002858"/>
    <s v="FAVORITA TRANSPORTES LTDA"/>
    <n v="40.04"/>
    <d v="2025-07-11T00:00:00"/>
  </r>
  <r>
    <s v="Sem TR"/>
    <n v="64809027"/>
    <s v="ZRVP"/>
    <n v="10114507"/>
    <n v="182"/>
    <s v="PEÇAS - Extravio - Volume a menor"/>
    <s v="TRANSPORTADORA"/>
    <x v="1"/>
    <n v="61371"/>
    <s v="RC REFRIGERACAO PECAS E FERRAMENTAS"/>
    <s v="DF"/>
    <n v="933"/>
    <s v="Top"/>
    <n v="1350"/>
    <s v="W11741179"/>
    <s v="Outros"/>
    <x v="5"/>
    <n v="3"/>
    <n v="5002858"/>
    <s v="FAVORITA TRANSPORTES LTDA"/>
    <n v="1070.19"/>
    <d v="2025-07-11T00:00:00"/>
  </r>
  <r>
    <n v="254035367"/>
    <n v="64809075"/>
    <s v="REB"/>
    <n v="10062705"/>
    <n v="90"/>
    <s v="CLIENTE-não solicitou"/>
    <s v="COMERCIAL"/>
    <x v="1"/>
    <n v="29164"/>
    <s v="BRASTEMAK REFRIGERACAO LTDA"/>
    <s v="BA"/>
    <n v="648"/>
    <s v="Ultra"/>
    <n v="1350"/>
    <s v="W10696196"/>
    <s v="Válvulas de Água"/>
    <x v="6"/>
    <n v="20"/>
    <n v="5004101"/>
    <s v="UNIDOCK'S ASSESSORIA E LOGISTICA DE"/>
    <n v="633.79999999999995"/>
    <d v="2025-07-17T00:00:00"/>
  </r>
  <r>
    <n v="254038377"/>
    <n v="64809233"/>
    <s v="REB"/>
    <n v="9747374"/>
    <n v="178"/>
    <s v="PEÇAS -Defeito de fabric./Sem Compressão"/>
    <s v="FUNCIONAL"/>
    <x v="2"/>
    <n v="50822"/>
    <s v="CLAYTON DE OLIVEIRA"/>
    <s v="AL"/>
    <n v="644"/>
    <s v="Plus"/>
    <n v="1350"/>
    <s v="W11300816"/>
    <s v="Mecanismos"/>
    <x v="4"/>
    <n v="20"/>
    <n v="5004101"/>
    <s v="UNIDOCK'S ASSESSORIA E LOGISTICA DE"/>
    <n v="2154.8000000000002"/>
    <d v="2025-07-22T00:00:00"/>
  </r>
  <r>
    <n v="254038377"/>
    <n v="64809233"/>
    <s v="REB"/>
    <n v="9747374"/>
    <n v="178"/>
    <s v="PEÇAS -Defeito de fabric./Sem Compressão"/>
    <s v="FUNCIONAL"/>
    <x v="2"/>
    <n v="50822"/>
    <s v="CLAYTON DE OLIVEIRA"/>
    <s v="AL"/>
    <n v="644"/>
    <s v="Plus"/>
    <n v="1350"/>
    <s v="W10799397"/>
    <s v="Compressores Herméticos"/>
    <x v="0"/>
    <n v="1"/>
    <n v="5004101"/>
    <s v="UNIDOCK'S ASSESSORIA E LOGISTICA DE"/>
    <n v="304.89999999999998"/>
    <d v="2025-07-22T00:00:00"/>
  </r>
  <r>
    <n v="254054286"/>
    <n v="64809258"/>
    <s v="REB"/>
    <n v="9493028"/>
    <n v="178"/>
    <s v="PEÇAS -Defeito de fabric./Sem Compressão"/>
    <s v="FUNCIONAL"/>
    <x v="1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72.92"/>
    <d v="2025-08-07T00:00:00"/>
  </r>
  <r>
    <s v="Sem TR"/>
    <n v="64809423"/>
    <s v="REB"/>
    <n v="10141760"/>
    <n v="167"/>
    <s v="PEÇAS - Avaria - Quebrada/Depósito"/>
    <s v="LOGÍSTICA"/>
    <x v="1"/>
    <n v="2374"/>
    <s v="COMETA DISTRIBUIDORA DE PECAS"/>
    <s v="MG"/>
    <n v="350"/>
    <s v="Ats On"/>
    <n v="1350"/>
    <s v="W10347201"/>
    <s v="Prateleiras"/>
    <x v="1"/>
    <n v="1"/>
    <n v="5004215"/>
    <s v="BRASIL WEB TRANSPORTES E LOGISTICA"/>
    <n v="82.27"/>
    <d v="2025-08-14T00:00:00"/>
  </r>
  <r>
    <n v="254043999"/>
    <n v="64809670"/>
    <s v="REB"/>
    <n v="10123987"/>
    <n v="173"/>
    <s v="PEÇAS - Defeito de fabric./Alta Amperage"/>
    <s v="FUNCIONAL"/>
    <x v="1"/>
    <n v="2666"/>
    <s v="C.L.A"/>
    <s v="RJ"/>
    <n v="931"/>
    <s v="Ats Off"/>
    <n v="1350"/>
    <s v="W10720440"/>
    <s v="Bombas"/>
    <x v="2"/>
    <n v="1"/>
    <n v="5003176"/>
    <s v="J C THEDIN TRANSPORTES LTDA"/>
    <n v="366.99"/>
    <d v="2025-07-12T00:00:00"/>
  </r>
  <r>
    <n v="254043157"/>
    <n v="64809674"/>
    <s v="REB"/>
    <n v="10113756"/>
    <n v="115"/>
    <s v="PEÇAS-Recusa do cliente"/>
    <s v="COMERCIAL"/>
    <x v="1"/>
    <n v="2343"/>
    <s v="REFRIGERACAO ESQUIMO LTDA"/>
    <s v="MG"/>
    <n v="350"/>
    <s v="Ats On"/>
    <n v="1350"/>
    <s v="W10440444"/>
    <s v="Gaxetas"/>
    <x v="10"/>
    <n v="5"/>
    <n v="5004215"/>
    <s v="BRASIL WEB TRANSPORTES E LOGISTICA"/>
    <n v="237.56"/>
    <d v="2025-07-12T00:00:00"/>
  </r>
  <r>
    <n v="254044333"/>
    <n v="64809799"/>
    <s v="REB"/>
    <n v="10099475"/>
    <n v="173"/>
    <s v="PEÇAS - Defeito de fabric./Alta Amperage"/>
    <s v="FUNCIONAL"/>
    <x v="1"/>
    <n v="22041"/>
    <s v="VIP SERVICE COMERCIO DE PECAS"/>
    <s v="SP"/>
    <n v="931"/>
    <s v="Ats Off"/>
    <n v="1350"/>
    <s v="W10398340"/>
    <s v="Sensores"/>
    <x v="8"/>
    <n v="1"/>
    <n v="5004042"/>
    <s v="BRASIL WEB TRANSPORTES E LOGISTICA"/>
    <n v="255.77"/>
    <d v="2025-07-13T00:00:00"/>
  </r>
  <r>
    <n v="254043563"/>
    <n v="64809832"/>
    <s v="REB"/>
    <n v="51141"/>
    <n v="167"/>
    <s v="PEÇAS - Avaria - Quebrada/Depósito"/>
    <s v="LOGÍSTICA"/>
    <x v="2"/>
    <n v="64523"/>
    <s v="REFIGERAÇÃO DUFRIO"/>
    <s v="PB"/>
    <n v="713"/>
    <s v="Key Account"/>
    <n v="1550"/>
    <s v="W10169464"/>
    <s v="Defletores/Difusores"/>
    <x v="6"/>
    <n v="4"/>
    <n v="5004391"/>
    <s v="JEONCEL TRANSPORTES LTDA"/>
    <n v="96.84"/>
    <d v="2025-07-17T00:00:00"/>
  </r>
  <r>
    <s v="Sem TR"/>
    <n v="64809833"/>
    <s v="REB"/>
    <n v="10089943"/>
    <n v="167"/>
    <s v="PEÇAS - Avaria - Quebrada/Depósito"/>
    <s v="LOGÍSTICA"/>
    <x v="1"/>
    <n v="1255"/>
    <s v="PRAMAK REFRIGERACAO, PECAS E"/>
    <s v="CE"/>
    <n v="931"/>
    <s v="Ats Off"/>
    <n v="1350"/>
    <s v="W10553055"/>
    <s v="Prateleiras"/>
    <x v="1"/>
    <n v="1"/>
    <n v="5004101"/>
    <s v="UNIDOCK'S ASSESSORIA E LOGISTICA DE"/>
    <n v="23.99"/>
    <d v="2025-07-17T00:00:00"/>
  </r>
  <r>
    <s v="Sem TR"/>
    <n v="64809842"/>
    <s v="REB"/>
    <n v="9988859"/>
    <n v="178"/>
    <s v="PEÇAS -Defeito de fabric./Sem Compressão"/>
    <s v="FUNCIONAL"/>
    <x v="1"/>
    <n v="72497"/>
    <s v="PLAC PECAS PARA REFRIGERACAO LTDA"/>
    <s v="SC"/>
    <n v="933"/>
    <s v="Top"/>
    <n v="1350"/>
    <s v="W11741179"/>
    <s v="Outros"/>
    <x v="5"/>
    <n v="1"/>
    <n v="5003024"/>
    <s v="RODOBRAS TRANSPORTES RODOVIARIOS LT"/>
    <n v="332.35"/>
    <d v="2025-07-17T00:00:00"/>
  </r>
  <r>
    <n v="254038300"/>
    <n v="64809883"/>
    <s v="REB"/>
    <n v="10096719"/>
    <n v="173"/>
    <s v="PEÇAS - Defeito de fabric./Alta Amperage"/>
    <s v="FUNCIONAL"/>
    <x v="2"/>
    <n v="14474"/>
    <s v="NATAL SERVICE LTDA N"/>
    <s v="RN"/>
    <n v="648"/>
    <s v="Ultra"/>
    <n v="1350"/>
    <s v="W11435400"/>
    <s v="Placas de Controle"/>
    <x v="2"/>
    <n v="1"/>
    <n v="5004101"/>
    <s v="UNIDOCK'S ASSESSORIA E LOGISTICA DE"/>
    <n v="320.02999999999997"/>
    <d v="2025-07-22T00:00:00"/>
  </r>
  <r>
    <s v="Sem TR"/>
    <n v="64809928"/>
    <s v="REB"/>
    <n v="9907406"/>
    <n v="167"/>
    <s v="PEÇAS - Avaria - Quebrada/Depósito"/>
    <s v="LOGÍSTICA"/>
    <x v="1"/>
    <n v="27113"/>
    <s v="EDUARDO CESAR DA ROCHA"/>
    <s v="MG"/>
    <n v="350"/>
    <s v="Ats On"/>
    <n v="1350"/>
    <s v="W11300678"/>
    <s v="Mecanismos"/>
    <x v="4"/>
    <n v="1"/>
    <n v="5004215"/>
    <s v="BRASIL WEB TRANSPORTES E LOGISTICA"/>
    <n v="203.01"/>
    <d v="2025-07-17T00:00:00"/>
  </r>
  <r>
    <n v="254035374"/>
    <n v="64809962"/>
    <s v="REB"/>
    <n v="10106777"/>
    <n v="167"/>
    <s v="PEÇAS - Avaria - Quebrada/Depósito"/>
    <s v="LOGÍSTICA"/>
    <x v="1"/>
    <n v="31537"/>
    <s v="RAQUEL SILVEIRA RODRIGUES &amp; CIA. LT"/>
    <s v="RS"/>
    <n v="641"/>
    <s v="CDP Diamante"/>
    <n v="1350"/>
    <s v="W10169464"/>
    <s v="Defletores/Difusores"/>
    <x v="6"/>
    <n v="1"/>
    <n v="5003024"/>
    <s v="RODOBRAS TRANSPORTES RODOVIARIOS LT"/>
    <n v="23.2"/>
    <d v="2025-07-17T00:00:00"/>
  </r>
  <r>
    <n v="254038405"/>
    <n v="64810238"/>
    <s v="ZDVP"/>
    <n v="10062703"/>
    <n v="173"/>
    <s v="PEÇAS - Defeito de fabric./Alta Amperage"/>
    <s v="FUNCIONAL"/>
    <x v="2"/>
    <n v="14474"/>
    <s v="NATAL SERVICE LTDA N"/>
    <s v="RN"/>
    <n v="648"/>
    <s v="Ultra"/>
    <n v="1350"/>
    <s v="W10897149"/>
    <s v="Rolamentos"/>
    <x v="4"/>
    <n v="345"/>
    <n v="5004101"/>
    <s v="UNIDOCK'S ASSESSORIA E LOGISTICA DE"/>
    <n v="3057.1"/>
    <d v="2025-07-22T00:00:00"/>
  </r>
  <r>
    <n v="254038405"/>
    <n v="64810238"/>
    <s v="ZDVP"/>
    <n v="10062703"/>
    <n v="173"/>
    <s v="PEÇAS - Defeito de fabric./Alta Amperage"/>
    <s v="FUNCIONAL"/>
    <x v="2"/>
    <n v="14474"/>
    <s v="NATAL SERVICE LTDA N"/>
    <s v="RN"/>
    <n v="648"/>
    <s v="Ultra"/>
    <n v="1350"/>
    <s v="W10849470"/>
    <s v="Bombas"/>
    <x v="2"/>
    <n v="1"/>
    <n v="5004101"/>
    <s v="UNIDOCK'S ASSESSORIA E LOGISTICA DE"/>
    <n v="31.41"/>
    <d v="2025-07-22T00:00:00"/>
  </r>
  <r>
    <n v="254035396"/>
    <n v="64810248"/>
    <s v="REB"/>
    <n v="10078654"/>
    <n v="173"/>
    <s v="PEÇAS - Defeito de fabric./Alta Amperage"/>
    <s v="FUNCIONAL"/>
    <x v="2"/>
    <n v="59025"/>
    <s v="VICENTE E GOMES LTDA"/>
    <s v="AL"/>
    <n v="644"/>
    <s v="Plus"/>
    <n v="1350"/>
    <s v="W11581054"/>
    <s v="Placas de Controle"/>
    <x v="2"/>
    <n v="1"/>
    <n v="5004101"/>
    <s v="UNIDOCK'S ASSESSORIA E LOGISTICA DE"/>
    <n v="211.8"/>
    <d v="2025-07-17T00:00:00"/>
  </r>
  <r>
    <s v="Sem TR"/>
    <n v="64810362"/>
    <s v="REB"/>
    <n v="10106365"/>
    <n v="509"/>
    <s v="Qtd de peças a Menor dentro do Volume"/>
    <s v="LOGÍSTICA"/>
    <x v="2"/>
    <n v="86964"/>
    <s v="REFRICRIL DISTRIBUIDORA"/>
    <s v="PB"/>
    <n v="713"/>
    <s v="Key Account"/>
    <n v="1350"/>
    <s v="W11629019"/>
    <s v="Recipientes de Evaporação"/>
    <x v="1"/>
    <n v="26"/>
    <n v="5002359"/>
    <s v="EMPRESA BRASILEIRA DE CORREIOS E"/>
    <n v="330.72"/>
    <d v="2025-07-21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n v="4197305"/>
    <s v="Dobradiças"/>
    <x v="7"/>
    <n v="16"/>
    <n v="5004101"/>
    <s v="UNIDOCK'S ASSESSORIA E LOGISTICA DE"/>
    <n v="516.64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n v="326000280"/>
    <s v="Resistências"/>
    <x v="2"/>
    <n v="2"/>
    <n v="5004101"/>
    <s v="UNIDOCK'S ASSESSORIA E LOGISTICA DE"/>
    <n v="136.26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n v="326000516"/>
    <s v="Tirantes"/>
    <x v="11"/>
    <n v="200"/>
    <n v="5004101"/>
    <s v="UNIDOCK'S ASSESSORIA E LOGISTICA DE"/>
    <n v="285.35000000000002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n v="326049953"/>
    <s v="Parafusos e afins"/>
    <x v="7"/>
    <n v="10"/>
    <n v="5004101"/>
    <s v="UNIDOCK'S ASSESSORIA E LOGISTICA DE"/>
    <n v="19.489999999999998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n v="326054047"/>
    <s v="Suportes"/>
    <x v="3"/>
    <n v="1"/>
    <n v="5004101"/>
    <s v="UNIDOCK'S ASSESSORIA E LOGISTICA DE"/>
    <n v="23.71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169455"/>
    <s v="Suportes"/>
    <x v="3"/>
    <n v="1"/>
    <n v="5004101"/>
    <s v="UNIDOCK'S ASSESSORIA E LOGISTICA DE"/>
    <n v="82.3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174627"/>
    <s v="Painéis Decorativos"/>
    <x v="3"/>
    <n v="7"/>
    <n v="5004101"/>
    <s v="UNIDOCK'S ASSESSORIA E LOGISTICA DE"/>
    <n v="80.209999999999994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269366"/>
    <s v="Placas de Controle"/>
    <x v="2"/>
    <n v="1"/>
    <n v="5004101"/>
    <s v="UNIDOCK'S ASSESSORIA E LOGISTICA DE"/>
    <n v="137.84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292562"/>
    <s v="Capas"/>
    <x v="3"/>
    <n v="4"/>
    <n v="5004101"/>
    <s v="UNIDOCK'S ASSESSORIA E LOGISTICA DE"/>
    <n v="106.43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388134"/>
    <s v="Pés"/>
    <x v="3"/>
    <n v="14"/>
    <n v="5004101"/>
    <s v="UNIDOCK'S ASSESSORIA E LOGISTICA DE"/>
    <n v="60.08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471975"/>
    <s v="Interruptores"/>
    <x v="8"/>
    <n v="3"/>
    <n v="5004101"/>
    <s v="UNIDOCK'S ASSESSORIA E LOGISTICA DE"/>
    <n v="119.7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477178"/>
    <s v="Capas"/>
    <x v="3"/>
    <n v="2"/>
    <n v="5004101"/>
    <s v="UNIDOCK'S ASSESSORIA E LOGISTICA DE"/>
    <n v="51.2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539793"/>
    <s v="Capas"/>
    <x v="3"/>
    <n v="2"/>
    <n v="5004101"/>
    <s v="UNIDOCK'S ASSESSORIA E LOGISTICA DE"/>
    <n v="53.21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606115"/>
    <s v="Polias/Roldanas"/>
    <x v="4"/>
    <n v="10"/>
    <n v="5004101"/>
    <s v="UNIDOCK'S ASSESSORIA E LOGISTICA DE"/>
    <n v="123.75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625296"/>
    <s v="Painéis Decorativos"/>
    <x v="3"/>
    <n v="2"/>
    <n v="5004101"/>
    <s v="UNIDOCK'S ASSESSORIA E LOGISTICA DE"/>
    <n v="48.02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630751"/>
    <s v="Resistências"/>
    <x v="2"/>
    <n v="2"/>
    <n v="5004101"/>
    <s v="UNIDOCK'S ASSESSORIA E LOGISTICA DE"/>
    <n v="126.55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700346"/>
    <s v="Placas de Controle"/>
    <x v="2"/>
    <n v="3"/>
    <n v="5004101"/>
    <s v="UNIDOCK'S ASSESSORIA E LOGISTICA DE"/>
    <n v="391.4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738949"/>
    <s v="Atuadores"/>
    <x v="4"/>
    <n v="2"/>
    <n v="5004101"/>
    <s v="UNIDOCK'S ASSESSORIA E LOGISTICA DE"/>
    <n v="96.81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791633"/>
    <s v="Retentores"/>
    <x v="10"/>
    <n v="14"/>
    <n v="5004101"/>
    <s v="UNIDOCK'S ASSESSORIA E LOGISTICA DE"/>
    <n v="115.76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807957"/>
    <s v="Conjunto Varetas"/>
    <x v="11"/>
    <n v="2"/>
    <n v="5004101"/>
    <s v="UNIDOCK'S ASSESSORIA E LOGISTICA DE"/>
    <n v="173.08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0856154"/>
    <s v="Capas"/>
    <x v="3"/>
    <n v="3"/>
    <n v="5004101"/>
    <s v="UNIDOCK'S ASSESSORIA E LOGISTICA DE"/>
    <n v="74.81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1082450"/>
    <s v="Termostatos"/>
    <x v="8"/>
    <n v="3"/>
    <n v="5004101"/>
    <s v="UNIDOCK'S ASSESSORIA E LOGISTICA DE"/>
    <n v="126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1254865"/>
    <s v="Mecanismos"/>
    <x v="4"/>
    <n v="5"/>
    <n v="5004101"/>
    <s v="UNIDOCK'S ASSESSORIA E LOGISTICA DE"/>
    <n v="750.25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1435390"/>
    <s v="Placas de Controle"/>
    <x v="2"/>
    <n v="3"/>
    <n v="5004101"/>
    <s v="UNIDOCK'S ASSESSORIA E LOGISTICA DE"/>
    <n v="773.18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1551361"/>
    <s v="Peças Mecanismos"/>
    <x v="4"/>
    <n v="21"/>
    <n v="5004101"/>
    <s v="UNIDOCK'S ASSESSORIA E LOGISTICA DE"/>
    <n v="280.91000000000003"/>
    <d v="2025-07-29T00:00:00"/>
  </r>
  <r>
    <s v="Sem TR"/>
    <n v="64810492"/>
    <s v="ROB"/>
    <n v="10138219"/>
    <n v="115"/>
    <s v="PEÇAS-Recusa do cliente"/>
    <s v="COMERCIAL"/>
    <x v="1"/>
    <n v="87059"/>
    <s v="X PECAS MG LTDA"/>
    <s v="MG"/>
    <n v="934"/>
    <s v="CDP Ouro"/>
    <n v="1350"/>
    <s v="W11644103"/>
    <s v="Placas de Interface"/>
    <x v="2"/>
    <n v="1"/>
    <n v="5004101"/>
    <s v="UNIDOCK'S ASSESSORIA E LOGISTICA DE"/>
    <n v="117.68"/>
    <d v="2025-07-29T00:00:00"/>
  </r>
  <r>
    <s v="Sem TR"/>
    <n v="64810493"/>
    <s v="ROB"/>
    <n v="10138220"/>
    <n v="115"/>
    <s v="PEÇAS-Recusa do cliente"/>
    <s v="COMERCIAL"/>
    <x v="1"/>
    <n v="87059"/>
    <s v="X PECAS MG LTDA"/>
    <s v="MG"/>
    <n v="934"/>
    <s v="CDP Ouro"/>
    <n v="1350"/>
    <s v="W10531315"/>
    <s v="Sensores"/>
    <x v="8"/>
    <n v="43"/>
    <n v="5004101"/>
    <s v="UNIDOCK'S ASSESSORIA E LOGISTICA DE"/>
    <n v="362.24"/>
    <d v="2025-07-29T00:00:00"/>
  </r>
  <r>
    <s v="Sem TR"/>
    <n v="64810571"/>
    <s v="REB"/>
    <n v="10138225"/>
    <n v="509"/>
    <s v="Qtd de peças a Menor dentro do Volume"/>
    <s v="LOGÍSTICA"/>
    <x v="2"/>
    <n v="2424"/>
    <s v="TERMO STATUS INSTALADORA DE"/>
    <s v="RJ"/>
    <n v="350"/>
    <s v="Ats On"/>
    <n v="1350"/>
    <s v="W11109516"/>
    <s v="Prateleiras"/>
    <x v="1"/>
    <n v="1"/>
    <n v="5002359"/>
    <s v="EMPRESA BRASILEIRA DE CORREIOS E"/>
    <n v="50.1"/>
    <d v="2025-07-22T00:00:00"/>
  </r>
  <r>
    <s v="Sem TR"/>
    <n v="64810618"/>
    <s v="REB"/>
    <n v="10106365"/>
    <n v="167"/>
    <s v="PEÇAS - Avaria - Quebrada/Depósito"/>
    <s v="LOGÍSTICA"/>
    <x v="1"/>
    <n v="86964"/>
    <s v="REFRICRIL DISTRIBUIDORA"/>
    <s v="PB"/>
    <n v="713"/>
    <s v="Key Account"/>
    <n v="1350"/>
    <s v="W10477178"/>
    <s v="Capas"/>
    <x v="3"/>
    <n v="7"/>
    <n v="5004101"/>
    <s v="UNIDOCK'S ASSESSORIA E LOGISTICA DE"/>
    <n v="134.37"/>
    <d v="2025-07-21T00:00:00"/>
  </r>
  <r>
    <n v="254031457"/>
    <n v="64810691"/>
    <s v="ROB"/>
    <n v="10119084"/>
    <n v="240"/>
    <s v="DEV-Avaria - 2 trecho transp - Produto"/>
    <s v="QUALIDADE"/>
    <x v="2"/>
    <n v="10164"/>
    <s v="FALCONE - COMERCIO E SERVICOS LTDA"/>
    <s v="PB"/>
    <n v="931"/>
    <s v="Ats Off"/>
    <n v="1350"/>
    <s v="W10788696"/>
    <s v="Portas"/>
    <x v="3"/>
    <n v="1"/>
    <n v="5004466"/>
    <s v="CAMPINENSE TRANSPORTE"/>
    <n v="293.55"/>
    <d v="2025-07-15T00:00:00"/>
  </r>
  <r>
    <n v="254038398"/>
    <n v="64810762"/>
    <s v="REB"/>
    <n v="9545809"/>
    <n v="178"/>
    <s v="PEÇAS -Defeito de fabric./Sem Compressão"/>
    <s v="FUNCIONAL"/>
    <x v="1"/>
    <n v="80432"/>
    <s v="FRIORIO DISTRIBUIDOR DE PECAS PARA"/>
    <s v="ES"/>
    <n v="713"/>
    <s v="Key Account"/>
    <n v="1350"/>
    <s v="W11647662"/>
    <s v="Compressores Herméticos"/>
    <x v="0"/>
    <n v="66"/>
    <n v="5004042"/>
    <s v="BRASIL WEB TRANSPORTES E LOGISTICA"/>
    <n v="17813.78"/>
    <d v="2025-07-22T00:00:00"/>
  </r>
  <r>
    <s v="Sem TR"/>
    <n v="64810826"/>
    <s v="ZRDI"/>
    <n v="10163539"/>
    <s v="D11"/>
    <s v="DEV D2C - Comprou prod dimensão errada"/>
    <s v="COMERCIAL"/>
    <x v="0"/>
    <n v="56296809"/>
    <s v="JOICE CATERINE CARDOSO DOS SANTOS"/>
    <s v="BA"/>
    <n v="466"/>
    <s v="Sup ML Marketplace"/>
    <n v="1352"/>
    <s v="W11126533"/>
    <s v="Prateleiras"/>
    <x v="1"/>
    <n v="1"/>
    <n v="5002359"/>
    <s v="EMPRESA BRASILEIRA DE CORREIOS E"/>
    <n v="80.75"/>
    <d v="2025-08-29T00:00:00"/>
  </r>
  <r>
    <s v="Sem TR"/>
    <n v="64811033"/>
    <s v="REB"/>
    <n v="9683873"/>
    <n v="178"/>
    <s v="PEÇAS -Defeito de fabric./Sem Compressão"/>
    <s v="FUNCIONAL"/>
    <x v="1"/>
    <n v="84681"/>
    <s v="REFRIGERACAO MOTA LTDA"/>
    <s v="BA"/>
    <n v="643"/>
    <s v="Elite"/>
    <n v="1350"/>
    <s v="W10393822"/>
    <s v="Compressores Herméticos"/>
    <x v="0"/>
    <n v="4"/>
    <n v="5004101"/>
    <s v="UNIDOCK'S ASSESSORIA E LOGISTICA DE"/>
    <n v="1877"/>
    <d v="2025-07-22T00:00:00"/>
  </r>
  <r>
    <s v="Sem TR"/>
    <n v="64811033"/>
    <s v="REB"/>
    <n v="9683873"/>
    <n v="178"/>
    <s v="PEÇAS -Defeito de fabric./Sem Compressão"/>
    <s v="FUNCIONAL"/>
    <x v="1"/>
    <n v="84681"/>
    <s v="REFRIGERACAO MOTA LTDA"/>
    <s v="BA"/>
    <n v="643"/>
    <s v="Elite"/>
    <n v="1350"/>
    <s v="W10393823"/>
    <s v="Compressores Herméticos"/>
    <x v="0"/>
    <n v="5"/>
    <n v="5004101"/>
    <s v="UNIDOCK'S ASSESSORIA E LOGISTICA DE"/>
    <n v="2346.3000000000002"/>
    <d v="2025-07-22T00:00:00"/>
  </r>
  <r>
    <n v="254056205"/>
    <n v="64811326"/>
    <s v="REB"/>
    <n v="9939319"/>
    <n v="178"/>
    <s v="PEÇAS -Defeito de fabric./Sem Compressão"/>
    <s v="FUNCIONAL"/>
    <x v="2"/>
    <n v="87383"/>
    <s v="REFRIGERACAO RBL 25 LTDA"/>
    <s v="RJ"/>
    <n v="933"/>
    <s v="Top"/>
    <n v="1350"/>
    <s v="W10393822"/>
    <s v="Compressores Herméticos"/>
    <x v="0"/>
    <n v="2"/>
    <n v="5003176"/>
    <s v="J C THEDIN TRANSPORTES LTDA"/>
    <n v="937.01"/>
    <d v="2025-08-07T00:00:00"/>
  </r>
  <r>
    <s v="Sem TR"/>
    <n v="64811392"/>
    <s v="REB"/>
    <n v="10100223"/>
    <n v="167"/>
    <s v="PEÇAS - Avaria - Quebrada/Depósito"/>
    <s v="LOGÍSTICA"/>
    <x v="1"/>
    <n v="83581"/>
    <s v="ELLIMAQ REFRIGERACAO"/>
    <s v="SP"/>
    <n v="932"/>
    <s v="CDP Prata"/>
    <n v="1350"/>
    <s v="W10212401"/>
    <s v="Prateleiras"/>
    <x v="1"/>
    <n v="1"/>
    <n v="5004042"/>
    <s v="BRASIL WEB TRANSPORTES E LOGISTICA"/>
    <n v="26.3"/>
    <d v="2025-07-17T00:00:00"/>
  </r>
  <r>
    <s v="Sem TR"/>
    <n v="64811417"/>
    <s v="REB"/>
    <n v="10114831"/>
    <n v="167"/>
    <s v="PEÇAS - Avaria - Quebrada/Depósito"/>
    <s v="LOGÍSTICA"/>
    <x v="1"/>
    <n v="64523"/>
    <s v="REFIGERAÇÃO DUFRIO"/>
    <s v="PB"/>
    <n v="713"/>
    <s v="Key Account"/>
    <n v="1350"/>
    <s v="W10477178"/>
    <s v="Capas"/>
    <x v="3"/>
    <n v="4"/>
    <n v="5004101"/>
    <s v="UNIDOCK'S ASSESSORIA E LOGISTICA DE"/>
    <n v="73.709999999999994"/>
    <d v="2025-07-22T00:00:00"/>
  </r>
  <r>
    <s v="Sem TR"/>
    <n v="64811423"/>
    <s v="REB"/>
    <n v="10091808"/>
    <n v="173"/>
    <s v="PEÇAS - Defeito de fabric./Alta Amperage"/>
    <s v="FUNCIONAL"/>
    <x v="1"/>
    <n v="2374"/>
    <s v="COMETA DISTRIBUIDORA DE PECAS"/>
    <s v="MG"/>
    <n v="350"/>
    <s v="Ats On"/>
    <n v="1350"/>
    <s v="W11299803"/>
    <s v="Mecanismos"/>
    <x v="4"/>
    <n v="1"/>
    <n v="5004215"/>
    <s v="BRASIL WEB TRANSPORTES E LOGISTICA"/>
    <n v="106.1"/>
    <d v="2025-07-22T00:00:00"/>
  </r>
  <r>
    <s v="Sem TR"/>
    <n v="64811427"/>
    <s v="REB"/>
    <n v="10106365"/>
    <n v="509"/>
    <s v="Qtd de peças a Menor dentro do Volume"/>
    <s v="LOGÍSTICA"/>
    <x v="2"/>
    <n v="86964"/>
    <s v="REFRICRIL DISTRIBUIDORA"/>
    <s v="PB"/>
    <n v="713"/>
    <s v="Key Account"/>
    <n v="1350"/>
    <n v="326021045"/>
    <s v="Recipientes de Evaporação"/>
    <x v="1"/>
    <n v="1"/>
    <n v="5002359"/>
    <s v="EMPRESA BRASILEIRA DE CORREIOS E"/>
    <n v="4.83"/>
    <d v="2025-07-17T00:00:00"/>
  </r>
  <r>
    <n v="254062129"/>
    <n v="64811428"/>
    <s v="REB"/>
    <n v="9910607"/>
    <n v="176"/>
    <s v="PEÇAS - Defeito de fabric./Interrompido"/>
    <s v="FUNCIONAL"/>
    <x v="2"/>
    <n v="81988"/>
    <s v="BH COMERCIO DE PECAS E FRIGERACAO"/>
    <s v="MG"/>
    <n v="648"/>
    <s v="Ultra"/>
    <n v="1350"/>
    <s v="W11647660"/>
    <s v="Compressores Herméticos"/>
    <x v="0"/>
    <n v="4"/>
    <n v="5004215"/>
    <s v="BRASIL WEB TRANSPORTES E LOGISTICA"/>
    <n v="1247.01"/>
    <d v="2025-07-17T00:00:00"/>
  </r>
  <r>
    <s v="Sem TR"/>
    <n v="64811443"/>
    <s v="REB"/>
    <n v="10092463"/>
    <n v="167"/>
    <s v="PEÇAS - Avaria - Quebrada/Depósito"/>
    <s v="LOGÍSTICA"/>
    <x v="1"/>
    <n v="87638"/>
    <s v="JARDEL DUARTE ROCHA 06209275931"/>
    <s v="SC"/>
    <n v="932"/>
    <s v="CDP Prata"/>
    <n v="1350"/>
    <s v="W10581058"/>
    <s v="Gavetas"/>
    <x v="1"/>
    <n v="1"/>
    <n v="5003024"/>
    <s v="RODOBRAS TRANSPORTES RODOVIARIOS LT"/>
    <n v="82.97"/>
    <d v="2025-07-17T00:00:00"/>
  </r>
  <r>
    <n v="254032490"/>
    <n v="64811452"/>
    <s v="ROB"/>
    <n v="10114959"/>
    <n v="182"/>
    <s v="PEÇAS - Extravio - Volume a menor"/>
    <s v="TRANSPORTADORA"/>
    <x v="1"/>
    <n v="61750"/>
    <s v="PONTES E ROSA LTDA"/>
    <s v="GO"/>
    <n v="932"/>
    <s v="CDP Prata"/>
    <n v="1350"/>
    <s v="W11371164"/>
    <s v="Mecanismos"/>
    <x v="4"/>
    <n v="2"/>
    <n v="5002858"/>
    <s v="FAVORITA TRANSPORTES LTDA"/>
    <n v="383.52"/>
    <d v="2025-07-16T00:00:00"/>
  </r>
  <r>
    <s v="Sem TR"/>
    <n v="64811596"/>
    <s v="REB"/>
    <n v="10106365"/>
    <n v="167"/>
    <s v="PEÇAS - Avaria - Quebrada/Depósito"/>
    <s v="LOGÍSTICA"/>
    <x v="1"/>
    <n v="86964"/>
    <s v="REFRICRIL DISTRIBUIDORA"/>
    <s v="PB"/>
    <n v="713"/>
    <s v="Key Account"/>
    <n v="1350"/>
    <s v="W11363944"/>
    <s v="Capas"/>
    <x v="3"/>
    <n v="4"/>
    <n v="5004101"/>
    <s v="UNIDOCK'S ASSESSORIA E LOGISTICA DE"/>
    <n v="99.74"/>
    <d v="2025-07-22T00:00:00"/>
  </r>
  <r>
    <s v="Sem TR"/>
    <n v="64811610"/>
    <s v="REB"/>
    <n v="10110094"/>
    <n v="167"/>
    <s v="PEÇAS - Avaria - Quebrada/Depósito"/>
    <s v="LOGÍSTICA"/>
    <x v="1"/>
    <n v="25656"/>
    <s v="OFICIAL REFRIGERACAO COMERCIO"/>
    <s v="SP"/>
    <n v="931"/>
    <s v="Ats Off"/>
    <n v="1350"/>
    <s v="W10830936"/>
    <s v="Prateleiras"/>
    <x v="1"/>
    <n v="1"/>
    <n v="5004042"/>
    <s v="BRASIL WEB TRANSPORTES E LOGISTICA"/>
    <n v="73.849999999999994"/>
    <d v="2025-07-17T00:00:00"/>
  </r>
  <r>
    <n v="254032697"/>
    <n v="64811635"/>
    <s v="ROB"/>
    <n v="10078671"/>
    <n v="268"/>
    <s v="DEV-APREENSÃO FISCAL - VENDAS"/>
    <s v="COMERCIAL"/>
    <x v="2"/>
    <n v="85837"/>
    <s v="LEVI FERREIRA DA SILVA 77916026449"/>
    <s v="RN"/>
    <n v="698"/>
    <s v="CDP Bronze"/>
    <n v="1350"/>
    <s v="W10333449"/>
    <s v="Tampas Fixas"/>
    <x v="3"/>
    <n v="1"/>
    <n v="5004101"/>
    <s v="UNIDOCK'S ASSESSORIA E LOGISTICA DE"/>
    <n v="133.80000000000001"/>
    <d v="2025-07-16T00:00:00"/>
  </r>
  <r>
    <n v="254032697"/>
    <n v="64811635"/>
    <s v="ROB"/>
    <n v="10078671"/>
    <n v="268"/>
    <s v="DEV-APREENSÃO FISCAL - VENDAS"/>
    <s v="COMERCIAL"/>
    <x v="2"/>
    <n v="85837"/>
    <s v="LEVI FERREIRA DA SILVA 77916026449"/>
    <s v="RN"/>
    <n v="698"/>
    <s v="CDP Bronze"/>
    <n v="1350"/>
    <s v="W10371191"/>
    <s v="Tampas Fixas"/>
    <x v="3"/>
    <n v="1"/>
    <n v="5004101"/>
    <s v="UNIDOCK'S ASSESSORIA E LOGISTICA DE"/>
    <n v="146.79"/>
    <d v="2025-07-16T00:00:00"/>
  </r>
  <r>
    <n v="254032697"/>
    <n v="64811635"/>
    <s v="ROB"/>
    <n v="10078671"/>
    <n v="268"/>
    <s v="DEV-APREENSÃO FISCAL - VENDAS"/>
    <s v="COMERCIAL"/>
    <x v="2"/>
    <n v="85837"/>
    <s v="LEVI FERREIRA DA SILVA 77916026449"/>
    <s v="RN"/>
    <n v="698"/>
    <s v="CDP Bronze"/>
    <n v="1350"/>
    <s v="W11393157"/>
    <s v="Tampas Móveis"/>
    <x v="3"/>
    <n v="2"/>
    <n v="5004101"/>
    <s v="UNIDOCK'S ASSESSORIA E LOGISTICA DE"/>
    <n v="361.08"/>
    <d v="2025-07-16T00:00:00"/>
  </r>
  <r>
    <s v="Sem TR"/>
    <n v="64811650"/>
    <s v="REB"/>
    <n v="10073168"/>
    <n v="176"/>
    <s v="PEÇAS - Defeito de fabric./Interrompido"/>
    <s v="FUNCIONAL"/>
    <x v="1"/>
    <n v="84288"/>
    <s v="BRASMAIS MANUTENCAO E REFRIGERCAO"/>
    <s v="SP"/>
    <n v="350"/>
    <s v="Ats On"/>
    <n v="1350"/>
    <s v="W11106593"/>
    <s v="Bombas"/>
    <x v="2"/>
    <n v="1"/>
    <n v="5004042"/>
    <s v="BRASIL WEB TRANSPORTES E LOGISTICA"/>
    <n v="371.36"/>
    <d v="2025-07-17T00:00:00"/>
  </r>
  <r>
    <n v="254035415"/>
    <n v="64811675"/>
    <s v="REB"/>
    <n v="10079176"/>
    <n v="178"/>
    <s v="PEÇAS -Defeito de fabric./Sem Compressão"/>
    <s v="FUNCIONAL"/>
    <x v="1"/>
    <n v="70149"/>
    <s v="BR PECAS COMERCIO DE PECAS"/>
    <s v="SP"/>
    <n v="963"/>
    <s v="Ats Distribuidoras"/>
    <n v="1350"/>
    <s v="W10375475"/>
    <s v="Compressores Herméticos"/>
    <x v="0"/>
    <n v="1"/>
    <n v="5004042"/>
    <s v="BRASIL WEB TRANSPORTES E LOGISTICA"/>
    <n v="427.37"/>
    <d v="2025-07-17T00:00:00"/>
  </r>
  <r>
    <s v="Sem TR"/>
    <n v="64811678"/>
    <s v="REB"/>
    <n v="10108986"/>
    <n v="104"/>
    <s v="PEÇAS-Código trocado(embalag X conteúdo)"/>
    <s v="LOGÍSTICA"/>
    <x v="1"/>
    <n v="81373"/>
    <s v="M. M. DA S. MOURA"/>
    <s v="BA"/>
    <n v="350"/>
    <s v="Ats On"/>
    <n v="1350"/>
    <s v="W10759020"/>
    <s v="Prateleiras"/>
    <x v="1"/>
    <n v="1"/>
    <n v="5004101"/>
    <s v="UNIDOCK'S ASSESSORIA E LOGISTICA DE"/>
    <n v="54.56"/>
    <d v="2025-07-17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n v="4197305"/>
    <s v="Dobradiças"/>
    <x v="7"/>
    <n v="10"/>
    <n v="5004101"/>
    <s v="UNIDOCK'S ASSESSORIA E LOGISTICA DE"/>
    <n v="259.7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n v="326003301"/>
    <s v="Recipientes de Evaporação"/>
    <x v="1"/>
    <n v="6"/>
    <n v="5004101"/>
    <s v="UNIDOCK'S ASSESSORIA E LOGISTICA DE"/>
    <n v="149.47999999999999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0207206"/>
    <s v="Micro Chaves/Reed Switches"/>
    <x v="8"/>
    <n v="10"/>
    <n v="5004101"/>
    <s v="UNIDOCK'S ASSESSORIA E LOGISTICA DE"/>
    <n v="106.68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0341892"/>
    <s v="Capas"/>
    <x v="3"/>
    <n v="50"/>
    <n v="5004101"/>
    <s v="UNIDOCK'S ASSESSORIA E LOGISTICA DE"/>
    <n v="1335.51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0553787"/>
    <s v="Motores Ventiladores"/>
    <x v="2"/>
    <n v="5"/>
    <n v="5004101"/>
    <s v="UNIDOCK'S ASSESSORIA E LOGISTICA DE"/>
    <n v="347.44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0696980"/>
    <s v="Painéis de Controle"/>
    <x v="3"/>
    <n v="1"/>
    <n v="5004101"/>
    <s v="UNIDOCK'S ASSESSORIA E LOGISTICA DE"/>
    <n v="21.86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0901034"/>
    <s v="Filtros"/>
    <x v="6"/>
    <n v="1"/>
    <n v="5004101"/>
    <s v="UNIDOCK'S ASSESSORIA E LOGISTICA DE"/>
    <n v="75.150000000000006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1022995"/>
    <s v="Termostatos"/>
    <x v="8"/>
    <n v="1"/>
    <n v="5004101"/>
    <s v="UNIDOCK'S ASSESSORIA E LOGISTICA DE"/>
    <n v="59.33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1132068"/>
    <s v="Painéis de Controle"/>
    <x v="3"/>
    <n v="2"/>
    <n v="5004101"/>
    <s v="UNIDOCK'S ASSESSORIA E LOGISTICA DE"/>
    <n v="194.67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1268184"/>
    <s v="Placas de Controle"/>
    <x v="2"/>
    <n v="4"/>
    <n v="5004101"/>
    <s v="UNIDOCK'S ASSESSORIA E LOGISTICA DE"/>
    <n v="495.98"/>
    <d v="2025-07-16T00:00:00"/>
  </r>
  <r>
    <n v="254033146"/>
    <n v="64811729"/>
    <s v="ROB"/>
    <n v="10115210"/>
    <n v="268"/>
    <s v="DEV-APREENSÃO FISCAL - VENDAS"/>
    <s v="COMERCIAL"/>
    <x v="2"/>
    <n v="28331"/>
    <s v="M C S RODRIGUES EPP"/>
    <s v="CE"/>
    <n v="648"/>
    <s v="Ultra"/>
    <n v="1350"/>
    <s v="W11611482"/>
    <s v="Placas de Controle"/>
    <x v="2"/>
    <n v="1"/>
    <n v="5004101"/>
    <s v="UNIDOCK'S ASSESSORIA E LOGISTICA DE"/>
    <n v="73.33"/>
    <d v="2025-07-16T00:00:00"/>
  </r>
  <r>
    <n v="254050120"/>
    <n v="64811746"/>
    <s v="ZDVP"/>
    <n v="10130762"/>
    <n v="167"/>
    <s v="PEÇAS - Avaria - Quebrada/Depósito"/>
    <s v="LOGÍSTICA"/>
    <x v="1"/>
    <n v="56043"/>
    <s v="B C M - COMERCIO DE PECAS E"/>
    <s v="PR"/>
    <n v="963"/>
    <s v="Ats Distribuidoras"/>
    <n v="1350"/>
    <s v="W10624070"/>
    <s v="Gavetas"/>
    <x v="1"/>
    <n v="1"/>
    <n v="5003024"/>
    <s v="RODOBRAS TRANSPORTES RODOVIARIOS LT"/>
    <n v="102.82"/>
    <d v="2025-07-22T00:00:00"/>
  </r>
  <r>
    <n v="254035341"/>
    <n v="64811802"/>
    <s v="REB"/>
    <n v="10101290"/>
    <n v="104"/>
    <s v="PEÇAS-Código trocado(embalag X conteúdo)"/>
    <s v="LOGÍSTICA"/>
    <x v="1"/>
    <n v="9991"/>
    <s v="HIPERFRIO COMERCIO DE PECAS LTDA"/>
    <s v="DF"/>
    <n v="648"/>
    <s v="Ultra"/>
    <n v="1350"/>
    <s v="W10268575"/>
    <s v="Gaxetas"/>
    <x v="10"/>
    <n v="5"/>
    <n v="5002858"/>
    <s v="FAVORITA TRANSPORTES LTDA"/>
    <n v="222.7"/>
    <d v="2025-07-17T00:00:00"/>
  </r>
  <r>
    <s v="Sem TR"/>
    <n v="64811808"/>
    <s v="REB"/>
    <n v="9933459"/>
    <n v="178"/>
    <s v="PEÇAS -Defeito de fabric./Sem Compressão"/>
    <s v="FUNCIONAL"/>
    <x v="1"/>
    <n v="29696"/>
    <s v="REFRIG. BANFRIO COM. IMPORTADO LTDA"/>
    <s v="SP"/>
    <n v="933"/>
    <s v="Top"/>
    <n v="1350"/>
    <s v="W10769941"/>
    <s v="Compressores Herméticos"/>
    <x v="0"/>
    <n v="1"/>
    <n v="5004042"/>
    <s v="BRASIL WEB TRANSPORTES E LOGISTICA"/>
    <n v="555.66"/>
    <d v="2025-07-17T00:00:00"/>
  </r>
  <r>
    <n v="254035333"/>
    <n v="64811813"/>
    <s v="REB"/>
    <n v="10115199"/>
    <n v="167"/>
    <s v="PEÇAS - Avaria - Quebrada/Depósito"/>
    <s v="LOGÍSTICA"/>
    <x v="1"/>
    <n v="4189"/>
    <s v="PONTO DE ORVALHO REFRIG LTDA"/>
    <s v="CE"/>
    <n v="931"/>
    <s v="Ats Off"/>
    <n v="1350"/>
    <s v="W11188900"/>
    <s v="Gavetas"/>
    <x v="1"/>
    <n v="1"/>
    <n v="5004101"/>
    <s v="UNIDOCK'S ASSESSORIA E LOGISTICA DE"/>
    <n v="79.040000000000006"/>
    <d v="2025-07-17T00:00:00"/>
  </r>
  <r>
    <n v="254064904"/>
    <n v="64812031"/>
    <s v="REB"/>
    <n v="10015688"/>
    <n v="173"/>
    <s v="PEÇAS - Defeito de fabric./Alta Amperage"/>
    <s v="FUNCIONAL"/>
    <x v="2"/>
    <n v="15493"/>
    <s v="EDUARDO RIBEIRO VIEIRA"/>
    <s v="BA"/>
    <n v="350"/>
    <s v="Ats On"/>
    <n v="1350"/>
    <s v="W11391011"/>
    <s v="Placas de Controle"/>
    <x v="2"/>
    <n v="1"/>
    <n v="5004101"/>
    <s v="UNIDOCK'S ASSESSORIA E LOGISTICA DE"/>
    <n v="326.57"/>
    <d v="2025-07-22T00:00:00"/>
  </r>
  <r>
    <s v="Sem TR"/>
    <n v="64812210"/>
    <s v="ROB"/>
    <n v="10122763"/>
    <n v="25"/>
    <s v="OC. 80 - EXTRAVIO TOTAL"/>
    <s v="TRANSPORTADORA"/>
    <x v="2"/>
    <n v="71778"/>
    <s v="EDUARDO MEES 08488521928"/>
    <s v="SC"/>
    <n v="932"/>
    <s v="CDP Prata"/>
    <n v="1350"/>
    <s v="W11082454"/>
    <s v="Termostatos"/>
    <x v="8"/>
    <n v="3"/>
    <n v="5003024"/>
    <s v="RODOBRAS TRANSPORTES RODOVIARIOS LT"/>
    <n v="169.4"/>
    <d v="2025-07-17T00:00:00"/>
  </r>
  <r>
    <s v="Sem TR"/>
    <n v="64812211"/>
    <s v="ROB"/>
    <n v="10122764"/>
    <n v="25"/>
    <s v="OC. 80 - EXTRAVIO TOTAL"/>
    <s v="TRANSPORTADORA"/>
    <x v="2"/>
    <n v="71778"/>
    <s v="EDUARDO MEES 08488521928"/>
    <s v="SC"/>
    <n v="932"/>
    <s v="CDP Prata"/>
    <n v="1350"/>
    <s v="W11135728"/>
    <s v="Mangueiras"/>
    <x v="6"/>
    <n v="16"/>
    <n v="5003024"/>
    <s v="RODOBRAS TRANSPORTES RODOVIARIOS LT"/>
    <n v="201.71"/>
    <d v="2025-07-17T00:00:00"/>
  </r>
  <r>
    <s v="Sem TR"/>
    <n v="64812212"/>
    <s v="ROB"/>
    <n v="10122765"/>
    <n v="25"/>
    <s v="OC. 80 - EXTRAVIO TOTAL"/>
    <s v="TRANSPORTADORA"/>
    <x v="2"/>
    <n v="71778"/>
    <s v="EDUARDO MEES 08488521928"/>
    <s v="SC"/>
    <n v="932"/>
    <s v="CDP Prata"/>
    <n v="1350"/>
    <s v="W10791633"/>
    <s v="Retentores"/>
    <x v="10"/>
    <n v="15"/>
    <n v="5003024"/>
    <s v="RODOBRAS TRANSPORTES RODOVIARIOS LT"/>
    <n v="124.03"/>
    <d v="2025-07-17T00:00:00"/>
  </r>
  <r>
    <s v="Sem TR"/>
    <n v="64812212"/>
    <s v="ROB"/>
    <n v="10122765"/>
    <n v="25"/>
    <s v="OC. 80 - EXTRAVIO TOTAL"/>
    <s v="TRANSPORTADORA"/>
    <x v="2"/>
    <n v="71778"/>
    <s v="EDUARDO MEES 08488521928"/>
    <s v="SC"/>
    <n v="932"/>
    <s v="CDP Prata"/>
    <n v="1350"/>
    <s v="W11254865"/>
    <s v="Mecanismos"/>
    <x v="4"/>
    <n v="1"/>
    <n v="5003024"/>
    <s v="RODOBRAS TRANSPORTES RODOVIARIOS LT"/>
    <n v="150.13"/>
    <d v="2025-07-17T00:00:00"/>
  </r>
  <r>
    <n v="254043994"/>
    <n v="64812242"/>
    <s v="REB"/>
    <n v="51225"/>
    <n v="90"/>
    <s v="CLIENTE-não solicitou"/>
    <s v="COMERCIAL"/>
    <x v="2"/>
    <n v="14474"/>
    <s v="NATAL SERVICE LTDA N"/>
    <s v="RN"/>
    <n v="648"/>
    <s v="Ultra"/>
    <n v="1550"/>
    <s v="W10553055"/>
    <s v="Prateleiras"/>
    <x v="1"/>
    <n v="1"/>
    <n v="5004391"/>
    <s v="JEONCEL TRANSPORTES LTDA"/>
    <n v="25.32"/>
    <d v="2025-07-17T00:00:00"/>
  </r>
  <r>
    <s v="Sem TR"/>
    <n v="64812243"/>
    <s v="REB"/>
    <n v="10096721"/>
    <n v="509"/>
    <s v="Qtd de peças a Menor dentro do Volume"/>
    <s v="LOGÍSTICA"/>
    <x v="2"/>
    <n v="14474"/>
    <s v="NATAL SERVICE LTDA N"/>
    <s v="RN"/>
    <n v="648"/>
    <s v="Ultra"/>
    <n v="1350"/>
    <s v="W10856154"/>
    <s v="Capas"/>
    <x v="3"/>
    <n v="1"/>
    <n v="5002359"/>
    <s v="EMPRESA BRASILEIRA DE CORREIOS E"/>
    <n v="21.1"/>
    <d v="2025-07-17T00:00:00"/>
  </r>
  <r>
    <s v="Sem TR"/>
    <n v="64812247"/>
    <s v="REB"/>
    <n v="9031133"/>
    <n v="176"/>
    <s v="PEÇAS - Defeito de fabric./Interrompido"/>
    <s v="FUNCIONAL"/>
    <x v="1"/>
    <n v="54802"/>
    <s v="REFRIGERACAO LUZ LTDA - ME"/>
    <s v="RS"/>
    <n v="648"/>
    <s v="Ultra"/>
    <n v="1350"/>
    <s v="W10393847"/>
    <s v="Compressores Herméticos"/>
    <x v="0"/>
    <n v="1"/>
    <n v="5003024"/>
    <s v="RODOBRAS TRANSPORTES RODOVIARIOS LT"/>
    <n v="409.72"/>
    <d v="2025-07-17T00:00:00"/>
  </r>
  <r>
    <n v="254035394"/>
    <n v="64812250"/>
    <s v="REB"/>
    <n v="10108941"/>
    <n v="167"/>
    <s v="PEÇAS - Avaria - Quebrada/Depósito"/>
    <s v="LOGÍSTICA"/>
    <x v="1"/>
    <n v="56043"/>
    <s v="B C M - COMERCIO DE PECAS E"/>
    <s v="PR"/>
    <n v="963"/>
    <s v="Ats Distribuidoras"/>
    <n v="1350"/>
    <s v="W11197058"/>
    <s v="Trempes"/>
    <x v="3"/>
    <n v="6"/>
    <n v="5003024"/>
    <s v="RODOBRAS TRANSPORTES RODOVIARIOS LT"/>
    <n v="830.97"/>
    <d v="2025-07-17T00:00:00"/>
  </r>
  <r>
    <n v="254063692"/>
    <n v="64812264"/>
    <s v="REB"/>
    <n v="10085840"/>
    <n v="167"/>
    <s v="PEÇAS - Avaria - Quebrada/Depósito"/>
    <s v="LOGÍSTICA"/>
    <x v="2"/>
    <n v="32265"/>
    <s v="REFRICON COMERCIO DE REFRIGERACAO L"/>
    <s v="PB"/>
    <n v="934"/>
    <s v="CDP Ouro"/>
    <n v="1350"/>
    <s v="W11113069"/>
    <s v="Prateleiras"/>
    <x v="1"/>
    <n v="1"/>
    <n v="5004101"/>
    <s v="UNIDOCK'S ASSESSORIA E LOGISTICA DE"/>
    <n v="34.270000000000003"/>
    <d v="2025-07-17T00:00:00"/>
  </r>
  <r>
    <s v="Sem TR"/>
    <n v="64812265"/>
    <s v="REB"/>
    <n v="10106365"/>
    <n v="509"/>
    <s v="Qtd de peças a Menor dentro do Volume"/>
    <s v="LOGÍSTICA"/>
    <x v="2"/>
    <n v="86964"/>
    <s v="REFRICRIL DISTRIBUIDORA"/>
    <s v="PB"/>
    <n v="713"/>
    <s v="Key Account"/>
    <n v="1350"/>
    <s v="W10742654"/>
    <s v="Motores Ventiladores"/>
    <x v="2"/>
    <n v="1"/>
    <n v="5002359"/>
    <s v="EMPRESA BRASILEIRA DE CORREIOS E"/>
    <n v="48.42"/>
    <d v="2025-07-17T00:00:00"/>
  </r>
  <r>
    <n v="254035333"/>
    <n v="64812266"/>
    <s v="REB"/>
    <n v="10107211"/>
    <n v="167"/>
    <s v="PEÇAS - Avaria - Quebrada/Depósito"/>
    <s v="LOGÍSTICA"/>
    <x v="1"/>
    <n v="4189"/>
    <s v="PONTO DE ORVALHO REFRIG LTDA"/>
    <s v="CE"/>
    <n v="931"/>
    <s v="Ats Off"/>
    <n v="1350"/>
    <s v="W10347201"/>
    <s v="Prateleiras"/>
    <x v="1"/>
    <n v="1"/>
    <n v="5004101"/>
    <s v="UNIDOCK'S ASSESSORIA E LOGISTICA DE"/>
    <n v="68.540000000000006"/>
    <d v="2025-07-17T00:00:00"/>
  </r>
  <r>
    <n v="254035367"/>
    <n v="64812268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1677211"/>
    <s v="Compressores Herméticos"/>
    <x v="0"/>
    <n v="1"/>
    <n v="5004101"/>
    <s v="UNIDOCK'S ASSESSORIA E LOGISTICA DE"/>
    <n v="445.8"/>
    <d v="2025-07-17T00:00:00"/>
  </r>
  <r>
    <n v="254035376"/>
    <n v="64812269"/>
    <s v="REB"/>
    <n v="10106777"/>
    <n v="167"/>
    <s v="PEÇAS - Avaria - Quebrada/Depósito"/>
    <s v="LOGÍSTICA"/>
    <x v="1"/>
    <n v="31537"/>
    <s v="RAQUEL SILVEIRA RODRIGUES &amp; CIA. LT"/>
    <s v="RS"/>
    <n v="641"/>
    <s v="CDP Diamante"/>
    <n v="1350"/>
    <s v="W10287547"/>
    <s v="Gavetas"/>
    <x v="1"/>
    <n v="2"/>
    <n v="5003024"/>
    <s v="RODOBRAS TRANSPORTES RODOVIARIOS LT"/>
    <n v="214.61"/>
    <d v="2025-07-17T00:00:00"/>
  </r>
  <r>
    <n v="254035435"/>
    <n v="64812270"/>
    <s v="REB"/>
    <n v="10066834"/>
    <n v="173"/>
    <s v="PEÇAS - Defeito de fabric./Alta Amperage"/>
    <s v="FUNCIONAL"/>
    <x v="1"/>
    <n v="81093"/>
    <s v="REFRICRIL DISTRIBUIDORA DE AR"/>
    <s v="ES"/>
    <n v="713"/>
    <s v="Key Account"/>
    <n v="1350"/>
    <s v="W10882241"/>
    <s v="Agitadores"/>
    <x v="4"/>
    <n v="34"/>
    <n v="5004042"/>
    <s v="BRASIL WEB TRANSPORTES E LOGISTICA"/>
    <n v="1073.8399999999999"/>
    <d v="2025-07-17T00:00:00"/>
  </r>
  <r>
    <s v="Sem TR"/>
    <n v="64812271"/>
    <s v="REB"/>
    <n v="10119706"/>
    <n v="176"/>
    <s v="PEÇAS - Defeito de fabric./Interrompido"/>
    <s v="FUNCIONAL"/>
    <x v="1"/>
    <n v="75812"/>
    <s v="NOVA GRANSERVICE ASSISTENCIA"/>
    <s v="SP"/>
    <n v="931"/>
    <s v="Ats Off"/>
    <n v="1350"/>
    <s v="W11639757"/>
    <s v="Outros"/>
    <x v="5"/>
    <n v="1"/>
    <n v="5004042"/>
    <s v="BRASIL WEB TRANSPORTES E LOGISTICA"/>
    <n v="321.58999999999997"/>
    <d v="2025-07-17T00:00:00"/>
  </r>
  <r>
    <n v="254035398"/>
    <n v="64812272"/>
    <s v="REB"/>
    <n v="9424388"/>
    <n v="173"/>
    <s v="PEÇAS - Defeito de fabric./Alta Amperage"/>
    <s v="FUNCIONAL"/>
    <x v="2"/>
    <n v="61263"/>
    <s v="NOVINHO PECAS LTDA - ME"/>
    <s v="CE"/>
    <n v="648"/>
    <s v="Ultra"/>
    <n v="1350"/>
    <s v="W11658521"/>
    <s v="Placas de Interface"/>
    <x v="2"/>
    <n v="1"/>
    <n v="5004101"/>
    <s v="UNIDOCK'S ASSESSORIA E LOGISTICA DE"/>
    <n v="55.53"/>
    <d v="2025-07-17T00:00:00"/>
  </r>
  <r>
    <n v="254065382"/>
    <n v="64812279"/>
    <s v="REB"/>
    <n v="10108896"/>
    <n v="90"/>
    <s v="CLIENTE-não solicitou"/>
    <s v="COMERCIAL"/>
    <x v="2"/>
    <n v="71778"/>
    <s v="EDUARDO MEES 08488521928"/>
    <s v="SC"/>
    <n v="932"/>
    <s v="CDP Prata"/>
    <n v="1350"/>
    <s v="W11254865"/>
    <s v="Mecanismos"/>
    <x v="4"/>
    <n v="1"/>
    <n v="5003024"/>
    <s v="RODOBRAS TRANSPORTES RODOVIARIOS LT"/>
    <n v="150.13"/>
    <d v="2025-07-17T00:00:00"/>
  </r>
  <r>
    <s v="Sem TR"/>
    <n v="64812281"/>
    <s v="REB"/>
    <n v="10119708"/>
    <n v="176"/>
    <s v="PEÇAS - Defeito de fabric./Interrompido"/>
    <s v="FUNCIONAL"/>
    <x v="1"/>
    <n v="75812"/>
    <s v="NOVA GRANSERVICE ASSISTENCIA"/>
    <s v="SP"/>
    <n v="931"/>
    <s v="Ats Off"/>
    <n v="1350"/>
    <s v="W10531315"/>
    <s v="Sensores"/>
    <x v="8"/>
    <n v="1"/>
    <n v="5004042"/>
    <s v="BRASIL WEB TRANSPORTES E LOGISTICA"/>
    <n v="8.4600000000000009"/>
    <d v="2025-07-17T00:00:00"/>
  </r>
  <r>
    <n v="254048485"/>
    <n v="64812284"/>
    <s v="REB"/>
    <n v="10118247"/>
    <n v="104"/>
    <s v="PEÇAS-Código trocado(embalag X conteúdo)"/>
    <s v="LOGÍSTICA"/>
    <x v="1"/>
    <n v="20602"/>
    <s v="SANDY DISTRIBUIDORA"/>
    <s v="SP"/>
    <n v="350"/>
    <s v="Ats On"/>
    <n v="1350"/>
    <s v="W10246170"/>
    <s v="Prateleiras"/>
    <x v="1"/>
    <n v="1"/>
    <n v="5004042"/>
    <s v="BRASIL WEB TRANSPORTES E LOGISTICA"/>
    <n v="40.479999999999997"/>
    <d v="2025-07-17T00:00:00"/>
  </r>
  <r>
    <s v="Sem TR"/>
    <n v="64812285"/>
    <s v="REB"/>
    <n v="9467256"/>
    <n v="176"/>
    <s v="PEÇAS - Defeito de fabric./Interrompido"/>
    <s v="FUNCIONAL"/>
    <x v="1"/>
    <n v="29731"/>
    <s v="FRIGELAR COMÉRCIO E INDÚSTRIA LTDA"/>
    <s v="RS"/>
    <n v="713"/>
    <s v="Key Account"/>
    <n v="1350"/>
    <s v="W10780260"/>
    <s v="Placas de Controle"/>
    <x v="2"/>
    <n v="1"/>
    <n v="5003024"/>
    <s v="RODOBRAS TRANSPORTES RODOVIARIOS LT"/>
    <n v="127.87"/>
    <d v="2025-07-17T00:00:00"/>
  </r>
  <r>
    <s v="Sem TR"/>
    <n v="64812291"/>
    <s v="REB"/>
    <n v="10063014"/>
    <n v="168"/>
    <s v="PEÇAS-Def.Fabric.Empenamento/Abaulamento"/>
    <s v="FUNCIONAL"/>
    <x v="1"/>
    <n v="53319"/>
    <s v="PARTS FRIO DISTRIBUIDORA DE"/>
    <s v="PR"/>
    <n v="644"/>
    <s v="Plus"/>
    <n v="1350"/>
    <s v="W10882241"/>
    <s v="Agitadores"/>
    <x v="4"/>
    <n v="4"/>
    <n v="5003024"/>
    <s v="RODOBRAS TRANSPORTES RODOVIARIOS LT"/>
    <n v="247.56"/>
    <d v="2025-07-17T00:00:00"/>
  </r>
  <r>
    <n v="254050475"/>
    <n v="64812292"/>
    <s v="REB"/>
    <n v="8178978"/>
    <n v="178"/>
    <s v="PEÇAS -Defeito de fabric./Sem Compressão"/>
    <s v="FUNCIONAL"/>
    <x v="1"/>
    <n v="47470"/>
    <s v="AR CONDICIONADO E"/>
    <s v="SP"/>
    <n v="643"/>
    <s v="Elite"/>
    <n v="1350"/>
    <s v="W10393809"/>
    <s v="Compressores Herméticos"/>
    <x v="0"/>
    <n v="20"/>
    <n v="5004042"/>
    <s v="BRASIL WEB TRANSPORTES E LOGISTICA"/>
    <n v="6542.95"/>
    <d v="2025-07-17T00:00:00"/>
  </r>
  <r>
    <s v="Sem TR"/>
    <n v="64812295"/>
    <s v="REB"/>
    <n v="10037799"/>
    <n v="173"/>
    <s v="PEÇAS - Defeito de fabric./Alta Amperage"/>
    <s v="FUNCIONAL"/>
    <x v="1"/>
    <n v="72497"/>
    <s v="PLAC PECAS PARA REFRIGERACAO LTDA"/>
    <s v="SC"/>
    <n v="933"/>
    <s v="Top"/>
    <n v="1350"/>
    <s v="W10855670"/>
    <s v="Placas de Controle"/>
    <x v="2"/>
    <n v="1"/>
    <n v="5003024"/>
    <s v="RODOBRAS TRANSPORTES RODOVIARIOS LT"/>
    <n v="210.44"/>
    <d v="2025-07-17T00:00:00"/>
  </r>
  <r>
    <s v="Sem TR"/>
    <n v="64812296"/>
    <s v="REB"/>
    <n v="10050991"/>
    <n v="176"/>
    <s v="PEÇAS - Defeito de fabric./Interrompido"/>
    <s v="FUNCIONAL"/>
    <x v="1"/>
    <n v="72497"/>
    <s v="PLAC PECAS PARA REFRIGERACAO LTDA"/>
    <s v="SC"/>
    <n v="933"/>
    <s v="Top"/>
    <n v="1350"/>
    <s v="W11299803"/>
    <s v="Mecanismos"/>
    <x v="4"/>
    <n v="1"/>
    <n v="5003024"/>
    <s v="RODOBRAS TRANSPORTES RODOVIARIOS LT"/>
    <n v="103.74"/>
    <d v="2025-07-17T00:00:00"/>
  </r>
  <r>
    <n v="254035386"/>
    <n v="64812320"/>
    <s v="REB"/>
    <n v="9747374"/>
    <n v="178"/>
    <s v="PEÇAS -Defeito de fabric./Sem Compressão"/>
    <s v="FUNCIONAL"/>
    <x v="2"/>
    <n v="50822"/>
    <s v="CLAYTON DE OLIVEIRA"/>
    <s v="AL"/>
    <n v="644"/>
    <s v="Plus"/>
    <n v="1350"/>
    <s v="W10799397"/>
    <s v="Compressores Herméticos"/>
    <x v="0"/>
    <n v="1"/>
    <n v="5004101"/>
    <s v="UNIDOCK'S ASSESSORIA E LOGISTICA DE"/>
    <n v="304.89999999999998"/>
    <d v="2025-07-17T00:00:00"/>
  </r>
  <r>
    <n v="254035415"/>
    <n v="64812326"/>
    <s v="REB"/>
    <n v="9936075"/>
    <n v="178"/>
    <s v="PEÇAS -Defeito de fabric./Sem Compressão"/>
    <s v="FUNCIONAL"/>
    <x v="1"/>
    <n v="70149"/>
    <s v="BR PECAS COMERCIO DE PECAS"/>
    <s v="SP"/>
    <n v="963"/>
    <s v="Ats Distribuidoras"/>
    <n v="1350"/>
    <s v="W10375475"/>
    <s v="Compressores Herméticos"/>
    <x v="0"/>
    <n v="1"/>
    <n v="5004042"/>
    <s v="BRASIL WEB TRANSPORTES E LOGISTICA"/>
    <n v="427.37"/>
    <d v="2025-07-17T00:00:00"/>
  </r>
  <r>
    <n v="254035351"/>
    <n v="64812327"/>
    <s v="REB"/>
    <n v="10107389"/>
    <n v="90"/>
    <s v="CLIENTE-não solicitou"/>
    <s v="COMERCIAL"/>
    <x v="1"/>
    <n v="21594"/>
    <s v="GOLD SERVICE COMERCIO"/>
    <s v="SP"/>
    <n v="931"/>
    <s v="Ats Off"/>
    <n v="1350"/>
    <s v="W11316366"/>
    <s v="Gaxetas"/>
    <x v="10"/>
    <n v="3"/>
    <n v="5004042"/>
    <s v="BRASIL WEB TRANSPORTES E LOGISTICA"/>
    <n v="122.05"/>
    <d v="2025-07-17T00:00:00"/>
  </r>
  <r>
    <n v="254035408"/>
    <n v="64812339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17T00:00:00"/>
  </r>
  <r>
    <s v="Sem TR"/>
    <n v="64812350"/>
    <s v="REB"/>
    <n v="10121820"/>
    <n v="176"/>
    <s v="PEÇAS - Defeito de fabric./Interrompido"/>
    <s v="FUNCIONAL"/>
    <x v="1"/>
    <n v="25656"/>
    <s v="OFICIAL REFRIGERACAO COMERCIO"/>
    <s v="SP"/>
    <n v="931"/>
    <s v="Ats Off"/>
    <n v="1350"/>
    <s v="W11435390"/>
    <s v="Placas de Controle"/>
    <x v="2"/>
    <n v="1"/>
    <n v="5004042"/>
    <s v="BRASIL WEB TRANSPORTES E LOGISTICA"/>
    <n v="271.58"/>
    <d v="2025-07-17T00:00:00"/>
  </r>
  <r>
    <n v="254035353"/>
    <n v="64812357"/>
    <s v="REB"/>
    <n v="10113165"/>
    <n v="173"/>
    <s v="PEÇAS - Defeito de fabric./Alta Amperage"/>
    <s v="FUNCIONAL"/>
    <x v="1"/>
    <n v="21594"/>
    <s v="GOLD SERVICE COMERCIO"/>
    <s v="SP"/>
    <n v="931"/>
    <s v="Ats Off"/>
    <n v="1350"/>
    <s v="W11123830"/>
    <s v="Placas de Controle"/>
    <x v="2"/>
    <n v="1"/>
    <n v="5004042"/>
    <s v="BRASIL WEB TRANSPORTES E LOGISTICA"/>
    <n v="138.44999999999999"/>
    <d v="2025-07-17T00:00:00"/>
  </r>
  <r>
    <n v="254035407"/>
    <n v="6481236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17T00:00:00"/>
  </r>
  <r>
    <s v="Sem TR"/>
    <n v="64812361"/>
    <s v="REB"/>
    <n v="10107004"/>
    <n v="167"/>
    <s v="PEÇAS - Avaria - Quebrada/Depósito"/>
    <s v="LOGÍSTICA"/>
    <x v="1"/>
    <n v="75707"/>
    <s v="AMAZONAS COMERCIO DE"/>
    <s v="PA"/>
    <n v="643"/>
    <s v="Elite"/>
    <n v="1350"/>
    <s v="W10169464"/>
    <s v="Defletores/Difusores"/>
    <x v="6"/>
    <n v="1"/>
    <n v="5002858"/>
    <s v="FAVORITA TRANSPORTES LTDA"/>
    <n v="21.18"/>
    <d v="2025-07-17T00:00:00"/>
  </r>
  <r>
    <n v="254035367"/>
    <n v="64812371"/>
    <s v="REB"/>
    <n v="10115102"/>
    <n v="167"/>
    <s v="PEÇAS - Avaria - Quebrada/Depósito"/>
    <s v="LOGÍSTICA"/>
    <x v="1"/>
    <n v="29164"/>
    <s v="BRASTEMAK REFRIGERACAO LTDA"/>
    <s v="BA"/>
    <n v="648"/>
    <s v="Ultra"/>
    <n v="1350"/>
    <s v="W11396368"/>
    <s v="Gavetas"/>
    <x v="1"/>
    <n v="1"/>
    <n v="5004101"/>
    <s v="UNIDOCK'S ASSESSORIA E LOGISTICA DE"/>
    <n v="71.61"/>
    <d v="2025-07-17T00:00:00"/>
  </r>
  <r>
    <n v="254035401"/>
    <n v="64812372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s v="Sem TR"/>
    <n v="64812375"/>
    <s v="REB"/>
    <n v="9961340"/>
    <n v="176"/>
    <s v="PEÇAS - Defeito de fabric./Interrompido"/>
    <s v="FUNCIONAL"/>
    <x v="1"/>
    <n v="63028"/>
    <s v="ELETRO122 COMERCIO DE ELETRO"/>
    <s v="SP"/>
    <n v="641"/>
    <s v="CDP Diamante"/>
    <n v="1350"/>
    <s v="W11745350"/>
    <s v="Outros"/>
    <x v="5"/>
    <n v="1"/>
    <n v="5004042"/>
    <s v="BRASIL WEB TRANSPORTES E LOGISTICA"/>
    <n v="244.49"/>
    <d v="2025-07-17T00:00:00"/>
  </r>
  <r>
    <s v="Sem TR"/>
    <n v="64812376"/>
    <s v="REB"/>
    <n v="10122754"/>
    <n v="167"/>
    <s v="PEÇAS - Avaria - Quebrada/Depósito"/>
    <s v="LOGÍSTICA"/>
    <x v="1"/>
    <n v="22985"/>
    <s v="Comercial Delfrio LTDA EPP"/>
    <s v="SC"/>
    <n v="641"/>
    <s v="CDP Diamante"/>
    <n v="1350"/>
    <s v="W10287547"/>
    <s v="Gavetas"/>
    <x v="1"/>
    <n v="1"/>
    <n v="5003024"/>
    <s v="RODOBRAS TRANSPORTES RODOVIARIOS LT"/>
    <n v="102.5"/>
    <d v="2025-07-17T00:00:00"/>
  </r>
  <r>
    <n v="254035432"/>
    <n v="64812377"/>
    <s v="REB"/>
    <n v="9999392"/>
    <n v="177"/>
    <s v="PEÇAS - Defeito de fabric./Ruído"/>
    <s v="FUNCIONAL"/>
    <x v="1"/>
    <n v="80432"/>
    <s v="FRIORIO DISTRIBUIDOR DE PECAS PARA"/>
    <s v="ES"/>
    <n v="713"/>
    <s v="Key Account"/>
    <n v="1350"/>
    <s v="W11299803"/>
    <s v="Mecanismos"/>
    <x v="4"/>
    <n v="2"/>
    <n v="5004042"/>
    <s v="BRASIL WEB TRANSPORTES E LOGISTICA"/>
    <n v="174.52"/>
    <d v="2025-07-17T00:00:00"/>
  </r>
  <r>
    <s v="Sem TR"/>
    <n v="64812378"/>
    <s v="REB"/>
    <n v="9960619"/>
    <n v="176"/>
    <s v="PEÇAS - Defeito de fabric./Interrompido"/>
    <s v="FUNCIONAL"/>
    <x v="1"/>
    <n v="81988"/>
    <s v="BH COMERCIO DE PECAS E FRIGERACAO"/>
    <s v="MG"/>
    <n v="648"/>
    <s v="Ultra"/>
    <n v="1350"/>
    <s v="W11647660"/>
    <s v="Compressores Herméticos"/>
    <x v="0"/>
    <n v="1"/>
    <n v="5004215"/>
    <s v="BRASIL WEB TRANSPORTES E LOGISTICA"/>
    <n v="340.08"/>
    <d v="2025-07-17T00:00:00"/>
  </r>
  <r>
    <n v="254035341"/>
    <n v="64812379"/>
    <s v="REB"/>
    <n v="10114617"/>
    <n v="167"/>
    <s v="PEÇAS - Avaria - Quebrada/Depósito"/>
    <s v="LOGÍSTICA"/>
    <x v="1"/>
    <n v="9991"/>
    <s v="HIPERFRIO COMERCIO DE PECAS LTDA"/>
    <s v="DF"/>
    <n v="648"/>
    <s v="Ultra"/>
    <n v="1350"/>
    <s v="W11307331"/>
    <s v="Gavetas"/>
    <x v="1"/>
    <n v="1"/>
    <n v="5002858"/>
    <s v="FAVORITA TRANSPORTES LTDA"/>
    <n v="19.559999999999999"/>
    <d v="2025-07-17T00:00:00"/>
  </r>
  <r>
    <s v="Sem TR"/>
    <n v="64812389"/>
    <s v="REB"/>
    <n v="10118858"/>
    <n v="173"/>
    <s v="PEÇAS - Defeito de fabric./Alta Amperage"/>
    <s v="FUNCIONAL"/>
    <x v="1"/>
    <n v="5039"/>
    <s v="MAQ TEC COMERCIO DE PECAS"/>
    <s v="RS"/>
    <n v="350"/>
    <s v="Ats On"/>
    <n v="1350"/>
    <s v="W11159079"/>
    <s v="Painéis Decorativos"/>
    <x v="3"/>
    <n v="1"/>
    <n v="5003024"/>
    <s v="RODOBRAS TRANSPORTES RODOVIARIOS LT"/>
    <n v="20.93"/>
    <d v="2025-07-17T00:00:00"/>
  </r>
  <r>
    <n v="254035351"/>
    <n v="64812390"/>
    <s v="REB"/>
    <n v="10008061"/>
    <n v="176"/>
    <s v="PEÇAS - Defeito de fabric./Interrompido"/>
    <s v="FUNCIONAL"/>
    <x v="1"/>
    <n v="21594"/>
    <s v="GOLD SERVICE COMERCIO"/>
    <s v="SP"/>
    <n v="931"/>
    <s v="Ats Off"/>
    <n v="1350"/>
    <s v="W11113071"/>
    <s v="Termostatos"/>
    <x v="8"/>
    <n v="1"/>
    <n v="5004042"/>
    <s v="BRASIL WEB TRANSPORTES E LOGISTICA"/>
    <n v="108.9"/>
    <d v="2025-07-17T00:00:00"/>
  </r>
  <r>
    <s v="Sem TR"/>
    <n v="64812391"/>
    <s v="REB"/>
    <n v="9312339"/>
    <n v="178"/>
    <s v="PEÇAS -Defeito de fabric./Sem Compressão"/>
    <s v="FUNCIONAL"/>
    <x v="1"/>
    <n v="29865"/>
    <s v="COLNAGHI &amp; COLNAGHI -"/>
    <s v="SP"/>
    <n v="932"/>
    <s v="CDP Prata"/>
    <n v="1350"/>
    <s v="W11647660"/>
    <s v="Compressores Herméticos"/>
    <x v="0"/>
    <n v="1"/>
    <n v="5004042"/>
    <s v="BRASIL WEB TRANSPORTES E LOGISTICA"/>
    <n v="316.32"/>
    <d v="2025-07-17T00:00:00"/>
  </r>
  <r>
    <n v="254054715"/>
    <n v="64812399"/>
    <s v="REB"/>
    <n v="9709586"/>
    <n v="178"/>
    <s v="PEÇAS -Defeito de fabric./Sem Compressão"/>
    <s v="FUNCIONAL"/>
    <x v="1"/>
    <n v="48500"/>
    <s v="REFRIGERACAO MONTEIRO LTDA"/>
    <s v="MG"/>
    <n v="350"/>
    <s v="Ats On"/>
    <n v="1350"/>
    <s v="W11516525"/>
    <s v="Compressores Herméticos"/>
    <x v="0"/>
    <n v="1"/>
    <n v="5004215"/>
    <s v="BRASIL WEB TRANSPORTES E LOGISTICA"/>
    <n v="365.36"/>
    <d v="2025-07-17T00:00:00"/>
  </r>
  <r>
    <s v="Sem TR"/>
    <n v="64812405"/>
    <s v="REB"/>
    <n v="10125614"/>
    <n v="176"/>
    <s v="PEÇAS - Defeito de fabric./Interrompido"/>
    <s v="FUNCIONAL"/>
    <x v="1"/>
    <n v="3524"/>
    <s v="CATEL - COMERCIO DE PECAS"/>
    <s v="SP"/>
    <n v="931"/>
    <s v="Ats Off"/>
    <n v="1350"/>
    <n v="1020293"/>
    <s v="Relês"/>
    <x v="2"/>
    <n v="4"/>
    <n v="5004042"/>
    <s v="BRASIL WEB TRANSPORTES E LOGISTICA"/>
    <n v="343.78"/>
    <d v="2025-07-17T00:00:00"/>
  </r>
  <r>
    <s v="Sem TR"/>
    <n v="64812415"/>
    <s v="REB"/>
    <n v="10070056"/>
    <n v="173"/>
    <s v="PEÇAS - Defeito de fabric./Alta Amperage"/>
    <s v="FUNCIONAL"/>
    <x v="1"/>
    <n v="29165"/>
    <s v="Comatec Refrigeracao Ltda"/>
    <s v="PE"/>
    <n v="641"/>
    <s v="CDP Diamante"/>
    <n v="1350"/>
    <n v="326075420"/>
    <s v="Placas de Interface"/>
    <x v="2"/>
    <n v="1"/>
    <n v="5004101"/>
    <s v="UNIDOCK'S ASSESSORIA E LOGISTICA DE"/>
    <n v="1239.58"/>
    <d v="2025-07-17T00:00:00"/>
  </r>
  <r>
    <n v="254035415"/>
    <n v="64812418"/>
    <s v="REB"/>
    <n v="10126496"/>
    <n v="176"/>
    <s v="PEÇAS - Defeito de fabric./Interrompido"/>
    <s v="FUNCIONAL"/>
    <x v="1"/>
    <n v="70149"/>
    <s v="BR PECAS COMERCIO DE PECAS"/>
    <s v="SP"/>
    <n v="963"/>
    <s v="Ats Distribuidoras"/>
    <n v="1350"/>
    <s v="W10711361"/>
    <s v="Placas de Interface"/>
    <x v="2"/>
    <n v="1"/>
    <n v="5004042"/>
    <s v="BRASIL WEB TRANSPORTES E LOGISTICA"/>
    <n v="222.84"/>
    <d v="2025-07-17T00:00:00"/>
  </r>
  <r>
    <n v="254035395"/>
    <n v="64812420"/>
    <s v="REB"/>
    <n v="10015730"/>
    <n v="176"/>
    <s v="PEÇAS - Defeito de fabric./Interrompido"/>
    <s v="FUNCIONAL"/>
    <x v="2"/>
    <n v="58276"/>
    <s v="CHAMATEC COMERCIO E"/>
    <s v="CE"/>
    <n v="644"/>
    <s v="Plus"/>
    <n v="1350"/>
    <s v="W10818971"/>
    <s v="Placas de Controle"/>
    <x v="2"/>
    <n v="8"/>
    <n v="5004101"/>
    <s v="UNIDOCK'S ASSESSORIA E LOGISTICA DE"/>
    <n v="1214.1600000000001"/>
    <d v="2025-07-17T00:00:00"/>
  </r>
  <r>
    <n v="254063732"/>
    <n v="64812422"/>
    <s v="REB"/>
    <n v="10121875"/>
    <n v="167"/>
    <s v="PEÇAS - Avaria - Quebrada/Depósito"/>
    <s v="LOGÍSTICA"/>
    <x v="2"/>
    <n v="85599"/>
    <s v="DIEGO PEREIRA DE SOUZA"/>
    <s v="SP"/>
    <n v="934"/>
    <s v="CDP Ouro"/>
    <n v="1350"/>
    <s v="W10287534"/>
    <s v="Prateleiras"/>
    <x v="1"/>
    <n v="1"/>
    <n v="5004042"/>
    <s v="BRASIL WEB TRANSPORTES E LOGISTICA"/>
    <n v="39.090000000000003"/>
    <d v="2025-07-17T00:00:00"/>
  </r>
  <r>
    <n v="254063732"/>
    <n v="64812422"/>
    <s v="REB"/>
    <n v="10121875"/>
    <n v="167"/>
    <s v="PEÇAS - Avaria - Quebrada/Depósito"/>
    <s v="LOGÍSTICA"/>
    <x v="2"/>
    <n v="85599"/>
    <s v="DIEGO PEREIRA DE SOUZA"/>
    <s v="SP"/>
    <n v="934"/>
    <s v="CDP Ouro"/>
    <n v="1350"/>
    <s v="W10830936"/>
    <s v="Prateleiras"/>
    <x v="1"/>
    <n v="3"/>
    <n v="5004042"/>
    <s v="BRASIL WEB TRANSPORTES E LOGISTICA"/>
    <n v="234.58"/>
    <d v="2025-07-17T00:00:00"/>
  </r>
  <r>
    <n v="254063732"/>
    <n v="64812422"/>
    <s v="REB"/>
    <n v="10121875"/>
    <n v="167"/>
    <s v="PEÇAS - Avaria - Quebrada/Depósito"/>
    <s v="LOGÍSTICA"/>
    <x v="2"/>
    <n v="85599"/>
    <s v="DIEGO PEREIRA DE SOUZA"/>
    <s v="SP"/>
    <n v="934"/>
    <s v="CDP Ouro"/>
    <n v="1350"/>
    <s v="W11396368"/>
    <s v="Gavetas"/>
    <x v="1"/>
    <n v="3"/>
    <n v="5004042"/>
    <s v="BRASIL WEB TRANSPORTES E LOGISTICA"/>
    <n v="293.22000000000003"/>
    <d v="2025-07-17T00:00:00"/>
  </r>
  <r>
    <s v="Sem TR"/>
    <n v="64812425"/>
    <s v="REB"/>
    <n v="9785242"/>
    <n v="178"/>
    <s v="PEÇAS -Defeito de fabric./Sem Compressão"/>
    <s v="FUNCIONAL"/>
    <x v="1"/>
    <n v="72497"/>
    <s v="PLAC PECAS PARA REFRIGERACAO LTDA"/>
    <s v="SC"/>
    <n v="933"/>
    <s v="Top"/>
    <n v="1350"/>
    <s v="W11741179"/>
    <s v="Outros"/>
    <x v="5"/>
    <n v="1"/>
    <n v="5003024"/>
    <s v="RODOBRAS TRANSPORTES RODOVIARIOS LT"/>
    <n v="349.59"/>
    <d v="2025-07-17T00:00:00"/>
  </r>
  <r>
    <n v="254035358"/>
    <n v="64812444"/>
    <s v="REB"/>
    <n v="9982801"/>
    <n v="176"/>
    <s v="PEÇAS - Defeito de fabric./Interrompido"/>
    <s v="FUNCIONAL"/>
    <x v="1"/>
    <n v="22211"/>
    <s v="BARNI PRES SER COM PROD REFIRG ME"/>
    <s v="SC"/>
    <n v="644"/>
    <s v="Plus"/>
    <n v="1350"/>
    <s v="W10640425"/>
    <s v="Placas de Interface"/>
    <x v="2"/>
    <n v="1"/>
    <n v="5003024"/>
    <s v="RODOBRAS TRANSPORTES RODOVIARIOS LT"/>
    <n v="228.66"/>
    <d v="2025-07-17T00:00:00"/>
  </r>
  <r>
    <n v="254045127"/>
    <n v="64812446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35347"/>
    <n v="64812450"/>
    <s v="REB"/>
    <n v="10114024"/>
    <n v="177"/>
    <s v="PEÇAS - Defeito de fabric./Ruído"/>
    <s v="FUNCIONAL"/>
    <x v="2"/>
    <n v="18805"/>
    <s v="RECORRE R C REFRIG LTDA"/>
    <s v="PR"/>
    <n v="648"/>
    <s v="Ultra"/>
    <n v="1350"/>
    <s v="W11299803"/>
    <s v="Mecanismos"/>
    <x v="4"/>
    <n v="1"/>
    <n v="5003024"/>
    <s v="RODOBRAS TRANSPORTES RODOVIARIOS LT"/>
    <n v="101.1"/>
    <d v="2025-07-17T00:00:00"/>
  </r>
  <r>
    <s v="Sem TR"/>
    <n v="64812451"/>
    <s v="REB"/>
    <n v="9904547"/>
    <n v="177"/>
    <s v="PEÇAS - Defeito de fabric./Ruído"/>
    <s v="FUNCIONAL"/>
    <x v="1"/>
    <n v="54802"/>
    <s v="REFRIGERACAO LUZ LTDA - ME"/>
    <s v="RS"/>
    <n v="648"/>
    <s v="Ultra"/>
    <n v="1350"/>
    <s v="W11647662"/>
    <s v="Compressores Herméticos"/>
    <x v="0"/>
    <n v="1"/>
    <n v="5003024"/>
    <s v="RODOBRAS TRANSPORTES RODOVIARIOS LT"/>
    <n v="296.11"/>
    <d v="2025-07-17T00:00:00"/>
  </r>
  <r>
    <s v="Sem TR"/>
    <n v="64812454"/>
    <s v="REB"/>
    <n v="9839502"/>
    <n v="173"/>
    <s v="PEÇAS - Defeito de fabric./Alta Amperage"/>
    <s v="FUNCIONAL"/>
    <x v="1"/>
    <n v="72497"/>
    <s v="PLAC PECAS PARA REFRIGERACAO LTDA"/>
    <s v="SC"/>
    <n v="933"/>
    <s v="Top"/>
    <n v="1350"/>
    <s v="W11129356"/>
    <s v="Compressores Herméticos"/>
    <x v="0"/>
    <n v="1"/>
    <n v="5003024"/>
    <s v="RODOBRAS TRANSPORTES RODOVIARIOS LT"/>
    <n v="326.33999999999997"/>
    <d v="2025-07-17T00:00:00"/>
  </r>
  <r>
    <s v="Sem TR"/>
    <n v="64812483"/>
    <s v="REB"/>
    <n v="10106365"/>
    <n v="167"/>
    <s v="PEÇAS - Avaria - Quebrada/Depósito"/>
    <s v="LOGÍSTICA"/>
    <x v="1"/>
    <n v="86964"/>
    <s v="REFRICRIL DISTRIBUIDORA"/>
    <s v="PB"/>
    <n v="713"/>
    <s v="Key Account"/>
    <n v="1350"/>
    <s v="W10856154"/>
    <s v="Capas"/>
    <x v="3"/>
    <n v="5"/>
    <n v="5004101"/>
    <s v="UNIDOCK'S ASSESSORIA E LOGISTICA DE"/>
    <n v="93.51"/>
    <d v="2025-07-21T00:00:00"/>
  </r>
  <r>
    <n v="254035341"/>
    <n v="64812492"/>
    <s v="REB"/>
    <n v="9992087"/>
    <n v="173"/>
    <s v="PEÇAS - Defeito de fabric./Alta Amperage"/>
    <s v="FUNCIONAL"/>
    <x v="1"/>
    <n v="9991"/>
    <s v="HIPERFRIO COMERCIO DE PECAS LTDA"/>
    <s v="DF"/>
    <n v="648"/>
    <s v="Ultra"/>
    <n v="1350"/>
    <n v="326061172"/>
    <s v="Placas de Controle"/>
    <x v="2"/>
    <n v="1"/>
    <n v="5002858"/>
    <s v="FAVORITA TRANSPORTES LTDA"/>
    <n v="257.14"/>
    <d v="2025-07-17T00:00:00"/>
  </r>
  <r>
    <n v="254035407"/>
    <n v="64812501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n v="254035319"/>
    <n v="64812502"/>
    <s v="REB"/>
    <n v="10072844"/>
    <n v="173"/>
    <s v="PEÇAS - Defeito de fabric./Alta Amperage"/>
    <s v="FUNCIONAL"/>
    <x v="1"/>
    <n v="1334"/>
    <s v="FLORIANO REFRIGERACAO LTDA"/>
    <s v="PI"/>
    <n v="350"/>
    <s v="Ats On"/>
    <n v="1350"/>
    <s v="W11647662"/>
    <s v="Compressores Herméticos"/>
    <x v="0"/>
    <n v="1"/>
    <n v="5004101"/>
    <s v="UNIDOCK'S ASSESSORIA E LOGISTICA DE"/>
    <n v="292.27999999999997"/>
    <d v="2025-07-17T00:00:00"/>
  </r>
  <r>
    <n v="254035406"/>
    <n v="64812503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n v="254035403"/>
    <n v="64812516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n v="254035404"/>
    <n v="64812517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n v="254035432"/>
    <n v="64812518"/>
    <s v="REB"/>
    <n v="10066226"/>
    <n v="104"/>
    <s v="PEÇAS-Código trocado(embalag X conteúdo)"/>
    <s v="LOGÍSTICA"/>
    <x v="1"/>
    <n v="80432"/>
    <s v="FRIORIO DISTRIBUIDOR DE PECAS PARA"/>
    <s v="ES"/>
    <n v="713"/>
    <s v="Key Account"/>
    <n v="1350"/>
    <s v="W10882241"/>
    <s v="Agitadores"/>
    <x v="4"/>
    <n v="120"/>
    <n v="5004042"/>
    <s v="BRASIL WEB TRANSPORTES E LOGISTICA"/>
    <n v="3438.82"/>
    <d v="2025-07-17T00:00:00"/>
  </r>
  <r>
    <n v="254035341"/>
    <n v="64812520"/>
    <s v="REB"/>
    <n v="9791646"/>
    <n v="176"/>
    <s v="PEÇAS - Defeito de fabric./Interrompido"/>
    <s v="FUNCIONAL"/>
    <x v="1"/>
    <n v="9991"/>
    <s v="HIPERFRIO COMERCIO DE PECAS LTDA"/>
    <s v="DF"/>
    <n v="648"/>
    <s v="Ultra"/>
    <n v="1350"/>
    <s v="W10709306"/>
    <s v="Placas de Controle"/>
    <x v="2"/>
    <n v="1"/>
    <n v="5002858"/>
    <s v="FAVORITA TRANSPORTES LTDA"/>
    <n v="160.82"/>
    <d v="2025-07-17T00:00:00"/>
  </r>
  <r>
    <s v="Sem TR"/>
    <n v="64812522"/>
    <s v="REB"/>
    <n v="10092212"/>
    <n v="168"/>
    <s v="PEÇAS-Def.Fabric.Empenamento/Abaulamento"/>
    <s v="FUNCIONAL"/>
    <x v="1"/>
    <n v="24363"/>
    <s v="TAIS HELENA PELLENZ &amp; CIA LTDA"/>
    <s v="RS"/>
    <n v="350"/>
    <s v="Ats On"/>
    <n v="1350"/>
    <n v="326058157"/>
    <s v="Adesivos, Etiquetas, Selos"/>
    <x v="12"/>
    <n v="2"/>
    <n v="5003024"/>
    <s v="RODOBRAS TRANSPORTES RODOVIARIOS LT"/>
    <n v="243.71"/>
    <d v="2025-07-17T00:00:00"/>
  </r>
  <r>
    <s v="Sem TR"/>
    <n v="64812536"/>
    <s v="REB"/>
    <n v="10106365"/>
    <n v="509"/>
    <s v="Qtd de peças a Menor dentro do Volume"/>
    <s v="LOGÍSTICA"/>
    <x v="2"/>
    <n v="86964"/>
    <s v="REFRICRIL DISTRIBUIDORA"/>
    <s v="PB"/>
    <n v="713"/>
    <s v="Key Account"/>
    <n v="1350"/>
    <s v="W10856154"/>
    <s v="Capas"/>
    <x v="3"/>
    <n v="20"/>
    <n v="5002359"/>
    <s v="EMPRESA BRASILEIRA DE CORREIOS E"/>
    <n v="374.03"/>
    <d v="2025-07-17T00:00:00"/>
  </r>
  <r>
    <n v="254035399"/>
    <n v="64812549"/>
    <s v="REB"/>
    <n v="9919609"/>
    <n v="173"/>
    <s v="PEÇAS - Defeito de fabric./Alta Amperage"/>
    <s v="FUNCIONAL"/>
    <x v="2"/>
    <n v="61263"/>
    <s v="NOVINHO PECAS LTDA - ME"/>
    <s v="CE"/>
    <n v="648"/>
    <s v="Ultra"/>
    <n v="1350"/>
    <s v="W11435400"/>
    <s v="Placas de Controle"/>
    <x v="2"/>
    <n v="1"/>
    <n v="5004101"/>
    <s v="UNIDOCK'S ASSESSORIA E LOGISTICA DE"/>
    <n v="303.26"/>
    <d v="2025-07-17T00:00:00"/>
  </r>
  <r>
    <n v="254035399"/>
    <n v="64812551"/>
    <s v="REB"/>
    <n v="9542281"/>
    <n v="173"/>
    <s v="PEÇAS - Defeito de fabric./Alta Amperage"/>
    <s v="FUNCIONAL"/>
    <x v="2"/>
    <n v="61263"/>
    <s v="NOVINHO PECAS LTDA - ME"/>
    <s v="CE"/>
    <n v="648"/>
    <s v="Ultra"/>
    <n v="1350"/>
    <s v="W11396188"/>
    <s v="Placas de Interface"/>
    <x v="2"/>
    <n v="1"/>
    <n v="5004101"/>
    <s v="UNIDOCK'S ASSESSORIA E LOGISTICA DE"/>
    <n v="71.39"/>
    <d v="2025-07-17T00:00:00"/>
  </r>
  <r>
    <n v="254035399"/>
    <n v="64812564"/>
    <s v="REB"/>
    <n v="9509575"/>
    <n v="173"/>
    <s v="PEÇAS - Defeito de fabric./Alta Amperage"/>
    <s v="FUNCIONAL"/>
    <x v="2"/>
    <n v="61263"/>
    <s v="NOVINHO PECAS LTDA - ME"/>
    <s v="CE"/>
    <n v="648"/>
    <s v="Ultra"/>
    <n v="1350"/>
    <s v="W11435392"/>
    <s v="Placas de Controle"/>
    <x v="2"/>
    <n v="1"/>
    <n v="5004101"/>
    <s v="UNIDOCK'S ASSESSORIA E LOGISTICA DE"/>
    <n v="247.47"/>
    <d v="2025-07-17T00:00:00"/>
  </r>
  <r>
    <n v="254035345"/>
    <n v="64812565"/>
    <s v="REB"/>
    <n v="10087557"/>
    <n v="173"/>
    <s v="PEÇAS - Defeito de fabric./Alta Amperage"/>
    <s v="FUNCIONAL"/>
    <x v="2"/>
    <n v="18708"/>
    <s v="QUEIROZ E SA LTDA"/>
    <s v="MA"/>
    <n v="933"/>
    <s v="Top"/>
    <n v="1350"/>
    <s v="W11299805"/>
    <s v="Mecanismos"/>
    <x v="4"/>
    <n v="2"/>
    <n v="5004101"/>
    <s v="UNIDOCK'S ASSESSORIA E LOGISTICA DE"/>
    <n v="268.38"/>
    <d v="2025-07-17T00:00:00"/>
  </r>
  <r>
    <s v="Sem TR"/>
    <n v="64812585"/>
    <s v="REB"/>
    <n v="10118858"/>
    <n v="173"/>
    <s v="PEÇAS - Defeito de fabric./Alta Amperage"/>
    <s v="FUNCIONAL"/>
    <x v="1"/>
    <n v="5039"/>
    <s v="MAQ TEC COMERCIO DE PECAS"/>
    <s v="RS"/>
    <n v="350"/>
    <s v="Ats On"/>
    <n v="1350"/>
    <s v="W11372416"/>
    <s v="Painéis Decorativos"/>
    <x v="3"/>
    <n v="1"/>
    <n v="5003024"/>
    <s v="RODOBRAS TRANSPORTES RODOVIARIOS LT"/>
    <n v="45.77"/>
    <d v="2025-07-17T00:00:00"/>
  </r>
  <r>
    <n v="254050476"/>
    <n v="64812586"/>
    <s v="REB"/>
    <n v="8436045"/>
    <n v="178"/>
    <s v="PEÇAS -Defeito de fabric./Sem Compressão"/>
    <s v="FUNCIONAL"/>
    <x v="1"/>
    <n v="68085"/>
    <s v="REFRIGERACAO BASSO SJC LTDA"/>
    <s v="SP"/>
    <n v="643"/>
    <s v="Elite"/>
    <n v="1350"/>
    <s v="W10799397"/>
    <s v="Compressores Herméticos"/>
    <x v="0"/>
    <n v="18"/>
    <n v="5004042"/>
    <s v="BRASIL WEB TRANSPORTES E LOGISTICA"/>
    <n v="5888.66"/>
    <d v="2025-07-17T00:00:00"/>
  </r>
  <r>
    <n v="254045125"/>
    <n v="64812588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35384"/>
    <n v="64812610"/>
    <s v="REB"/>
    <n v="10039420"/>
    <n v="173"/>
    <s v="PEÇAS - Defeito de fabric./Alta Amperage"/>
    <s v="FUNCIONAL"/>
    <x v="1"/>
    <n v="47471"/>
    <s v="REFRISOLAR REFRIGERACAO LTDA"/>
    <s v="TO"/>
    <n v="643"/>
    <s v="Elite"/>
    <n v="1350"/>
    <s v="W11160655"/>
    <s v="Placas de Interface"/>
    <x v="2"/>
    <n v="1"/>
    <n v="5002858"/>
    <s v="FAVORITA TRANSPORTES LTDA"/>
    <n v="97.04"/>
    <d v="2025-07-17T00:00:00"/>
  </r>
  <r>
    <n v="254035411"/>
    <n v="64812612"/>
    <s v="REB"/>
    <n v="9984178"/>
    <n v="178"/>
    <s v="PEÇAS -Defeito de fabric./Sem Compressão"/>
    <s v="FUNCIONAL"/>
    <x v="1"/>
    <n v="62608"/>
    <s v="SILVA PECAS PARA REFRIGERACAO LTDA"/>
    <s v="RO"/>
    <n v="644"/>
    <s v="Plus"/>
    <n v="1350"/>
    <s v="W11647660"/>
    <s v="Compressores Herméticos"/>
    <x v="0"/>
    <n v="1"/>
    <n v="5002858"/>
    <s v="FAVORITA TRANSPORTES LTDA"/>
    <n v="309.91000000000003"/>
    <d v="2025-07-17T00:00:00"/>
  </r>
  <r>
    <s v="Sem TR"/>
    <n v="64812619"/>
    <s v="REB"/>
    <n v="10087188"/>
    <n v="176"/>
    <s v="PEÇAS - Defeito de fabric./Interrompido"/>
    <s v="FUNCIONAL"/>
    <x v="1"/>
    <n v="29731"/>
    <s v="FRIGELAR COMÉRCIO E INDÚSTRIA LTDA"/>
    <s v="RS"/>
    <n v="713"/>
    <s v="Key Account"/>
    <n v="1350"/>
    <s v="W11161217"/>
    <s v="Placas de Controle"/>
    <x v="2"/>
    <n v="1"/>
    <n v="5003024"/>
    <s v="RODOBRAS TRANSPORTES RODOVIARIOS LT"/>
    <n v="299.33"/>
    <d v="2025-07-17T00:00:00"/>
  </r>
  <r>
    <s v="Sem TR"/>
    <n v="64812637"/>
    <s v="REB"/>
    <n v="10122292"/>
    <n v="104"/>
    <s v="PEÇAS-Código trocado(embalag X conteúdo)"/>
    <s v="LOGÍSTICA"/>
    <x v="1"/>
    <n v="4318"/>
    <s v="REFRIGERACAO MARTENDAL LTDA"/>
    <s v="SC"/>
    <n v="931"/>
    <s v="Ats Off"/>
    <n v="1350"/>
    <s v="W11102708"/>
    <s v="Bombas"/>
    <x v="2"/>
    <n v="1"/>
    <n v="5003024"/>
    <s v="RODOBRAS TRANSPORTES RODOVIARIOS LT"/>
    <n v="390.52"/>
    <d v="2025-07-29T00:00:00"/>
  </r>
  <r>
    <s v="Sem TR"/>
    <n v="64812638"/>
    <s v="REB"/>
    <n v="10140904"/>
    <n v="509"/>
    <s v="Qtd de peças a Menor dentro do Volume"/>
    <s v="LOGÍSTICA"/>
    <x v="2"/>
    <n v="3594"/>
    <s v="MIRIM SERV COM DE PECAS E REPAROS"/>
    <s v="SP"/>
    <n v="350"/>
    <s v="Ats On"/>
    <n v="1350"/>
    <s v="W10417020"/>
    <s v="Portas"/>
    <x v="3"/>
    <n v="1"/>
    <n v="5002359"/>
    <s v="EMPRESA BRASILEIRA DE CORREIOS E"/>
    <n v="395.42"/>
    <d v="2025-07-29T00:00:00"/>
  </r>
  <r>
    <n v="254050477"/>
    <n v="64812639"/>
    <s v="REB"/>
    <n v="9050043"/>
    <n v="178"/>
    <s v="PEÇAS -Defeito de fabric./Sem Compressão"/>
    <s v="FUNCIONAL"/>
    <x v="1"/>
    <n v="68085"/>
    <s v="REFRIGERACAO BASSO SJC LTDA"/>
    <s v="SP"/>
    <n v="643"/>
    <s v="Elite"/>
    <n v="1350"/>
    <s v="W10393823"/>
    <s v="Compressores Herméticos"/>
    <x v="0"/>
    <n v="17"/>
    <n v="5004042"/>
    <s v="BRASIL WEB TRANSPORTES E LOGISTICA"/>
    <n v="9447.2800000000007"/>
    <d v="2025-07-17T00:00:00"/>
  </r>
  <r>
    <s v="Sem TR"/>
    <n v="64812642"/>
    <s v="REB"/>
    <n v="9910607"/>
    <n v="173"/>
    <s v="PEÇAS - Defeito de fabric./Alta Amperage"/>
    <s v="FUNCIONAL"/>
    <x v="1"/>
    <n v="81988"/>
    <s v="BH COMERCIO DE PECAS E FRIGERACAO"/>
    <s v="MG"/>
    <n v="648"/>
    <s v="Ultra"/>
    <n v="1350"/>
    <s v="W11647660"/>
    <s v="Compressores Herméticos"/>
    <x v="0"/>
    <n v="1"/>
    <n v="5004215"/>
    <s v="BRASIL WEB TRANSPORTES E LOGISTICA"/>
    <n v="311.75"/>
    <d v="2025-07-25T00:00:00"/>
  </r>
  <r>
    <n v="254035432"/>
    <n v="64812649"/>
    <s v="REB"/>
    <n v="9913928"/>
    <n v="177"/>
    <s v="PEÇAS - Defeito de fabric./Ruído"/>
    <s v="FUNCIONAL"/>
    <x v="1"/>
    <n v="80432"/>
    <s v="FRIORIO DISTRIBUIDOR DE PECAS PARA"/>
    <s v="ES"/>
    <n v="713"/>
    <s v="Key Account"/>
    <n v="1350"/>
    <s v="W10882241"/>
    <s v="Agitadores"/>
    <x v="4"/>
    <n v="170"/>
    <n v="5004042"/>
    <s v="BRASIL WEB TRANSPORTES E LOGISTICA"/>
    <n v="5461.4"/>
    <d v="2025-07-17T00:00:00"/>
  </r>
  <r>
    <s v="Sem TR"/>
    <n v="64812654"/>
    <s v="REB"/>
    <n v="9867230"/>
    <n v="178"/>
    <s v="PEÇAS -Defeito de fabric./Sem Compressão"/>
    <s v="FUNCIONAL"/>
    <x v="1"/>
    <n v="21621"/>
    <s v="SAT SERVICOS DE ASSISTENCIA"/>
    <s v="SP"/>
    <n v="350"/>
    <s v="Ats On"/>
    <n v="1350"/>
    <s v="W11516523"/>
    <s v="Compressores Herméticos"/>
    <x v="0"/>
    <n v="1"/>
    <n v="5004042"/>
    <s v="BRASIL WEB TRANSPORTES E LOGISTICA"/>
    <n v="404.53"/>
    <d v="2025-07-17T00:00:00"/>
  </r>
  <r>
    <n v="254050349"/>
    <n v="64812655"/>
    <s v="REB"/>
    <n v="9945469"/>
    <n v="178"/>
    <s v="PEÇAS -Defeito de fabric./Sem Compressão"/>
    <s v="FUNCIONAL"/>
    <x v="0"/>
    <n v="47026"/>
    <s v="JR PECAS LTDA JR PECAS LTDA"/>
    <s v="BA"/>
    <n v="643"/>
    <s v="Elite"/>
    <n v="1350"/>
    <s v="W10393823"/>
    <s v="Compressores Herméticos"/>
    <x v="0"/>
    <n v="1"/>
    <n v="5004101"/>
    <s v="UNIDOCK'S ASSESSORIA E LOGISTICA DE"/>
    <n v="455.1"/>
    <d v="2025-07-17T00:00:00"/>
  </r>
  <r>
    <s v="Sem TR"/>
    <n v="64812657"/>
    <s v="REB"/>
    <n v="10011158"/>
    <n v="178"/>
    <s v="PEÇAS -Defeito de fabric./Sem Compressão"/>
    <s v="FUNCIONAL"/>
    <x v="1"/>
    <n v="28684"/>
    <s v="CABO FRIO PECAS"/>
    <s v="SP"/>
    <n v="648"/>
    <s v="Ultra"/>
    <n v="1350"/>
    <s v="W10393823"/>
    <s v="Compressores Herméticos"/>
    <x v="0"/>
    <n v="1"/>
    <n v="5004042"/>
    <s v="BRASIL WEB TRANSPORTES E LOGISTICA"/>
    <n v="537.32000000000005"/>
    <d v="2025-07-17T00:00:00"/>
  </r>
  <r>
    <n v="254035379"/>
    <n v="64812659"/>
    <s v="REB"/>
    <n v="9842247"/>
    <n v="176"/>
    <s v="PEÇAS - Defeito de fabric./Interrompido"/>
    <s v="FUNCIONAL"/>
    <x v="1"/>
    <n v="32488"/>
    <s v="NETO E FERREIRA COMERCIO E SERV"/>
    <s v="RJ"/>
    <n v="933"/>
    <s v="Top"/>
    <n v="1350"/>
    <s v="W10311954"/>
    <s v="Válvulas de Água"/>
    <x v="6"/>
    <n v="2"/>
    <n v="5003176"/>
    <s v="J C THEDIN TRANSPORTES LTDA"/>
    <n v="39.08"/>
    <d v="2025-07-17T00:00:00"/>
  </r>
  <r>
    <s v="Sem TR"/>
    <n v="64812665"/>
    <s v="REB"/>
    <n v="10123675"/>
    <n v="176"/>
    <s v="PEÇAS - Defeito de fabric./Interrompido"/>
    <s v="FUNCIONAL"/>
    <x v="1"/>
    <n v="21621"/>
    <s v="SAT SERVICOS DE ASSISTENCIA"/>
    <s v="SP"/>
    <n v="350"/>
    <s v="Ats On"/>
    <n v="1350"/>
    <n v="326013733"/>
    <s v="Termostatos"/>
    <x v="8"/>
    <n v="1"/>
    <n v="5004042"/>
    <s v="BRASIL WEB TRANSPORTES E LOGISTICA"/>
    <n v="33.950000000000003"/>
    <d v="2025-07-17T00:00:00"/>
  </r>
  <r>
    <s v="Sem TR"/>
    <n v="64812672"/>
    <s v="REB"/>
    <n v="10121820"/>
    <n v="176"/>
    <s v="PEÇAS - Defeito de fabric./Interrompido"/>
    <s v="FUNCIONAL"/>
    <x v="1"/>
    <n v="25656"/>
    <s v="OFICIAL REFRIGERACAO COMERCIO"/>
    <s v="SP"/>
    <n v="931"/>
    <s v="Ats Off"/>
    <n v="1350"/>
    <n v="326060403"/>
    <s v="Válvulas de Água"/>
    <x v="6"/>
    <n v="1"/>
    <n v="5004042"/>
    <s v="BRASIL WEB TRANSPORTES E LOGISTICA"/>
    <n v="75.97"/>
    <d v="2025-07-17T00:00:00"/>
  </r>
  <r>
    <n v="254035345"/>
    <n v="64812674"/>
    <s v="REB"/>
    <n v="9997511"/>
    <n v="173"/>
    <s v="PEÇAS - Defeito de fabric./Alta Amperage"/>
    <s v="FUNCIONAL"/>
    <x v="2"/>
    <n v="18708"/>
    <s v="QUEIROZ E SA LTDA"/>
    <s v="MA"/>
    <n v="933"/>
    <s v="Top"/>
    <n v="1350"/>
    <s v="W11482942"/>
    <s v="Placas de Controle"/>
    <x v="2"/>
    <n v="1"/>
    <n v="5004101"/>
    <s v="UNIDOCK'S ASSESSORIA E LOGISTICA DE"/>
    <n v="208.69"/>
    <d v="2025-07-17T00:00:00"/>
  </r>
  <r>
    <s v="Sem TR"/>
    <n v="64812675"/>
    <s v="REB"/>
    <n v="9998765"/>
    <n v="173"/>
    <s v="PEÇAS - Defeito de fabric./Alta Amperage"/>
    <s v="FUNCIONAL"/>
    <x v="1"/>
    <n v="81988"/>
    <s v="BH COMERCIO DE PECAS E FRIGERACAO"/>
    <s v="MG"/>
    <n v="648"/>
    <s v="Ultra"/>
    <n v="1350"/>
    <s v="W10882241"/>
    <s v="Agitadores"/>
    <x v="4"/>
    <n v="1"/>
    <n v="5004215"/>
    <s v="BRASIL WEB TRANSPORTES E LOGISTICA"/>
    <n v="56.14"/>
    <d v="2025-07-17T00:00:00"/>
  </r>
  <r>
    <n v="254035405"/>
    <n v="64812681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n v="254045273"/>
    <n v="64812682"/>
    <s v="REB"/>
    <n v="9918506"/>
    <n v="176"/>
    <s v="PEÇAS - Defeito de fabric./Interrompido"/>
    <s v="FUNCIONAL"/>
    <x v="1"/>
    <n v="13757"/>
    <s v="FRIGELAR COMÉRCIO E INDÚSTRIA LTDA"/>
    <s v="SP"/>
    <n v="713"/>
    <s v="Key Account"/>
    <n v="1350"/>
    <s v="W10882241"/>
    <s v="Agitadores"/>
    <x v="4"/>
    <n v="37"/>
    <n v="5004042"/>
    <s v="BRASIL WEB TRANSPORTES E LOGISTICA"/>
    <n v="1212.07"/>
    <d v="2025-07-17T00:00:00"/>
  </r>
  <r>
    <n v="254035432"/>
    <n v="64812708"/>
    <s v="REB"/>
    <n v="10033019"/>
    <n v="177"/>
    <s v="PEÇAS - Defeito de fabric./Ruído"/>
    <s v="FUNCIONAL"/>
    <x v="1"/>
    <n v="80432"/>
    <s v="FRIORIO DISTRIBUIDOR DE PECAS PARA"/>
    <s v="ES"/>
    <n v="713"/>
    <s v="Key Account"/>
    <n v="1350"/>
    <s v="W11300675"/>
    <s v="Mecanismos"/>
    <x v="4"/>
    <n v="18"/>
    <n v="5004042"/>
    <s v="BRASIL WEB TRANSPORTES E LOGISTICA"/>
    <n v="1674.18"/>
    <d v="2025-07-17T00:00:00"/>
  </r>
  <r>
    <n v="254035432"/>
    <n v="64812708"/>
    <s v="REB"/>
    <n v="10033019"/>
    <n v="177"/>
    <s v="PEÇAS - Defeito de fabric./Ruído"/>
    <s v="FUNCIONAL"/>
    <x v="1"/>
    <n v="80432"/>
    <s v="FRIORIO DISTRIBUIDOR DE PECAS PARA"/>
    <s v="ES"/>
    <n v="713"/>
    <s v="Key Account"/>
    <n v="1350"/>
    <s v="W11300816"/>
    <s v="Mecanismos"/>
    <x v="4"/>
    <n v="11"/>
    <n v="5004042"/>
    <s v="BRASIL WEB TRANSPORTES E LOGISTICA"/>
    <n v="1114.19"/>
    <d v="2025-07-17T00:00:00"/>
  </r>
  <r>
    <s v="Sem TR"/>
    <n v="64812724"/>
    <s v="REB"/>
    <n v="9913138"/>
    <n v="168"/>
    <s v="PEÇAS-Def.Fabric.Empenamento/Abaulamento"/>
    <s v="FUNCIONAL"/>
    <x v="1"/>
    <n v="61675"/>
    <s v="BEAGA REFRIGERACAO LTDA"/>
    <s v="MG"/>
    <n v="643"/>
    <s v="Elite"/>
    <n v="1350"/>
    <s v="W10882241"/>
    <s v="Agitadores"/>
    <x v="4"/>
    <n v="125"/>
    <n v="5004215"/>
    <s v="BRASIL WEB TRANSPORTES E LOGISTICA"/>
    <n v="4753.8900000000003"/>
    <d v="2025-07-17T00:00:00"/>
  </r>
  <r>
    <n v="254035402"/>
    <n v="64812739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7-17T00:00:00"/>
  </r>
  <r>
    <s v="Sem TR"/>
    <n v="64812740"/>
    <s v="REB"/>
    <n v="10020864"/>
    <n v="176"/>
    <s v="PEÇAS - Defeito de fabric./Interrompido"/>
    <s v="FUNCIONAL"/>
    <x v="1"/>
    <n v="27031"/>
    <s v="ELIANE DE SOUZA COMERCIO E SERVICOS"/>
    <s v="SP"/>
    <n v="932"/>
    <s v="CDP Prata"/>
    <n v="1350"/>
    <s v="W10518616"/>
    <s v="Atuadores"/>
    <x v="4"/>
    <n v="1"/>
    <n v="5004042"/>
    <s v="BRASIL WEB TRANSPORTES E LOGISTICA"/>
    <n v="38.17"/>
    <d v="2025-07-17T00:00:00"/>
  </r>
  <r>
    <s v="Sem TR"/>
    <n v="64812746"/>
    <s v="REB"/>
    <n v="10113753"/>
    <n v="411"/>
    <s v="DEV-Extravio de PEÇAS (Transportadora)"/>
    <s v="TRANSPORTADORA"/>
    <x v="2"/>
    <n v="2343"/>
    <s v="REFRIGERACAO ESQUIMO LTDA"/>
    <s v="MG"/>
    <n v="350"/>
    <s v="Ats On"/>
    <n v="1350"/>
    <n v="326065618"/>
    <s v="Prateleiras"/>
    <x v="1"/>
    <n v="1"/>
    <n v="5004215"/>
    <s v="BRASIL WEB TRANSPORTES E LOGISTICA"/>
    <n v="96.74"/>
    <d v="2025-07-25T00:00:00"/>
  </r>
  <r>
    <s v="Sem TR"/>
    <n v="64812749"/>
    <s v="REB"/>
    <n v="10091549"/>
    <n v="176"/>
    <s v="PEÇAS - Defeito de fabric./Interrompido"/>
    <s v="FUNCIONAL"/>
    <x v="1"/>
    <n v="27031"/>
    <s v="ELIANE DE SOUZA COMERCIO E SERVICOS"/>
    <s v="SP"/>
    <n v="932"/>
    <s v="CDP Prata"/>
    <n v="1350"/>
    <s v="W11254865"/>
    <s v="Mecanismos"/>
    <x v="4"/>
    <n v="1"/>
    <n v="5004042"/>
    <s v="BRASIL WEB TRANSPORTES E LOGISTICA"/>
    <n v="167.46"/>
    <d v="2025-07-17T00:00:00"/>
  </r>
  <r>
    <s v="Sem TR"/>
    <n v="64812764"/>
    <s v="REB"/>
    <n v="9825688"/>
    <n v="178"/>
    <s v="PEÇAS -Defeito de fabric./Sem Compressão"/>
    <s v="FUNCIONAL"/>
    <x v="1"/>
    <n v="80432"/>
    <s v="FRIORIO DISTRIBUIDOR DE PECAS PARA"/>
    <s v="ES"/>
    <n v="713"/>
    <s v="Key Account"/>
    <n v="1350"/>
    <s v="W11647660"/>
    <s v="Compressores Herméticos"/>
    <x v="0"/>
    <n v="56"/>
    <n v="5004042"/>
    <s v="BRASIL WEB TRANSPORTES E LOGISTICA"/>
    <n v="13645.52"/>
    <d v="2025-07-17T00:00:00"/>
  </r>
  <r>
    <s v="Sem TR"/>
    <n v="64812784"/>
    <s v="ZDVP"/>
    <n v="9961387"/>
    <n v="173"/>
    <s v="PEÇAS - Defeito de fabric./Alta Amperage"/>
    <s v="FUNCIONAL"/>
    <x v="1"/>
    <n v="28684"/>
    <s v="CABO FRIO PECAS"/>
    <s v="SP"/>
    <n v="648"/>
    <s v="Ultra"/>
    <n v="1350"/>
    <n v="326061172"/>
    <s v="Placas de Controle"/>
    <x v="2"/>
    <n v="1"/>
    <n v="5004042"/>
    <s v="BRASIL WEB TRANSPORTES E LOGISTICA"/>
    <n v="436.63"/>
    <d v="2025-07-17T00:00:00"/>
  </r>
  <r>
    <n v="254058314"/>
    <n v="64812788"/>
    <s v="REB"/>
    <n v="10109101"/>
    <n v="176"/>
    <s v="PEÇAS - Defeito de fabric./Interrompido"/>
    <s v="FUNCIONAL"/>
    <x v="2"/>
    <n v="67948"/>
    <s v="REFRICRIL DISTRIBUIDORA DE AR REFRI"/>
    <s v="SC"/>
    <n v="713"/>
    <s v="Key Account"/>
    <n v="1350"/>
    <s v="W10619463"/>
    <s v="Pressostatos"/>
    <x v="8"/>
    <n v="1"/>
    <n v="5003024"/>
    <s v="RODOBRAS TRANSPORTES RODOVIARIOS LT"/>
    <n v="27.87"/>
    <d v="2025-07-25T00:00:00"/>
  </r>
  <r>
    <n v="254058314"/>
    <n v="64812788"/>
    <s v="REB"/>
    <n v="10109101"/>
    <n v="176"/>
    <s v="PEÇAS - Defeito de fabric./Interrompido"/>
    <s v="FUNCIONAL"/>
    <x v="2"/>
    <n v="67948"/>
    <s v="REFRICRIL DISTRIBUIDORA DE AR REFRI"/>
    <s v="SC"/>
    <n v="713"/>
    <s v="Key Account"/>
    <n v="1350"/>
    <n v="326013733"/>
    <s v="Termostatos"/>
    <x v="8"/>
    <n v="1"/>
    <n v="5003024"/>
    <s v="RODOBRAS TRANSPORTES RODOVIARIOS LT"/>
    <n v="30.33"/>
    <d v="2025-07-25T00:00:00"/>
  </r>
  <r>
    <n v="254058314"/>
    <n v="64812788"/>
    <s v="REB"/>
    <n v="10109101"/>
    <n v="176"/>
    <s v="PEÇAS - Defeito de fabric./Interrompido"/>
    <s v="FUNCIONAL"/>
    <x v="2"/>
    <n v="67948"/>
    <s v="REFRICRIL DISTRIBUIDORA DE AR REFRI"/>
    <s v="SC"/>
    <n v="713"/>
    <s v="Key Account"/>
    <n v="1350"/>
    <s v="W11082463"/>
    <s v="Termostatos"/>
    <x v="8"/>
    <n v="1"/>
    <n v="5003024"/>
    <s v="RODOBRAS TRANSPORTES RODOVIARIOS LT"/>
    <n v="39.85"/>
    <d v="2025-07-25T00:00:00"/>
  </r>
  <r>
    <n v="254058314"/>
    <n v="64812788"/>
    <s v="REB"/>
    <n v="10109101"/>
    <n v="176"/>
    <s v="PEÇAS - Defeito de fabric./Interrompido"/>
    <s v="FUNCIONAL"/>
    <x v="2"/>
    <n v="67948"/>
    <s v="REFRICRIL DISTRIBUIDORA DE AR REFRI"/>
    <s v="SC"/>
    <n v="713"/>
    <s v="Key Account"/>
    <n v="1350"/>
    <s v="W11344668"/>
    <s v="Válvulas de Água"/>
    <x v="6"/>
    <n v="1"/>
    <n v="5003024"/>
    <s v="RODOBRAS TRANSPORTES RODOVIARIOS LT"/>
    <n v="49.27"/>
    <d v="2025-07-25T00:00:00"/>
  </r>
  <r>
    <s v="Sem TR"/>
    <n v="64813026"/>
    <s v="REB"/>
    <n v="9692184"/>
    <n v="178"/>
    <s v="PEÇAS -Defeito de fabric./Sem Compressão"/>
    <s v="FUNCIONAL"/>
    <x v="1"/>
    <n v="84681"/>
    <s v="REFRIGERACAO MOTA LTDA"/>
    <s v="BA"/>
    <n v="643"/>
    <s v="Elite"/>
    <n v="1350"/>
    <n v="326026647"/>
    <s v="Outros"/>
    <x v="5"/>
    <n v="1"/>
    <n v="5004101"/>
    <s v="UNIDOCK'S ASSESSORIA E LOGISTICA DE"/>
    <n v="268.45"/>
    <d v="2025-07-22T00:00:00"/>
  </r>
  <r>
    <n v="254034408"/>
    <n v="64813035"/>
    <s v="ROB"/>
    <n v="10113493"/>
    <n v="208"/>
    <s v="DEV-Atraso entrega- LOGISTICA(Transp)"/>
    <s v="TRANSPORTADORA"/>
    <x v="2"/>
    <n v="3625"/>
    <s v="VARZEA SERVICOS E PECAS LTDA"/>
    <s v="SP"/>
    <n v="350"/>
    <s v="Ats On"/>
    <n v="1350"/>
    <s v="W10515645"/>
    <s v="Filtros"/>
    <x v="6"/>
    <n v="1"/>
    <n v="5004101"/>
    <s v="UNIDOCK'S ASSESSORIA E LOGISTICA DE"/>
    <n v="25.89"/>
    <d v="2025-07-18T00:00:00"/>
  </r>
  <r>
    <n v="254034408"/>
    <n v="64813035"/>
    <s v="ROB"/>
    <n v="10113493"/>
    <n v="208"/>
    <s v="DEV-Atraso entrega- LOGISTICA(Transp)"/>
    <s v="TRANSPORTADORA"/>
    <x v="2"/>
    <n v="3625"/>
    <s v="VARZEA SERVICOS E PECAS LTDA"/>
    <s v="SP"/>
    <n v="350"/>
    <s v="Ats On"/>
    <n v="1350"/>
    <s v="W10791633"/>
    <s v="Retentores"/>
    <x v="10"/>
    <n v="3"/>
    <n v="5004101"/>
    <s v="UNIDOCK'S ASSESSORIA E LOGISTICA DE"/>
    <n v="29.35"/>
    <d v="2025-07-18T00:00:00"/>
  </r>
  <r>
    <n v="254034408"/>
    <n v="64813035"/>
    <s v="ROB"/>
    <n v="10113493"/>
    <n v="208"/>
    <s v="DEV-Atraso entrega- LOGISTICA(Transp)"/>
    <s v="TRANSPORTADORA"/>
    <x v="2"/>
    <n v="3625"/>
    <s v="VARZEA SERVICOS E PECAS LTDA"/>
    <s v="SP"/>
    <n v="350"/>
    <s v="Ats On"/>
    <n v="1350"/>
    <s v="W11300695"/>
    <s v="Mecanismos"/>
    <x v="4"/>
    <n v="1"/>
    <n v="5004101"/>
    <s v="UNIDOCK'S ASSESSORIA E LOGISTICA DE"/>
    <n v="209.58"/>
    <d v="2025-07-18T00:00:00"/>
  </r>
  <r>
    <n v="254034408"/>
    <n v="64813035"/>
    <s v="ROB"/>
    <n v="10113493"/>
    <n v="208"/>
    <s v="DEV-Atraso entrega- LOGISTICA(Transp)"/>
    <s v="TRANSPORTADORA"/>
    <x v="2"/>
    <n v="3625"/>
    <s v="VARZEA SERVICOS E PECAS LTDA"/>
    <s v="SP"/>
    <n v="350"/>
    <s v="Ats On"/>
    <n v="1350"/>
    <s v="W11366400"/>
    <s v="Placas de Controle"/>
    <x v="2"/>
    <n v="1"/>
    <n v="5004101"/>
    <s v="UNIDOCK'S ASSESSORIA E LOGISTICA DE"/>
    <n v="317.08"/>
    <d v="2025-07-18T00:00:00"/>
  </r>
  <r>
    <n v="254034408"/>
    <n v="64813035"/>
    <s v="ROB"/>
    <n v="10113493"/>
    <n v="208"/>
    <s v="DEV-Atraso entrega- LOGISTICA(Transp)"/>
    <s v="TRANSPORTADORA"/>
    <x v="2"/>
    <n v="3625"/>
    <s v="VARZEA SERVICOS E PECAS LTDA"/>
    <s v="SP"/>
    <n v="350"/>
    <s v="Ats On"/>
    <n v="1350"/>
    <s v="W11516471"/>
    <s v="Compressores Herméticos"/>
    <x v="0"/>
    <n v="1"/>
    <n v="5004101"/>
    <s v="UNIDOCK'S ASSESSORIA E LOGISTICA DE"/>
    <n v="412.58"/>
    <d v="2025-07-18T00:00:00"/>
  </r>
  <r>
    <n v="254034408"/>
    <n v="64813035"/>
    <s v="ROB"/>
    <n v="10113493"/>
    <n v="208"/>
    <s v="DEV-Atraso entrega- LOGISTICA(Transp)"/>
    <s v="TRANSPORTADORA"/>
    <x v="2"/>
    <n v="3625"/>
    <s v="VARZEA SERVICOS E PECAS LTDA"/>
    <s v="SP"/>
    <n v="350"/>
    <s v="Ats On"/>
    <n v="1350"/>
    <s v="W11551361"/>
    <s v="Peças Mecanismos"/>
    <x v="4"/>
    <n v="2"/>
    <n v="5004101"/>
    <s v="UNIDOCK'S ASSESSORIA E LOGISTICA DE"/>
    <n v="30.9"/>
    <d v="2025-07-18T00:00:00"/>
  </r>
  <r>
    <n v="254034409"/>
    <n v="64813036"/>
    <s v="ROB"/>
    <n v="10113494"/>
    <n v="208"/>
    <s v="DEV-Atraso entrega- LOGISTICA(Transp)"/>
    <s v="TRANSPORTADORA"/>
    <x v="2"/>
    <n v="3625"/>
    <s v="VARZEA SERVICOS E PECAS LTDA"/>
    <s v="SP"/>
    <n v="350"/>
    <s v="Ats On"/>
    <n v="1350"/>
    <s v="W10699240"/>
    <s v="Filtro Secadores"/>
    <x v="0"/>
    <n v="3"/>
    <n v="5004101"/>
    <s v="UNIDOCK'S ASSESSORIA E LOGISTICA DE"/>
    <n v="24.21"/>
    <d v="2025-07-18T00:00:00"/>
  </r>
  <r>
    <n v="254034410"/>
    <n v="64813037"/>
    <s v="ROB"/>
    <n v="10113495"/>
    <n v="208"/>
    <s v="DEV-Atraso entrega- LOGISTICA(Transp)"/>
    <s v="TRANSPORTADORA"/>
    <x v="2"/>
    <n v="3625"/>
    <s v="VARZEA SERVICOS E PECAS LTDA"/>
    <s v="SP"/>
    <n v="350"/>
    <s v="Ats On"/>
    <n v="1350"/>
    <s v="W10849470"/>
    <s v="Bombas"/>
    <x v="2"/>
    <n v="2"/>
    <n v="5004101"/>
    <s v="UNIDOCK'S ASSESSORIA E LOGISTICA DE"/>
    <n v="68.95"/>
    <d v="2025-07-18T00:00:00"/>
  </r>
  <r>
    <n v="254063723"/>
    <n v="64813060"/>
    <s v="REB"/>
    <n v="10122625"/>
    <n v="167"/>
    <s v="PEÇAS - Avaria - Quebrada/Depósito"/>
    <s v="LOGÍSTICA"/>
    <x v="2"/>
    <n v="32265"/>
    <s v="REFRICON COMERCIO DE REFRIGERACAO L"/>
    <s v="PB"/>
    <n v="934"/>
    <s v="CDP Ouro"/>
    <n v="1350"/>
    <s v="W11201322"/>
    <s v="Prateleiras"/>
    <x v="1"/>
    <n v="1"/>
    <n v="5004101"/>
    <s v="UNIDOCK'S ASSESSORIA E LOGISTICA DE"/>
    <n v="89.46"/>
    <d v="2025-07-22T00:00:00"/>
  </r>
  <r>
    <n v="254038295"/>
    <n v="64813068"/>
    <s v="REB"/>
    <n v="10124387"/>
    <n v="176"/>
    <s v="PEÇAS - Defeito de fabric./Interrompido"/>
    <s v="FUNCIONAL"/>
    <x v="1"/>
    <n v="5036"/>
    <s v="CONSERPE COMERCIO DE PECAS"/>
    <s v="RS"/>
    <n v="350"/>
    <s v="Ats On"/>
    <n v="1350"/>
    <s v="W11161217"/>
    <s v="Placas de Controle"/>
    <x v="2"/>
    <n v="1"/>
    <n v="5003024"/>
    <s v="RODOBRAS TRANSPORTES RODOVIARIOS LT"/>
    <n v="292.86"/>
    <d v="2025-07-22T00:00:00"/>
  </r>
  <r>
    <s v="Sem TR"/>
    <n v="64813148"/>
    <s v="REB"/>
    <n v="10108880"/>
    <n v="509"/>
    <s v="Qtd de peças a Menor dentro do Volume"/>
    <s v="LOGÍSTICA"/>
    <x v="2"/>
    <n v="30000"/>
    <s v="REFRIGERACAO CALZA LTDA."/>
    <s v="SC"/>
    <n v="350"/>
    <s v="Ats On"/>
    <n v="1350"/>
    <s v="W11574388"/>
    <s v="Capacitores"/>
    <x v="2"/>
    <n v="5"/>
    <n v="5002359"/>
    <s v="EMPRESA BRASILEIRA DE CORREIOS E"/>
    <n v="67.25"/>
    <d v="2025-07-22T00:00:00"/>
  </r>
  <r>
    <s v="Sem TR"/>
    <n v="64813277"/>
    <s v="REB"/>
    <n v="10121820"/>
    <n v="167"/>
    <s v="PEÇAS - Avaria - Quebrada/Depósito"/>
    <s v="LOGÍSTICA"/>
    <x v="1"/>
    <n v="25656"/>
    <s v="OFICIAL REFRIGERACAO COMERCIO"/>
    <s v="SP"/>
    <n v="931"/>
    <s v="Ats Off"/>
    <n v="1350"/>
    <s v="W10391596"/>
    <s v="Gavetas"/>
    <x v="1"/>
    <n v="1"/>
    <n v="5004042"/>
    <s v="BRASIL WEB TRANSPORTES E LOGISTICA"/>
    <n v="92.32"/>
    <d v="2025-07-22T00:00:00"/>
  </r>
  <r>
    <n v="254050121"/>
    <n v="64813278"/>
    <s v="ZDVP"/>
    <n v="10130762"/>
    <n v="167"/>
    <s v="PEÇAS - Avaria - Quebrada/Depósito"/>
    <s v="LOGÍSTICA"/>
    <x v="1"/>
    <n v="56043"/>
    <s v="B C M - COMERCIO DE PECAS E"/>
    <s v="PR"/>
    <n v="963"/>
    <s v="Ats Distribuidoras"/>
    <n v="1350"/>
    <s v="W10624070"/>
    <s v="Gavetas"/>
    <x v="1"/>
    <n v="1"/>
    <n v="5003024"/>
    <s v="RODOBRAS TRANSPORTES RODOVIARIOS LT"/>
    <n v="102.82"/>
    <d v="2025-07-22T00:00:00"/>
  </r>
  <r>
    <s v="Sem TR"/>
    <n v="64813338"/>
    <s v="REB"/>
    <n v="10072221"/>
    <n v="173"/>
    <s v="PEÇAS - Defeito de fabric./Alta Amperage"/>
    <s v="FUNCIONAL"/>
    <x v="1"/>
    <n v="64683"/>
    <s v="LAJEAR REFRIGERACAO LTDA ME"/>
    <s v="RS"/>
    <n v="648"/>
    <s v="Ultra"/>
    <n v="1350"/>
    <s v="W10721910"/>
    <s v="Pressostatos"/>
    <x v="8"/>
    <n v="1"/>
    <n v="5003024"/>
    <s v="RODOBRAS TRANSPORTES RODOVIARIOS LT"/>
    <n v="25.41"/>
    <d v="2025-07-22T00:00:00"/>
  </r>
  <r>
    <n v="254038398"/>
    <n v="64813558"/>
    <s v="REB"/>
    <n v="9805445"/>
    <n v="176"/>
    <s v="PEÇAS - Defeito de fabric./Interrompido"/>
    <s v="FUNCIONAL"/>
    <x v="1"/>
    <n v="80432"/>
    <s v="FRIORIO DISTRIBUIDOR DE PECAS PARA"/>
    <s v="ES"/>
    <n v="713"/>
    <s v="Key Account"/>
    <n v="1350"/>
    <s v="W11161216"/>
    <s v="Placas de Controle"/>
    <x v="2"/>
    <n v="1"/>
    <n v="5004042"/>
    <s v="BRASIL WEB TRANSPORTES E LOGISTICA"/>
    <n v="265.95999999999998"/>
    <d v="2025-07-22T00:00:00"/>
  </r>
  <r>
    <s v="Sem TR"/>
    <n v="64813610"/>
    <s v="REB"/>
    <n v="10101670"/>
    <n v="115"/>
    <s v="PEÇAS-Recusa do cliente"/>
    <s v="COMERCIAL"/>
    <x v="1"/>
    <n v="88017"/>
    <s v="LOPES REPARACOES COMERCIO E"/>
    <s v="BA"/>
    <n v="350"/>
    <s v="Ats On"/>
    <n v="1350"/>
    <s v="W10916594"/>
    <s v="Gaxetas"/>
    <x v="10"/>
    <n v="5"/>
    <n v="5004101"/>
    <s v="UNIDOCK'S ASSESSORIA E LOGISTICA DE"/>
    <n v="229.5"/>
    <d v="2025-07-19T00:00:00"/>
  </r>
  <r>
    <n v="254058315"/>
    <n v="64813614"/>
    <s v="REB"/>
    <n v="9912020"/>
    <n v="178"/>
    <s v="PEÇAS -Defeito de fabric./Sem Compressão"/>
    <s v="FUNCIONAL"/>
    <x v="1"/>
    <n v="4167"/>
    <s v="MAQ VILLE PECAS E SERVICOS LTDA"/>
    <s v="SP"/>
    <n v="931"/>
    <s v="Ats Off"/>
    <n v="1350"/>
    <s v="W10798744"/>
    <s v="Compressores Herméticos"/>
    <x v="0"/>
    <n v="1"/>
    <n v="5004042"/>
    <s v="BRASIL WEB TRANSPORTES E LOGISTICA"/>
    <n v="428.72"/>
    <d v="2025-07-19T00:00:00"/>
  </r>
  <r>
    <s v="Sem TR"/>
    <n v="64813724"/>
    <s v="REB"/>
    <n v="10138042"/>
    <n v="173"/>
    <s v="PEÇAS - Defeito de fabric./Alta Amperage"/>
    <s v="FUNCIONAL"/>
    <x v="1"/>
    <n v="72911"/>
    <s v="ALVITEK PECAS E SERVICOS LTDA"/>
    <s v="SP"/>
    <n v="931"/>
    <s v="Ats Off"/>
    <n v="1350"/>
    <s v="W10390025"/>
    <s v="Dobradiças"/>
    <x v="7"/>
    <n v="1"/>
    <n v="5004042"/>
    <s v="BRASIL WEB TRANSPORTES E LOGISTICA"/>
    <n v="30.4"/>
    <d v="2025-07-20T00:00:00"/>
  </r>
  <r>
    <s v="Sem TR"/>
    <n v="64813724"/>
    <s v="REB"/>
    <n v="10138042"/>
    <n v="173"/>
    <s v="PEÇAS - Defeito de fabric./Alta Amperage"/>
    <s v="FUNCIONAL"/>
    <x v="1"/>
    <n v="72911"/>
    <s v="ALVITEK PECAS E SERVICOS LTDA"/>
    <s v="SP"/>
    <n v="931"/>
    <s v="Ats Off"/>
    <n v="1350"/>
    <s v="W10410547"/>
    <s v="Dobradiças"/>
    <x v="7"/>
    <n v="1"/>
    <n v="5004042"/>
    <s v="BRASIL WEB TRANSPORTES E LOGISTICA"/>
    <n v="29.32"/>
    <d v="2025-07-20T00:00:00"/>
  </r>
  <r>
    <s v="Sem TR"/>
    <n v="64813850"/>
    <s v="REB"/>
    <n v="10122260"/>
    <n v="509"/>
    <s v="Qtd de peças a Menor dentro do Volume"/>
    <s v="LOGÍSTICA"/>
    <x v="2"/>
    <n v="27511"/>
    <s v="MARCOS JOSE DE OLIVEIRA SOROCABA-EP"/>
    <s v="SP"/>
    <n v="641"/>
    <s v="CDP Diamante"/>
    <n v="1350"/>
    <s v="W10828358"/>
    <s v="Pressostatos"/>
    <x v="8"/>
    <n v="1"/>
    <n v="5002359"/>
    <s v="EMPRESA BRASILEIRA DE CORREIOS E"/>
    <n v="34.659999999999997"/>
    <d v="2025-07-22T00:00:00"/>
  </r>
  <r>
    <n v="254038299"/>
    <n v="64813851"/>
    <s v="REB"/>
    <n v="10096719"/>
    <n v="173"/>
    <s v="PEÇAS - Defeito de fabric./Alta Amperage"/>
    <s v="FUNCIONAL"/>
    <x v="2"/>
    <n v="14474"/>
    <s v="NATAL SERVICE LTDA N"/>
    <s v="RN"/>
    <n v="648"/>
    <s v="Ultra"/>
    <n v="1350"/>
    <s v="W11082454"/>
    <s v="Termostatos"/>
    <x v="8"/>
    <n v="1"/>
    <n v="5004101"/>
    <s v="UNIDOCK'S ASSESSORIA E LOGISTICA DE"/>
    <n v="60.49"/>
    <d v="2025-07-22T00:00:00"/>
  </r>
  <r>
    <n v="254050473"/>
    <n v="64813852"/>
    <s v="ZDVP"/>
    <n v="10130762"/>
    <n v="167"/>
    <s v="PEÇAS - Avaria - Quebrada/Depósito"/>
    <s v="LOGÍSTICA"/>
    <x v="1"/>
    <n v="56043"/>
    <s v="B C M - COMERCIO DE PECAS E"/>
    <s v="PR"/>
    <n v="963"/>
    <s v="Ats Distribuidoras"/>
    <n v="1350"/>
    <s v="W10624070"/>
    <s v="Gavetas"/>
    <x v="1"/>
    <n v="1"/>
    <n v="5003024"/>
    <s v="RODOBRAS TRANSPORTES RODOVIARIOS LT"/>
    <n v="102.82"/>
    <d v="2025-07-22T00:00:00"/>
  </r>
  <r>
    <n v="254050474"/>
    <n v="64813853"/>
    <s v="ZDVP"/>
    <n v="10130762"/>
    <n v="167"/>
    <s v="PEÇAS - Avaria - Quebrada/Depósito"/>
    <s v="LOGÍSTICA"/>
    <x v="1"/>
    <n v="56043"/>
    <s v="B C M - COMERCIO DE PECAS E"/>
    <s v="PR"/>
    <n v="963"/>
    <s v="Ats Distribuidoras"/>
    <n v="1350"/>
    <s v="W10624070"/>
    <s v="Gavetas"/>
    <x v="1"/>
    <n v="1"/>
    <n v="5003024"/>
    <s v="RODOBRAS TRANSPORTES RODOVIARIOS LT"/>
    <n v="102.82"/>
    <d v="2025-07-22T00:00:00"/>
  </r>
  <r>
    <n v="254038406"/>
    <n v="64813897"/>
    <s v="ZDVP"/>
    <n v="10010270"/>
    <n v="173"/>
    <s v="PEÇAS - Defeito de fabric./Alta Amperage"/>
    <s v="FUNCIONAL"/>
    <x v="2"/>
    <n v="18805"/>
    <s v="RECORRE R C REFRIG LTDA"/>
    <s v="PR"/>
    <n v="648"/>
    <s v="Ultra"/>
    <n v="1350"/>
    <s v="W11300816"/>
    <s v="Mecanismos"/>
    <x v="4"/>
    <n v="2"/>
    <n v="5003024"/>
    <s v="RODOBRAS TRANSPORTES RODOVIARIOS LT"/>
    <n v="243.14"/>
    <d v="2025-07-22T00:00:00"/>
  </r>
  <r>
    <n v="254038269"/>
    <n v="64813940"/>
    <s v="REB"/>
    <n v="9800581"/>
    <n v="173"/>
    <s v="PEÇAS - Defeito de fabric./Alta Amperage"/>
    <s v="FUNCIONAL"/>
    <x v="1"/>
    <n v="4167"/>
    <s v="MAQ VILLE PECAS E SERVICOS LTDA"/>
    <s v="SP"/>
    <n v="931"/>
    <s v="Ats Off"/>
    <n v="1350"/>
    <s v="W10661056"/>
    <s v="Interruptores horário"/>
    <x v="8"/>
    <n v="1"/>
    <n v="5004042"/>
    <s v="BRASIL WEB TRANSPORTES E LOGISTICA"/>
    <n v="160.15"/>
    <d v="2025-07-22T00:00:00"/>
  </r>
  <r>
    <n v="254059901"/>
    <n v="64814035"/>
    <s v="REB"/>
    <n v="10064808"/>
    <n v="173"/>
    <s v="PEÇAS - Defeito de fabric./Alta Amperage"/>
    <s v="FUNCIONAL"/>
    <x v="1"/>
    <n v="21295"/>
    <s v="REFRIGAS COMERCIO E SERVICOS"/>
    <s v="SP"/>
    <n v="648"/>
    <s v="Ultra"/>
    <n v="1350"/>
    <s v="W10393823"/>
    <s v="Compressores Herméticos"/>
    <x v="0"/>
    <n v="1"/>
    <n v="5004042"/>
    <s v="BRASIL WEB TRANSPORTES E LOGISTICA"/>
    <n v="502.36"/>
    <d v="2025-07-22T00:00:00"/>
  </r>
  <r>
    <n v="254038301"/>
    <n v="64814036"/>
    <s v="REB"/>
    <n v="10114024"/>
    <n v="173"/>
    <s v="PEÇAS - Defeito de fabric./Alta Amperage"/>
    <s v="FUNCIONAL"/>
    <x v="2"/>
    <n v="18805"/>
    <s v="RECORRE R C REFRIG LTDA"/>
    <s v="PR"/>
    <n v="648"/>
    <s v="Ultra"/>
    <n v="1350"/>
    <s v="W11300675"/>
    <s v="Mecanismos"/>
    <x v="4"/>
    <n v="1"/>
    <n v="5003024"/>
    <s v="RODOBRAS TRANSPORTES RODOVIARIOS LT"/>
    <n v="109.03"/>
    <d v="2025-07-22T00:00:00"/>
  </r>
  <r>
    <n v="254038272"/>
    <n v="64814038"/>
    <s v="REB"/>
    <n v="10129331"/>
    <n v="176"/>
    <s v="PEÇAS - Defeito de fabric./Interrompido"/>
    <s v="FUNCIONAL"/>
    <x v="1"/>
    <n v="4318"/>
    <s v="REFRIGERACAO MARTENDAL LTDA"/>
    <s v="SC"/>
    <n v="931"/>
    <s v="Ats Off"/>
    <n v="1350"/>
    <s v="W11287617"/>
    <s v="Filtros"/>
    <x v="6"/>
    <n v="1"/>
    <n v="5003024"/>
    <s v="RODOBRAS TRANSPORTES RODOVIARIOS LT"/>
    <n v="5.51"/>
    <d v="2025-07-22T00:00:00"/>
  </r>
  <r>
    <n v="254038272"/>
    <n v="64814038"/>
    <s v="REB"/>
    <n v="10129331"/>
    <n v="176"/>
    <s v="PEÇAS - Defeito de fabric./Interrompido"/>
    <s v="FUNCIONAL"/>
    <x v="1"/>
    <n v="4318"/>
    <s v="REFRIGERACAO MARTENDAL LTDA"/>
    <s v="SC"/>
    <n v="931"/>
    <s v="Ats Off"/>
    <n v="1350"/>
    <s v="W10471975"/>
    <s v="Interruptores"/>
    <x v="8"/>
    <n v="1"/>
    <n v="5003024"/>
    <s v="RODOBRAS TRANSPORTES RODOVIARIOS LT"/>
    <n v="32.15"/>
    <d v="2025-07-22T00:00:00"/>
  </r>
  <r>
    <s v="Sem TR"/>
    <n v="64814275"/>
    <s v="REB"/>
    <n v="10140699"/>
    <n v="509"/>
    <s v="Qtd de peças a Menor dentro do Volume"/>
    <s v="LOGÍSTICA"/>
    <x v="2"/>
    <n v="15872"/>
    <s v="VALE PECAS REFRIGERACAO LTDA. DA ME"/>
    <s v="SP"/>
    <n v="350"/>
    <s v="Ats On"/>
    <n v="1350"/>
    <s v="W11344928"/>
    <s v="Mangueiras"/>
    <x v="6"/>
    <n v="1"/>
    <n v="5002359"/>
    <s v="EMPRESA BRASILEIRA DE CORREIOS E"/>
    <n v="171.2"/>
    <d v="2025-07-22T00:00:00"/>
  </r>
  <r>
    <s v="Sem TR"/>
    <n v="64814322"/>
    <s v="REB"/>
    <n v="9640375"/>
    <n v="173"/>
    <s v="PEÇAS - Defeito de fabric./Alta Amperage"/>
    <s v="FUNCIONAL"/>
    <x v="1"/>
    <n v="29802"/>
    <s v="BOQUETAO REFRIGERACAO EIRELI"/>
    <s v="SP"/>
    <n v="934"/>
    <s v="CDP Ouro"/>
    <n v="1350"/>
    <s v="W11647660"/>
    <s v="Compressores Herméticos"/>
    <x v="0"/>
    <n v="1"/>
    <n v="5004042"/>
    <s v="BRASIL WEB TRANSPORTES E LOGISTICA"/>
    <n v="368.95"/>
    <d v="2025-07-22T00:00:00"/>
  </r>
  <r>
    <n v="254066671"/>
    <n v="64814328"/>
    <s v="REB"/>
    <n v="9912907"/>
    <n v="178"/>
    <s v="PEÇAS -Defeito de fabric./Sem Compressão"/>
    <s v="FUNCIONAL"/>
    <x v="2"/>
    <n v="63300"/>
    <s v="REFRIGERACAO MOTA LTDA"/>
    <s v="MG"/>
    <n v="643"/>
    <s v="Elite"/>
    <n v="1350"/>
    <s v="W10393823"/>
    <s v="Compressores Herméticos"/>
    <x v="0"/>
    <n v="2"/>
    <n v="5004215"/>
    <s v="BRASIL WEB TRANSPORTES E LOGISTICA"/>
    <n v="949.01"/>
    <d v="2025-07-22T00:00:00"/>
  </r>
  <r>
    <n v="254050478"/>
    <n v="64814390"/>
    <s v="REB"/>
    <n v="10095116"/>
    <n v="167"/>
    <s v="PEÇAS - Avaria - Quebrada/Depósito"/>
    <s v="LOGÍSTICA"/>
    <x v="1"/>
    <n v="68085"/>
    <s v="REFRIGERACAO BASSO SJC LTDA"/>
    <s v="SP"/>
    <n v="643"/>
    <s v="Elite"/>
    <n v="1350"/>
    <s v="W10882241"/>
    <s v="Agitadores"/>
    <x v="4"/>
    <n v="21"/>
    <n v="5004042"/>
    <s v="BRASIL WEB TRANSPORTES E LOGISTICA"/>
    <n v="1200.8699999999999"/>
    <d v="2025-07-22T00:00:00"/>
  </r>
  <r>
    <s v="Sem TR"/>
    <n v="64814392"/>
    <s v="REB"/>
    <n v="9423618"/>
    <n v="176"/>
    <s v="PEÇAS - Defeito de fabric./Interrompido"/>
    <s v="FUNCIONAL"/>
    <x v="1"/>
    <n v="81988"/>
    <s v="BH COMERCIO DE PECAS E FRIGERACAO"/>
    <s v="MG"/>
    <n v="648"/>
    <s v="Ultra"/>
    <n v="1350"/>
    <s v="W10393823"/>
    <s v="Compressores Herméticos"/>
    <x v="0"/>
    <n v="1"/>
    <n v="5004215"/>
    <s v="BRASIL WEB TRANSPORTES E LOGISTICA"/>
    <n v="506.17"/>
    <d v="2025-07-22T00:00:00"/>
  </r>
  <r>
    <s v="Sem TR"/>
    <n v="64814397"/>
    <s v="REB"/>
    <n v="10113100"/>
    <n v="90"/>
    <s v="CLIENTE-não solicitou"/>
    <s v="COMERCIAL"/>
    <x v="1"/>
    <n v="3506"/>
    <s v="TECBRAS ASSISTENCIA TECNICA"/>
    <s v="SP"/>
    <n v="931"/>
    <s v="Ats Off"/>
    <n v="1350"/>
    <n v="326006796"/>
    <s v="Outros"/>
    <x v="5"/>
    <n v="3"/>
    <n v="5004042"/>
    <s v="BRASIL WEB TRANSPORTES E LOGISTICA"/>
    <n v="200.13"/>
    <d v="2025-07-25T00:00:00"/>
  </r>
  <r>
    <n v="254066672"/>
    <n v="64814465"/>
    <s v="REB"/>
    <n v="10066344"/>
    <n v="178"/>
    <s v="PEÇAS -Defeito de fabric./Sem Compressão"/>
    <s v="FUNCIONAL"/>
    <x v="2"/>
    <n v="63300"/>
    <s v="REFRIGERACAO MOTA LTDA"/>
    <s v="MG"/>
    <n v="643"/>
    <s v="Elite"/>
    <n v="1350"/>
    <s v="W11647660"/>
    <s v="Compressores Herméticos"/>
    <x v="0"/>
    <n v="2"/>
    <n v="5004215"/>
    <s v="BRASIL WEB TRANSPORTES E LOGISTICA"/>
    <n v="561.91"/>
    <d v="2025-07-22T00:00:00"/>
  </r>
  <r>
    <s v="Sem TR"/>
    <n v="64814469"/>
    <s v="REB"/>
    <n v="10114051"/>
    <n v="167"/>
    <s v="PEÇAS - Avaria - Quebrada/Depósito"/>
    <s v="LOGÍSTICA"/>
    <x v="1"/>
    <n v="5032"/>
    <s v="TECSUL PECAS E SERVICOS PARA"/>
    <s v="RS"/>
    <n v="350"/>
    <s v="Ats On"/>
    <n v="1350"/>
    <s v="W10347201"/>
    <s v="Prateleiras"/>
    <x v="1"/>
    <n v="1"/>
    <n v="5003024"/>
    <s v="RODOBRAS TRANSPORTES RODOVIARIOS LT"/>
    <n v="62.86"/>
    <d v="2025-07-22T00:00:00"/>
  </r>
  <r>
    <n v="254056455"/>
    <n v="64814470"/>
    <s v="REB"/>
    <n v="10029772"/>
    <n v="173"/>
    <s v="PEÇAS - Defeito de fabric./Alta Amperage"/>
    <s v="FUNCIONAL"/>
    <x v="2"/>
    <n v="9991"/>
    <s v="HIPERFRIO COMERCIO DE PECAS LTDA"/>
    <s v="DF"/>
    <n v="648"/>
    <s v="Ultra"/>
    <n v="1350"/>
    <s v="W11300678"/>
    <s v="Mecanismos"/>
    <x v="4"/>
    <n v="1"/>
    <n v="5002858"/>
    <s v="FAVORITA TRANSPORTES LTDA"/>
    <n v="192.14"/>
    <d v="2025-08-15T00:00:00"/>
  </r>
  <r>
    <n v="254056455"/>
    <n v="64814471"/>
    <s v="REB"/>
    <n v="10148508"/>
    <n v="173"/>
    <s v="PEÇAS - Defeito de fabric./Alta Amperage"/>
    <s v="FUNCIONAL"/>
    <x v="2"/>
    <n v="9991"/>
    <s v="HIPERFRIO COMERCIO DE PECAS LTDA"/>
    <s v="DF"/>
    <n v="648"/>
    <s v="Ultra"/>
    <n v="1350"/>
    <s v="W11300695"/>
    <s v="Mecanismos"/>
    <x v="4"/>
    <n v="1"/>
    <n v="5002858"/>
    <s v="FAVORITA TRANSPORTES LTDA"/>
    <n v="188.51"/>
    <d v="2025-08-15T00:00:00"/>
  </r>
  <r>
    <s v="Sem TR"/>
    <n v="64814474"/>
    <s v="REB"/>
    <n v="10119800"/>
    <n v="509"/>
    <s v="Qtd de peças a Menor dentro do Volume"/>
    <s v="LOGÍSTICA"/>
    <x v="2"/>
    <n v="27511"/>
    <s v="MARCOS JOSE DE OLIVEIRA SOROCABA-EP"/>
    <s v="SP"/>
    <n v="641"/>
    <s v="CDP Diamante"/>
    <n v="1350"/>
    <s v="W11226018"/>
    <s v="Motores Ventiladores"/>
    <x v="2"/>
    <n v="1"/>
    <n v="5002359"/>
    <s v="EMPRESA BRASILEIRA DE CORREIOS E"/>
    <n v="75.5"/>
    <d v="2025-07-22T00:00:00"/>
  </r>
  <r>
    <n v="254038339"/>
    <n v="64814480"/>
    <s v="REB"/>
    <n v="10135786"/>
    <n v="167"/>
    <s v="PEÇAS - Avaria - Quebrada/Depósito"/>
    <s v="LOGÍSTICA"/>
    <x v="1"/>
    <n v="28016"/>
    <s v="MAREAR SERVIÇOS TECNICOS LTDA"/>
    <s v="RJ"/>
    <n v="933"/>
    <s v="Top"/>
    <n v="1350"/>
    <s v="W10553055"/>
    <s v="Prateleiras"/>
    <x v="1"/>
    <n v="1"/>
    <n v="5003176"/>
    <s v="J C THEDIN TRANSPORTES LTDA"/>
    <n v="35.58"/>
    <d v="2025-07-22T00:00:00"/>
  </r>
  <r>
    <n v="254064642"/>
    <n v="64814489"/>
    <s v="REB"/>
    <n v="10099079"/>
    <n v="170"/>
    <s v="PEÇAS - Avaria - Riscada/Depósito"/>
    <s v="LOGÍSTICA"/>
    <x v="2"/>
    <n v="4987"/>
    <s v="GELCON COMERCIO DE PECAS"/>
    <s v="RS"/>
    <n v="350"/>
    <s v="Ats On"/>
    <n v="1350"/>
    <s v="W11181007"/>
    <s v="Portas"/>
    <x v="3"/>
    <n v="1"/>
    <n v="5003024"/>
    <s v="RODOBRAS TRANSPORTES RODOVIARIOS LT"/>
    <n v="560"/>
    <d v="2025-07-22T00:00:00"/>
  </r>
  <r>
    <s v="Sem TR"/>
    <n v="64814494"/>
    <s v="REB"/>
    <n v="10106663"/>
    <n v="104"/>
    <s v="PEÇAS-Código trocado(embalag X conteúdo)"/>
    <s v="LOGÍSTICA"/>
    <x v="1"/>
    <n v="39976"/>
    <s v="GISELE TEREZINHA PARANHOS DA CRUZ"/>
    <s v="PR"/>
    <n v="350"/>
    <s v="Ats On"/>
    <n v="1350"/>
    <n v="326065664"/>
    <s v="Outros"/>
    <x v="5"/>
    <n v="2"/>
    <n v="5003024"/>
    <s v="RODOBRAS TRANSPORTES RODOVIARIOS LT"/>
    <n v="3.51"/>
    <d v="2025-07-22T00:00:00"/>
  </r>
  <r>
    <s v="Sem TR"/>
    <n v="64814494"/>
    <s v="REB"/>
    <n v="10106663"/>
    <n v="104"/>
    <s v="PEÇAS-Código trocado(embalag X conteúdo)"/>
    <s v="LOGÍSTICA"/>
    <x v="1"/>
    <n v="39976"/>
    <s v="GISELE TEREZINHA PARANHOS DA CRUZ"/>
    <s v="PR"/>
    <n v="350"/>
    <s v="Ats On"/>
    <n v="1350"/>
    <s v="W10766650"/>
    <s v="Suportes"/>
    <x v="3"/>
    <n v="1"/>
    <n v="5003024"/>
    <s v="RODOBRAS TRANSPORTES RODOVIARIOS LT"/>
    <n v="24.14"/>
    <d v="2025-07-22T00:00:00"/>
  </r>
  <r>
    <s v="Sem TR"/>
    <n v="64814500"/>
    <s v="REB"/>
    <n v="10121820"/>
    <n v="167"/>
    <s v="PEÇAS - Avaria - Quebrada/Depósito"/>
    <s v="LOGÍSTICA"/>
    <x v="1"/>
    <n v="25656"/>
    <s v="OFICIAL REFRIGERACAO COMERCIO"/>
    <s v="SP"/>
    <n v="931"/>
    <s v="Ats Off"/>
    <n v="1350"/>
    <s v="W10246170"/>
    <s v="Prateleiras"/>
    <x v="1"/>
    <n v="1"/>
    <n v="5004042"/>
    <s v="BRASIL WEB TRANSPORTES E LOGISTICA"/>
    <n v="36.909999999999997"/>
    <d v="2025-07-22T00:00:00"/>
  </r>
  <r>
    <n v="254050122"/>
    <n v="64814509"/>
    <s v="ZDVP"/>
    <n v="10130762"/>
    <n v="167"/>
    <s v="PEÇAS - Avaria - Quebrada/Depósito"/>
    <s v="LOGÍSTICA"/>
    <x v="1"/>
    <n v="56043"/>
    <s v="B C M - COMERCIO DE PECAS E"/>
    <s v="PR"/>
    <n v="963"/>
    <s v="Ats Distribuidoras"/>
    <n v="1350"/>
    <s v="W10624070"/>
    <s v="Gavetas"/>
    <x v="1"/>
    <n v="1"/>
    <n v="5003024"/>
    <s v="RODOBRAS TRANSPORTES RODOVIARIOS LT"/>
    <n v="102.82"/>
    <d v="2025-07-22T00:00:00"/>
  </r>
  <r>
    <n v="254048487"/>
    <n v="64814520"/>
    <s v="REB"/>
    <n v="10118247"/>
    <n v="173"/>
    <s v="PEÇAS - Defeito de fabric./Alta Amperage"/>
    <s v="FUNCIONAL"/>
    <x v="1"/>
    <n v="20602"/>
    <s v="SANDY DISTRIBUIDORA"/>
    <s v="SP"/>
    <n v="350"/>
    <s v="Ats On"/>
    <n v="1350"/>
    <s v="W11299803"/>
    <s v="Mecanismos"/>
    <x v="4"/>
    <n v="1"/>
    <n v="5004042"/>
    <s v="BRASIL WEB TRANSPORTES E LOGISTICA"/>
    <n v="115.86"/>
    <d v="2025-07-22T00:00:00"/>
  </r>
  <r>
    <s v="Sem TR"/>
    <n v="64814526"/>
    <s v="REB"/>
    <n v="9548914"/>
    <n v="173"/>
    <s v="PEÇAS - Defeito de fabric./Alta Amperage"/>
    <s v="FUNCIONAL"/>
    <x v="1"/>
    <n v="64683"/>
    <s v="LAJEAR REFRIGERACAO LTDA ME"/>
    <s v="RS"/>
    <n v="648"/>
    <s v="Ultra"/>
    <n v="1350"/>
    <s v="W10626365"/>
    <s v="Placas de Interface"/>
    <x v="2"/>
    <n v="1"/>
    <n v="5003024"/>
    <s v="RODOBRAS TRANSPORTES RODOVIARIOS LT"/>
    <n v="94.07"/>
    <d v="2025-07-22T00:00:00"/>
  </r>
  <r>
    <n v="254038293"/>
    <n v="64814527"/>
    <s v="REB"/>
    <n v="10082321"/>
    <n v="177"/>
    <s v="PEÇAS - Defeito de fabric./Ruído"/>
    <s v="FUNCIONAL"/>
    <x v="1"/>
    <n v="4318"/>
    <s v="REFRIGERACAO MARTENDAL LTDA"/>
    <s v="SC"/>
    <n v="931"/>
    <s v="Ats Off"/>
    <n v="1350"/>
    <s v="W10284848"/>
    <s v="Correias"/>
    <x v="4"/>
    <n v="1"/>
    <n v="5003024"/>
    <s v="RODOBRAS TRANSPORTES RODOVIARIOS LT"/>
    <n v="35.950000000000003"/>
    <d v="2025-07-22T00:00:00"/>
  </r>
  <r>
    <s v="Sem TR"/>
    <n v="64814544"/>
    <s v="ROB"/>
    <n v="10090672"/>
    <n v="115"/>
    <s v="PEÇAS-Recusa do cliente"/>
    <s v="COMERCIAL"/>
    <x v="1"/>
    <n v="48607"/>
    <s v="JULIANA ALVES DA S. MANDRA COMERCIO"/>
    <s v="SP"/>
    <n v="350"/>
    <s v="Ats On"/>
    <n v="1350"/>
    <s v="W10885064"/>
    <s v="Portas"/>
    <x v="3"/>
    <n v="1"/>
    <n v="5004101"/>
    <s v="UNIDOCK'S ASSESSORIA E LOGISTICA DE"/>
    <n v="1106.97"/>
    <d v="2025-07-22T00:00:00"/>
  </r>
  <r>
    <n v="254036651"/>
    <n v="64814549"/>
    <s v="REB"/>
    <n v="10097538"/>
    <n v="220"/>
    <s v="DEV-Avaria 1 trecho transp - Produto"/>
    <s v="QUALIDADE"/>
    <x v="1"/>
    <n v="4318"/>
    <s v="REFRIGERACAO MARTENDAL LTDA"/>
    <s v="SC"/>
    <n v="931"/>
    <s v="Ats Off"/>
    <n v="1350"/>
    <s v="W11719781"/>
    <s v="Outros"/>
    <x v="5"/>
    <n v="1"/>
    <n v="5003024"/>
    <s v="RODOBRAS TRANSPORTES RODOVIARIOS LT"/>
    <n v="253.76"/>
    <d v="2025-07-22T00:00:00"/>
  </r>
  <r>
    <n v="254038379"/>
    <n v="64814564"/>
    <s v="REB"/>
    <n v="9629246"/>
    <n v="173"/>
    <s v="PEÇAS - Defeito de fabric./Alta Amperage"/>
    <s v="FUNCIONAL"/>
    <x v="2"/>
    <n v="56592"/>
    <s v="MUNDO DA REFRIGERACAO LTDA - ME"/>
    <s v="SE"/>
    <n v="641"/>
    <s v="CDP Diamante"/>
    <n v="1350"/>
    <s v="W11677210"/>
    <s v="Compressores Herméticos"/>
    <x v="0"/>
    <n v="1"/>
    <n v="5004101"/>
    <s v="UNIDOCK'S ASSESSORIA E LOGISTICA DE"/>
    <n v="422.52"/>
    <d v="2025-07-22T00:00:00"/>
  </r>
  <r>
    <n v="254038342"/>
    <n v="64814579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1677211"/>
    <s v="Compressores Herméticos"/>
    <x v="0"/>
    <n v="1"/>
    <n v="5004101"/>
    <s v="UNIDOCK'S ASSESSORIA E LOGISTICA DE"/>
    <n v="445.8"/>
    <d v="2025-07-22T00:00:00"/>
  </r>
  <r>
    <s v="Sem TR"/>
    <n v="64814590"/>
    <s v="REB"/>
    <n v="9743653"/>
    <n v="173"/>
    <s v="PEÇAS - Defeito de fabric./Alta Amperage"/>
    <s v="FUNCIONAL"/>
    <x v="1"/>
    <n v="73003"/>
    <s v="DISFRIO DISTRIBUIDORA DE AR"/>
    <s v="SC"/>
    <n v="931"/>
    <s v="Ats Off"/>
    <n v="1350"/>
    <s v="W10678919"/>
    <s v="Placas de Controle"/>
    <x v="2"/>
    <n v="1"/>
    <n v="5003024"/>
    <s v="RODOBRAS TRANSPORTES RODOVIARIOS LT"/>
    <n v="64.16"/>
    <d v="2025-08-15T00:00:00"/>
  </r>
  <r>
    <s v="Sem TR"/>
    <n v="64814599"/>
    <s v="REB"/>
    <n v="10132201"/>
    <n v="167"/>
    <s v="PEÇAS - Avaria - Quebrada/Depósito"/>
    <s v="LOGÍSTICA"/>
    <x v="1"/>
    <n v="71898"/>
    <s v="ALEX DE SOUZA 05555193688"/>
    <s v="MG"/>
    <n v="641"/>
    <s v="CDP Diamante"/>
    <n v="1350"/>
    <s v="W10169464"/>
    <s v="Defletores/Difusores"/>
    <x v="6"/>
    <n v="1"/>
    <n v="5004215"/>
    <s v="BRASIL WEB TRANSPORTES E LOGISTICA"/>
    <n v="27.36"/>
    <d v="2025-07-22T00:00:00"/>
  </r>
  <r>
    <n v="254038395"/>
    <n v="64814600"/>
    <s v="REB"/>
    <n v="9575456"/>
    <n v="178"/>
    <s v="PEÇAS -Defeito de fabric./Sem Compressão"/>
    <s v="FUNCIONAL"/>
    <x v="1"/>
    <n v="80432"/>
    <s v="FRIORIO DISTRIBUIDOR DE PECAS PARA"/>
    <s v="ES"/>
    <n v="713"/>
    <s v="Key Account"/>
    <n v="1350"/>
    <s v="W11677208"/>
    <s v="Compressores Herméticos"/>
    <x v="0"/>
    <n v="29"/>
    <n v="5004042"/>
    <s v="BRASIL WEB TRANSPORTES E LOGISTICA"/>
    <n v="7886.56"/>
    <d v="2025-07-22T00:00:00"/>
  </r>
  <r>
    <s v="Sem TR"/>
    <n v="64814601"/>
    <s v="ZDVP"/>
    <n v="10066346"/>
    <n v="178"/>
    <s v="PEÇAS -Defeito de fabric./Sem Compressão"/>
    <s v="FUNCIONAL"/>
    <x v="1"/>
    <n v="63300"/>
    <s v="REFRIGERACAO MOTA LTDA"/>
    <s v="MG"/>
    <n v="643"/>
    <s v="Elite"/>
    <n v="1350"/>
    <s v="W11677208"/>
    <s v="Compressores Herméticos"/>
    <x v="0"/>
    <n v="5"/>
    <n v="5004215"/>
    <s v="BRASIL WEB TRANSPORTES E LOGISTICA"/>
    <n v="1518.6"/>
    <d v="2025-07-22T00:00:00"/>
  </r>
  <r>
    <n v="254038062"/>
    <n v="64814604"/>
    <s v="REB"/>
    <n v="10049171"/>
    <n v="178"/>
    <s v="PEÇAS -Defeito de fabric./Sem Compressão"/>
    <s v="FUNCIONAL"/>
    <x v="1"/>
    <n v="2666"/>
    <s v="C.L.A"/>
    <s v="RJ"/>
    <n v="931"/>
    <s v="Ats Off"/>
    <n v="1350"/>
    <s v="W11516472"/>
    <s v="Compressores Herméticos"/>
    <x v="0"/>
    <n v="1"/>
    <n v="5003176"/>
    <s v="J C THEDIN TRANSPORTES LTDA"/>
    <n v="357.33"/>
    <d v="2025-07-22T00:00:00"/>
  </r>
  <r>
    <s v="Sem TR"/>
    <n v="64814605"/>
    <s v="REB"/>
    <n v="9734247"/>
    <n v="178"/>
    <s v="PEÇAS -Defeito de fabric./Sem Compressão"/>
    <s v="FUNCIONAL"/>
    <x v="1"/>
    <n v="84681"/>
    <s v="REFRIGERACAO MOTA LTDA"/>
    <s v="BA"/>
    <n v="643"/>
    <s v="Elite"/>
    <n v="1350"/>
    <s v="W11677210"/>
    <s v="Compressores Herméticos"/>
    <x v="0"/>
    <n v="2"/>
    <n v="5004101"/>
    <s v="UNIDOCK'S ASSESSORIA E LOGISTICA DE"/>
    <n v="737.08"/>
    <d v="2025-07-22T00:00:00"/>
  </r>
  <r>
    <s v="Sem TR"/>
    <n v="64814606"/>
    <s v="REB"/>
    <n v="9379430"/>
    <n v="178"/>
    <s v="PEÇAS -Defeito de fabric./Sem Compressão"/>
    <s v="FUNCIONAL"/>
    <x v="1"/>
    <n v="84681"/>
    <s v="REFRIGERACAO MOTA LTDA"/>
    <s v="BA"/>
    <n v="643"/>
    <s v="Elite"/>
    <n v="1350"/>
    <s v="W10798744"/>
    <s v="Compressores Herméticos"/>
    <x v="0"/>
    <n v="4"/>
    <n v="5004101"/>
    <s v="UNIDOCK'S ASSESSORIA E LOGISTICA DE"/>
    <n v="1104.98"/>
    <d v="2025-07-22T00:00:00"/>
  </r>
  <r>
    <s v="Sem TR"/>
    <n v="64814609"/>
    <s v="REB"/>
    <n v="9945444"/>
    <n v="178"/>
    <s v="PEÇAS -Defeito de fabric./Sem Compressão"/>
    <s v="FUNCIONAL"/>
    <x v="1"/>
    <n v="84681"/>
    <s v="REFRIGERACAO MOTA LTDA"/>
    <s v="BA"/>
    <n v="643"/>
    <s v="Elite"/>
    <n v="1350"/>
    <s v="W11647660"/>
    <s v="Compressores Herméticos"/>
    <x v="0"/>
    <n v="4"/>
    <n v="5004101"/>
    <s v="UNIDOCK'S ASSESSORIA E LOGISTICA DE"/>
    <n v="1114.32"/>
    <d v="2025-07-22T00:00:00"/>
  </r>
  <r>
    <s v="Sem TR"/>
    <n v="64814609"/>
    <s v="REB"/>
    <n v="9945444"/>
    <n v="178"/>
    <s v="PEÇAS -Defeito de fabric./Sem Compressão"/>
    <s v="FUNCIONAL"/>
    <x v="1"/>
    <n v="84681"/>
    <s v="REFRIGERACAO MOTA LTDA"/>
    <s v="BA"/>
    <n v="643"/>
    <s v="Elite"/>
    <n v="1350"/>
    <s v="W11647662"/>
    <s v="Compressores Herméticos"/>
    <x v="0"/>
    <n v="3"/>
    <n v="5004101"/>
    <s v="UNIDOCK'S ASSESSORIA E LOGISTICA DE"/>
    <n v="835.74"/>
    <d v="2025-07-22T00:00:00"/>
  </r>
  <r>
    <n v="254052680"/>
    <n v="64814610"/>
    <s v="REB"/>
    <n v="10025103"/>
    <n v="176"/>
    <s v="PEÇAS - Defeito de fabric./Interrompido"/>
    <s v="FUNCIONAL"/>
    <x v="1"/>
    <n v="3250"/>
    <s v="JOMAR PECAS E SERVICOS LTDA"/>
    <s v="SP"/>
    <n v="932"/>
    <s v="CDP Prata"/>
    <n v="1350"/>
    <s v="W11199201"/>
    <s v="Placas de Controle"/>
    <x v="2"/>
    <n v="1"/>
    <n v="5004042"/>
    <s v="BRASIL WEB TRANSPORTES E LOGISTICA"/>
    <n v="325.47000000000003"/>
    <d v="2025-07-22T00:00:00"/>
  </r>
  <r>
    <n v="254038400"/>
    <n v="64814619"/>
    <s v="REB"/>
    <n v="9106332"/>
    <n v="178"/>
    <s v="PEÇAS -Defeito de fabric./Sem Compressão"/>
    <s v="FUNCIONAL"/>
    <x v="1"/>
    <n v="80432"/>
    <s v="FRIORIO DISTRIBUIDOR DE PECAS PARA"/>
    <s v="ES"/>
    <n v="713"/>
    <s v="Key Account"/>
    <n v="1350"/>
    <s v="W11647660"/>
    <s v="Compressores Herméticos"/>
    <x v="0"/>
    <n v="45"/>
    <n v="5004042"/>
    <s v="BRASIL WEB TRANSPORTES E LOGISTICA"/>
    <n v="12428.25"/>
    <d v="2025-07-22T00:00:00"/>
  </r>
  <r>
    <n v="254038272"/>
    <n v="64814643"/>
    <s v="REB"/>
    <n v="10122295"/>
    <n v="176"/>
    <s v="PEÇAS - Defeito de fabric./Interrompido"/>
    <s v="FUNCIONAL"/>
    <x v="1"/>
    <n v="4318"/>
    <s v="REFRIGERACAO MARTENDAL LTDA"/>
    <s v="SC"/>
    <n v="931"/>
    <s v="Ats Off"/>
    <n v="1350"/>
    <n v="326009101"/>
    <s v="Correias"/>
    <x v="4"/>
    <n v="1"/>
    <n v="5003024"/>
    <s v="RODOBRAS TRANSPORTES RODOVIARIOS LT"/>
    <n v="33.79"/>
    <d v="2025-07-22T00:00:00"/>
  </r>
  <r>
    <n v="254038374"/>
    <n v="64814650"/>
    <s v="REB"/>
    <n v="9978935"/>
    <n v="178"/>
    <s v="PEÇAS -Defeito de fabric./Sem Compressão"/>
    <s v="FUNCIONAL"/>
    <x v="2"/>
    <n v="41851"/>
    <s v="LUIZ FERREIRA TAVERES ME"/>
    <s v="CE"/>
    <n v="648"/>
    <s v="Ultra"/>
    <n v="1350"/>
    <s v="W10393823"/>
    <s v="Compressores Herméticos"/>
    <x v="0"/>
    <n v="1"/>
    <n v="5004101"/>
    <s v="UNIDOCK'S ASSESSORIA E LOGISTICA DE"/>
    <n v="531.19000000000005"/>
    <d v="2025-07-22T00:00:00"/>
  </r>
  <r>
    <s v="Sem TR"/>
    <n v="64814651"/>
    <s v="REB"/>
    <n v="10049413"/>
    <n v="173"/>
    <s v="PEÇAS - Defeito de fabric./Alta Amperage"/>
    <s v="FUNCIONAL"/>
    <x v="1"/>
    <n v="4585"/>
    <s v="ELETRO PECAS REAL LTDA"/>
    <s v="SC"/>
    <n v="350"/>
    <s v="Ats On"/>
    <n v="1350"/>
    <s v="W10269365"/>
    <s v="Placas de Controle"/>
    <x v="2"/>
    <n v="1"/>
    <n v="5003024"/>
    <s v="RODOBRAS TRANSPORTES RODOVIARIOS LT"/>
    <n v="176.5"/>
    <d v="2025-07-22T00:00:00"/>
  </r>
  <r>
    <s v="Sem TR"/>
    <n v="64814652"/>
    <s v="REB"/>
    <n v="10057657"/>
    <n v="176"/>
    <s v="PEÇAS - Defeito de fabric./Interrompido"/>
    <s v="FUNCIONAL"/>
    <x v="1"/>
    <n v="38442"/>
    <s v="REGINALDO FABIANO HESSLER"/>
    <s v="RS"/>
    <n v="641"/>
    <s v="CDP Diamante"/>
    <n v="1350"/>
    <n v="326006453"/>
    <s v="Termostatos"/>
    <x v="8"/>
    <n v="1"/>
    <n v="5003024"/>
    <s v="RODOBRAS TRANSPORTES RODOVIARIOS LT"/>
    <n v="23.16"/>
    <d v="2025-07-22T00:00:00"/>
  </r>
  <r>
    <n v="254038389"/>
    <n v="64814655"/>
    <s v="REB"/>
    <n v="10115827"/>
    <n v="173"/>
    <s v="PEÇAS - Defeito de fabric./Alta Amperage"/>
    <s v="FUNCIONAL"/>
    <x v="1"/>
    <n v="69166"/>
    <s v="PC COMERCIO E REPARACAO DE APARELHO"/>
    <s v="RJ"/>
    <n v="931"/>
    <s v="Ats Off"/>
    <n v="1350"/>
    <s v="W11559765"/>
    <s v="Placas de Controle"/>
    <x v="2"/>
    <n v="1"/>
    <n v="5003176"/>
    <s v="J C THEDIN TRANSPORTES LTDA"/>
    <n v="235.73"/>
    <d v="2025-07-22T00:00:00"/>
  </r>
  <r>
    <s v="Sem TR"/>
    <n v="64814673"/>
    <s v="REB"/>
    <n v="10030246"/>
    <n v="176"/>
    <s v="PEÇAS - Defeito de fabric./Interrompido"/>
    <s v="FUNCIONAL"/>
    <x v="1"/>
    <n v="13757"/>
    <s v="FRIGELAR COMÉRCIO E INDÚSTRIA LTDA"/>
    <s v="SP"/>
    <n v="713"/>
    <s v="Key Account"/>
    <n v="1350"/>
    <s v="W11300816"/>
    <s v="Mecanismos"/>
    <x v="4"/>
    <n v="1"/>
    <n v="5004042"/>
    <s v="BRASIL WEB TRANSPORTES E LOGISTICA"/>
    <n v="121.73"/>
    <d v="2025-08-07T00:00:00"/>
  </r>
  <r>
    <s v="Sem TR"/>
    <n v="64814779"/>
    <s v="REB"/>
    <n v="10124327"/>
    <n v="168"/>
    <s v="PEÇAS-Def.Fabric.Empenamento/Abaulamento"/>
    <s v="FUNCIONAL"/>
    <x v="1"/>
    <n v="29801"/>
    <s v="FRIMAQ LTDA"/>
    <s v="MG"/>
    <n v="644"/>
    <s v="Plus"/>
    <n v="1350"/>
    <s v="W10882241"/>
    <s v="Agitadores"/>
    <x v="4"/>
    <n v="2"/>
    <n v="5004215"/>
    <s v="BRASIL WEB TRANSPORTES E LOGISTICA"/>
    <n v="112.67"/>
    <d v="2025-07-22T00:00:00"/>
  </r>
  <r>
    <n v="254038302"/>
    <n v="64814780"/>
    <s v="REB"/>
    <n v="10130725"/>
    <n v="168"/>
    <s v="PEÇAS-Def.Fabric.Empenamento/Abaulamento"/>
    <s v="FUNCIONAL"/>
    <x v="2"/>
    <n v="18805"/>
    <s v="RECORRE R C REFRIG LTDA"/>
    <s v="PR"/>
    <n v="648"/>
    <s v="Ultra"/>
    <n v="1350"/>
    <s v="W10882241"/>
    <s v="Agitadores"/>
    <x v="4"/>
    <n v="1"/>
    <n v="5003024"/>
    <s v="RODOBRAS TRANSPORTES RODOVIARIOS LT"/>
    <n v="56.07"/>
    <d v="2025-07-22T00:00:00"/>
  </r>
  <r>
    <n v="254038294"/>
    <n v="64814781"/>
    <s v="REB"/>
    <n v="10066130"/>
    <n v="176"/>
    <s v="PEÇAS - Defeito de fabric./Interrompido"/>
    <s v="FUNCIONAL"/>
    <x v="1"/>
    <n v="4318"/>
    <s v="REFRIGERACAO MARTENDAL LTDA"/>
    <s v="SC"/>
    <n v="931"/>
    <s v="Ats Off"/>
    <n v="1350"/>
    <s v="W11510292"/>
    <s v="Interruptores"/>
    <x v="8"/>
    <n v="1"/>
    <n v="5003024"/>
    <s v="RODOBRAS TRANSPORTES RODOVIARIOS LT"/>
    <n v="27.79"/>
    <d v="2025-07-22T00:00:00"/>
  </r>
  <r>
    <s v="Sem TR"/>
    <n v="64814784"/>
    <s v="REB"/>
    <n v="10129253"/>
    <n v="176"/>
    <s v="PEÇAS - Defeito de fabric./Interrompido"/>
    <s v="FUNCIONAL"/>
    <x v="1"/>
    <n v="21621"/>
    <s v="SAT SERVICOS DE ASSISTENCIA"/>
    <s v="SP"/>
    <n v="350"/>
    <s v="Ats On"/>
    <n v="1350"/>
    <s v="W11082454"/>
    <s v="Termostatos"/>
    <x v="8"/>
    <n v="1"/>
    <n v="5004042"/>
    <s v="BRASIL WEB TRANSPORTES E LOGISTICA"/>
    <n v="53.55"/>
    <d v="2025-07-22T00:00:00"/>
  </r>
  <r>
    <n v="254038269"/>
    <n v="64814785"/>
    <s v="REB"/>
    <n v="9963473"/>
    <n v="173"/>
    <s v="PEÇAS - Defeito de fabric./Alta Amperage"/>
    <s v="FUNCIONAL"/>
    <x v="1"/>
    <n v="4167"/>
    <s v="MAQ VILLE PECAS E SERVICOS LTDA"/>
    <s v="SP"/>
    <n v="931"/>
    <s v="Ats Off"/>
    <n v="1350"/>
    <s v="W11516472"/>
    <s v="Compressores Herméticos"/>
    <x v="0"/>
    <n v="1"/>
    <n v="5004042"/>
    <s v="BRASIL WEB TRANSPORTES E LOGISTICA"/>
    <n v="381.64"/>
    <d v="2025-07-22T00:00:00"/>
  </r>
  <r>
    <n v="254038302"/>
    <n v="64814786"/>
    <s v="REB"/>
    <n v="10114024"/>
    <n v="173"/>
    <s v="PEÇAS - Defeito de fabric./Alta Amperage"/>
    <s v="FUNCIONAL"/>
    <x v="2"/>
    <n v="18805"/>
    <s v="RECORRE R C REFRIG LTDA"/>
    <s v="PR"/>
    <n v="648"/>
    <s v="Ultra"/>
    <n v="1350"/>
    <s v="W10518616"/>
    <s v="Atuadores"/>
    <x v="4"/>
    <n v="1"/>
    <n v="5003024"/>
    <s v="RODOBRAS TRANSPORTES RODOVIARIOS LT"/>
    <n v="32.43"/>
    <d v="2025-07-22T00:00:00"/>
  </r>
  <r>
    <n v="254038269"/>
    <n v="64814799"/>
    <s v="REB"/>
    <n v="10000145"/>
    <n v="173"/>
    <s v="PEÇAS - Defeito de fabric./Alta Amperage"/>
    <s v="FUNCIONAL"/>
    <x v="1"/>
    <n v="4167"/>
    <s v="MAQ VILLE PECAS E SERVICOS LTDA"/>
    <s v="SP"/>
    <n v="931"/>
    <s v="Ats Off"/>
    <n v="1350"/>
    <s v="W10602056"/>
    <s v="Botões"/>
    <x v="3"/>
    <n v="3"/>
    <n v="5004042"/>
    <s v="BRASIL WEB TRANSPORTES E LOGISTICA"/>
    <n v="38.46"/>
    <d v="2025-07-22T00:00:00"/>
  </r>
  <r>
    <n v="254038269"/>
    <n v="64814799"/>
    <s v="REB"/>
    <n v="10000145"/>
    <n v="173"/>
    <s v="PEÇAS - Defeito de fabric./Alta Amperage"/>
    <s v="FUNCIONAL"/>
    <x v="1"/>
    <n v="4167"/>
    <s v="MAQ VILLE PECAS E SERVICOS LTDA"/>
    <s v="SP"/>
    <n v="931"/>
    <s v="Ats Off"/>
    <n v="1350"/>
    <s v="W10729705"/>
    <s v="Válvulas de Água"/>
    <x v="6"/>
    <n v="1"/>
    <n v="5004042"/>
    <s v="BRASIL WEB TRANSPORTES E LOGISTICA"/>
    <n v="209.58"/>
    <d v="2025-07-22T00:00:00"/>
  </r>
  <r>
    <n v="254038269"/>
    <n v="64814800"/>
    <s v="REB"/>
    <n v="9731528"/>
    <n v="173"/>
    <s v="PEÇAS - Defeito de fabric./Alta Amperage"/>
    <s v="FUNCIONAL"/>
    <x v="1"/>
    <n v="4167"/>
    <s v="MAQ VILLE PECAS E SERVICOS LTDA"/>
    <s v="SP"/>
    <n v="931"/>
    <s v="Ats Off"/>
    <n v="1350"/>
    <s v="W11435390"/>
    <s v="Placas de Controle"/>
    <x v="2"/>
    <n v="1"/>
    <n v="5004042"/>
    <s v="BRASIL WEB TRANSPORTES E LOGISTICA"/>
    <n v="323.31"/>
    <d v="2025-07-22T00:00:00"/>
  </r>
  <r>
    <n v="254059902"/>
    <n v="64814801"/>
    <s v="REB"/>
    <n v="9967581"/>
    <n v="178"/>
    <s v="PEÇAS -Defeito de fabric./Sem Compressão"/>
    <s v="FUNCIONAL"/>
    <x v="1"/>
    <n v="21295"/>
    <s v="REFRIGAS COMERCIO E SERVICOS"/>
    <s v="SP"/>
    <n v="648"/>
    <s v="Ultra"/>
    <n v="1350"/>
    <s v="W11647660"/>
    <s v="Compressores Herméticos"/>
    <x v="0"/>
    <n v="9"/>
    <n v="5004042"/>
    <s v="BRASIL WEB TRANSPORTES E LOGISTICA"/>
    <n v="2473.0100000000002"/>
    <d v="2025-07-22T00:00:00"/>
  </r>
  <r>
    <n v="254059903"/>
    <n v="64814802"/>
    <s v="REB"/>
    <n v="8572804"/>
    <n v="177"/>
    <s v="PEÇAS - Defeito de fabric./Ruído"/>
    <s v="FUNCIONAL"/>
    <x v="1"/>
    <n v="21295"/>
    <s v="REFRIGAS COMERCIO E SERVICOS"/>
    <s v="SP"/>
    <n v="648"/>
    <s v="Ultra"/>
    <n v="1350"/>
    <s v="W11647662"/>
    <s v="Compressores Herméticos"/>
    <x v="0"/>
    <n v="1"/>
    <n v="5004042"/>
    <s v="BRASIL WEB TRANSPORTES E LOGISTICA"/>
    <n v="334.62"/>
    <d v="2025-07-22T00:00:00"/>
  </r>
  <r>
    <n v="254038294"/>
    <n v="64814803"/>
    <s v="REB"/>
    <n v="10079680"/>
    <n v="176"/>
    <s v="PEÇAS - Defeito de fabric./Interrompido"/>
    <s v="FUNCIONAL"/>
    <x v="1"/>
    <n v="4318"/>
    <s v="REFRIGERACAO MARTENDAL LTDA"/>
    <s v="SC"/>
    <n v="931"/>
    <s v="Ats Off"/>
    <n v="1350"/>
    <n v="55118"/>
    <s v="Suportes"/>
    <x v="3"/>
    <n v="1"/>
    <n v="5003024"/>
    <s v="RODOBRAS TRANSPORTES RODOVIARIOS LT"/>
    <n v="17.04"/>
    <d v="2025-07-22T00:00:00"/>
  </r>
  <r>
    <n v="254038374"/>
    <n v="64814804"/>
    <s v="REB"/>
    <n v="9879619"/>
    <n v="178"/>
    <s v="PEÇAS -Defeito de fabric./Sem Compressão"/>
    <s v="FUNCIONAL"/>
    <x v="2"/>
    <n v="41851"/>
    <s v="LUIZ FERREIRA TAVERES ME"/>
    <s v="CE"/>
    <n v="648"/>
    <s v="Ultra"/>
    <n v="1350"/>
    <s v="W10393823"/>
    <s v="Compressores Herméticos"/>
    <x v="0"/>
    <n v="1"/>
    <n v="5004101"/>
    <s v="UNIDOCK'S ASSESSORIA E LOGISTICA DE"/>
    <n v="531.19000000000005"/>
    <d v="2025-07-22T00:00:00"/>
  </r>
  <r>
    <n v="254038364"/>
    <n v="64814839"/>
    <s v="REB"/>
    <n v="10018135"/>
    <n v="178"/>
    <s v="PEÇAS -Defeito de fabric./Sem Compressão"/>
    <s v="FUNCIONAL"/>
    <x v="1"/>
    <n v="30416"/>
    <s v="JF OLIVEIRA PEREIRA ELETROD LTDA"/>
    <s v="AM"/>
    <n v="648"/>
    <s v="Ultra"/>
    <n v="1350"/>
    <s v="W11647660"/>
    <s v="Compressores Herméticos"/>
    <x v="0"/>
    <n v="1"/>
    <n v="5002858"/>
    <s v="FAVORITA TRANSPORTES LTDA"/>
    <n v="234.93"/>
    <d v="2025-07-22T00:00:00"/>
  </r>
  <r>
    <n v="254038301"/>
    <n v="64814844"/>
    <s v="REB"/>
    <n v="10089384"/>
    <n v="173"/>
    <s v="PEÇAS - Defeito de fabric./Alta Amperage"/>
    <s v="FUNCIONAL"/>
    <x v="2"/>
    <n v="18805"/>
    <s v="RECORRE R C REFRIG LTDA"/>
    <s v="PR"/>
    <n v="648"/>
    <s v="Ultra"/>
    <n v="1350"/>
    <s v="W11082454"/>
    <s v="Termostatos"/>
    <x v="8"/>
    <n v="1"/>
    <n v="5003024"/>
    <s v="RODOBRAS TRANSPORTES RODOVIARIOS LT"/>
    <n v="54.21"/>
    <d v="2025-07-22T00:00:00"/>
  </r>
  <r>
    <s v="Sem TR"/>
    <n v="64814846"/>
    <s v="REB"/>
    <n v="9442721"/>
    <n v="178"/>
    <s v="PEÇAS -Defeito de fabric./Sem Compressão"/>
    <s v="FUNCIONAL"/>
    <x v="1"/>
    <n v="67948"/>
    <s v="REFRICRIL DISTRIBUIDORA DE AR REFRI"/>
    <s v="SC"/>
    <n v="713"/>
    <s v="Key Account"/>
    <n v="1350"/>
    <s v="W11647662"/>
    <s v="Compressores Herméticos"/>
    <x v="0"/>
    <n v="3"/>
    <n v="5003024"/>
    <s v="RODOBRAS TRANSPORTES RODOVIARIOS LT"/>
    <n v="857.73"/>
    <d v="2025-07-25T00:00:00"/>
  </r>
  <r>
    <s v="Sem TR"/>
    <n v="64814854"/>
    <s v="REB"/>
    <n v="10121006"/>
    <n v="176"/>
    <s v="PEÇAS - Defeito de fabric./Interrompido"/>
    <s v="FUNCIONAL"/>
    <x v="1"/>
    <n v="10164"/>
    <s v="FALCONE - COMERCIO E SERVICOS LTDA"/>
    <s v="PB"/>
    <n v="931"/>
    <s v="Ats Off"/>
    <n v="1350"/>
    <s v="W11159132"/>
    <s v="Cordões de Alimentação"/>
    <x v="2"/>
    <n v="1"/>
    <n v="5004101"/>
    <s v="UNIDOCK'S ASSESSORIA E LOGISTICA DE"/>
    <n v="81.09"/>
    <d v="2025-07-22T00:00:00"/>
  </r>
  <r>
    <s v="Sem TR"/>
    <n v="64814854"/>
    <s v="REB"/>
    <n v="10121006"/>
    <n v="176"/>
    <s v="PEÇAS - Defeito de fabric./Interrompido"/>
    <s v="FUNCIONAL"/>
    <x v="1"/>
    <n v="10164"/>
    <s v="FALCONE - COMERCIO E SERVICOS LTDA"/>
    <s v="PB"/>
    <n v="931"/>
    <s v="Ats Off"/>
    <n v="1350"/>
    <s v="W10470951"/>
    <s v="Correias"/>
    <x v="4"/>
    <n v="1"/>
    <n v="5004101"/>
    <s v="UNIDOCK'S ASSESSORIA E LOGISTICA DE"/>
    <n v="9.6"/>
    <d v="2025-07-22T00:00:00"/>
  </r>
  <r>
    <n v="254038272"/>
    <n v="64814869"/>
    <s v="REB"/>
    <n v="10129332"/>
    <n v="176"/>
    <s v="PEÇAS - Defeito de fabric./Interrompido"/>
    <s v="FUNCIONAL"/>
    <x v="1"/>
    <n v="4318"/>
    <s v="REFRIGERACAO MARTENDAL LTDA"/>
    <s v="SC"/>
    <n v="931"/>
    <s v="Ats Off"/>
    <n v="1350"/>
    <s v="W10606422"/>
    <s v="Usinas"/>
    <x v="9"/>
    <n v="1"/>
    <n v="5003024"/>
    <s v="RODOBRAS TRANSPORTES RODOVIARIOS LT"/>
    <n v="22.56"/>
    <d v="2025-07-22T00:00:00"/>
  </r>
  <r>
    <n v="254038294"/>
    <n v="64814870"/>
    <s v="REB"/>
    <n v="10079681"/>
    <n v="176"/>
    <s v="PEÇAS - Defeito de fabric./Interrompido"/>
    <s v="FUNCIONAL"/>
    <x v="1"/>
    <n v="4318"/>
    <s v="REFRIGERACAO MARTENDAL LTDA"/>
    <s v="SC"/>
    <n v="931"/>
    <s v="Ats Off"/>
    <n v="1350"/>
    <s v="W11486744"/>
    <s v="Rolamentos"/>
    <x v="4"/>
    <n v="8"/>
    <n v="5003024"/>
    <s v="RODOBRAS TRANSPORTES RODOVIARIOS LT"/>
    <n v="54.16"/>
    <d v="2025-07-22T00:00:00"/>
  </r>
  <r>
    <n v="254038293"/>
    <n v="64814871"/>
    <s v="REB"/>
    <n v="10091159"/>
    <n v="176"/>
    <s v="PEÇAS - Defeito de fabric./Interrompido"/>
    <s v="FUNCIONAL"/>
    <x v="1"/>
    <n v="4318"/>
    <s v="REFRIGERACAO MARTENDAL LTDA"/>
    <s v="SC"/>
    <n v="931"/>
    <s v="Ats Off"/>
    <n v="1350"/>
    <s v="W10714366"/>
    <s v="Válvulas de Água"/>
    <x v="6"/>
    <n v="1"/>
    <n v="5003024"/>
    <s v="RODOBRAS TRANSPORTES RODOVIARIOS LT"/>
    <n v="52.17"/>
    <d v="2025-07-22T00:00:00"/>
  </r>
  <r>
    <n v="254038272"/>
    <n v="64814879"/>
    <s v="REB"/>
    <n v="10122292"/>
    <n v="176"/>
    <s v="PEÇAS - Defeito de fabric./Interrompido"/>
    <s v="FUNCIONAL"/>
    <x v="1"/>
    <n v="4318"/>
    <s v="REFRIGERACAO MARTENDAL LTDA"/>
    <s v="SC"/>
    <n v="931"/>
    <s v="Ats Off"/>
    <n v="1350"/>
    <s v="W10284848"/>
    <s v="Correias"/>
    <x v="4"/>
    <n v="1"/>
    <n v="5003024"/>
    <s v="RODOBRAS TRANSPORTES RODOVIARIOS LT"/>
    <n v="35.99"/>
    <d v="2025-07-22T00:00:00"/>
  </r>
  <r>
    <s v="Sem TR"/>
    <n v="64814882"/>
    <s v="REB"/>
    <n v="10036579"/>
    <n v="173"/>
    <s v="PEÇAS - Defeito de fabric./Alta Amperage"/>
    <s v="FUNCIONAL"/>
    <x v="1"/>
    <n v="64683"/>
    <s v="LAJEAR REFRIGERACAO LTDA ME"/>
    <s v="RS"/>
    <n v="648"/>
    <s v="Ultra"/>
    <n v="1350"/>
    <s v="W11741179"/>
    <s v="Outros"/>
    <x v="5"/>
    <n v="1"/>
    <n v="5003024"/>
    <s v="RODOBRAS TRANSPORTES RODOVIARIOS LT"/>
    <n v="302.61"/>
    <d v="2025-07-22T00:00:00"/>
  </r>
  <r>
    <n v="254038388"/>
    <n v="64814891"/>
    <s v="REB"/>
    <n v="10066678"/>
    <n v="173"/>
    <s v="PEÇAS - Defeito de fabric./Alta Amperage"/>
    <s v="FUNCIONAL"/>
    <x v="2"/>
    <n v="67948"/>
    <s v="REFRICRIL DISTRIBUIDORA DE AR REFRI"/>
    <s v="SC"/>
    <n v="713"/>
    <s v="Key Account"/>
    <n v="1350"/>
    <s v="W10742654"/>
    <s v="Motores Ventiladores"/>
    <x v="2"/>
    <n v="1"/>
    <n v="5003024"/>
    <s v="RODOBRAS TRANSPORTES RODOVIARIOS LT"/>
    <n v="47.73"/>
    <d v="2025-07-22T00:00:00"/>
  </r>
  <r>
    <n v="254038294"/>
    <n v="64814909"/>
    <s v="REB"/>
    <n v="9964570"/>
    <n v="176"/>
    <s v="PEÇAS - Defeito de fabric./Interrompido"/>
    <s v="FUNCIONAL"/>
    <x v="1"/>
    <n v="4318"/>
    <s v="REFRIGERACAO MARTENDAL LTDA"/>
    <s v="SC"/>
    <n v="931"/>
    <s v="Ats Off"/>
    <n v="1350"/>
    <s v="W10364740"/>
    <s v="Placas de Interface"/>
    <x v="2"/>
    <n v="1"/>
    <n v="5003024"/>
    <s v="RODOBRAS TRANSPORTES RODOVIARIOS LT"/>
    <n v="50.74"/>
    <d v="2025-07-22T00:00:00"/>
  </r>
  <r>
    <n v="254054139"/>
    <n v="64814912"/>
    <s v="REB"/>
    <n v="10094876"/>
    <n v="176"/>
    <s v="PEÇAS - Defeito de fabric./Interrompido"/>
    <s v="FUNCIONAL"/>
    <x v="1"/>
    <n v="3506"/>
    <s v="TECBRAS ASSISTENCIA TECNICA"/>
    <s v="SP"/>
    <n v="931"/>
    <s v="Ats Off"/>
    <n v="1350"/>
    <s v="W10905134"/>
    <s v="Placas de Controle"/>
    <x v="2"/>
    <n v="1"/>
    <n v="5004042"/>
    <s v="BRASIL WEB TRANSPORTES E LOGISTICA"/>
    <n v="282.39999999999998"/>
    <d v="2025-08-07T00:00:00"/>
  </r>
  <r>
    <n v="254054257"/>
    <n v="64814913"/>
    <s v="REB"/>
    <n v="10091963"/>
    <n v="173"/>
    <s v="PEÇAS - Defeito de fabric./Alta Amperage"/>
    <s v="FUNCIONAL"/>
    <x v="1"/>
    <n v="59026"/>
    <s v="OSMAR DALMASO - ME"/>
    <s v="ES"/>
    <n v="932"/>
    <s v="CDP Prata"/>
    <n v="1350"/>
    <s v="W11647660"/>
    <s v="Compressores Herméticos"/>
    <x v="0"/>
    <n v="1"/>
    <n v="5004042"/>
    <s v="BRASIL WEB TRANSPORTES E LOGISTICA"/>
    <n v="266.23"/>
    <d v="2025-08-07T00:00:00"/>
  </r>
  <r>
    <s v="Sem TR"/>
    <n v="64814920"/>
    <s v="REB"/>
    <n v="10134712"/>
    <n v="176"/>
    <s v="PEÇAS - Defeito de fabric./Interrompido"/>
    <s v="FUNCIONAL"/>
    <x v="1"/>
    <n v="3524"/>
    <s v="CATEL - COMERCIO DE PECAS"/>
    <s v="SP"/>
    <n v="931"/>
    <s v="Ats Off"/>
    <n v="1350"/>
    <s v="W11745349"/>
    <s v="Outros"/>
    <x v="5"/>
    <n v="1"/>
    <n v="5004042"/>
    <s v="BRASIL WEB TRANSPORTES E LOGISTICA"/>
    <n v="300.77999999999997"/>
    <d v="2025-07-22T00:00:00"/>
  </r>
  <r>
    <s v="Sem TR"/>
    <n v="64814924"/>
    <s v="REB"/>
    <n v="9923702"/>
    <n v="178"/>
    <s v="PEÇAS -Defeito de fabric./Sem Compressão"/>
    <s v="FUNCIONAL"/>
    <x v="1"/>
    <n v="79766"/>
    <s v="NAAMA DE SOUZA MONTEIRO"/>
    <s v="MG"/>
    <n v="932"/>
    <s v="CDP Prata"/>
    <n v="1350"/>
    <s v="W11647660"/>
    <s v="Compressores Herméticos"/>
    <x v="0"/>
    <n v="1"/>
    <n v="5004215"/>
    <s v="BRASIL WEB TRANSPORTES E LOGISTICA"/>
    <n v="341.25"/>
    <d v="2025-07-22T00:00:00"/>
  </r>
  <r>
    <n v="254038380"/>
    <n v="64814929"/>
    <s v="REB"/>
    <n v="10114860"/>
    <n v="173"/>
    <s v="PEÇAS - Defeito de fabric./Alta Amperage"/>
    <s v="FUNCIONAL"/>
    <x v="2"/>
    <n v="58773"/>
    <s v="NATALAV REFRIGERACAO E SERVICOS LTD"/>
    <s v="RN"/>
    <n v="350"/>
    <s v="Ats On"/>
    <n v="1350"/>
    <s v="W11200635"/>
    <s v="Placas de Controle"/>
    <x v="2"/>
    <n v="1"/>
    <n v="5004101"/>
    <s v="UNIDOCK'S ASSESSORIA E LOGISTICA DE"/>
    <n v="1443.07"/>
    <d v="2025-07-22T00:00:00"/>
  </r>
  <r>
    <n v="254038380"/>
    <n v="64814930"/>
    <s v="REB"/>
    <n v="10069751"/>
    <n v="173"/>
    <s v="PEÇAS - Defeito de fabric./Alta Amperage"/>
    <s v="FUNCIONAL"/>
    <x v="2"/>
    <n v="58773"/>
    <s v="NATALAV REFRIGERACAO E SERVICOS LTD"/>
    <s v="RN"/>
    <n v="350"/>
    <s v="Ats On"/>
    <n v="1350"/>
    <s v="W10585017"/>
    <s v="Bombas"/>
    <x v="2"/>
    <n v="1"/>
    <n v="5004101"/>
    <s v="UNIDOCK'S ASSESSORIA E LOGISTICA DE"/>
    <n v="157.13999999999999"/>
    <d v="2025-07-22T00:00:00"/>
  </r>
  <r>
    <s v="Sem TR"/>
    <n v="64814931"/>
    <s v="REB"/>
    <n v="10017137"/>
    <n v="173"/>
    <s v="PEÇAS - Defeito de fabric./Alta Amperage"/>
    <s v="FUNCIONAL"/>
    <x v="1"/>
    <n v="63300"/>
    <s v="REFRIGERACAO MOTA LTDA"/>
    <s v="MG"/>
    <n v="643"/>
    <s v="Elite"/>
    <n v="1350"/>
    <s v="W10882241"/>
    <s v="Agitadores"/>
    <x v="4"/>
    <n v="2"/>
    <n v="5004215"/>
    <s v="BRASIL WEB TRANSPORTES E LOGISTICA"/>
    <n v="76.06"/>
    <d v="2025-07-22T00:00:00"/>
  </r>
  <r>
    <n v="254066693"/>
    <n v="64814939"/>
    <s v="REB"/>
    <n v="10017137"/>
    <n v="173"/>
    <s v="PEÇAS - Defeito de fabric./Alta Amperage"/>
    <s v="FUNCIONAL"/>
    <x v="2"/>
    <n v="63300"/>
    <s v="REFRIGERACAO MOTA LTDA"/>
    <s v="MG"/>
    <n v="643"/>
    <s v="Elite"/>
    <n v="1350"/>
    <s v="W10882241"/>
    <s v="Agitadores"/>
    <x v="4"/>
    <n v="2"/>
    <n v="5004215"/>
    <s v="BRASIL WEB TRANSPORTES E LOGISTICA"/>
    <n v="76.06"/>
    <d v="2025-07-22T00:00:00"/>
  </r>
  <r>
    <n v="254066694"/>
    <n v="64814941"/>
    <s v="ZDVP"/>
    <n v="9746010"/>
    <n v="178"/>
    <s v="PEÇAS -Defeito de fabric./Sem Compressão"/>
    <s v="FUNCIONAL"/>
    <x v="2"/>
    <n v="63300"/>
    <s v="REFRIGERACAO MOTA LTDA"/>
    <s v="MG"/>
    <n v="643"/>
    <s v="Elite"/>
    <n v="1350"/>
    <s v="W10393822"/>
    <s v="Compressores Herméticos"/>
    <x v="0"/>
    <n v="3"/>
    <n v="5004215"/>
    <s v="BRASIL WEB TRANSPORTES E LOGISTICA"/>
    <n v="1512.35"/>
    <d v="2025-07-22T00:00:00"/>
  </r>
  <r>
    <n v="254050352"/>
    <n v="64814974"/>
    <s v="REB"/>
    <n v="9294698"/>
    <n v="178"/>
    <s v="PEÇAS -Defeito de fabric./Sem Compressão"/>
    <s v="FUNCIONAL"/>
    <x v="1"/>
    <n v="47026"/>
    <s v="JR PECAS LTDA JR PECAS LTDA"/>
    <s v="BA"/>
    <n v="643"/>
    <s v="Elite"/>
    <n v="1350"/>
    <s v="W11647660"/>
    <s v="Compressores Herméticos"/>
    <x v="0"/>
    <n v="1"/>
    <n v="5004101"/>
    <s v="UNIDOCK'S ASSESSORIA E LOGISTICA DE"/>
    <n v="280.25"/>
    <d v="2025-07-22T00:00:00"/>
  </r>
  <r>
    <s v="Sem TR"/>
    <n v="64814978"/>
    <s v="REB"/>
    <n v="10030246"/>
    <n v="176"/>
    <s v="PEÇAS - Defeito de fabric./Interrompido"/>
    <s v="FUNCIONAL"/>
    <x v="1"/>
    <n v="13757"/>
    <s v="FRIGELAR COMÉRCIO E INDÚSTRIA LTDA"/>
    <s v="SP"/>
    <n v="713"/>
    <s v="Key Account"/>
    <n v="1350"/>
    <s v="W11299803"/>
    <s v="Mecanismos"/>
    <x v="4"/>
    <n v="3"/>
    <n v="5004042"/>
    <s v="BRASIL WEB TRANSPORTES E LOGISTICA"/>
    <n v="303.77999999999997"/>
    <d v="2025-08-07T00:00:00"/>
  </r>
  <r>
    <s v="Sem TR"/>
    <n v="64814978"/>
    <s v="REB"/>
    <n v="10030246"/>
    <n v="176"/>
    <s v="PEÇAS - Defeito de fabric./Interrompido"/>
    <s v="FUNCIONAL"/>
    <x v="1"/>
    <n v="13757"/>
    <s v="FRIGELAR COMÉRCIO E INDÚSTRIA LTDA"/>
    <s v="SP"/>
    <n v="713"/>
    <s v="Key Account"/>
    <n v="1350"/>
    <s v="W11300816"/>
    <s v="Mecanismos"/>
    <x v="4"/>
    <n v="5"/>
    <n v="5004042"/>
    <s v="BRASIL WEB TRANSPORTES E LOGISTICA"/>
    <n v="608.70000000000005"/>
    <d v="2025-08-07T00:00:00"/>
  </r>
  <r>
    <n v="254038398"/>
    <n v="64814999"/>
    <s v="REB"/>
    <n v="10067297"/>
    <n v="176"/>
    <s v="PEÇAS - Defeito de fabric./Interrompido"/>
    <s v="FUNCIONAL"/>
    <x v="1"/>
    <n v="80432"/>
    <s v="FRIORIO DISTRIBUIDOR DE PECAS PARA"/>
    <s v="ES"/>
    <n v="713"/>
    <s v="Key Account"/>
    <n v="1350"/>
    <s v="W10257565"/>
    <s v="Fusíveis/Fusíveis térmicos"/>
    <x v="2"/>
    <n v="3"/>
    <n v="5004042"/>
    <s v="BRASIL WEB TRANSPORTES E LOGISTICA"/>
    <n v="27.62"/>
    <d v="2025-07-22T00:00:00"/>
  </r>
  <r>
    <s v="Sem TR"/>
    <n v="64815069"/>
    <s v="ZDVP"/>
    <n v="10130750"/>
    <n v="167"/>
    <s v="PEÇAS - Avaria - Quebrada/Depósito"/>
    <s v="LOGÍSTICA"/>
    <x v="1"/>
    <n v="31537"/>
    <s v="RAQUEL SILVEIRA RODRIGUES &amp; CIA. LT"/>
    <s v="RS"/>
    <n v="641"/>
    <s v="CDP Diamante"/>
    <n v="1350"/>
    <s v="W10169464"/>
    <s v="Defletores/Difusores"/>
    <x v="6"/>
    <n v="1"/>
    <n v="5003024"/>
    <s v="RODOBRAS TRANSPORTES RODOVIARIOS LT"/>
    <n v="22.32"/>
    <d v="2025-07-22T00:00:00"/>
  </r>
  <r>
    <n v="254045154"/>
    <n v="64815137"/>
    <s v="REB"/>
    <n v="10144844"/>
    <n v="168"/>
    <s v="PEÇAS-Def.Fabric.Empenamento/Abaulamento"/>
    <s v="FUNCIONAL"/>
    <x v="1"/>
    <n v="80432"/>
    <s v="FRIORIO DISTRIBUIDOR DE PECAS PARA"/>
    <s v="ES"/>
    <n v="713"/>
    <s v="Key Account"/>
    <n v="1350"/>
    <s v="W10882241"/>
    <s v="Agitadores"/>
    <x v="4"/>
    <n v="100"/>
    <n v="5004042"/>
    <s v="BRASIL WEB TRANSPORTES E LOGISTICA"/>
    <n v="2866.81"/>
    <d v="2025-07-25T00:00:00"/>
  </r>
  <r>
    <n v="254045131"/>
    <n v="6481527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s v="Sem TR"/>
    <n v="64815663"/>
    <s v="REB"/>
    <n v="10148510"/>
    <n v="509"/>
    <s v="Qtd de peças a Menor dentro do Volume"/>
    <s v="LOGÍSTICA"/>
    <x v="2"/>
    <n v="38591"/>
    <s v="MUNDIAL REFRIGERACAO LTDA"/>
    <s v="GO"/>
    <n v="643"/>
    <s v="Elite"/>
    <n v="1350"/>
    <s v="W10338754"/>
    <s v="Botões"/>
    <x v="3"/>
    <n v="3"/>
    <n v="5002359"/>
    <s v="EMPRESA BRASILEIRA DE CORREIOS E"/>
    <n v="28.31"/>
    <d v="2025-08-22T00:00:00"/>
  </r>
  <r>
    <s v="Sem TR"/>
    <n v="64815673"/>
    <s v="REB"/>
    <n v="10158594"/>
    <n v="509"/>
    <s v="Qtd de peças a Menor dentro do Volume"/>
    <s v="LOGÍSTICA"/>
    <x v="2"/>
    <n v="72786"/>
    <s v="FRIOLAR CONSERTOS DE"/>
    <s v="SC"/>
    <n v="643"/>
    <s v="Elite"/>
    <n v="1350"/>
    <s v="W10287534"/>
    <s v="Prateleiras"/>
    <x v="1"/>
    <n v="2"/>
    <n v="5002359"/>
    <s v="EMPRESA BRASILEIRA DE CORREIOS E"/>
    <n v="50.68"/>
    <d v="2025-08-22T00:00:00"/>
  </r>
  <r>
    <n v="254056489"/>
    <n v="64815787"/>
    <s v="REB"/>
    <n v="9685002"/>
    <n v="178"/>
    <s v="PEÇAS -Defeito de fabric./Sem Compressão"/>
    <s v="FUNCIONAL"/>
    <x v="1"/>
    <n v="49243"/>
    <s v="IVANILSON INACIO DA SILVA - ME"/>
    <s v="MS"/>
    <n v="643"/>
    <s v="Elite"/>
    <n v="1350"/>
    <s v="W10393823"/>
    <s v="Compressores Herméticos"/>
    <x v="0"/>
    <n v="1"/>
    <n v="5002573"/>
    <s v="CARVALIMA TRANSPORTES LTDA"/>
    <n v="524.53"/>
    <d v="2025-08-15T00:00:00"/>
  </r>
  <r>
    <n v="254045144"/>
    <n v="6481622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s v="W11363944"/>
    <s v="Capas"/>
    <x v="3"/>
    <n v="10"/>
    <n v="5003024"/>
    <s v="RODOBRAS TRANSPORTES RODOVIARIOS LT"/>
    <n v="263.73"/>
    <d v="2025-07-25T00:00:00"/>
  </r>
  <r>
    <n v="254045049"/>
    <n v="64816301"/>
    <s v="REB"/>
    <n v="9759269"/>
    <n v="173"/>
    <s v="PEÇAS - Defeito de fabric./Alta Amperage"/>
    <s v="FUNCIONAL"/>
    <x v="2"/>
    <n v="4167"/>
    <s v="MAQ VILLE PECAS E SERVICOS LTDA"/>
    <s v="SP"/>
    <n v="931"/>
    <s v="Ats Off"/>
    <n v="1350"/>
    <s v="W10397307"/>
    <s v="Defletores/Difusores"/>
    <x v="6"/>
    <n v="1"/>
    <n v="5004042"/>
    <s v="BRASIL WEB TRANSPORTES E LOGISTICA"/>
    <n v="30.92"/>
    <d v="2025-07-25T00:00:00"/>
  </r>
  <r>
    <n v="254045049"/>
    <n v="64816301"/>
    <s v="REB"/>
    <n v="9759269"/>
    <n v="173"/>
    <s v="PEÇAS - Defeito de fabric./Alta Amperage"/>
    <s v="FUNCIONAL"/>
    <x v="2"/>
    <n v="4167"/>
    <s v="MAQ VILLE PECAS E SERVICOS LTDA"/>
    <s v="SP"/>
    <n v="931"/>
    <s v="Ats Off"/>
    <n v="1350"/>
    <s v="W11619317"/>
    <s v="Placas de Controle"/>
    <x v="2"/>
    <n v="1"/>
    <n v="5004042"/>
    <s v="BRASIL WEB TRANSPORTES E LOGISTICA"/>
    <n v="252.9"/>
    <d v="2025-07-25T00:00:00"/>
  </r>
  <r>
    <n v="254045049"/>
    <n v="64816347"/>
    <s v="REB"/>
    <n v="9959068"/>
    <n v="173"/>
    <s v="PEÇAS - Defeito de fabric./Alta Amperage"/>
    <s v="FUNCIONAL"/>
    <x v="2"/>
    <n v="4167"/>
    <s v="MAQ VILLE PECAS E SERVICOS LTDA"/>
    <s v="SP"/>
    <n v="931"/>
    <s v="Ats Off"/>
    <n v="1350"/>
    <s v="W11203650"/>
    <s v="Sensores"/>
    <x v="8"/>
    <n v="1"/>
    <n v="5004042"/>
    <s v="BRASIL WEB TRANSPORTES E LOGISTICA"/>
    <n v="29.38"/>
    <d v="2025-07-25T00:00:00"/>
  </r>
  <r>
    <n v="254045049"/>
    <n v="64816347"/>
    <s v="REB"/>
    <n v="9959068"/>
    <n v="173"/>
    <s v="PEÇAS - Defeito de fabric./Alta Amperage"/>
    <s v="FUNCIONAL"/>
    <x v="2"/>
    <n v="4167"/>
    <s v="MAQ VILLE PECAS E SERVICOS LTDA"/>
    <s v="SP"/>
    <n v="931"/>
    <s v="Ats Off"/>
    <n v="1350"/>
    <s v="W11658521"/>
    <s v="Placas de Interface"/>
    <x v="2"/>
    <n v="1"/>
    <n v="5004042"/>
    <s v="BRASIL WEB TRANSPORTES E LOGISTICA"/>
    <n v="78.819999999999993"/>
    <d v="2025-07-25T00:00:00"/>
  </r>
  <r>
    <n v="254045116"/>
    <n v="64816351"/>
    <s v="REB"/>
    <n v="9673731"/>
    <n v="178"/>
    <s v="PEÇAS -Defeito de fabric./Sem Compressão"/>
    <s v="FUNCIONAL"/>
    <x v="1"/>
    <n v="55093"/>
    <s v="NAUTICA REFRIGERACAO E"/>
    <s v="SP"/>
    <n v="648"/>
    <s v="Ultra"/>
    <n v="1350"/>
    <s v="W11677208"/>
    <s v="Compressores Herméticos"/>
    <x v="0"/>
    <n v="1"/>
    <n v="5004042"/>
    <s v="BRASIL WEB TRANSPORTES E LOGISTICA"/>
    <n v="325.24"/>
    <d v="2025-07-25T00:00:00"/>
  </r>
  <r>
    <n v="254061052"/>
    <n v="64816386"/>
    <s v="REB"/>
    <n v="10083361"/>
    <n v="173"/>
    <s v="PEÇAS - Defeito de fabric./Alta Amperage"/>
    <s v="FUNCIONAL"/>
    <x v="2"/>
    <n v="8975"/>
    <s v="FORT CENTER REFRIGERACAO LTDA"/>
    <s v="MA"/>
    <n v="931"/>
    <s v="Ats Off"/>
    <n v="1350"/>
    <s v="W11195523"/>
    <s v="Motores"/>
    <x v="2"/>
    <n v="1"/>
    <n v="5004101"/>
    <s v="UNIDOCK'S ASSESSORIA E LOGISTICA DE"/>
    <n v="168.89"/>
    <d v="2025-08-22T00:00:00"/>
  </r>
  <r>
    <s v="Sem TR"/>
    <n v="64816433"/>
    <s v="REB"/>
    <n v="10090607"/>
    <n v="178"/>
    <s v="PEÇAS -Defeito de fabric./Sem Compressão"/>
    <s v="FUNCIONAL"/>
    <x v="1"/>
    <n v="22041"/>
    <s v="VIP SERVICE COMERCIO DE PECAS"/>
    <s v="SP"/>
    <n v="931"/>
    <s v="Ats Off"/>
    <n v="1350"/>
    <s v="W11516472"/>
    <s v="Compressores Herméticos"/>
    <x v="0"/>
    <n v="1"/>
    <n v="5004042"/>
    <s v="BRASIL WEB TRANSPORTES E LOGISTICA"/>
    <n v="396.68"/>
    <d v="2025-07-31T00:00:00"/>
  </r>
  <r>
    <n v="254045143"/>
    <n v="64816442"/>
    <s v="REB"/>
    <n v="9627629"/>
    <n v="173"/>
    <s v="PEÇAS - Defeito de fabric./Alta Amperage"/>
    <s v="FUNCIONAL"/>
    <x v="1"/>
    <n v="67948"/>
    <s v="REFRICRIL DISTRIBUIDORA DE AR REFRI"/>
    <s v="SC"/>
    <n v="713"/>
    <s v="Key Account"/>
    <n v="1350"/>
    <s v="W10780260"/>
    <s v="Placas de Controle"/>
    <x v="2"/>
    <n v="1"/>
    <n v="5003024"/>
    <s v="RODOBRAS TRANSPORTES RODOVIARIOS LT"/>
    <n v="153.72"/>
    <d v="2025-07-25T00:00:00"/>
  </r>
  <r>
    <n v="254045143"/>
    <n v="64816456"/>
    <s v="REB"/>
    <n v="9742824"/>
    <n v="173"/>
    <s v="PEÇAS - Defeito de fabric./Alta Amperage"/>
    <s v="FUNCIONAL"/>
    <x v="1"/>
    <n v="67948"/>
    <s v="REFRICRIL DISTRIBUIDORA DE AR REFRI"/>
    <s v="SC"/>
    <n v="713"/>
    <s v="Key Account"/>
    <n v="1350"/>
    <s v="W11161217"/>
    <s v="Placas de Controle"/>
    <x v="2"/>
    <n v="1"/>
    <n v="5003024"/>
    <s v="RODOBRAS TRANSPORTES RODOVIARIOS LT"/>
    <n v="275.64999999999998"/>
    <d v="2025-07-25T00:00:00"/>
  </r>
  <r>
    <n v="254059904"/>
    <n v="64816520"/>
    <s v="REB"/>
    <n v="9783968"/>
    <n v="178"/>
    <s v="PEÇAS -Defeito de fabric./Sem Compressão"/>
    <s v="FUNCIONAL"/>
    <x v="1"/>
    <n v="21295"/>
    <s v="REFRIGAS COMERCIO E SERVICOS"/>
    <s v="SP"/>
    <n v="648"/>
    <s v="Ultra"/>
    <n v="1350"/>
    <s v="W11647660"/>
    <s v="Compressores Herméticos"/>
    <x v="0"/>
    <n v="3"/>
    <n v="5004042"/>
    <s v="BRASIL WEB TRANSPORTES E LOGISTICA"/>
    <n v="934.86"/>
    <d v="2025-07-25T00:00:00"/>
  </r>
  <r>
    <n v="254045049"/>
    <n v="64816560"/>
    <s v="REB"/>
    <n v="9759270"/>
    <n v="173"/>
    <s v="PEÇAS - Defeito de fabric./Alta Amperage"/>
    <s v="FUNCIONAL"/>
    <x v="2"/>
    <n v="4167"/>
    <s v="MAQ VILLE PECAS E SERVICOS LTDA"/>
    <s v="SP"/>
    <n v="931"/>
    <s v="Ats Off"/>
    <n v="1350"/>
    <s v="W10364740"/>
    <s v="Placas de Interface"/>
    <x v="2"/>
    <n v="1"/>
    <n v="5004042"/>
    <s v="BRASIL WEB TRANSPORTES E LOGISTICA"/>
    <n v="56.8"/>
    <d v="2025-07-25T00:00:00"/>
  </r>
  <r>
    <n v="254045049"/>
    <n v="64816560"/>
    <s v="REB"/>
    <n v="9759270"/>
    <n v="173"/>
    <s v="PEÇAS - Defeito de fabric./Alta Amperage"/>
    <s v="FUNCIONAL"/>
    <x v="2"/>
    <n v="4167"/>
    <s v="MAQ VILLE PECAS E SERVICOS LTDA"/>
    <s v="SP"/>
    <n v="931"/>
    <s v="Ats Off"/>
    <n v="1350"/>
    <s v="W10510307"/>
    <s v="Isolantes"/>
    <x v="10"/>
    <n v="5"/>
    <n v="5004042"/>
    <s v="BRASIL WEB TRANSPORTES E LOGISTICA"/>
    <n v="184.65"/>
    <d v="2025-07-25T00:00:00"/>
  </r>
  <r>
    <n v="254038947"/>
    <n v="64816971"/>
    <s v="REB"/>
    <n v="10140296"/>
    <n v="170"/>
    <s v="PEÇAS - Avaria - Riscada/Depósito"/>
    <s v="LOGÍSTICA"/>
    <x v="2"/>
    <n v="40704"/>
    <s v="WP REFRIG PECAS SERVICOS LTDA ME"/>
    <s v="SP"/>
    <n v="931"/>
    <s v="Ats Off"/>
    <n v="1350"/>
    <n v="326039057"/>
    <s v="Gabinetes"/>
    <x v="3"/>
    <n v="2"/>
    <n v="5004042"/>
    <s v="BRASIL WEB TRANSPORTES E LOGISTICA"/>
    <n v="1096.1500000000001"/>
    <d v="2025-07-24T00:00:00"/>
  </r>
  <r>
    <n v="254045133"/>
    <n v="6481699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65859"/>
    <n v="64817297"/>
    <s v="REB"/>
    <n v="10090607"/>
    <n v="176"/>
    <s v="PEÇAS - Defeito de fabric./Interrompido"/>
    <s v="FUNCIONAL"/>
    <x v="2"/>
    <n v="22041"/>
    <s v="VIP SERVICE COMERCIO DE PECAS"/>
    <s v="SP"/>
    <n v="931"/>
    <s v="Ats Off"/>
    <n v="1350"/>
    <s v="W10170954"/>
    <s v="Tubos Refrigeração"/>
    <x v="0"/>
    <n v="1"/>
    <n v="5004042"/>
    <s v="BRASIL WEB TRANSPORTES E LOGISTICA"/>
    <n v="26.86"/>
    <d v="2025-07-25T00:00:00"/>
  </r>
  <r>
    <n v="254065859"/>
    <n v="64817297"/>
    <s v="REB"/>
    <n v="10090607"/>
    <n v="176"/>
    <s v="PEÇAS - Defeito de fabric./Interrompido"/>
    <s v="FUNCIONAL"/>
    <x v="2"/>
    <n v="22041"/>
    <s v="VIP SERVICE COMERCIO DE PECAS"/>
    <s v="SP"/>
    <n v="931"/>
    <s v="Ats Off"/>
    <n v="1350"/>
    <n v="326008340"/>
    <s v="Anéis de Vedação"/>
    <x v="10"/>
    <n v="2"/>
    <n v="5004042"/>
    <s v="BRASIL WEB TRANSPORTES E LOGISTICA"/>
    <n v="36.840000000000003"/>
    <d v="2025-07-25T00:00:00"/>
  </r>
  <r>
    <s v="Sem TR"/>
    <n v="64817302"/>
    <s v="REB"/>
    <n v="10136932"/>
    <n v="115"/>
    <s v="PEÇAS-Recusa do cliente"/>
    <s v="COMERCIAL"/>
    <x v="1"/>
    <n v="91999"/>
    <s v="VALMIR DOS SANTOS LTDA"/>
    <s v="SC"/>
    <n v="350"/>
    <s v="Ats On"/>
    <n v="1350"/>
    <s v="W11772388"/>
    <s v="Outros"/>
    <x v="5"/>
    <n v="1"/>
    <n v="5003024"/>
    <s v="RODOBRAS TRANSPORTES RODOVIARIOS LT"/>
    <n v="187.67"/>
    <d v="2025-07-25T00:00:00"/>
  </r>
  <r>
    <n v="254056787"/>
    <n v="64817341"/>
    <s v="REB"/>
    <n v="10107898"/>
    <n v="176"/>
    <s v="PEÇAS - Defeito de fabric./Interrompido"/>
    <s v="FUNCIONAL"/>
    <x v="1"/>
    <n v="24089"/>
    <s v="REVOLUTION COMERCIO E SERV"/>
    <s v="RJ"/>
    <n v="931"/>
    <s v="Ats Off"/>
    <n v="1350"/>
    <n v="326004687"/>
    <s v="Anéis do Tanque"/>
    <x v="3"/>
    <n v="1"/>
    <n v="5003176"/>
    <s v="J C THEDIN TRANSPORTES LTDA"/>
    <n v="62.82"/>
    <d v="2025-07-25T00:00:00"/>
  </r>
  <r>
    <n v="254045143"/>
    <n v="64817380"/>
    <s v="REB"/>
    <n v="9659560"/>
    <n v="173"/>
    <s v="PEÇAS - Defeito de fabric./Alta Amperage"/>
    <s v="FUNCIONAL"/>
    <x v="0"/>
    <n v="67948"/>
    <s v="REFRICRIL DISTRIBUIDORA DE AR REFRI"/>
    <s v="SC"/>
    <n v="713"/>
    <s v="Key Account"/>
    <n v="1350"/>
    <s v="W10827973"/>
    <s v="Placas de Controle"/>
    <x v="2"/>
    <n v="1"/>
    <n v="5003024"/>
    <s v="RODOBRAS TRANSPORTES RODOVIARIOS LT"/>
    <n v="318.77999999999997"/>
    <d v="2025-07-25T00:00:00"/>
  </r>
  <r>
    <n v="254045049"/>
    <n v="64817382"/>
    <s v="REB"/>
    <n v="10000146"/>
    <n v="173"/>
    <s v="PEÇAS - Defeito de fabric./Alta Amperage"/>
    <s v="FUNCIONAL"/>
    <x v="2"/>
    <n v="4167"/>
    <s v="MAQ VILLE PECAS E SERVICOS LTDA"/>
    <s v="SP"/>
    <n v="931"/>
    <s v="Ats Off"/>
    <n v="1350"/>
    <s v="W11199201"/>
    <s v="Placas de Controle"/>
    <x v="2"/>
    <n v="1"/>
    <n v="5004042"/>
    <s v="BRASIL WEB TRANSPORTES E LOGISTICA"/>
    <n v="304.31"/>
    <d v="2025-07-25T00:00:00"/>
  </r>
  <r>
    <n v="254045145"/>
    <n v="64817383"/>
    <s v="REB"/>
    <n v="10126216"/>
    <n v="173"/>
    <s v="PEÇAS - Defeito de fabric./Alta Amperage"/>
    <s v="FUNCIONAL"/>
    <x v="1"/>
    <n v="69166"/>
    <s v="PC COMERCIO E REPARACAO DE APARELHO"/>
    <s v="RJ"/>
    <n v="931"/>
    <s v="Ats Off"/>
    <n v="1350"/>
    <s v="W11580984"/>
    <s v="Placas de Controle"/>
    <x v="2"/>
    <n v="1"/>
    <n v="5003176"/>
    <s v="J C THEDIN TRANSPORTES LTDA"/>
    <n v="221.19"/>
    <d v="2025-07-25T00:00:00"/>
  </r>
  <r>
    <n v="254045144"/>
    <n v="64817385"/>
    <s v="REB"/>
    <n v="10109048"/>
    <n v="168"/>
    <s v="PEÇAS-Def.Fabric.Empenamento/Abaulamento"/>
    <s v="FUNCIONAL"/>
    <x v="2"/>
    <n v="67948"/>
    <s v="REFRICRIL DISTRIBUIDORA DE AR REFRI"/>
    <s v="SC"/>
    <n v="713"/>
    <s v="Key Account"/>
    <n v="1350"/>
    <n v="326051022"/>
    <s v="Capas"/>
    <x v="3"/>
    <n v="1"/>
    <n v="5003024"/>
    <s v="RODOBRAS TRANSPORTES RODOVIARIOS LT"/>
    <n v="39.53"/>
    <d v="2025-07-25T00:00:00"/>
  </r>
  <r>
    <n v="254045116"/>
    <n v="64817386"/>
    <s v="REB"/>
    <n v="9791896"/>
    <n v="178"/>
    <s v="PEÇAS -Defeito de fabric./Sem Compressão"/>
    <s v="FUNCIONAL"/>
    <x v="1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318"/>
    <d v="2025-07-25T00:00:00"/>
  </r>
  <r>
    <n v="254059905"/>
    <n v="64817387"/>
    <s v="REB"/>
    <n v="8572804"/>
    <n v="178"/>
    <s v="PEÇAS -Defeito de fabric./Sem Compressão"/>
    <s v="FUNCIONAL"/>
    <x v="1"/>
    <n v="21295"/>
    <s v="REFRIGAS COMERCIO E SERVICOS"/>
    <s v="SP"/>
    <n v="648"/>
    <s v="Ultra"/>
    <n v="1350"/>
    <s v="W11647662"/>
    <s v="Compressores Herméticos"/>
    <x v="0"/>
    <n v="1"/>
    <n v="5004042"/>
    <s v="BRASIL WEB TRANSPORTES E LOGISTICA"/>
    <n v="334.62"/>
    <d v="2025-07-25T00:00:00"/>
  </r>
  <r>
    <n v="254039445"/>
    <n v="64817405"/>
    <s v="ROB"/>
    <n v="10147239"/>
    <n v="220"/>
    <s v="DEV-Avaria 1 trecho transp - Produto"/>
    <s v="QUALIDADE"/>
    <x v="1"/>
    <n v="5036"/>
    <s v="CONSERPE COMERCIO DE PECAS"/>
    <s v="RS"/>
    <n v="350"/>
    <s v="Ats On"/>
    <n v="1350"/>
    <s v="W10810913"/>
    <s v="Mesas Cocção"/>
    <x v="3"/>
    <n v="1"/>
    <n v="5003024"/>
    <s v="RODOBRAS TRANSPORTES RODOVIARIOS LT"/>
    <n v="190.37"/>
    <d v="2025-07-25T00:00:00"/>
  </r>
  <r>
    <s v="Sem TR"/>
    <n v="64817406"/>
    <s v="ROB"/>
    <n v="10055109"/>
    <n v="220"/>
    <s v="DEV-Avaria 1 trecho transp - Produto"/>
    <s v="QUALIDADE"/>
    <x v="1"/>
    <n v="4952"/>
    <s v="JONATAS EDEMUNDO DERKS"/>
    <s v="RS"/>
    <n v="350"/>
    <s v="Ats On"/>
    <n v="1350"/>
    <s v="W11228626"/>
    <s v="Placas de Interface"/>
    <x v="2"/>
    <n v="1"/>
    <n v="5003024"/>
    <s v="RODOBRAS TRANSPORTES RODOVIARIOS LT"/>
    <n v="221.5"/>
    <d v="2025-07-25T00:00:00"/>
  </r>
  <r>
    <n v="254045116"/>
    <n v="64817460"/>
    <s v="REB"/>
    <n v="9667682"/>
    <n v="178"/>
    <s v="PEÇAS -Defeito de fabric./Sem Compressão"/>
    <s v="FUNCIONAL"/>
    <x v="1"/>
    <n v="55093"/>
    <s v="NAUTICA REFRIGERACAO E"/>
    <s v="SP"/>
    <n v="648"/>
    <s v="Ultra"/>
    <n v="1350"/>
    <s v="W11677208"/>
    <s v="Compressores Herméticos"/>
    <x v="0"/>
    <n v="1"/>
    <n v="5004042"/>
    <s v="BRASIL WEB TRANSPORTES E LOGISTICA"/>
    <n v="326.38"/>
    <d v="2025-07-25T00:00:00"/>
  </r>
  <r>
    <n v="254045116"/>
    <n v="64817461"/>
    <s v="REB"/>
    <n v="9383944"/>
    <n v="178"/>
    <s v="PEÇAS -Defeito de fabric./Sem Compressão"/>
    <s v="FUNCIONAL"/>
    <x v="1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322.33"/>
    <d v="2025-07-25T00:00:00"/>
  </r>
  <r>
    <n v="254045129"/>
    <n v="64817467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24"/>
    <n v="64817468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26"/>
    <n v="64817475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58160"/>
    <n v="64817516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8159"/>
    <n v="64817517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45143"/>
    <n v="64817554"/>
    <s v="REB"/>
    <n v="9713957"/>
    <n v="173"/>
    <s v="PEÇAS - Defeito de fabric./Alta Amperage"/>
    <s v="FUNCIONAL"/>
    <x v="1"/>
    <n v="67948"/>
    <s v="REFRICRIL DISTRIBUIDORA DE AR REFRI"/>
    <s v="SC"/>
    <n v="713"/>
    <s v="Key Account"/>
    <n v="1350"/>
    <s v="W11268186"/>
    <s v="Placas de Controle"/>
    <x v="2"/>
    <n v="1"/>
    <n v="5003024"/>
    <s v="RODOBRAS TRANSPORTES RODOVIARIOS LT"/>
    <n v="116.75"/>
    <d v="2025-07-25T00:00:00"/>
  </r>
  <r>
    <s v="Sem TR"/>
    <n v="64817555"/>
    <s v="REB"/>
    <n v="9689821"/>
    <n v="176"/>
    <s v="PEÇAS - Defeito de fabric./Interrompido"/>
    <s v="FUNCIONAL"/>
    <x v="1"/>
    <n v="81988"/>
    <s v="BH COMERCIO DE PECAS E FRIGERACAO"/>
    <s v="MG"/>
    <n v="648"/>
    <s v="Ultra"/>
    <n v="1350"/>
    <s v="W10393808"/>
    <s v="Compressores Herméticos"/>
    <x v="0"/>
    <n v="1"/>
    <n v="5004215"/>
    <s v="BRASIL WEB TRANSPORTES E LOGISTICA"/>
    <n v="328.12"/>
    <d v="2025-07-25T00:00:00"/>
  </r>
  <r>
    <n v="254045049"/>
    <n v="64817564"/>
    <s v="REB"/>
    <n v="9951134"/>
    <n v="173"/>
    <s v="PEÇAS - Defeito de fabric./Alta Amperage"/>
    <s v="FUNCIONAL"/>
    <x v="2"/>
    <n v="4167"/>
    <s v="MAQ VILLE PECAS E SERVICOS LTDA"/>
    <s v="SP"/>
    <n v="931"/>
    <s v="Ats Off"/>
    <n v="1350"/>
    <s v="W10733149"/>
    <s v="Manípulos"/>
    <x v="3"/>
    <n v="6"/>
    <n v="5004042"/>
    <s v="BRASIL WEB TRANSPORTES E LOGISTICA"/>
    <n v="193.72"/>
    <d v="2025-07-25T00:00:00"/>
  </r>
  <r>
    <n v="254045049"/>
    <n v="64817564"/>
    <s v="REB"/>
    <n v="9951134"/>
    <n v="173"/>
    <s v="PEÇAS - Defeito de fabric./Alta Amperage"/>
    <s v="FUNCIONAL"/>
    <x v="2"/>
    <n v="4167"/>
    <s v="MAQ VILLE PECAS E SERVICOS LTDA"/>
    <s v="SP"/>
    <n v="931"/>
    <s v="Ats Off"/>
    <n v="1350"/>
    <n v="326073242"/>
    <s v="Placas de Controle"/>
    <x v="2"/>
    <n v="1"/>
    <n v="5004042"/>
    <s v="BRASIL WEB TRANSPORTES E LOGISTICA"/>
    <n v="145.83000000000001"/>
    <d v="2025-07-25T00:00:00"/>
  </r>
  <r>
    <n v="254045052"/>
    <n v="64817565"/>
    <s v="REB"/>
    <n v="10010142"/>
    <n v="178"/>
    <s v="PEÇAS -Defeito de fabric./Sem Compressão"/>
    <s v="FUNCIONAL"/>
    <x v="1"/>
    <n v="29164"/>
    <s v="BRASTEMAK REFRIGERACAO LTDA"/>
    <s v="BA"/>
    <n v="648"/>
    <s v="Ultra"/>
    <n v="1350"/>
    <s v="W11647662"/>
    <s v="Compressores Herméticos"/>
    <x v="0"/>
    <n v="1"/>
    <n v="5004101"/>
    <s v="UNIDOCK'S ASSESSORIA E LOGISTICA DE"/>
    <n v="282.72000000000003"/>
    <d v="2025-07-25T00:00:00"/>
  </r>
  <r>
    <s v="Sem TR"/>
    <n v="64817584"/>
    <s v="ZDVP"/>
    <n v="10017817"/>
    <n v="173"/>
    <s v="PEÇAS - Defeito de fabric./Alta Amperage"/>
    <s v="FUNCIONAL"/>
    <x v="1"/>
    <n v="81988"/>
    <s v="BH COMERCIO DE PECAS E FRIGERACAO"/>
    <s v="MG"/>
    <n v="648"/>
    <s v="Ultra"/>
    <n v="1350"/>
    <s v="W10882241"/>
    <s v="Agitadores"/>
    <x v="4"/>
    <n v="1"/>
    <n v="5004215"/>
    <s v="BRASIL WEB TRANSPORTES E LOGISTICA"/>
    <n v="52.64"/>
    <d v="2025-07-25T00:00:00"/>
  </r>
  <r>
    <s v="Sem TR"/>
    <n v="64817586"/>
    <s v="REB"/>
    <n v="9939519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9.47"/>
    <d v="2025-07-25T00:00:00"/>
  </r>
  <r>
    <n v="254045130"/>
    <n v="64817587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37"/>
    <n v="64817588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21"/>
    <n v="6481759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22"/>
    <n v="64817591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23"/>
    <n v="64817592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41"/>
    <n v="64817593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66637"/>
    <n v="64817594"/>
    <s v="REB"/>
    <n v="10009696"/>
    <n v="178"/>
    <s v="PEÇAS -Defeito de fabric./Sem Compressão"/>
    <s v="FUNCIONAL"/>
    <x v="2"/>
    <n v="88906"/>
    <s v="CALDEIRA LEMES DISTRIBUIDORA DE"/>
    <s v="GO"/>
    <n v="648"/>
    <s v="Ultra"/>
    <n v="1350"/>
    <s v="W11647662"/>
    <s v="Compressores Herméticos"/>
    <x v="0"/>
    <n v="1"/>
    <n v="5002858"/>
    <s v="FAVORITA TRANSPORTES LTDA"/>
    <n v="270.05"/>
    <d v="2025-07-25T00:00:00"/>
  </r>
  <r>
    <n v="254063729"/>
    <n v="64817596"/>
    <s v="REB"/>
    <n v="10067329"/>
    <n v="173"/>
    <s v="PEÇAS - Defeito de fabric./Alta Amperage"/>
    <s v="FUNCIONAL"/>
    <x v="2"/>
    <n v="73003"/>
    <s v="DISFRIO DISTRIBUIDORA DE AR"/>
    <s v="SC"/>
    <n v="931"/>
    <s v="Ats Off"/>
    <n v="1350"/>
    <s v="W11299803"/>
    <s v="Mecanismos"/>
    <x v="4"/>
    <n v="1"/>
    <n v="5003024"/>
    <s v="RODOBRAS TRANSPORTES RODOVIARIOS LT"/>
    <n v="103.4"/>
    <d v="2025-07-25T00:00:00"/>
  </r>
  <r>
    <n v="254045128"/>
    <n v="64817597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36"/>
    <n v="64817599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35"/>
    <n v="6481760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34"/>
    <n v="64817602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38"/>
    <n v="64817604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52547"/>
    <n v="64817608"/>
    <s v="REB"/>
    <n v="9737170"/>
    <n v="173"/>
    <s v="PEÇAS - Defeito de fabric./Alta Amperage"/>
    <s v="FUNCIONAL"/>
    <x v="2"/>
    <n v="32533"/>
    <s v="FRIGELAR COM. DISTRIBUICAO S/A"/>
    <s v="PE"/>
    <n v="713"/>
    <s v="Key Account"/>
    <n v="1350"/>
    <s v="W10310999"/>
    <s v="Motores Ventiladores"/>
    <x v="2"/>
    <n v="1"/>
    <n v="5004101"/>
    <s v="UNIDOCK'S ASSESSORIA E LOGISTICA DE"/>
    <n v="39.549999999999997"/>
    <d v="2025-07-25T00:00:00"/>
  </r>
  <r>
    <n v="254045132"/>
    <n v="64817609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52545"/>
    <n v="64817610"/>
    <s v="REB"/>
    <n v="9860195"/>
    <n v="173"/>
    <s v="PEÇAS - Defeito de fabric./Alta Amperage"/>
    <s v="FUNCIONAL"/>
    <x v="2"/>
    <n v="32533"/>
    <s v="FRIGELAR COM. DISTRIBUICAO S/A"/>
    <s v="PE"/>
    <n v="713"/>
    <s v="Key Account"/>
    <n v="1350"/>
    <s v="W11634491"/>
    <s v="Placas de Controle"/>
    <x v="2"/>
    <n v="3"/>
    <n v="5004101"/>
    <s v="UNIDOCK'S ASSESSORIA E LOGISTICA DE"/>
    <n v="169.4"/>
    <d v="2025-07-25T00:00:00"/>
  </r>
  <r>
    <n v="254045139"/>
    <n v="64817612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40"/>
    <n v="64817619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050"/>
    <n v="64817625"/>
    <s v="REB"/>
    <n v="10123098"/>
    <n v="173"/>
    <s v="PEÇAS - Defeito de fabric./Alta Amperage"/>
    <s v="FUNCIONAL"/>
    <x v="1"/>
    <n v="21594"/>
    <s v="GOLD SERVICE COMERCIO"/>
    <s v="SP"/>
    <n v="931"/>
    <s v="Ats Off"/>
    <n v="1350"/>
    <s v="W11354746"/>
    <s v="Placas de Controle"/>
    <x v="2"/>
    <n v="1"/>
    <n v="5004042"/>
    <s v="BRASIL WEB TRANSPORTES E LOGISTICA"/>
    <n v="988.06"/>
    <d v="2025-07-25T00:00:00"/>
  </r>
  <r>
    <n v="254045050"/>
    <n v="64817631"/>
    <s v="REB"/>
    <n v="10143381"/>
    <n v="173"/>
    <s v="PEÇAS - Defeito de fabric./Alta Amperage"/>
    <s v="FUNCIONAL"/>
    <x v="1"/>
    <n v="21594"/>
    <s v="GOLD SERVICE COMERCIO"/>
    <s v="SP"/>
    <n v="931"/>
    <s v="Ats Off"/>
    <n v="1350"/>
    <s v="W11516472"/>
    <s v="Compressores Herméticos"/>
    <x v="0"/>
    <n v="1"/>
    <n v="5004042"/>
    <s v="BRASIL WEB TRANSPORTES E LOGISTICA"/>
    <n v="381.64"/>
    <d v="2025-07-25T00:00:00"/>
  </r>
  <r>
    <s v="Sem TR"/>
    <n v="64817640"/>
    <s v="REB"/>
    <n v="9667935"/>
    <n v="178"/>
    <s v="PEÇAS -Defeito de fabric./Sem Compressão"/>
    <s v="FUNCIONAL"/>
    <x v="1"/>
    <n v="28684"/>
    <s v="CABO FRIO PECAS"/>
    <s v="SP"/>
    <n v="648"/>
    <s v="Ultra"/>
    <n v="1350"/>
    <s v="W10393809"/>
    <s v="Compressores Herméticos"/>
    <x v="0"/>
    <n v="1"/>
    <n v="5004042"/>
    <s v="BRASIL WEB TRANSPORTES E LOGISTICA"/>
    <n v="345.88"/>
    <d v="2025-07-25T00:00:00"/>
  </r>
  <r>
    <n v="254045142"/>
    <n v="64817641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7-25T00:00:00"/>
  </r>
  <r>
    <n v="254045146"/>
    <n v="64817659"/>
    <s v="REB"/>
    <n v="10134986"/>
    <n v="178"/>
    <s v="PEÇAS -Defeito de fabric./Sem Compressão"/>
    <s v="FUNCIONAL"/>
    <x v="1"/>
    <n v="70149"/>
    <s v="BR PECAS COMERCIO DE PECAS"/>
    <s v="SP"/>
    <n v="963"/>
    <s v="Ats Distribuidoras"/>
    <n v="1350"/>
    <s v="W11129355"/>
    <s v="Compressores Herméticos"/>
    <x v="0"/>
    <n v="1"/>
    <n v="5004042"/>
    <s v="BRASIL WEB TRANSPORTES E LOGISTICA"/>
    <n v="412.71"/>
    <d v="2025-07-25T00:00:00"/>
  </r>
  <r>
    <s v="Sem TR"/>
    <n v="64817715"/>
    <s v="REB"/>
    <n v="10154110"/>
    <n v="170"/>
    <s v="PEÇAS - Avaria - Riscada/Depósito"/>
    <s v="LOGÍSTICA"/>
    <x v="1"/>
    <n v="40704"/>
    <s v="WP REFRIG PECAS SERVICOS LTDA ME"/>
    <s v="SP"/>
    <n v="931"/>
    <s v="Ats Off"/>
    <n v="1350"/>
    <n v="326039057"/>
    <s v="Gabinetes"/>
    <x v="3"/>
    <n v="1"/>
    <n v="5004042"/>
    <s v="BRASIL WEB TRANSPORTES E LOGISTICA"/>
    <n v="548.1"/>
    <d v="2025-07-25T00:00:00"/>
  </r>
  <r>
    <s v="Sem TR"/>
    <n v="64817742"/>
    <s v="ROB"/>
    <n v="10100882"/>
    <n v="25"/>
    <s v="OC. 80 - EXTRAVIO TOTAL"/>
    <s v="TRANSPORTADORA"/>
    <x v="2"/>
    <n v="1953"/>
    <s v="REFRIGERACAO BARBOSA LTDA"/>
    <s v="MG"/>
    <n v="350"/>
    <s v="Ats On"/>
    <n v="1350"/>
    <s v="W11621541"/>
    <s v="Registros"/>
    <x v="9"/>
    <n v="6"/>
    <n v="5004101"/>
    <s v="UNIDOCK'S ASSESSORIA E LOGISTICA DE"/>
    <n v="49.37"/>
    <d v="2025-07-25T00:00:00"/>
  </r>
  <r>
    <s v="Sem TR"/>
    <n v="64817743"/>
    <s v="ROB"/>
    <n v="10110645"/>
    <n v="25"/>
    <s v="OC. 80 - EXTRAVIO TOTAL"/>
    <s v="TRANSPORTADORA"/>
    <x v="2"/>
    <n v="2374"/>
    <s v="COMETA DISTRIBUIDORA DE PECAS"/>
    <s v="MG"/>
    <n v="350"/>
    <s v="Ats On"/>
    <n v="1350"/>
    <s v="W10647948"/>
    <s v="Suportes"/>
    <x v="3"/>
    <n v="6"/>
    <n v="5004101"/>
    <s v="UNIDOCK'S ASSESSORIA E LOGISTICA DE"/>
    <n v="74.150000000000006"/>
    <d v="2025-07-25T00:00:00"/>
  </r>
  <r>
    <n v="254054227"/>
    <n v="64817758"/>
    <s v="REB"/>
    <n v="10151917"/>
    <n v="176"/>
    <s v="PEÇAS - Defeito de fabric./Interrompido"/>
    <s v="FUNCIONAL"/>
    <x v="2"/>
    <n v="31587"/>
    <s v="COPEGEL REFRIGERACAO LTDA"/>
    <s v="SP"/>
    <n v="643"/>
    <s v="Elite"/>
    <n v="1350"/>
    <s v="W10619463"/>
    <s v="Pressostatos"/>
    <x v="8"/>
    <n v="1"/>
    <n v="5004042"/>
    <s v="BRASIL WEB TRANSPORTES E LOGISTICA"/>
    <n v="39.64"/>
    <d v="2025-08-07T00:00:00"/>
  </r>
  <r>
    <n v="254045113"/>
    <n v="64817929"/>
    <s v="REB"/>
    <n v="10095481"/>
    <n v="90"/>
    <s v="CLIENTE-não solicitou"/>
    <s v="COMERCIAL"/>
    <x v="1"/>
    <n v="31063"/>
    <s v="ELETROFRIGOR PECAS LTDA ME"/>
    <s v="RJ"/>
    <n v="644"/>
    <s v="Plus"/>
    <n v="1350"/>
    <s v="W11300816"/>
    <s v="Mecanismos"/>
    <x v="4"/>
    <n v="1"/>
    <n v="5003176"/>
    <s v="J C THEDIN TRANSPORTES LTDA"/>
    <n v="124.04"/>
    <d v="2025-07-25T00:00:00"/>
  </r>
  <r>
    <s v="Sem TR"/>
    <n v="64817930"/>
    <s v="REB"/>
    <n v="10107342"/>
    <n v="90"/>
    <s v="CLIENTE-não solicitou"/>
    <s v="COMERCIAL"/>
    <x v="1"/>
    <n v="3506"/>
    <s v="TECBRAS ASSISTENCIA TECNICA"/>
    <s v="SP"/>
    <n v="931"/>
    <s v="Ats Off"/>
    <n v="1350"/>
    <n v="326006796"/>
    <s v="Outros"/>
    <x v="5"/>
    <n v="3"/>
    <n v="5004042"/>
    <s v="BRASIL WEB TRANSPORTES E LOGISTICA"/>
    <n v="200.13"/>
    <d v="2025-07-25T00:00:00"/>
  </r>
  <r>
    <s v="Sem TR"/>
    <n v="64818171"/>
    <s v="REB"/>
    <n v="10123703"/>
    <n v="173"/>
    <s v="PEÇAS - Defeito de fabric./Alta Amperage"/>
    <s v="FUNCIONAL"/>
    <x v="1"/>
    <n v="22040"/>
    <s v="LM COMERCIO E SERVICOS EM SISTEMA"/>
    <s v="SP"/>
    <n v="350"/>
    <s v="Ats On"/>
    <n v="1350"/>
    <s v="W10732276"/>
    <s v="Placas de Controle"/>
    <x v="2"/>
    <n v="1"/>
    <n v="5004042"/>
    <s v="BRASIL WEB TRANSPORTES E LOGISTICA"/>
    <n v="737.77"/>
    <d v="2025-07-26T00:00:00"/>
  </r>
  <r>
    <n v="254054251"/>
    <n v="64818781"/>
    <s v="REB"/>
    <n v="10115325"/>
    <n v="177"/>
    <s v="PEÇAS - Defeito de fabric./Ruído"/>
    <s v="FUNCIONAL"/>
    <x v="1"/>
    <n v="55102"/>
    <s v="PEDRO MARCOS ANTONELLI"/>
    <s v="MS"/>
    <n v="643"/>
    <s v="Elite"/>
    <n v="1350"/>
    <s v="W11300675"/>
    <s v="Mecanismos"/>
    <x v="4"/>
    <n v="1"/>
    <n v="5002573"/>
    <s v="CARVALIMA TRANSPORTES LTDA"/>
    <n v="107.25"/>
    <d v="2025-08-07T00:00:00"/>
  </r>
  <r>
    <n v="254058317"/>
    <n v="64818808"/>
    <s v="REB"/>
    <n v="10094417"/>
    <n v="110"/>
    <s v="PEÇAS-Troca de produtos"/>
    <s v="GESTÃO DE TROCAS"/>
    <x v="1"/>
    <n v="66"/>
    <s v="CENTROMAQ PECAS E SERVICOS LTDA"/>
    <s v="GO"/>
    <n v="931"/>
    <s v="Ats Off"/>
    <n v="1350"/>
    <s v="W10810088"/>
    <s v="Motores Ventiladores"/>
    <x v="2"/>
    <n v="1"/>
    <n v="5002858"/>
    <s v="FAVORITA TRANSPORTES LTDA"/>
    <n v="84.82"/>
    <d v="2025-07-31T00:00:00"/>
  </r>
  <r>
    <s v="Sem TR"/>
    <n v="64818917"/>
    <s v="REB"/>
    <n v="10161258"/>
    <n v="167"/>
    <s v="PEÇAS - Avaria - Quebrada/Depósito"/>
    <s v="LOGÍSTICA"/>
    <x v="1"/>
    <n v="86964"/>
    <s v="REFRICRIL DISTRIBUIDORA"/>
    <s v="PB"/>
    <n v="713"/>
    <s v="Key Account"/>
    <n v="1350"/>
    <s v="W10539793"/>
    <s v="Capas"/>
    <x v="3"/>
    <n v="3"/>
    <n v="5004101"/>
    <s v="UNIDOCK'S ASSESSORIA E LOGISTICA DE"/>
    <n v="59.86"/>
    <d v="2025-08-22T00:00:00"/>
  </r>
  <r>
    <s v="Sem TR"/>
    <n v="64818918"/>
    <s v="REB"/>
    <n v="10066836"/>
    <n v="173"/>
    <s v="PEÇAS - Defeito de fabric./Alta Amperage"/>
    <s v="FUNCIONAL"/>
    <x v="1"/>
    <n v="13757"/>
    <s v="FRIGELAR COMÉRCIO E INDÚSTRIA LTDA"/>
    <s v="SP"/>
    <n v="713"/>
    <s v="Key Account"/>
    <n v="1350"/>
    <s v="W11299803"/>
    <s v="Mecanismos"/>
    <x v="4"/>
    <n v="1"/>
    <n v="5004042"/>
    <s v="BRASIL WEB TRANSPORTES E LOGISTICA"/>
    <n v="110.89"/>
    <d v="2025-08-22T00:00:00"/>
  </r>
  <r>
    <n v="254056504"/>
    <n v="64819063"/>
    <s v="REB"/>
    <n v="10045752"/>
    <n v="176"/>
    <s v="PEÇAS - Defeito de fabric./Interrompido"/>
    <s v="FUNCIONAL"/>
    <x v="1"/>
    <n v="76848"/>
    <s v="MUNDIAL REFRIGERACAO LTDA"/>
    <s v="GO"/>
    <n v="643"/>
    <s v="Elite"/>
    <n v="1350"/>
    <s v="W10780260"/>
    <s v="Placas de Controle"/>
    <x v="2"/>
    <n v="1"/>
    <n v="5002858"/>
    <s v="FAVORITA TRANSPORTES LTDA"/>
    <n v="173.28"/>
    <d v="2025-08-15T00:00:00"/>
  </r>
  <r>
    <n v="254041636"/>
    <n v="64819270"/>
    <s v="ROB"/>
    <n v="10133762"/>
    <n v="182"/>
    <s v="PEÇAS - Extravio - Volume a menor"/>
    <s v="TRANSPORTADORA"/>
    <x v="1"/>
    <n v="87684"/>
    <s v="PAULO HENRIQUE ARAUJO DOS REIS 8219"/>
    <s v="PA"/>
    <n v="932"/>
    <s v="CDP Prata"/>
    <n v="1350"/>
    <s v="W10221052"/>
    <s v="Condensadores"/>
    <x v="0"/>
    <n v="3"/>
    <n v="5002858"/>
    <s v="FAVORITA TRANSPORTES LTDA"/>
    <n v="217.51"/>
    <d v="2025-07-28T00:00:00"/>
  </r>
  <r>
    <n v="254041636"/>
    <n v="64819270"/>
    <s v="ROB"/>
    <n v="10133762"/>
    <n v="182"/>
    <s v="PEÇAS - Extravio - Volume a menor"/>
    <s v="TRANSPORTADORA"/>
    <x v="1"/>
    <n v="87684"/>
    <s v="PAULO HENRIQUE ARAUJO DOS REIS 8219"/>
    <s v="PA"/>
    <n v="932"/>
    <s v="CDP Prata"/>
    <n v="1350"/>
    <s v="W10221056"/>
    <s v="Condensadores"/>
    <x v="0"/>
    <n v="3"/>
    <n v="5002858"/>
    <s v="FAVORITA TRANSPORTES LTDA"/>
    <n v="295.81"/>
    <d v="2025-07-28T00:00:00"/>
  </r>
  <r>
    <n v="254041636"/>
    <n v="64819270"/>
    <s v="ROB"/>
    <n v="10133762"/>
    <n v="182"/>
    <s v="PEÇAS - Extravio - Volume a menor"/>
    <s v="TRANSPORTADORA"/>
    <x v="1"/>
    <n v="87684"/>
    <s v="PAULO HENRIQUE ARAUJO DOS REIS 8219"/>
    <s v="PA"/>
    <n v="932"/>
    <s v="CDP Prata"/>
    <n v="1350"/>
    <s v="W10754676"/>
    <s v="Suportes"/>
    <x v="3"/>
    <n v="5"/>
    <n v="5002858"/>
    <s v="FAVORITA TRANSPORTES LTDA"/>
    <n v="171.99"/>
    <d v="2025-07-28T00:00:00"/>
  </r>
  <r>
    <n v="254041636"/>
    <n v="64819270"/>
    <s v="ROB"/>
    <n v="10133762"/>
    <n v="182"/>
    <s v="PEÇAS - Extravio - Volume a menor"/>
    <s v="TRANSPORTADORA"/>
    <x v="1"/>
    <n v="87684"/>
    <s v="PAULO HENRIQUE ARAUJO DOS REIS 8219"/>
    <s v="PA"/>
    <n v="932"/>
    <s v="CDP Prata"/>
    <n v="1350"/>
    <s v="W11745349"/>
    <s v="Outros"/>
    <x v="5"/>
    <n v="1"/>
    <n v="5002858"/>
    <s v="FAVORITA TRANSPORTES LTDA"/>
    <n v="262.55"/>
    <d v="2025-07-28T00:00:00"/>
  </r>
  <r>
    <s v="Sem TR"/>
    <n v="64819409"/>
    <s v="REB"/>
    <n v="10137638"/>
    <n v="115"/>
    <s v="PEÇAS-Recusa do cliente"/>
    <s v="COMERCIAL"/>
    <x v="1"/>
    <n v="69956"/>
    <s v="NILSONTECH REFRIGERACAO ELETRONICA"/>
    <s v="PA"/>
    <n v="931"/>
    <s v="Ats Off"/>
    <n v="1350"/>
    <s v="W11046681"/>
    <s v="Outros"/>
    <x v="5"/>
    <n v="1"/>
    <n v="5002858"/>
    <s v="FAVORITA TRANSPORTES LTDA"/>
    <n v="165.01"/>
    <d v="2025-07-29T00:00:00"/>
  </r>
  <r>
    <n v="254058318"/>
    <n v="64819416"/>
    <s v="REB"/>
    <n v="10132568"/>
    <n v="173"/>
    <s v="PEÇAS - Defeito de fabric./Alta Amperage"/>
    <s v="FUNCIONAL"/>
    <x v="1"/>
    <n v="92592"/>
    <s v="PRIM REFRIGERACAO LTDA"/>
    <s v="PR"/>
    <n v="350"/>
    <s v="Ats On"/>
    <n v="1350"/>
    <s v="W10235415"/>
    <s v="Placas de Controle"/>
    <x v="2"/>
    <n v="1"/>
    <n v="5003024"/>
    <s v="RODOBRAS TRANSPORTES RODOVIARIOS LT"/>
    <n v="637.34"/>
    <d v="2025-07-29T00:00:00"/>
  </r>
  <r>
    <s v="Sem TR"/>
    <n v="64819432"/>
    <s v="REB"/>
    <n v="10149714"/>
    <n v="173"/>
    <s v="PEÇAS - Defeito de fabric./Alta Amperage"/>
    <s v="FUNCIONAL"/>
    <x v="1"/>
    <n v="72911"/>
    <s v="ALVITEK PECAS E SERVICOS LTDA"/>
    <s v="SP"/>
    <n v="931"/>
    <s v="Ats Off"/>
    <n v="1350"/>
    <n v="326057653"/>
    <s v="Motores"/>
    <x v="2"/>
    <n v="1"/>
    <n v="5004042"/>
    <s v="BRASIL WEB TRANSPORTES E LOGISTICA"/>
    <n v="59.98"/>
    <d v="2025-07-29T00:00:00"/>
  </r>
  <r>
    <n v="254054283"/>
    <n v="64819528"/>
    <s v="REB"/>
    <n v="9624373"/>
    <n v="178"/>
    <s v="PEÇAS -Defeito de fabric./Sem Compressão"/>
    <s v="FUNCIONAL"/>
    <x v="1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31.33"/>
    <d v="2025-08-07T00:00:00"/>
  </r>
  <r>
    <n v="254065842"/>
    <n v="64819872"/>
    <s v="REB"/>
    <n v="10090607"/>
    <n v="173"/>
    <s v="PEÇAS - Defeito de fabric./Alta Amperage"/>
    <s v="FUNCIONAL"/>
    <x v="2"/>
    <n v="22041"/>
    <s v="VIP SERVICE COMERCIO DE PECAS"/>
    <s v="SP"/>
    <n v="931"/>
    <s v="Ats Off"/>
    <n v="1350"/>
    <s v="W11682256"/>
    <s v="Filtro Secadores"/>
    <x v="0"/>
    <n v="1"/>
    <n v="5004042"/>
    <s v="BRASIL WEB TRANSPORTES E LOGISTICA"/>
    <n v="25.07"/>
    <d v="2025-07-31T00:00:00"/>
  </r>
  <r>
    <n v="254056182"/>
    <n v="64819905"/>
    <s v="REB"/>
    <n v="10101470"/>
    <n v="173"/>
    <s v="PEÇAS - Defeito de fabric./Alta Amperage"/>
    <s v="FUNCIONAL"/>
    <x v="2"/>
    <n v="30416"/>
    <s v="JF OLIVEIRA PEREIRA ELETROD LTDA"/>
    <s v="AM"/>
    <n v="648"/>
    <s v="Ultra"/>
    <n v="1350"/>
    <s v="W11396188"/>
    <s v="Placas de Interface"/>
    <x v="2"/>
    <n v="1"/>
    <n v="5002858"/>
    <s v="FAVORITA TRANSPORTES LTDA"/>
    <n v="66.36"/>
    <d v="2025-08-07T00:00:00"/>
  </r>
  <r>
    <n v="254054278"/>
    <n v="64819923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07T00:00:00"/>
  </r>
  <r>
    <s v="Sem TR"/>
    <n v="64819990"/>
    <s v="ROB"/>
    <n v="10146796"/>
    <n v="184"/>
    <s v="PEÇAS - Emissão de Nota Fiscal Errada"/>
    <s v="LOGÍSTICA"/>
    <x v="1"/>
    <n v="31790"/>
    <s v="TEIXEIRA &amp; TEIXEIRA COMERCIO"/>
    <s v="SP"/>
    <n v="350"/>
    <s v="Ats On"/>
    <n v="1350"/>
    <s v="W10666152"/>
    <s v="Bandejas"/>
    <x v="1"/>
    <n v="1"/>
    <n v="5004101"/>
    <s v="UNIDOCK'S ASSESSORIA E LOGISTICA DE"/>
    <n v="28.02"/>
    <d v="2025-07-29T00:00:00"/>
  </r>
  <r>
    <s v="Sem TR"/>
    <n v="64820056"/>
    <s v="REB"/>
    <n v="9952417"/>
    <n v="173"/>
    <s v="PEÇAS - Defeito de fabric./Alta Amperage"/>
    <s v="FUNCIONAL"/>
    <x v="1"/>
    <n v="24289"/>
    <s v="REFRIGERACAO MOTA LTDA"/>
    <s v="MG"/>
    <n v="643"/>
    <s v="Elite"/>
    <n v="1350"/>
    <s v="W11023460"/>
    <s v="Placas de Controle"/>
    <x v="2"/>
    <n v="2"/>
    <n v="5004215"/>
    <s v="BRASIL WEB TRANSPORTES E LOGISTICA"/>
    <n v="135.66999999999999"/>
    <d v="2025-08-15T00:00:00"/>
  </r>
  <r>
    <n v="254058320"/>
    <n v="64820057"/>
    <s v="REB"/>
    <n v="9958769"/>
    <n v="178"/>
    <s v="PEÇAS -Defeito de fabric./Sem Compressão"/>
    <s v="FUNCIONAL"/>
    <x v="1"/>
    <n v="67933"/>
    <s v="N. CALDEIRA LEMES EIRELI"/>
    <s v="GO"/>
    <n v="648"/>
    <s v="Ultra"/>
    <n v="1350"/>
    <s v="W11647662"/>
    <s v="Compressores Herméticos"/>
    <x v="0"/>
    <n v="3"/>
    <n v="5002858"/>
    <s v="FAVORITA TRANSPORTES LTDA"/>
    <n v="808.26"/>
    <d v="2025-08-15T00:00:00"/>
  </r>
  <r>
    <s v="Sem TR"/>
    <n v="64820224"/>
    <s v="REB"/>
    <n v="10156280"/>
    <n v="220"/>
    <s v="DEV-Avaria 1 trecho transp - Produto"/>
    <s v="QUALIDADE"/>
    <x v="1"/>
    <n v="5136"/>
    <s v="BRAZILIAN SERVICE ELETRODOMESTICOS"/>
    <s v="RS"/>
    <n v="350"/>
    <s v="Ats On"/>
    <n v="1350"/>
    <s v="W11411225"/>
    <s v="Vidros"/>
    <x v="3"/>
    <n v="1"/>
    <n v="5003024"/>
    <s v="RODOBRAS TRANSPORTES RODOVIARIOS LT"/>
    <n v="94.2"/>
    <d v="2025-07-30T00:00:00"/>
  </r>
  <r>
    <s v="Sem TR"/>
    <n v="64820267"/>
    <s v="REB"/>
    <n v="10106995"/>
    <n v="167"/>
    <s v="PEÇAS - Avaria - Quebrada/Depósito"/>
    <s v="LOGÍSTICA"/>
    <x v="1"/>
    <n v="48180"/>
    <s v="R.N.A. BITTENCOURT"/>
    <s v="PA"/>
    <n v="931"/>
    <s v="Ats Off"/>
    <n v="1350"/>
    <s v="W11045222"/>
    <s v="Molduras"/>
    <x v="3"/>
    <n v="1"/>
    <n v="5002858"/>
    <s v="FAVORITA TRANSPORTES LTDA"/>
    <n v="175.45"/>
    <d v="2025-08-06T00:00:00"/>
  </r>
  <r>
    <n v="254056205"/>
    <n v="64820288"/>
    <s v="REB"/>
    <n v="10124004"/>
    <n v="178"/>
    <s v="PEÇAS -Defeito de fabric./Sem Compressão"/>
    <s v="FUNCIONAL"/>
    <x v="2"/>
    <n v="87383"/>
    <s v="REFRIGERACAO RBL 25 LTDA"/>
    <s v="RJ"/>
    <n v="933"/>
    <s v="Top"/>
    <n v="1350"/>
    <s v="W11741178"/>
    <s v="Outros"/>
    <x v="5"/>
    <n v="1"/>
    <n v="5003176"/>
    <s v="J C THEDIN TRANSPORTES LTDA"/>
    <n v="390.41"/>
    <d v="2025-08-07T00:00:00"/>
  </r>
  <r>
    <n v="254058323"/>
    <n v="64820363"/>
    <s v="REB"/>
    <n v="10128101"/>
    <n v="176"/>
    <s v="PEÇAS - Defeito de fabric./Interrompido"/>
    <s v="FUNCIONAL"/>
    <x v="1"/>
    <n v="76462"/>
    <s v="RC REFRIGERACAO LTDA"/>
    <s v="DF"/>
    <n v="933"/>
    <s v="Top"/>
    <n v="1350"/>
    <s v="W11352536"/>
    <s v="Placas de Controle"/>
    <x v="2"/>
    <n v="1"/>
    <n v="5002858"/>
    <s v="FAVORITA TRANSPORTES LTDA"/>
    <n v="62.32"/>
    <d v="2025-08-15T00:00:00"/>
  </r>
  <r>
    <s v="Sem TR"/>
    <n v="64820403"/>
    <s v="REB"/>
    <n v="10046774"/>
    <n v="176"/>
    <s v="PEÇAS - Defeito de fabric./Interrompido"/>
    <s v="FUNCIONAL"/>
    <x v="1"/>
    <n v="9015"/>
    <s v="ALTIMARIS REFRIGERACAO LTDA"/>
    <s v="SC"/>
    <n v="350"/>
    <s v="Ats On"/>
    <n v="1350"/>
    <s v="W10398340"/>
    <s v="Sensores"/>
    <x v="8"/>
    <n v="1"/>
    <n v="5003024"/>
    <s v="RODOBRAS TRANSPORTES RODOVIARIOS LT"/>
    <n v="215.04"/>
    <d v="2025-08-15T00:00:00"/>
  </r>
  <r>
    <s v="Sem TR"/>
    <n v="64820505"/>
    <s v="REB"/>
    <n v="10143785"/>
    <n v="411"/>
    <s v="DEV-Extravio de PEÇAS (Transportadora)"/>
    <s v="TRANSPORTADORA"/>
    <x v="2"/>
    <n v="52516"/>
    <s v="GRD PECAS E ACESSORIOS PARA"/>
    <s v="RJ"/>
    <n v="932"/>
    <s v="CDP Prata"/>
    <n v="1350"/>
    <s v="W10268575"/>
    <s v="Gaxetas"/>
    <x v="10"/>
    <n v="1"/>
    <n v="5003176"/>
    <s v="J C THEDIN TRANSPORTES LTDA"/>
    <n v="62.85"/>
    <d v="2025-07-30T00:00:00"/>
  </r>
  <r>
    <n v="254058324"/>
    <n v="64820802"/>
    <s v="REB"/>
    <n v="10085926"/>
    <n v="173"/>
    <s v="PEÇAS - Defeito de fabric./Alta Amperage"/>
    <s v="FUNCIONAL"/>
    <x v="2"/>
    <n v="9599"/>
    <s v="LITORAL SERV - COMERCIO DE PECAS"/>
    <s v="SP"/>
    <n v="931"/>
    <s v="Ats Off"/>
    <n v="1350"/>
    <s v="W10754499"/>
    <s v="Válvulas de Segurança"/>
    <x v="9"/>
    <n v="1"/>
    <n v="5004042"/>
    <s v="BRASIL WEB TRANSPORTES E LOGISTICA"/>
    <n v="130.18"/>
    <d v="2025-07-31T00:00:00"/>
  </r>
  <r>
    <n v="254056506"/>
    <n v="64820942"/>
    <s v="REB"/>
    <n v="10045752"/>
    <n v="176"/>
    <s v="PEÇAS - Defeito de fabric./Interrompido"/>
    <s v="FUNCIONAL"/>
    <x v="1"/>
    <n v="76848"/>
    <s v="MUNDIAL REFRIGERACAO LTDA"/>
    <s v="GO"/>
    <n v="643"/>
    <s v="Elite"/>
    <n v="1350"/>
    <s v="W10849470"/>
    <s v="Bombas"/>
    <x v="2"/>
    <n v="1"/>
    <n v="5002858"/>
    <s v="FAVORITA TRANSPORTES LTDA"/>
    <n v="30.62"/>
    <d v="2025-08-15T00:00:00"/>
  </r>
  <r>
    <s v="Sem TR"/>
    <n v="64821012"/>
    <s v="REB"/>
    <n v="10045270"/>
    <n v="173"/>
    <s v="PEÇAS - Defeito de fabric./Alta Amperage"/>
    <s v="FUNCIONAL"/>
    <x v="1"/>
    <n v="63300"/>
    <s v="REFRIGERACAO MOTA LTDA"/>
    <s v="MG"/>
    <n v="643"/>
    <s v="Elite"/>
    <n v="1350"/>
    <s v="W10632492"/>
    <s v="Placas de Controle"/>
    <x v="2"/>
    <n v="1"/>
    <n v="5004215"/>
    <s v="BRASIL WEB TRANSPORTES E LOGISTICA"/>
    <n v="133.16999999999999"/>
    <d v="2025-08-07T00:00:00"/>
  </r>
  <r>
    <n v="254053348"/>
    <n v="64821053"/>
    <s v="REB"/>
    <n v="10140348"/>
    <n v="176"/>
    <s v="PEÇAS - Defeito de fabric./Interrompido"/>
    <s v="FUNCIONAL"/>
    <x v="1"/>
    <n v="3652"/>
    <s v="ASTEG ASTEG"/>
    <s v="SP"/>
    <n v="350"/>
    <s v="Ats On"/>
    <n v="1350"/>
    <s v="W11619317"/>
    <s v="Placas de Controle"/>
    <x v="2"/>
    <n v="1"/>
    <n v="5004042"/>
    <s v="BRASIL WEB TRANSPORTES E LOGISTICA"/>
    <n v="297.48"/>
    <d v="2025-08-07T00:00:00"/>
  </r>
  <r>
    <s v="Sem TR"/>
    <n v="64821092"/>
    <s v="REB"/>
    <n v="9256851"/>
    <n v="178"/>
    <s v="PEÇAS -Defeito de fabric./Sem Compressão"/>
    <s v="FUNCIONAL"/>
    <x v="1"/>
    <n v="28991"/>
    <s v="FRIO BEL REFRIGERACAO LTDA"/>
    <s v="MG"/>
    <n v="643"/>
    <s v="Elite"/>
    <n v="1350"/>
    <s v="W11647660"/>
    <s v="Compressores Herméticos"/>
    <x v="0"/>
    <n v="1"/>
    <n v="5004215"/>
    <s v="BRASIL WEB TRANSPORTES E LOGISTICA"/>
    <n v="288.12"/>
    <d v="2025-08-07T00:00:00"/>
  </r>
  <r>
    <n v="254054258"/>
    <n v="64821093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07T00:00:00"/>
  </r>
  <r>
    <n v="254058326"/>
    <n v="64821249"/>
    <s v="REB"/>
    <n v="10103045"/>
    <n v="168"/>
    <s v="PEÇAS-Def.Fabric.Empenamento/Abaulamento"/>
    <s v="FUNCIONAL"/>
    <x v="1"/>
    <n v="42455"/>
    <s v="D. B. GOMES SOROCABA"/>
    <s v="SP"/>
    <n v="931"/>
    <s v="Ats Off"/>
    <n v="1350"/>
    <s v="W10601638"/>
    <s v="Mesas Cocção"/>
    <x v="3"/>
    <n v="1"/>
    <n v="5004042"/>
    <s v="BRASIL WEB TRANSPORTES E LOGISTICA"/>
    <n v="136.53"/>
    <d v="2025-07-31T00:00:00"/>
  </r>
  <r>
    <s v="Sem TR"/>
    <n v="64821382"/>
    <s v="REB"/>
    <n v="10142486"/>
    <n v="509"/>
    <s v="Qtd de peças a Menor dentro do Volume"/>
    <s v="LOGÍSTICA"/>
    <x v="2"/>
    <n v="78757"/>
    <s v="POSFRIO REFRIGERACAO LTDA"/>
    <s v="RS"/>
    <n v="643"/>
    <s v="Elite"/>
    <n v="1350"/>
    <s v="W10616687"/>
    <s v="Capas"/>
    <x v="3"/>
    <n v="1"/>
    <n v="5002359"/>
    <s v="EMPRESA BRASILEIRA DE CORREIOS E"/>
    <n v="25.46"/>
    <d v="2025-08-07T00:00:00"/>
  </r>
  <r>
    <s v="Sem TR"/>
    <n v="64821383"/>
    <s v="REB"/>
    <n v="10076227"/>
    <n v="173"/>
    <s v="PEÇAS - Defeito de fabric./Alta Amperage"/>
    <s v="FUNCIONAL"/>
    <x v="1"/>
    <n v="24994"/>
    <s v="ROSA MARIA CORREA RIBEIRO &amp; CIA LT"/>
    <s v="MG"/>
    <n v="350"/>
    <s v="Ats On"/>
    <n v="1350"/>
    <s v="W11364875"/>
    <s v="Válvulas de Água"/>
    <x v="6"/>
    <n v="1"/>
    <n v="5004215"/>
    <s v="BRASIL WEB TRANSPORTES E LOGISTICA"/>
    <n v="29.31"/>
    <d v="2025-08-14T00:00:00"/>
  </r>
  <r>
    <n v="254058327"/>
    <n v="64821488"/>
    <s v="REB"/>
    <n v="9089728"/>
    <n v="173"/>
    <s v="PEÇAS - Defeito de fabric./Alta Amperage"/>
    <s v="FUNCIONAL"/>
    <x v="1"/>
    <n v="47471"/>
    <s v="REFRISOLAR REFRIGERACAO LTDA"/>
    <s v="TO"/>
    <n v="643"/>
    <s v="Elite"/>
    <n v="1350"/>
    <s v="W10393810"/>
    <s v="Compressores Herméticos"/>
    <x v="0"/>
    <n v="1"/>
    <n v="5002858"/>
    <s v="FAVORITA TRANSPORTES LTDA"/>
    <n v="365.42"/>
    <d v="2025-08-15T00:00:00"/>
  </r>
  <r>
    <n v="254056497"/>
    <n v="64821513"/>
    <s v="REB"/>
    <n v="10121770"/>
    <n v="173"/>
    <s v="PEÇAS - Defeito de fabric./Alta Amperage"/>
    <s v="FUNCIONAL"/>
    <x v="1"/>
    <n v="70149"/>
    <s v="BR PECAS COMERCIO DE PECAS"/>
    <s v="SP"/>
    <n v="963"/>
    <s v="Ats Distribuidoras"/>
    <n v="1350"/>
    <s v="W10806459"/>
    <s v="Motores Ventiladores"/>
    <x v="2"/>
    <n v="1"/>
    <n v="5004042"/>
    <s v="BRASIL WEB TRANSPORTES E LOGISTICA"/>
    <n v="145.52000000000001"/>
    <d v="2025-08-15T00:00:00"/>
  </r>
  <r>
    <n v="254059860"/>
    <n v="64821588"/>
    <s v="REB"/>
    <n v="10081044"/>
    <n v="168"/>
    <s v="PEÇAS-Def.Fabric.Empenamento/Abaulamento"/>
    <s v="FUNCIONAL"/>
    <x v="1"/>
    <n v="42244"/>
    <s v="REFRIGERACAO ELETRO FRIO LTDA"/>
    <s v="GO"/>
    <n v="932"/>
    <s v="CDP Prata"/>
    <n v="1350"/>
    <n v="326031817"/>
    <s v="Mangueiras"/>
    <x v="6"/>
    <n v="1"/>
    <n v="5002858"/>
    <s v="FAVORITA TRANSPORTES LTDA"/>
    <n v="17.510000000000002"/>
    <d v="2025-08-15T00:00:00"/>
  </r>
  <r>
    <n v="254056485"/>
    <n v="64821607"/>
    <s v="REB"/>
    <n v="10133771"/>
    <n v="178"/>
    <s v="PEÇAS -Defeito de fabric./Sem Compressão"/>
    <s v="FUNCIONAL"/>
    <x v="2"/>
    <n v="40998"/>
    <s v="CALDEIRA E SANTOS LTDA M.E"/>
    <s v="GO"/>
    <n v="648"/>
    <s v="Ultra"/>
    <n v="1350"/>
    <n v="326004753"/>
    <s v="Válvulas de Água"/>
    <x v="6"/>
    <n v="1"/>
    <n v="5002858"/>
    <s v="FAVORITA TRANSPORTES LTDA"/>
    <n v="31.27"/>
    <d v="2025-08-15T00:00:00"/>
  </r>
  <r>
    <n v="254056453"/>
    <n v="64821608"/>
    <s v="REB"/>
    <n v="10141254"/>
    <n v="176"/>
    <s v="PEÇAS - Defeito de fabric./Interrompido"/>
    <s v="FUNCIONAL"/>
    <x v="1"/>
    <n v="4318"/>
    <s v="REFRIGERACAO MARTENDAL LTDA"/>
    <s v="SC"/>
    <n v="931"/>
    <s v="Ats Off"/>
    <n v="1350"/>
    <s v="W10632303"/>
    <s v="Válvulas de Água"/>
    <x v="6"/>
    <n v="1"/>
    <n v="5003024"/>
    <s v="RODOBRAS TRANSPORTES RODOVIARIOS LT"/>
    <n v="31.41"/>
    <d v="2025-08-15T00:00:00"/>
  </r>
  <r>
    <s v="Sem TR"/>
    <n v="64821668"/>
    <s v="ZRDI"/>
    <n v="10145508"/>
    <s v="D10"/>
    <s v="DEV D2C - Comprou modelo errado"/>
    <s v="COMERCIAL"/>
    <x v="2"/>
    <n v="58168282"/>
    <s v="EDMILSON JESUS"/>
    <s v="SP"/>
    <n v="466"/>
    <s v="Sup ML Marketplace"/>
    <n v="1352"/>
    <s v="W10212144"/>
    <s v="Gavetas"/>
    <x v="1"/>
    <n v="1"/>
    <n v="5002359"/>
    <s v="EMPRESA BRASILEIRA DE CORREIOS E"/>
    <n v="74.290000000000006"/>
    <d v="2025-08-07T00:00:00"/>
  </r>
  <r>
    <s v="Sem TR"/>
    <n v="64821708"/>
    <s v="REB"/>
    <n v="10143541"/>
    <n v="167"/>
    <s v="PEÇAS - Avaria - Quebrada/Depósito"/>
    <s v="LOGÍSTICA"/>
    <x v="1"/>
    <n v="25656"/>
    <s v="OFICIAL REFRIGERACAO COMERCIO"/>
    <s v="SP"/>
    <n v="931"/>
    <s v="Ats Off"/>
    <n v="1350"/>
    <s v="W10292562"/>
    <s v="Capas"/>
    <x v="3"/>
    <n v="1"/>
    <n v="5004042"/>
    <s v="BRASIL WEB TRANSPORTES E LOGISTICA"/>
    <n v="29.54"/>
    <d v="2025-08-14T00:00:00"/>
  </r>
  <r>
    <n v="254056332"/>
    <n v="64822022"/>
    <s v="REB"/>
    <n v="9963473"/>
    <n v="173"/>
    <s v="PEÇAS - Defeito de fabric./Alta Amperage"/>
    <s v="FUNCIONAL"/>
    <x v="1"/>
    <n v="4167"/>
    <s v="MAQ VILLE PECAS E SERVICOS LTDA"/>
    <s v="SP"/>
    <n v="931"/>
    <s v="Ats Off"/>
    <n v="1350"/>
    <s v="W10837074"/>
    <s v="Bombas"/>
    <x v="2"/>
    <n v="1"/>
    <n v="5004042"/>
    <s v="BRASIL WEB TRANSPORTES E LOGISTICA"/>
    <n v="124.42"/>
    <d v="2025-08-15T00:00:00"/>
  </r>
  <r>
    <s v="Sem TR"/>
    <n v="64822080"/>
    <s v="REB"/>
    <n v="10158202"/>
    <n v="173"/>
    <s v="PEÇAS - Defeito de fabric./Alta Amperage"/>
    <s v="FUNCIONAL"/>
    <x v="1"/>
    <n v="92025"/>
    <s v="ASTEBEL REDE DE SERVICOS LTDA"/>
    <s v="MG"/>
    <n v="350"/>
    <s v="Ats On"/>
    <n v="1350"/>
    <s v="W10336914"/>
    <s v="Ice Maker"/>
    <x v="5"/>
    <n v="1"/>
    <n v="5004215"/>
    <s v="BRASIL WEB TRANSPORTES E LOGISTICA"/>
    <n v="772.62"/>
    <d v="2025-08-01T00:00:00"/>
  </r>
  <r>
    <s v="Sem TR"/>
    <n v="64822093"/>
    <s v="REB"/>
    <n v="10156182"/>
    <n v="176"/>
    <s v="PEÇAS - Defeito de fabric./Interrompido"/>
    <s v="FUNCIONAL"/>
    <x v="1"/>
    <n v="5039"/>
    <s v="MAQ TEC COMERCIO DE PECAS"/>
    <s v="RS"/>
    <n v="350"/>
    <s v="Ats On"/>
    <n v="1350"/>
    <s v="W10732276"/>
    <s v="Placas de Controle"/>
    <x v="2"/>
    <n v="1"/>
    <n v="5003024"/>
    <s v="RODOBRAS TRANSPORTES RODOVIARIOS LT"/>
    <n v="497.82"/>
    <d v="2025-08-01T00:00:00"/>
  </r>
  <r>
    <n v="254054274"/>
    <n v="64822235"/>
    <s v="REB"/>
    <n v="9900551"/>
    <n v="178"/>
    <s v="PEÇAS -Defeito de fabric./Sem Compressão"/>
    <s v="FUNCIONAL"/>
    <x v="1"/>
    <n v="76236"/>
    <s v="LEANDRO RICARDO LEITE"/>
    <s v="SP"/>
    <n v="641"/>
    <s v="CDP Diamante"/>
    <n v="1350"/>
    <s v="W11677208"/>
    <s v="Compressores Herméticos"/>
    <x v="0"/>
    <n v="1"/>
    <n v="5004042"/>
    <s v="BRASIL WEB TRANSPORTES E LOGISTICA"/>
    <n v="341.64"/>
    <d v="2025-08-07T00:00:00"/>
  </r>
  <r>
    <n v="254054277"/>
    <n v="64822236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07T00:00:00"/>
  </r>
  <r>
    <s v="Sem TR"/>
    <n v="64822238"/>
    <s v="REB"/>
    <n v="10145190"/>
    <n v="509"/>
    <s v="Qtd de peças a Menor dentro do Volume"/>
    <s v="LOGÍSTICA"/>
    <x v="1"/>
    <n v="27210"/>
    <s v="BELTRAO COMERCIO DE REFRIG"/>
    <s v="PR"/>
    <n v="350"/>
    <s v="Ats On"/>
    <n v="1350"/>
    <s v="W11082454"/>
    <s v="Termostatos"/>
    <x v="8"/>
    <n v="1"/>
    <n v="5002359"/>
    <s v="EMPRESA BRASILEIRA DE CORREIOS E"/>
    <n v="45.74"/>
    <d v="2025-08-07T00:00:00"/>
  </r>
  <r>
    <n v="254058048"/>
    <n v="64822353"/>
    <s v="REB"/>
    <n v="10100123"/>
    <n v="165"/>
    <s v="PEÇAS - Defeito de fabric./Incompleta"/>
    <s v="FUNCIONAL"/>
    <x v="2"/>
    <n v="2666"/>
    <s v="C.L.A"/>
    <s v="RJ"/>
    <n v="931"/>
    <s v="Ats Off"/>
    <n v="1350"/>
    <s v="W11112652"/>
    <s v="Botões"/>
    <x v="3"/>
    <n v="2"/>
    <n v="5003176"/>
    <s v="J C THEDIN TRANSPORTES LTDA"/>
    <n v="17.95"/>
    <d v="2025-08-14T00:00:00"/>
  </r>
  <r>
    <n v="254058048"/>
    <n v="64822353"/>
    <s v="REB"/>
    <n v="10100123"/>
    <n v="165"/>
    <s v="PEÇAS - Defeito de fabric./Incompleta"/>
    <s v="FUNCIONAL"/>
    <x v="2"/>
    <n v="2666"/>
    <s v="C.L.A"/>
    <s v="RJ"/>
    <n v="931"/>
    <s v="Ats Off"/>
    <n v="1350"/>
    <s v="W11561059"/>
    <s v="Compressores Herméticos"/>
    <x v="0"/>
    <n v="1"/>
    <n v="5003176"/>
    <s v="J C THEDIN TRANSPORTES LTDA"/>
    <n v="666.67"/>
    <d v="2025-08-14T00:00:00"/>
  </r>
  <r>
    <n v="254058116"/>
    <n v="64822556"/>
    <s v="REB"/>
    <n v="10124691"/>
    <n v="104"/>
    <s v="PEÇAS-Código trocado(embalag X conteúdo)"/>
    <s v="LOGÍSTICA"/>
    <x v="1"/>
    <n v="9248"/>
    <s v="ELETROMAR MOVEIS E ELETRODOM LTDA"/>
    <s v="MT"/>
    <n v="932"/>
    <s v="CDP Prata"/>
    <n v="1350"/>
    <s v="W10618496"/>
    <s v="Tanques"/>
    <x v="1"/>
    <n v="3"/>
    <n v="5002573"/>
    <s v="CARVALIMA TRANSPORTES LTDA"/>
    <n v="1511.64"/>
    <d v="2025-08-14T00:00:00"/>
  </r>
  <r>
    <s v="Sem TR"/>
    <n v="64822557"/>
    <s v="REB"/>
    <n v="10140886"/>
    <n v="509"/>
    <s v="Qtd de peças a Menor dentro do Volume"/>
    <s v="LOGÍSTICA"/>
    <x v="2"/>
    <n v="81338"/>
    <s v="GABAN COMERCIO DE UTILIDADES"/>
    <s v="SP"/>
    <n v="644"/>
    <s v="Plus"/>
    <n v="1350"/>
    <s v="W10476183"/>
    <s v="Prateleiras"/>
    <x v="1"/>
    <n v="6"/>
    <n v="5002359"/>
    <s v="EMPRESA BRASILEIRA DE CORREIOS E"/>
    <n v="161.86000000000001"/>
    <d v="2025-08-14T00:00:00"/>
  </r>
  <r>
    <s v="Sem TR"/>
    <n v="64822558"/>
    <s v="REB"/>
    <n v="10107032"/>
    <n v="167"/>
    <s v="PEÇAS - Avaria - Quebrada/Depósito"/>
    <s v="LOGÍSTICA"/>
    <x v="1"/>
    <n v="34150"/>
    <s v="REFRIGEL REFRIG GANDUENSE LTDA"/>
    <s v="BA"/>
    <n v="701"/>
    <s v="Descredenciado"/>
    <n v="1350"/>
    <n v="326047714"/>
    <s v="Prateleiras"/>
    <x v="1"/>
    <n v="1"/>
    <n v="5004101"/>
    <s v="UNIDOCK'S ASSESSORIA E LOGISTICA DE"/>
    <n v="39.549999999999997"/>
    <d v="2025-08-14T00:00:00"/>
  </r>
  <r>
    <s v="Sem TR"/>
    <n v="64822878"/>
    <s v="REB"/>
    <n v="10153414"/>
    <n v="90"/>
    <s v="CLIENTE-não solicitou"/>
    <s v="COMERCIAL"/>
    <x v="1"/>
    <n v="34532"/>
    <s v="FRIOGASMAQ COMERCIAL LTDA"/>
    <s v="SC"/>
    <n v="350"/>
    <s v="Ats On"/>
    <n v="1350"/>
    <n v="326075396"/>
    <s v="Gaxetas"/>
    <x v="10"/>
    <n v="2"/>
    <n v="5003024"/>
    <s v="RODOBRAS TRANSPORTES RODOVIARIOS LT"/>
    <n v="71.33"/>
    <d v="2025-08-15T00:00:00"/>
  </r>
  <r>
    <s v="Sem TR"/>
    <n v="64822998"/>
    <s v="REB"/>
    <n v="10149834"/>
    <n v="173"/>
    <s v="PEÇAS - Defeito de fabric./Alta Amperage"/>
    <s v="FUNCIONAL"/>
    <x v="1"/>
    <n v="29696"/>
    <s v="REFRIG. BANFRIO COM. IMPORTADO LTDA"/>
    <s v="SP"/>
    <n v="933"/>
    <s v="Top"/>
    <n v="1350"/>
    <s v="W11047052"/>
    <s v="Interruptores horário"/>
    <x v="8"/>
    <n v="1"/>
    <n v="5004042"/>
    <s v="BRASIL WEB TRANSPORTES E LOGISTICA"/>
    <n v="159"/>
    <d v="2025-08-15T00:00:00"/>
  </r>
  <r>
    <n v="254054279"/>
    <n v="64824037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07T00:00:00"/>
  </r>
  <r>
    <n v="254054019"/>
    <n v="64824038"/>
    <s v="REB"/>
    <n v="10128202"/>
    <n v="167"/>
    <s v="PEÇAS - Avaria - Quebrada/Depósito"/>
    <s v="LOGÍSTICA"/>
    <x v="2"/>
    <n v="1632"/>
    <s v="BRASERVICE COMERCIO E SERVICOS"/>
    <s v="AL"/>
    <n v="931"/>
    <s v="Ats Off"/>
    <n v="1350"/>
    <s v="W10488057"/>
    <s v="Motores"/>
    <x v="2"/>
    <n v="1"/>
    <n v="5004101"/>
    <s v="UNIDOCK'S ASSESSORIA E LOGISTICA DE"/>
    <n v="419.45"/>
    <d v="2025-08-07T00:00:00"/>
  </r>
  <r>
    <n v="254056179"/>
    <n v="64825343"/>
    <s v="REB"/>
    <n v="10145986"/>
    <n v="176"/>
    <s v="PEÇAS - Defeito de fabric./Interrompido"/>
    <s v="FUNCIONAL"/>
    <x v="1"/>
    <n v="3506"/>
    <s v="TECBRAS ASSISTENCIA TECNICA"/>
    <s v="SP"/>
    <n v="931"/>
    <s v="Ats Off"/>
    <n v="1350"/>
    <s v="W11113071"/>
    <s v="Termostatos"/>
    <x v="8"/>
    <n v="1"/>
    <n v="5004042"/>
    <s v="BRASIL WEB TRANSPORTES E LOGISTICA"/>
    <n v="113.29"/>
    <d v="2025-08-07T00:00:00"/>
  </r>
  <r>
    <n v="254056180"/>
    <n v="64825413"/>
    <s v="REB"/>
    <n v="10128590"/>
    <n v="176"/>
    <s v="PEÇAS - Defeito de fabric./Interrompido"/>
    <s v="FUNCIONAL"/>
    <x v="1"/>
    <n v="3652"/>
    <s v="ASTEG ASTEG"/>
    <s v="SP"/>
    <n v="350"/>
    <s v="Ats On"/>
    <n v="1350"/>
    <s v="W11112671"/>
    <s v="Interruptores horário"/>
    <x v="8"/>
    <n v="1"/>
    <n v="5004042"/>
    <s v="BRASIL WEB TRANSPORTES E LOGISTICA"/>
    <n v="76.16"/>
    <d v="2025-08-07T00:00:00"/>
  </r>
  <r>
    <s v="Sem TR"/>
    <n v="64825422"/>
    <s v="REB"/>
    <n v="10146648"/>
    <n v="167"/>
    <s v="PEÇAS - Avaria - Quebrada/Depósito"/>
    <s v="LOGÍSTICA"/>
    <x v="1"/>
    <n v="3605"/>
    <s v="REFRIGERACAO BARS LTDA"/>
    <s v="SP"/>
    <n v="931"/>
    <s v="Ats Off"/>
    <n v="1350"/>
    <s v="W11201322"/>
    <s v="Prateleiras"/>
    <x v="1"/>
    <n v="1"/>
    <n v="5004042"/>
    <s v="BRASIL WEB TRANSPORTES E LOGISTICA"/>
    <n v="116.35"/>
    <d v="2025-08-07T00:00:00"/>
  </r>
  <r>
    <n v="254054164"/>
    <n v="64825423"/>
    <s v="REB"/>
    <n v="10156513"/>
    <n v="176"/>
    <s v="PEÇAS - Defeito de fabric./Interrompido"/>
    <s v="FUNCIONAL"/>
    <x v="1"/>
    <n v="3649"/>
    <s v="A ORIGINAL SERVICE PECAS"/>
    <s v="SP"/>
    <n v="350"/>
    <s v="Ats On"/>
    <n v="1350"/>
    <s v="W11082454"/>
    <s v="Termostatos"/>
    <x v="8"/>
    <n v="1"/>
    <n v="5004042"/>
    <s v="BRASIL WEB TRANSPORTES E LOGISTICA"/>
    <n v="54.97"/>
    <d v="2025-08-07T00:00:00"/>
  </r>
  <r>
    <s v="Sem TR"/>
    <n v="64825448"/>
    <s v="REB"/>
    <n v="10012345"/>
    <n v="173"/>
    <s v="PEÇAS - Defeito de fabric./Alta Amperage"/>
    <s v="FUNCIONAL"/>
    <x v="1"/>
    <n v="24289"/>
    <s v="REFRIGERACAO MOTA LTDA"/>
    <s v="MG"/>
    <n v="643"/>
    <s v="Elite"/>
    <n v="1350"/>
    <n v="326061171"/>
    <s v="Placas de Controle"/>
    <x v="2"/>
    <n v="2"/>
    <n v="5004215"/>
    <s v="BRASIL WEB TRANSPORTES E LOGISTICA"/>
    <n v="479.46"/>
    <d v="2025-08-15T00:00:00"/>
  </r>
  <r>
    <s v="Sem TR"/>
    <n v="64825448"/>
    <s v="REB"/>
    <n v="10012345"/>
    <n v="173"/>
    <s v="PEÇAS - Defeito de fabric./Alta Amperage"/>
    <s v="FUNCIONAL"/>
    <x v="1"/>
    <n v="24289"/>
    <s v="REFRIGERACAO MOTA LTDA"/>
    <s v="MG"/>
    <n v="643"/>
    <s v="Elite"/>
    <n v="1350"/>
    <n v="326053800"/>
    <s v="Placas de Controle"/>
    <x v="2"/>
    <n v="1"/>
    <n v="5004215"/>
    <s v="BRASIL WEB TRANSPORTES E LOGISTICA"/>
    <n v="263.48"/>
    <d v="2025-08-15T00:00:00"/>
  </r>
  <r>
    <s v="Sem TR"/>
    <n v="64825448"/>
    <s v="REB"/>
    <n v="10012345"/>
    <n v="173"/>
    <s v="PEÇAS - Defeito de fabric./Alta Amperage"/>
    <s v="FUNCIONAL"/>
    <x v="1"/>
    <n v="24289"/>
    <s v="REFRIGERACAO MOTA LTDA"/>
    <s v="MG"/>
    <n v="643"/>
    <s v="Elite"/>
    <n v="1350"/>
    <s v="W11396188"/>
    <s v="Placas de Interface"/>
    <x v="2"/>
    <n v="1"/>
    <n v="5004215"/>
    <s v="BRASIL WEB TRANSPORTES E LOGISTICA"/>
    <n v="85.88"/>
    <d v="2025-08-15T00:00:00"/>
  </r>
  <r>
    <s v="Sem TR"/>
    <n v="64825448"/>
    <s v="REB"/>
    <n v="10012345"/>
    <n v="173"/>
    <s v="PEÇAS - Defeito de fabric./Alta Amperage"/>
    <s v="FUNCIONAL"/>
    <x v="1"/>
    <n v="24289"/>
    <s v="REFRIGERACAO MOTA LTDA"/>
    <s v="MG"/>
    <n v="643"/>
    <s v="Elite"/>
    <n v="1350"/>
    <s v="W10887231"/>
    <s v="Placas de Controle"/>
    <x v="2"/>
    <n v="1"/>
    <n v="5004215"/>
    <s v="BRASIL WEB TRANSPORTES E LOGISTICA"/>
    <n v="394.58"/>
    <d v="2025-08-15T00:00:00"/>
  </r>
  <r>
    <s v="Sem TR"/>
    <n v="64825502"/>
    <s v="REB"/>
    <n v="10142648"/>
    <n v="170"/>
    <s v="PEÇAS - Avaria - Riscada/Depósito"/>
    <s v="LOGÍSTICA"/>
    <x v="1"/>
    <n v="5136"/>
    <s v="BRAZILIAN SERVICE ELETRODOMESTICOS"/>
    <s v="RS"/>
    <n v="350"/>
    <s v="Ats On"/>
    <n v="1350"/>
    <s v="W10710642"/>
    <s v="Portas"/>
    <x v="3"/>
    <n v="1"/>
    <n v="5003024"/>
    <s v="RODOBRAS TRANSPORTES RODOVIARIOS LT"/>
    <n v="143.88999999999999"/>
    <d v="2025-08-14T00:00:00"/>
  </r>
  <r>
    <n v="254058177"/>
    <n v="64825503"/>
    <s v="REB"/>
    <n v="10099417"/>
    <n v="176"/>
    <s v="PEÇAS - Defeito de fabric./Interrompido"/>
    <s v="FUNCIONAL"/>
    <x v="1"/>
    <n v="83572"/>
    <s v="GRAN ELETRO GOURMET LTDA"/>
    <s v="SP"/>
    <n v="931"/>
    <s v="Ats Off"/>
    <n v="1350"/>
    <s v="W10585027"/>
    <s v="Bombas"/>
    <x v="2"/>
    <n v="1"/>
    <n v="5004042"/>
    <s v="BRASIL WEB TRANSPORTES E LOGISTICA"/>
    <n v="172.51"/>
    <d v="2025-08-14T00:00:00"/>
  </r>
  <r>
    <s v="Sem TR"/>
    <n v="64825522"/>
    <s v="REB"/>
    <n v="10079917"/>
    <n v="173"/>
    <s v="PEÇAS - Defeito de fabric./Alta Amperage"/>
    <s v="FUNCIONAL"/>
    <x v="1"/>
    <n v="28178"/>
    <s v="IRMAOS CARICILLI LTDA"/>
    <s v="SP"/>
    <n v="644"/>
    <s v="Plus"/>
    <n v="1350"/>
    <s v="W11300675"/>
    <s v="Mecanismos"/>
    <x v="4"/>
    <n v="2"/>
    <n v="5004042"/>
    <s v="BRASIL WEB TRANSPORTES E LOGISTICA"/>
    <n v="237.68"/>
    <d v="2025-08-07T00:00:00"/>
  </r>
  <r>
    <s v="Sem TR"/>
    <n v="64825522"/>
    <s v="REB"/>
    <n v="10079917"/>
    <n v="173"/>
    <s v="PEÇAS - Defeito de fabric./Alta Amperage"/>
    <s v="FUNCIONAL"/>
    <x v="1"/>
    <n v="28178"/>
    <s v="IRMAOS CARICILLI LTDA"/>
    <s v="SP"/>
    <n v="644"/>
    <s v="Plus"/>
    <n v="1350"/>
    <s v="W11299803"/>
    <s v="Mecanismos"/>
    <x v="4"/>
    <n v="1"/>
    <n v="5004042"/>
    <s v="BRASIL WEB TRANSPORTES E LOGISTICA"/>
    <n v="110.19"/>
    <d v="2025-08-07T00:00:00"/>
  </r>
  <r>
    <s v="Sem TR"/>
    <n v="64825721"/>
    <s v="REB"/>
    <n v="10167040"/>
    <n v="110"/>
    <s v="PEÇAS-Troca de produtos"/>
    <s v="GESTÃO DE TROCAS"/>
    <x v="1"/>
    <n v="3555"/>
    <s v="LESTE SERVICE PCS SERVICOS LTDA LES"/>
    <s v="SP"/>
    <n v="931"/>
    <s v="Ats Off"/>
    <n v="1350"/>
    <n v="4258010"/>
    <s v="Parafusos e afins"/>
    <x v="7"/>
    <n v="10"/>
    <n v="5004042"/>
    <s v="BRASIL WEB TRANSPORTES E LOGISTICA"/>
    <n v="97.66"/>
    <d v="2025-08-14T00:00:00"/>
  </r>
  <r>
    <s v="Sem TR"/>
    <n v="64825779"/>
    <s v="REB"/>
    <n v="10153394"/>
    <n v="90"/>
    <s v="CLIENTE-não solicitou"/>
    <s v="COMERCIAL"/>
    <x v="1"/>
    <n v="31537"/>
    <s v="RAQUEL SILVEIRA RODRIGUES &amp; CIA. LT"/>
    <s v="RS"/>
    <n v="641"/>
    <s v="CDP Diamante"/>
    <n v="1350"/>
    <n v="326051369"/>
    <s v="Portas"/>
    <x v="3"/>
    <n v="1"/>
    <n v="5003024"/>
    <s v="RODOBRAS TRANSPORTES RODOVIARIOS LT"/>
    <n v="251.37"/>
    <d v="2025-08-04T00:00:00"/>
  </r>
  <r>
    <s v="Sem TR"/>
    <n v="64825789"/>
    <s v="REB"/>
    <n v="10147430"/>
    <n v="90"/>
    <s v="CLIENTE-não solicitou"/>
    <s v="COMERCIAL"/>
    <x v="1"/>
    <n v="81674"/>
    <s v="DUAR REFRIGERACAO LTDA"/>
    <s v="RS"/>
    <n v="350"/>
    <s v="Ats On"/>
    <n v="1350"/>
    <s v="W10440444"/>
    <s v="Gaxetas"/>
    <x v="10"/>
    <n v="5"/>
    <n v="5003024"/>
    <s v="RODOBRAS TRANSPORTES RODOVIARIOS LT"/>
    <n v="214.75"/>
    <d v="2025-08-04T00:00:00"/>
  </r>
  <r>
    <s v="Sem TR"/>
    <n v="64825789"/>
    <s v="REB"/>
    <n v="10147430"/>
    <n v="90"/>
    <s v="CLIENTE-não solicitou"/>
    <s v="COMERCIAL"/>
    <x v="1"/>
    <n v="81674"/>
    <s v="DUAR REFRIGERACAO LTDA"/>
    <s v="RS"/>
    <n v="350"/>
    <s v="Ats On"/>
    <n v="1350"/>
    <s v="W10648213"/>
    <s v="Gaxetas"/>
    <x v="10"/>
    <n v="5"/>
    <n v="5003024"/>
    <s v="RODOBRAS TRANSPORTES RODOVIARIOS LT"/>
    <n v="453.1"/>
    <d v="2025-08-04T00:00:00"/>
  </r>
  <r>
    <n v="254056315"/>
    <n v="64825796"/>
    <s v="REB"/>
    <n v="9441583"/>
    <n v="178"/>
    <s v="PEÇAS -Defeito de fabric./Sem Compressão"/>
    <s v="FUNCIONAL"/>
    <x v="1"/>
    <n v="55093"/>
    <s v="NAUTICA REFRIGERACAO E"/>
    <s v="SP"/>
    <n v="648"/>
    <s v="Ultra"/>
    <n v="1350"/>
    <s v="W11677211"/>
    <s v="Compressores Herméticos"/>
    <x v="0"/>
    <n v="1"/>
    <n v="5004042"/>
    <s v="BRASIL WEB TRANSPORTES E LOGISTICA"/>
    <n v="434.16"/>
    <d v="2025-08-14T00:00:00"/>
  </r>
  <r>
    <n v="254058127"/>
    <n v="64825797"/>
    <s v="REB"/>
    <n v="10101492"/>
    <n v="177"/>
    <s v="PEÇAS - Defeito de fabric./Ruído"/>
    <s v="FUNCIONAL"/>
    <x v="2"/>
    <n v="30416"/>
    <s v="JF OLIVEIRA PEREIRA ELETROD LTDA"/>
    <s v="AM"/>
    <n v="648"/>
    <s v="Ultra"/>
    <n v="1350"/>
    <s v="W11299803"/>
    <s v="Mecanismos"/>
    <x v="4"/>
    <n v="1"/>
    <n v="5002858"/>
    <s v="FAVORITA TRANSPORTES LTDA"/>
    <n v="86.36"/>
    <d v="2025-08-14T00:00:00"/>
  </r>
  <r>
    <s v="Sem TR"/>
    <n v="64825811"/>
    <s v="REB"/>
    <n v="9929787"/>
    <n v="178"/>
    <s v="PEÇAS -Defeito de fabric./Sem Compressão"/>
    <s v="FUNCIONAL"/>
    <x v="1"/>
    <n v="53319"/>
    <s v="PARTS FRIO DISTRIBUIDORA DE"/>
    <s v="PR"/>
    <n v="644"/>
    <s v="Plus"/>
    <n v="1350"/>
    <s v="W10798744"/>
    <s v="Compressores Herméticos"/>
    <x v="0"/>
    <n v="1"/>
    <n v="5003024"/>
    <s v="RODOBRAS TRANSPORTES RODOVIARIOS LT"/>
    <n v="325.38"/>
    <d v="2025-08-07T00:00:00"/>
  </r>
  <r>
    <s v="Sem TR"/>
    <n v="64825861"/>
    <s v="REB"/>
    <n v="9960670"/>
    <n v="167"/>
    <s v="PEÇAS - Avaria - Quebrada/Depósito"/>
    <s v="LOGÍSTICA"/>
    <x v="1"/>
    <n v="81093"/>
    <s v="REFRICRIL DISTRIBUIDORA DE AR"/>
    <s v="ES"/>
    <n v="713"/>
    <s v="Key Account"/>
    <n v="1350"/>
    <s v="W11300676"/>
    <s v="Mecanismos"/>
    <x v="4"/>
    <n v="4"/>
    <n v="5000253"/>
    <s v="TRANSPORTADOR GENERICO"/>
    <n v="403.76"/>
    <d v="2025-08-05T00:00:00"/>
  </r>
  <r>
    <s v="Sem TR"/>
    <n v="64826352"/>
    <s v="REB"/>
    <n v="10143369"/>
    <n v="173"/>
    <s v="PEÇAS - Defeito de fabric./Alta Amperage"/>
    <s v="FUNCIONAL"/>
    <x v="1"/>
    <n v="72911"/>
    <s v="ALVITEK PECAS E SERVICOS LTDA"/>
    <s v="SP"/>
    <n v="931"/>
    <s v="Ats Off"/>
    <n v="1350"/>
    <s v="W11516472"/>
    <s v="Compressores Herméticos"/>
    <x v="0"/>
    <n v="1"/>
    <n v="5004042"/>
    <s v="BRASIL WEB TRANSPORTES E LOGISTICA"/>
    <n v="367.8"/>
    <d v="2025-08-07T00:00:00"/>
  </r>
  <r>
    <n v="254054256"/>
    <n v="64826353"/>
    <s v="REB"/>
    <n v="9638262"/>
    <n v="176"/>
    <s v="PEÇAS - Defeito de fabric./Interrompido"/>
    <s v="FUNCIONAL"/>
    <x v="1"/>
    <n v="59011"/>
    <s v="H D CASTELAO EIRELI - EPP"/>
    <s v="SP"/>
    <n v="648"/>
    <s v="Ultra"/>
    <n v="1350"/>
    <s v="W11677208"/>
    <s v="Compressores Herméticos"/>
    <x v="0"/>
    <n v="1"/>
    <n v="5004042"/>
    <s v="BRASIL WEB TRANSPORTES E LOGISTICA"/>
    <n v="325.11"/>
    <d v="2025-08-07T00:00:00"/>
  </r>
  <r>
    <n v="254056182"/>
    <n v="64826381"/>
    <s v="REB"/>
    <n v="9723416"/>
    <n v="178"/>
    <s v="PEÇAS -Defeito de fabric./Sem Compressão"/>
    <s v="FUNCIONAL"/>
    <x v="2"/>
    <n v="30416"/>
    <s v="JF OLIVEIRA PEREIRA ELETROD LTDA"/>
    <s v="AM"/>
    <n v="648"/>
    <s v="Ultra"/>
    <n v="1350"/>
    <s v="W11459433"/>
    <s v="Compressores Herméticos"/>
    <x v="0"/>
    <n v="1"/>
    <n v="5002858"/>
    <s v="FAVORITA TRANSPORTES LTDA"/>
    <n v="400.05"/>
    <d v="2025-08-07T00:00:00"/>
  </r>
  <r>
    <n v="254054254"/>
    <n v="64826415"/>
    <s v="REB"/>
    <n v="10113046"/>
    <n v="176"/>
    <s v="PEÇAS - Defeito de fabric./Interrompido"/>
    <s v="FUNCIONAL"/>
    <x v="1"/>
    <n v="59011"/>
    <s v="H D CASTELAO EIRELI - EPP"/>
    <s v="SP"/>
    <n v="648"/>
    <s v="Ultra"/>
    <n v="1350"/>
    <s v="W10393823"/>
    <s v="Compressores Herméticos"/>
    <x v="0"/>
    <n v="1"/>
    <n v="5004042"/>
    <s v="BRASIL WEB TRANSPORTES E LOGISTICA"/>
    <n v="510.32"/>
    <d v="2025-08-07T00:00:00"/>
  </r>
  <r>
    <n v="254056181"/>
    <n v="64826416"/>
    <s v="REB"/>
    <n v="10138511"/>
    <n v="176"/>
    <s v="PEÇAS - Defeito de fabric./Interrompido"/>
    <s v="FUNCIONAL"/>
    <x v="1"/>
    <n v="22211"/>
    <s v="BARNI PRES SER COM PROD REFIRG ME"/>
    <s v="SC"/>
    <n v="644"/>
    <s v="Plus"/>
    <n v="1350"/>
    <s v="W11268186"/>
    <s v="Placas de Controle"/>
    <x v="2"/>
    <n v="1"/>
    <n v="5003024"/>
    <s v="RODOBRAS TRANSPORTES RODOVIARIOS LT"/>
    <n v="136.85"/>
    <d v="2025-08-07T00:00:00"/>
  </r>
  <r>
    <s v="Sem TR"/>
    <n v="64826417"/>
    <s v="REB"/>
    <n v="10098200"/>
    <n v="173"/>
    <s v="PEÇAS - Defeito de fabric./Alta Amperage"/>
    <s v="FUNCIONAL"/>
    <x v="1"/>
    <n v="22985"/>
    <s v="Comercial Delfrio LTDA EPP"/>
    <s v="SC"/>
    <n v="641"/>
    <s v="CDP Diamante"/>
    <n v="1350"/>
    <n v="326061171"/>
    <s v="Placas de Controle"/>
    <x v="2"/>
    <n v="1"/>
    <n v="5003024"/>
    <s v="RODOBRAS TRANSPORTES RODOVIARIOS LT"/>
    <n v="273.77"/>
    <d v="2025-08-07T00:00:00"/>
  </r>
  <r>
    <n v="254056484"/>
    <n v="64826428"/>
    <s v="REB"/>
    <n v="10031578"/>
    <n v="173"/>
    <s v="PEÇAS - Defeito de fabric./Alta Amperage"/>
    <s v="FUNCIONAL"/>
    <x v="1"/>
    <n v="37434"/>
    <s v="ELETRO MARTINS LTDA"/>
    <s v="GO"/>
    <n v="931"/>
    <s v="Ats Off"/>
    <n v="1350"/>
    <s v="W11634491"/>
    <s v="Placas de Controle"/>
    <x v="2"/>
    <n v="1"/>
    <n v="5002858"/>
    <s v="FAVORITA TRANSPORTES LTDA"/>
    <n v="76.77"/>
    <d v="2025-08-15T00:00:00"/>
  </r>
  <r>
    <s v="Sem TR"/>
    <n v="64826432"/>
    <s v="REB"/>
    <n v="9953811"/>
    <n v="176"/>
    <s v="PEÇAS - Defeito de fabric./Interrompido"/>
    <s v="FUNCIONAL"/>
    <x v="1"/>
    <n v="13757"/>
    <s v="FRIGELAR COMÉRCIO E INDÚSTRIA LTDA"/>
    <s v="SP"/>
    <n v="713"/>
    <s v="Key Account"/>
    <n v="1350"/>
    <n v="326061171"/>
    <s v="Placas de Controle"/>
    <x v="2"/>
    <n v="1"/>
    <n v="5004042"/>
    <s v="BRASIL WEB TRANSPORTES E LOGISTICA"/>
    <n v="293.08999999999997"/>
    <d v="2025-08-07T00:00:00"/>
  </r>
  <r>
    <s v="Sem TR"/>
    <n v="64826432"/>
    <s v="REB"/>
    <n v="9953811"/>
    <n v="176"/>
    <s v="PEÇAS - Defeito de fabric./Interrompido"/>
    <s v="FUNCIONAL"/>
    <x v="1"/>
    <n v="13757"/>
    <s v="FRIGELAR COMÉRCIO E INDÚSTRIA LTDA"/>
    <s v="SP"/>
    <n v="713"/>
    <s v="Key Account"/>
    <n v="1350"/>
    <s v="W11634491"/>
    <s v="Placas de Controle"/>
    <x v="2"/>
    <n v="1"/>
    <n v="5004042"/>
    <s v="BRASIL WEB TRANSPORTES E LOGISTICA"/>
    <n v="63.92"/>
    <d v="2025-08-07T00:00:00"/>
  </r>
  <r>
    <n v="254054290"/>
    <n v="64826433"/>
    <s v="REB"/>
    <n v="10092644"/>
    <n v="176"/>
    <s v="PEÇAS - Defeito de fabric./Interrompido"/>
    <s v="FUNCIONAL"/>
    <x v="2"/>
    <n v="85128"/>
    <s v="FACOTEC COMERCIO E PRESTACAO DE"/>
    <s v="SP"/>
    <n v="932"/>
    <s v="CDP Prata"/>
    <n v="1350"/>
    <s v="W10518616"/>
    <s v="Atuadores"/>
    <x v="4"/>
    <n v="1"/>
    <n v="5004042"/>
    <s v="BRASIL WEB TRANSPORTES E LOGISTICA"/>
    <n v="38.17"/>
    <d v="2025-08-07T00:00:00"/>
  </r>
  <r>
    <s v="Sem TR"/>
    <n v="64826439"/>
    <s v="ROB"/>
    <n v="10147022"/>
    <n v="115"/>
    <s v="PEÇAS-Recusa do cliente"/>
    <s v="COMERCIAL"/>
    <x v="1"/>
    <n v="95144"/>
    <s v="X PECAS NVS LTDA"/>
    <s v="MG"/>
    <n v="934"/>
    <s v="CDP Ouro"/>
    <n v="1350"/>
    <n v="326067736"/>
    <s v="Prateleiras"/>
    <x v="1"/>
    <n v="2"/>
    <n v="5004101"/>
    <s v="UNIDOCK'S ASSESSORIA E LOGISTICA DE"/>
    <n v="51.08"/>
    <d v="2025-08-05T00:00:00"/>
  </r>
  <r>
    <s v="Sem TR"/>
    <n v="64826441"/>
    <s v="ROB"/>
    <n v="10147024"/>
    <n v="115"/>
    <s v="PEÇAS-Recusa do cliente"/>
    <s v="COMERCIAL"/>
    <x v="1"/>
    <n v="95144"/>
    <s v="X PECAS NVS LTDA"/>
    <s v="MG"/>
    <n v="934"/>
    <s v="CDP Ouro"/>
    <n v="1350"/>
    <s v="W10897149"/>
    <s v="Rolamentos"/>
    <x v="4"/>
    <n v="85"/>
    <n v="5004101"/>
    <s v="UNIDOCK'S ASSESSORIA E LOGISTICA DE"/>
    <n v="746.78"/>
    <d v="2025-08-05T00:00:00"/>
  </r>
  <r>
    <s v="Sem TR"/>
    <n v="64826493"/>
    <s v="REB"/>
    <n v="9256851"/>
    <n v="178"/>
    <s v="PEÇAS -Defeito de fabric./Sem Compressão"/>
    <s v="FUNCIONAL"/>
    <x v="1"/>
    <n v="28991"/>
    <s v="FRIO BEL REFRIGERACAO LTDA"/>
    <s v="MG"/>
    <n v="643"/>
    <s v="Elite"/>
    <n v="1350"/>
    <s v="W11647660"/>
    <s v="Compressores Herméticos"/>
    <x v="0"/>
    <n v="1"/>
    <n v="5004215"/>
    <s v="BRASIL WEB TRANSPORTES E LOGISTICA"/>
    <n v="288.12"/>
    <d v="2025-08-14T00:00:00"/>
  </r>
  <r>
    <n v="254056410"/>
    <n v="64826530"/>
    <s v="REB"/>
    <n v="10019955"/>
    <n v="104"/>
    <s v="PEÇAS-Código trocado(embalag X conteúdo)"/>
    <s v="LOGÍSTICA"/>
    <x v="2"/>
    <n v="30820"/>
    <s v="ADVANCE REFRIGERACAO LTDA"/>
    <s v="PE"/>
    <n v="350"/>
    <s v="Ats On"/>
    <n v="1350"/>
    <n v="326039057"/>
    <s v="Gabinetes"/>
    <x v="3"/>
    <n v="4"/>
    <n v="5004101"/>
    <s v="UNIDOCK'S ASSESSORIA E LOGISTICA DE"/>
    <n v="1692.69"/>
    <d v="2025-08-07T00:00:00"/>
  </r>
  <r>
    <s v="Sem TR"/>
    <n v="64826531"/>
    <s v="REB"/>
    <n v="9886485"/>
    <n v="173"/>
    <s v="PEÇAS - Defeito de fabric./Alta Amperage"/>
    <s v="FUNCIONAL"/>
    <x v="1"/>
    <n v="64321"/>
    <s v="gilmar brey e cia ltda"/>
    <s v="PR"/>
    <n v="932"/>
    <s v="CDP Prata"/>
    <n v="1350"/>
    <s v="W11435400"/>
    <s v="Placas de Controle"/>
    <x v="2"/>
    <n v="1"/>
    <n v="5003024"/>
    <s v="RODOBRAS TRANSPORTES RODOVIARIOS LT"/>
    <n v="305.55"/>
    <d v="2025-08-07T00:00:00"/>
  </r>
  <r>
    <s v="Sem TR"/>
    <n v="64826678"/>
    <s v="REB"/>
    <n v="9918504"/>
    <n v="178"/>
    <s v="PEÇAS -Defeito de fabric./Sem Compressão"/>
    <s v="FUNCIONAL"/>
    <x v="1"/>
    <n v="28991"/>
    <s v="FRIO BEL REFRIGERACAO LTDA"/>
    <s v="MG"/>
    <n v="643"/>
    <s v="Elite"/>
    <n v="1350"/>
    <s v="W11647660"/>
    <s v="Compressores Herméticos"/>
    <x v="0"/>
    <n v="2"/>
    <n v="5004215"/>
    <s v="BRASIL WEB TRANSPORTES E LOGISTICA"/>
    <n v="544.23"/>
    <d v="2025-08-07T00:00:00"/>
  </r>
  <r>
    <s v="Sem TR"/>
    <n v="64826679"/>
    <s v="REB"/>
    <n v="10165062"/>
    <n v="104"/>
    <s v="PEÇAS-Código trocado(embalag X conteúdo)"/>
    <s v="LOGÍSTICA"/>
    <x v="1"/>
    <n v="4318"/>
    <s v="REFRIGERACAO MARTENDAL LTDA"/>
    <s v="SC"/>
    <n v="931"/>
    <s v="Ats Off"/>
    <n v="1350"/>
    <s v="W10703205"/>
    <s v="Painéis de Controle"/>
    <x v="3"/>
    <n v="1"/>
    <n v="5003024"/>
    <s v="RODOBRAS TRANSPORTES RODOVIARIOS LT"/>
    <n v="34.43"/>
    <d v="2025-08-06T00:00:00"/>
  </r>
  <r>
    <s v="Sem TR"/>
    <n v="64826727"/>
    <s v="ZRDI"/>
    <n v="10168080"/>
    <s v="D10"/>
    <s v="DEV D2C - Comprou modelo errado"/>
    <s v="COMERCIAL"/>
    <x v="2"/>
    <n v="57089686"/>
    <s v="MARCOS COLONELLO SACCARDO"/>
    <s v="SP"/>
    <n v="474"/>
    <s v="Site Brastemp"/>
    <n v="1352"/>
    <s v="W11115537"/>
    <s v="Prateleiras"/>
    <x v="1"/>
    <n v="1"/>
    <n v="5002359"/>
    <s v="EMPRESA BRASILEIRA DE CORREIOS E"/>
    <n v="109.84"/>
    <d v="2025-08-07T00:00:00"/>
  </r>
  <r>
    <n v="254059782"/>
    <n v="64826743"/>
    <s v="REB"/>
    <n v="9988170"/>
    <n v="176"/>
    <s v="PEÇAS - Defeito de fabric./Interrompido"/>
    <s v="FUNCIONAL"/>
    <x v="2"/>
    <n v="13757"/>
    <s v="FRIGELAR COMÉRCIO E INDÚSTRIA LTDA"/>
    <s v="SP"/>
    <n v="713"/>
    <s v="Key Account"/>
    <n v="1350"/>
    <n v="4258886"/>
    <s v="Anéis Hidro"/>
    <x v="3"/>
    <n v="1"/>
    <n v="5004042"/>
    <s v="BRASIL WEB TRANSPORTES E LOGISTICA"/>
    <n v="63.68"/>
    <d v="2025-08-14T00:00:00"/>
  </r>
  <r>
    <n v="254059906"/>
    <n v="64826817"/>
    <s v="REB"/>
    <n v="10080899"/>
    <n v="176"/>
    <s v="PEÇAS - Defeito de fabric./Interrompido"/>
    <s v="FUNCIONAL"/>
    <x v="1"/>
    <n v="21295"/>
    <s v="REFRIGAS COMERCIO E SERVICOS"/>
    <s v="SP"/>
    <n v="648"/>
    <s v="Ultra"/>
    <n v="1350"/>
    <s v="W11300675"/>
    <s v="Mecanismos"/>
    <x v="4"/>
    <n v="1"/>
    <n v="5004042"/>
    <s v="BRASIL WEB TRANSPORTES E LOGISTICA"/>
    <n v="117.85"/>
    <d v="2025-08-07T00:00:00"/>
  </r>
  <r>
    <s v="Sem TR"/>
    <n v="64826822"/>
    <s v="REB"/>
    <n v="9863944"/>
    <n v="178"/>
    <s v="PEÇAS -Defeito de fabric./Sem Compressão"/>
    <s v="FUNCIONAL"/>
    <x v="1"/>
    <n v="53319"/>
    <s v="PARTS FRIO DISTRIBUIDORA DE"/>
    <s v="PR"/>
    <n v="644"/>
    <s v="Plus"/>
    <n v="1350"/>
    <s v="W11647660"/>
    <s v="Compressores Herméticos"/>
    <x v="0"/>
    <n v="1"/>
    <n v="5003024"/>
    <s v="RODOBRAS TRANSPORTES RODOVIARIOS LT"/>
    <n v="298.22000000000003"/>
    <d v="2025-08-07T00:00:00"/>
  </r>
  <r>
    <n v="254054191"/>
    <n v="64826830"/>
    <s v="REB"/>
    <n v="10152057"/>
    <n v="167"/>
    <s v="PEÇAS - Avaria - Quebrada/Depósito"/>
    <s v="LOGÍSTICA"/>
    <x v="1"/>
    <n v="27574"/>
    <s v="GLACIAL REFRIG MAQ E EQUIP LTDA"/>
    <s v="SP"/>
    <n v="641"/>
    <s v="CDP Diamante"/>
    <n v="1350"/>
    <n v="326004687"/>
    <s v="Anéis do Tanque"/>
    <x v="3"/>
    <n v="1"/>
    <n v="5004042"/>
    <s v="BRASIL WEB TRANSPORTES E LOGISTICA"/>
    <n v="69.95"/>
    <d v="2025-08-07T00:00:00"/>
  </r>
  <r>
    <s v="Sem TR"/>
    <n v="64826873"/>
    <s v="REB"/>
    <n v="10124998"/>
    <n v="173"/>
    <s v="PEÇAS - Defeito de fabric./Alta Amperage"/>
    <s v="FUNCIONAL"/>
    <x v="1"/>
    <n v="42046"/>
    <s v="AREA SUL COMERCIO E SERVICOS EIRELI"/>
    <s v="PE"/>
    <n v="350"/>
    <s v="Ats On"/>
    <n v="1350"/>
    <s v="W11045219"/>
    <s v="Motores Ventiladores"/>
    <x v="2"/>
    <n v="1"/>
    <n v="5004101"/>
    <s v="UNIDOCK'S ASSESSORIA E LOGISTICA DE"/>
    <n v="32.19"/>
    <d v="2025-08-08T00:00:00"/>
  </r>
  <r>
    <n v="254058049"/>
    <n v="64826902"/>
    <s v="REB"/>
    <n v="10133950"/>
    <n v="167"/>
    <s v="PEÇAS - Avaria - Quebrada/Depósito"/>
    <s v="LOGÍSTICA"/>
    <x v="2"/>
    <n v="2832"/>
    <s v="REFRIG DANTAS LTDA"/>
    <s v="BA"/>
    <n v="350"/>
    <s v="Ats On"/>
    <n v="1350"/>
    <s v="W10169464"/>
    <s v="Defletores/Difusores"/>
    <x v="6"/>
    <n v="2"/>
    <n v="5004101"/>
    <s v="UNIDOCK'S ASSESSORIA E LOGISTICA DE"/>
    <n v="45.39"/>
    <d v="2025-08-14T00:00:00"/>
  </r>
  <r>
    <n v="254054138"/>
    <n v="64826916"/>
    <s v="REB"/>
    <n v="10105160"/>
    <n v="176"/>
    <s v="PEÇAS - Defeito de fabric./Interrompido"/>
    <s v="FUNCIONAL"/>
    <x v="1"/>
    <n v="3506"/>
    <s v="TECBRAS ASSISTENCIA TECNICA"/>
    <s v="SP"/>
    <n v="931"/>
    <s v="Ats Off"/>
    <n v="1350"/>
    <s v="W11334958"/>
    <s v="Placas de Interface"/>
    <x v="2"/>
    <n v="1"/>
    <n v="5004042"/>
    <s v="BRASIL WEB TRANSPORTES E LOGISTICA"/>
    <n v="90.55"/>
    <d v="2025-08-07T00:00:00"/>
  </r>
  <r>
    <n v="254061619"/>
    <n v="64826918"/>
    <s v="REB"/>
    <n v="10027963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54"/>
    <d v="2025-08-07T00:00:00"/>
  </r>
  <r>
    <s v="Sem TR"/>
    <n v="64826921"/>
    <s v="REB"/>
    <n v="10139401"/>
    <n v="167"/>
    <s v="PEÇAS - Avaria - Quebrada/Depósito"/>
    <s v="LOGÍSTICA"/>
    <x v="1"/>
    <n v="73003"/>
    <s v="DISFRIO DISTRIBUIDORA DE AR"/>
    <s v="SC"/>
    <n v="931"/>
    <s v="Ats Off"/>
    <n v="1350"/>
    <s v="W10647948"/>
    <s v="Suportes"/>
    <x v="3"/>
    <n v="1"/>
    <n v="5003024"/>
    <s v="RODOBRAS TRANSPORTES RODOVIARIOS LT"/>
    <n v="7.75"/>
    <d v="2025-08-07T00:00:00"/>
  </r>
  <r>
    <n v="254054260"/>
    <n v="64826922"/>
    <s v="REB"/>
    <n v="9442721"/>
    <n v="178"/>
    <s v="PEÇAS -Defeito de fabric./Sem Compressão"/>
    <s v="FUNCIONAL"/>
    <x v="0"/>
    <n v="67948"/>
    <s v="REFRICRIL DISTRIBUIDORA DE AR REFRI"/>
    <s v="SC"/>
    <n v="713"/>
    <s v="Key Account"/>
    <n v="1350"/>
    <s v="W11647662"/>
    <s v="Compressores Herméticos"/>
    <x v="0"/>
    <n v="1"/>
    <n v="5003024"/>
    <s v="RODOBRAS TRANSPORTES RODOVIARIOS LT"/>
    <n v="285.91000000000003"/>
    <d v="2025-08-07T00:00:00"/>
  </r>
  <r>
    <n v="254054261"/>
    <n v="64826923"/>
    <s v="REB"/>
    <n v="9659572"/>
    <n v="173"/>
    <s v="PEÇAS - Defeito de fabric./Alta Amperage"/>
    <s v="FUNCIONAL"/>
    <x v="2"/>
    <n v="67948"/>
    <s v="REFRICRIL DISTRIBUIDORA DE AR REFRI"/>
    <s v="SC"/>
    <n v="713"/>
    <s v="Key Account"/>
    <n v="1350"/>
    <s v="W10863659"/>
    <s v="Placas de Controle"/>
    <x v="2"/>
    <n v="1"/>
    <n v="5003024"/>
    <s v="RODOBRAS TRANSPORTES RODOVIARIOS LT"/>
    <n v="248.29"/>
    <d v="2025-08-07T00:00:00"/>
  </r>
  <r>
    <n v="254054243"/>
    <n v="64826930"/>
    <s v="REB"/>
    <n v="10048615"/>
    <n v="173"/>
    <s v="PEÇAS - Defeito de fabric./Alta Amperage"/>
    <s v="FUNCIONAL"/>
    <x v="1"/>
    <n v="37434"/>
    <s v="ELETRO MARTINS LTDA"/>
    <s v="GO"/>
    <n v="931"/>
    <s v="Ats Off"/>
    <n v="1350"/>
    <s v="W11435392"/>
    <s v="Placas de Controle"/>
    <x v="2"/>
    <n v="1"/>
    <n v="5002858"/>
    <s v="FAVORITA TRANSPORTES LTDA"/>
    <n v="282.74"/>
    <d v="2025-08-07T00:00:00"/>
  </r>
  <r>
    <s v="Sem TR"/>
    <n v="64826931"/>
    <s v="REB"/>
    <n v="9998640"/>
    <n v="178"/>
    <s v="PEÇAS -Defeito de fabric./Sem Compressão"/>
    <s v="FUNCIONAL"/>
    <x v="1"/>
    <n v="28991"/>
    <s v="FRIO BEL REFRIGERACAO LTDA"/>
    <s v="MG"/>
    <n v="643"/>
    <s v="Elite"/>
    <n v="1350"/>
    <s v="W10393822"/>
    <s v="Compressores Herméticos"/>
    <x v="0"/>
    <n v="1"/>
    <n v="5004215"/>
    <s v="BRASIL WEB TRANSPORTES E LOGISTICA"/>
    <n v="487.99"/>
    <d v="2025-08-07T00:00:00"/>
  </r>
  <r>
    <s v="Sem TR"/>
    <n v="64826932"/>
    <s v="REB"/>
    <n v="9627661"/>
    <n v="178"/>
    <s v="PEÇAS -Defeito de fabric./Sem Compressão"/>
    <s v="FUNCIONAL"/>
    <x v="1"/>
    <n v="28991"/>
    <s v="FRIO BEL REFRIGERACAO LTDA"/>
    <s v="MG"/>
    <n v="643"/>
    <s v="Elite"/>
    <n v="1350"/>
    <s v="W10393823"/>
    <s v="Compressores Herméticos"/>
    <x v="0"/>
    <n v="1"/>
    <n v="5004215"/>
    <s v="BRASIL WEB TRANSPORTES E LOGISTICA"/>
    <n v="477.02"/>
    <d v="2025-08-07T00:00:00"/>
  </r>
  <r>
    <s v="Sem TR"/>
    <n v="64826933"/>
    <s v="REB"/>
    <n v="9748742"/>
    <n v="178"/>
    <s v="PEÇAS -Defeito de fabric./Sem Compressão"/>
    <s v="FUNCIONAL"/>
    <x v="1"/>
    <n v="28991"/>
    <s v="FRIO BEL REFRIGERACAO LTDA"/>
    <s v="MG"/>
    <n v="643"/>
    <s v="Elite"/>
    <n v="1350"/>
    <s v="W11677208"/>
    <s v="Compressores Herméticos"/>
    <x v="0"/>
    <n v="1"/>
    <n v="5004215"/>
    <s v="BRASIL WEB TRANSPORTES E LOGISTICA"/>
    <n v="281.42"/>
    <d v="2025-08-07T00:00:00"/>
  </r>
  <r>
    <s v="Sem TR"/>
    <n v="64826936"/>
    <s v="REB"/>
    <n v="10026206"/>
    <n v="173"/>
    <s v="PEÇAS - Defeito de fabric./Alta Amperage"/>
    <s v="FUNCIONAL"/>
    <x v="1"/>
    <n v="24994"/>
    <s v="ROSA MARIA CORREA RIBEIRO &amp; CIA LT"/>
    <s v="MG"/>
    <n v="350"/>
    <s v="Ats On"/>
    <n v="1350"/>
    <s v="W10728426"/>
    <s v="Placas de Controle"/>
    <x v="2"/>
    <n v="1"/>
    <n v="5004215"/>
    <s v="BRASIL WEB TRANSPORTES E LOGISTICA"/>
    <n v="341.66"/>
    <d v="2025-08-07T00:00:00"/>
  </r>
  <r>
    <s v="Sem TR"/>
    <n v="64826938"/>
    <s v="REB"/>
    <n v="10066354"/>
    <n v="173"/>
    <s v="PEÇAS - Defeito de fabric./Alta Amperage"/>
    <s v="FUNCIONAL"/>
    <x v="1"/>
    <n v="87707"/>
    <s v="REFRIGERA BRASIL CLIMATIZACAO E REF"/>
    <s v="BA"/>
    <n v="648"/>
    <s v="Ultra"/>
    <n v="1350"/>
    <s v="W10591605"/>
    <s v="Placas de Controle"/>
    <x v="2"/>
    <n v="1"/>
    <n v="5004101"/>
    <s v="UNIDOCK'S ASSESSORIA E LOGISTICA DE"/>
    <n v="282.74"/>
    <d v="2025-08-14T00:00:00"/>
  </r>
  <r>
    <s v="Sem TR"/>
    <n v="64826946"/>
    <s v="REB"/>
    <n v="10069586"/>
    <n v="176"/>
    <s v="PEÇAS - Defeito de fabric./Interrompido"/>
    <s v="FUNCIONAL"/>
    <x v="1"/>
    <n v="2159"/>
    <s v="REFRICAR ASSISTENCIA TEC LTDA"/>
    <s v="MG"/>
    <n v="350"/>
    <s v="Ats On"/>
    <n v="1350"/>
    <s v="W10647739"/>
    <s v="Cordões de Alimentação"/>
    <x v="2"/>
    <n v="1"/>
    <n v="5004215"/>
    <s v="BRASIL WEB TRANSPORTES E LOGISTICA"/>
    <n v="879.15"/>
    <d v="2025-08-15T00:00:00"/>
  </r>
  <r>
    <s v="Sem TR"/>
    <n v="64826947"/>
    <s v="REB"/>
    <n v="10126269"/>
    <n v="173"/>
    <s v="PEÇAS - Defeito de fabric./Alta Amperage"/>
    <s v="FUNCIONAL"/>
    <x v="1"/>
    <n v="4585"/>
    <s v="ELETRO PECAS REAL LTDA"/>
    <s v="SC"/>
    <n v="350"/>
    <s v="Ats On"/>
    <n v="1350"/>
    <n v="326043145"/>
    <s v="Filtros"/>
    <x v="6"/>
    <n v="1"/>
    <n v="5003024"/>
    <s v="RODOBRAS TRANSPORTES RODOVIARIOS LT"/>
    <n v="40.619999999999997"/>
    <d v="2025-08-15T00:00:00"/>
  </r>
  <r>
    <n v="254054021"/>
    <n v="64826950"/>
    <s v="REB"/>
    <n v="10087713"/>
    <n v="173"/>
    <s v="PEÇAS - Defeito de fabric./Alta Amperage"/>
    <s v="FUNCIONAL"/>
    <x v="2"/>
    <n v="2832"/>
    <s v="REFRIG DANTAS LTDA"/>
    <s v="BA"/>
    <n v="350"/>
    <s v="Ats On"/>
    <n v="1350"/>
    <s v="W11647660"/>
    <s v="Compressores Herméticos"/>
    <x v="0"/>
    <n v="1"/>
    <n v="5004101"/>
    <s v="UNIDOCK'S ASSESSORIA E LOGISTICA DE"/>
    <n v="279.27"/>
    <d v="2025-08-07T00:00:00"/>
  </r>
  <r>
    <s v="Sem TR"/>
    <n v="64826951"/>
    <s v="REB"/>
    <n v="10133951"/>
    <n v="167"/>
    <s v="PEÇAS - Avaria - Quebrada/Depósito"/>
    <s v="LOGÍSTICA"/>
    <x v="1"/>
    <n v="15420"/>
    <s v="ITAMAR ANTONIO RODRIGUES ME"/>
    <s v="BA"/>
    <n v="350"/>
    <s v="Ats On"/>
    <n v="1350"/>
    <s v="W10799397"/>
    <s v="Compressores Herméticos"/>
    <x v="0"/>
    <n v="1"/>
    <n v="5004101"/>
    <s v="UNIDOCK'S ASSESSORIA E LOGISTICA DE"/>
    <n v="407.07"/>
    <d v="2025-08-07T00:00:00"/>
  </r>
  <r>
    <n v="254054269"/>
    <n v="64826952"/>
    <s v="REB"/>
    <n v="10042056"/>
    <n v="168"/>
    <s v="PEÇAS-Def.Fabric.Empenamento/Abaulamento"/>
    <s v="FUNCIONAL"/>
    <x v="1"/>
    <n v="68962"/>
    <s v="ELETROFRIGOR PECAS LTDA ME"/>
    <s v="RJ"/>
    <n v="644"/>
    <s v="Plus"/>
    <n v="1350"/>
    <s v="W10882241"/>
    <s v="Agitadores"/>
    <x v="4"/>
    <n v="1"/>
    <n v="5003176"/>
    <s v="J C THEDIN TRANSPORTES LTDA"/>
    <n v="61.04"/>
    <d v="2025-08-07T00:00:00"/>
  </r>
  <r>
    <n v="254054280"/>
    <n v="64826953"/>
    <s v="REB"/>
    <n v="10124618"/>
    <n v="173"/>
    <s v="PEÇAS - Defeito de fabric./Alta Amperage"/>
    <s v="FUNCIONAL"/>
    <x v="1"/>
    <n v="80833"/>
    <s v="REFRISELL COMERCIO DE EQUIPAMENTOS"/>
    <s v="PR"/>
    <n v="644"/>
    <s v="Plus"/>
    <n v="1350"/>
    <s v="W11344668"/>
    <s v="Válvulas de Água"/>
    <x v="6"/>
    <n v="1"/>
    <n v="5003024"/>
    <s v="RODOBRAS TRANSPORTES RODOVIARIOS LT"/>
    <n v="54.14"/>
    <d v="2025-08-07T00:00:00"/>
  </r>
  <r>
    <s v="Sem TR"/>
    <n v="64826980"/>
    <s v="REB"/>
    <n v="10134900"/>
    <n v="165"/>
    <s v="PEÇAS - Defeito de fabric./Incompleta"/>
    <s v="FUNCIONAL"/>
    <x v="1"/>
    <n v="25656"/>
    <s v="OFICIAL REFRIGERACAO COMERCIO"/>
    <s v="SP"/>
    <n v="931"/>
    <s v="Ats Off"/>
    <n v="1350"/>
    <s v="W10531315"/>
    <s v="Sensores"/>
    <x v="8"/>
    <n v="1"/>
    <n v="5004042"/>
    <s v="BRASIL WEB TRANSPORTES E LOGISTICA"/>
    <n v="8.4600000000000009"/>
    <d v="2025-08-14T00:00:00"/>
  </r>
  <r>
    <s v="Sem TR"/>
    <n v="64826981"/>
    <s v="REB"/>
    <n v="9627698"/>
    <n v="176"/>
    <s v="PEÇAS - Defeito de fabric./Interrompido"/>
    <s v="FUNCIONAL"/>
    <x v="1"/>
    <n v="81988"/>
    <s v="BH COMERCIO DE PECAS E FRIGERACAO"/>
    <s v="MG"/>
    <n v="648"/>
    <s v="Ultra"/>
    <n v="1350"/>
    <s v="W11647660"/>
    <s v="Compressores Herméticos"/>
    <x v="0"/>
    <n v="1"/>
    <n v="5004215"/>
    <s v="BRASIL WEB TRANSPORTES E LOGISTICA"/>
    <n v="301.77"/>
    <d v="2025-08-14T00:00:00"/>
  </r>
  <r>
    <s v="Sem TR"/>
    <n v="64827058"/>
    <s v="REB"/>
    <n v="10145190"/>
    <n v="509"/>
    <s v="Qtd de peças a Menor dentro do Volume"/>
    <s v="LOGÍSTICA"/>
    <x v="2"/>
    <n v="27210"/>
    <s v="BELTRAO COMERCIO DE REFRIG"/>
    <s v="PR"/>
    <n v="350"/>
    <s v="Ats On"/>
    <n v="1350"/>
    <s v="W11082454"/>
    <s v="Termostatos"/>
    <x v="8"/>
    <n v="1"/>
    <n v="5002359"/>
    <s v="EMPRESA BRASILEIRA DE CORREIOS E"/>
    <n v="45.74"/>
    <d v="2025-08-14T00:00:00"/>
  </r>
  <r>
    <s v="Sem TR"/>
    <n v="64827086"/>
    <s v="REB"/>
    <n v="10142271"/>
    <n v="104"/>
    <s v="PEÇAS-Código trocado(embalag X conteúdo)"/>
    <s v="LOGÍSTICA"/>
    <x v="1"/>
    <n v="37023"/>
    <s v="MW COMERCIO DE EQUIPAMENTOS LTDA"/>
    <s v="SC"/>
    <n v="350"/>
    <s v="Ats On"/>
    <n v="1350"/>
    <s v="W11300681"/>
    <s v="Mecanismos"/>
    <x v="4"/>
    <n v="1"/>
    <n v="5003024"/>
    <s v="RODOBRAS TRANSPORTES RODOVIARIOS LT"/>
    <n v="196.84"/>
    <d v="2025-08-14T00:00:00"/>
  </r>
  <r>
    <s v="Sem TR"/>
    <n v="64827287"/>
    <s v="ZDVP"/>
    <n v="10098695"/>
    <n v="173"/>
    <s v="PEÇAS - Defeito de fabric./Alta Amperage"/>
    <s v="FUNCIONAL"/>
    <x v="1"/>
    <n v="81338"/>
    <s v="GABAN COMERCIO DE UTILIDADES"/>
    <s v="SP"/>
    <n v="644"/>
    <s v="Plus"/>
    <n v="1350"/>
    <s v="W11300816"/>
    <s v="Mecanismos"/>
    <x v="4"/>
    <n v="2"/>
    <n v="5004042"/>
    <s v="BRASIL WEB TRANSPORTES E LOGISTICA"/>
    <n v="265"/>
    <d v="2025-08-15T00:00:00"/>
  </r>
  <r>
    <n v="254061127"/>
    <n v="64827292"/>
    <s v="REB"/>
    <n v="10055339"/>
    <n v="178"/>
    <s v="PEÇAS -Defeito de fabric./Sem Compressão"/>
    <s v="FUNCIONAL"/>
    <x v="2"/>
    <n v="49243"/>
    <s v="IVANILSON INACIO DA SILVA - ME"/>
    <s v="MS"/>
    <n v="643"/>
    <s v="Elite"/>
    <n v="1350"/>
    <s v="W11741178"/>
    <s v="Outros"/>
    <x v="5"/>
    <n v="2"/>
    <n v="5002573"/>
    <s v="CARVALIMA TRANSPORTES LTDA"/>
    <n v="607.16999999999996"/>
    <d v="2025-08-15T00:00:00"/>
  </r>
  <r>
    <n v="254056182"/>
    <n v="64827295"/>
    <s v="REB"/>
    <n v="10018136"/>
    <n v="178"/>
    <s v="PEÇAS -Defeito de fabric./Sem Compressão"/>
    <s v="FUNCIONAL"/>
    <x v="2"/>
    <n v="30416"/>
    <s v="JF OLIVEIRA PEREIRA ELETROD LTDA"/>
    <s v="AM"/>
    <n v="648"/>
    <s v="Ultra"/>
    <n v="1350"/>
    <s v="W10393822"/>
    <s v="Compressores Herméticos"/>
    <x v="0"/>
    <n v="1"/>
    <n v="5002858"/>
    <s v="FAVORITA TRANSPORTES LTDA"/>
    <n v="393.38"/>
    <d v="2025-08-07T00:00:00"/>
  </r>
  <r>
    <s v="Sem TR"/>
    <n v="64827300"/>
    <s v="REB"/>
    <n v="10129575"/>
    <n v="173"/>
    <s v="PEÇAS - Defeito de fabric./Alta Amperage"/>
    <s v="FUNCIONAL"/>
    <x v="1"/>
    <n v="24994"/>
    <s v="ROSA MARIA CORREA RIBEIRO &amp; CIA LT"/>
    <s v="MG"/>
    <n v="350"/>
    <s v="Ats On"/>
    <n v="1350"/>
    <s v="W11344668"/>
    <s v="Válvulas de Água"/>
    <x v="6"/>
    <n v="1"/>
    <n v="5004215"/>
    <s v="BRASIL WEB TRANSPORTES E LOGISTICA"/>
    <n v="54.68"/>
    <d v="2025-08-07T00:00:00"/>
  </r>
  <r>
    <s v="Sem TR"/>
    <n v="64827399"/>
    <s v="REB"/>
    <n v="9967248"/>
    <n v="173"/>
    <s v="PEÇAS - Defeito de fabric./Alta Amperage"/>
    <s v="FUNCIONAL"/>
    <x v="1"/>
    <n v="53871"/>
    <s v="MI COMERCIO E MANUTENCAO DE"/>
    <s v="SC"/>
    <n v="350"/>
    <s v="Ats On"/>
    <n v="1350"/>
    <s v="W10732276"/>
    <s v="Placas de Controle"/>
    <x v="2"/>
    <n v="1"/>
    <n v="5003024"/>
    <s v="RODOBRAS TRANSPORTES RODOVIARIOS LT"/>
    <n v="481.44"/>
    <d v="2025-08-07T00:00:00"/>
  </r>
  <r>
    <s v="Sem TR"/>
    <n v="64827416"/>
    <s v="REB"/>
    <n v="10167990"/>
    <n v="173"/>
    <s v="PEÇAS - Defeito de fabric./Alta Amperage"/>
    <s v="FUNCIONAL"/>
    <x v="1"/>
    <n v="31790"/>
    <s v="TEIXEIRA &amp; TEIXEIRA COMERCIO"/>
    <s v="SP"/>
    <n v="350"/>
    <s v="Ats On"/>
    <n v="1350"/>
    <s v="W10188443"/>
    <s v="Lâmpadas"/>
    <x v="2"/>
    <n v="1"/>
    <n v="5004042"/>
    <s v="BRASIL WEB TRANSPORTES E LOGISTICA"/>
    <n v="54.91"/>
    <d v="2025-08-07T00:00:00"/>
  </r>
  <r>
    <n v="254054184"/>
    <n v="64827565"/>
    <s v="REB"/>
    <n v="9940200"/>
    <n v="90"/>
    <s v="CLIENTE-não solicitou"/>
    <s v="COMERCIAL"/>
    <x v="2"/>
    <n v="14474"/>
    <s v="NATAL SERVICE LTDA N"/>
    <s v="RN"/>
    <n v="648"/>
    <s v="Ultra"/>
    <n v="1350"/>
    <s v="W10696196"/>
    <s v="Válvulas de Água"/>
    <x v="6"/>
    <n v="22"/>
    <n v="5004101"/>
    <s v="UNIDOCK'S ASSESSORIA E LOGISTICA DE"/>
    <n v="703.12"/>
    <d v="2025-08-07T00:00:00"/>
  </r>
  <r>
    <n v="254054142"/>
    <n v="64827605"/>
    <s v="REB"/>
    <n v="9659974"/>
    <n v="176"/>
    <s v="PEÇAS - Defeito de fabric./Interrompido"/>
    <s v="FUNCIONAL"/>
    <x v="1"/>
    <n v="3506"/>
    <s v="TECBRAS ASSISTENCIA TECNICA"/>
    <s v="SP"/>
    <n v="931"/>
    <s v="Ats Off"/>
    <n v="1350"/>
    <s v="W11631012"/>
    <s v="Placas de Controle"/>
    <x v="2"/>
    <n v="1"/>
    <n v="5004042"/>
    <s v="BRASIL WEB TRANSPORTES E LOGISTICA"/>
    <n v="253.54"/>
    <d v="2025-08-07T00:00:00"/>
  </r>
  <r>
    <n v="254054270"/>
    <n v="64827606"/>
    <s v="REB"/>
    <n v="10117739"/>
    <n v="167"/>
    <s v="PEÇAS - Avaria - Quebrada/Depósito"/>
    <s v="LOGÍSTICA"/>
    <x v="1"/>
    <n v="69085"/>
    <s v="DO BEN COMERCIO DE PECAS"/>
    <s v="SP"/>
    <n v="641"/>
    <s v="CDP Diamante"/>
    <n v="1350"/>
    <s v="W11283418"/>
    <s v="Puxadores"/>
    <x v="3"/>
    <n v="1"/>
    <n v="5004042"/>
    <s v="BRASIL WEB TRANSPORTES E LOGISTICA"/>
    <n v="36.93"/>
    <d v="2025-08-07T00:00:00"/>
  </r>
  <r>
    <n v="254056203"/>
    <n v="64827607"/>
    <s v="REB"/>
    <n v="9959027"/>
    <n v="178"/>
    <s v="PEÇAS -Defeito de fabric./Sem Compressão"/>
    <s v="FUNCIONAL"/>
    <x v="1"/>
    <n v="31587"/>
    <s v="COPEGEL REFRIGERACAO LTDA"/>
    <s v="SP"/>
    <n v="643"/>
    <s v="Elite"/>
    <n v="1350"/>
    <s v="W10393823"/>
    <s v="Compressores Herméticos"/>
    <x v="0"/>
    <n v="1"/>
    <n v="5004042"/>
    <s v="BRASIL WEB TRANSPORTES E LOGISTICA"/>
    <n v="572.33000000000004"/>
    <d v="2025-08-07T00:00:00"/>
  </r>
  <r>
    <n v="254054138"/>
    <n v="64827609"/>
    <s v="REB"/>
    <n v="10099215"/>
    <n v="176"/>
    <s v="PEÇAS - Defeito de fabric./Interrompido"/>
    <s v="FUNCIONAL"/>
    <x v="1"/>
    <n v="3506"/>
    <s v="TECBRAS ASSISTENCIA TECNICA"/>
    <s v="SP"/>
    <n v="931"/>
    <s v="Ats Off"/>
    <n v="1350"/>
    <s v="W10779052"/>
    <s v="Mangueiras"/>
    <x v="6"/>
    <n v="1"/>
    <n v="5004042"/>
    <s v="BRASIL WEB TRANSPORTES E LOGISTICA"/>
    <n v="4.74"/>
    <d v="2025-08-07T00:00:00"/>
  </r>
  <r>
    <s v="Sem TR"/>
    <n v="64827610"/>
    <s v="REB"/>
    <n v="9743040"/>
    <n v="173"/>
    <s v="PEÇAS - Defeito de fabric./Alta Amperage"/>
    <s v="FUNCIONAL"/>
    <x v="1"/>
    <n v="59715"/>
    <s v="ATLANTICA COMERCIO"/>
    <s v="PB"/>
    <n v="934"/>
    <s v="CDP Ouro"/>
    <n v="1350"/>
    <s v="W10586927"/>
    <s v="Placas de Controle"/>
    <x v="2"/>
    <n v="1"/>
    <n v="5004101"/>
    <s v="UNIDOCK'S ASSESSORIA E LOGISTICA DE"/>
    <n v="165.37"/>
    <d v="2025-08-07T00:00:00"/>
  </r>
  <r>
    <s v="Sem TR"/>
    <n v="64827611"/>
    <s v="REB"/>
    <n v="9576062"/>
    <n v="178"/>
    <s v="PEÇAS -Defeito de fabric./Sem Compressão"/>
    <s v="FUNCIONAL"/>
    <x v="1"/>
    <n v="28991"/>
    <s v="FRIO BEL REFRIGERACAO LTDA"/>
    <s v="MG"/>
    <n v="643"/>
    <s v="Elite"/>
    <n v="1350"/>
    <s v="W11647660"/>
    <s v="Compressores Herméticos"/>
    <x v="0"/>
    <n v="3"/>
    <n v="5004215"/>
    <s v="BRASIL WEB TRANSPORTES E LOGISTICA"/>
    <n v="854.63"/>
    <d v="2025-08-07T00:00:00"/>
  </r>
  <r>
    <n v="254054285"/>
    <n v="64827613"/>
    <s v="REB"/>
    <n v="9606901"/>
    <n v="178"/>
    <s v="PEÇAS -Defeito de fabric./Sem Compressão"/>
    <s v="FUNCIONAL"/>
    <x v="1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6.05"/>
    <d v="2025-08-07T00:00:00"/>
  </r>
  <r>
    <s v="Sem TR"/>
    <n v="64827649"/>
    <s v="REB"/>
    <n v="10142808"/>
    <n v="509"/>
    <s v="Qtd de peças a Menor dentro do Volume"/>
    <s v="LOGÍSTICA"/>
    <x v="2"/>
    <n v="67948"/>
    <s v="REFRICRIL DISTRIBUIDORA DE AR REFRI"/>
    <s v="SC"/>
    <n v="713"/>
    <s v="Key Account"/>
    <n v="1350"/>
    <n v="326015418"/>
    <s v="Polias/Roldanas"/>
    <x v="4"/>
    <n v="4"/>
    <n v="5002359"/>
    <s v="EMPRESA BRASILEIRA DE CORREIOS E"/>
    <n v="110.06"/>
    <d v="2025-08-07T00:00:00"/>
  </r>
  <r>
    <n v="254054243"/>
    <n v="64827650"/>
    <s v="REB"/>
    <n v="10055628"/>
    <n v="173"/>
    <s v="PEÇAS - Defeito de fabric./Alta Amperage"/>
    <s v="FUNCIONAL"/>
    <x v="1"/>
    <n v="37434"/>
    <s v="ELETRO MARTINS LTDA"/>
    <s v="GO"/>
    <n v="931"/>
    <s v="Ats Off"/>
    <n v="1350"/>
    <s v="W11299803"/>
    <s v="Mecanismos"/>
    <x v="4"/>
    <n v="2"/>
    <n v="5002858"/>
    <s v="FAVORITA TRANSPORTES LTDA"/>
    <n v="196.96"/>
    <d v="2025-08-07T00:00:00"/>
  </r>
  <r>
    <n v="254054189"/>
    <n v="64827651"/>
    <s v="REB"/>
    <n v="10146316"/>
    <n v="167"/>
    <s v="PEÇAS - Avaria - Quebrada/Depósito"/>
    <s v="LOGÍSTICA"/>
    <x v="1"/>
    <n v="27337"/>
    <s v="REFRIGERACAO A C CATA VENTO LTDA"/>
    <s v="RJ"/>
    <n v="641"/>
    <s v="CDP Diamante"/>
    <n v="1350"/>
    <n v="326066852"/>
    <s v="Prateleiras"/>
    <x v="1"/>
    <n v="1"/>
    <n v="5003176"/>
    <s v="J C THEDIN TRANSPORTES LTDA"/>
    <n v="50.47"/>
    <d v="2025-08-07T00:00:00"/>
  </r>
  <r>
    <s v="Sem TR"/>
    <n v="64827652"/>
    <s v="REB"/>
    <n v="10132936"/>
    <n v="176"/>
    <s v="PEÇAS - Defeito de fabric./Interrompido"/>
    <s v="FUNCIONAL"/>
    <x v="1"/>
    <n v="31537"/>
    <s v="RAQUEL SILVEIRA RODRIGUES &amp; CIA. LT"/>
    <s v="RS"/>
    <n v="641"/>
    <s v="CDP Diamante"/>
    <n v="1350"/>
    <n v="326011600"/>
    <s v="Válvulas de Água"/>
    <x v="6"/>
    <n v="1"/>
    <n v="5003024"/>
    <s v="RODOBRAS TRANSPORTES RODOVIARIOS LT"/>
    <n v="31.78"/>
    <d v="2025-08-07T00:00:00"/>
  </r>
  <r>
    <n v="254056181"/>
    <n v="64827653"/>
    <s v="REB"/>
    <n v="10061716"/>
    <n v="176"/>
    <s v="PEÇAS - Defeito de fabric./Interrompido"/>
    <s v="FUNCIONAL"/>
    <x v="1"/>
    <n v="22211"/>
    <s v="BARNI PRES SER COM PROD REFIRG ME"/>
    <s v="SC"/>
    <n v="644"/>
    <s v="Plus"/>
    <n v="1350"/>
    <s v="W11160655"/>
    <s v="Placas de Interface"/>
    <x v="2"/>
    <n v="1"/>
    <n v="5003024"/>
    <s v="RODOBRAS TRANSPORTES RODOVIARIOS LT"/>
    <n v="96.04"/>
    <d v="2025-08-07T00:00:00"/>
  </r>
  <r>
    <n v="254054206"/>
    <n v="64827654"/>
    <s v="REB"/>
    <n v="10010142"/>
    <n v="178"/>
    <s v="PEÇAS -Defeito de fabric./Sem Compressão"/>
    <s v="FUNCIONAL"/>
    <x v="2"/>
    <n v="29164"/>
    <s v="BRASTEMAK REFRIGERACAO LTDA"/>
    <s v="BA"/>
    <n v="648"/>
    <s v="Ultra"/>
    <n v="1350"/>
    <s v="W10393823"/>
    <s v="Compressores Herméticos"/>
    <x v="0"/>
    <n v="1"/>
    <n v="5004101"/>
    <s v="UNIDOCK'S ASSESSORIA E LOGISTICA DE"/>
    <n v="525.35"/>
    <d v="2025-08-07T00:00:00"/>
  </r>
  <r>
    <s v="Sem TR"/>
    <n v="64827655"/>
    <s v="ZDVP"/>
    <n v="10098695"/>
    <n v="173"/>
    <s v="PEÇAS - Defeito de fabric./Alta Amperage"/>
    <s v="FUNCIONAL"/>
    <x v="1"/>
    <n v="81338"/>
    <s v="GABAN COMERCIO DE UTILIDADES"/>
    <s v="SP"/>
    <n v="644"/>
    <s v="Plus"/>
    <n v="1350"/>
    <s v="W11300675"/>
    <s v="Mecanismos"/>
    <x v="4"/>
    <n v="2"/>
    <n v="5004101"/>
    <s v="UNIDOCK'S ASSESSORIA E LOGISTICA DE"/>
    <n v="237.68"/>
    <d v="2025-08-07T00:00:00"/>
  </r>
  <r>
    <n v="254054243"/>
    <n v="64827704"/>
    <s v="REB"/>
    <n v="10108654"/>
    <n v="173"/>
    <s v="PEÇAS - Defeito de fabric./Alta Amperage"/>
    <s v="FUNCIONAL"/>
    <x v="1"/>
    <n v="37434"/>
    <s v="ELETRO MARTINS LTDA"/>
    <s v="GO"/>
    <n v="931"/>
    <s v="Ats Off"/>
    <n v="1350"/>
    <s v="W11299805"/>
    <s v="Mecanismos"/>
    <x v="4"/>
    <n v="1"/>
    <n v="5002858"/>
    <s v="FAVORITA TRANSPORTES LTDA"/>
    <n v="122.19"/>
    <d v="2025-08-07T00:00:00"/>
  </r>
  <r>
    <n v="254054249"/>
    <n v="64827705"/>
    <s v="REB"/>
    <n v="9915490"/>
    <n v="178"/>
    <s v="PEÇAS -Defeito de fabric./Sem Compressão"/>
    <s v="FUNCIONAL"/>
    <x v="1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3.87"/>
    <d v="2025-08-07T00:00:00"/>
  </r>
  <r>
    <n v="254054249"/>
    <n v="64827706"/>
    <s v="REB"/>
    <n v="9892940"/>
    <n v="178"/>
    <s v="PEÇAS -Defeito de fabric./Sem Compressão"/>
    <s v="FUNCIONAL"/>
    <x v="2"/>
    <n v="50867"/>
    <s v="IRMAOS PACIFICO COMERCIO"/>
    <s v="ES"/>
    <n v="644"/>
    <s v="Plus"/>
    <n v="1350"/>
    <s v="W10393822"/>
    <s v="Compressores Herméticos"/>
    <x v="0"/>
    <n v="1"/>
    <n v="5004042"/>
    <s v="BRASIL WEB TRANSPORTES E LOGISTICA"/>
    <n v="536.80999999999995"/>
    <d v="2025-08-07T00:00:00"/>
  </r>
  <r>
    <n v="254054270"/>
    <n v="64827707"/>
    <s v="REB"/>
    <n v="10151938"/>
    <n v="168"/>
    <s v="PEÇAS-Def.Fabric.Empenamento/Abaulamento"/>
    <s v="FUNCIONAL"/>
    <x v="2"/>
    <n v="69085"/>
    <s v="DO BEN COMERCIO DE PECAS"/>
    <s v="SP"/>
    <n v="641"/>
    <s v="CDP Diamante"/>
    <n v="1350"/>
    <s v="W11659174"/>
    <s v="Suportes"/>
    <x v="3"/>
    <n v="5"/>
    <n v="5004042"/>
    <s v="BRASIL WEB TRANSPORTES E LOGISTICA"/>
    <n v="146.6"/>
    <d v="2025-08-07T00:00:00"/>
  </r>
  <r>
    <s v="Sem TR"/>
    <n v="64827708"/>
    <s v="REB"/>
    <n v="9899094"/>
    <n v="178"/>
    <s v="PEÇAS -Defeito de fabric./Sem Compressão"/>
    <s v="FUNCIONAL"/>
    <x v="1"/>
    <n v="32455"/>
    <s v="FRIOSAMO REFRIGERACAO LTDA"/>
    <s v="SP"/>
    <n v="643"/>
    <s v="Elite"/>
    <n v="1350"/>
    <s v="W10393823"/>
    <s v="Compressores Herméticos"/>
    <x v="0"/>
    <n v="10"/>
    <n v="5004042"/>
    <s v="BRASIL WEB TRANSPORTES E LOGISTICA"/>
    <n v="4840.05"/>
    <d v="2025-08-07T00:00:00"/>
  </r>
  <r>
    <s v="Sem TR"/>
    <n v="64827708"/>
    <s v="REB"/>
    <n v="9899094"/>
    <n v="178"/>
    <s v="PEÇAS -Defeito de fabric./Sem Compressão"/>
    <s v="FUNCIONAL"/>
    <x v="1"/>
    <n v="32455"/>
    <s v="FRIOSAMO REFRIGERACAO LTDA"/>
    <s v="SP"/>
    <n v="643"/>
    <s v="Elite"/>
    <n v="1350"/>
    <s v="W11677208"/>
    <s v="Compressores Herméticos"/>
    <x v="0"/>
    <n v="3"/>
    <n v="5004042"/>
    <s v="BRASIL WEB TRANSPORTES E LOGISTICA"/>
    <n v="922.87"/>
    <d v="2025-08-07T00:00:00"/>
  </r>
  <r>
    <s v="Sem TR"/>
    <n v="64827714"/>
    <s v="REB"/>
    <n v="9807413"/>
    <n v="178"/>
    <s v="PEÇAS -Defeito de fabric./Sem Compressão"/>
    <s v="FUNCIONAL"/>
    <x v="1"/>
    <n v="28991"/>
    <s v="FRIO BEL REFRIGERACAO LTDA"/>
    <s v="MG"/>
    <n v="643"/>
    <s v="Elite"/>
    <n v="1350"/>
    <s v="W10393822"/>
    <s v="Compressores Herméticos"/>
    <x v="0"/>
    <n v="2"/>
    <n v="5004215"/>
    <s v="BRASIL WEB TRANSPORTES E LOGISTICA"/>
    <n v="985.21"/>
    <d v="2025-08-07T00:00:00"/>
  </r>
  <r>
    <n v="254056203"/>
    <n v="64827715"/>
    <s v="REB"/>
    <n v="9569943"/>
    <n v="178"/>
    <s v="PEÇAS -Defeito de fabric./Sem Compressão"/>
    <s v="FUNCIONAL"/>
    <x v="1"/>
    <n v="31587"/>
    <s v="COPEGEL REFRIGERACAO LTDA"/>
    <s v="SP"/>
    <n v="643"/>
    <s v="Elite"/>
    <n v="1350"/>
    <s v="W11459425"/>
    <s v="Compressores Herméticos"/>
    <x v="0"/>
    <n v="1"/>
    <n v="5004042"/>
    <s v="BRASIL WEB TRANSPORTES E LOGISTICA"/>
    <n v="524.51"/>
    <d v="2025-08-07T00:00:00"/>
  </r>
  <r>
    <s v="Sem TR"/>
    <n v="64827716"/>
    <s v="REB"/>
    <n v="9687036"/>
    <n v="178"/>
    <s v="PEÇAS -Defeito de fabric./Sem Compressão"/>
    <s v="FUNCIONAL"/>
    <x v="1"/>
    <n v="28991"/>
    <s v="FRIO BEL REFRIGERACAO LTDA"/>
    <s v="MG"/>
    <n v="643"/>
    <s v="Elite"/>
    <n v="1350"/>
    <s v="W11677208"/>
    <s v="Compressores Herméticos"/>
    <x v="0"/>
    <n v="1"/>
    <n v="5004215"/>
    <s v="BRASIL WEB TRANSPORTES E LOGISTICA"/>
    <n v="284.45999999999998"/>
    <d v="2025-08-07T00:00:00"/>
  </r>
  <r>
    <n v="254056182"/>
    <n v="64827717"/>
    <s v="REB"/>
    <n v="9634357"/>
    <n v="178"/>
    <s v="PEÇAS -Defeito de fabric./Sem Compressão"/>
    <s v="FUNCIONAL"/>
    <x v="2"/>
    <n v="30416"/>
    <s v="JF OLIVEIRA PEREIRA ELETROD LTDA"/>
    <s v="AM"/>
    <n v="648"/>
    <s v="Ultra"/>
    <n v="1350"/>
    <s v="W10575086"/>
    <s v="Compressores Herméticos"/>
    <x v="0"/>
    <n v="1"/>
    <n v="5002858"/>
    <s v="FAVORITA TRANSPORTES LTDA"/>
    <n v="332.25"/>
    <d v="2025-08-07T00:00:00"/>
  </r>
  <r>
    <n v="254056182"/>
    <n v="64827718"/>
    <s v="REB"/>
    <n v="9785537"/>
    <n v="178"/>
    <s v="PEÇAS -Defeito de fabric./Sem Compressão"/>
    <s v="FUNCIONAL"/>
    <x v="2"/>
    <n v="30416"/>
    <s v="JF OLIVEIRA PEREIRA ELETROD LTDA"/>
    <s v="AM"/>
    <n v="648"/>
    <s v="Ultra"/>
    <n v="1350"/>
    <s v="W10575086"/>
    <s v="Compressores Herméticos"/>
    <x v="0"/>
    <n v="1"/>
    <n v="5002858"/>
    <s v="FAVORITA TRANSPORTES LTDA"/>
    <n v="332.25"/>
    <d v="2025-08-07T00:00:00"/>
  </r>
  <r>
    <n v="254056182"/>
    <n v="64827720"/>
    <s v="REB"/>
    <n v="10066884"/>
    <n v="178"/>
    <s v="PEÇAS -Defeito de fabric./Sem Compressão"/>
    <s v="FUNCIONAL"/>
    <x v="2"/>
    <n v="30416"/>
    <s v="JF OLIVEIRA PEREIRA ELETROD LTDA"/>
    <s v="AM"/>
    <n v="648"/>
    <s v="Ultra"/>
    <n v="1350"/>
    <s v="W11647660"/>
    <s v="Compressores Herméticos"/>
    <x v="0"/>
    <n v="1"/>
    <n v="5002858"/>
    <s v="FAVORITA TRANSPORTES LTDA"/>
    <n v="218.54"/>
    <d v="2025-08-07T00:00:00"/>
  </r>
  <r>
    <s v="Sem TR"/>
    <n v="64827721"/>
    <s v="REB"/>
    <n v="9627698"/>
    <n v="176"/>
    <s v="PEÇAS - Defeito de fabric./Interrompido"/>
    <s v="FUNCIONAL"/>
    <x v="1"/>
    <n v="81988"/>
    <s v="BH COMERCIO DE PECAS E FRIGERACAO"/>
    <s v="MG"/>
    <n v="648"/>
    <s v="Ultra"/>
    <n v="1350"/>
    <s v="W11647660"/>
    <s v="Compressores Herméticos"/>
    <x v="0"/>
    <n v="1"/>
    <n v="5004215"/>
    <s v="BRASIL WEB TRANSPORTES E LOGISTICA"/>
    <n v="301.77"/>
    <d v="2025-08-07T00:00:00"/>
  </r>
  <r>
    <n v="254054254"/>
    <n v="64827722"/>
    <s v="REB"/>
    <n v="10113048"/>
    <n v="173"/>
    <s v="PEÇAS - Defeito de fabric./Alta Amperage"/>
    <s v="FUNCIONAL"/>
    <x v="1"/>
    <n v="59011"/>
    <s v="H D CASTELAO EIRELI - EPP"/>
    <s v="SP"/>
    <n v="648"/>
    <s v="Ultra"/>
    <n v="1350"/>
    <s v="W10393814"/>
    <s v="Compressores Herméticos"/>
    <x v="0"/>
    <n v="1"/>
    <n v="5004042"/>
    <s v="BRASIL WEB TRANSPORTES E LOGISTICA"/>
    <n v="591.54"/>
    <d v="2025-08-07T00:00:00"/>
  </r>
  <r>
    <n v="254054256"/>
    <n v="64827723"/>
    <s v="REB"/>
    <n v="9019435"/>
    <n v="178"/>
    <s v="PEÇAS -Defeito de fabric./Sem Compressão"/>
    <s v="FUNCIONAL"/>
    <x v="1"/>
    <n v="59011"/>
    <s v="H D CASTELAO EIRELI - EPP"/>
    <s v="SP"/>
    <n v="648"/>
    <s v="Ultra"/>
    <n v="1350"/>
    <s v="W11459434"/>
    <s v="Compressores Herméticos"/>
    <x v="0"/>
    <n v="1"/>
    <n v="5004042"/>
    <s v="BRASIL WEB TRANSPORTES E LOGISTICA"/>
    <n v="520.59"/>
    <d v="2025-08-07T00:00:00"/>
  </r>
  <r>
    <n v="254056203"/>
    <n v="64827724"/>
    <s v="REB"/>
    <n v="9875472"/>
    <n v="178"/>
    <s v="PEÇAS -Defeito de fabric./Sem Compressão"/>
    <s v="FUNCIONAL"/>
    <x v="1"/>
    <n v="31587"/>
    <s v="COPEGEL REFRIGERACAO LTDA"/>
    <s v="SP"/>
    <n v="643"/>
    <s v="Elite"/>
    <n v="1350"/>
    <s v="W11516472"/>
    <s v="Compressores Herméticos"/>
    <x v="0"/>
    <n v="1"/>
    <n v="5004042"/>
    <s v="BRASIL WEB TRANSPORTES E LOGISTICA"/>
    <n v="388.68"/>
    <d v="2025-08-07T00:00:00"/>
  </r>
  <r>
    <n v="254054255"/>
    <n v="64827725"/>
    <s v="REB"/>
    <n v="10113046"/>
    <n v="173"/>
    <s v="PEÇAS - Defeito de fabric./Alta Amperage"/>
    <s v="FUNCIONAL"/>
    <x v="1"/>
    <n v="59011"/>
    <s v="H D CASTELAO EIRELI - EPP"/>
    <s v="SP"/>
    <n v="648"/>
    <s v="Ultra"/>
    <n v="1350"/>
    <s v="W10393822"/>
    <s v="Compressores Herméticos"/>
    <x v="0"/>
    <n v="1"/>
    <n v="5004042"/>
    <s v="BRASIL WEB TRANSPORTES E LOGISTICA"/>
    <n v="510.32"/>
    <d v="2025-08-07T00:00:00"/>
  </r>
  <r>
    <n v="254054256"/>
    <n v="64827726"/>
    <s v="REB"/>
    <n v="10032242"/>
    <n v="176"/>
    <s v="PEÇAS - Defeito de fabric./Interrompido"/>
    <s v="FUNCIONAL"/>
    <x v="1"/>
    <n v="59011"/>
    <s v="H D CASTELAO EIRELI - EPP"/>
    <s v="SP"/>
    <n v="648"/>
    <s v="Ultra"/>
    <n v="1350"/>
    <s v="W11487407"/>
    <s v="Placas de Controle"/>
    <x v="2"/>
    <n v="1"/>
    <n v="5004042"/>
    <s v="BRASIL WEB TRANSPORTES E LOGISTICA"/>
    <n v="264.2"/>
    <d v="2025-08-07T00:00:00"/>
  </r>
  <r>
    <s v="Sem TR"/>
    <n v="64827727"/>
    <s v="REB"/>
    <n v="10142242"/>
    <n v="167"/>
    <s v="PEÇAS - Avaria - Quebrada/Depósito"/>
    <s v="LOGÍSTICA"/>
    <x v="1"/>
    <n v="28888"/>
    <s v="REFRIGATTI - REFRIGERACAO FRAIBURG"/>
    <s v="SC"/>
    <n v="350"/>
    <s v="Ats On"/>
    <n v="1350"/>
    <s v="W10347201"/>
    <s v="Prateleiras"/>
    <x v="1"/>
    <n v="1"/>
    <n v="5003024"/>
    <s v="RODOBRAS TRANSPORTES RODOVIARIOS LT"/>
    <n v="64.92"/>
    <d v="2025-08-07T00:00:00"/>
  </r>
  <r>
    <s v="Sem TR"/>
    <n v="64827728"/>
    <s v="REB"/>
    <n v="10142477"/>
    <n v="509"/>
    <s v="Qtd de peças a Menor dentro do Volume"/>
    <s v="LOGÍSTICA"/>
    <x v="2"/>
    <n v="75930"/>
    <s v="LUCAS DO AMARAL BRISTOT"/>
    <s v="SC"/>
    <n v="648"/>
    <s v="Ultra"/>
    <n v="1350"/>
    <s v="W10829873"/>
    <s v="Outros"/>
    <x v="5"/>
    <n v="3"/>
    <n v="5002359"/>
    <s v="EMPRESA BRASILEIRA DE CORREIOS E"/>
    <n v="210.03"/>
    <d v="2025-08-07T00:00:00"/>
  </r>
  <r>
    <n v="254056182"/>
    <n v="64827739"/>
    <s v="REB"/>
    <n v="10101492"/>
    <n v="177"/>
    <s v="PEÇAS - Defeito de fabric./Ruído"/>
    <s v="FUNCIONAL"/>
    <x v="2"/>
    <n v="30416"/>
    <s v="JF OLIVEIRA PEREIRA ELETROD LTDA"/>
    <s v="AM"/>
    <n v="648"/>
    <s v="Ultra"/>
    <n v="1350"/>
    <s v="W11299803"/>
    <s v="Mecanismos"/>
    <x v="4"/>
    <n v="1"/>
    <n v="5002858"/>
    <s v="FAVORITA TRANSPORTES LTDA"/>
    <n v="86.36"/>
    <d v="2025-08-07T00:00:00"/>
  </r>
  <r>
    <s v="Sem TR"/>
    <n v="64827750"/>
    <s v="REB"/>
    <n v="10027146"/>
    <n v="173"/>
    <s v="PEÇAS - Defeito de fabric./Alta Amperage"/>
    <s v="FUNCIONAL"/>
    <x v="1"/>
    <n v="87707"/>
    <s v="REFRIGERA BRASIL CLIMATIZACAO E REF"/>
    <s v="BA"/>
    <n v="648"/>
    <s v="Ultra"/>
    <n v="1350"/>
    <s v="W11300695"/>
    <s v="Mecanismos"/>
    <x v="4"/>
    <n v="2"/>
    <n v="5004101"/>
    <s v="UNIDOCK'S ASSESSORIA E LOGISTICA DE"/>
    <n v="367.84"/>
    <d v="2025-08-07T00:00:00"/>
  </r>
  <r>
    <s v="Sem TR"/>
    <n v="64827751"/>
    <s v="REB"/>
    <n v="10135998"/>
    <n v="168"/>
    <s v="PEÇAS-Def.Fabric.Empenamento/Abaulamento"/>
    <s v="FUNCIONAL"/>
    <x v="1"/>
    <n v="9015"/>
    <s v="ALTIMARIS REFRIGERACAO LTDA"/>
    <s v="SC"/>
    <n v="350"/>
    <s v="Ats On"/>
    <n v="1350"/>
    <s v="W10882241"/>
    <s v="Agitadores"/>
    <x v="4"/>
    <n v="1"/>
    <n v="5003024"/>
    <s v="RODOBRAS TRANSPORTES RODOVIARIOS LT"/>
    <n v="44.42"/>
    <d v="2025-08-07T00:00:00"/>
  </r>
  <r>
    <n v="254062075"/>
    <n v="64827752"/>
    <s v="REB"/>
    <n v="10086027"/>
    <n v="173"/>
    <s v="PEÇAS - Defeito de fabric./Alta Amperage"/>
    <s v="FUNCIONAL"/>
    <x v="2"/>
    <n v="3236"/>
    <s v="FRISON THERM AR CONDICIONADO LTDA F"/>
    <s v="SP"/>
    <n v="931"/>
    <s v="Ats Off"/>
    <n v="1350"/>
    <n v="326073242"/>
    <s v="Placas de Controle"/>
    <x v="2"/>
    <n v="1"/>
    <n v="5004042"/>
    <s v="BRASIL WEB TRANSPORTES E LOGISTICA"/>
    <n v="145.83000000000001"/>
    <d v="2025-08-07T00:00:00"/>
  </r>
  <r>
    <s v="Sem TR"/>
    <n v="64827753"/>
    <s v="REB"/>
    <n v="9939519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9.47"/>
    <d v="2025-08-07T00:00:00"/>
  </r>
  <r>
    <n v="254054280"/>
    <n v="64827754"/>
    <s v="REB"/>
    <n v="9639573"/>
    <n v="173"/>
    <s v="PEÇAS - Defeito de fabric./Alta Amperage"/>
    <s v="FUNCIONAL"/>
    <x v="1"/>
    <n v="80833"/>
    <s v="REFRISELL COMERCIO DE EQUIPAMENTOS"/>
    <s v="PR"/>
    <n v="644"/>
    <s v="Plus"/>
    <n v="1350"/>
    <s v="W11487407"/>
    <s v="Placas de Controle"/>
    <x v="2"/>
    <n v="1"/>
    <n v="5003024"/>
    <s v="RODOBRAS TRANSPORTES RODOVIARIOS LT"/>
    <n v="232.42"/>
    <d v="2025-08-07T00:00:00"/>
  </r>
  <r>
    <n v="254054205"/>
    <n v="64827755"/>
    <s v="REB"/>
    <n v="10151282"/>
    <n v="173"/>
    <s v="PEÇAS - Defeito de fabric./Alta Amperage"/>
    <s v="FUNCIONAL"/>
    <x v="1"/>
    <n v="28549"/>
    <s v="DUQUEFRIO REFRIGERACAO"/>
    <s v="RJ"/>
    <n v="933"/>
    <s v="Top"/>
    <n v="1350"/>
    <s v="W10887231"/>
    <s v="Placas de Controle"/>
    <x v="2"/>
    <n v="1"/>
    <n v="5003176"/>
    <s v="J C THEDIN TRANSPORTES LTDA"/>
    <n v="606.11"/>
    <d v="2025-08-07T00:00:00"/>
  </r>
  <r>
    <n v="254054207"/>
    <n v="64827756"/>
    <s v="REB"/>
    <n v="10155361"/>
    <n v="170"/>
    <s v="PEÇAS - Avaria - Riscada/Depósito"/>
    <s v="LOGÍSTICA"/>
    <x v="1"/>
    <n v="29432"/>
    <s v="SAT COMERCIO DE PECAS P/ ELETROD.LT"/>
    <s v="SP"/>
    <n v="932"/>
    <s v="CDP Prata"/>
    <n v="1350"/>
    <s v="W10187231"/>
    <s v="Prateleiras"/>
    <x v="1"/>
    <n v="1"/>
    <n v="5004042"/>
    <s v="BRASIL WEB TRANSPORTES E LOGISTICA"/>
    <n v="26.75"/>
    <d v="2025-08-07T00:00:00"/>
  </r>
  <r>
    <s v="Sem TR"/>
    <n v="64827758"/>
    <s v="REB"/>
    <n v="10027772"/>
    <n v="173"/>
    <s v="PEÇAS - Defeito de fabric./Alta Amperage"/>
    <s v="FUNCIONAL"/>
    <x v="1"/>
    <n v="3387"/>
    <s v="UNOFRIO - COMERCIO DE"/>
    <s v="SP"/>
    <n v="933"/>
    <s v="Top"/>
    <n v="1350"/>
    <s v="W10171528"/>
    <s v="Pressostatos"/>
    <x v="8"/>
    <n v="1"/>
    <n v="5004042"/>
    <s v="BRASIL WEB TRANSPORTES E LOGISTICA"/>
    <n v="34.74"/>
    <d v="2025-08-07T00:00:00"/>
  </r>
  <r>
    <n v="254054268"/>
    <n v="64827759"/>
    <s v="REB"/>
    <n v="9694016"/>
    <n v="178"/>
    <s v="PEÇAS -Defeito de fabric./Sem Compressão"/>
    <s v="FUNCIONAL"/>
    <x v="2"/>
    <n v="68804"/>
    <s v="JOSE CANDIDO DE AMORIM"/>
    <s v="PE"/>
    <n v="932"/>
    <s v="CDP Prata"/>
    <n v="1350"/>
    <s v="W10666796"/>
    <s v="Compressores Herméticos"/>
    <x v="0"/>
    <n v="1"/>
    <n v="5004101"/>
    <s v="UNIDOCK'S ASSESSORIA E LOGISTICA DE"/>
    <n v="520.73"/>
    <d v="2025-08-07T00:00:00"/>
  </r>
  <r>
    <n v="254054165"/>
    <n v="64827769"/>
    <s v="REB"/>
    <n v="10090432"/>
    <n v="173"/>
    <s v="PEÇAS - Defeito de fabric./Alta Amperage"/>
    <s v="FUNCIONAL"/>
    <x v="1"/>
    <n v="3652"/>
    <s v="ASTEG ASTEG"/>
    <s v="SP"/>
    <n v="350"/>
    <s v="Ats On"/>
    <n v="1350"/>
    <s v="W11619317"/>
    <s v="Placas de Controle"/>
    <x v="2"/>
    <n v="1"/>
    <n v="5004042"/>
    <s v="BRASIL WEB TRANSPORTES E LOGISTICA"/>
    <n v="297.33"/>
    <d v="2025-08-07T00:00:00"/>
  </r>
  <r>
    <n v="254058118"/>
    <n v="64827771"/>
    <s v="REB"/>
    <n v="9940200"/>
    <n v="90"/>
    <s v="CLIENTE-não solicitou"/>
    <s v="COMERCIAL"/>
    <x v="2"/>
    <n v="14474"/>
    <s v="NATAL SERVICE LTDA N"/>
    <s v="RN"/>
    <n v="648"/>
    <s v="Ultra"/>
    <n v="1350"/>
    <s v="W10696196"/>
    <s v="Válvulas de Água"/>
    <x v="6"/>
    <n v="22"/>
    <n v="5004101"/>
    <s v="UNIDOCK'S ASSESSORIA E LOGISTICA DE"/>
    <n v="703.12"/>
    <d v="2025-08-14T00:00:00"/>
  </r>
  <r>
    <n v="254058140"/>
    <n v="64827772"/>
    <s v="REB"/>
    <n v="10112047"/>
    <n v="176"/>
    <s v="PEÇAS - Defeito de fabric./Interrompido"/>
    <s v="FUNCIONAL"/>
    <x v="2"/>
    <n v="58276"/>
    <s v="CHAMATEC COMERCIO E"/>
    <s v="CE"/>
    <n v="644"/>
    <s v="Plus"/>
    <n v="1350"/>
    <s v="W11510292"/>
    <s v="Interruptores"/>
    <x v="8"/>
    <n v="1"/>
    <n v="5004101"/>
    <s v="UNIDOCK'S ASSESSORIA E LOGISTICA DE"/>
    <n v="30.58"/>
    <d v="2025-08-14T00:00:00"/>
  </r>
  <r>
    <n v="254054165"/>
    <n v="64827774"/>
    <s v="REB"/>
    <n v="10099285"/>
    <n v="176"/>
    <s v="PEÇAS - Defeito de fabric./Interrompido"/>
    <s v="FUNCIONAL"/>
    <x v="1"/>
    <n v="3652"/>
    <s v="ASTEG ASTEG"/>
    <s v="SP"/>
    <n v="350"/>
    <s v="Ats On"/>
    <n v="1350"/>
    <s v="W10238102"/>
    <s v="Válvulas de Água"/>
    <x v="6"/>
    <n v="1"/>
    <n v="5004042"/>
    <s v="BRASIL WEB TRANSPORTES E LOGISTICA"/>
    <n v="189.06"/>
    <d v="2025-08-07T00:00:00"/>
  </r>
  <r>
    <s v="Sem TR"/>
    <n v="64827775"/>
    <s v="REB"/>
    <n v="9993691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9.47"/>
    <d v="2025-08-07T00:00:00"/>
  </r>
  <r>
    <s v="Sem TR"/>
    <n v="64827776"/>
    <s v="REB"/>
    <n v="10159865"/>
    <n v="104"/>
    <s v="PEÇAS-Código trocado(embalag X conteúdo)"/>
    <s v="LOGÍSTICA"/>
    <x v="1"/>
    <n v="75812"/>
    <s v="NOVA GRANSERVICE ASSISTENCIA"/>
    <s v="SP"/>
    <n v="931"/>
    <s v="Ats Off"/>
    <n v="1350"/>
    <s v="W10512610"/>
    <s v="Tampas Móveis"/>
    <x v="3"/>
    <n v="1"/>
    <n v="5004042"/>
    <s v="BRASIL WEB TRANSPORTES E LOGISTICA"/>
    <n v="175.98"/>
    <d v="2025-08-07T00:00:00"/>
  </r>
  <r>
    <n v="254054252"/>
    <n v="64827777"/>
    <s v="REB"/>
    <n v="10112047"/>
    <n v="176"/>
    <s v="PEÇAS - Defeito de fabric./Interrompido"/>
    <s v="FUNCIONAL"/>
    <x v="1"/>
    <n v="58276"/>
    <s v="CHAMATEC COMERCIO E"/>
    <s v="CE"/>
    <n v="644"/>
    <s v="Plus"/>
    <n v="1350"/>
    <s v="W11510292"/>
    <s v="Interruptores"/>
    <x v="8"/>
    <n v="1"/>
    <n v="5004101"/>
    <s v="UNIDOCK'S ASSESSORIA E LOGISTICA DE"/>
    <n v="30.58"/>
    <d v="2025-08-07T00:00:00"/>
  </r>
  <r>
    <n v="254054261"/>
    <n v="64827778"/>
    <s v="REB"/>
    <n v="9442721"/>
    <n v="178"/>
    <s v="PEÇAS -Defeito de fabric./Sem Compressão"/>
    <s v="FUNCIONAL"/>
    <x v="1"/>
    <n v="67948"/>
    <s v="REFRICRIL DISTRIBUIDORA DE AR REFRI"/>
    <s v="SC"/>
    <n v="713"/>
    <s v="Key Account"/>
    <n v="1350"/>
    <s v="W11647662"/>
    <s v="Compressores Herméticos"/>
    <x v="0"/>
    <n v="1"/>
    <n v="5003024"/>
    <s v="RODOBRAS TRANSPORTES RODOVIARIOS LT"/>
    <n v="285.91000000000003"/>
    <d v="2025-08-07T00:00:00"/>
  </r>
  <r>
    <n v="254054255"/>
    <n v="64827799"/>
    <s v="REB"/>
    <n v="10032242"/>
    <n v="176"/>
    <s v="PEÇAS - Defeito de fabric./Interrompido"/>
    <s v="FUNCIONAL"/>
    <x v="1"/>
    <n v="59011"/>
    <s v="H D CASTELAO EIRELI - EPP"/>
    <s v="SP"/>
    <n v="648"/>
    <s v="Ultra"/>
    <n v="1350"/>
    <s v="W11245250"/>
    <s v="Válvulas de Água"/>
    <x v="6"/>
    <n v="1"/>
    <n v="5004042"/>
    <s v="BRASIL WEB TRANSPORTES E LOGISTICA"/>
    <n v="54.65"/>
    <d v="2025-08-07T00:00:00"/>
  </r>
  <r>
    <s v="Sem TR"/>
    <n v="64827800"/>
    <s v="REB"/>
    <n v="10120393"/>
    <n v="177"/>
    <s v="PEÇAS - Defeito de fabric./Ruído"/>
    <s v="FUNCIONAL"/>
    <x v="1"/>
    <n v="24994"/>
    <s v="ROSA MARIA CORREA RIBEIRO &amp; CIA LT"/>
    <s v="MG"/>
    <n v="350"/>
    <s v="Ats On"/>
    <n v="1350"/>
    <s v="W10897149"/>
    <s v="Rolamentos"/>
    <x v="4"/>
    <n v="1"/>
    <n v="5004215"/>
    <s v="BRASIL WEB TRANSPORTES E LOGISTICA"/>
    <n v="8.44"/>
    <d v="2025-08-07T00:00:00"/>
  </r>
  <r>
    <s v="Sem TR"/>
    <n v="64827802"/>
    <s v="REB"/>
    <n v="10076227"/>
    <n v="173"/>
    <s v="PEÇAS - Defeito de fabric./Alta Amperage"/>
    <s v="FUNCIONAL"/>
    <x v="1"/>
    <n v="24994"/>
    <s v="ROSA MARIA CORREA RIBEIRO &amp; CIA LT"/>
    <s v="MG"/>
    <n v="350"/>
    <s v="Ats On"/>
    <n v="1350"/>
    <s v="W11364875"/>
    <s v="Válvulas de Água"/>
    <x v="6"/>
    <n v="1"/>
    <n v="5004215"/>
    <s v="BRASIL WEB TRANSPORTES E LOGISTICA"/>
    <n v="29.31"/>
    <d v="2025-08-07T00:00:00"/>
  </r>
  <r>
    <s v="Sem TR"/>
    <n v="64827803"/>
    <s v="REB"/>
    <n v="10066354"/>
    <n v="173"/>
    <s v="PEÇAS - Defeito de fabric./Alta Amperage"/>
    <s v="FUNCIONAL"/>
    <x v="1"/>
    <n v="87707"/>
    <s v="REFRIGERA BRASIL CLIMATIZACAO E REF"/>
    <s v="BA"/>
    <n v="648"/>
    <s v="Ultra"/>
    <n v="1350"/>
    <s v="W10591605"/>
    <s v="Placas de Controle"/>
    <x v="2"/>
    <n v="1"/>
    <n v="5004101"/>
    <s v="UNIDOCK'S ASSESSORIA E LOGISTICA DE"/>
    <n v="282.74"/>
    <d v="2025-08-07T00:00:00"/>
  </r>
  <r>
    <s v="Sem TR"/>
    <n v="64827818"/>
    <s v="ZRDI"/>
    <n v="10215576"/>
    <s v="D10"/>
    <s v="DEV D2C - Comprou modelo errado"/>
    <s v="COMERCIAL"/>
    <x v="0"/>
    <n v="51902759"/>
    <s v="TÚLIO CRUZ"/>
    <s v="SP"/>
    <n v="475"/>
    <s v="Site Consul"/>
    <n v="1352"/>
    <s v="W10866791"/>
    <s v="Kits Instalação"/>
    <x v="5"/>
    <n v="1"/>
    <n v="5002359"/>
    <s v="EMPRESA BRASILEIRA DE CORREIOS E"/>
    <n v="219.89"/>
    <d v="2025-08-29T00:00:00"/>
  </r>
  <r>
    <s v="Sem TR"/>
    <n v="64827824"/>
    <s v="REB"/>
    <n v="10147233"/>
    <n v="167"/>
    <s v="PEÇAS - Avaria - Quebrada/Depósito"/>
    <s v="LOGÍSTICA"/>
    <x v="1"/>
    <n v="5032"/>
    <s v="TECSUL PECAS E SERVICOS PARA"/>
    <s v="RS"/>
    <n v="350"/>
    <s v="Ats On"/>
    <n v="1350"/>
    <n v="326047714"/>
    <s v="Prateleiras"/>
    <x v="1"/>
    <n v="1"/>
    <n v="5003024"/>
    <s v="RODOBRAS TRANSPORTES RODOVIARIOS LT"/>
    <n v="40.17"/>
    <d v="2025-08-07T00:00:00"/>
  </r>
  <r>
    <n v="254062075"/>
    <n v="64827827"/>
    <s v="REB"/>
    <n v="9925300"/>
    <n v="173"/>
    <s v="PEÇAS - Defeito de fabric./Alta Amperage"/>
    <s v="FUNCIONAL"/>
    <x v="2"/>
    <n v="3236"/>
    <s v="FRISON THERM AR CONDICIONADO LTDA F"/>
    <s v="SP"/>
    <n v="931"/>
    <s v="Ats Off"/>
    <n v="1350"/>
    <s v="W11160655"/>
    <s v="Placas de Interface"/>
    <x v="2"/>
    <n v="1"/>
    <n v="5004042"/>
    <s v="BRASIL WEB TRANSPORTES E LOGISTICA"/>
    <n v="131.66999999999999"/>
    <d v="2025-08-07T00:00:00"/>
  </r>
  <r>
    <n v="254056181"/>
    <n v="64827829"/>
    <s v="REB"/>
    <n v="10091262"/>
    <n v="176"/>
    <s v="PEÇAS - Defeito de fabric./Interrompido"/>
    <s v="FUNCIONAL"/>
    <x v="1"/>
    <n v="22211"/>
    <s v="BARNI PRES SER COM PROD REFIRG ME"/>
    <s v="SC"/>
    <n v="644"/>
    <s v="Plus"/>
    <n v="1350"/>
    <s v="W11603414"/>
    <s v="Placas de Controle"/>
    <x v="2"/>
    <n v="1"/>
    <n v="5003024"/>
    <s v="RODOBRAS TRANSPORTES RODOVIARIOS LT"/>
    <n v="201.39"/>
    <d v="2025-08-07T00:00:00"/>
  </r>
  <r>
    <s v="Sem TR"/>
    <n v="64827830"/>
    <s v="REB"/>
    <n v="10110420"/>
    <n v="176"/>
    <s v="PEÇAS - Defeito de fabric./Interrompido"/>
    <s v="FUNCIONAL"/>
    <x v="1"/>
    <n v="4585"/>
    <s v="ELETRO PECAS REAL LTDA"/>
    <s v="SC"/>
    <n v="350"/>
    <s v="Ats On"/>
    <n v="1350"/>
    <s v="W11299803"/>
    <s v="Mecanismos"/>
    <x v="4"/>
    <n v="1"/>
    <n v="5003024"/>
    <s v="RODOBRAS TRANSPORTES RODOVIARIOS LT"/>
    <n v="101.1"/>
    <d v="2025-08-07T00:00:00"/>
  </r>
  <r>
    <n v="254054271"/>
    <n v="64827832"/>
    <s v="REB"/>
    <n v="10042086"/>
    <n v="173"/>
    <s v="PEÇAS - Defeito de fabric./Alta Amperage"/>
    <s v="FUNCIONAL"/>
    <x v="2"/>
    <n v="69166"/>
    <s v="PC COMERCIO E REPARACAO DE APARELHO"/>
    <s v="RJ"/>
    <n v="931"/>
    <s v="Ats Off"/>
    <n v="1350"/>
    <s v="W10518616"/>
    <s v="Atuadores"/>
    <x v="4"/>
    <n v="1"/>
    <n v="5003176"/>
    <s v="J C THEDIN TRANSPORTES LTDA"/>
    <n v="31.74"/>
    <d v="2025-08-07T00:00:00"/>
  </r>
  <r>
    <s v="Sem TR"/>
    <n v="64827833"/>
    <s v="REB"/>
    <n v="9959716"/>
    <n v="178"/>
    <s v="PEÇAS -Defeito de fabric./Sem Compressão"/>
    <s v="FUNCIONAL"/>
    <x v="1"/>
    <n v="36655"/>
    <s v="REFRIGERACAO CLEITON LTDA"/>
    <s v="RJ"/>
    <n v="932"/>
    <s v="CDP Prata"/>
    <n v="1350"/>
    <s v="W11647660"/>
    <s v="Compressores Herméticos"/>
    <x v="0"/>
    <n v="1"/>
    <n v="5003176"/>
    <s v="J C THEDIN TRANSPORTES LTDA"/>
    <n v="301.94"/>
    <d v="2025-08-07T00:00:00"/>
  </r>
  <r>
    <s v="Sem TR"/>
    <n v="64827835"/>
    <s v="REB"/>
    <n v="9978545"/>
    <n v="176"/>
    <s v="PEÇAS - Defeito de fabric./Interrompido"/>
    <s v="FUNCIONAL"/>
    <x v="1"/>
    <n v="1960"/>
    <s v="ELETROMAQUINAS REFRIGERACOES LTDA"/>
    <s v="MG"/>
    <n v="350"/>
    <s v="Ats On"/>
    <n v="1350"/>
    <s v="W10728426"/>
    <s v="Placas de Controle"/>
    <x v="2"/>
    <n v="1"/>
    <n v="5004215"/>
    <s v="BRASIL WEB TRANSPORTES E LOGISTICA"/>
    <n v="341.66"/>
    <d v="2025-08-07T00:00:00"/>
  </r>
  <r>
    <n v="254054247"/>
    <n v="64827836"/>
    <s v="REB"/>
    <n v="10152471"/>
    <n v="173"/>
    <s v="PEÇAS - Defeito de fabric./Alta Amperage"/>
    <s v="FUNCIONAL"/>
    <x v="1"/>
    <n v="44762"/>
    <s v="CONEBRAS COMERCIO E REFRIGERACAO"/>
    <s v="SP"/>
    <n v="641"/>
    <s v="CDP Diamante"/>
    <n v="1350"/>
    <s v="W11161216"/>
    <s v="Placas de Controle"/>
    <x v="2"/>
    <n v="1"/>
    <n v="5004042"/>
    <s v="BRASIL WEB TRANSPORTES E LOGISTICA"/>
    <n v="424.62"/>
    <d v="2025-08-07T00:00:00"/>
  </r>
  <r>
    <n v="254054253"/>
    <n v="64827837"/>
    <s v="REB"/>
    <n v="9801991"/>
    <n v="176"/>
    <s v="PEÇAS - Defeito de fabric./Interrompido"/>
    <s v="FUNCIONAL"/>
    <x v="1"/>
    <n v="58767"/>
    <s v="STE - SERVICOS TECNICOS"/>
    <s v="ES"/>
    <n v="932"/>
    <s v="CDP Prata"/>
    <n v="1350"/>
    <s v="W10700346"/>
    <s v="Placas de Controle"/>
    <x v="2"/>
    <n v="1"/>
    <n v="5004042"/>
    <s v="BRASIL WEB TRANSPORTES E LOGISTICA"/>
    <n v="140.37"/>
    <d v="2025-08-07T00:00:00"/>
  </r>
  <r>
    <n v="254054292"/>
    <n v="64827841"/>
    <s v="REB"/>
    <n v="10132767"/>
    <n v="90"/>
    <s v="CLIENTE-não solicitou"/>
    <s v="COMERCIAL"/>
    <x v="1"/>
    <n v="85591"/>
    <s v="TREVIZAN &amp; CIA LTDA"/>
    <s v="SC"/>
    <n v="643"/>
    <s v="Elite"/>
    <n v="1350"/>
    <s v="W10722093"/>
    <s v="Mesas Cocção"/>
    <x v="3"/>
    <n v="2"/>
    <n v="5003024"/>
    <s v="RODOBRAS TRANSPORTES RODOVIARIOS LT"/>
    <n v="286.89"/>
    <d v="2025-08-07T00:00:00"/>
  </r>
  <r>
    <n v="254056203"/>
    <n v="64827845"/>
    <s v="REB"/>
    <n v="10131580"/>
    <n v="176"/>
    <s v="PEÇAS - Defeito de fabric./Interrompido"/>
    <s v="FUNCIONAL"/>
    <x v="1"/>
    <n v="31587"/>
    <s v="COPEGEL REFRIGERACAO LTDA"/>
    <s v="SP"/>
    <n v="643"/>
    <s v="Elite"/>
    <n v="1350"/>
    <s v="W11112671"/>
    <s v="Interruptores horário"/>
    <x v="8"/>
    <n v="1"/>
    <n v="5004042"/>
    <s v="BRASIL WEB TRANSPORTES E LOGISTICA"/>
    <n v="73.78"/>
    <d v="2025-08-07T00:00:00"/>
  </r>
  <r>
    <n v="254054266"/>
    <n v="64827846"/>
    <s v="REB"/>
    <n v="10066678"/>
    <n v="168"/>
    <s v="PEÇAS-Def.Fabric.Empenamento/Abaulamento"/>
    <s v="FUNCIONAL"/>
    <x v="2"/>
    <n v="67948"/>
    <s v="REFRICRIL DISTRIBUIDORA DE AR REFRI"/>
    <s v="SC"/>
    <n v="713"/>
    <s v="Key Account"/>
    <n v="1350"/>
    <s v="W10616687"/>
    <s v="Capas"/>
    <x v="3"/>
    <n v="3"/>
    <n v="5003024"/>
    <s v="RODOBRAS TRANSPORTES RODOVIARIOS LT"/>
    <n v="71.64"/>
    <d v="2025-08-07T00:00:00"/>
  </r>
  <r>
    <n v="254054266"/>
    <n v="64827846"/>
    <s v="REB"/>
    <n v="10066678"/>
    <n v="168"/>
    <s v="PEÇAS-Def.Fabric.Empenamento/Abaulamento"/>
    <s v="FUNCIONAL"/>
    <x v="2"/>
    <n v="67948"/>
    <s v="REFRICRIL DISTRIBUIDORA DE AR REFRI"/>
    <s v="SC"/>
    <n v="713"/>
    <s v="Key Account"/>
    <n v="1350"/>
    <s v="W10292562"/>
    <s v="Capas"/>
    <x v="3"/>
    <n v="5"/>
    <n v="5003024"/>
    <s v="RODOBRAS TRANSPORTES RODOVIARIOS LT"/>
    <n v="106.13"/>
    <d v="2025-08-07T00:00:00"/>
  </r>
  <r>
    <s v="Sem TR"/>
    <n v="64827847"/>
    <s v="REB"/>
    <n v="9773521"/>
    <n v="178"/>
    <s v="PEÇAS -Defeito de fabric./Sem Compressão"/>
    <s v="FUNCIONAL"/>
    <x v="1"/>
    <n v="53319"/>
    <s v="PARTS FRIO DISTRIBUIDORA DE"/>
    <s v="PR"/>
    <n v="644"/>
    <s v="Plus"/>
    <n v="1350"/>
    <s v="W11647660"/>
    <s v="Compressores Herméticos"/>
    <x v="0"/>
    <n v="1"/>
    <n v="5003024"/>
    <s v="RODOBRAS TRANSPORTES RODOVIARIOS LT"/>
    <n v="325.72000000000003"/>
    <d v="2025-08-07T00:00:00"/>
  </r>
  <r>
    <n v="254054142"/>
    <n v="64827849"/>
    <s v="REB"/>
    <n v="9905314"/>
    <n v="176"/>
    <s v="PEÇAS - Defeito de fabric./Interrompido"/>
    <s v="FUNCIONAL"/>
    <x v="1"/>
    <n v="3506"/>
    <s v="TECBRAS ASSISTENCIA TECNICA"/>
    <s v="SP"/>
    <n v="931"/>
    <s v="Ats Off"/>
    <n v="1350"/>
    <s v="W11415294"/>
    <s v="Placas de Controle"/>
    <x v="2"/>
    <n v="1"/>
    <n v="5004042"/>
    <s v="BRASIL WEB TRANSPORTES E LOGISTICA"/>
    <n v="268.05"/>
    <d v="2025-08-07T00:00:00"/>
  </r>
  <r>
    <s v="Sem TR"/>
    <n v="64827850"/>
    <s v="REB"/>
    <n v="10137008"/>
    <n v="176"/>
    <s v="PEÇAS - Defeito de fabric./Interrompido"/>
    <s v="FUNCIONAL"/>
    <x v="1"/>
    <n v="5136"/>
    <s v="BRAZILIAN SERVICE ELETRODOMESTICOS"/>
    <s v="RS"/>
    <n v="350"/>
    <s v="Ats On"/>
    <n v="1350"/>
    <s v="W11354746"/>
    <s v="Placas de Controle"/>
    <x v="2"/>
    <n v="1"/>
    <n v="5003024"/>
    <s v="RODOBRAS TRANSPORTES RODOVIARIOS LT"/>
    <n v="704.69"/>
    <d v="2025-08-07T00:00:00"/>
  </r>
  <r>
    <n v="254054294"/>
    <n v="64827851"/>
    <s v="REB"/>
    <n v="9840392"/>
    <n v="176"/>
    <s v="PEÇAS - Defeito de fabric./Interrompido"/>
    <s v="FUNCIONAL"/>
    <x v="2"/>
    <n v="91561"/>
    <s v="RIMAZE COMERCIO E INDUSTRIA DE"/>
    <s v="MT"/>
    <n v="934"/>
    <s v="CDP Ouro"/>
    <n v="1350"/>
    <s v="W11647660"/>
    <s v="Compressores Herméticos"/>
    <x v="0"/>
    <n v="1"/>
    <n v="5002573"/>
    <s v="CARVALIMA TRANSPORTES LTDA"/>
    <n v="310.58999999999997"/>
    <d v="2025-08-07T00:00:00"/>
  </r>
  <r>
    <n v="254054244"/>
    <n v="64827860"/>
    <s v="REB"/>
    <n v="9518386"/>
    <n v="173"/>
    <s v="PEÇAS - Defeito de fabric./Alta Amperage"/>
    <s v="FUNCIONAL"/>
    <x v="2"/>
    <n v="40998"/>
    <s v="CALDEIRA E SANTOS LTDA M.E"/>
    <s v="GO"/>
    <n v="648"/>
    <s v="Ultra"/>
    <n v="1350"/>
    <s v="W10800267"/>
    <s v="Placas de Interface"/>
    <x v="2"/>
    <n v="1"/>
    <n v="5002858"/>
    <s v="FAVORITA TRANSPORTES LTDA"/>
    <n v="158.26"/>
    <d v="2025-08-07T00:00:00"/>
  </r>
  <r>
    <s v="Sem TR"/>
    <n v="64827861"/>
    <s v="REB"/>
    <n v="10136830"/>
    <n v="173"/>
    <s v="PEÇAS - Defeito de fabric./Alta Amperage"/>
    <s v="FUNCIONAL"/>
    <x v="1"/>
    <n v="70205"/>
    <s v="MAQ SERVICOS"/>
    <s v="MG"/>
    <n v="350"/>
    <s v="Ats On"/>
    <n v="1350"/>
    <s v="W11199201"/>
    <s v="Placas de Controle"/>
    <x v="2"/>
    <n v="1"/>
    <n v="5004215"/>
    <s v="BRASIL WEB TRANSPORTES E LOGISTICA"/>
    <n v="276.33999999999997"/>
    <d v="2025-08-07T00:00:00"/>
  </r>
  <r>
    <n v="254054291"/>
    <n v="64827862"/>
    <s v="REB"/>
    <n v="10092644"/>
    <n v="176"/>
    <s v="PEÇAS - Defeito de fabric./Interrompido"/>
    <s v="FUNCIONAL"/>
    <x v="2"/>
    <n v="85128"/>
    <s v="FACOTEC COMERCIO E PRESTACAO DE"/>
    <s v="SP"/>
    <n v="932"/>
    <s v="CDP Prata"/>
    <n v="1350"/>
    <s v="W10518616"/>
    <s v="Atuadores"/>
    <x v="4"/>
    <n v="1"/>
    <n v="5004042"/>
    <s v="BRASIL WEB TRANSPORTES E LOGISTICA"/>
    <n v="38.17"/>
    <d v="2025-08-07T00:00:00"/>
  </r>
  <r>
    <n v="254054134"/>
    <n v="64827864"/>
    <s v="REB"/>
    <n v="10154258"/>
    <n v="176"/>
    <s v="PEÇAS - Defeito de fabric./Interrompido"/>
    <s v="FUNCIONAL"/>
    <x v="1"/>
    <n v="3506"/>
    <s v="TECBRAS ASSISTENCIA TECNICA"/>
    <s v="SP"/>
    <n v="931"/>
    <s v="Ats Off"/>
    <n v="1350"/>
    <s v="W11199201"/>
    <s v="Placas de Controle"/>
    <x v="2"/>
    <n v="1"/>
    <n v="5004042"/>
    <s v="BRASIL WEB TRANSPORTES E LOGISTICA"/>
    <n v="316.54000000000002"/>
    <d v="2025-08-07T00:00:00"/>
  </r>
  <r>
    <n v="254056181"/>
    <n v="64827865"/>
    <s v="REB"/>
    <n v="10078358"/>
    <n v="176"/>
    <s v="PEÇAS - Defeito de fabric./Interrompido"/>
    <s v="FUNCIONAL"/>
    <x v="1"/>
    <n v="22211"/>
    <s v="BARNI PRES SER COM PROD REFIRG ME"/>
    <s v="SC"/>
    <n v="644"/>
    <s v="Plus"/>
    <n v="1350"/>
    <s v="W11163349"/>
    <s v="Placas de Controle"/>
    <x v="2"/>
    <n v="1"/>
    <n v="5003024"/>
    <s v="RODOBRAS TRANSPORTES RODOVIARIOS LT"/>
    <n v="69.540000000000006"/>
    <d v="2025-08-07T00:00:00"/>
  </r>
  <r>
    <n v="254054142"/>
    <n v="64827869"/>
    <s v="REB"/>
    <n v="9638046"/>
    <n v="176"/>
    <s v="PEÇAS - Defeito de fabric./Interrompido"/>
    <s v="FUNCIONAL"/>
    <x v="1"/>
    <n v="3506"/>
    <s v="TECBRAS ASSISTENCIA TECNICA"/>
    <s v="SP"/>
    <n v="931"/>
    <s v="Ats Off"/>
    <n v="1350"/>
    <s v="W10586927"/>
    <s v="Placas de Controle"/>
    <x v="2"/>
    <n v="1"/>
    <n v="5004042"/>
    <s v="BRASIL WEB TRANSPORTES E LOGISTICA"/>
    <n v="231.38"/>
    <d v="2025-08-07T00:00:00"/>
  </r>
  <r>
    <s v="Sem TR"/>
    <n v="64827870"/>
    <s v="REB"/>
    <n v="10061721"/>
    <n v="178"/>
    <s v="PEÇAS -Defeito de fabric./Sem Compressão"/>
    <s v="FUNCIONAL"/>
    <x v="1"/>
    <n v="28178"/>
    <s v="IRMAOS CARICILLI LTDA"/>
    <s v="SP"/>
    <n v="644"/>
    <s v="Plus"/>
    <n v="1350"/>
    <s v="W10375479"/>
    <s v="Compressores Herméticos"/>
    <x v="0"/>
    <n v="1"/>
    <n v="5004042"/>
    <s v="BRASIL WEB TRANSPORTES E LOGISTICA"/>
    <n v="575.4"/>
    <d v="2025-08-07T00:00:00"/>
  </r>
  <r>
    <n v="254054228"/>
    <n v="64827871"/>
    <s v="REB"/>
    <n v="10131580"/>
    <n v="176"/>
    <s v="PEÇAS - Defeito de fabric./Interrompido"/>
    <s v="FUNCIONAL"/>
    <x v="1"/>
    <n v="31587"/>
    <s v="COPEGEL REFRIGERACAO LTDA"/>
    <s v="SP"/>
    <n v="643"/>
    <s v="Elite"/>
    <n v="1350"/>
    <s v="W11047052"/>
    <s v="Interruptores horário"/>
    <x v="8"/>
    <n v="1"/>
    <n v="5004042"/>
    <s v="BRASIL WEB TRANSPORTES E LOGISTICA"/>
    <n v="154.12"/>
    <d v="2025-08-07T00:00:00"/>
  </r>
  <r>
    <s v="Sem TR"/>
    <n v="64827879"/>
    <s v="REB"/>
    <n v="10076227"/>
    <n v="173"/>
    <s v="PEÇAS - Defeito de fabric./Alta Amperage"/>
    <s v="FUNCIONAL"/>
    <x v="1"/>
    <n v="24994"/>
    <s v="ROSA MARIA CORREA RIBEIRO &amp; CIA LT"/>
    <s v="MG"/>
    <n v="350"/>
    <s v="Ats On"/>
    <n v="1350"/>
    <s v="W11364875"/>
    <s v="Válvulas de Água"/>
    <x v="6"/>
    <n v="1"/>
    <n v="5004215"/>
    <s v="BRASIL WEB TRANSPORTES E LOGISTICA"/>
    <n v="29.31"/>
    <d v="2025-08-07T00:00:00"/>
  </r>
  <r>
    <n v="254061619"/>
    <n v="64827880"/>
    <s v="REB"/>
    <n v="10154225"/>
    <n v="176"/>
    <s v="PEÇAS - Defeito de fabric./Interrompido"/>
    <s v="FUNCIONAL"/>
    <x v="1"/>
    <n v="3236"/>
    <s v="FRISON THERM AR CONDICIONADO LTDA F"/>
    <s v="SP"/>
    <n v="931"/>
    <s v="Ats Off"/>
    <n v="1350"/>
    <s v="W10505773"/>
    <s v="Redes Elétricas"/>
    <x v="2"/>
    <n v="1"/>
    <n v="5004042"/>
    <s v="BRASIL WEB TRANSPORTES E LOGISTICA"/>
    <n v="46.67"/>
    <d v="2025-08-07T00:00:00"/>
  </r>
  <r>
    <n v="254061619"/>
    <n v="64827881"/>
    <s v="REB"/>
    <n v="9971584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36"/>
    <d v="2025-08-07T00:00:00"/>
  </r>
  <r>
    <n v="254061619"/>
    <n v="64827882"/>
    <s v="REB"/>
    <n v="10051321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64"/>
    <d v="2025-08-07T00:00:00"/>
  </r>
  <r>
    <s v="Sem TR"/>
    <n v="64827884"/>
    <s v="REB"/>
    <n v="10142487"/>
    <n v="509"/>
    <s v="Qtd de peças a Menor dentro do Volume"/>
    <s v="LOGÍSTICA"/>
    <x v="2"/>
    <n v="78757"/>
    <s v="POSFRIO REFRIGERACAO LTDA"/>
    <s v="RS"/>
    <n v="643"/>
    <s v="Elite"/>
    <n v="1350"/>
    <s v="W11393157"/>
    <s v="Tampas Móveis"/>
    <x v="3"/>
    <n v="1"/>
    <n v="5002359"/>
    <s v="EMPRESA BRASILEIRA DE CORREIOS E"/>
    <n v="163.09"/>
    <d v="2025-08-07T00:00:00"/>
  </r>
  <r>
    <n v="254054272"/>
    <n v="64827885"/>
    <s v="REB"/>
    <n v="9717585"/>
    <n v="173"/>
    <s v="PEÇAS - Defeito de fabric./Alta Amperage"/>
    <s v="FUNCIONAL"/>
    <x v="1"/>
    <n v="69921"/>
    <s v="SILVA PECAS DE ELETRODOMESTICOS"/>
    <s v="SP"/>
    <n v="934"/>
    <s v="CDP Ouro"/>
    <n v="1350"/>
    <s v="W11647660"/>
    <s v="Compressores Herméticos"/>
    <x v="0"/>
    <n v="1"/>
    <n v="5004042"/>
    <s v="BRASIL WEB TRANSPORTES E LOGISTICA"/>
    <n v="331.94"/>
    <d v="2025-08-07T00:00:00"/>
  </r>
  <r>
    <n v="254054286"/>
    <n v="64827886"/>
    <s v="REB"/>
    <n v="9425884"/>
    <n v="178"/>
    <s v="PEÇAS -Defeito de fabric./Sem Compressão"/>
    <s v="FUNCIONAL"/>
    <x v="1"/>
    <n v="81459"/>
    <s v="REFRIGERACAO GM EIRELI"/>
    <s v="SP"/>
    <n v="648"/>
    <s v="Ultra"/>
    <n v="1350"/>
    <s v="W11375485"/>
    <s v="Compressores Herméticos"/>
    <x v="0"/>
    <n v="1"/>
    <n v="5004042"/>
    <s v="BRASIL WEB TRANSPORTES E LOGISTICA"/>
    <n v="412.72"/>
    <d v="2025-08-07T00:00:00"/>
  </r>
  <r>
    <s v="Sem TR"/>
    <n v="64827888"/>
    <s v="REB"/>
    <n v="10146784"/>
    <n v="173"/>
    <s v="PEÇAS - Defeito de fabric./Alta Amperage"/>
    <s v="FUNCIONAL"/>
    <x v="1"/>
    <n v="20602"/>
    <s v="SANDY DISTRIBUIDORA"/>
    <s v="SP"/>
    <n v="350"/>
    <s v="Ats On"/>
    <n v="1350"/>
    <s v="W11100737"/>
    <s v="Placas de Controle"/>
    <x v="2"/>
    <n v="1"/>
    <n v="5004042"/>
    <s v="BRASIL WEB TRANSPORTES E LOGISTICA"/>
    <n v="748.56"/>
    <d v="2025-08-07T00:00:00"/>
  </r>
  <r>
    <s v="Sem TR"/>
    <n v="64827895"/>
    <s v="REB"/>
    <n v="9863944"/>
    <n v="178"/>
    <s v="PEÇAS -Defeito de fabric./Sem Compressão"/>
    <s v="FUNCIONAL"/>
    <x v="1"/>
    <n v="53319"/>
    <s v="PARTS FRIO DISTRIBUIDORA DE"/>
    <s v="PR"/>
    <n v="644"/>
    <s v="Plus"/>
    <n v="1350"/>
    <s v="W10769941"/>
    <s v="Compressores Herméticos"/>
    <x v="0"/>
    <n v="1"/>
    <n v="5003024"/>
    <s v="RODOBRAS TRANSPORTES RODOVIARIOS LT"/>
    <n v="388.94"/>
    <d v="2025-08-07T00:00:00"/>
  </r>
  <r>
    <s v="Sem TR"/>
    <n v="64827940"/>
    <s v="REB"/>
    <n v="9880861"/>
    <n v="173"/>
    <s v="PEÇAS - Defeito de fabric./Alta Amperage"/>
    <s v="FUNCIONAL"/>
    <x v="1"/>
    <n v="31000"/>
    <s v="RITA DE CASSIA MESQUITA OLIVEIRA"/>
    <s v="CE"/>
    <n v="350"/>
    <s v="Ats On"/>
    <n v="1350"/>
    <s v="W11581054"/>
    <s v="Placas de Controle"/>
    <x v="2"/>
    <n v="1"/>
    <n v="5004101"/>
    <s v="UNIDOCK'S ASSESSORIA E LOGISTICA DE"/>
    <n v="140.94"/>
    <d v="2025-08-07T00:00:00"/>
  </r>
  <r>
    <n v="254054264"/>
    <n v="64827945"/>
    <s v="REB"/>
    <n v="10090173"/>
    <n v="173"/>
    <s v="PEÇAS - Defeito de fabric./Alta Amperage"/>
    <s v="FUNCIONAL"/>
    <x v="1"/>
    <n v="67948"/>
    <s v="REFRICRIL DISTRIBUIDORA DE AR REFRI"/>
    <s v="SC"/>
    <n v="713"/>
    <s v="Key Account"/>
    <n v="1350"/>
    <s v="W11254865"/>
    <s v="Mecanismos"/>
    <x v="4"/>
    <n v="1"/>
    <n v="5003024"/>
    <s v="RODOBRAS TRANSPORTES RODOVIARIOS LT"/>
    <n v="138.19"/>
    <d v="2025-08-07T00:00:00"/>
  </r>
  <r>
    <s v="Sem TR"/>
    <n v="64827946"/>
    <s v="REB"/>
    <n v="9993500"/>
    <n v="178"/>
    <s v="PEÇAS -Defeito de fabric./Sem Compressão"/>
    <s v="FUNCIONAL"/>
    <x v="1"/>
    <n v="32455"/>
    <s v="FRIOSAMO REFRIGERACAO LTDA"/>
    <s v="SP"/>
    <n v="643"/>
    <s v="Elite"/>
    <n v="1350"/>
    <s v="W11647660"/>
    <s v="Compressores Herméticos"/>
    <x v="0"/>
    <n v="18"/>
    <n v="5004042"/>
    <s v="BRASIL WEB TRANSPORTES E LOGISTICA"/>
    <n v="4943.24"/>
    <d v="2025-08-07T00:00:00"/>
  </r>
  <r>
    <n v="254061619"/>
    <n v="64827949"/>
    <s v="REB"/>
    <n v="10049028"/>
    <n v="173"/>
    <s v="PEÇAS - Defeito de fabric./Alta Amperage"/>
    <s v="FUNCIONAL"/>
    <x v="1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8.64"/>
    <d v="2025-08-07T00:00:00"/>
  </r>
  <r>
    <s v="Sem TR"/>
    <n v="64827958"/>
    <s v="REB"/>
    <n v="10110420"/>
    <n v="176"/>
    <s v="PEÇAS - Defeito de fabric./Interrompido"/>
    <s v="FUNCIONAL"/>
    <x v="1"/>
    <n v="4585"/>
    <s v="ELETRO PECAS REAL LTDA"/>
    <s v="SC"/>
    <n v="350"/>
    <s v="Ats On"/>
    <n v="1350"/>
    <s v="W11299803"/>
    <s v="Mecanismos"/>
    <x v="4"/>
    <n v="1"/>
    <n v="5003024"/>
    <s v="RODOBRAS TRANSPORTES RODOVIARIOS LT"/>
    <n v="101.1"/>
    <d v="2025-08-14T00:00:00"/>
  </r>
  <r>
    <n v="254056203"/>
    <n v="64827959"/>
    <s v="REB"/>
    <n v="10008075"/>
    <n v="176"/>
    <s v="PEÇAS - Defeito de fabric./Interrompido"/>
    <s v="FUNCIONAL"/>
    <x v="1"/>
    <n v="31587"/>
    <s v="COPEGEL REFRIGERACAO LTDA"/>
    <s v="SP"/>
    <n v="643"/>
    <s v="Elite"/>
    <n v="1350"/>
    <s v="W10915379"/>
    <s v="Placas de Controle"/>
    <x v="2"/>
    <n v="1"/>
    <n v="5004042"/>
    <s v="BRASIL WEB TRANSPORTES E LOGISTICA"/>
    <n v="483.18"/>
    <d v="2025-08-07T00:00:00"/>
  </r>
  <r>
    <n v="254056205"/>
    <n v="64827961"/>
    <s v="REB"/>
    <n v="10064105"/>
    <n v="178"/>
    <s v="PEÇAS -Defeito de fabric./Sem Compressão"/>
    <s v="FUNCIONAL"/>
    <x v="2"/>
    <n v="87383"/>
    <s v="REFRIGERACAO RBL 25 LTDA"/>
    <s v="RJ"/>
    <n v="933"/>
    <s v="Top"/>
    <n v="1350"/>
    <s v="W11647660"/>
    <s v="Compressores Herméticos"/>
    <x v="0"/>
    <n v="5"/>
    <n v="5003176"/>
    <s v="J C THEDIN TRANSPORTES LTDA"/>
    <n v="1402.29"/>
    <d v="2025-08-07T00:00:00"/>
  </r>
  <r>
    <s v="Sem TR"/>
    <n v="64827963"/>
    <s v="REB"/>
    <n v="10135998"/>
    <n v="168"/>
    <s v="PEÇAS-Def.Fabric.Empenamento/Abaulamento"/>
    <s v="FUNCIONAL"/>
    <x v="1"/>
    <n v="9015"/>
    <s v="ALTIMARIS REFRIGERACAO LTDA"/>
    <s v="SC"/>
    <n v="350"/>
    <s v="Ats On"/>
    <n v="1350"/>
    <s v="W10882241"/>
    <s v="Agitadores"/>
    <x v="4"/>
    <n v="1"/>
    <n v="5003024"/>
    <s v="RODOBRAS TRANSPORTES RODOVIARIOS LT"/>
    <n v="44.42"/>
    <d v="2025-08-14T00:00:00"/>
  </r>
  <r>
    <n v="254054271"/>
    <n v="64827989"/>
    <s v="REB"/>
    <n v="10079659"/>
    <n v="176"/>
    <s v="PEÇAS - Defeito de fabric./Interrompido"/>
    <s v="FUNCIONAL"/>
    <x v="2"/>
    <n v="69166"/>
    <s v="PC COMERCIO E REPARACAO DE APARELHO"/>
    <s v="RJ"/>
    <n v="931"/>
    <s v="Ats Off"/>
    <n v="1350"/>
    <s v="W10289381"/>
    <s v="Queimadores"/>
    <x v="9"/>
    <n v="1"/>
    <n v="5003176"/>
    <s v="J C THEDIN TRANSPORTES LTDA"/>
    <n v="39.409999999999997"/>
    <d v="2025-08-07T00:00:00"/>
  </r>
  <r>
    <s v="Sem TR"/>
    <n v="64827990"/>
    <s v="REB"/>
    <n v="10043148"/>
    <n v="176"/>
    <s v="PEÇAS - Defeito de fabric./Interrompido"/>
    <s v="FUNCIONAL"/>
    <x v="1"/>
    <n v="1026"/>
    <s v="COMERCIAL ELETROPECAS LTDA"/>
    <s v="GO"/>
    <n v="350"/>
    <s v="Ats On"/>
    <n v="1350"/>
    <s v="W10686100"/>
    <s v="Placas de Controle"/>
    <x v="2"/>
    <n v="1"/>
    <n v="5002858"/>
    <s v="FAVORITA TRANSPORTES LTDA"/>
    <n v="166.01"/>
    <d v="2025-08-07T00:00:00"/>
  </r>
  <r>
    <s v="Sem TR"/>
    <n v="64827995"/>
    <s v="REB"/>
    <n v="10180890"/>
    <n v="173"/>
    <s v="PEÇAS - Defeito de fabric./Alta Amperage"/>
    <s v="FUNCIONAL"/>
    <x v="1"/>
    <n v="27874"/>
    <s v="REFRIGERACAO ERECHIM COML TECNICA"/>
    <s v="RS"/>
    <n v="641"/>
    <s v="CDP Diamante"/>
    <n v="1350"/>
    <s v="W10619463"/>
    <s v="Pressostatos"/>
    <x v="8"/>
    <n v="2"/>
    <n v="5003024"/>
    <s v="RODOBRAS TRANSPORTES RODOVIARIOS LT"/>
    <n v="76.36"/>
    <d v="2025-08-22T00:00:00"/>
  </r>
  <r>
    <n v="254054230"/>
    <n v="64828009"/>
    <s v="REB"/>
    <n v="9899094"/>
    <n v="178"/>
    <s v="PEÇAS -Defeito de fabric./Sem Compressão"/>
    <s v="FUNCIONAL"/>
    <x v="1"/>
    <n v="32455"/>
    <s v="FRIOSAMO REFRIGERACAO LTDA"/>
    <s v="SP"/>
    <n v="643"/>
    <s v="Elite"/>
    <n v="1350"/>
    <s v="W11677208"/>
    <s v="Compressores Herméticos"/>
    <x v="0"/>
    <n v="4"/>
    <n v="5004042"/>
    <s v="BRASIL WEB TRANSPORTES E LOGISTICA"/>
    <n v="1230.49"/>
    <d v="2025-08-07T00:00:00"/>
  </r>
  <r>
    <s v="Sem TR"/>
    <n v="64828020"/>
    <s v="REB"/>
    <n v="9804535"/>
    <n v="178"/>
    <s v="PEÇAS -Defeito de fabric./Sem Compressão"/>
    <s v="FUNCIONAL"/>
    <x v="1"/>
    <n v="53319"/>
    <s v="PARTS FRIO DISTRIBUIDORA DE"/>
    <s v="PR"/>
    <n v="644"/>
    <s v="Plus"/>
    <n v="1350"/>
    <s v="W10393823"/>
    <s v="Compressores Herméticos"/>
    <x v="0"/>
    <n v="1"/>
    <n v="5003024"/>
    <s v="RODOBRAS TRANSPORTES RODOVIARIOS LT"/>
    <n v="543.49"/>
    <d v="2025-08-07T00:00:00"/>
  </r>
  <r>
    <s v="Sem TR"/>
    <n v="64828025"/>
    <s v="REB"/>
    <n v="10143765"/>
    <n v="176"/>
    <s v="PEÇAS - Defeito de fabric./Interrompido"/>
    <s v="FUNCIONAL"/>
    <x v="1"/>
    <n v="28178"/>
    <s v="IRMAOS CARICILLI LTDA"/>
    <s v="SP"/>
    <n v="644"/>
    <s v="Plus"/>
    <n v="1350"/>
    <s v="W10399715"/>
    <s v="Motores Ventiladores"/>
    <x v="2"/>
    <n v="1"/>
    <n v="5004042"/>
    <s v="BRASIL WEB TRANSPORTES E LOGISTICA"/>
    <n v="57.07"/>
    <d v="2025-08-07T00:00:00"/>
  </r>
  <r>
    <s v="Sem TR"/>
    <n v="64828025"/>
    <s v="REB"/>
    <n v="10143765"/>
    <n v="176"/>
    <s v="PEÇAS - Defeito de fabric./Interrompido"/>
    <s v="FUNCIONAL"/>
    <x v="1"/>
    <n v="28178"/>
    <s v="IRMAOS CARICILLI LTDA"/>
    <s v="SP"/>
    <n v="644"/>
    <s v="Plus"/>
    <n v="1350"/>
    <s v="W10531315"/>
    <s v="Sensores"/>
    <x v="8"/>
    <n v="1"/>
    <n v="5004042"/>
    <s v="BRASIL WEB TRANSPORTES E LOGISTICA"/>
    <n v="8.82"/>
    <d v="2025-08-07T00:00:00"/>
  </r>
  <r>
    <n v="254058132"/>
    <n v="64828026"/>
    <s v="REB"/>
    <n v="9899094"/>
    <n v="178"/>
    <s v="PEÇAS -Defeito de fabric./Sem Compressão"/>
    <s v="FUNCIONAL"/>
    <x v="2"/>
    <n v="32455"/>
    <s v="FRIOSAMO REFRIGERACAO LTDA"/>
    <s v="SP"/>
    <n v="643"/>
    <s v="Elite"/>
    <n v="1350"/>
    <s v="W11677208"/>
    <s v="Compressores Herméticos"/>
    <x v="0"/>
    <n v="4"/>
    <n v="5004042"/>
    <s v="BRASIL WEB TRANSPORTES E LOGISTICA"/>
    <n v="1230.49"/>
    <d v="2025-08-14T00:00:00"/>
  </r>
  <r>
    <n v="254054262"/>
    <n v="64828034"/>
    <s v="REB"/>
    <n v="10109048"/>
    <n v="168"/>
    <s v="PEÇAS-Def.Fabric.Empenamento/Abaulamento"/>
    <s v="FUNCIONAL"/>
    <x v="2"/>
    <n v="67948"/>
    <s v="REFRICRIL DISTRIBUIDORA DE AR REFRI"/>
    <s v="SC"/>
    <n v="713"/>
    <s v="Key Account"/>
    <n v="1350"/>
    <n v="326051022"/>
    <s v="Capas"/>
    <x v="3"/>
    <n v="1"/>
    <n v="5003024"/>
    <s v="RODOBRAS TRANSPORTES RODOVIARIOS LT"/>
    <n v="39.53"/>
    <d v="2025-08-07T00:00:00"/>
  </r>
  <r>
    <n v="254056205"/>
    <n v="64828035"/>
    <s v="REB"/>
    <n v="10131658"/>
    <n v="178"/>
    <s v="PEÇAS -Defeito de fabric./Sem Compressão"/>
    <s v="FUNCIONAL"/>
    <x v="2"/>
    <n v="87383"/>
    <s v="REFRIGERACAO RBL 25 LTDA"/>
    <s v="RJ"/>
    <n v="933"/>
    <s v="Top"/>
    <n v="1350"/>
    <s v="W11677208"/>
    <s v="Compressores Herméticos"/>
    <x v="0"/>
    <n v="1"/>
    <n v="5003176"/>
    <s v="J C THEDIN TRANSPORTES LTDA"/>
    <n v="281.68"/>
    <d v="2025-08-07T00:00:00"/>
  </r>
  <r>
    <n v="254056205"/>
    <n v="64828036"/>
    <s v="REB"/>
    <n v="10001588"/>
    <n v="178"/>
    <s v="PEÇAS -Defeito de fabric./Sem Compressão"/>
    <s v="FUNCIONAL"/>
    <x v="2"/>
    <n v="87383"/>
    <s v="REFRIGERACAO RBL 25 LTDA"/>
    <s v="RJ"/>
    <n v="933"/>
    <s v="Top"/>
    <n v="1350"/>
    <s v="W10393822"/>
    <s v="Compressores Herméticos"/>
    <x v="0"/>
    <n v="1"/>
    <n v="5003176"/>
    <s v="J C THEDIN TRANSPORTES LTDA"/>
    <n v="429.25"/>
    <d v="2025-08-07T00:00:00"/>
  </r>
  <r>
    <s v="Sem TR"/>
    <n v="64828038"/>
    <s v="REB"/>
    <n v="10143470"/>
    <n v="90"/>
    <s v="CLIENTE-não solicitou"/>
    <s v="COMERCIAL"/>
    <x v="1"/>
    <n v="64522"/>
    <s v="REFRIGERACAO CACIQUE RIO PRETO"/>
    <s v="SP"/>
    <n v="643"/>
    <s v="Elite"/>
    <n v="1350"/>
    <s v="W10740686"/>
    <s v="Pratos Giratórios"/>
    <x v="3"/>
    <n v="9"/>
    <n v="5004042"/>
    <s v="BRASIL WEB TRANSPORTES E LOGISTICA"/>
    <n v="2461.14"/>
    <d v="2025-08-07T00:00:00"/>
  </r>
  <r>
    <n v="254054263"/>
    <n v="64828044"/>
    <s v="REB"/>
    <n v="10090174"/>
    <n v="173"/>
    <s v="PEÇAS - Defeito de fabric./Alta Amperage"/>
    <s v="FUNCIONAL"/>
    <x v="1"/>
    <n v="67948"/>
    <s v="REFRICRIL DISTRIBUIDORA DE AR REFRI"/>
    <s v="SC"/>
    <n v="713"/>
    <s v="Key Account"/>
    <n v="1350"/>
    <s v="W10882241"/>
    <s v="Agitadores"/>
    <x v="4"/>
    <n v="3"/>
    <n v="5003024"/>
    <s v="RODOBRAS TRANSPORTES RODOVIARIOS LT"/>
    <n v="99.97"/>
    <d v="2025-08-07T00:00:00"/>
  </r>
  <r>
    <n v="254058178"/>
    <n v="64828046"/>
    <s v="REB"/>
    <n v="10092644"/>
    <n v="176"/>
    <s v="PEÇAS - Defeito de fabric./Interrompido"/>
    <s v="FUNCIONAL"/>
    <x v="2"/>
    <n v="85128"/>
    <s v="FACOTEC COMERCIO E PRESTACAO DE"/>
    <s v="SP"/>
    <n v="932"/>
    <s v="CDP Prata"/>
    <n v="1350"/>
    <s v="W10518616"/>
    <s v="Atuadores"/>
    <x v="4"/>
    <n v="1"/>
    <n v="5004042"/>
    <s v="BRASIL WEB TRANSPORTES E LOGISTICA"/>
    <n v="38.17"/>
    <d v="2025-08-14T00:00:00"/>
  </r>
  <r>
    <s v="Sem TR"/>
    <n v="64828049"/>
    <s v="REB"/>
    <n v="10089555"/>
    <n v="177"/>
    <s v="PEÇAS - Defeito de fabric./Ruído"/>
    <s v="FUNCIONAL"/>
    <x v="1"/>
    <n v="1026"/>
    <s v="COMERCIAL ELETROPECAS LTDA"/>
    <s v="GO"/>
    <n v="350"/>
    <s v="Ats On"/>
    <n v="1350"/>
    <s v="W11300695"/>
    <s v="Mecanismos"/>
    <x v="4"/>
    <n v="1"/>
    <n v="5002858"/>
    <s v="FAVORITA TRANSPORTES LTDA"/>
    <n v="185.47"/>
    <d v="2025-08-07T00:00:00"/>
  </r>
  <r>
    <n v="254054265"/>
    <n v="64828054"/>
    <s v="REB"/>
    <n v="10066678"/>
    <n v="168"/>
    <s v="PEÇAS-Def.Fabric.Empenamento/Abaulamento"/>
    <s v="FUNCIONAL"/>
    <x v="2"/>
    <n v="67948"/>
    <s v="REFRICRIL DISTRIBUIDORA DE AR REFRI"/>
    <s v="SC"/>
    <n v="713"/>
    <s v="Key Account"/>
    <n v="1350"/>
    <s v="W10292562"/>
    <s v="Capas"/>
    <x v="3"/>
    <n v="1"/>
    <n v="5003024"/>
    <s v="RODOBRAS TRANSPORTES RODOVIARIOS LT"/>
    <n v="21.23"/>
    <d v="2025-08-07T00:00:00"/>
  </r>
  <r>
    <s v="Sem TR"/>
    <n v="64828070"/>
    <s v="REB"/>
    <n v="10080467"/>
    <n v="173"/>
    <s v="PEÇAS - Defeito de fabric./Alta Amperage"/>
    <s v="FUNCIONAL"/>
    <x v="1"/>
    <n v="22985"/>
    <s v="Comercial Delfrio LTDA EPP"/>
    <s v="SC"/>
    <n v="641"/>
    <s v="CDP Diamante"/>
    <n v="1350"/>
    <s v="W11435396"/>
    <s v="Placas de Controle"/>
    <x v="2"/>
    <n v="1"/>
    <n v="5003024"/>
    <s v="RODOBRAS TRANSPORTES RODOVIARIOS LT"/>
    <n v="261.66000000000003"/>
    <d v="2025-08-07T00:00:00"/>
  </r>
  <r>
    <n v="254054231"/>
    <n v="64828071"/>
    <s v="REB"/>
    <n v="10152139"/>
    <n v="178"/>
    <s v="PEÇAS -Defeito de fabric./Sem Compressão"/>
    <s v="FUNCIONAL"/>
    <x v="1"/>
    <n v="33113"/>
    <s v="FREE PECAS COMER E DISTRIBUICAO"/>
    <s v="SP"/>
    <n v="641"/>
    <s v="CDP Diamante"/>
    <n v="1350"/>
    <s v="W10393815"/>
    <s v="Compressores Herméticos"/>
    <x v="0"/>
    <n v="1"/>
    <n v="5004042"/>
    <s v="BRASIL WEB TRANSPORTES E LOGISTICA"/>
    <n v="628.14"/>
    <d v="2025-08-07T00:00:00"/>
  </r>
  <r>
    <s v="Sem TR"/>
    <n v="64828072"/>
    <s v="REB"/>
    <n v="10151644"/>
    <n v="90"/>
    <s v="CLIENTE-não solicitou"/>
    <s v="COMERCIAL"/>
    <x v="1"/>
    <n v="63890"/>
    <s v="MARETH REFRIGERACAO E MARETH"/>
    <s v="SC"/>
    <n v="641"/>
    <s v="CDP Diamante"/>
    <n v="1350"/>
    <s v="W10292562"/>
    <s v="Capas"/>
    <x v="3"/>
    <n v="10"/>
    <n v="5003024"/>
    <s v="RODOBRAS TRANSPORTES RODOVIARIOS LT"/>
    <n v="226.85"/>
    <d v="2025-08-07T00:00:00"/>
  </r>
  <r>
    <s v="Sem TR"/>
    <n v="64828072"/>
    <s v="REB"/>
    <n v="10151644"/>
    <n v="90"/>
    <s v="CLIENTE-não solicitou"/>
    <s v="COMERCIAL"/>
    <x v="1"/>
    <n v="63890"/>
    <s v="MARETH REFRIGERACAO E MARETH"/>
    <s v="SC"/>
    <n v="641"/>
    <s v="CDP Diamante"/>
    <n v="1350"/>
    <s v="W10477178"/>
    <s v="Capas"/>
    <x v="3"/>
    <n v="10"/>
    <n v="5003024"/>
    <s v="RODOBRAS TRANSPORTES RODOVIARIOS LT"/>
    <n v="218.4"/>
    <d v="2025-08-07T00:00:00"/>
  </r>
  <r>
    <n v="254058172"/>
    <n v="64828075"/>
    <s v="REB"/>
    <n v="9624373"/>
    <n v="178"/>
    <s v="PEÇAS -Defeito de fabric./Sem Compressão"/>
    <s v="FUNCIONAL"/>
    <x v="2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76.48"/>
    <d v="2025-08-14T00:00:00"/>
  </r>
  <r>
    <s v="Sem TR"/>
    <n v="64828079"/>
    <s v="REB"/>
    <n v="10043015"/>
    <n v="173"/>
    <s v="PEÇAS - Defeito de fabric./Alta Amperage"/>
    <s v="FUNCIONAL"/>
    <x v="1"/>
    <n v="31862"/>
    <s v="BRASPECAS REFRIGERACAO LTDA"/>
    <s v="SC"/>
    <n v="933"/>
    <s v="Top"/>
    <n v="1350"/>
    <s v="W11251568"/>
    <s v="Placas de Controle"/>
    <x v="2"/>
    <n v="1"/>
    <n v="5003024"/>
    <s v="RODOBRAS TRANSPORTES RODOVIARIOS LT"/>
    <n v="359"/>
    <d v="2025-08-07T00:00:00"/>
  </r>
  <r>
    <n v="254063728"/>
    <n v="64828110"/>
    <s v="ROB"/>
    <n v="10118835"/>
    <n v="268"/>
    <s v="DEV-APREENSÃO FISCAL - VENDAS"/>
    <s v="COMERCIAL"/>
    <x v="2"/>
    <n v="61327"/>
    <s v="FRANCILENE OLIVEIRA AMORIM"/>
    <s v="CE"/>
    <n v="698"/>
    <s v="CDP Bronze"/>
    <n v="1350"/>
    <n v="326000047"/>
    <s v="Tirantes"/>
    <x v="11"/>
    <n v="50"/>
    <n v="5004101"/>
    <s v="UNIDOCK'S ASSESSORIA E LOGISTICA DE"/>
    <n v="71.89"/>
    <d v="2025-08-07T00:00:00"/>
  </r>
  <r>
    <n v="254063728"/>
    <n v="64828110"/>
    <s v="ROB"/>
    <n v="10118835"/>
    <n v="268"/>
    <s v="DEV-APREENSÃO FISCAL - VENDAS"/>
    <s v="COMERCIAL"/>
    <x v="2"/>
    <n v="61327"/>
    <s v="FRANCILENE OLIVEIRA AMORIM"/>
    <s v="CE"/>
    <n v="698"/>
    <s v="CDP Bronze"/>
    <n v="1350"/>
    <s v="W10310999"/>
    <s v="Motores Ventiladores"/>
    <x v="2"/>
    <n v="4"/>
    <n v="5004101"/>
    <s v="UNIDOCK'S ASSESSORIA E LOGISTICA DE"/>
    <n v="211.55"/>
    <d v="2025-08-07T00:00:00"/>
  </r>
  <r>
    <n v="254063728"/>
    <n v="64828110"/>
    <s v="ROB"/>
    <n v="10118835"/>
    <n v="268"/>
    <s v="DEV-APREENSÃO FISCAL - VENDAS"/>
    <s v="COMERCIAL"/>
    <x v="2"/>
    <n v="61327"/>
    <s v="FRANCILENE OLIVEIRA AMORIM"/>
    <s v="CE"/>
    <n v="698"/>
    <s v="CDP Bronze"/>
    <n v="1350"/>
    <s v="W10678919"/>
    <s v="Placas de Controle"/>
    <x v="2"/>
    <n v="2"/>
    <n v="5004101"/>
    <s v="UNIDOCK'S ASSESSORIA E LOGISTICA DE"/>
    <n v="147.24"/>
    <d v="2025-08-07T00:00:00"/>
  </r>
  <r>
    <n v="254063728"/>
    <n v="64828110"/>
    <s v="ROB"/>
    <n v="10118835"/>
    <n v="268"/>
    <s v="DEV-APREENSÃO FISCAL - VENDAS"/>
    <s v="COMERCIAL"/>
    <x v="2"/>
    <n v="61327"/>
    <s v="FRANCILENE OLIVEIRA AMORIM"/>
    <s v="CE"/>
    <n v="698"/>
    <s v="CDP Bronze"/>
    <n v="1350"/>
    <s v="W10828358"/>
    <s v="Pressostatos"/>
    <x v="8"/>
    <n v="2"/>
    <n v="5004101"/>
    <s v="UNIDOCK'S ASSESSORIA E LOGISTICA DE"/>
    <n v="63.9"/>
    <d v="2025-08-07T00:00:00"/>
  </r>
  <r>
    <n v="254063728"/>
    <n v="64828110"/>
    <s v="ROB"/>
    <n v="10118835"/>
    <n v="268"/>
    <s v="DEV-APREENSÃO FISCAL - VENDAS"/>
    <s v="COMERCIAL"/>
    <x v="2"/>
    <n v="61327"/>
    <s v="FRANCILENE OLIVEIRA AMORIM"/>
    <s v="CE"/>
    <n v="698"/>
    <s v="CDP Bronze"/>
    <n v="1350"/>
    <s v="W11245250"/>
    <s v="Válvulas de Água"/>
    <x v="6"/>
    <n v="2"/>
    <n v="5004101"/>
    <s v="UNIDOCK'S ASSESSORIA E LOGISTICA DE"/>
    <n v="106.18"/>
    <d v="2025-08-07T00:00:00"/>
  </r>
  <r>
    <n v="254063728"/>
    <n v="64828110"/>
    <s v="ROB"/>
    <n v="10118835"/>
    <n v="268"/>
    <s v="DEV-APREENSÃO FISCAL - VENDAS"/>
    <s v="COMERCIAL"/>
    <x v="2"/>
    <n v="61327"/>
    <s v="FRANCILENE OLIVEIRA AMORIM"/>
    <s v="CE"/>
    <n v="698"/>
    <s v="CDP Bronze"/>
    <n v="1350"/>
    <s v="W11574388"/>
    <s v="Capacitores"/>
    <x v="2"/>
    <n v="4"/>
    <n v="5004101"/>
    <s v="UNIDOCK'S ASSESSORIA E LOGISTICA DE"/>
    <n v="57.76"/>
    <d v="2025-08-07T00:00:00"/>
  </r>
  <r>
    <s v="Sem TR"/>
    <n v="64828129"/>
    <s v="REB"/>
    <n v="10151759"/>
    <n v="92"/>
    <s v="PEÇAS-Preço divergente"/>
    <s v="COMERCIAL"/>
    <x v="1"/>
    <n v="9599"/>
    <s v="LITORAL SERV - COMERCIO DE PECAS"/>
    <s v="SP"/>
    <n v="931"/>
    <s v="Ats Off"/>
    <n v="1350"/>
    <s v="W10746465"/>
    <s v="Injetores"/>
    <x v="9"/>
    <n v="1"/>
    <n v="5004042"/>
    <s v="BRASIL WEB TRANSPORTES E LOGISTICA"/>
    <n v="244.06"/>
    <d v="2025-08-07T00:00:00"/>
  </r>
  <r>
    <n v="254061072"/>
    <n v="64828143"/>
    <s v="REB"/>
    <n v="9610141"/>
    <n v="176"/>
    <s v="PEÇAS - Defeito de fabric./Interrompido"/>
    <s v="FUNCIONAL"/>
    <x v="2"/>
    <n v="24089"/>
    <s v="REVOLUTION COMERCIO E SERV"/>
    <s v="RJ"/>
    <n v="931"/>
    <s v="Ats Off"/>
    <n v="1350"/>
    <s v="W11535546"/>
    <s v="Placas de Controle"/>
    <x v="2"/>
    <n v="1"/>
    <n v="5003176"/>
    <s v="J C THEDIN TRANSPORTES LTDA"/>
    <n v="128.1"/>
    <d v="2025-08-15T00:00:00"/>
  </r>
  <r>
    <n v="254058176"/>
    <n v="64828162"/>
    <s v="REB"/>
    <n v="9415255"/>
    <n v="178"/>
    <s v="PEÇAS -Defeito de fabric./Sem Compressão"/>
    <s v="FUNCIONAL"/>
    <x v="2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23.9"/>
    <d v="2025-08-14T00:00:00"/>
  </r>
  <r>
    <s v="Sem TR"/>
    <n v="64828169"/>
    <s v="REB"/>
    <n v="10154646"/>
    <n v="90"/>
    <s v="CLIENTE-não solicitou"/>
    <s v="COMERCIAL"/>
    <x v="1"/>
    <n v="3361"/>
    <s v="J LOURENCO SOBRINHO"/>
    <s v="SP"/>
    <n v="350"/>
    <s v="Ats On"/>
    <n v="1350"/>
    <s v="W11516476"/>
    <s v="Compressores Herméticos"/>
    <x v="0"/>
    <n v="1"/>
    <n v="5004042"/>
    <s v="BRASIL WEB TRANSPORTES E LOGISTICA"/>
    <n v="490.25"/>
    <d v="2025-08-07T00:00:00"/>
  </r>
  <r>
    <s v="Sem TR"/>
    <n v="64828181"/>
    <s v="REB"/>
    <n v="10078713"/>
    <n v="90"/>
    <s v="CLIENTE-não solicitou"/>
    <s v="COMERCIAL"/>
    <x v="1"/>
    <n v="86218"/>
    <s v="ELIAS LOPES DO CARMO"/>
    <s v="BA"/>
    <n v="350"/>
    <s v="Ats On"/>
    <n v="1350"/>
    <n v="390131"/>
    <s v="Parafusos e afins"/>
    <x v="7"/>
    <n v="50"/>
    <n v="5004101"/>
    <s v="UNIDOCK'S ASSESSORIA E LOGISTICA DE"/>
    <n v="217.26"/>
    <d v="2025-08-14T00:00:00"/>
  </r>
  <r>
    <n v="254056329"/>
    <n v="64828388"/>
    <s v="REB"/>
    <n v="10149829"/>
    <n v="176"/>
    <s v="PEÇAS - Defeito de fabric./Interrompido"/>
    <s v="FUNCIONAL"/>
    <x v="1"/>
    <n v="3506"/>
    <s v="TECBRAS ASSISTENCIA TECNICA"/>
    <s v="SP"/>
    <n v="931"/>
    <s v="Ats Off"/>
    <n v="1350"/>
    <s v="W10700346"/>
    <s v="Placas de Controle"/>
    <x v="2"/>
    <n v="1"/>
    <n v="5004042"/>
    <s v="BRASIL WEB TRANSPORTES E LOGISTICA"/>
    <n v="139.32"/>
    <d v="2025-08-15T00:00:00"/>
  </r>
  <r>
    <s v="Sem TR"/>
    <n v="64828452"/>
    <s v="REB"/>
    <n v="10140753"/>
    <n v="173"/>
    <s v="PEÇAS - Defeito de fabric./Alta Amperage"/>
    <s v="FUNCIONAL"/>
    <x v="1"/>
    <n v="65059"/>
    <s v="REFRISSUL COMERCIO DE PECAS"/>
    <s v="SP"/>
    <n v="643"/>
    <s v="Elite"/>
    <n v="1350"/>
    <s v="W11300816"/>
    <s v="Mecanismos"/>
    <x v="4"/>
    <n v="10"/>
    <n v="5004042"/>
    <s v="BRASIL WEB TRANSPORTES E LOGISTICA"/>
    <n v="1263.8"/>
    <d v="2025-08-15T00:00:00"/>
  </r>
  <r>
    <s v="Sem TR"/>
    <n v="64828513"/>
    <s v="REB"/>
    <n v="10079860"/>
    <n v="173"/>
    <s v="PEÇAS - Defeito de fabric./Alta Amperage"/>
    <s v="FUNCIONAL"/>
    <x v="1"/>
    <n v="21330"/>
    <s v="REFRIEL COM DE PEÇAS REFRIG LTDA RE"/>
    <s v="PR"/>
    <n v="643"/>
    <s v="Elite"/>
    <n v="1350"/>
    <s v="W10678923"/>
    <s v="Placas de Controle"/>
    <x v="2"/>
    <n v="1"/>
    <n v="5003024"/>
    <s v="RODOBRAS TRANSPORTES RODOVIARIOS LT"/>
    <n v="60.24"/>
    <d v="2025-08-15T00:00:00"/>
  </r>
  <r>
    <n v="254061109"/>
    <n v="64828532"/>
    <s v="REB"/>
    <n v="9854111"/>
    <n v="178"/>
    <s v="PEÇAS -Defeito de fabric./Sem Compressão"/>
    <s v="FUNCIONAL"/>
    <x v="2"/>
    <n v="32455"/>
    <s v="FRIOSAMO REFRIGERACAO LTDA"/>
    <s v="SP"/>
    <n v="643"/>
    <s v="Elite"/>
    <n v="1350"/>
    <s v="W11647660"/>
    <s v="Compressores Herméticos"/>
    <x v="0"/>
    <n v="7"/>
    <n v="5004042"/>
    <s v="BRASIL WEB TRANSPORTES E LOGISTICA"/>
    <n v="2141.15"/>
    <d v="2025-08-15T00:00:00"/>
  </r>
  <r>
    <n v="254061157"/>
    <n v="64828533"/>
    <s v="REB"/>
    <n v="10115089"/>
    <n v="178"/>
    <s v="PEÇAS -Defeito de fabric./Sem Compressão"/>
    <s v="FUNCIONAL"/>
    <x v="1"/>
    <n v="67933"/>
    <s v="N. CALDEIRA LEMES EIRELI"/>
    <s v="GO"/>
    <n v="648"/>
    <s v="Ultra"/>
    <n v="1350"/>
    <s v="W11741179"/>
    <s v="Outros"/>
    <x v="5"/>
    <n v="1"/>
    <n v="5002858"/>
    <s v="FAVORITA TRANSPORTES LTDA"/>
    <n v="307.23"/>
    <d v="2025-08-15T00:00:00"/>
  </r>
  <r>
    <n v="254061196"/>
    <n v="64828591"/>
    <s v="REB"/>
    <n v="9559419"/>
    <n v="178"/>
    <s v="PEÇAS -Defeito de fabric./Sem Compressão"/>
    <s v="FUNCIONAL"/>
    <x v="2"/>
    <n v="85291"/>
    <s v="AZUL REFRIGERACAO LTDA"/>
    <s v="SP"/>
    <n v="648"/>
    <s v="Ultra"/>
    <n v="1350"/>
    <s v="W11133677"/>
    <s v="Compressores Herméticos"/>
    <x v="0"/>
    <n v="1"/>
    <n v="5004042"/>
    <s v="BRASIL WEB TRANSPORTES E LOGISTICA"/>
    <n v="493.09"/>
    <d v="2025-08-15T00:00:00"/>
  </r>
  <r>
    <s v="Sem TR"/>
    <n v="64828593"/>
    <s v="REB"/>
    <n v="10129279"/>
    <n v="173"/>
    <s v="PEÇAS - Defeito de fabric./Alta Amperage"/>
    <s v="FUNCIONAL"/>
    <x v="1"/>
    <n v="32023"/>
    <s v="REFRIBASSO COMERCIO DE PECAS"/>
    <s v="SP"/>
    <n v="643"/>
    <s v="Elite"/>
    <n v="1350"/>
    <s v="W10738949"/>
    <s v="Atuadores"/>
    <x v="4"/>
    <n v="10"/>
    <n v="5004042"/>
    <s v="BRASIL WEB TRANSPORTES E LOGISTICA"/>
    <n v="527.28"/>
    <d v="2025-08-15T00:00:00"/>
  </r>
  <r>
    <n v="254058136"/>
    <n v="64828608"/>
    <s v="REB"/>
    <n v="9518386"/>
    <n v="173"/>
    <s v="PEÇAS - Defeito de fabric./Alta Amperage"/>
    <s v="FUNCIONAL"/>
    <x v="1"/>
    <n v="40998"/>
    <s v="CALDEIRA E SANTOS LTDA M.E"/>
    <s v="GO"/>
    <n v="648"/>
    <s v="Ultra"/>
    <n v="1350"/>
    <s v="W10800267"/>
    <s v="Placas de Interface"/>
    <x v="2"/>
    <n v="1"/>
    <n v="5002858"/>
    <s v="FAVORITA TRANSPORTES LTDA"/>
    <n v="158.26"/>
    <d v="2025-08-14T00:00:00"/>
  </r>
  <r>
    <s v="Sem TR"/>
    <n v="64828629"/>
    <s v="ROB"/>
    <n v="10094549"/>
    <n v="25"/>
    <s v="OC. 80 - EXTRAVIO TOTAL"/>
    <s v="TRANSPORTADORA"/>
    <x v="2"/>
    <n v="84907"/>
    <s v="CEARA COMERCIO DE PECAS E REFRIGERA"/>
    <s v="MA"/>
    <n v="934"/>
    <s v="CDP Ouro"/>
    <n v="1350"/>
    <s v="W10779052"/>
    <s v="Mangueiras"/>
    <x v="6"/>
    <n v="16"/>
    <n v="5004101"/>
    <s v="UNIDOCK'S ASSESSORIA E LOGISTICA DE"/>
    <n v="76"/>
    <d v="2025-08-08T00:00:00"/>
  </r>
  <r>
    <s v="Sem TR"/>
    <n v="64828641"/>
    <s v="REB"/>
    <n v="10087887"/>
    <n v="173"/>
    <s v="PEÇAS - Defeito de fabric./Alta Amperage"/>
    <s v="FUNCIONAL"/>
    <x v="1"/>
    <n v="87707"/>
    <s v="REFRIGERA BRASIL CLIMATIZACAO E REF"/>
    <s v="BA"/>
    <n v="648"/>
    <s v="Ultra"/>
    <n v="1350"/>
    <s v="W11163349"/>
    <s v="Placas de Controle"/>
    <x v="2"/>
    <n v="1"/>
    <n v="5004101"/>
    <s v="UNIDOCK'S ASSESSORIA E LOGISTICA DE"/>
    <n v="70.03"/>
    <d v="2025-08-11T00:00:00"/>
  </r>
  <r>
    <s v="Sem TR"/>
    <n v="64828642"/>
    <s v="REB"/>
    <n v="9687585"/>
    <n v="178"/>
    <s v="PEÇAS -Defeito de fabric./Sem Compressão"/>
    <s v="FUNCIONAL"/>
    <x v="1"/>
    <n v="61675"/>
    <s v="BEAGA REFRIGERACAO LTDA"/>
    <s v="MG"/>
    <n v="643"/>
    <s v="Elite"/>
    <n v="1350"/>
    <s v="W11647662"/>
    <s v="Compressores Herméticos"/>
    <x v="0"/>
    <n v="1"/>
    <n v="5004215"/>
    <s v="BRASIL WEB TRANSPORTES E LOGISTICA"/>
    <n v="290.38"/>
    <d v="2025-08-11T00:00:00"/>
  </r>
  <r>
    <n v="254058175"/>
    <n v="64828693"/>
    <s v="REB"/>
    <n v="9415255"/>
    <n v="178"/>
    <s v="PEÇAS -Defeito de fabric./Sem Compressão"/>
    <s v="FUNCIONAL"/>
    <x v="2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23.9"/>
    <d v="2025-08-14T00:00:00"/>
  </r>
  <r>
    <s v="Sem TR"/>
    <n v="64828707"/>
    <s v="REB"/>
    <n v="9929787"/>
    <n v="178"/>
    <s v="PEÇAS -Defeito de fabric./Sem Compressão"/>
    <s v="FUNCIONAL"/>
    <x v="1"/>
    <n v="53319"/>
    <s v="PARTS FRIO DISTRIBUIDORA DE"/>
    <s v="PR"/>
    <n v="644"/>
    <s v="Plus"/>
    <n v="1350"/>
    <s v="W10798744"/>
    <s v="Compressores Herméticos"/>
    <x v="0"/>
    <n v="1"/>
    <n v="5003024"/>
    <s v="RODOBRAS TRANSPORTES RODOVIARIOS LT"/>
    <n v="325.38"/>
    <d v="2025-08-14T00:00:00"/>
  </r>
  <r>
    <n v="254058174"/>
    <n v="64828713"/>
    <s v="REB"/>
    <n v="9623828"/>
    <n v="178"/>
    <s v="PEÇAS -Defeito de fabric./Sem Compressão"/>
    <s v="FUNCIONAL"/>
    <x v="2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31.33"/>
    <d v="2025-08-14T00:00:00"/>
  </r>
  <r>
    <s v="Sem TR"/>
    <n v="64828777"/>
    <s v="REB"/>
    <n v="10030246"/>
    <n v="176"/>
    <s v="PEÇAS - Defeito de fabric./Interrompido"/>
    <s v="FUNCIONAL"/>
    <x v="1"/>
    <n v="13757"/>
    <s v="FRIGELAR COMÉRCIO E INDÚSTRIA LTDA"/>
    <s v="SP"/>
    <n v="713"/>
    <s v="Key Account"/>
    <n v="1350"/>
    <s v="W11299803"/>
    <s v="Mecanismos"/>
    <x v="4"/>
    <n v="3"/>
    <n v="5004042"/>
    <s v="BRASIL WEB TRANSPORTES E LOGISTICA"/>
    <n v="303.77999999999997"/>
    <d v="2025-08-14T00:00:00"/>
  </r>
  <r>
    <s v="Sem TR"/>
    <n v="64828777"/>
    <s v="REB"/>
    <n v="10030246"/>
    <n v="176"/>
    <s v="PEÇAS - Defeito de fabric./Interrompido"/>
    <s v="FUNCIONAL"/>
    <x v="1"/>
    <n v="13757"/>
    <s v="FRIGELAR COMÉRCIO E INDÚSTRIA LTDA"/>
    <s v="SP"/>
    <n v="713"/>
    <s v="Key Account"/>
    <n v="1350"/>
    <s v="W11300816"/>
    <s v="Mecanismos"/>
    <x v="4"/>
    <n v="5"/>
    <n v="5004042"/>
    <s v="BRASIL WEB TRANSPORTES E LOGISTICA"/>
    <n v="608.70000000000005"/>
    <d v="2025-08-14T00:00:00"/>
  </r>
  <r>
    <n v="254058151"/>
    <n v="6482877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s v="W10616687"/>
    <s v="Capas"/>
    <x v="3"/>
    <n v="3"/>
    <n v="5003024"/>
    <s v="RODOBRAS TRANSPORTES RODOVIARIOS LT"/>
    <n v="71.22"/>
    <d v="2025-08-14T00:00:00"/>
  </r>
  <r>
    <n v="254058151"/>
    <n v="6482877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s v="W10856154"/>
    <s v="Capas"/>
    <x v="3"/>
    <n v="1"/>
    <n v="5003024"/>
    <s v="RODOBRAS TRANSPORTES RODOVIARIOS LT"/>
    <n v="19.78"/>
    <d v="2025-08-14T00:00:00"/>
  </r>
  <r>
    <n v="254058151"/>
    <n v="6482877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s v="W10539793"/>
    <s v="Capas"/>
    <x v="3"/>
    <n v="2"/>
    <n v="5003024"/>
    <s v="RODOBRAS TRANSPORTES RODOVIARIOS LT"/>
    <n v="42.21"/>
    <d v="2025-08-14T00:00:00"/>
  </r>
  <r>
    <n v="254058151"/>
    <n v="6482877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s v="W10477178"/>
    <s v="Capas"/>
    <x v="3"/>
    <n v="3"/>
    <n v="5003024"/>
    <s v="RODOBRAS TRANSPORTES RODOVIARIOS LT"/>
    <n v="60.91"/>
    <d v="2025-08-14T00:00:00"/>
  </r>
  <r>
    <n v="254058151"/>
    <n v="6482877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s v="W10619463"/>
    <s v="Pressostatos"/>
    <x v="8"/>
    <n v="1"/>
    <n v="5003024"/>
    <s v="RODOBRAS TRANSPORTES RODOVIARIOS LT"/>
    <n v="27.87"/>
    <d v="2025-08-14T00:00:00"/>
  </r>
  <r>
    <n v="254058151"/>
    <n v="64828778"/>
    <s v="REB"/>
    <n v="10109101"/>
    <n v="168"/>
    <s v="PEÇAS-Def.Fabric.Empenamento/Abaulamento"/>
    <s v="FUNCIONAL"/>
    <x v="2"/>
    <n v="67948"/>
    <s v="REFRICRIL DISTRIBUIDORA DE AR REFRI"/>
    <s v="SC"/>
    <n v="713"/>
    <s v="Key Account"/>
    <n v="1350"/>
    <n v="326013733"/>
    <s v="Termostatos"/>
    <x v="8"/>
    <n v="1"/>
    <n v="5003024"/>
    <s v="RODOBRAS TRANSPORTES RODOVIARIOS LT"/>
    <n v="30.33"/>
    <d v="2025-08-14T00:00:00"/>
  </r>
  <r>
    <s v="Sem TR"/>
    <n v="64828975"/>
    <s v="REB"/>
    <n v="10114110"/>
    <n v="176"/>
    <s v="PEÇAS - Defeito de fabric./Interrompido"/>
    <s v="FUNCIONAL"/>
    <x v="1"/>
    <n v="5011"/>
    <s v="GIANI PECAS E SERVICOS PARA"/>
    <s v="RS"/>
    <n v="350"/>
    <s v="Ats On"/>
    <n v="1350"/>
    <s v="W10388222"/>
    <s v="Compressores Herméticos"/>
    <x v="0"/>
    <n v="1"/>
    <n v="5003024"/>
    <s v="RODOBRAS TRANSPORTES RODOVIARIOS LT"/>
    <n v="660.59"/>
    <d v="2025-08-09T00:00:00"/>
  </r>
  <r>
    <s v="Sem TR"/>
    <n v="64829026"/>
    <s v="REB"/>
    <n v="10034792"/>
    <n v="176"/>
    <s v="PEÇAS - Defeito de fabric./Interrompido"/>
    <s v="FUNCIONAL"/>
    <x v="1"/>
    <n v="48722"/>
    <s v="BUENO SERVICE PECAS"/>
    <s v="SP"/>
    <n v="350"/>
    <s v="Ats On"/>
    <n v="1350"/>
    <s v="W10806305"/>
    <s v="Placas de Controle"/>
    <x v="2"/>
    <n v="1"/>
    <n v="5004042"/>
    <s v="BRASIL WEB TRANSPORTES E LOGISTICA"/>
    <n v="286.36"/>
    <d v="2025-08-09T00:00:00"/>
  </r>
  <r>
    <s v="Sem TR"/>
    <n v="64829026"/>
    <s v="REB"/>
    <n v="10034792"/>
    <n v="176"/>
    <s v="PEÇAS - Defeito de fabric./Interrompido"/>
    <s v="FUNCIONAL"/>
    <x v="1"/>
    <n v="48722"/>
    <s v="BUENO SERVICE PECAS"/>
    <s v="SP"/>
    <n v="350"/>
    <s v="Ats On"/>
    <n v="1350"/>
    <n v="326075625"/>
    <s v="Placas de Controle"/>
    <x v="2"/>
    <n v="1"/>
    <n v="5004042"/>
    <s v="BRASIL WEB TRANSPORTES E LOGISTICA"/>
    <n v="174.73"/>
    <d v="2025-08-09T00:00:00"/>
  </r>
  <r>
    <s v="Sem TR"/>
    <n v="64829027"/>
    <s v="REB"/>
    <n v="10039824"/>
    <n v="176"/>
    <s v="PEÇAS - Defeito de fabric./Interrompido"/>
    <s v="FUNCIONAL"/>
    <x v="1"/>
    <n v="48722"/>
    <s v="BUENO SERVICE PECAS"/>
    <s v="SP"/>
    <n v="350"/>
    <s v="Ats On"/>
    <n v="1350"/>
    <n v="326075625"/>
    <s v="Placas de Controle"/>
    <x v="2"/>
    <n v="1"/>
    <n v="5004042"/>
    <s v="BRASIL WEB TRANSPORTES E LOGISTICA"/>
    <n v="174.73"/>
    <d v="2025-08-09T00:00:00"/>
  </r>
  <r>
    <n v="254061072"/>
    <n v="64829046"/>
    <s v="REB"/>
    <n v="10160761"/>
    <n v="176"/>
    <s v="PEÇAS - Defeito de fabric./Interrompido"/>
    <s v="FUNCIONAL"/>
    <x v="2"/>
    <n v="24089"/>
    <s v="REVOLUTION COMERCIO E SERV"/>
    <s v="RJ"/>
    <n v="931"/>
    <s v="Ats Off"/>
    <n v="1350"/>
    <n v="326073242"/>
    <s v="Placas de Controle"/>
    <x v="2"/>
    <n v="1"/>
    <n v="5003176"/>
    <s v="J C THEDIN TRANSPORTES LTDA"/>
    <n v="140.63999999999999"/>
    <d v="2025-08-15T00:00:00"/>
  </r>
  <r>
    <n v="254054226"/>
    <n v="64829085"/>
    <s v="REB"/>
    <n v="10146374"/>
    <n v="176"/>
    <s v="PEÇAS - Defeito de fabric./Interrompido"/>
    <s v="FUNCIONAL"/>
    <x v="2"/>
    <n v="31063"/>
    <s v="ELETROFRIGOR PECAS LTDA ME"/>
    <s v="RJ"/>
    <n v="644"/>
    <s v="Plus"/>
    <n v="1350"/>
    <s v="W10678923"/>
    <s v="Placas de Controle"/>
    <x v="2"/>
    <n v="1"/>
    <n v="5003176"/>
    <s v="J C THEDIN TRANSPORTES LTDA"/>
    <n v="50.45"/>
    <d v="2025-08-11T00:00:00"/>
  </r>
  <r>
    <s v="Sem TR"/>
    <n v="64829126"/>
    <s v="REB"/>
    <n v="9988824"/>
    <n v="173"/>
    <s v="PEÇAS - Defeito de fabric./Alta Amperage"/>
    <s v="FUNCIONAL"/>
    <x v="1"/>
    <n v="87707"/>
    <s v="REFRIGERA BRASIL CLIMATIZACAO E REF"/>
    <s v="BA"/>
    <n v="648"/>
    <s v="Ultra"/>
    <n v="1350"/>
    <s v="W11482941"/>
    <s v="Placas de Controle"/>
    <x v="2"/>
    <n v="1"/>
    <n v="5004101"/>
    <s v="UNIDOCK'S ASSESSORIA E LOGISTICA DE"/>
    <n v="190.98"/>
    <d v="2025-08-15T00:00:00"/>
  </r>
  <r>
    <n v="254059893"/>
    <n v="64829132"/>
    <s v="REB"/>
    <n v="10058852"/>
    <n v="176"/>
    <s v="PEÇAS - Defeito de fabric./Interrompido"/>
    <s v="FUNCIONAL"/>
    <x v="2"/>
    <n v="13757"/>
    <s v="FRIGELAR COMÉRCIO E INDÚSTRIA LTDA"/>
    <s v="SP"/>
    <n v="713"/>
    <s v="Key Account"/>
    <n v="1350"/>
    <s v="W11364875"/>
    <s v="Válvulas de Água"/>
    <x v="6"/>
    <n v="1"/>
    <n v="5004042"/>
    <s v="BRASIL WEB TRANSPORTES E LOGISTICA"/>
    <n v="30.24"/>
    <d v="2025-08-14T00:00:00"/>
  </r>
  <r>
    <n v="254058158"/>
    <n v="64829133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s v="Sem TR"/>
    <n v="64829143"/>
    <s v="REB"/>
    <n v="9880861"/>
    <n v="173"/>
    <s v="PEÇAS - Defeito de fabric./Alta Amperage"/>
    <s v="FUNCIONAL"/>
    <x v="1"/>
    <n v="31000"/>
    <s v="RITA DE CASSIA MESQUITA OLIVEIRA"/>
    <s v="CE"/>
    <n v="350"/>
    <s v="Ats On"/>
    <n v="1350"/>
    <s v="W11581054"/>
    <s v="Placas de Controle"/>
    <x v="2"/>
    <n v="1"/>
    <n v="5004101"/>
    <s v="UNIDOCK'S ASSESSORIA E LOGISTICA DE"/>
    <n v="140.94"/>
    <d v="2025-08-14T00:00:00"/>
  </r>
  <r>
    <n v="254058171"/>
    <n v="64829146"/>
    <s v="REB"/>
    <n v="9685290"/>
    <n v="178"/>
    <s v="PEÇAS -Defeito de fabric./Sem Compressão"/>
    <s v="FUNCIONAL"/>
    <x v="2"/>
    <n v="81459"/>
    <s v="REFRIGERACAO GM EIRELI"/>
    <s v="SP"/>
    <n v="648"/>
    <s v="Ultra"/>
    <n v="1350"/>
    <s v="W11375485"/>
    <s v="Compressores Herméticos"/>
    <x v="0"/>
    <n v="1"/>
    <n v="5004042"/>
    <s v="BRASIL WEB TRANSPORTES E LOGISTICA"/>
    <n v="463.89"/>
    <d v="2025-08-14T00:00:00"/>
  </r>
  <r>
    <n v="254058172"/>
    <n v="64829162"/>
    <s v="REB"/>
    <n v="9676055"/>
    <n v="178"/>
    <s v="PEÇAS -Defeito de fabric./Sem Compressão"/>
    <s v="FUNCIONAL"/>
    <x v="2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6.05"/>
    <d v="2025-08-14T00:00:00"/>
  </r>
  <r>
    <n v="254058143"/>
    <n v="64829171"/>
    <s v="REB"/>
    <n v="10032242"/>
    <n v="176"/>
    <s v="PEÇAS - Defeito de fabric./Interrompido"/>
    <s v="FUNCIONAL"/>
    <x v="2"/>
    <n v="59011"/>
    <s v="H D CASTELAO EIRELI - EPP"/>
    <s v="SP"/>
    <n v="648"/>
    <s v="Ultra"/>
    <n v="1350"/>
    <s v="W11245250"/>
    <s v="Válvulas de Água"/>
    <x v="6"/>
    <n v="1"/>
    <n v="5004042"/>
    <s v="BRASIL WEB TRANSPORTES E LOGISTICA"/>
    <n v="54.65"/>
    <d v="2025-08-14T00:00:00"/>
  </r>
  <r>
    <n v="254056511"/>
    <n v="64829222"/>
    <s v="REB"/>
    <n v="9819598"/>
    <n v="176"/>
    <s v="PEÇAS - Defeito de fabric./Interrompido"/>
    <s v="FUNCIONAL"/>
    <x v="2"/>
    <n v="83098"/>
    <s v="EXPRESSO REFRIGERACAO LTDA"/>
    <s v="PE"/>
    <n v="934"/>
    <s v="CDP Ouro"/>
    <n v="1350"/>
    <s v="W10678919"/>
    <s v="Placas de Controle"/>
    <x v="2"/>
    <n v="1"/>
    <n v="5004101"/>
    <s v="UNIDOCK'S ASSESSORIA E LOGISTICA DE"/>
    <n v="70.900000000000006"/>
    <d v="2025-08-15T00:00:00"/>
  </r>
  <r>
    <n v="254054288"/>
    <n v="64829307"/>
    <s v="REB"/>
    <n v="9819598"/>
    <n v="176"/>
    <s v="PEÇAS - Defeito de fabric./Interrompido"/>
    <s v="FUNCIONAL"/>
    <x v="2"/>
    <n v="83098"/>
    <s v="EXPRESSO REFRIGERACAO LTDA"/>
    <s v="PE"/>
    <n v="934"/>
    <s v="CDP Ouro"/>
    <n v="1350"/>
    <s v="W10678919"/>
    <s v="Placas de Controle"/>
    <x v="2"/>
    <n v="1"/>
    <n v="5004101"/>
    <s v="UNIDOCK'S ASSESSORIA E LOGISTICA DE"/>
    <n v="70.900000000000006"/>
    <d v="2025-08-11T00:00:00"/>
  </r>
  <r>
    <n v="254058151"/>
    <n v="64829332"/>
    <s v="REB"/>
    <n v="10109048"/>
    <n v="168"/>
    <s v="PEÇAS-Def.Fabric.Empenamento/Abaulamento"/>
    <s v="FUNCIONAL"/>
    <x v="2"/>
    <n v="67948"/>
    <s v="REFRICRIL DISTRIBUIDORA DE AR REFRI"/>
    <s v="SC"/>
    <n v="713"/>
    <s v="Key Account"/>
    <n v="1350"/>
    <n v="326051022"/>
    <s v="Capas"/>
    <x v="3"/>
    <n v="1"/>
    <n v="5003024"/>
    <s v="RODOBRAS TRANSPORTES RODOVIARIOS LT"/>
    <n v="39.53"/>
    <d v="2025-08-14T00:00:00"/>
  </r>
  <r>
    <n v="254058179"/>
    <n v="64829333"/>
    <s v="REB"/>
    <n v="10092644"/>
    <n v="176"/>
    <s v="PEÇAS - Defeito de fabric./Interrompido"/>
    <s v="FUNCIONAL"/>
    <x v="2"/>
    <n v="85128"/>
    <s v="FACOTEC COMERCIO E PRESTACAO DE"/>
    <s v="SP"/>
    <n v="932"/>
    <s v="CDP Prata"/>
    <n v="1350"/>
    <s v="W10518616"/>
    <s v="Atuadores"/>
    <x v="4"/>
    <n v="1"/>
    <n v="5004042"/>
    <s v="BRASIL WEB TRANSPORTES E LOGISTICA"/>
    <n v="38.17"/>
    <d v="2025-08-14T00:00:00"/>
  </r>
  <r>
    <n v="254058174"/>
    <n v="64829337"/>
    <s v="REB"/>
    <n v="9606901"/>
    <n v="178"/>
    <s v="PEÇAS -Defeito de fabric./Sem Compressão"/>
    <s v="FUNCIONAL"/>
    <x v="2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6.05"/>
    <d v="2025-08-14T00:00:00"/>
  </r>
  <r>
    <s v="Sem TR"/>
    <n v="64829372"/>
    <s v="REB"/>
    <n v="10152071"/>
    <n v="90"/>
    <s v="CLIENTE-não solicitou"/>
    <s v="COMERCIAL"/>
    <x v="1"/>
    <n v="31883"/>
    <s v="LIMEIRA-SERVICE REFRIGERACAO LTDA"/>
    <s v="SP"/>
    <n v="350"/>
    <s v="Ats On"/>
    <n v="1350"/>
    <s v="W10296410"/>
    <s v="Painéis de Controle"/>
    <x v="3"/>
    <n v="1"/>
    <n v="5004042"/>
    <s v="BRASIL WEB TRANSPORTES E LOGISTICA"/>
    <n v="58.75"/>
    <d v="2025-08-14T00:00:00"/>
  </r>
  <r>
    <s v="Sem TR"/>
    <n v="64829372"/>
    <s v="REB"/>
    <n v="10152071"/>
    <n v="90"/>
    <s v="CLIENTE-não solicitou"/>
    <s v="COMERCIAL"/>
    <x v="1"/>
    <n v="31883"/>
    <s v="LIMEIRA-SERVICE REFRIGERACAO LTDA"/>
    <s v="SP"/>
    <n v="350"/>
    <s v="Ats On"/>
    <n v="1350"/>
    <s v="W10296414"/>
    <s v="Painéis Decorativos"/>
    <x v="3"/>
    <n v="1"/>
    <n v="5004042"/>
    <s v="BRASIL WEB TRANSPORTES E LOGISTICA"/>
    <n v="44.69"/>
    <d v="2025-08-14T00:00:00"/>
  </r>
  <r>
    <n v="254054166"/>
    <n v="64829398"/>
    <s v="REB"/>
    <n v="9902914"/>
    <n v="173"/>
    <s v="PEÇAS - Defeito de fabric./Alta Amperage"/>
    <s v="FUNCIONAL"/>
    <x v="2"/>
    <n v="4167"/>
    <s v="MAQ VILLE PECAS E SERVICOS LTDA"/>
    <s v="SP"/>
    <n v="931"/>
    <s v="Ats Off"/>
    <n v="1350"/>
    <s v="W10364740"/>
    <s v="Placas de Interface"/>
    <x v="2"/>
    <n v="1"/>
    <n v="5004042"/>
    <s v="BRASIL WEB TRANSPORTES E LOGISTICA"/>
    <n v="57.48"/>
    <d v="2025-08-11T00:00:00"/>
  </r>
  <r>
    <n v="254058133"/>
    <n v="64829456"/>
    <s v="REB"/>
    <n v="10122640"/>
    <n v="167"/>
    <s v="PEÇAS - Avaria - Quebrada/Depósito"/>
    <s v="LOGÍSTICA"/>
    <x v="2"/>
    <n v="33403"/>
    <s v="J N SOARES REFRIGERACAO - ME"/>
    <s v="RN"/>
    <n v="648"/>
    <s v="Ultra"/>
    <n v="1350"/>
    <s v="W10347206"/>
    <s v="Prateleiras"/>
    <x v="1"/>
    <n v="1"/>
    <n v="5004101"/>
    <s v="UNIDOCK'S ASSESSORIA E LOGISTICA DE"/>
    <n v="75.98"/>
    <d v="2025-08-14T00:00:00"/>
  </r>
  <r>
    <n v="254058039"/>
    <n v="64829457"/>
    <s v="REB"/>
    <n v="10143579"/>
    <n v="167"/>
    <s v="PEÇAS - Avaria - Quebrada/Depósito"/>
    <s v="LOGÍSTICA"/>
    <x v="1"/>
    <n v="54465"/>
    <s v="LCB COMERCIO E SERVICOS"/>
    <s v="SP"/>
    <n v="644"/>
    <s v="Plus"/>
    <n v="1350"/>
    <s v="W10287524"/>
    <s v="Prateleiras"/>
    <x v="1"/>
    <n v="2"/>
    <n v="5004042"/>
    <s v="BRASIL WEB TRANSPORTES E LOGISTICA"/>
    <n v="77.010000000000005"/>
    <d v="2025-08-14T00:00:00"/>
  </r>
  <r>
    <s v="Sem TR"/>
    <n v="64829460"/>
    <s v="REB"/>
    <n v="9878920"/>
    <n v="173"/>
    <s v="PEÇAS - Defeito de fabric./Alta Amperage"/>
    <s v="FUNCIONAL"/>
    <x v="1"/>
    <n v="69578"/>
    <s v="ASPEN REFRIGERACAO"/>
    <s v="MG"/>
    <n v="933"/>
    <s v="Top"/>
    <n v="1350"/>
    <s v="W10399715"/>
    <s v="Motores Ventiladores"/>
    <x v="2"/>
    <n v="1"/>
    <n v="5004215"/>
    <s v="BRASIL WEB TRANSPORTES E LOGISTICA"/>
    <n v="48.28"/>
    <d v="2025-08-11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n v="326000516"/>
    <s v="Tirantes"/>
    <x v="11"/>
    <n v="500"/>
    <n v="5002858"/>
    <s v="FAVORITA TRANSPORTES LTDA"/>
    <n v="559.73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n v="326054047"/>
    <s v="Suportes"/>
    <x v="3"/>
    <n v="12"/>
    <n v="5002858"/>
    <s v="FAVORITA TRANSPORTES LTDA"/>
    <n v="288.69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169464"/>
    <s v="Defletores/Difusores"/>
    <x v="6"/>
    <n v="12"/>
    <n v="5002858"/>
    <s v="FAVORITA TRANSPORTES LTDA"/>
    <n v="251.55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181250"/>
    <s v="Polias/Roldanas"/>
    <x v="4"/>
    <n v="40"/>
    <n v="5002858"/>
    <s v="FAVORITA TRANSPORTES LTDA"/>
    <n v="611.87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413648"/>
    <s v="Suportes"/>
    <x v="3"/>
    <n v="20"/>
    <n v="5002858"/>
    <s v="FAVORITA TRANSPORTES LTDA"/>
    <n v="309.39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467328"/>
    <s v="Válvulas de Água"/>
    <x v="6"/>
    <n v="20"/>
    <n v="5002858"/>
    <s v="FAVORITA TRANSPORTES LTDA"/>
    <n v="1103.5999999999999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606115"/>
    <s v="Polias/Roldanas"/>
    <x v="4"/>
    <n v="20"/>
    <n v="5002858"/>
    <s v="FAVORITA TRANSPORTES LTDA"/>
    <n v="254.62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616687"/>
    <s v="Capas"/>
    <x v="3"/>
    <n v="20"/>
    <n v="5002858"/>
    <s v="FAVORITA TRANSPORTES LTDA"/>
    <n v="499.14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646480"/>
    <s v="Painéis de Controle"/>
    <x v="3"/>
    <n v="5"/>
    <n v="5002858"/>
    <s v="FAVORITA TRANSPORTES LTDA"/>
    <n v="197.69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849470"/>
    <s v="Bombas"/>
    <x v="2"/>
    <n v="40"/>
    <n v="5002858"/>
    <s v="FAVORITA TRANSPORTES LTDA"/>
    <n v="1101.06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0863659"/>
    <s v="Placas de Controle"/>
    <x v="2"/>
    <n v="3"/>
    <n v="5002858"/>
    <s v="FAVORITA TRANSPORTES LTDA"/>
    <n v="757.95"/>
    <d v="2025-08-15T00:00:00"/>
  </r>
  <r>
    <n v="254056485"/>
    <n v="64829462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1091875"/>
    <s v="Termostatos"/>
    <x v="8"/>
    <n v="1"/>
    <n v="5002858"/>
    <s v="FAVORITA TRANSPORTES LTDA"/>
    <n v="53.66"/>
    <d v="2025-08-15T00:00:00"/>
  </r>
  <r>
    <n v="254056501"/>
    <n v="64829463"/>
    <s v="REB"/>
    <n v="9789042"/>
    <n v="178"/>
    <s v="PEÇAS -Defeito de fabric./Sem Compressão"/>
    <s v="FUNCIONAL"/>
    <x v="2"/>
    <n v="76236"/>
    <s v="LEANDRO RICARDO LEITE"/>
    <s v="SP"/>
    <n v="641"/>
    <s v="CDP Diamante"/>
    <n v="1350"/>
    <s v="W10799397"/>
    <s v="Compressores Herméticos"/>
    <x v="0"/>
    <n v="1"/>
    <n v="5004042"/>
    <s v="BRASIL WEB TRANSPORTES E LOGISTICA"/>
    <n v="355.04"/>
    <d v="2025-08-15T00:00:00"/>
  </r>
  <r>
    <s v="Sem TR"/>
    <n v="64829466"/>
    <s v="REB"/>
    <n v="10129264"/>
    <n v="173"/>
    <s v="PEÇAS - Defeito de fabric./Alta Amperage"/>
    <s v="FUNCIONAL"/>
    <x v="1"/>
    <n v="29374"/>
    <s v="MARINEIDE FELIX BARBOSA - ME"/>
    <s v="SP"/>
    <n v="643"/>
    <s v="Elite"/>
    <n v="1350"/>
    <n v="326061171"/>
    <s v="Placas de Controle"/>
    <x v="2"/>
    <n v="30"/>
    <n v="5004042"/>
    <s v="BRASIL WEB TRANSPORTES E LOGISTICA"/>
    <n v="8364.2999999999993"/>
    <d v="2025-08-15T00:00:00"/>
  </r>
  <r>
    <n v="254058161"/>
    <n v="64829500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1833"/>
    <n v="64829526"/>
    <s v="ROB"/>
    <n v="10147913"/>
    <n v="184"/>
    <s v="PEÇAS - Emissão de Nota Fiscal Errada"/>
    <s v="LOGÍSTICA"/>
    <x v="2"/>
    <n v="43556"/>
    <s v="LUSIMAR GOMES DA SILVA"/>
    <s v="PI"/>
    <n v="350"/>
    <s v="Ats On"/>
    <n v="1350"/>
    <n v="326030548"/>
    <s v="Portas"/>
    <x v="3"/>
    <n v="1"/>
    <n v="5004101"/>
    <s v="UNIDOCK'S ASSESSORIA E LOGISTICA DE"/>
    <n v="30.35"/>
    <d v="2025-08-11T00:00:00"/>
  </r>
  <r>
    <n v="254051833"/>
    <n v="64829526"/>
    <s v="ROB"/>
    <n v="10147913"/>
    <n v="184"/>
    <s v="PEÇAS - Emissão de Nota Fiscal Errada"/>
    <s v="LOGÍSTICA"/>
    <x v="2"/>
    <n v="43556"/>
    <s v="LUSIMAR GOMES DA SILVA"/>
    <s v="PI"/>
    <n v="350"/>
    <s v="Ats On"/>
    <n v="1350"/>
    <s v="W10589007"/>
    <s v="Manípulos"/>
    <x v="3"/>
    <n v="5"/>
    <n v="5004101"/>
    <s v="UNIDOCK'S ASSESSORIA E LOGISTICA DE"/>
    <n v="24.15"/>
    <d v="2025-08-11T00:00:00"/>
  </r>
  <r>
    <n v="254051833"/>
    <n v="64829526"/>
    <s v="ROB"/>
    <n v="10147913"/>
    <n v="184"/>
    <s v="PEÇAS - Emissão de Nota Fiscal Errada"/>
    <s v="LOGÍSTICA"/>
    <x v="2"/>
    <n v="43556"/>
    <s v="LUSIMAR GOMES DA SILVA"/>
    <s v="PI"/>
    <n v="350"/>
    <s v="Ats On"/>
    <n v="1350"/>
    <s v="W11225454"/>
    <s v="Tampas Móveis"/>
    <x v="3"/>
    <n v="1"/>
    <n v="5004101"/>
    <s v="UNIDOCK'S ASSESSORIA E LOGISTICA DE"/>
    <n v="156.22999999999999"/>
    <d v="2025-08-11T00:00:00"/>
  </r>
  <r>
    <n v="254061126"/>
    <n v="64829533"/>
    <s v="REB"/>
    <n v="9030600"/>
    <n v="178"/>
    <s v="PEÇAS -Defeito de fabric./Sem Compressão"/>
    <s v="FUNCIONAL"/>
    <x v="2"/>
    <n v="49243"/>
    <s v="IVANILSON INACIO DA SILVA - ME"/>
    <s v="MS"/>
    <n v="643"/>
    <s v="Elite"/>
    <n v="1350"/>
    <s v="W10798744"/>
    <s v="Compressores Herméticos"/>
    <x v="0"/>
    <n v="1"/>
    <n v="5002573"/>
    <s v="CARVALIMA TRANSPORTES LTDA"/>
    <n v="314.51"/>
    <d v="2025-08-15T00:00:00"/>
  </r>
  <r>
    <s v="Sem TR"/>
    <n v="64829576"/>
    <s v="REB"/>
    <n v="10080610"/>
    <n v="173"/>
    <s v="PEÇAS - Defeito de fabric./Alta Amperage"/>
    <s v="FUNCIONAL"/>
    <x v="1"/>
    <n v="87707"/>
    <s v="REFRIGERA BRASIL CLIMATIZACAO E REF"/>
    <s v="BA"/>
    <n v="648"/>
    <s v="Ultra"/>
    <n v="1350"/>
    <n v="326061171"/>
    <s v="Placas de Controle"/>
    <x v="2"/>
    <n v="1"/>
    <n v="5004101"/>
    <s v="UNIDOCK'S ASSESSORIA E LOGISTICA DE"/>
    <n v="265.93"/>
    <d v="2025-08-11T00:00:00"/>
  </r>
  <r>
    <n v="254056179"/>
    <n v="64829602"/>
    <s v="REB"/>
    <n v="10154258"/>
    <n v="176"/>
    <s v="PEÇAS - Defeito de fabric./Interrompido"/>
    <s v="FUNCIONAL"/>
    <x v="1"/>
    <n v="3506"/>
    <s v="TECBRAS ASSISTENCIA TECNICA"/>
    <s v="SP"/>
    <n v="931"/>
    <s v="Ats Off"/>
    <n v="1350"/>
    <n v="326073245"/>
    <s v="Motores Ventiladores"/>
    <x v="2"/>
    <n v="1"/>
    <n v="5004042"/>
    <s v="BRASIL WEB TRANSPORTES E LOGISTICA"/>
    <n v="79.430000000000007"/>
    <d v="2025-08-11T00:00:00"/>
  </r>
  <r>
    <n v="254058122"/>
    <n v="64829611"/>
    <s v="REB"/>
    <n v="10109113"/>
    <n v="104"/>
    <s v="PEÇAS-Código trocado(embalag X conteúdo)"/>
    <s v="LOGÍSTICA"/>
    <x v="1"/>
    <n v="28181"/>
    <s v="COMERCIAL DE PEÇAS PARA REFRIG MF"/>
    <s v="GO"/>
    <n v="643"/>
    <s v="Elite"/>
    <n v="1350"/>
    <s v="W10211808"/>
    <s v="Evaporadores"/>
    <x v="0"/>
    <n v="1"/>
    <n v="5002858"/>
    <s v="FAVORITA TRANSPORTES LTDA"/>
    <n v="133.86000000000001"/>
    <d v="2025-08-14T00:00:00"/>
  </r>
  <r>
    <n v="254058164"/>
    <n v="64829612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8129"/>
    <n v="64829617"/>
    <s v="REB"/>
    <n v="9914970"/>
    <n v="167"/>
    <s v="PEÇAS - Avaria - Quebrada/Depósito"/>
    <s v="LOGÍSTICA"/>
    <x v="2"/>
    <n v="31063"/>
    <s v="ELETROFRIGOR PECAS LTDA ME"/>
    <s v="RJ"/>
    <n v="644"/>
    <s v="Plus"/>
    <n v="1350"/>
    <s v="W10728957"/>
    <s v="Condensadores"/>
    <x v="0"/>
    <n v="1"/>
    <n v="5003176"/>
    <s v="J C THEDIN TRANSPORTES LTDA"/>
    <n v="238.24"/>
    <d v="2025-08-14T00:00:00"/>
  </r>
  <r>
    <n v="254058169"/>
    <n v="64829618"/>
    <s v="REB"/>
    <n v="10124618"/>
    <n v="173"/>
    <s v="PEÇAS - Defeito de fabric./Alta Amperage"/>
    <s v="FUNCIONAL"/>
    <x v="2"/>
    <n v="80833"/>
    <s v="REFRISELL COMERCIO DE EQUIPAMENTOS"/>
    <s v="PR"/>
    <n v="644"/>
    <s v="Plus"/>
    <n v="1350"/>
    <s v="W11300816"/>
    <s v="Mecanismos"/>
    <x v="4"/>
    <n v="1"/>
    <n v="5003024"/>
    <s v="RODOBRAS TRANSPORTES RODOVIARIOS LT"/>
    <n v="128.09"/>
    <d v="2025-08-14T00:00:00"/>
  </r>
  <r>
    <n v="254058113"/>
    <n v="64829622"/>
    <s v="REB"/>
    <n v="10137986"/>
    <n v="90"/>
    <s v="CLIENTE-não solicitou"/>
    <s v="COMERCIAL"/>
    <x v="1"/>
    <n v="3649"/>
    <s v="A ORIGINAL SERVICE PECAS"/>
    <s v="SP"/>
    <n v="350"/>
    <s v="Ats On"/>
    <n v="1350"/>
    <s v="W11344924"/>
    <s v="Painéis de Controle"/>
    <x v="3"/>
    <n v="1"/>
    <n v="5004042"/>
    <s v="BRASIL WEB TRANSPORTES E LOGISTICA"/>
    <n v="442.92"/>
    <d v="2025-08-14T00:00:00"/>
  </r>
  <r>
    <n v="254054166"/>
    <n v="64829683"/>
    <s v="REB"/>
    <n v="9963473"/>
    <n v="173"/>
    <s v="PEÇAS - Defeito de fabric./Alta Amperage"/>
    <s v="FUNCIONAL"/>
    <x v="2"/>
    <n v="4167"/>
    <s v="MAQ VILLE PECAS E SERVICOS LTDA"/>
    <s v="SP"/>
    <n v="931"/>
    <s v="Ats Off"/>
    <n v="1350"/>
    <s v="W10837074"/>
    <s v="Bombas"/>
    <x v="2"/>
    <n v="1"/>
    <n v="5004042"/>
    <s v="BRASIL WEB TRANSPORTES E LOGISTICA"/>
    <n v="124.42"/>
    <d v="2025-08-11T00:00:00"/>
  </r>
  <r>
    <n v="254054167"/>
    <n v="64829703"/>
    <s v="REB"/>
    <n v="9902914"/>
    <n v="173"/>
    <s v="PEÇAS - Defeito de fabric./Alta Amperage"/>
    <s v="FUNCIONAL"/>
    <x v="2"/>
    <n v="4167"/>
    <s v="MAQ VILLE PECAS E SERVICOS LTDA"/>
    <s v="SP"/>
    <n v="931"/>
    <s v="Ats Off"/>
    <n v="1350"/>
    <s v="W11435390"/>
    <s v="Placas de Controle"/>
    <x v="2"/>
    <n v="1"/>
    <n v="5004042"/>
    <s v="BRASIL WEB TRANSPORTES E LOGISTICA"/>
    <n v="368.47"/>
    <d v="2025-08-11T00:00:00"/>
  </r>
  <r>
    <n v="254054223"/>
    <n v="64829712"/>
    <s v="REB"/>
    <n v="10058369"/>
    <n v="176"/>
    <s v="PEÇAS - Defeito de fabric./Interrompido"/>
    <s v="FUNCIONAL"/>
    <x v="2"/>
    <n v="30847"/>
    <s v="PARANAGUA FRIO REFRIGERACAO LTDA"/>
    <s v="SP"/>
    <n v="644"/>
    <s v="Plus"/>
    <n v="1350"/>
    <s v="W11415294"/>
    <s v="Placas de Controle"/>
    <x v="2"/>
    <n v="2"/>
    <n v="5004042"/>
    <s v="BRASIL WEB TRANSPORTES E LOGISTICA"/>
    <n v="572.98"/>
    <d v="2025-08-11T00:00:00"/>
  </r>
  <r>
    <n v="254054166"/>
    <n v="64829721"/>
    <s v="REB"/>
    <n v="9984619"/>
    <n v="173"/>
    <s v="PEÇAS - Defeito de fabric./Alta Amperage"/>
    <s v="FUNCIONAL"/>
    <x v="2"/>
    <n v="4167"/>
    <s v="MAQ VILLE PECAS E SERVICOS LTDA"/>
    <s v="SP"/>
    <n v="931"/>
    <s v="Ats Off"/>
    <n v="1350"/>
    <s v="W11199201"/>
    <s v="Placas de Controle"/>
    <x v="2"/>
    <n v="1"/>
    <n v="5004042"/>
    <s v="BRASIL WEB TRANSPORTES E LOGISTICA"/>
    <n v="304.31"/>
    <d v="2025-08-11T00:00:00"/>
  </r>
  <r>
    <n v="254054185"/>
    <n v="64829736"/>
    <s v="REB"/>
    <n v="10096720"/>
    <n v="173"/>
    <s v="PEÇAS - Defeito de fabric./Alta Amperage"/>
    <s v="FUNCIONAL"/>
    <x v="2"/>
    <n v="14474"/>
    <s v="NATAL SERVICE LTDA N"/>
    <s v="RN"/>
    <n v="648"/>
    <s v="Ultra"/>
    <n v="1350"/>
    <s v="W11435392"/>
    <s v="Placas de Controle"/>
    <x v="2"/>
    <n v="1"/>
    <n v="5004101"/>
    <s v="UNIDOCK'S ASSESSORIA E LOGISTICA DE"/>
    <n v="296.99"/>
    <d v="2025-08-11T00:00:00"/>
  </r>
  <r>
    <n v="254054206"/>
    <n v="64829737"/>
    <s v="REB"/>
    <n v="10015689"/>
    <n v="178"/>
    <s v="PEÇAS -Defeito de fabric./Sem Compressão"/>
    <s v="FUNCIONAL"/>
    <x v="2"/>
    <n v="29164"/>
    <s v="BRASTEMAK REFRIGERACAO LTDA"/>
    <s v="BA"/>
    <n v="648"/>
    <s v="Ultra"/>
    <n v="1350"/>
    <s v="W11516471"/>
    <s v="Compressores Herméticos"/>
    <x v="0"/>
    <n v="1"/>
    <n v="5004101"/>
    <s v="UNIDOCK'S ASSESSORIA E LOGISTICA DE"/>
    <n v="361.13"/>
    <d v="2025-08-11T00:00:00"/>
  </r>
  <r>
    <n v="254056179"/>
    <n v="64829788"/>
    <s v="REB"/>
    <n v="10125669"/>
    <n v="176"/>
    <s v="PEÇAS - Defeito de fabric./Interrompido"/>
    <s v="FUNCIONAL"/>
    <x v="1"/>
    <n v="3506"/>
    <s v="TECBRAS ASSISTENCIA TECNICA"/>
    <s v="SP"/>
    <n v="931"/>
    <s v="Ats Off"/>
    <n v="1350"/>
    <s v="W10699240"/>
    <s v="Filtro Secadores"/>
    <x v="0"/>
    <n v="1"/>
    <n v="5004042"/>
    <s v="BRASIL WEB TRANSPORTES E LOGISTICA"/>
    <n v="8.18"/>
    <d v="2025-08-11T00:00:00"/>
  </r>
  <r>
    <n v="254054203"/>
    <n v="64829856"/>
    <s v="REB"/>
    <n v="10041892"/>
    <n v="173"/>
    <s v="PEÇAS - Defeito de fabric./Alta Amperage"/>
    <s v="FUNCIONAL"/>
    <x v="1"/>
    <n v="27825"/>
    <s v="DANIELA CENSON DE OLIVEIRA ME"/>
    <s v="SP"/>
    <n v="641"/>
    <s v="CDP Diamante"/>
    <n v="1350"/>
    <s v="W11299803"/>
    <s v="Mecanismos"/>
    <x v="4"/>
    <n v="5"/>
    <n v="5004042"/>
    <s v="BRASIL WEB TRANSPORTES E LOGISTICA"/>
    <n v="575.65"/>
    <d v="2025-08-11T00:00:00"/>
  </r>
  <r>
    <s v="Sem TR"/>
    <n v="64829857"/>
    <s v="REB"/>
    <n v="10035020"/>
    <n v="176"/>
    <s v="PEÇAS - Defeito de fabric./Interrompido"/>
    <s v="FUNCIONAL"/>
    <x v="1"/>
    <n v="3648"/>
    <s v="AMAURI CARLIS JACON &amp; CIA LTDA"/>
    <s v="SP"/>
    <n v="350"/>
    <s v="Ats On"/>
    <n v="1350"/>
    <s v="W11619403"/>
    <s v="Placas de Controle"/>
    <x v="2"/>
    <n v="1"/>
    <n v="5004042"/>
    <s v="BRASIL WEB TRANSPORTES E LOGISTICA"/>
    <n v="286.22000000000003"/>
    <d v="2025-08-11T00:00:00"/>
  </r>
  <r>
    <n v="254054250"/>
    <n v="64829858"/>
    <s v="REB"/>
    <n v="10134963"/>
    <n v="173"/>
    <s v="PEÇAS - Defeito de fabric./Alta Amperage"/>
    <s v="FUNCIONAL"/>
    <x v="2"/>
    <n v="55093"/>
    <s v="NAUTICA REFRIGERACAO E"/>
    <s v="SP"/>
    <n v="648"/>
    <s v="Ultra"/>
    <n v="1350"/>
    <n v="326061171"/>
    <s v="Placas de Controle"/>
    <x v="2"/>
    <n v="1"/>
    <n v="5004042"/>
    <s v="BRASIL WEB TRANSPORTES E LOGISTICA"/>
    <n v="299.37"/>
    <d v="2025-08-11T00:00:00"/>
  </r>
  <r>
    <n v="254054190"/>
    <n v="64829960"/>
    <s v="REB"/>
    <n v="10039094"/>
    <n v="176"/>
    <s v="PEÇAS - Defeito de fabric./Interrompido"/>
    <s v="FUNCIONAL"/>
    <x v="2"/>
    <n v="27425"/>
    <s v="ALEXANDRA K.L. PINA"/>
    <s v="PA"/>
    <n v="641"/>
    <s v="CDP Diamante"/>
    <n v="1350"/>
    <s v="W10344078"/>
    <s v="Usinas"/>
    <x v="9"/>
    <n v="1"/>
    <n v="5002858"/>
    <s v="FAVORITA TRANSPORTES LTDA"/>
    <n v="41.78"/>
    <d v="2025-08-11T00:00:00"/>
  </r>
  <r>
    <n v="254054204"/>
    <n v="64829962"/>
    <s v="REB"/>
    <n v="9750271"/>
    <n v="176"/>
    <s v="PEÇAS - Defeito de fabric./Interrompido"/>
    <s v="FUNCIONAL"/>
    <x v="2"/>
    <n v="28181"/>
    <s v="COMERCIAL DE PEÇAS PARA REFRIG MF"/>
    <s v="GO"/>
    <n v="643"/>
    <s v="Elite"/>
    <n v="1350"/>
    <s v="W11677211"/>
    <s v="Compressores Herméticos"/>
    <x v="0"/>
    <n v="1"/>
    <n v="5002858"/>
    <s v="FAVORITA TRANSPORTES LTDA"/>
    <n v="391.41"/>
    <d v="2025-08-11T00:00:00"/>
  </r>
  <r>
    <n v="254054167"/>
    <n v="64829976"/>
    <s v="REB"/>
    <n v="9860486"/>
    <n v="173"/>
    <s v="PEÇAS - Defeito de fabric./Alta Amperage"/>
    <s v="FUNCIONAL"/>
    <x v="2"/>
    <n v="4167"/>
    <s v="MAQ VILLE PECAS E SERVICOS LTDA"/>
    <s v="SP"/>
    <n v="931"/>
    <s v="Ats Off"/>
    <n v="1350"/>
    <s v="W11045281"/>
    <s v="Placas de Controle"/>
    <x v="2"/>
    <n v="1"/>
    <n v="5004042"/>
    <s v="BRASIL WEB TRANSPORTES E LOGISTICA"/>
    <n v="167.18"/>
    <d v="2025-08-11T00:00:00"/>
  </r>
  <r>
    <n v="254054244"/>
    <n v="64829977"/>
    <s v="REB"/>
    <n v="10111489"/>
    <n v="178"/>
    <s v="PEÇAS -Defeito de fabric./Sem Compressão"/>
    <s v="FUNCIONAL"/>
    <x v="2"/>
    <n v="40998"/>
    <s v="CALDEIRA E SANTOS LTDA M.E"/>
    <s v="GO"/>
    <n v="648"/>
    <s v="Ultra"/>
    <n v="1350"/>
    <s v="W11300675"/>
    <s v="Mecanismos"/>
    <x v="4"/>
    <n v="4"/>
    <n v="5002858"/>
    <s v="FAVORITA TRANSPORTES LTDA"/>
    <n v="424.2"/>
    <d v="2025-08-11T00:00:00"/>
  </r>
  <r>
    <n v="254054244"/>
    <n v="64829978"/>
    <s v="REB"/>
    <n v="10133771"/>
    <n v="178"/>
    <s v="PEÇAS -Defeito de fabric./Sem Compressão"/>
    <s v="FUNCIONAL"/>
    <x v="2"/>
    <n v="40998"/>
    <s v="CALDEIRA E SANTOS LTDA M.E"/>
    <s v="GO"/>
    <n v="648"/>
    <s v="Ultra"/>
    <n v="1350"/>
    <n v="326004753"/>
    <s v="Válvulas de Água"/>
    <x v="6"/>
    <n v="1"/>
    <n v="5002858"/>
    <s v="FAVORITA TRANSPORTES LTDA"/>
    <n v="31.27"/>
    <d v="2025-08-11T00:00:00"/>
  </r>
  <r>
    <n v="254054273"/>
    <n v="64829982"/>
    <s v="REB"/>
    <n v="10088920"/>
    <n v="173"/>
    <s v="PEÇAS - Defeito de fabric./Alta Amperage"/>
    <s v="FUNCIONAL"/>
    <x v="2"/>
    <n v="72332"/>
    <s v="ARGELO REFRIGERACAO LTDA"/>
    <s v="RJ"/>
    <n v="933"/>
    <s v="Top"/>
    <n v="1350"/>
    <s v="W10686100"/>
    <s v="Placas de Controle"/>
    <x v="2"/>
    <n v="1"/>
    <n v="5003176"/>
    <s v="J C THEDIN TRANSPORTES LTDA"/>
    <n v="116.98"/>
    <d v="2025-08-11T00:00:00"/>
  </r>
  <r>
    <n v="254054273"/>
    <n v="64829983"/>
    <s v="REB"/>
    <n v="10113487"/>
    <n v="173"/>
    <s v="PEÇAS - Defeito de fabric./Alta Amperage"/>
    <s v="FUNCIONAL"/>
    <x v="2"/>
    <n v="72332"/>
    <s v="ARGELO REFRIGERACAO LTDA"/>
    <s v="RJ"/>
    <n v="933"/>
    <s v="Top"/>
    <n v="1350"/>
    <s v="W11396188"/>
    <s v="Placas de Interface"/>
    <x v="2"/>
    <n v="1"/>
    <n v="5003176"/>
    <s v="J C THEDIN TRANSPORTES LTDA"/>
    <n v="117.27"/>
    <d v="2025-08-11T00:00:00"/>
  </r>
  <r>
    <n v="254054288"/>
    <n v="64829989"/>
    <s v="REB"/>
    <n v="9808357"/>
    <n v="176"/>
    <s v="PEÇAS - Defeito de fabric./Interrompido"/>
    <s v="FUNCIONAL"/>
    <x v="2"/>
    <n v="83098"/>
    <s v="EXPRESSO REFRIGERACAO LTDA"/>
    <s v="PE"/>
    <n v="934"/>
    <s v="CDP Ouro"/>
    <n v="1350"/>
    <s v="W10709306"/>
    <s v="Placas de Controle"/>
    <x v="2"/>
    <n v="1"/>
    <n v="5004101"/>
    <s v="UNIDOCK'S ASSESSORIA E LOGISTICA DE"/>
    <n v="169.99"/>
    <d v="2025-08-11T00:00:00"/>
  </r>
  <r>
    <n v="254054244"/>
    <n v="64829991"/>
    <s v="REB"/>
    <n v="10111488"/>
    <n v="173"/>
    <s v="PEÇAS - Defeito de fabric./Alta Amperage"/>
    <s v="FUNCIONAL"/>
    <x v="2"/>
    <n v="40998"/>
    <s v="CALDEIRA E SANTOS LTDA M.E"/>
    <s v="GO"/>
    <n v="648"/>
    <s v="Ultra"/>
    <n v="1350"/>
    <s v="W10709306"/>
    <s v="Placas de Controle"/>
    <x v="2"/>
    <n v="1"/>
    <n v="5002858"/>
    <s v="FAVORITA TRANSPORTES LTDA"/>
    <n v="172.6"/>
    <d v="2025-08-11T00:00:00"/>
  </r>
  <r>
    <s v="Sem TR"/>
    <n v="64830005"/>
    <s v="REB"/>
    <n v="10134713"/>
    <n v="176"/>
    <s v="PEÇAS - Defeito de fabric./Interrompido"/>
    <s v="FUNCIONAL"/>
    <x v="1"/>
    <n v="3524"/>
    <s v="CATEL - COMERCIO DE PECAS"/>
    <s v="SP"/>
    <n v="931"/>
    <s v="Ats Off"/>
    <n v="1350"/>
    <s v="W10849469"/>
    <s v="Bombas"/>
    <x v="2"/>
    <n v="1"/>
    <n v="5004042"/>
    <s v="BRASIL WEB TRANSPORTES E LOGISTICA"/>
    <n v="34.04"/>
    <d v="2025-08-11T00:00:00"/>
  </r>
  <r>
    <s v="Sem TR"/>
    <n v="64830006"/>
    <s v="REB"/>
    <n v="10125613"/>
    <n v="176"/>
    <s v="PEÇAS - Defeito de fabric./Interrompido"/>
    <s v="FUNCIONAL"/>
    <x v="1"/>
    <n v="3524"/>
    <s v="CATEL - COMERCIO DE PECAS"/>
    <s v="SP"/>
    <n v="931"/>
    <s v="Ats Off"/>
    <n v="1350"/>
    <s v="W11306827"/>
    <s v="Sensores"/>
    <x v="8"/>
    <n v="1"/>
    <n v="5004042"/>
    <s v="BRASIL WEB TRANSPORTES E LOGISTICA"/>
    <n v="74.650000000000006"/>
    <d v="2025-08-11T00:00:00"/>
  </r>
  <r>
    <s v="Sem TR"/>
    <n v="64830007"/>
    <s v="REB"/>
    <n v="10081044"/>
    <n v="168"/>
    <s v="PEÇAS-Def.Fabric.Empenamento/Abaulamento"/>
    <s v="FUNCIONAL"/>
    <x v="1"/>
    <n v="42244"/>
    <s v="REFRIGERACAO ELETRO FRIO LTDA"/>
    <s v="GO"/>
    <n v="932"/>
    <s v="CDP Prata"/>
    <n v="1350"/>
    <n v="326031817"/>
    <s v="Mangueiras"/>
    <x v="6"/>
    <n v="1"/>
    <n v="5002858"/>
    <s v="FAVORITA TRANSPORTES LTDA"/>
    <n v="17.510000000000002"/>
    <d v="2025-08-11T00:00:00"/>
  </r>
  <r>
    <s v="Sem TR"/>
    <n v="64830008"/>
    <s v="REB"/>
    <n v="10113657"/>
    <n v="177"/>
    <s v="PEÇAS - Defeito de fabric./Ruído"/>
    <s v="FUNCIONAL"/>
    <x v="1"/>
    <n v="28178"/>
    <s v="IRMAOS CARICILLI LTDA"/>
    <s v="SP"/>
    <n v="644"/>
    <s v="Plus"/>
    <n v="1350"/>
    <s v="W11486744"/>
    <s v="Rolamentos"/>
    <x v="4"/>
    <n v="1"/>
    <n v="5004042"/>
    <s v="BRASIL WEB TRANSPORTES E LOGISTICA"/>
    <n v="7.93"/>
    <d v="2025-08-11T00:00:00"/>
  </r>
  <r>
    <s v="Sem TR"/>
    <n v="64830013"/>
    <s v="REB"/>
    <n v="10137142"/>
    <n v="173"/>
    <s v="PEÇAS - Defeito de fabric./Alta Amperage"/>
    <s v="FUNCIONAL"/>
    <x v="1"/>
    <n v="87707"/>
    <s v="REFRIGERA BRASIL CLIMATIZACAO E REF"/>
    <s v="BA"/>
    <n v="648"/>
    <s v="Ultra"/>
    <n v="1350"/>
    <s v="W11299803"/>
    <s v="Mecanismos"/>
    <x v="4"/>
    <n v="1"/>
    <n v="5004101"/>
    <s v="UNIDOCK'S ASSESSORIA E LOGISTICA DE"/>
    <n v="100.25"/>
    <d v="2025-08-15T00:00:00"/>
  </r>
  <r>
    <n v="254054244"/>
    <n v="64830014"/>
    <s v="REB"/>
    <n v="9981573"/>
    <n v="178"/>
    <s v="PEÇAS -Defeito de fabric./Sem Compressão"/>
    <s v="FUNCIONAL"/>
    <x v="2"/>
    <n v="40998"/>
    <s v="CALDEIRA E SANTOS LTDA M.E"/>
    <s v="GO"/>
    <n v="648"/>
    <s v="Ultra"/>
    <n v="1350"/>
    <s v="W10647949"/>
    <s v="Suportes"/>
    <x v="3"/>
    <n v="1"/>
    <n v="5002858"/>
    <s v="FAVORITA TRANSPORTES LTDA"/>
    <n v="4.26"/>
    <d v="2025-08-11T00:00:00"/>
  </r>
  <r>
    <n v="254054244"/>
    <n v="64830019"/>
    <s v="REB"/>
    <n v="9446190"/>
    <n v="173"/>
    <s v="PEÇAS - Defeito de fabric./Alta Amperage"/>
    <s v="FUNCIONAL"/>
    <x v="2"/>
    <n v="40998"/>
    <s v="CALDEIRA E SANTOS LTDA M.E"/>
    <s v="GO"/>
    <n v="648"/>
    <s v="Ultra"/>
    <n v="1350"/>
    <s v="W11091875"/>
    <s v="Termostatos"/>
    <x v="8"/>
    <n v="1"/>
    <n v="5002858"/>
    <s v="FAVORITA TRANSPORTES LTDA"/>
    <n v="53.66"/>
    <d v="2025-08-11T00:00:00"/>
  </r>
  <r>
    <n v="254054191"/>
    <n v="64830020"/>
    <s v="REB"/>
    <n v="9681769"/>
    <n v="176"/>
    <s v="PEÇAS - Defeito de fabric./Interrompido"/>
    <s v="FUNCIONAL"/>
    <x v="1"/>
    <n v="27574"/>
    <s v="GLACIAL REFRIG MAQ E EQUIP LTDA"/>
    <s v="SP"/>
    <n v="641"/>
    <s v="CDP Diamante"/>
    <n v="1350"/>
    <s v="W10678923"/>
    <s v="Placas de Controle"/>
    <x v="2"/>
    <n v="1"/>
    <n v="5004042"/>
    <s v="BRASIL WEB TRANSPORTES E LOGISTICA"/>
    <n v="76.42"/>
    <d v="2025-08-11T00:00:00"/>
  </r>
  <r>
    <n v="254054184"/>
    <n v="64830024"/>
    <s v="REB"/>
    <n v="10096720"/>
    <n v="176"/>
    <s v="PEÇAS - Defeito de fabric./Interrompido"/>
    <s v="FUNCIONAL"/>
    <x v="2"/>
    <n v="14474"/>
    <s v="NATAL SERVICE LTDA N"/>
    <s v="RN"/>
    <n v="648"/>
    <s v="Ultra"/>
    <n v="1350"/>
    <s v="W11396188"/>
    <s v="Placas de Interface"/>
    <x v="2"/>
    <n v="1"/>
    <n v="5004101"/>
    <s v="UNIDOCK'S ASSESSORIA E LOGISTICA DE"/>
    <n v="83.06"/>
    <d v="2025-08-11T00:00:00"/>
  </r>
  <r>
    <n v="254054270"/>
    <n v="64830039"/>
    <s v="REB"/>
    <n v="10163132"/>
    <n v="168"/>
    <s v="PEÇAS-Def.Fabric.Empenamento/Abaulamento"/>
    <s v="FUNCIONAL"/>
    <x v="1"/>
    <n v="69085"/>
    <s v="DO BEN COMERCIO DE PECAS"/>
    <s v="SP"/>
    <n v="641"/>
    <s v="CDP Diamante"/>
    <n v="1350"/>
    <n v="326012158"/>
    <s v="Acessórios"/>
    <x v="5"/>
    <n v="1"/>
    <n v="5004042"/>
    <s v="BRASIL WEB TRANSPORTES E LOGISTICA"/>
    <n v="85.6"/>
    <d v="2025-08-11T00:00:00"/>
  </r>
  <r>
    <n v="254054183"/>
    <n v="64830051"/>
    <s v="REB"/>
    <n v="10004697"/>
    <n v="173"/>
    <s v="PEÇAS - Defeito de fabric./Alta Amperage"/>
    <s v="FUNCIONAL"/>
    <x v="1"/>
    <n v="13747"/>
    <s v="FRIGELAR COMÉRCIO E INDÚSTRIA LTDA"/>
    <s v="RS"/>
    <n v="713"/>
    <s v="Key Account"/>
    <n v="1350"/>
    <s v="W10899325"/>
    <s v="Placas de Controle"/>
    <x v="2"/>
    <n v="1"/>
    <n v="5003024"/>
    <s v="RODOBRAS TRANSPORTES RODOVIARIOS LT"/>
    <n v="242"/>
    <d v="2025-08-11T00:00:00"/>
  </r>
  <r>
    <n v="254054183"/>
    <n v="64830052"/>
    <s v="REB"/>
    <n v="9736903"/>
    <n v="173"/>
    <s v="PEÇAS - Defeito de fabric./Alta Amperage"/>
    <s v="FUNCIONAL"/>
    <x v="1"/>
    <n v="13747"/>
    <s v="FRIGELAR COMÉRCIO E INDÚSTRIA LTDA"/>
    <s v="RS"/>
    <n v="713"/>
    <s v="Key Account"/>
    <n v="1350"/>
    <s v="W10751205"/>
    <s v="Placas de Interface"/>
    <x v="2"/>
    <n v="1"/>
    <n v="5003024"/>
    <s v="RODOBRAS TRANSPORTES RODOVIARIOS LT"/>
    <n v="135.58000000000001"/>
    <d v="2025-08-11T00:00:00"/>
  </r>
  <r>
    <n v="254054187"/>
    <n v="64830053"/>
    <s v="REB"/>
    <n v="10002896"/>
    <n v="173"/>
    <s v="PEÇAS - Defeito de fabric./Alta Amperage"/>
    <s v="FUNCIONAL"/>
    <x v="2"/>
    <n v="21639"/>
    <s v="Ar Frio RefrigeraCAo Ltda"/>
    <s v="TO"/>
    <n v="932"/>
    <s v="CDP Prata"/>
    <n v="1350"/>
    <s v="W11435392"/>
    <s v="Placas de Controle"/>
    <x v="2"/>
    <n v="1"/>
    <n v="5002858"/>
    <s v="FAVORITA TRANSPORTES LTDA"/>
    <n v="312.12"/>
    <d v="2025-08-11T00:00:00"/>
  </r>
  <r>
    <n v="254054183"/>
    <n v="64830054"/>
    <s v="REB"/>
    <n v="9926431"/>
    <n v="173"/>
    <s v="PEÇAS - Defeito de fabric./Alta Amperage"/>
    <s v="FUNCIONAL"/>
    <x v="1"/>
    <n v="13747"/>
    <s v="FRIGELAR COMÉRCIO E INDÚSTRIA LTDA"/>
    <s v="RS"/>
    <n v="713"/>
    <s v="Key Account"/>
    <n v="1350"/>
    <s v="W10586927"/>
    <s v="Placas de Controle"/>
    <x v="2"/>
    <n v="1"/>
    <n v="5003024"/>
    <s v="RODOBRAS TRANSPORTES RODOVIARIOS LT"/>
    <n v="156.25"/>
    <d v="2025-08-11T00:00:00"/>
  </r>
  <r>
    <n v="254054142"/>
    <n v="64830056"/>
    <s v="REB"/>
    <n v="9927252"/>
    <n v="176"/>
    <s v="PEÇAS - Defeito de fabric./Interrompido"/>
    <s v="FUNCIONAL"/>
    <x v="1"/>
    <n v="3506"/>
    <s v="TECBRAS ASSISTENCIA TECNICA"/>
    <s v="SP"/>
    <n v="931"/>
    <s v="Ats Off"/>
    <n v="1350"/>
    <s v="W11352536"/>
    <s v="Placas de Controle"/>
    <x v="2"/>
    <n v="1"/>
    <n v="5004042"/>
    <s v="BRASIL WEB TRANSPORTES E LOGISTICA"/>
    <n v="93.91"/>
    <d v="2025-08-11T00:00:00"/>
  </r>
  <r>
    <n v="254054135"/>
    <n v="64830058"/>
    <s v="REB"/>
    <n v="10154258"/>
    <n v="176"/>
    <s v="PEÇAS - Defeito de fabric./Interrompido"/>
    <s v="FUNCIONAL"/>
    <x v="1"/>
    <n v="3506"/>
    <s v="TECBRAS ASSISTENCIA TECNICA"/>
    <s v="SP"/>
    <n v="931"/>
    <s v="Ats Off"/>
    <n v="1350"/>
    <s v="W10699240"/>
    <s v="Filtro Secadores"/>
    <x v="0"/>
    <n v="3"/>
    <n v="5004042"/>
    <s v="BRASIL WEB TRANSPORTES E LOGISTICA"/>
    <n v="24.54"/>
    <d v="2025-08-11T00:00:00"/>
  </r>
  <r>
    <s v="Sem TR"/>
    <n v="64830060"/>
    <s v="REB"/>
    <n v="10131676"/>
    <n v="173"/>
    <s v="PEÇAS - Defeito de fabric./Alta Amperage"/>
    <s v="FUNCIONAL"/>
    <x v="1"/>
    <n v="81338"/>
    <s v="GABAN COMERCIO DE UTILIDADES"/>
    <s v="SP"/>
    <n v="644"/>
    <s v="Plus"/>
    <n v="1350"/>
    <s v="W11299803"/>
    <s v="Mecanismos"/>
    <x v="4"/>
    <n v="2"/>
    <n v="5004042"/>
    <s v="BRASIL WEB TRANSPORTES E LOGISTICA"/>
    <n v="209.1"/>
    <d v="2025-08-14T00:00:00"/>
  </r>
  <r>
    <n v="254054139"/>
    <n v="64830069"/>
    <s v="REB"/>
    <n v="10046173"/>
    <n v="176"/>
    <s v="PEÇAS - Defeito de fabric./Interrompido"/>
    <s v="FUNCIONAL"/>
    <x v="1"/>
    <n v="3506"/>
    <s v="TECBRAS ASSISTENCIA TECNICA"/>
    <s v="SP"/>
    <n v="931"/>
    <s v="Ats Off"/>
    <n v="1350"/>
    <s v="W10640425"/>
    <s v="Placas de Interface"/>
    <x v="2"/>
    <n v="1"/>
    <n v="5004042"/>
    <s v="BRASIL WEB TRANSPORTES E LOGISTICA"/>
    <n v="318.77999999999997"/>
    <d v="2025-08-11T00:00:00"/>
  </r>
  <r>
    <n v="254054138"/>
    <n v="64830074"/>
    <s v="REB"/>
    <n v="10113100"/>
    <n v="176"/>
    <s v="PEÇAS - Defeito de fabric./Interrompido"/>
    <s v="FUNCIONAL"/>
    <x v="1"/>
    <n v="3506"/>
    <s v="TECBRAS ASSISTENCIA TECNICA"/>
    <s v="SP"/>
    <n v="931"/>
    <s v="Ats Off"/>
    <n v="1350"/>
    <s v="W10160037"/>
    <s v="Capacitores"/>
    <x v="2"/>
    <n v="1"/>
    <n v="5004042"/>
    <s v="BRASIL WEB TRANSPORTES E LOGISTICA"/>
    <n v="45.53"/>
    <d v="2025-08-11T00:00:00"/>
  </r>
  <r>
    <n v="254056179"/>
    <n v="64830075"/>
    <s v="REB"/>
    <n v="10113100"/>
    <n v="176"/>
    <s v="PEÇAS - Defeito de fabric./Interrompido"/>
    <s v="FUNCIONAL"/>
    <x v="1"/>
    <n v="3506"/>
    <s v="TECBRAS ASSISTENCIA TECNICA"/>
    <s v="SP"/>
    <n v="931"/>
    <s v="Ats Off"/>
    <n v="1350"/>
    <s v="W10398340"/>
    <s v="Sensores"/>
    <x v="8"/>
    <n v="1"/>
    <n v="5004042"/>
    <s v="BRASIL WEB TRANSPORTES E LOGISTICA"/>
    <n v="255.77"/>
    <d v="2025-08-11T00:00:00"/>
  </r>
  <r>
    <s v="Sem TR"/>
    <n v="64830082"/>
    <s v="REB"/>
    <n v="10143823"/>
    <n v="509"/>
    <s v="Qtd de peças a Menor dentro do Volume"/>
    <s v="LOGÍSTICA"/>
    <x v="2"/>
    <n v="22211"/>
    <s v="BARNI PRES SER COM PROD REFIRG ME"/>
    <s v="SC"/>
    <n v="644"/>
    <s v="Plus"/>
    <n v="1350"/>
    <s v="W10518617"/>
    <s v="Atuadores"/>
    <x v="4"/>
    <n v="1"/>
    <n v="5002359"/>
    <s v="EMPRESA BRASILEIRA DE CORREIOS E"/>
    <n v="33.76"/>
    <d v="2025-08-14T00:00:00"/>
  </r>
  <r>
    <n v="254058119"/>
    <n v="64830083"/>
    <s v="REB"/>
    <n v="10087442"/>
    <n v="90"/>
    <s v="CLIENTE-não solicitou"/>
    <s v="COMERCIAL"/>
    <x v="1"/>
    <n v="19750"/>
    <s v="J. R. VALENTE LTDA"/>
    <s v="RR"/>
    <n v="648"/>
    <s v="Ultra"/>
    <n v="1350"/>
    <s v="W11677209"/>
    <s v="Compressores Herméticos"/>
    <x v="0"/>
    <n v="30"/>
    <n v="5002858"/>
    <s v="FAVORITA TRANSPORTES LTDA"/>
    <n v="7909.5"/>
    <d v="2025-08-14T00:00:00"/>
  </r>
  <r>
    <s v="Sem TR"/>
    <n v="64830085"/>
    <s v="REB"/>
    <n v="10091583"/>
    <n v="177"/>
    <s v="PEÇAS - Defeito de fabric./Ruído"/>
    <s v="FUNCIONAL"/>
    <x v="1"/>
    <n v="74845"/>
    <s v="UNOFRIO ARARAQUARA COMERCIO"/>
    <s v="SP"/>
    <n v="933"/>
    <s v="Top"/>
    <n v="1350"/>
    <s v="W10168510"/>
    <s v="Motores Ventiladores"/>
    <x v="2"/>
    <n v="1"/>
    <n v="5004042"/>
    <s v="BRASIL WEB TRANSPORTES E LOGISTICA"/>
    <n v="60.73"/>
    <d v="2025-08-11T00:00:00"/>
  </r>
  <r>
    <n v="254054245"/>
    <n v="64830087"/>
    <s v="REB"/>
    <n v="9243116"/>
    <n v="178"/>
    <s v="PEÇAS -Defeito de fabric./Sem Compressão"/>
    <s v="FUNCIONAL"/>
    <x v="2"/>
    <n v="42038"/>
    <s v="A BRASTECON REFRIGERACAO LTDA ME"/>
    <s v="MG"/>
    <n v="643"/>
    <s v="Elite"/>
    <n v="1350"/>
    <s v="W11647660"/>
    <s v="Compressores Herméticos"/>
    <x v="0"/>
    <n v="1"/>
    <n v="5004215"/>
    <s v="BRASIL WEB TRANSPORTES E LOGISTICA"/>
    <n v="288.12"/>
    <d v="2025-08-11T00:00:00"/>
  </r>
  <r>
    <s v="Sem TR"/>
    <n v="64830094"/>
    <s v="REB"/>
    <n v="10066355"/>
    <n v="173"/>
    <s v="PEÇAS - Defeito de fabric./Alta Amperage"/>
    <s v="FUNCIONAL"/>
    <x v="1"/>
    <n v="87707"/>
    <s v="REFRIGERA BRASIL CLIMATIZACAO E REF"/>
    <s v="BA"/>
    <n v="648"/>
    <s v="Ultra"/>
    <n v="1350"/>
    <s v="W11226018"/>
    <s v="Motores Ventiladores"/>
    <x v="2"/>
    <n v="1"/>
    <n v="5004101"/>
    <s v="UNIDOCK'S ASSESSORIA E LOGISTICA DE"/>
    <n v="66.209999999999994"/>
    <d v="2025-08-11T00:00:00"/>
  </r>
  <r>
    <s v="Sem TR"/>
    <n v="64830095"/>
    <s v="REB"/>
    <n v="10066354"/>
    <n v="173"/>
    <s v="PEÇAS - Defeito de fabric./Alta Amperage"/>
    <s v="FUNCIONAL"/>
    <x v="1"/>
    <n v="87707"/>
    <s v="REFRIGERA BRASIL CLIMATIZACAO E REF"/>
    <s v="BA"/>
    <n v="648"/>
    <s v="Ultra"/>
    <n v="1350"/>
    <s v="W10591605"/>
    <s v="Placas de Controle"/>
    <x v="2"/>
    <n v="1"/>
    <n v="5004101"/>
    <s v="UNIDOCK'S ASSESSORIA E LOGISTICA DE"/>
    <n v="282.74"/>
    <d v="2025-08-11T00:00:00"/>
  </r>
  <r>
    <s v="Sem TR"/>
    <n v="64830096"/>
    <s v="REB"/>
    <n v="10066354"/>
    <n v="173"/>
    <s v="PEÇAS - Defeito de fabric./Alta Amperage"/>
    <s v="FUNCIONAL"/>
    <x v="1"/>
    <n v="87707"/>
    <s v="REFRIGERA BRASIL CLIMATIZACAO E REF"/>
    <s v="BA"/>
    <n v="648"/>
    <s v="Ultra"/>
    <n v="1350"/>
    <s v="W11396188"/>
    <s v="Placas de Interface"/>
    <x v="2"/>
    <n v="2"/>
    <n v="5004101"/>
    <s v="UNIDOCK'S ASSESSORIA E LOGISTICA DE"/>
    <n v="174.13"/>
    <d v="2025-08-11T00:00:00"/>
  </r>
  <r>
    <n v="254054140"/>
    <n v="64830097"/>
    <s v="REB"/>
    <n v="10046173"/>
    <n v="176"/>
    <s v="PEÇAS - Defeito de fabric./Interrompido"/>
    <s v="FUNCIONAL"/>
    <x v="1"/>
    <n v="3506"/>
    <s v="TECBRAS ASSISTENCIA TECNICA"/>
    <s v="SP"/>
    <n v="931"/>
    <s v="Ats Off"/>
    <n v="1350"/>
    <s v="W10399715"/>
    <s v="Motores Ventiladores"/>
    <x v="2"/>
    <n v="1"/>
    <n v="5004042"/>
    <s v="BRASIL WEB TRANSPORTES E LOGISTICA"/>
    <n v="56.89"/>
    <d v="2025-08-11T00:00:00"/>
  </r>
  <r>
    <s v="Sem TR"/>
    <n v="64830098"/>
    <s v="REB"/>
    <n v="10083014"/>
    <n v="173"/>
    <s v="PEÇAS - Defeito de fabric./Alta Amperage"/>
    <s v="FUNCIONAL"/>
    <x v="1"/>
    <n v="70991"/>
    <s v="CLEIDE MARIA DE PAULA SOARES"/>
    <s v="SP"/>
    <n v="932"/>
    <s v="CDP Prata"/>
    <n v="1350"/>
    <s v="W11254865"/>
    <s v="Mecanismos"/>
    <x v="4"/>
    <n v="1"/>
    <n v="5004042"/>
    <s v="BRASIL WEB TRANSPORTES E LOGISTICA"/>
    <n v="171.82"/>
    <d v="2025-08-11T00:00:00"/>
  </r>
  <r>
    <n v="254054259"/>
    <n v="64830099"/>
    <s v="REB"/>
    <n v="10085093"/>
    <n v="176"/>
    <s v="PEÇAS - Defeito de fabric./Interrompido"/>
    <s v="FUNCIONAL"/>
    <x v="1"/>
    <n v="67602"/>
    <s v="COMERCIAL DE PECAS VASCONCELOS &amp; SA"/>
    <s v="ES"/>
    <n v="934"/>
    <s v="CDP Ouro"/>
    <n v="1350"/>
    <s v="W11160180"/>
    <s v="Placas de Controle"/>
    <x v="2"/>
    <n v="1"/>
    <n v="5004042"/>
    <s v="BRASIL WEB TRANSPORTES E LOGISTICA"/>
    <n v="245.62"/>
    <d v="2025-08-11T00:00:00"/>
  </r>
  <r>
    <n v="254054227"/>
    <n v="64830101"/>
    <s v="REB"/>
    <n v="10131580"/>
    <n v="176"/>
    <s v="PEÇAS - Defeito de fabric./Interrompido"/>
    <s v="FUNCIONAL"/>
    <x v="2"/>
    <n v="31587"/>
    <s v="COPEGEL REFRIGERACAO LTDA"/>
    <s v="SP"/>
    <n v="643"/>
    <s v="Elite"/>
    <n v="1350"/>
    <s v="W11300675"/>
    <s v="Mecanismos"/>
    <x v="4"/>
    <n v="1"/>
    <n v="5004042"/>
    <s v="BRASIL WEB TRANSPORTES E LOGISTICA"/>
    <n v="116.37"/>
    <d v="2025-08-11T00:00:00"/>
  </r>
  <r>
    <s v="Sem TR"/>
    <n v="64830110"/>
    <s v="REB"/>
    <n v="9737170"/>
    <n v="173"/>
    <s v="PEÇAS - Defeito de fabric./Alta Amperage"/>
    <s v="FUNCIONAL"/>
    <x v="1"/>
    <n v="32533"/>
    <s v="FRIGELAR COM. DISTRIBUICAO S/A"/>
    <s v="PE"/>
    <n v="713"/>
    <s v="Key Account"/>
    <n v="1350"/>
    <s v="W10310999"/>
    <s v="Motores Ventiladores"/>
    <x v="2"/>
    <n v="1"/>
    <n v="5004101"/>
    <s v="UNIDOCK'S ASSESSORIA E LOGISTICA DE"/>
    <n v="39.549999999999997"/>
    <d v="2025-08-11T00:00:00"/>
  </r>
  <r>
    <s v="Sem TR"/>
    <n v="64830115"/>
    <s v="REB"/>
    <n v="10114056"/>
    <n v="173"/>
    <s v="PEÇAS - Defeito de fabric./Alta Amperage"/>
    <s v="FUNCIONAL"/>
    <x v="1"/>
    <n v="5129"/>
    <s v="CONSERTOS DE ELETRODOMESTICOS TEUT"/>
    <s v="RS"/>
    <n v="934"/>
    <s v="CDP Ouro"/>
    <n v="1350"/>
    <s v="W11082454"/>
    <s v="Termostatos"/>
    <x v="8"/>
    <n v="1"/>
    <n v="5003024"/>
    <s v="RODOBRAS TRANSPORTES RODOVIARIOS LT"/>
    <n v="57"/>
    <d v="2025-08-11T00:00:00"/>
  </r>
  <r>
    <s v="Sem TR"/>
    <n v="64830119"/>
    <s v="REB"/>
    <n v="10136412"/>
    <n v="168"/>
    <s v="PEÇAS-Def.Fabric.Empenamento/Abaulamento"/>
    <s v="FUNCIONAL"/>
    <x v="1"/>
    <n v="2374"/>
    <s v="COMETA DISTRIBUIDORA DE PECAS"/>
    <s v="MG"/>
    <n v="350"/>
    <s v="Ats On"/>
    <n v="1350"/>
    <s v="W10882241"/>
    <s v="Agitadores"/>
    <x v="4"/>
    <n v="1"/>
    <n v="5004215"/>
    <s v="BRASIL WEB TRANSPORTES E LOGISTICA"/>
    <n v="54.76"/>
    <d v="2025-08-11T00:00:00"/>
  </r>
  <r>
    <s v="Sem TR"/>
    <n v="64830168"/>
    <s v="REB"/>
    <n v="10133356"/>
    <n v="176"/>
    <s v="PEÇAS - Defeito de fabric./Interrompido"/>
    <s v="FUNCIONAL"/>
    <x v="1"/>
    <n v="3118"/>
    <s v="ELETRO RECIFE VENDAS"/>
    <s v="PE"/>
    <n v="931"/>
    <s v="Ats Off"/>
    <n v="1350"/>
    <s v="W10732243"/>
    <s v="Magnetrons"/>
    <x v="2"/>
    <n v="1"/>
    <n v="5004101"/>
    <s v="UNIDOCK'S ASSESSORIA E LOGISTICA DE"/>
    <n v="360.41"/>
    <d v="2025-08-12T00:00:00"/>
  </r>
  <r>
    <s v="Sem TR"/>
    <n v="64830203"/>
    <s v="REB"/>
    <n v="10137160"/>
    <n v="104"/>
    <s v="PEÇAS-Código trocado(embalag X conteúdo)"/>
    <s v="LOGÍSTICA"/>
    <x v="1"/>
    <n v="1255"/>
    <s v="PRAMAK REFRIGERACAO, PECAS E"/>
    <s v="CE"/>
    <n v="931"/>
    <s v="Ats Off"/>
    <n v="1350"/>
    <n v="326051369"/>
    <s v="Portas"/>
    <x v="3"/>
    <n v="1"/>
    <n v="5004101"/>
    <s v="UNIDOCK'S ASSESSORIA E LOGISTICA DE"/>
    <n v="245.29"/>
    <d v="2025-08-22T00:00:00"/>
  </r>
  <r>
    <n v="254061072"/>
    <n v="64830218"/>
    <s v="REB"/>
    <n v="10084736"/>
    <n v="176"/>
    <s v="PEÇAS - Defeito de fabric./Interrompido"/>
    <s v="FUNCIONAL"/>
    <x v="2"/>
    <n v="24089"/>
    <s v="REVOLUTION COMERCIO E SERV"/>
    <s v="RJ"/>
    <n v="931"/>
    <s v="Ats Off"/>
    <n v="1350"/>
    <s v="W10399715"/>
    <s v="Motores Ventiladores"/>
    <x v="2"/>
    <n v="2"/>
    <n v="5003176"/>
    <s v="J C THEDIN TRANSPORTES LTDA"/>
    <n v="93.96"/>
    <d v="2025-08-15T00:00:00"/>
  </r>
  <r>
    <n v="254064161"/>
    <n v="64830225"/>
    <s v="REB"/>
    <n v="10150454"/>
    <n v="165"/>
    <s v="PEÇAS - Defeito de fabric./Incompleta"/>
    <s v="FUNCIONAL"/>
    <x v="1"/>
    <n v="27511"/>
    <s v="MARCOS JOSE DE OLIVEIRA SOROCABA-EP"/>
    <s v="SP"/>
    <n v="641"/>
    <s v="CDP Diamante"/>
    <n v="1350"/>
    <s v="W11551361"/>
    <s v="Peças Mecanismos"/>
    <x v="4"/>
    <n v="2"/>
    <n v="5004042"/>
    <s v="BRASIL WEB TRANSPORTES E LOGISTICA"/>
    <n v="29.95"/>
    <d v="2025-08-22T00:00:00"/>
  </r>
  <r>
    <n v="254061098"/>
    <n v="64830226"/>
    <s v="REB"/>
    <n v="10160954"/>
    <n v="176"/>
    <s v="PEÇAS - Defeito de fabric./Interrompido"/>
    <s v="FUNCIONAL"/>
    <x v="1"/>
    <n v="31063"/>
    <s v="ELETROFRIGOR PECAS LTDA ME"/>
    <s v="RJ"/>
    <n v="644"/>
    <s v="Plus"/>
    <n v="1350"/>
    <s v="W10591460"/>
    <s v="Placas de Controle"/>
    <x v="2"/>
    <n v="1"/>
    <n v="5003176"/>
    <s v="J C THEDIN TRANSPORTES LTDA"/>
    <n v="286.39"/>
    <d v="2025-08-22T00:00:00"/>
  </r>
  <r>
    <n v="254061193"/>
    <n v="64830227"/>
    <s v="REB"/>
    <n v="9497233"/>
    <n v="178"/>
    <s v="PEÇAS -Defeito de fabric./Sem Compressão"/>
    <s v="FUNCIONAL"/>
    <x v="1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3.1"/>
    <d v="2025-08-22T00:00:00"/>
  </r>
  <r>
    <n v="254061164"/>
    <n v="64830228"/>
    <s v="REB"/>
    <n v="10198852"/>
    <n v="168"/>
    <s v="PEÇAS-Def.Fabric.Empenamento/Abaulamento"/>
    <s v="FUNCIONAL"/>
    <x v="1"/>
    <n v="69085"/>
    <s v="DO BEN COMERCIO DE PECAS"/>
    <s v="SP"/>
    <n v="641"/>
    <s v="CDP Diamante"/>
    <n v="1350"/>
    <s v="W10562947"/>
    <s v="Queimadores"/>
    <x v="9"/>
    <n v="1"/>
    <n v="5004042"/>
    <s v="BRASIL WEB TRANSPORTES E LOGISTICA"/>
    <n v="28.57"/>
    <d v="2025-08-22T00:00:00"/>
  </r>
  <r>
    <n v="254061072"/>
    <n v="64830250"/>
    <s v="REB"/>
    <n v="10107906"/>
    <n v="176"/>
    <s v="PEÇAS - Defeito de fabric./Interrompido"/>
    <s v="FUNCIONAL"/>
    <x v="2"/>
    <n v="24089"/>
    <s v="REVOLUTION COMERCIO E SERV"/>
    <s v="RJ"/>
    <n v="931"/>
    <s v="Ats Off"/>
    <n v="1350"/>
    <s v="W10238102"/>
    <s v="Válvulas de Água"/>
    <x v="6"/>
    <n v="1"/>
    <n v="5003176"/>
    <s v="J C THEDIN TRANSPORTES LTDA"/>
    <n v="154.01"/>
    <d v="2025-08-15T00:00:00"/>
  </r>
  <r>
    <s v="Sem TR"/>
    <n v="64830258"/>
    <s v="REB"/>
    <n v="10066674"/>
    <n v="173"/>
    <s v="PEÇAS - Defeito de fabric./Alta Amperage"/>
    <s v="FUNCIONAL"/>
    <x v="1"/>
    <n v="24289"/>
    <s v="REFRIGERACAO MOTA LTDA"/>
    <s v="MG"/>
    <n v="643"/>
    <s v="Elite"/>
    <n v="1350"/>
    <s v="W11482941"/>
    <s v="Placas de Controle"/>
    <x v="2"/>
    <n v="7"/>
    <n v="5004215"/>
    <s v="BRASIL WEB TRANSPORTES E LOGISTICA"/>
    <n v="1275.96"/>
    <d v="2025-08-15T00:00:00"/>
  </r>
  <r>
    <s v="Sem TR"/>
    <n v="64830297"/>
    <s v="REB"/>
    <n v="9687585"/>
    <n v="178"/>
    <s v="PEÇAS -Defeito de fabric./Sem Compressão"/>
    <s v="FUNCIONAL"/>
    <x v="1"/>
    <n v="61675"/>
    <s v="BEAGA REFRIGERACAO LTDA"/>
    <s v="MG"/>
    <n v="643"/>
    <s v="Elite"/>
    <n v="1350"/>
    <s v="W11677208"/>
    <s v="Compressores Herméticos"/>
    <x v="0"/>
    <n v="1"/>
    <n v="5004215"/>
    <s v="BRASIL WEB TRANSPORTES E LOGISTICA"/>
    <n v="284.45999999999998"/>
    <d v="2025-08-15T00:00:00"/>
  </r>
  <r>
    <n v="254056465"/>
    <n v="64830298"/>
    <s v="REB"/>
    <n v="10128641"/>
    <n v="173"/>
    <s v="PEÇAS - Defeito de fabric./Alta Amperage"/>
    <s v="FUNCIONAL"/>
    <x v="1"/>
    <n v="21594"/>
    <s v="GOLD SERVICE COMERCIO"/>
    <s v="SP"/>
    <n v="931"/>
    <s v="Ats Off"/>
    <n v="1350"/>
    <s v="W11208458"/>
    <s v="Placas de Controle"/>
    <x v="2"/>
    <n v="1"/>
    <n v="5004042"/>
    <s v="BRASIL WEB TRANSPORTES E LOGISTICA"/>
    <n v="339.83"/>
    <d v="2025-08-15T00:00:00"/>
  </r>
  <r>
    <s v="Sem TR"/>
    <n v="64830309"/>
    <s v="REB"/>
    <n v="10174773"/>
    <n v="125"/>
    <s v="DEV-Extravio de produto (Transportadora)"/>
    <s v="TRANSPORTADORA"/>
    <x v="2"/>
    <n v="9991"/>
    <s v="HIPERFRIO COMERCIO DE PECAS LTDA"/>
    <s v="DF"/>
    <n v="648"/>
    <s v="Ultra"/>
    <n v="1350"/>
    <s v="W11741179"/>
    <s v="Outros"/>
    <x v="5"/>
    <n v="2"/>
    <n v="5002858"/>
    <s v="FAVORITA TRANSPORTES LTDA"/>
    <n v="732.81"/>
    <d v="2025-08-12T00:00:00"/>
  </r>
  <r>
    <n v="254058156"/>
    <n v="64830360"/>
    <s v="REB"/>
    <n v="10137015"/>
    <n v="167"/>
    <s v="PEÇAS - Avaria - Quebrada/Depósito"/>
    <s v="LOGÍSTICA"/>
    <x v="1"/>
    <n v="72786"/>
    <s v="FRIOLAR CONSERTOS DE"/>
    <s v="SC"/>
    <n v="643"/>
    <s v="Elite"/>
    <n v="1350"/>
    <s v="W11135848"/>
    <s v="Prateleiras"/>
    <x v="1"/>
    <n v="1"/>
    <n v="5003024"/>
    <s v="RODOBRAS TRANSPORTES RODOVIARIOS LT"/>
    <n v="19.34"/>
    <d v="2025-08-14T00:00:00"/>
  </r>
  <r>
    <s v="Sem TR"/>
    <n v="64830361"/>
    <s v="REB"/>
    <n v="10128243"/>
    <n v="167"/>
    <s v="PEÇAS - Avaria - Quebrada/Depósito"/>
    <s v="LOGÍSTICA"/>
    <x v="1"/>
    <n v="10164"/>
    <s v="FALCONE - COMERCIO E SERVICOS LTDA"/>
    <s v="PB"/>
    <n v="931"/>
    <s v="Ats Off"/>
    <n v="1350"/>
    <s v="W10796892"/>
    <s v="Agitadores"/>
    <x v="4"/>
    <n v="1"/>
    <n v="5004101"/>
    <s v="UNIDOCK'S ASSESSORIA E LOGISTICA DE"/>
    <n v="50.9"/>
    <d v="2025-08-14T00:00:00"/>
  </r>
  <r>
    <s v="Sem TR"/>
    <n v="64830362"/>
    <s v="REB"/>
    <n v="10140953"/>
    <n v="167"/>
    <s v="PEÇAS - Avaria - Quebrada/Depósito"/>
    <s v="LOGÍSTICA"/>
    <x v="1"/>
    <n v="29801"/>
    <s v="FRIMAQ LTDA"/>
    <s v="MG"/>
    <n v="644"/>
    <s v="Plus"/>
    <n v="1350"/>
    <s v="W10200101"/>
    <s v="Prateleiras"/>
    <x v="1"/>
    <n v="1"/>
    <n v="5004215"/>
    <s v="BRASIL WEB TRANSPORTES E LOGISTICA"/>
    <n v="34.39"/>
    <d v="2025-08-14T00:00:00"/>
  </r>
  <r>
    <n v="254058168"/>
    <n v="64830363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61072"/>
    <n v="64830387"/>
    <s v="REB"/>
    <n v="9515558"/>
    <n v="176"/>
    <s v="PEÇAS - Defeito de fabric./Interrompido"/>
    <s v="FUNCIONAL"/>
    <x v="2"/>
    <n v="24089"/>
    <s v="REVOLUTION COMERCIO E SERV"/>
    <s v="RJ"/>
    <n v="931"/>
    <s v="Ats Off"/>
    <n v="1350"/>
    <n v="4257790"/>
    <s v="Válvulas de Água"/>
    <x v="6"/>
    <n v="1"/>
    <n v="5003176"/>
    <s v="J C THEDIN TRANSPORTES LTDA"/>
    <n v="68.260000000000005"/>
    <d v="2025-08-15T00:00:00"/>
  </r>
  <r>
    <n v="254061205"/>
    <n v="64830392"/>
    <s v="ZDVP"/>
    <n v="10151642"/>
    <n v="177"/>
    <s v="PEÇAS - Defeito de fabric./Ruído"/>
    <s v="FUNCIONAL"/>
    <x v="1"/>
    <n v="32272"/>
    <s v="CODIFRIO FORNECEDORA  DE PECAS"/>
    <s v="PR"/>
    <n v="933"/>
    <s v="Top"/>
    <n v="1350"/>
    <s v="W10882241"/>
    <s v="Agitadores"/>
    <x v="4"/>
    <n v="2"/>
    <n v="5003024"/>
    <s v="RODOBRAS TRANSPORTES RODOVIARIOS LT"/>
    <n v="118.78"/>
    <d v="2025-08-15T00:00:00"/>
  </r>
  <r>
    <s v="Sem TR"/>
    <n v="64830407"/>
    <s v="REB"/>
    <n v="10041911"/>
    <n v="176"/>
    <s v="PEÇAS - Defeito de fabric./Interrompido"/>
    <s v="FUNCIONAL"/>
    <x v="1"/>
    <n v="13757"/>
    <s v="FRIGELAR COMÉRCIO E INDÚSTRIA LTDA"/>
    <s v="SP"/>
    <n v="713"/>
    <s v="Key Account"/>
    <n v="1350"/>
    <s v="W10586927"/>
    <s v="Placas de Controle"/>
    <x v="2"/>
    <n v="1"/>
    <n v="5004042"/>
    <s v="BRASIL WEB TRANSPORTES E LOGISTICA"/>
    <n v="185.55"/>
    <d v="2025-08-15T00:00:00"/>
  </r>
  <r>
    <n v="254056328"/>
    <n v="64830498"/>
    <s v="REB"/>
    <n v="10131696"/>
    <n v="176"/>
    <s v="PEÇAS - Defeito de fabric./Interrompido"/>
    <s v="FUNCIONAL"/>
    <x v="1"/>
    <n v="2424"/>
    <s v="TERMO STATUS INSTALADORA DE"/>
    <s v="RJ"/>
    <n v="350"/>
    <s v="Ats On"/>
    <n v="1350"/>
    <s v="W10666554"/>
    <s v="Gaxetas"/>
    <x v="10"/>
    <n v="1"/>
    <n v="5003176"/>
    <s v="J C THEDIN TRANSPORTES LTDA"/>
    <n v="138.32"/>
    <d v="2025-08-15T00:00:00"/>
  </r>
  <r>
    <s v="Sem TR"/>
    <n v="64830543"/>
    <s v="ROB"/>
    <n v="10151551"/>
    <n v="25"/>
    <s v="OC. 80 - EXTRAVIO TOTAL"/>
    <s v="TRANSPORTADORA"/>
    <x v="2"/>
    <n v="34454"/>
    <s v="MAGAZINE TRIANGULO LTDA ME"/>
    <s v="MG"/>
    <n v="350"/>
    <s v="Ats On"/>
    <n v="1350"/>
    <n v="326008340"/>
    <s v="Anéis de Vedação"/>
    <x v="10"/>
    <n v="2"/>
    <n v="5004101"/>
    <s v="UNIDOCK'S ASSESSORIA E LOGISTICA DE"/>
    <n v="34.24"/>
    <d v="2025-08-12T00:00:00"/>
  </r>
  <r>
    <s v="Sem TR"/>
    <n v="64830543"/>
    <s v="ROB"/>
    <n v="10151551"/>
    <n v="25"/>
    <s v="OC. 80 - EXTRAVIO TOTAL"/>
    <s v="TRANSPORTADORA"/>
    <x v="2"/>
    <n v="34454"/>
    <s v="MAGAZINE TRIANGULO LTDA ME"/>
    <s v="MG"/>
    <n v="350"/>
    <s v="Ats On"/>
    <n v="1350"/>
    <n v="326073242"/>
    <s v="Placas de Controle"/>
    <x v="2"/>
    <n v="1"/>
    <n v="5004101"/>
    <s v="UNIDOCK'S ASSESSORIA E LOGISTICA DE"/>
    <n v="126.55"/>
    <d v="2025-08-12T00:00:00"/>
  </r>
  <r>
    <s v="Sem TR"/>
    <n v="64830543"/>
    <s v="ROB"/>
    <n v="10151551"/>
    <n v="25"/>
    <s v="OC. 80 - EXTRAVIO TOTAL"/>
    <s v="TRANSPORTADORA"/>
    <x v="2"/>
    <n v="34454"/>
    <s v="MAGAZINE TRIANGULO LTDA ME"/>
    <s v="MG"/>
    <n v="350"/>
    <s v="Ats On"/>
    <n v="1350"/>
    <s v="W10436958"/>
    <s v="Portas"/>
    <x v="3"/>
    <n v="1"/>
    <n v="5004101"/>
    <s v="UNIDOCK'S ASSESSORIA E LOGISTICA DE"/>
    <n v="35.25"/>
    <d v="2025-08-12T00:00:00"/>
  </r>
  <r>
    <s v="Sem TR"/>
    <n v="64830543"/>
    <s v="ROB"/>
    <n v="10151551"/>
    <n v="25"/>
    <s v="OC. 80 - EXTRAVIO TOTAL"/>
    <s v="TRANSPORTADORA"/>
    <x v="2"/>
    <n v="34454"/>
    <s v="MAGAZINE TRIANGULO LTDA ME"/>
    <s v="MG"/>
    <n v="350"/>
    <s v="Ats On"/>
    <n v="1350"/>
    <s v="W10882241"/>
    <s v="Agitadores"/>
    <x v="4"/>
    <n v="1"/>
    <n v="5004101"/>
    <s v="UNIDOCK'S ASSESSORIA E LOGISTICA DE"/>
    <n v="52.64"/>
    <d v="2025-08-12T00:00:00"/>
  </r>
  <r>
    <s v="Sem TR"/>
    <n v="64830543"/>
    <s v="ROB"/>
    <n v="10151551"/>
    <n v="25"/>
    <s v="OC. 80 - EXTRAVIO TOTAL"/>
    <s v="TRANSPORTADORA"/>
    <x v="2"/>
    <n v="34454"/>
    <s v="MAGAZINE TRIANGULO LTDA ME"/>
    <s v="MG"/>
    <n v="350"/>
    <s v="Ats On"/>
    <n v="1350"/>
    <s v="W11245249"/>
    <s v="Válvulas de Água"/>
    <x v="6"/>
    <n v="1"/>
    <n v="5004101"/>
    <s v="UNIDOCK'S ASSESSORIA E LOGISTICA DE"/>
    <n v="47.28"/>
    <d v="2025-08-12T00:00:00"/>
  </r>
  <r>
    <s v="Sem TR"/>
    <n v="64830543"/>
    <s v="ROB"/>
    <n v="10151551"/>
    <n v="25"/>
    <s v="OC. 80 - EXTRAVIO TOTAL"/>
    <s v="TRANSPORTADORA"/>
    <x v="2"/>
    <n v="34454"/>
    <s v="MAGAZINE TRIANGULO LTDA ME"/>
    <s v="MG"/>
    <n v="350"/>
    <s v="Ats On"/>
    <n v="1350"/>
    <s v="W11300816"/>
    <s v="Mecanismos"/>
    <x v="4"/>
    <n v="1"/>
    <n v="5004101"/>
    <s v="UNIDOCK'S ASSESSORIA E LOGISTICA DE"/>
    <n v="122.73"/>
    <d v="2025-08-12T00:00:00"/>
  </r>
  <r>
    <n v="254058181"/>
    <n v="64830596"/>
    <s v="REB"/>
    <n v="10001588"/>
    <n v="178"/>
    <s v="PEÇAS -Defeito de fabric./Sem Compressão"/>
    <s v="FUNCIONAL"/>
    <x v="2"/>
    <n v="87383"/>
    <s v="REFRIGERACAO RBL 25 LTDA"/>
    <s v="RJ"/>
    <n v="933"/>
    <s v="Top"/>
    <n v="1350"/>
    <s v="W10393822"/>
    <s v="Compressores Herméticos"/>
    <x v="0"/>
    <n v="1"/>
    <n v="5003176"/>
    <s v="J C THEDIN TRANSPORTES LTDA"/>
    <n v="429.25"/>
    <d v="2025-08-14T00:00:00"/>
  </r>
  <r>
    <s v="Sem TR"/>
    <n v="64830597"/>
    <s v="REB"/>
    <n v="10089555"/>
    <n v="177"/>
    <s v="PEÇAS - Defeito de fabric./Ruído"/>
    <s v="FUNCIONAL"/>
    <x v="1"/>
    <n v="1026"/>
    <s v="COMERCIAL ELETROPECAS LTDA"/>
    <s v="GO"/>
    <n v="350"/>
    <s v="Ats On"/>
    <n v="1350"/>
    <s v="W11300695"/>
    <s v="Mecanismos"/>
    <x v="4"/>
    <n v="1"/>
    <n v="5002858"/>
    <s v="FAVORITA TRANSPORTES LTDA"/>
    <n v="185.47"/>
    <d v="2025-08-14T00:00:00"/>
  </r>
  <r>
    <n v="254058150"/>
    <n v="64830598"/>
    <s v="REB"/>
    <n v="10066678"/>
    <n v="168"/>
    <s v="PEÇAS-Def.Fabric.Empenamento/Abaulamento"/>
    <s v="FUNCIONAL"/>
    <x v="2"/>
    <n v="67948"/>
    <s v="REFRICRIL DISTRIBUIDORA DE AR REFRI"/>
    <s v="SC"/>
    <n v="713"/>
    <s v="Key Account"/>
    <n v="1350"/>
    <s v="W10292562"/>
    <s v="Capas"/>
    <x v="3"/>
    <n v="1"/>
    <n v="5003024"/>
    <s v="RODOBRAS TRANSPORTES RODOVIARIOS LT"/>
    <n v="21.23"/>
    <d v="2025-08-14T00:00:00"/>
  </r>
  <r>
    <n v="254059894"/>
    <n v="64830600"/>
    <s v="REB"/>
    <n v="9953811"/>
    <n v="176"/>
    <s v="PEÇAS - Defeito de fabric./Interrompido"/>
    <s v="FUNCIONAL"/>
    <x v="2"/>
    <n v="13757"/>
    <s v="FRIGELAR COMÉRCIO E INDÚSTRIA LTDA"/>
    <s v="SP"/>
    <n v="713"/>
    <s v="Key Account"/>
    <n v="1350"/>
    <n v="326061171"/>
    <s v="Placas de Controle"/>
    <x v="2"/>
    <n v="1"/>
    <n v="5004042"/>
    <s v="BRASIL WEB TRANSPORTES E LOGISTICA"/>
    <n v="293.08999999999997"/>
    <d v="2025-08-14T00:00:00"/>
  </r>
  <r>
    <n v="254059894"/>
    <n v="64830600"/>
    <s v="REB"/>
    <n v="9953811"/>
    <n v="176"/>
    <s v="PEÇAS - Defeito de fabric./Interrompido"/>
    <s v="FUNCIONAL"/>
    <x v="2"/>
    <n v="13757"/>
    <s v="FRIGELAR COMÉRCIO E INDÚSTRIA LTDA"/>
    <s v="SP"/>
    <n v="713"/>
    <s v="Key Account"/>
    <n v="1350"/>
    <s v="W11634491"/>
    <s v="Placas de Controle"/>
    <x v="2"/>
    <n v="1"/>
    <n v="5004042"/>
    <s v="BRASIL WEB TRANSPORTES E LOGISTICA"/>
    <n v="63.92"/>
    <d v="2025-08-14T00:00:00"/>
  </r>
  <r>
    <n v="254058145"/>
    <n v="64830601"/>
    <s v="REB"/>
    <n v="10091963"/>
    <n v="173"/>
    <s v="PEÇAS - Defeito de fabric./Alta Amperage"/>
    <s v="FUNCIONAL"/>
    <x v="2"/>
    <n v="59026"/>
    <s v="OSMAR DALMASO - ME"/>
    <s v="ES"/>
    <n v="932"/>
    <s v="CDP Prata"/>
    <n v="1350"/>
    <s v="W11647660"/>
    <s v="Compressores Herméticos"/>
    <x v="0"/>
    <n v="1"/>
    <n v="5004042"/>
    <s v="BRASIL WEB TRANSPORTES E LOGISTICA"/>
    <n v="266.23"/>
    <d v="2025-08-14T00:00:00"/>
  </r>
  <r>
    <n v="254058157"/>
    <n v="64830602"/>
    <s v="REB"/>
    <n v="9900551"/>
    <n v="178"/>
    <s v="PEÇAS -Defeito de fabric./Sem Compressão"/>
    <s v="FUNCIONAL"/>
    <x v="2"/>
    <n v="76236"/>
    <s v="LEANDRO RICARDO LEITE"/>
    <s v="SP"/>
    <n v="641"/>
    <s v="CDP Diamante"/>
    <n v="1350"/>
    <s v="W11677208"/>
    <s v="Compressores Herméticos"/>
    <x v="0"/>
    <n v="1"/>
    <n v="5004042"/>
    <s v="BRASIL WEB TRANSPORTES E LOGISTICA"/>
    <n v="341.64"/>
    <d v="2025-08-14T00:00:00"/>
  </r>
  <r>
    <n v="254056462"/>
    <n v="64830617"/>
    <s v="REB"/>
    <n v="10164986"/>
    <n v="177"/>
    <s v="PEÇAS - Defeito de fabric./Ruído"/>
    <s v="FUNCIONAL"/>
    <x v="1"/>
    <n v="21594"/>
    <s v="GOLD SERVICE COMERCIO"/>
    <s v="SP"/>
    <n v="931"/>
    <s v="Ats Off"/>
    <n v="1350"/>
    <s v="W10807957"/>
    <s v="Conjunto Varetas"/>
    <x v="11"/>
    <n v="1"/>
    <n v="5004042"/>
    <s v="BRASIL WEB TRANSPORTES E LOGISTICA"/>
    <n v="91.67"/>
    <d v="2025-08-15T00:00:00"/>
  </r>
  <r>
    <n v="254061114"/>
    <n v="64830658"/>
    <s v="REB"/>
    <n v="10111445"/>
    <n v="173"/>
    <s v="PEÇAS - Defeito de fabric./Alta Amperage"/>
    <s v="FUNCIONAL"/>
    <x v="1"/>
    <n v="37434"/>
    <s v="ELETRO MARTINS LTDA"/>
    <s v="GO"/>
    <n v="931"/>
    <s v="Ats Off"/>
    <n v="1350"/>
    <s v="W11163349"/>
    <s v="Placas de Controle"/>
    <x v="2"/>
    <n v="1"/>
    <n v="5002858"/>
    <s v="FAVORITA TRANSPORTES LTDA"/>
    <n v="68.77"/>
    <d v="2025-08-15T00:00:00"/>
  </r>
  <r>
    <n v="254056461"/>
    <n v="64830712"/>
    <s v="REB"/>
    <n v="10169157"/>
    <n v="177"/>
    <s v="PEÇAS - Defeito de fabric./Ruído"/>
    <s v="FUNCIONAL"/>
    <x v="1"/>
    <n v="21594"/>
    <s v="GOLD SERVICE COMERCIO"/>
    <s v="SP"/>
    <n v="931"/>
    <s v="Ats Off"/>
    <n v="1350"/>
    <s v="W11345790"/>
    <s v="Motores Ventiladores"/>
    <x v="2"/>
    <n v="1"/>
    <n v="5004042"/>
    <s v="BRASIL WEB TRANSPORTES E LOGISTICA"/>
    <n v="455.77"/>
    <d v="2025-08-15T00:00:00"/>
  </r>
  <r>
    <n v="254059895"/>
    <n v="64830713"/>
    <s v="REB"/>
    <n v="10084054"/>
    <n v="173"/>
    <s v="PEÇAS - Defeito de fabric./Alta Amperage"/>
    <s v="FUNCIONAL"/>
    <x v="2"/>
    <n v="13757"/>
    <s v="FRIGELAR COMÉRCIO E INDÚSTRIA LTDA"/>
    <s v="SP"/>
    <n v="713"/>
    <s v="Key Account"/>
    <n v="1350"/>
    <s v="W11435390"/>
    <s v="Placas de Controle"/>
    <x v="2"/>
    <n v="1"/>
    <n v="5004042"/>
    <s v="BRASIL WEB TRANSPORTES E LOGISTICA"/>
    <n v="251.62"/>
    <d v="2025-08-15T00:00:00"/>
  </r>
  <r>
    <n v="254056456"/>
    <n v="64830768"/>
    <s v="REB"/>
    <n v="9736903"/>
    <n v="173"/>
    <s v="PEÇAS - Defeito de fabric./Alta Amperage"/>
    <s v="FUNCIONAL"/>
    <x v="1"/>
    <n v="13747"/>
    <s v="FRIGELAR COMÉRCIO E INDÚSTRIA LTDA"/>
    <s v="RS"/>
    <n v="713"/>
    <s v="Key Account"/>
    <n v="1350"/>
    <s v="W10751205"/>
    <s v="Placas de Interface"/>
    <x v="2"/>
    <n v="1"/>
    <n v="5003024"/>
    <s v="RODOBRAS TRANSPORTES RODOVIARIOS LT"/>
    <n v="135.58000000000001"/>
    <d v="2025-08-15T00:00:00"/>
  </r>
  <r>
    <n v="254061101"/>
    <n v="64830770"/>
    <s v="REB"/>
    <n v="10157097"/>
    <n v="176"/>
    <s v="PEÇAS - Defeito de fabric./Interrompido"/>
    <s v="FUNCIONAL"/>
    <x v="2"/>
    <n v="31587"/>
    <s v="COPEGEL REFRIGERACAO LTDA"/>
    <s v="SP"/>
    <n v="643"/>
    <s v="Elite"/>
    <n v="1350"/>
    <s v="W10791633"/>
    <s v="Retentores"/>
    <x v="10"/>
    <n v="1"/>
    <n v="5004042"/>
    <s v="BRASIL WEB TRANSPORTES E LOGISTICA"/>
    <n v="9.01"/>
    <d v="2025-08-15T00:00:00"/>
  </r>
  <r>
    <n v="254061102"/>
    <n v="64830771"/>
    <s v="REB"/>
    <n v="10030092"/>
    <n v="176"/>
    <s v="PEÇAS - Defeito de fabric./Interrompido"/>
    <s v="FUNCIONAL"/>
    <x v="2"/>
    <n v="31587"/>
    <s v="COPEGEL REFRIGERACAO LTDA"/>
    <s v="SP"/>
    <n v="643"/>
    <s v="Elite"/>
    <n v="1350"/>
    <s v="W10405579"/>
    <s v="Bombas"/>
    <x v="2"/>
    <n v="1"/>
    <n v="5004042"/>
    <s v="BRASIL WEB TRANSPORTES E LOGISTICA"/>
    <n v="80.78"/>
    <d v="2025-08-15T00:00:00"/>
  </r>
  <r>
    <s v="Sem TR"/>
    <n v="64830783"/>
    <s v="ROB"/>
    <n v="10161306"/>
    <n v="25"/>
    <s v="OC. 80 - EXTRAVIO TOTAL"/>
    <s v="TRANSPORTADORA"/>
    <x v="2"/>
    <n v="34875"/>
    <s v="COMERCIAL MORATELLI - EIRELI"/>
    <s v="SC"/>
    <n v="350"/>
    <s v="Ats On"/>
    <n v="1350"/>
    <n v="326015421"/>
    <s v="Parafusos e afins"/>
    <x v="7"/>
    <n v="50"/>
    <n v="5003024"/>
    <s v="RODOBRAS TRANSPORTES RODOVIARIOS LT"/>
    <n v="66.56"/>
    <d v="2025-08-12T00:00:00"/>
  </r>
  <r>
    <s v="Sem TR"/>
    <n v="64830900"/>
    <s v="REB"/>
    <n v="10052361"/>
    <n v="173"/>
    <s v="PEÇAS - Defeito de fabric./Alta Amperage"/>
    <s v="FUNCIONAL"/>
    <x v="1"/>
    <n v="5011"/>
    <s v="GIANI PECAS E SERVICOS PARA"/>
    <s v="RS"/>
    <n v="350"/>
    <s v="Ats On"/>
    <n v="1350"/>
    <s v="W10619171"/>
    <s v="Placas de Controle"/>
    <x v="2"/>
    <n v="1"/>
    <n v="5003024"/>
    <s v="RODOBRAS TRANSPORTES RODOVIARIOS LT"/>
    <n v="571.16999999999996"/>
    <d v="2025-08-13T00:00:00"/>
  </r>
  <r>
    <n v="254061115"/>
    <n v="64830976"/>
    <s v="REB"/>
    <n v="10111445"/>
    <n v="173"/>
    <s v="PEÇAS - Defeito de fabric./Alta Amperage"/>
    <s v="FUNCIONAL"/>
    <x v="1"/>
    <n v="37434"/>
    <s v="ELETRO MARTINS LTDA"/>
    <s v="GO"/>
    <n v="931"/>
    <s v="Ats Off"/>
    <n v="1350"/>
    <s v="W11543434"/>
    <s v="Outros"/>
    <x v="5"/>
    <n v="1"/>
    <n v="5002858"/>
    <s v="FAVORITA TRANSPORTES LTDA"/>
    <n v="241.97"/>
    <d v="2025-08-15T00:00:00"/>
  </r>
  <r>
    <n v="254061194"/>
    <n v="64830988"/>
    <s v="REB"/>
    <n v="10128103"/>
    <n v="176"/>
    <s v="PEÇAS - Defeito de fabric./Interrompido"/>
    <s v="FUNCIONAL"/>
    <x v="1"/>
    <n v="82446"/>
    <s v="LUCIANO RAFAEL VIEIRA"/>
    <s v="GO"/>
    <n v="641"/>
    <s v="CDP Diamante"/>
    <n v="1350"/>
    <s v="W11435392"/>
    <s v="Placas de Controle"/>
    <x v="2"/>
    <n v="1"/>
    <n v="5002858"/>
    <s v="FAVORITA TRANSPORTES LTDA"/>
    <n v="268.93"/>
    <d v="2025-08-15T00:00:00"/>
  </r>
  <r>
    <n v="254061105"/>
    <n v="64830996"/>
    <s v="REB"/>
    <n v="9712355"/>
    <n v="178"/>
    <s v="PEÇAS -Defeito de fabric./Sem Compressão"/>
    <s v="FUNCIONAL"/>
    <x v="2"/>
    <n v="32455"/>
    <s v="FRIOSAMO REFRIGERACAO LTDA"/>
    <s v="SP"/>
    <n v="643"/>
    <s v="Elite"/>
    <n v="1350"/>
    <s v="W10769941"/>
    <s v="Compressores Herméticos"/>
    <x v="0"/>
    <n v="2"/>
    <n v="5004042"/>
    <s v="BRASIL WEB TRANSPORTES E LOGISTICA"/>
    <n v="792.11"/>
    <d v="2025-08-15T00:00:00"/>
  </r>
  <r>
    <n v="254061106"/>
    <n v="64830997"/>
    <s v="REB"/>
    <n v="9977856"/>
    <n v="178"/>
    <s v="PEÇAS -Defeito de fabric./Sem Compressão"/>
    <s v="FUNCIONAL"/>
    <x v="1"/>
    <n v="32455"/>
    <s v="FRIOSAMO REFRIGERACAO LTDA"/>
    <s v="SP"/>
    <n v="643"/>
    <s v="Elite"/>
    <n v="1350"/>
    <s v="W11741178"/>
    <s v="Outros"/>
    <x v="5"/>
    <n v="2"/>
    <n v="5004042"/>
    <s v="BRASIL WEB TRANSPORTES E LOGISTICA"/>
    <n v="624"/>
    <d v="2025-08-15T00:00:00"/>
  </r>
  <r>
    <s v="Sem TR"/>
    <n v="64831008"/>
    <s v="REB"/>
    <n v="10166397"/>
    <n v="90"/>
    <s v="CLIENTE-não solicitou"/>
    <s v="COMERCIAL"/>
    <x v="1"/>
    <n v="34532"/>
    <s v="FRIOGASMAQ COMERCIAL LTDA"/>
    <s v="SC"/>
    <n v="350"/>
    <s v="Ats On"/>
    <n v="1350"/>
    <s v="W10647165"/>
    <s v="Placas de Controle"/>
    <x v="2"/>
    <n v="1"/>
    <n v="5003024"/>
    <s v="RODOBRAS TRANSPORTES RODOVIARIOS LT"/>
    <n v="519.03"/>
    <d v="2025-08-15T00:00:00"/>
  </r>
  <r>
    <s v="Sem TR"/>
    <n v="64831067"/>
    <s v="REB"/>
    <n v="10111265"/>
    <n v="173"/>
    <s v="PEÇAS - Defeito de fabric./Alta Amperage"/>
    <s v="FUNCIONAL"/>
    <x v="1"/>
    <n v="24289"/>
    <s v="REFRIGERACAO MOTA LTDA"/>
    <s v="MG"/>
    <n v="643"/>
    <s v="Elite"/>
    <n v="1350"/>
    <s v="W11240384"/>
    <s v="Placas de Controle"/>
    <x v="2"/>
    <n v="1"/>
    <n v="5004215"/>
    <s v="BRASIL WEB TRANSPORTES E LOGISTICA"/>
    <n v="91.25"/>
    <d v="2025-08-15T00:00:00"/>
  </r>
  <r>
    <s v="Sem TR"/>
    <n v="64831067"/>
    <s v="REB"/>
    <n v="10111265"/>
    <n v="173"/>
    <s v="PEÇAS - Defeito de fabric./Alta Amperage"/>
    <s v="FUNCIONAL"/>
    <x v="1"/>
    <n v="24289"/>
    <s v="REFRIGERACAO MOTA LTDA"/>
    <s v="MG"/>
    <n v="643"/>
    <s v="Elite"/>
    <n v="1350"/>
    <s v="W11161216"/>
    <s v="Placas de Controle"/>
    <x v="2"/>
    <n v="2"/>
    <n v="5004215"/>
    <s v="BRASIL WEB TRANSPORTES E LOGISTICA"/>
    <n v="530.99"/>
    <d v="2025-08-15T00:00:00"/>
  </r>
  <r>
    <s v="Sem TR"/>
    <n v="64831067"/>
    <s v="REB"/>
    <n v="10111265"/>
    <n v="173"/>
    <s v="PEÇAS - Defeito de fabric./Alta Amperage"/>
    <s v="FUNCIONAL"/>
    <x v="1"/>
    <n v="24289"/>
    <s v="REFRIGERACAO MOTA LTDA"/>
    <s v="MG"/>
    <n v="643"/>
    <s v="Elite"/>
    <n v="1350"/>
    <s v="W10626365"/>
    <s v="Placas de Interface"/>
    <x v="2"/>
    <n v="1"/>
    <n v="5004215"/>
    <s v="BRASIL WEB TRANSPORTES E LOGISTICA"/>
    <n v="113"/>
    <d v="2025-08-15T00:00:00"/>
  </r>
  <r>
    <s v="Sem TR"/>
    <n v="64831067"/>
    <s v="REB"/>
    <n v="10111265"/>
    <n v="173"/>
    <s v="PEÇAS - Defeito de fabric./Alta Amperage"/>
    <s v="FUNCIONAL"/>
    <x v="1"/>
    <n v="24289"/>
    <s v="REFRIGERACAO MOTA LTDA"/>
    <s v="MG"/>
    <n v="643"/>
    <s v="Elite"/>
    <n v="1350"/>
    <s v="W10408280"/>
    <s v="Válvulas de Água"/>
    <x v="6"/>
    <n v="1"/>
    <n v="5004215"/>
    <s v="BRASIL WEB TRANSPORTES E LOGISTICA"/>
    <n v="61.22"/>
    <d v="2025-08-15T00:00:00"/>
  </r>
  <r>
    <s v="Sem TR"/>
    <n v="64831098"/>
    <s v="REB"/>
    <n v="9958698"/>
    <n v="173"/>
    <s v="PEÇAS - Defeito de fabric./Alta Amperage"/>
    <s v="FUNCIONAL"/>
    <x v="1"/>
    <n v="25727"/>
    <s v="Polo PeCas para RefrigeraCAo e"/>
    <s v="GO"/>
    <n v="644"/>
    <s v="Plus"/>
    <n v="1350"/>
    <s v="W10393823"/>
    <s v="Compressores Herméticos"/>
    <x v="0"/>
    <n v="1"/>
    <n v="5002858"/>
    <s v="FAVORITA TRANSPORTES LTDA"/>
    <n v="504.7"/>
    <d v="2025-08-15T00:00:00"/>
  </r>
  <r>
    <s v="Sem TR"/>
    <n v="64831105"/>
    <s v="REB"/>
    <n v="10012345"/>
    <n v="173"/>
    <s v="PEÇAS - Defeito de fabric./Alta Amperage"/>
    <s v="FUNCIONAL"/>
    <x v="1"/>
    <n v="24289"/>
    <s v="REFRIGERACAO MOTA LTDA"/>
    <s v="MG"/>
    <n v="643"/>
    <s v="Elite"/>
    <n v="1350"/>
    <s v="W11568144"/>
    <s v="Placas de Controle"/>
    <x v="2"/>
    <n v="1"/>
    <n v="5004215"/>
    <s v="BRASIL WEB TRANSPORTES E LOGISTICA"/>
    <n v="263.88"/>
    <d v="2025-08-15T00:00:00"/>
  </r>
  <r>
    <s v="Sem TR"/>
    <n v="64831106"/>
    <s v="REB"/>
    <n v="10156184"/>
    <n v="177"/>
    <s v="PEÇAS - Defeito de fabric./Ruído"/>
    <s v="FUNCIONAL"/>
    <x v="1"/>
    <n v="5039"/>
    <s v="MAQ TEC COMERCIO DE PECAS"/>
    <s v="RS"/>
    <n v="350"/>
    <s v="Ats On"/>
    <n v="1350"/>
    <s v="W11300698"/>
    <s v="Mecanismos"/>
    <x v="4"/>
    <n v="1"/>
    <n v="5003024"/>
    <s v="RODOBRAS TRANSPORTES RODOVIARIOS LT"/>
    <n v="244.21"/>
    <d v="2025-08-15T00:00:00"/>
  </r>
  <r>
    <n v="254061123"/>
    <n v="64831155"/>
    <s v="REB"/>
    <n v="10039420"/>
    <n v="173"/>
    <s v="PEÇAS - Defeito de fabric./Alta Amperage"/>
    <s v="FUNCIONAL"/>
    <x v="1"/>
    <n v="47471"/>
    <s v="REFRISOLAR REFRIGERACAO LTDA"/>
    <s v="TO"/>
    <n v="643"/>
    <s v="Elite"/>
    <n v="1350"/>
    <s v="W10678923"/>
    <s v="Placas de Controle"/>
    <x v="2"/>
    <n v="1"/>
    <n v="5002858"/>
    <s v="FAVORITA TRANSPORTES LTDA"/>
    <n v="65.48"/>
    <d v="2025-08-15T00:00:00"/>
  </r>
  <r>
    <n v="254061173"/>
    <n v="64831156"/>
    <s v="REB"/>
    <n v="10002547"/>
    <n v="176"/>
    <s v="PEÇAS - Defeito de fabric./Interrompido"/>
    <s v="FUNCIONAL"/>
    <x v="1"/>
    <n v="76462"/>
    <s v="RC REFRIGERACAO LTDA"/>
    <s v="DF"/>
    <n v="933"/>
    <s v="Top"/>
    <n v="1350"/>
    <s v="W10619170"/>
    <s v="Placas de Controle"/>
    <x v="2"/>
    <n v="1"/>
    <n v="5002858"/>
    <s v="FAVORITA TRANSPORTES LTDA"/>
    <n v="236.78"/>
    <d v="2025-08-15T00:00:00"/>
  </r>
  <r>
    <n v="254061124"/>
    <n v="64831157"/>
    <s v="REB"/>
    <n v="10039420"/>
    <n v="173"/>
    <s v="PEÇAS - Defeito de fabric./Alta Amperage"/>
    <s v="FUNCIONAL"/>
    <x v="2"/>
    <n v="47471"/>
    <s v="REFRISOLAR REFRIGERACAO LTDA"/>
    <s v="TO"/>
    <n v="643"/>
    <s v="Elite"/>
    <n v="1350"/>
    <s v="W10882241"/>
    <s v="Agitadores"/>
    <x v="4"/>
    <n v="1"/>
    <n v="5002858"/>
    <s v="FAVORITA TRANSPORTES LTDA"/>
    <n v="44.24"/>
    <d v="2025-08-15T00:00:00"/>
  </r>
  <r>
    <s v="Sem TR"/>
    <n v="64831180"/>
    <s v="REB"/>
    <n v="9773521"/>
    <n v="178"/>
    <s v="PEÇAS -Defeito de fabric./Sem Compressão"/>
    <s v="FUNCIONAL"/>
    <x v="1"/>
    <n v="53319"/>
    <s v="PARTS FRIO DISTRIBUIDORA DE"/>
    <s v="PR"/>
    <n v="644"/>
    <s v="Plus"/>
    <n v="1350"/>
    <s v="W11647660"/>
    <s v="Compressores Herméticos"/>
    <x v="0"/>
    <n v="1"/>
    <n v="5003024"/>
    <s v="RODOBRAS TRANSPORTES RODOVIARIOS LT"/>
    <n v="325.72000000000003"/>
    <d v="2025-08-14T00:00:00"/>
  </r>
  <r>
    <s v="Sem TR"/>
    <n v="64831181"/>
    <s v="REB"/>
    <n v="9804535"/>
    <n v="178"/>
    <s v="PEÇAS -Defeito de fabric./Sem Compressão"/>
    <s v="FUNCIONAL"/>
    <x v="1"/>
    <n v="53319"/>
    <s v="PARTS FRIO DISTRIBUIDORA DE"/>
    <s v="PR"/>
    <n v="644"/>
    <s v="Plus"/>
    <n v="1350"/>
    <s v="W10393823"/>
    <s v="Compressores Herméticos"/>
    <x v="0"/>
    <n v="1"/>
    <n v="5003024"/>
    <s v="RODOBRAS TRANSPORTES RODOVIARIOS LT"/>
    <n v="543.49"/>
    <d v="2025-08-14T00:00:00"/>
  </r>
  <r>
    <s v="Sem TR"/>
    <n v="64831233"/>
    <s v="REB"/>
    <n v="10052797"/>
    <n v="173"/>
    <s v="PEÇAS - Defeito de fabric./Alta Amperage"/>
    <s v="FUNCIONAL"/>
    <x v="1"/>
    <n v="1255"/>
    <s v="PRAMAK REFRIGERACAO, PECAS E"/>
    <s v="CE"/>
    <n v="931"/>
    <s v="Ats Off"/>
    <n v="1350"/>
    <s v="W11366400"/>
    <s v="Placas de Controle"/>
    <x v="2"/>
    <n v="1"/>
    <n v="5004101"/>
    <s v="UNIDOCK'S ASSESSORIA E LOGISTICA DE"/>
    <n v="240.18"/>
    <d v="2025-08-15T00:00:00"/>
  </r>
  <r>
    <n v="254056456"/>
    <n v="64831247"/>
    <s v="REB"/>
    <n v="9926431"/>
    <n v="173"/>
    <s v="PEÇAS - Defeito de fabric./Alta Amperage"/>
    <s v="FUNCIONAL"/>
    <x v="1"/>
    <n v="13747"/>
    <s v="FRIGELAR COMÉRCIO E INDÚSTRIA LTDA"/>
    <s v="RS"/>
    <n v="713"/>
    <s v="Key Account"/>
    <n v="1350"/>
    <s v="W10586927"/>
    <s v="Placas de Controle"/>
    <x v="2"/>
    <n v="1"/>
    <n v="5003024"/>
    <s v="RODOBRAS TRANSPORTES RODOVIARIOS LT"/>
    <n v="156.25"/>
    <d v="2025-08-15T00:00:00"/>
  </r>
  <r>
    <n v="254056467"/>
    <n v="64831248"/>
    <s v="REB"/>
    <n v="10002896"/>
    <n v="173"/>
    <s v="PEÇAS - Defeito de fabric./Alta Amperage"/>
    <s v="FUNCIONAL"/>
    <x v="1"/>
    <n v="21639"/>
    <s v="Ar Frio RefrigeraCAo Ltda"/>
    <s v="TO"/>
    <n v="932"/>
    <s v="CDP Prata"/>
    <n v="1350"/>
    <s v="W11435392"/>
    <s v="Placas de Controle"/>
    <x v="2"/>
    <n v="1"/>
    <n v="5002858"/>
    <s v="FAVORITA TRANSPORTES LTDA"/>
    <n v="312.12"/>
    <d v="2025-08-15T00:00:00"/>
  </r>
  <r>
    <s v="Sem TR"/>
    <n v="64831265"/>
    <s v="REB"/>
    <n v="10130876"/>
    <n v="104"/>
    <s v="PEÇAS-Código trocado(embalag X conteúdo)"/>
    <s v="LOGÍSTICA"/>
    <x v="1"/>
    <n v="80615"/>
    <s v="TEMPOS COMERCIO E SERVICOS EIRELI"/>
    <s v="PA"/>
    <n v="350"/>
    <s v="Ats On"/>
    <n v="1350"/>
    <s v="W11378774"/>
    <s v="Vidros"/>
    <x v="3"/>
    <n v="1"/>
    <n v="5002858"/>
    <s v="FAVORITA TRANSPORTES LTDA"/>
    <n v="295.89"/>
    <d v="2025-08-13T00:00:00"/>
  </r>
  <r>
    <s v="Sem TR"/>
    <n v="64831281"/>
    <s v="REB"/>
    <n v="10083014"/>
    <n v="173"/>
    <s v="PEÇAS - Defeito de fabric./Alta Amperage"/>
    <s v="FUNCIONAL"/>
    <x v="1"/>
    <n v="70991"/>
    <s v="CLEIDE MARIA DE PAULA SOARES"/>
    <s v="SP"/>
    <n v="932"/>
    <s v="CDP Prata"/>
    <n v="1350"/>
    <s v="W11254865"/>
    <s v="Mecanismos"/>
    <x v="4"/>
    <n v="1"/>
    <n v="5004042"/>
    <s v="BRASIL WEB TRANSPORTES E LOGISTICA"/>
    <n v="171.82"/>
    <d v="2025-08-15T00:00:00"/>
  </r>
  <r>
    <n v="254056329"/>
    <n v="64831282"/>
    <s v="REB"/>
    <n v="10125669"/>
    <n v="176"/>
    <s v="PEÇAS - Defeito de fabric./Interrompido"/>
    <s v="FUNCIONAL"/>
    <x v="1"/>
    <n v="3506"/>
    <s v="TECBRAS ASSISTENCIA TECNICA"/>
    <s v="SP"/>
    <n v="931"/>
    <s v="Ats Off"/>
    <n v="1350"/>
    <s v="W10699240"/>
    <s v="Filtro Secadores"/>
    <x v="0"/>
    <n v="1"/>
    <n v="5004042"/>
    <s v="BRASIL WEB TRANSPORTES E LOGISTICA"/>
    <n v="8.18"/>
    <d v="2025-08-15T00:00:00"/>
  </r>
  <r>
    <n v="254056476"/>
    <n v="64831283"/>
    <s v="REB"/>
    <n v="10015689"/>
    <n v="178"/>
    <s v="PEÇAS -Defeito de fabric./Sem Compressão"/>
    <s v="FUNCIONAL"/>
    <x v="2"/>
    <n v="29164"/>
    <s v="BRASTEMAK REFRIGERACAO LTDA"/>
    <s v="BA"/>
    <n v="648"/>
    <s v="Ultra"/>
    <n v="1350"/>
    <s v="W11516471"/>
    <s v="Compressores Herméticos"/>
    <x v="0"/>
    <n v="1"/>
    <n v="5004101"/>
    <s v="UNIDOCK'S ASSESSORIA E LOGISTICA DE"/>
    <n v="361.13"/>
    <d v="2025-08-15T00:00:00"/>
  </r>
  <r>
    <n v="254056480"/>
    <n v="64831345"/>
    <s v="REB"/>
    <n v="9959027"/>
    <n v="178"/>
    <s v="PEÇAS -Defeito de fabric./Sem Compressão"/>
    <s v="FUNCIONAL"/>
    <x v="1"/>
    <n v="31587"/>
    <s v="COPEGEL REFRIGERACAO LTDA"/>
    <s v="SP"/>
    <n v="643"/>
    <s v="Elite"/>
    <n v="1350"/>
    <s v="W10393823"/>
    <s v="Compressores Herméticos"/>
    <x v="0"/>
    <n v="1"/>
    <n v="5004042"/>
    <s v="BRASIL WEB TRANSPORTES E LOGISTICA"/>
    <n v="572.33000000000004"/>
    <d v="2025-08-15T00:00:00"/>
  </r>
  <r>
    <n v="254056492"/>
    <n v="64831346"/>
    <s v="REB"/>
    <n v="10039721"/>
    <n v="173"/>
    <s v="PEÇAS - Defeito de fabric./Alta Amperage"/>
    <s v="FUNCIONAL"/>
    <x v="1"/>
    <n v="55093"/>
    <s v="NAUTICA REFRIGERACAO E"/>
    <s v="SP"/>
    <n v="648"/>
    <s v="Ultra"/>
    <n v="1350"/>
    <s v="W11240384"/>
    <s v="Placas de Controle"/>
    <x v="2"/>
    <n v="2"/>
    <n v="5004042"/>
    <s v="BRASIL WEB TRANSPORTES E LOGISTICA"/>
    <n v="227.07"/>
    <d v="2025-08-15T00:00:00"/>
  </r>
  <r>
    <n v="254056507"/>
    <n v="64831347"/>
    <s v="REB"/>
    <n v="10002550"/>
    <n v="173"/>
    <s v="PEÇAS - Defeito de fabric./Alta Amperage"/>
    <s v="FUNCIONAL"/>
    <x v="1"/>
    <n v="76848"/>
    <s v="MUNDIAL REFRIGERACAO LTDA"/>
    <s v="GO"/>
    <n v="643"/>
    <s v="Elite"/>
    <n v="1350"/>
    <s v="W11366400"/>
    <s v="Placas de Controle"/>
    <x v="2"/>
    <n v="1"/>
    <n v="5002858"/>
    <s v="FAVORITA TRANSPORTES LTDA"/>
    <n v="264.69"/>
    <d v="2025-08-15T00:00:00"/>
  </r>
  <r>
    <n v="254056329"/>
    <n v="64831348"/>
    <s v="REB"/>
    <n v="10175586"/>
    <n v="176"/>
    <s v="PEÇAS - Defeito de fabric./Interrompido"/>
    <s v="FUNCIONAL"/>
    <x v="1"/>
    <n v="3506"/>
    <s v="TECBRAS ASSISTENCIA TECNICA"/>
    <s v="SP"/>
    <n v="931"/>
    <s v="Ats Off"/>
    <n v="1350"/>
    <s v="W10399715"/>
    <s v="Motores Ventiladores"/>
    <x v="2"/>
    <n v="2"/>
    <n v="5004042"/>
    <s v="BRASIL WEB TRANSPORTES E LOGISTICA"/>
    <n v="95.59"/>
    <d v="2025-08-15T00:00:00"/>
  </r>
  <r>
    <s v="Sem TR"/>
    <n v="64831350"/>
    <s v="REB"/>
    <n v="10104972"/>
    <n v="167"/>
    <s v="PEÇAS - Avaria - Quebrada/Depósito"/>
    <s v="LOGÍSTICA"/>
    <x v="1"/>
    <n v="81075"/>
    <s v="ALVES COMERCIO, SERVICOS E"/>
    <s v="BA"/>
    <n v="934"/>
    <s v="CDP Ouro"/>
    <n v="1350"/>
    <s v="W10212144"/>
    <s v="Gavetas"/>
    <x v="1"/>
    <n v="1"/>
    <n v="5004101"/>
    <s v="UNIDOCK'S ASSESSORIA E LOGISTICA DE"/>
    <n v="35.47"/>
    <d v="2025-08-14T00:00:00"/>
  </r>
  <r>
    <n v="254058137"/>
    <n v="64831351"/>
    <s v="REB"/>
    <n v="9743029"/>
    <n v="176"/>
    <s v="PEÇAS - Defeito de fabric./Interrompido"/>
    <s v="FUNCIONAL"/>
    <x v="2"/>
    <n v="50822"/>
    <s v="CLAYTON DE OLIVEIRA"/>
    <s v="AL"/>
    <n v="644"/>
    <s v="Plus"/>
    <n v="1350"/>
    <s v="W11435392"/>
    <s v="Placas de Controle"/>
    <x v="2"/>
    <n v="1"/>
    <n v="5004101"/>
    <s v="UNIDOCK'S ASSESSORIA E LOGISTICA DE"/>
    <n v="351.46"/>
    <d v="2025-08-14T00:00:00"/>
  </r>
  <r>
    <n v="254058147"/>
    <n v="64831352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8-14T00:00:00"/>
  </r>
  <r>
    <n v="254058134"/>
    <n v="64831353"/>
    <s v="REB"/>
    <n v="9674538"/>
    <n v="178"/>
    <s v="PEÇAS -Defeito de fabric./Sem Compressão"/>
    <s v="FUNCIONAL"/>
    <x v="2"/>
    <n v="36655"/>
    <s v="REFRIGERACAO CLEITON LTDA"/>
    <s v="RJ"/>
    <n v="932"/>
    <s v="CDP Prata"/>
    <n v="1350"/>
    <s v="W10393802"/>
    <s v="Compressores Herméticos"/>
    <x v="0"/>
    <n v="3"/>
    <n v="5003176"/>
    <s v="J C THEDIN TRANSPORTES LTDA"/>
    <n v="982.4"/>
    <d v="2025-08-14T00:00:00"/>
  </r>
  <r>
    <n v="254058134"/>
    <n v="64831353"/>
    <s v="REB"/>
    <n v="9674538"/>
    <n v="178"/>
    <s v="PEÇAS -Defeito de fabric./Sem Compressão"/>
    <s v="FUNCIONAL"/>
    <x v="2"/>
    <n v="36655"/>
    <s v="REFRIGERACAO CLEITON LTDA"/>
    <s v="RJ"/>
    <n v="932"/>
    <s v="CDP Prata"/>
    <n v="1350"/>
    <s v="W11677210"/>
    <s v="Compressores Herméticos"/>
    <x v="0"/>
    <n v="2"/>
    <n v="5003176"/>
    <s v="J C THEDIN TRANSPORTES LTDA"/>
    <n v="833.08"/>
    <d v="2025-08-14T00:00:00"/>
  </r>
  <r>
    <n v="254056332"/>
    <n v="64831395"/>
    <s v="REB"/>
    <n v="9902914"/>
    <n v="173"/>
    <s v="PEÇAS - Defeito de fabric./Alta Amperage"/>
    <s v="FUNCIONAL"/>
    <x v="1"/>
    <n v="4167"/>
    <s v="MAQ VILLE PECAS E SERVICOS LTDA"/>
    <s v="SP"/>
    <n v="931"/>
    <s v="Ats Off"/>
    <n v="1350"/>
    <s v="W11435390"/>
    <s v="Placas de Controle"/>
    <x v="2"/>
    <n v="1"/>
    <n v="5004042"/>
    <s v="BRASIL WEB TRANSPORTES E LOGISTICA"/>
    <n v="368.47"/>
    <d v="2025-08-15T00:00:00"/>
  </r>
  <r>
    <n v="254059896"/>
    <n v="64831408"/>
    <s v="REB"/>
    <n v="10053897"/>
    <n v="173"/>
    <s v="PEÇAS - Defeito de fabric./Alta Amperage"/>
    <s v="FUNCIONAL"/>
    <x v="2"/>
    <n v="13757"/>
    <s v="FRIGELAR COMÉRCIO E INDÚSTRIA LTDA"/>
    <s v="SP"/>
    <n v="713"/>
    <s v="Key Account"/>
    <n v="1350"/>
    <s v="W10626365"/>
    <s v="Placas de Interface"/>
    <x v="2"/>
    <n v="1"/>
    <n v="5004042"/>
    <s v="BRASIL WEB TRANSPORTES E LOGISTICA"/>
    <n v="138.24"/>
    <d v="2025-08-15T00:00:00"/>
  </r>
  <r>
    <n v="254056463"/>
    <n v="64831411"/>
    <s v="REB"/>
    <n v="10149944"/>
    <n v="177"/>
    <s v="PEÇAS - Defeito de fabric./Ruído"/>
    <s v="FUNCIONAL"/>
    <x v="2"/>
    <n v="21594"/>
    <s v="GOLD SERVICE COMERCIO"/>
    <s v="SP"/>
    <n v="931"/>
    <s v="Ats Off"/>
    <n v="1350"/>
    <s v="W10882241"/>
    <s v="Agitadores"/>
    <x v="4"/>
    <n v="3"/>
    <n v="5004042"/>
    <s v="BRASIL WEB TRANSPORTES E LOGISTICA"/>
    <n v="172.47"/>
    <d v="2025-08-15T00:00:00"/>
  </r>
  <r>
    <s v="Sem TR"/>
    <n v="64831412"/>
    <s v="REB"/>
    <n v="10179714"/>
    <n v="173"/>
    <s v="PEÇAS - Defeito de fabric./Alta Amperage"/>
    <s v="FUNCIONAL"/>
    <x v="1"/>
    <n v="21330"/>
    <s v="REFRIEL COM DE PEÇAS REFRIG LTDA RE"/>
    <s v="PR"/>
    <n v="643"/>
    <s v="Elite"/>
    <n v="1350"/>
    <s v="W10855665"/>
    <s v="Placas de Controle"/>
    <x v="2"/>
    <n v="1"/>
    <n v="5003024"/>
    <s v="RODOBRAS TRANSPORTES RODOVIARIOS LT"/>
    <n v="280.37"/>
    <d v="2025-08-15T00:00:00"/>
  </r>
  <r>
    <n v="254056474"/>
    <n v="64831413"/>
    <s v="REB"/>
    <n v="10046034"/>
    <n v="173"/>
    <s v="PEÇAS - Defeito de fabric./Alta Amperage"/>
    <s v="FUNCIONAL"/>
    <x v="1"/>
    <n v="28162"/>
    <s v="DISTRIBUIDORA JUNDIAI DE PECAS PARA"/>
    <s v="SP"/>
    <n v="641"/>
    <s v="CDP Diamante"/>
    <n v="1350"/>
    <n v="326049983"/>
    <s v="Resistências"/>
    <x v="2"/>
    <n v="7"/>
    <n v="5004042"/>
    <s v="BRASIL WEB TRANSPORTES E LOGISTICA"/>
    <n v="596.30999999999995"/>
    <d v="2025-08-15T00:00:00"/>
  </r>
  <r>
    <n v="254056474"/>
    <n v="64831413"/>
    <s v="REB"/>
    <n v="10046034"/>
    <n v="173"/>
    <s v="PEÇAS - Defeito de fabric./Alta Amperage"/>
    <s v="FUNCIONAL"/>
    <x v="1"/>
    <n v="28162"/>
    <s v="DISTRIBUIDORA JUNDIAI DE PECAS PARA"/>
    <s v="SP"/>
    <n v="641"/>
    <s v="CDP Diamante"/>
    <n v="1350"/>
    <s v="W10171528"/>
    <s v="Pressostatos"/>
    <x v="8"/>
    <n v="5"/>
    <n v="5004042"/>
    <s v="BRASIL WEB TRANSPORTES E LOGISTICA"/>
    <n v="168.69"/>
    <d v="2025-08-15T00:00:00"/>
  </r>
  <r>
    <n v="254056474"/>
    <n v="64831413"/>
    <s v="REB"/>
    <n v="10046034"/>
    <n v="173"/>
    <s v="PEÇAS - Defeito de fabric./Alta Amperage"/>
    <s v="FUNCIONAL"/>
    <x v="1"/>
    <n v="28162"/>
    <s v="DISTRIBUIDORA JUNDIAI DE PECAS PARA"/>
    <s v="SP"/>
    <n v="641"/>
    <s v="CDP Diamante"/>
    <n v="1350"/>
    <s v="W10292562"/>
    <s v="Capas"/>
    <x v="3"/>
    <n v="10"/>
    <n v="5004042"/>
    <s v="BRASIL WEB TRANSPORTES E LOGISTICA"/>
    <n v="317.12"/>
    <d v="2025-08-15T00:00:00"/>
  </r>
  <r>
    <n v="254056474"/>
    <n v="64831413"/>
    <s v="REB"/>
    <n v="10046034"/>
    <n v="173"/>
    <s v="PEÇAS - Defeito de fabric./Alta Amperage"/>
    <s v="FUNCIONAL"/>
    <x v="1"/>
    <n v="28162"/>
    <s v="DISTRIBUIDORA JUNDIAI DE PECAS PARA"/>
    <s v="SP"/>
    <n v="641"/>
    <s v="CDP Diamante"/>
    <n v="1350"/>
    <s v="W11510292"/>
    <s v="Interruptores"/>
    <x v="8"/>
    <n v="1"/>
    <n v="5004042"/>
    <s v="BRASIL WEB TRANSPORTES E LOGISTICA"/>
    <n v="36.71"/>
    <d v="2025-08-15T00:00:00"/>
  </r>
  <r>
    <n v="254056498"/>
    <n v="64831430"/>
    <s v="REB"/>
    <n v="10088920"/>
    <n v="173"/>
    <s v="PEÇAS - Defeito de fabric./Alta Amperage"/>
    <s v="FUNCIONAL"/>
    <x v="2"/>
    <n v="72332"/>
    <s v="ARGELO REFRIGERACAO LTDA"/>
    <s v="RJ"/>
    <n v="933"/>
    <s v="Top"/>
    <n v="1350"/>
    <s v="W10686100"/>
    <s v="Placas de Controle"/>
    <x v="2"/>
    <n v="1"/>
    <n v="5003176"/>
    <s v="J C THEDIN TRANSPORTES LTDA"/>
    <n v="116.98"/>
    <d v="2025-08-15T00:00:00"/>
  </r>
  <r>
    <n v="254056511"/>
    <n v="64831431"/>
    <s v="REB"/>
    <n v="9808357"/>
    <n v="176"/>
    <s v="PEÇAS - Defeito de fabric./Interrompido"/>
    <s v="FUNCIONAL"/>
    <x v="2"/>
    <n v="83098"/>
    <s v="EXPRESSO REFRIGERACAO LTDA"/>
    <s v="PE"/>
    <n v="934"/>
    <s v="CDP Ouro"/>
    <n v="1350"/>
    <s v="W10709306"/>
    <s v="Placas de Controle"/>
    <x v="2"/>
    <n v="1"/>
    <n v="5004101"/>
    <s v="UNIDOCK'S ASSESSORIA E LOGISTICA DE"/>
    <n v="169.99"/>
    <d v="2025-08-15T00:00:00"/>
  </r>
  <r>
    <n v="254056463"/>
    <n v="64831433"/>
    <s v="REB"/>
    <n v="10143381"/>
    <n v="176"/>
    <s v="PEÇAS - Defeito de fabric./Interrompido"/>
    <s v="FUNCIONAL"/>
    <x v="2"/>
    <n v="21594"/>
    <s v="GOLD SERVICE COMERCIO"/>
    <s v="SP"/>
    <n v="931"/>
    <s v="Ats Off"/>
    <n v="1350"/>
    <s v="W11224155"/>
    <s v="Sensores"/>
    <x v="8"/>
    <n v="1"/>
    <n v="5004042"/>
    <s v="BRASIL WEB TRANSPORTES E LOGISTICA"/>
    <n v="54.92"/>
    <d v="2025-08-15T00:00:00"/>
  </r>
  <r>
    <s v="Sem TR"/>
    <n v="64831550"/>
    <s v="REB"/>
    <n v="10185647"/>
    <n v="176"/>
    <s v="PEÇAS - Defeito de fabric./Interrompido"/>
    <s v="FUNCIONAL"/>
    <x v="1"/>
    <n v="3524"/>
    <s v="CATEL - COMERCIO DE PECAS"/>
    <s v="SP"/>
    <n v="931"/>
    <s v="Ats Off"/>
    <n v="1350"/>
    <s v="W11435390"/>
    <s v="Placas de Controle"/>
    <x v="2"/>
    <n v="1"/>
    <n v="5004042"/>
    <s v="BRASIL WEB TRANSPORTES E LOGISTICA"/>
    <n v="308.91000000000003"/>
    <d v="2025-08-15T00:00:00"/>
  </r>
  <r>
    <s v="Sem TR"/>
    <n v="64831551"/>
    <s v="REB"/>
    <n v="10156917"/>
    <n v="176"/>
    <s v="PEÇAS - Defeito de fabric./Interrompido"/>
    <s v="FUNCIONAL"/>
    <x v="1"/>
    <n v="3524"/>
    <s v="CATEL - COMERCIO DE PECAS"/>
    <s v="SP"/>
    <n v="931"/>
    <s v="Ats Off"/>
    <n v="1350"/>
    <s v="W10428061"/>
    <s v="Anéis de Vedação"/>
    <x v="10"/>
    <n v="4"/>
    <n v="5004042"/>
    <s v="BRASIL WEB TRANSPORTES E LOGISTICA"/>
    <n v="30.51"/>
    <d v="2025-08-15T00:00:00"/>
  </r>
  <r>
    <s v="Sem TR"/>
    <n v="64831551"/>
    <s v="REB"/>
    <n v="10156917"/>
    <n v="176"/>
    <s v="PEÇAS - Defeito de fabric./Interrompido"/>
    <s v="FUNCIONAL"/>
    <x v="1"/>
    <n v="3524"/>
    <s v="CATEL - COMERCIO DE PECAS"/>
    <s v="SP"/>
    <n v="931"/>
    <s v="Ats Off"/>
    <n v="1350"/>
    <s v="W11516476"/>
    <s v="Compressores Herméticos"/>
    <x v="0"/>
    <n v="1"/>
    <n v="5004042"/>
    <s v="BRASIL WEB TRANSPORTES E LOGISTICA"/>
    <n v="471.27"/>
    <d v="2025-08-15T00:00:00"/>
  </r>
  <r>
    <s v="Sem TR"/>
    <n v="64831551"/>
    <s v="REB"/>
    <n v="10156917"/>
    <n v="176"/>
    <s v="PEÇAS - Defeito de fabric./Interrompido"/>
    <s v="FUNCIONAL"/>
    <x v="1"/>
    <n v="3524"/>
    <s v="CATEL - COMERCIO DE PECAS"/>
    <s v="SP"/>
    <n v="931"/>
    <s v="Ats Off"/>
    <n v="1350"/>
    <s v="W11102563"/>
    <s v="Mangueiras"/>
    <x v="6"/>
    <n v="1"/>
    <n v="5004042"/>
    <s v="BRASIL WEB TRANSPORTES E LOGISTICA"/>
    <n v="53.45"/>
    <d v="2025-08-15T00:00:00"/>
  </r>
  <r>
    <s v="Sem TR"/>
    <n v="64831551"/>
    <s v="REB"/>
    <n v="10156917"/>
    <n v="176"/>
    <s v="PEÇAS - Defeito de fabric./Interrompido"/>
    <s v="FUNCIONAL"/>
    <x v="1"/>
    <n v="3524"/>
    <s v="CATEL - COMERCIO DE PECAS"/>
    <s v="SP"/>
    <n v="931"/>
    <s v="Ats Off"/>
    <n v="1350"/>
    <s v="W10544738"/>
    <s v="Mangueiras"/>
    <x v="6"/>
    <n v="1"/>
    <n v="5004042"/>
    <s v="BRASIL WEB TRANSPORTES E LOGISTICA"/>
    <n v="77.38"/>
    <d v="2025-08-15T00:00:00"/>
  </r>
  <r>
    <s v="Sem TR"/>
    <n v="64831551"/>
    <s v="REB"/>
    <n v="10156917"/>
    <n v="176"/>
    <s v="PEÇAS - Defeito de fabric./Interrompido"/>
    <s v="FUNCIONAL"/>
    <x v="1"/>
    <n v="3524"/>
    <s v="CATEL - COMERCIO DE PECAS"/>
    <s v="SP"/>
    <n v="931"/>
    <s v="Ats Off"/>
    <n v="1350"/>
    <s v="W10637629"/>
    <s v="Resistências"/>
    <x v="2"/>
    <n v="1"/>
    <n v="5004042"/>
    <s v="BRASIL WEB TRANSPORTES E LOGISTICA"/>
    <n v="152.35"/>
    <d v="2025-08-15T00:00:00"/>
  </r>
  <r>
    <s v="Sem TR"/>
    <n v="64831551"/>
    <s v="REB"/>
    <n v="10156917"/>
    <n v="176"/>
    <s v="PEÇAS - Defeito de fabric./Interrompido"/>
    <s v="FUNCIONAL"/>
    <x v="1"/>
    <n v="3524"/>
    <s v="CATEL - COMERCIO DE PECAS"/>
    <s v="SP"/>
    <n v="931"/>
    <s v="Ats Off"/>
    <n v="1350"/>
    <s v="W11348597"/>
    <s v="Painéis de Controle"/>
    <x v="3"/>
    <n v="1"/>
    <n v="5004042"/>
    <s v="BRASIL WEB TRANSPORTES E LOGISTICA"/>
    <n v="898.21"/>
    <d v="2025-08-15T00:00:00"/>
  </r>
  <r>
    <n v="254064695"/>
    <n v="64831569"/>
    <s v="REB"/>
    <n v="10168269"/>
    <n v="110"/>
    <s v="PEÇAS-Troca de produtos"/>
    <s v="GESTÃO DE TROCAS"/>
    <x v="2"/>
    <n v="67852"/>
    <s v="ALEX P. DE SOUZA - ME123"/>
    <s v="MT"/>
    <n v="350"/>
    <s v="Ats On"/>
    <n v="1350"/>
    <n v="326024469"/>
    <s v="Pés"/>
    <x v="3"/>
    <n v="2"/>
    <n v="5002573"/>
    <s v="CARVALIMA TRANSPORTES LTDA"/>
    <n v="8.4700000000000006"/>
    <d v="2025-08-14T00:00:00"/>
  </r>
  <r>
    <s v="Sem TR"/>
    <n v="64831587"/>
    <s v="REB"/>
    <n v="10091379"/>
    <n v="173"/>
    <s v="PEÇAS - Defeito de fabric./Alta Amperage"/>
    <s v="FUNCIONAL"/>
    <x v="1"/>
    <n v="62140"/>
    <s v="GELUBRAS COMERCIO E SERVICOS LTDA"/>
    <s v="SP"/>
    <n v="350"/>
    <s v="Ats On"/>
    <n v="1350"/>
    <s v="W10665444"/>
    <s v="Bombas"/>
    <x v="2"/>
    <n v="1"/>
    <n v="5004042"/>
    <s v="BRASIL WEB TRANSPORTES E LOGISTICA"/>
    <n v="207"/>
    <d v="2025-08-14T00:00:00"/>
  </r>
  <r>
    <s v="Sem TR"/>
    <n v="64831610"/>
    <s v="REB"/>
    <n v="10142486"/>
    <n v="509"/>
    <s v="Qtd de peças a Menor dentro do Volume"/>
    <s v="LOGÍSTICA"/>
    <x v="2"/>
    <n v="78757"/>
    <s v="POSFRIO REFRIGERACAO LTDA"/>
    <s v="RS"/>
    <n v="643"/>
    <s v="Elite"/>
    <n v="1350"/>
    <s v="W10616687"/>
    <s v="Capas"/>
    <x v="3"/>
    <n v="1"/>
    <n v="5002359"/>
    <s v="EMPRESA BRASILEIRA DE CORREIOS E"/>
    <n v="25.46"/>
    <d v="2025-08-14T00:00:00"/>
  </r>
  <r>
    <n v="254058176"/>
    <n v="64831611"/>
    <s v="REB"/>
    <n v="9298901"/>
    <n v="178"/>
    <s v="PEÇAS -Defeito de fabric./Sem Compressão"/>
    <s v="FUNCIONAL"/>
    <x v="2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489.15"/>
    <d v="2025-08-14T00:00:00"/>
  </r>
  <r>
    <s v="Sem TR"/>
    <n v="64831640"/>
    <s v="REB"/>
    <n v="10181034"/>
    <n v="176"/>
    <s v="PEÇAS - Defeito de fabric./Interrompido"/>
    <s v="FUNCIONAL"/>
    <x v="1"/>
    <n v="3524"/>
    <s v="CATEL - COMERCIO DE PECAS"/>
    <s v="SP"/>
    <n v="931"/>
    <s v="Ats Off"/>
    <n v="1350"/>
    <s v="W11199202"/>
    <s v="Placas de Controle"/>
    <x v="2"/>
    <n v="1"/>
    <n v="5004042"/>
    <s v="BRASIL WEB TRANSPORTES E LOGISTICA"/>
    <n v="327.98"/>
    <d v="2025-08-15T00:00:00"/>
  </r>
  <r>
    <s v="Sem TR"/>
    <n v="64831646"/>
    <s v="REB"/>
    <n v="10142487"/>
    <n v="509"/>
    <s v="Qtd de peças a Menor dentro do Volume"/>
    <s v="LOGÍSTICA"/>
    <x v="2"/>
    <n v="78757"/>
    <s v="POSFRIO REFRIGERACAO LTDA"/>
    <s v="RS"/>
    <n v="643"/>
    <s v="Elite"/>
    <n v="1350"/>
    <s v="W11393157"/>
    <s v="Tampas Móveis"/>
    <x v="3"/>
    <n v="1"/>
    <n v="5002359"/>
    <s v="EMPRESA BRASILEIRA DE CORREIOS E"/>
    <n v="163.09"/>
    <d v="2025-08-14T00:00:00"/>
  </r>
  <r>
    <n v="254061619"/>
    <n v="64831648"/>
    <s v="REB"/>
    <n v="9925300"/>
    <n v="173"/>
    <s v="PEÇAS - Defeito de fabric./Alta Amperage"/>
    <s v="FUNCIONAL"/>
    <x v="1"/>
    <n v="3236"/>
    <s v="FRISON THERM AR CONDICIONADO LTDA F"/>
    <s v="SP"/>
    <n v="931"/>
    <s v="Ats Off"/>
    <n v="1350"/>
    <s v="W11160655"/>
    <s v="Placas de Interface"/>
    <x v="2"/>
    <n v="1"/>
    <n v="5004042"/>
    <s v="BRASIL WEB TRANSPORTES E LOGISTICA"/>
    <n v="131.66999999999999"/>
    <d v="2025-08-14T00:00:00"/>
  </r>
  <r>
    <n v="254056492"/>
    <n v="64831657"/>
    <s v="REB"/>
    <n v="10113338"/>
    <n v="173"/>
    <s v="PEÇAS - Defeito de fabric./Alta Amperage"/>
    <s v="FUNCIONAL"/>
    <x v="1"/>
    <n v="55093"/>
    <s v="NAUTICA REFRIGERACAO E"/>
    <s v="SP"/>
    <n v="648"/>
    <s v="Ultra"/>
    <n v="1350"/>
    <s v="W10686100"/>
    <s v="Placas de Controle"/>
    <x v="2"/>
    <n v="1"/>
    <n v="5004042"/>
    <s v="BRASIL WEB TRANSPORTES E LOGISTICA"/>
    <n v="132.84"/>
    <d v="2025-08-15T00:00:00"/>
  </r>
  <r>
    <n v="254056507"/>
    <n v="64831658"/>
    <s v="REB"/>
    <n v="10045752"/>
    <n v="173"/>
    <s v="PEÇAS - Defeito de fabric./Alta Amperage"/>
    <s v="FUNCIONAL"/>
    <x v="1"/>
    <n v="76848"/>
    <s v="MUNDIAL REFRIGERACAO LTDA"/>
    <s v="GO"/>
    <n v="643"/>
    <s v="Elite"/>
    <n v="1350"/>
    <s v="W11508048"/>
    <s v="Placas de Interface"/>
    <x v="2"/>
    <n v="1"/>
    <n v="5002858"/>
    <s v="FAVORITA TRANSPORTES LTDA"/>
    <n v="85.86"/>
    <d v="2025-08-15T00:00:00"/>
  </r>
  <r>
    <s v="Sem TR"/>
    <n v="64831660"/>
    <s v="REB"/>
    <n v="10134055"/>
    <n v="173"/>
    <s v="PEÇAS - Defeito de fabric./Alta Amperage"/>
    <s v="FUNCIONAL"/>
    <x v="1"/>
    <n v="87707"/>
    <s v="REFRIGERA BRASIL CLIMATIZACAO E REF"/>
    <s v="BA"/>
    <n v="648"/>
    <s v="Ultra"/>
    <n v="1350"/>
    <s v="W11197973"/>
    <s v="Pressostatos"/>
    <x v="8"/>
    <n v="1"/>
    <n v="5004101"/>
    <s v="UNIDOCK'S ASSESSORIA E LOGISTICA DE"/>
    <n v="36.83"/>
    <d v="2025-08-15T00:00:00"/>
  </r>
  <r>
    <n v="254056508"/>
    <n v="64831661"/>
    <s v="REB"/>
    <n v="10161347"/>
    <n v="173"/>
    <s v="PEÇAS - Defeito de fabric./Alta Amperage"/>
    <s v="FUNCIONAL"/>
    <x v="1"/>
    <n v="76848"/>
    <s v="MUNDIAL REFRIGERACAO LTDA"/>
    <s v="GO"/>
    <n v="643"/>
    <s v="Elite"/>
    <n v="1350"/>
    <s v="W11300816"/>
    <s v="Mecanismos"/>
    <x v="4"/>
    <n v="3"/>
    <n v="5002858"/>
    <s v="FAVORITA TRANSPORTES LTDA"/>
    <n v="318.72000000000003"/>
    <d v="2025-08-15T00:00:00"/>
  </r>
  <r>
    <n v="254056494"/>
    <n v="64831690"/>
    <s v="REB"/>
    <n v="10036932"/>
    <n v="176"/>
    <s v="PEÇAS - Defeito de fabric./Interrompido"/>
    <s v="FUNCIONAL"/>
    <x v="2"/>
    <n v="62749"/>
    <s v="MACEDO E SILVA COMERCIO E SERVICO"/>
    <s v="CE"/>
    <n v="933"/>
    <s v="Top"/>
    <n v="1350"/>
    <s v="W10709306"/>
    <s v="Placas de Controle"/>
    <x v="2"/>
    <n v="1"/>
    <n v="5004101"/>
    <s v="UNIDOCK'S ASSESSORIA E LOGISTICA DE"/>
    <n v="180.08"/>
    <d v="2025-08-15T00:00:00"/>
  </r>
  <r>
    <s v="Sem TR"/>
    <n v="64831691"/>
    <s v="REB"/>
    <n v="9998031"/>
    <n v="176"/>
    <s v="PEÇAS - Defeito de fabric./Interrompido"/>
    <s v="FUNCIONAL"/>
    <x v="1"/>
    <n v="28684"/>
    <s v="CABO FRIO PECAS"/>
    <s v="SP"/>
    <n v="648"/>
    <s v="Ultra"/>
    <n v="1350"/>
    <n v="326061171"/>
    <s v="Placas de Controle"/>
    <x v="2"/>
    <n v="1"/>
    <n v="5004042"/>
    <s v="BRASIL WEB TRANSPORTES E LOGISTICA"/>
    <n v="303.02"/>
    <d v="2025-08-15T00:00:00"/>
  </r>
  <r>
    <n v="254056329"/>
    <n v="64831692"/>
    <s v="REB"/>
    <n v="9917223"/>
    <n v="176"/>
    <s v="PEÇAS - Defeito de fabric./Interrompido"/>
    <s v="FUNCIONAL"/>
    <x v="1"/>
    <n v="3506"/>
    <s v="TECBRAS ASSISTENCIA TECNICA"/>
    <s v="SP"/>
    <n v="931"/>
    <s v="Ats Off"/>
    <n v="1350"/>
    <s v="W11712462"/>
    <s v="Outros"/>
    <x v="5"/>
    <n v="1"/>
    <n v="5004042"/>
    <s v="BRASIL WEB TRANSPORTES E LOGISTICA"/>
    <n v="103.32"/>
    <d v="2025-08-15T00:00:00"/>
  </r>
  <r>
    <s v="Sem TR"/>
    <n v="64831740"/>
    <s v="REB"/>
    <n v="10143542"/>
    <n v="167"/>
    <s v="PEÇAS - Avaria - Quebrada/Depósito"/>
    <s v="LOGÍSTICA"/>
    <x v="1"/>
    <n v="25656"/>
    <s v="OFICIAL REFRIGERACAO COMERCIO"/>
    <s v="SP"/>
    <n v="931"/>
    <s v="Ats Off"/>
    <n v="1350"/>
    <s v="W11693501"/>
    <s v="Outros"/>
    <x v="5"/>
    <n v="1"/>
    <n v="5004042"/>
    <s v="BRASIL WEB TRANSPORTES E LOGISTICA"/>
    <n v="97.19"/>
    <d v="2025-08-14T00:00:00"/>
  </r>
  <r>
    <n v="254056316"/>
    <n v="64831741"/>
    <s v="REB"/>
    <n v="9914191"/>
    <n v="178"/>
    <s v="PEÇAS -Defeito de fabric./Sem Compressão"/>
    <s v="FUNCIONAL"/>
    <x v="1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319.33"/>
    <d v="2025-08-14T00:00:00"/>
  </r>
  <r>
    <n v="254058408"/>
    <n v="64831742"/>
    <s v="REB"/>
    <n v="9914191"/>
    <n v="178"/>
    <s v="PEÇAS -Defeito de fabric./Sem Compressão"/>
    <s v="FUNCIONAL"/>
    <x v="1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319.33"/>
    <d v="2025-08-14T00:00:00"/>
  </r>
  <r>
    <s v="Sem TR"/>
    <n v="64831754"/>
    <s v="REB"/>
    <n v="10128086"/>
    <n v="509"/>
    <s v="Qtd de peças a Menor dentro do Volume"/>
    <s v="LOGÍSTICA"/>
    <x v="2"/>
    <n v="9991"/>
    <s v="HIPERFRIO COMERCIO DE PECAS LTDA"/>
    <s v="DF"/>
    <n v="648"/>
    <s v="Ultra"/>
    <n v="1350"/>
    <s v="W10223009"/>
    <s v="Gaxetas"/>
    <x v="10"/>
    <n v="2"/>
    <n v="5002359"/>
    <s v="EMPRESA BRASILEIRA DE CORREIOS E"/>
    <n v="80"/>
    <d v="2025-08-14T00:00:00"/>
  </r>
  <r>
    <n v="254058040"/>
    <n v="64831755"/>
    <s v="REB"/>
    <n v="10143579"/>
    <n v="167"/>
    <s v="PEÇAS - Avaria - Quebrada/Depósito"/>
    <s v="LOGÍSTICA"/>
    <x v="1"/>
    <n v="54465"/>
    <s v="LCB COMERCIO E SERVICOS"/>
    <s v="SP"/>
    <n v="644"/>
    <s v="Plus"/>
    <n v="1350"/>
    <s v="W10911706"/>
    <s v="Queimadores"/>
    <x v="9"/>
    <n v="1"/>
    <n v="5004042"/>
    <s v="BRASIL WEB TRANSPORTES E LOGISTICA"/>
    <n v="43.71"/>
    <d v="2025-08-14T00:00:00"/>
  </r>
  <r>
    <n v="254058162"/>
    <n v="64831756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8134"/>
    <n v="64831757"/>
    <s v="REB"/>
    <n v="9917792"/>
    <n v="173"/>
    <s v="PEÇAS - Defeito de fabric./Alta Amperage"/>
    <s v="FUNCIONAL"/>
    <x v="2"/>
    <n v="36655"/>
    <s v="REFRIGERACAO CLEITON LTDA"/>
    <s v="RJ"/>
    <n v="932"/>
    <s v="CDP Prata"/>
    <n v="1350"/>
    <s v="W11516472"/>
    <s v="Compressores Herméticos"/>
    <x v="0"/>
    <n v="1"/>
    <n v="5003176"/>
    <s v="J C THEDIN TRANSPORTES LTDA"/>
    <n v="366.88"/>
    <d v="2025-08-14T00:00:00"/>
  </r>
  <r>
    <n v="254058113"/>
    <n v="64831759"/>
    <s v="REB"/>
    <n v="10146004"/>
    <n v="90"/>
    <s v="CLIENTE-não solicitou"/>
    <s v="COMERCIAL"/>
    <x v="1"/>
    <n v="3649"/>
    <s v="A ORIGINAL SERVICE PECAS"/>
    <s v="SP"/>
    <n v="350"/>
    <s v="Ats On"/>
    <n v="1350"/>
    <s v="W10160035"/>
    <s v="Magnetrons"/>
    <x v="2"/>
    <n v="1"/>
    <n v="5004042"/>
    <s v="BRASIL WEB TRANSPORTES E LOGISTICA"/>
    <n v="280.83999999999997"/>
    <d v="2025-08-14T00:00:00"/>
  </r>
  <r>
    <n v="254058166"/>
    <n v="64831760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8135"/>
    <n v="64831761"/>
    <s v="REB"/>
    <n v="10048615"/>
    <n v="173"/>
    <s v="PEÇAS - Defeito de fabric./Alta Amperage"/>
    <s v="FUNCIONAL"/>
    <x v="2"/>
    <n v="37434"/>
    <s v="ELETRO MARTINS LTDA"/>
    <s v="GO"/>
    <n v="931"/>
    <s v="Ats Off"/>
    <n v="1350"/>
    <s v="W11435392"/>
    <s v="Placas de Controle"/>
    <x v="2"/>
    <n v="1"/>
    <n v="5002858"/>
    <s v="FAVORITA TRANSPORTES LTDA"/>
    <n v="282.74"/>
    <d v="2025-08-14T00:00:00"/>
  </r>
  <r>
    <s v="Sem TR"/>
    <n v="64831764"/>
    <s v="REB"/>
    <n v="10131603"/>
    <n v="509"/>
    <s v="Qtd de peças a Menor dentro do Volume"/>
    <s v="LOGÍSTICA"/>
    <x v="2"/>
    <n v="29561"/>
    <s v="REFRIGERACAO SAO FIDELIS DE PIABETA"/>
    <s v="RJ"/>
    <n v="932"/>
    <s v="CDP Prata"/>
    <n v="1350"/>
    <s v="W10531315"/>
    <s v="Sensores"/>
    <x v="8"/>
    <n v="2"/>
    <n v="5002359"/>
    <s v="EMPRESA BRASILEIRA DE CORREIOS E"/>
    <n v="17.38"/>
    <d v="2025-08-14T00:00:00"/>
  </r>
  <r>
    <n v="254058182"/>
    <n v="64831789"/>
    <s v="REB"/>
    <n v="10132788"/>
    <n v="167"/>
    <s v="PEÇAS - Avaria - Quebrada/Depósito"/>
    <s v="LOGÍSTICA"/>
    <x v="1"/>
    <n v="88969"/>
    <s v="FREEZE SHOP LTDA"/>
    <s v="SC"/>
    <n v="641"/>
    <s v="CDP Diamante"/>
    <n v="1350"/>
    <s v="W11298039"/>
    <s v="Gavetas"/>
    <x v="1"/>
    <n v="1"/>
    <n v="5003024"/>
    <s v="RODOBRAS TRANSPORTES RODOVIARIOS LT"/>
    <n v="94.06"/>
    <d v="2025-08-14T00:00:00"/>
  </r>
  <r>
    <n v="254058115"/>
    <n v="64831804"/>
    <s v="REB"/>
    <n v="10108599"/>
    <n v="104"/>
    <s v="PEÇAS-Código trocado(embalag X conteúdo)"/>
    <s v="LOGÍSTICA"/>
    <x v="1"/>
    <n v="8267"/>
    <s v="SANTANA REFRIGERACAO LTDA"/>
    <s v="ES"/>
    <n v="350"/>
    <s v="Ats On"/>
    <n v="1350"/>
    <s v="W10371191"/>
    <s v="Tampas Fixas"/>
    <x v="3"/>
    <n v="1"/>
    <n v="5004042"/>
    <s v="BRASIL WEB TRANSPORTES E LOGISTICA"/>
    <n v="127.13"/>
    <d v="2025-08-14T00:00:00"/>
  </r>
  <r>
    <n v="254058165"/>
    <n v="64831805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8041"/>
    <n v="64831806"/>
    <s v="REB"/>
    <n v="10143579"/>
    <n v="167"/>
    <s v="PEÇAS - Avaria - Quebrada/Depósito"/>
    <s v="LOGÍSTICA"/>
    <x v="1"/>
    <n v="54465"/>
    <s v="LCB COMERCIO E SERVICOS"/>
    <s v="SP"/>
    <n v="644"/>
    <s v="Plus"/>
    <n v="1350"/>
    <s v="W10169464"/>
    <s v="Defletores/Difusores"/>
    <x v="6"/>
    <n v="4"/>
    <n v="5004042"/>
    <s v="BRASIL WEB TRANSPORTES E LOGISTICA"/>
    <n v="121.6"/>
    <d v="2025-08-14T00:00:00"/>
  </r>
  <r>
    <s v="Sem TR"/>
    <n v="64831809"/>
    <s v="REB"/>
    <n v="10134055"/>
    <n v="509"/>
    <s v="Qtd de peças a Menor dentro do Volume"/>
    <s v="LOGÍSTICA"/>
    <x v="2"/>
    <n v="87707"/>
    <s v="REFRIGERA BRASIL CLIMATIZACAO E REF"/>
    <s v="BA"/>
    <n v="648"/>
    <s v="Ultra"/>
    <n v="1350"/>
    <n v="326003319"/>
    <s v="Recipientes de Evaporação"/>
    <x v="1"/>
    <n v="12"/>
    <n v="5002359"/>
    <s v="EMPRESA BRASILEIRA DE CORREIOS E"/>
    <n v="147.24"/>
    <d v="2025-08-14T00:00:00"/>
  </r>
  <r>
    <s v="Sem TR"/>
    <n v="64831812"/>
    <s v="REB"/>
    <n v="9576062"/>
    <n v="178"/>
    <s v="PEÇAS -Defeito de fabric./Sem Compressão"/>
    <s v="FUNCIONAL"/>
    <x v="1"/>
    <n v="28991"/>
    <s v="FRIO BEL REFRIGERACAO LTDA"/>
    <s v="MG"/>
    <n v="643"/>
    <s v="Elite"/>
    <n v="1350"/>
    <s v="W11647660"/>
    <s v="Compressores Herméticos"/>
    <x v="0"/>
    <n v="3"/>
    <n v="5004215"/>
    <s v="BRASIL WEB TRANSPORTES E LOGISTICA"/>
    <n v="854.63"/>
    <d v="2025-08-14T00:00:00"/>
  </r>
  <r>
    <s v="Sem TR"/>
    <n v="64831813"/>
    <s v="REB"/>
    <n v="10080899"/>
    <n v="176"/>
    <s v="PEÇAS - Defeito de fabric./Interrompido"/>
    <s v="FUNCIONAL"/>
    <x v="1"/>
    <n v="21295"/>
    <s v="REFRIGAS COMERCIO E SERVICOS"/>
    <s v="SP"/>
    <n v="648"/>
    <s v="Ultra"/>
    <n v="1350"/>
    <s v="W11300675"/>
    <s v="Mecanismos"/>
    <x v="4"/>
    <n v="1"/>
    <n v="5004042"/>
    <s v="BRASIL WEB TRANSPORTES E LOGISTICA"/>
    <n v="117.85"/>
    <d v="2025-08-14T00:00:00"/>
  </r>
  <r>
    <s v="Sem TR"/>
    <n v="64831830"/>
    <s v="REB"/>
    <n v="10080637"/>
    <n v="173"/>
    <s v="PEÇAS - Defeito de fabric./Alta Amperage"/>
    <s v="FUNCIONAL"/>
    <x v="1"/>
    <n v="34532"/>
    <s v="FRIOGASMAQ COMERCIAL LTDA"/>
    <s v="SC"/>
    <n v="350"/>
    <s v="Ats On"/>
    <n v="1350"/>
    <s v="W11245250"/>
    <s v="Válvulas de Água"/>
    <x v="6"/>
    <n v="1"/>
    <n v="5003024"/>
    <s v="RODOBRAS TRANSPORTES RODOVIARIOS LT"/>
    <n v="53.62"/>
    <d v="2025-08-14T00:00:00"/>
  </r>
  <r>
    <n v="254058146"/>
    <n v="64831831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8-14T00:00:00"/>
  </r>
  <r>
    <s v="Sem TR"/>
    <n v="64831832"/>
    <s v="REB"/>
    <n v="10139401"/>
    <n v="167"/>
    <s v="PEÇAS - Avaria - Quebrada/Depósito"/>
    <s v="LOGÍSTICA"/>
    <x v="1"/>
    <n v="73003"/>
    <s v="DISFRIO DISTRIBUIDORA DE AR"/>
    <s v="SC"/>
    <n v="931"/>
    <s v="Ats Off"/>
    <n v="1350"/>
    <s v="W10647948"/>
    <s v="Suportes"/>
    <x v="3"/>
    <n v="1"/>
    <n v="5003024"/>
    <s v="RODOBRAS TRANSPORTES RODOVIARIOS LT"/>
    <n v="7.75"/>
    <d v="2025-08-14T00:00:00"/>
  </r>
  <r>
    <s v="Sem TR"/>
    <n v="64831833"/>
    <s v="REB"/>
    <n v="9748742"/>
    <n v="178"/>
    <s v="PEÇAS -Defeito de fabric./Sem Compressão"/>
    <s v="FUNCIONAL"/>
    <x v="1"/>
    <n v="28991"/>
    <s v="FRIO BEL REFRIGERACAO LTDA"/>
    <s v="MG"/>
    <n v="643"/>
    <s v="Elite"/>
    <n v="1350"/>
    <s v="W11677208"/>
    <s v="Compressores Herméticos"/>
    <x v="0"/>
    <n v="1"/>
    <n v="5004215"/>
    <s v="BRASIL WEB TRANSPORTES E LOGISTICA"/>
    <n v="281.42"/>
    <d v="2025-08-14T00:00:00"/>
  </r>
  <r>
    <n v="254061090"/>
    <n v="64831835"/>
    <s v="REB"/>
    <n v="10101468"/>
    <n v="176"/>
    <s v="PEÇAS - Defeito de fabric./Interrompido"/>
    <s v="FUNCIONAL"/>
    <x v="1"/>
    <n v="30416"/>
    <s v="JF OLIVEIRA PEREIRA ELETROD LTDA"/>
    <s v="AM"/>
    <n v="648"/>
    <s v="Ultra"/>
    <n v="1350"/>
    <s v="W10563564"/>
    <s v="Membranas Eletrônicas"/>
    <x v="2"/>
    <n v="1"/>
    <n v="5002858"/>
    <s v="FAVORITA TRANSPORTES LTDA"/>
    <n v="38.53"/>
    <d v="2025-08-15T00:00:00"/>
  </r>
  <r>
    <s v="Sem TR"/>
    <n v="64831836"/>
    <s v="REB"/>
    <n v="10037864"/>
    <n v="176"/>
    <s v="PEÇAS - Defeito de fabric./Interrompido"/>
    <s v="FUNCIONAL"/>
    <x v="1"/>
    <n v="9015"/>
    <s v="ALTIMARIS REFRIGERACAO LTDA"/>
    <s v="SC"/>
    <n v="350"/>
    <s v="Ats On"/>
    <n v="1350"/>
    <n v="326011600"/>
    <s v="Válvulas de Água"/>
    <x v="6"/>
    <n v="2"/>
    <n v="5003024"/>
    <s v="RODOBRAS TRANSPORTES RODOVIARIOS LT"/>
    <n v="58.66"/>
    <d v="2025-08-15T00:00:00"/>
  </r>
  <r>
    <n v="254058408"/>
    <n v="64831839"/>
    <s v="REB"/>
    <n v="9917274"/>
    <n v="178"/>
    <s v="PEÇAS -Defeito de fabric./Sem Compressão"/>
    <s v="FUNCIONAL"/>
    <x v="1"/>
    <n v="55093"/>
    <s v="NAUTICA REFRIGERACAO E"/>
    <s v="SP"/>
    <n v="648"/>
    <s v="Ultra"/>
    <n v="1350"/>
    <s v="W11647660"/>
    <s v="Compressores Herméticos"/>
    <x v="0"/>
    <n v="1"/>
    <n v="5004042"/>
    <s v="BRASIL WEB TRANSPORTES E LOGISTICA"/>
    <n v="319.33"/>
    <d v="2025-08-14T00:00:00"/>
  </r>
  <r>
    <n v="254058144"/>
    <n v="64831844"/>
    <s v="REB"/>
    <n v="9978168"/>
    <n v="173"/>
    <s v="PEÇAS - Defeito de fabric./Alta Amperage"/>
    <s v="FUNCIONAL"/>
    <x v="2"/>
    <n v="59025"/>
    <s v="VICENTE E GOMES LTDA"/>
    <s v="AL"/>
    <n v="644"/>
    <s v="Plus"/>
    <n v="1350"/>
    <s v="W10399715"/>
    <s v="Motores Ventiladores"/>
    <x v="2"/>
    <n v="1"/>
    <n v="5004101"/>
    <s v="UNIDOCK'S ASSESSORIA E LOGISTICA DE"/>
    <n v="53.92"/>
    <d v="2025-08-14T00:00:00"/>
  </r>
  <r>
    <n v="254058127"/>
    <n v="64831845"/>
    <s v="REB"/>
    <n v="10066884"/>
    <n v="178"/>
    <s v="PEÇAS -Defeito de fabric./Sem Compressão"/>
    <s v="FUNCIONAL"/>
    <x v="2"/>
    <n v="30416"/>
    <s v="JF OLIVEIRA PEREIRA ELETROD LTDA"/>
    <s v="AM"/>
    <n v="648"/>
    <s v="Ultra"/>
    <n v="1350"/>
    <s v="W11647660"/>
    <s v="Compressores Herméticos"/>
    <x v="0"/>
    <n v="1"/>
    <n v="5002858"/>
    <s v="FAVORITA TRANSPORTES LTDA"/>
    <n v="218.54"/>
    <d v="2025-08-14T00:00:00"/>
  </r>
  <r>
    <n v="254054542"/>
    <n v="64831865"/>
    <s v="ROB"/>
    <n v="10146983"/>
    <n v="184"/>
    <s v="PEÇAS - Emissão de Nota Fiscal Errada"/>
    <s v="LOGÍSTICA"/>
    <x v="2"/>
    <n v="55094"/>
    <s v="MARCOS COSTA"/>
    <s v="MG"/>
    <n v="350"/>
    <s v="Ats On"/>
    <n v="1350"/>
    <s v="W11728181"/>
    <s v="Outros"/>
    <x v="5"/>
    <n v="1"/>
    <n v="5004101"/>
    <s v="UNIDOCK'S ASSESSORIA E LOGISTICA DE"/>
    <n v="3.17"/>
    <d v="2025-08-14T00:00:00"/>
  </r>
  <r>
    <n v="254058127"/>
    <n v="64831870"/>
    <s v="REB"/>
    <n v="9634357"/>
    <n v="178"/>
    <s v="PEÇAS -Defeito de fabric./Sem Compressão"/>
    <s v="FUNCIONAL"/>
    <x v="2"/>
    <n v="30416"/>
    <s v="JF OLIVEIRA PEREIRA ELETROD LTDA"/>
    <s v="AM"/>
    <n v="648"/>
    <s v="Ultra"/>
    <n v="1350"/>
    <s v="W10575086"/>
    <s v="Compressores Herméticos"/>
    <x v="0"/>
    <n v="1"/>
    <n v="5002858"/>
    <s v="FAVORITA TRANSPORTES LTDA"/>
    <n v="332.25"/>
    <d v="2025-08-14T00:00:00"/>
  </r>
  <r>
    <n v="254058167"/>
    <n v="64831879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s v="Sem TR"/>
    <n v="64831880"/>
    <s v="REB"/>
    <n v="9627661"/>
    <n v="178"/>
    <s v="PEÇAS -Defeito de fabric./Sem Compressão"/>
    <s v="FUNCIONAL"/>
    <x v="1"/>
    <n v="28991"/>
    <s v="FRIO BEL REFRIGERACAO LTDA"/>
    <s v="MG"/>
    <n v="643"/>
    <s v="Elite"/>
    <n v="1350"/>
    <s v="W10393823"/>
    <s v="Compressores Herméticos"/>
    <x v="0"/>
    <n v="1"/>
    <n v="5004215"/>
    <s v="BRASIL WEB TRANSPORTES E LOGISTICA"/>
    <n v="477.02"/>
    <d v="2025-08-14T00:00:00"/>
  </r>
  <r>
    <s v="Sem TR"/>
    <n v="64831881"/>
    <s v="REB"/>
    <n v="10136830"/>
    <n v="173"/>
    <s v="PEÇAS - Defeito de fabric./Alta Amperage"/>
    <s v="FUNCIONAL"/>
    <x v="1"/>
    <n v="70205"/>
    <s v="MAQ SERVICOS"/>
    <s v="MG"/>
    <n v="350"/>
    <s v="Ats On"/>
    <n v="1350"/>
    <s v="W11199201"/>
    <s v="Placas de Controle"/>
    <x v="2"/>
    <n v="1"/>
    <n v="5004215"/>
    <s v="BRASIL WEB TRANSPORTES E LOGISTICA"/>
    <n v="276.33999999999997"/>
    <d v="2025-08-14T00:00:00"/>
  </r>
  <r>
    <n v="254058163"/>
    <n v="64831890"/>
    <s v="REB"/>
    <n v="9688024"/>
    <n v="178"/>
    <s v="PEÇAS -Defeito de fabric./Sem Compressão"/>
    <s v="FUNCIONAL"/>
    <x v="2"/>
    <n v="80573"/>
    <s v="L P NEVES COMERCIO"/>
    <s v="MA"/>
    <n v="643"/>
    <s v="Elite"/>
    <n v="1350"/>
    <s v="W11741179"/>
    <s v="Outros"/>
    <x v="5"/>
    <n v="1"/>
    <n v="5004101"/>
    <s v="UNIDOCK'S ASSESSORIA E LOGISTICA DE"/>
    <n v="319.19"/>
    <d v="2025-08-14T00:00:00"/>
  </r>
  <r>
    <n v="254058139"/>
    <n v="64831891"/>
    <s v="REB"/>
    <n v="10115325"/>
    <n v="177"/>
    <s v="PEÇAS - Defeito de fabric./Ruído"/>
    <s v="FUNCIONAL"/>
    <x v="2"/>
    <n v="55102"/>
    <s v="PEDRO MARCOS ANTONELLI"/>
    <s v="MS"/>
    <n v="643"/>
    <s v="Elite"/>
    <n v="1350"/>
    <s v="W11300675"/>
    <s v="Mecanismos"/>
    <x v="4"/>
    <n v="1"/>
    <n v="5002573"/>
    <s v="CARVALIMA TRANSPORTES LTDA"/>
    <n v="107.25"/>
    <d v="2025-08-14T00:00:00"/>
  </r>
  <r>
    <n v="254058177"/>
    <n v="64831894"/>
    <s v="REB"/>
    <n v="10099418"/>
    <n v="177"/>
    <s v="PEÇAS - Defeito de fabric./Ruído"/>
    <s v="FUNCIONAL"/>
    <x v="1"/>
    <n v="83572"/>
    <s v="GRAN ELETRO GOURMET LTDA"/>
    <s v="SP"/>
    <n v="931"/>
    <s v="Ats Off"/>
    <n v="1350"/>
    <s v="W11300816"/>
    <s v="Mecanismos"/>
    <x v="4"/>
    <n v="1"/>
    <n v="5004042"/>
    <s v="BRASIL WEB TRANSPORTES E LOGISTICA"/>
    <n v="138.41"/>
    <d v="2025-08-14T00:00:00"/>
  </r>
  <r>
    <s v="Sem TR"/>
    <n v="64831905"/>
    <s v="ZDVP"/>
    <n v="10054591"/>
    <n v="176"/>
    <s v="PEÇAS - Defeito de fabric./Interrompido"/>
    <s v="FUNCIONAL"/>
    <x v="1"/>
    <n v="9015"/>
    <s v="ALTIMARIS REFRIGERACAO LTDA"/>
    <s v="SC"/>
    <n v="350"/>
    <s v="Ats On"/>
    <n v="1350"/>
    <s v="W10531315"/>
    <s v="Sensores"/>
    <x v="8"/>
    <n v="1"/>
    <n v="5003024"/>
    <s v="RODOBRAS TRANSPORTES RODOVIARIOS LT"/>
    <n v="8.09"/>
    <d v="2025-08-15T00:00:00"/>
  </r>
  <r>
    <n v="254058134"/>
    <n v="64831909"/>
    <s v="REB"/>
    <n v="9959716"/>
    <n v="178"/>
    <s v="PEÇAS -Defeito de fabric./Sem Compressão"/>
    <s v="FUNCIONAL"/>
    <x v="2"/>
    <n v="36655"/>
    <s v="REFRIGERACAO CLEITON LTDA"/>
    <s v="RJ"/>
    <n v="932"/>
    <s v="CDP Prata"/>
    <n v="1350"/>
    <s v="W11647660"/>
    <s v="Compressores Herméticos"/>
    <x v="0"/>
    <n v="1"/>
    <n v="5003176"/>
    <s v="J C THEDIN TRANSPORTES LTDA"/>
    <n v="301.94"/>
    <d v="2025-08-14T00:00:00"/>
  </r>
  <r>
    <n v="254058135"/>
    <n v="64831910"/>
    <s v="REB"/>
    <n v="10055628"/>
    <n v="173"/>
    <s v="PEÇAS - Defeito de fabric./Alta Amperage"/>
    <s v="FUNCIONAL"/>
    <x v="2"/>
    <n v="37434"/>
    <s v="ELETRO MARTINS LTDA"/>
    <s v="GO"/>
    <n v="931"/>
    <s v="Ats Off"/>
    <n v="1350"/>
    <s v="W11299803"/>
    <s v="Mecanismos"/>
    <x v="4"/>
    <n v="2"/>
    <n v="5002858"/>
    <s v="FAVORITA TRANSPORTES LTDA"/>
    <n v="196.96"/>
    <d v="2025-08-14T00:00:00"/>
  </r>
  <r>
    <n v="254061105"/>
    <n v="64831913"/>
    <s v="REB"/>
    <n v="9658354"/>
    <n v="176"/>
    <s v="PEÇAS - Defeito de fabric./Interrompido"/>
    <s v="FUNCIONAL"/>
    <x v="2"/>
    <n v="32455"/>
    <s v="FRIOSAMO REFRIGERACAO LTDA"/>
    <s v="SP"/>
    <n v="643"/>
    <s v="Elite"/>
    <n v="1350"/>
    <s v="W11677208"/>
    <s v="Compressores Herméticos"/>
    <x v="0"/>
    <n v="4"/>
    <n v="5004042"/>
    <s v="BRASIL WEB TRANSPORTES E LOGISTICA"/>
    <n v="1244.53"/>
    <d v="2025-08-14T00:00:00"/>
  </r>
  <r>
    <s v="Sem TR"/>
    <n v="64831914"/>
    <s v="REB"/>
    <n v="10143369"/>
    <n v="173"/>
    <s v="PEÇAS - Defeito de fabric./Alta Amperage"/>
    <s v="FUNCIONAL"/>
    <x v="1"/>
    <n v="72911"/>
    <s v="ALVITEK PECAS E SERVICOS LTDA"/>
    <s v="SP"/>
    <n v="931"/>
    <s v="Ats Off"/>
    <n v="1350"/>
    <s v="W11516472"/>
    <s v="Compressores Herméticos"/>
    <x v="0"/>
    <n v="1"/>
    <n v="5004042"/>
    <s v="BRASIL WEB TRANSPORTES E LOGISTICA"/>
    <n v="367.8"/>
    <d v="2025-08-14T00:00:00"/>
  </r>
  <r>
    <n v="254061086"/>
    <n v="64831916"/>
    <s v="REB"/>
    <n v="10076937"/>
    <n v="173"/>
    <s v="PEÇAS - Defeito de fabric./Alta Amperage"/>
    <s v="FUNCIONAL"/>
    <x v="1"/>
    <n v="29985"/>
    <s v="FAUSTO ALVES RUA LTDA"/>
    <s v="GO"/>
    <n v="350"/>
    <s v="Ats On"/>
    <n v="1350"/>
    <s v="W11300675"/>
    <s v="Mecanismos"/>
    <x v="4"/>
    <n v="1"/>
    <n v="5002858"/>
    <s v="FAVORITA TRANSPORTES LTDA"/>
    <n v="110.15"/>
    <d v="2025-08-14T00:00:00"/>
  </r>
  <r>
    <s v="Sem TR"/>
    <n v="64831917"/>
    <s v="REB"/>
    <n v="10045270"/>
    <n v="173"/>
    <s v="PEÇAS - Defeito de fabric./Alta Amperage"/>
    <s v="FUNCIONAL"/>
    <x v="1"/>
    <n v="63300"/>
    <s v="REFRIGERACAO MOTA LTDA"/>
    <s v="MG"/>
    <n v="643"/>
    <s v="Elite"/>
    <n v="1350"/>
    <s v="W10311954"/>
    <s v="Válvulas de Água"/>
    <x v="6"/>
    <n v="1"/>
    <n v="5004215"/>
    <s v="BRASIL WEB TRANSPORTES E LOGISTICA"/>
    <n v="42.9"/>
    <d v="2025-08-14T00:00:00"/>
  </r>
  <r>
    <s v="Sem TR"/>
    <n v="64831918"/>
    <s v="REB"/>
    <n v="10142075"/>
    <n v="173"/>
    <s v="PEÇAS - Defeito de fabric./Alta Amperage"/>
    <s v="FUNCIONAL"/>
    <x v="1"/>
    <n v="24289"/>
    <s v="REFRIGERACAO MOTA LTDA"/>
    <s v="MG"/>
    <n v="643"/>
    <s v="Elite"/>
    <n v="1350"/>
    <s v="W10619169"/>
    <s v="Placas de Controle"/>
    <x v="2"/>
    <n v="1"/>
    <n v="5004215"/>
    <s v="BRASIL WEB TRANSPORTES E LOGISTICA"/>
    <n v="223.08"/>
    <d v="2025-08-14T00:00:00"/>
  </r>
  <r>
    <s v="Sem TR"/>
    <n v="64831924"/>
    <s v="REB"/>
    <n v="10142808"/>
    <n v="509"/>
    <s v="Qtd de peças a Menor dentro do Volume"/>
    <s v="LOGÍSTICA"/>
    <x v="2"/>
    <n v="67948"/>
    <s v="REFRICRIL DISTRIBUIDORA DE AR REFRI"/>
    <s v="SC"/>
    <n v="713"/>
    <s v="Key Account"/>
    <n v="1350"/>
    <n v="326015418"/>
    <s v="Polias/Roldanas"/>
    <x v="4"/>
    <n v="4"/>
    <n v="5002359"/>
    <s v="EMPRESA BRASILEIRA DE CORREIOS E"/>
    <n v="110.06"/>
    <d v="2025-08-14T00:00:00"/>
  </r>
  <r>
    <n v="254059897"/>
    <n v="64831926"/>
    <s v="REB"/>
    <n v="10030246"/>
    <n v="176"/>
    <s v="PEÇAS - Defeito de fabric./Interrompido"/>
    <s v="FUNCIONAL"/>
    <x v="2"/>
    <n v="13757"/>
    <s v="FRIGELAR COMÉRCIO E INDÚSTRIA LTDA"/>
    <s v="SP"/>
    <n v="713"/>
    <s v="Key Account"/>
    <n v="1350"/>
    <s v="W11300816"/>
    <s v="Mecanismos"/>
    <x v="4"/>
    <n v="1"/>
    <n v="5004042"/>
    <s v="BRASIL WEB TRANSPORTES E LOGISTICA"/>
    <n v="121.73"/>
    <d v="2025-08-14T00:00:00"/>
  </r>
  <r>
    <n v="254058123"/>
    <n v="64831929"/>
    <s v="REB"/>
    <n v="10010142"/>
    <n v="178"/>
    <s v="PEÇAS -Defeito de fabric./Sem Compressão"/>
    <s v="FUNCIONAL"/>
    <x v="2"/>
    <n v="29164"/>
    <s v="BRASTEMAK REFRIGERACAO LTDA"/>
    <s v="BA"/>
    <n v="648"/>
    <s v="Ultra"/>
    <n v="1350"/>
    <s v="W10393823"/>
    <s v="Compressores Herméticos"/>
    <x v="0"/>
    <n v="1"/>
    <n v="5004101"/>
    <s v="UNIDOCK'S ASSESSORIA E LOGISTICA DE"/>
    <n v="525.35"/>
    <d v="2025-08-14T00:00:00"/>
  </r>
  <r>
    <s v="Sem TR"/>
    <n v="64831954"/>
    <s v="REB"/>
    <n v="9918504"/>
    <n v="178"/>
    <s v="PEÇAS -Defeito de fabric./Sem Compressão"/>
    <s v="FUNCIONAL"/>
    <x v="1"/>
    <n v="28991"/>
    <s v="FRIO BEL REFRIGERACAO LTDA"/>
    <s v="MG"/>
    <n v="643"/>
    <s v="Elite"/>
    <n v="1350"/>
    <s v="W11647660"/>
    <s v="Compressores Herméticos"/>
    <x v="0"/>
    <n v="2"/>
    <n v="5004215"/>
    <s v="BRASIL WEB TRANSPORTES E LOGISTICA"/>
    <n v="544.23"/>
    <d v="2025-08-14T00:00:00"/>
  </r>
  <r>
    <n v="254058143"/>
    <n v="64831956"/>
    <s v="REB"/>
    <n v="9019435"/>
    <n v="178"/>
    <s v="PEÇAS -Defeito de fabric./Sem Compressão"/>
    <s v="FUNCIONAL"/>
    <x v="2"/>
    <n v="59011"/>
    <s v="H D CASTELAO EIRELI - EPP"/>
    <s v="SP"/>
    <n v="648"/>
    <s v="Ultra"/>
    <n v="1350"/>
    <s v="W11459434"/>
    <s v="Compressores Herméticos"/>
    <x v="0"/>
    <n v="1"/>
    <n v="5004042"/>
    <s v="BRASIL WEB TRANSPORTES E LOGISTICA"/>
    <n v="520.59"/>
    <d v="2025-08-14T00:00:00"/>
  </r>
  <r>
    <s v="Sem TR"/>
    <n v="64831959"/>
    <s v="REB"/>
    <n v="9807413"/>
    <n v="178"/>
    <s v="PEÇAS -Defeito de fabric./Sem Compressão"/>
    <s v="FUNCIONAL"/>
    <x v="1"/>
    <n v="28991"/>
    <s v="FRIO BEL REFRIGERACAO LTDA"/>
    <s v="MG"/>
    <n v="643"/>
    <s v="Elite"/>
    <n v="1350"/>
    <s v="W10393822"/>
    <s v="Compressores Herméticos"/>
    <x v="0"/>
    <n v="2"/>
    <n v="5004215"/>
    <s v="BRASIL WEB TRANSPORTES E LOGISTICA"/>
    <n v="985.21"/>
    <d v="2025-08-14T00:00:00"/>
  </r>
  <r>
    <s v="Sem TR"/>
    <n v="64831960"/>
    <s v="REB"/>
    <n v="9687036"/>
    <n v="178"/>
    <s v="PEÇAS -Defeito de fabric./Sem Compressão"/>
    <s v="FUNCIONAL"/>
    <x v="1"/>
    <n v="28991"/>
    <s v="FRIO BEL REFRIGERACAO LTDA"/>
    <s v="MG"/>
    <n v="643"/>
    <s v="Elite"/>
    <n v="1350"/>
    <s v="W11677208"/>
    <s v="Compressores Herméticos"/>
    <x v="0"/>
    <n v="1"/>
    <n v="5004215"/>
    <s v="BRASIL WEB TRANSPORTES E LOGISTICA"/>
    <n v="284.45999999999998"/>
    <d v="2025-08-14T00:00:00"/>
  </r>
  <r>
    <s v="Sem TR"/>
    <n v="64831961"/>
    <s v="REB"/>
    <n v="10146648"/>
    <n v="167"/>
    <s v="PEÇAS - Avaria - Quebrada/Depósito"/>
    <s v="LOGÍSTICA"/>
    <x v="1"/>
    <n v="3605"/>
    <s v="REFRIGERACAO BARS LTDA"/>
    <s v="SP"/>
    <n v="931"/>
    <s v="Ats Off"/>
    <n v="1350"/>
    <s v="W11201322"/>
    <s v="Prateleiras"/>
    <x v="1"/>
    <n v="1"/>
    <n v="5004042"/>
    <s v="BRASIL WEB TRANSPORTES E LOGISTICA"/>
    <n v="116.35"/>
    <d v="2025-08-14T00:00:00"/>
  </r>
  <r>
    <n v="254058146"/>
    <n v="6483197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14T00:00:00"/>
  </r>
  <r>
    <n v="254058127"/>
    <n v="64831971"/>
    <s v="REB"/>
    <n v="9785537"/>
    <n v="178"/>
    <s v="PEÇAS -Defeito de fabric./Sem Compressão"/>
    <s v="FUNCIONAL"/>
    <x v="2"/>
    <n v="30416"/>
    <s v="JF OLIVEIRA PEREIRA ELETROD LTDA"/>
    <s v="AM"/>
    <n v="648"/>
    <s v="Ultra"/>
    <n v="1350"/>
    <s v="W10575086"/>
    <s v="Compressores Herméticos"/>
    <x v="0"/>
    <n v="1"/>
    <n v="5002858"/>
    <s v="FAVORITA TRANSPORTES LTDA"/>
    <n v="332.25"/>
    <d v="2025-08-14T00:00:00"/>
  </r>
  <r>
    <n v="254058152"/>
    <n v="64831972"/>
    <s v="REB"/>
    <n v="10042056"/>
    <n v="168"/>
    <s v="PEÇAS-Def.Fabric.Empenamento/Abaulamento"/>
    <s v="FUNCIONAL"/>
    <x v="2"/>
    <n v="68962"/>
    <s v="ELETROFRIGOR PECAS LTDA ME"/>
    <s v="RJ"/>
    <n v="644"/>
    <s v="Plus"/>
    <n v="1350"/>
    <s v="W10882241"/>
    <s v="Agitadores"/>
    <x v="4"/>
    <n v="1"/>
    <n v="5003176"/>
    <s v="J C THEDIN TRANSPORTES LTDA"/>
    <n v="61.04"/>
    <d v="2025-08-14T00:00:00"/>
  </r>
  <r>
    <n v="254058142"/>
    <n v="64831973"/>
    <s v="REB"/>
    <n v="10113046"/>
    <n v="176"/>
    <s v="PEÇAS - Defeito de fabric./Interrompido"/>
    <s v="FUNCIONAL"/>
    <x v="2"/>
    <n v="59011"/>
    <s v="H D CASTELAO EIRELI - EPP"/>
    <s v="SP"/>
    <n v="648"/>
    <s v="Ultra"/>
    <n v="1350"/>
    <s v="W10393823"/>
    <s v="Compressores Herméticos"/>
    <x v="0"/>
    <n v="1"/>
    <n v="5004042"/>
    <s v="BRASIL WEB TRANSPORTES E LOGISTICA"/>
    <n v="510.32"/>
    <d v="2025-08-14T00:00:00"/>
  </r>
  <r>
    <n v="254058127"/>
    <n v="64831974"/>
    <s v="REB"/>
    <n v="9723416"/>
    <n v="178"/>
    <s v="PEÇAS -Defeito de fabric./Sem Compressão"/>
    <s v="FUNCIONAL"/>
    <x v="2"/>
    <n v="30416"/>
    <s v="JF OLIVEIRA PEREIRA ELETROD LTDA"/>
    <s v="AM"/>
    <n v="648"/>
    <s v="Ultra"/>
    <n v="1350"/>
    <s v="W11459433"/>
    <s v="Compressores Herméticos"/>
    <x v="0"/>
    <n v="1"/>
    <n v="5002858"/>
    <s v="FAVORITA TRANSPORTES LTDA"/>
    <n v="400.05"/>
    <d v="2025-08-14T00:00:00"/>
  </r>
  <r>
    <n v="254061108"/>
    <n v="64831975"/>
    <s v="REB"/>
    <n v="9899094"/>
    <n v="178"/>
    <s v="PEÇAS -Defeito de fabric./Sem Compressão"/>
    <s v="FUNCIONAL"/>
    <x v="1"/>
    <n v="32455"/>
    <s v="FRIOSAMO REFRIGERACAO LTDA"/>
    <s v="SP"/>
    <n v="643"/>
    <s v="Elite"/>
    <n v="1350"/>
    <s v="W11677208"/>
    <s v="Compressores Herméticos"/>
    <x v="0"/>
    <n v="1"/>
    <n v="5004042"/>
    <s v="BRASIL WEB TRANSPORTES E LOGISTICA"/>
    <n v="307.62"/>
    <d v="2025-08-14T00:00:00"/>
  </r>
  <r>
    <n v="254061105"/>
    <n v="64831976"/>
    <s v="REB"/>
    <n v="9681798"/>
    <n v="178"/>
    <s v="PEÇAS -Defeito de fabric./Sem Compressão"/>
    <s v="FUNCIONAL"/>
    <x v="2"/>
    <n v="32455"/>
    <s v="FRIOSAMO REFRIGERACAO LTDA"/>
    <s v="SP"/>
    <n v="643"/>
    <s v="Elite"/>
    <n v="1350"/>
    <s v="W10375479"/>
    <s v="Compressores Herméticos"/>
    <x v="0"/>
    <n v="2"/>
    <n v="5004042"/>
    <s v="BRASIL WEB TRANSPORTES E LOGISTICA"/>
    <n v="958.16"/>
    <d v="2025-08-14T00:00:00"/>
  </r>
  <r>
    <n v="254058127"/>
    <n v="64831980"/>
    <s v="REB"/>
    <n v="10018136"/>
    <n v="178"/>
    <s v="PEÇAS -Defeito de fabric./Sem Compressão"/>
    <s v="FUNCIONAL"/>
    <x v="2"/>
    <n v="30416"/>
    <s v="JF OLIVEIRA PEREIRA ELETROD LTDA"/>
    <s v="AM"/>
    <n v="648"/>
    <s v="Ultra"/>
    <n v="1350"/>
    <s v="W10393822"/>
    <s v="Compressores Herméticos"/>
    <x v="0"/>
    <n v="1"/>
    <n v="5002858"/>
    <s v="FAVORITA TRANSPORTES LTDA"/>
    <n v="393.38"/>
    <d v="2025-08-14T00:00:00"/>
  </r>
  <r>
    <n v="254058049"/>
    <n v="64831984"/>
    <s v="REB"/>
    <n v="10087713"/>
    <n v="173"/>
    <s v="PEÇAS - Defeito de fabric./Alta Amperage"/>
    <s v="FUNCIONAL"/>
    <x v="2"/>
    <n v="2832"/>
    <s v="REFRIG DANTAS LTDA"/>
    <s v="BA"/>
    <n v="350"/>
    <s v="Ats On"/>
    <n v="1350"/>
    <s v="W11647660"/>
    <s v="Compressores Herméticos"/>
    <x v="0"/>
    <n v="1"/>
    <n v="5004101"/>
    <s v="UNIDOCK'S ASSESSORIA E LOGISTICA DE"/>
    <n v="279.27"/>
    <d v="2025-08-14T00:00:00"/>
  </r>
  <r>
    <n v="254058127"/>
    <n v="64831989"/>
    <s v="REB"/>
    <n v="10101470"/>
    <n v="173"/>
    <s v="PEÇAS - Defeito de fabric./Alta Amperage"/>
    <s v="FUNCIONAL"/>
    <x v="2"/>
    <n v="30416"/>
    <s v="JF OLIVEIRA PEREIRA ELETROD LTDA"/>
    <s v="AM"/>
    <n v="648"/>
    <s v="Ultra"/>
    <n v="1350"/>
    <s v="W11396188"/>
    <s v="Placas de Interface"/>
    <x v="2"/>
    <n v="1"/>
    <n v="5002858"/>
    <s v="FAVORITA TRANSPORTES LTDA"/>
    <n v="66.36"/>
    <d v="2025-08-14T00:00:00"/>
  </r>
  <r>
    <n v="254058170"/>
    <n v="64831990"/>
    <s v="REB"/>
    <n v="10124618"/>
    <n v="173"/>
    <s v="PEÇAS - Defeito de fabric./Alta Amperage"/>
    <s v="FUNCIONAL"/>
    <x v="2"/>
    <n v="80833"/>
    <s v="REFRISELL COMERCIO DE EQUIPAMENTOS"/>
    <s v="PR"/>
    <n v="644"/>
    <s v="Plus"/>
    <n v="1350"/>
    <s v="W11344668"/>
    <s v="Válvulas de Água"/>
    <x v="6"/>
    <n v="1"/>
    <n v="5003024"/>
    <s v="RODOBRAS TRANSPORTES RODOVIARIOS LT"/>
    <n v="54.14"/>
    <d v="2025-08-14T00:00:00"/>
  </r>
  <r>
    <n v="254058169"/>
    <n v="64831994"/>
    <s v="REB"/>
    <n v="9639573"/>
    <n v="173"/>
    <s v="PEÇAS - Defeito de fabric./Alta Amperage"/>
    <s v="FUNCIONAL"/>
    <x v="2"/>
    <n v="80833"/>
    <s v="REFRISELL COMERCIO DE EQUIPAMENTOS"/>
    <s v="PR"/>
    <n v="644"/>
    <s v="Plus"/>
    <n v="1350"/>
    <s v="W11487407"/>
    <s v="Placas de Controle"/>
    <x v="2"/>
    <n v="1"/>
    <n v="5003024"/>
    <s v="RODOBRAS TRANSPORTES RODOVIARIOS LT"/>
    <n v="232.42"/>
    <d v="2025-08-14T00:00:00"/>
  </r>
  <r>
    <n v="254058047"/>
    <n v="64831995"/>
    <s v="REB"/>
    <n v="10135709"/>
    <n v="176"/>
    <s v="PEÇAS - Defeito de fabric./Interrompido"/>
    <s v="FUNCIONAL"/>
    <x v="2"/>
    <n v="2424"/>
    <s v="TERMO STATUS INSTALADORA DE"/>
    <s v="RJ"/>
    <n v="350"/>
    <s v="Ats On"/>
    <n v="1350"/>
    <s v="W11245249"/>
    <s v="Válvulas de Água"/>
    <x v="6"/>
    <n v="1"/>
    <n v="5003176"/>
    <s v="J C THEDIN TRANSPORTES LTDA"/>
    <n v="49.6"/>
    <d v="2025-08-14T00:00:00"/>
  </r>
  <r>
    <n v="254058143"/>
    <n v="64832009"/>
    <s v="REB"/>
    <n v="10113048"/>
    <n v="173"/>
    <s v="PEÇAS - Defeito de fabric./Alta Amperage"/>
    <s v="FUNCIONAL"/>
    <x v="2"/>
    <n v="59011"/>
    <s v="H D CASTELAO EIRELI - EPP"/>
    <s v="SP"/>
    <n v="648"/>
    <s v="Ultra"/>
    <n v="1350"/>
    <s v="W10393814"/>
    <s v="Compressores Herméticos"/>
    <x v="0"/>
    <n v="1"/>
    <n v="5004042"/>
    <s v="BRASIL WEB TRANSPORTES E LOGISTICA"/>
    <n v="591.54"/>
    <d v="2025-08-14T00:00:00"/>
  </r>
  <r>
    <n v="254059907"/>
    <n v="64832011"/>
    <s v="REB"/>
    <n v="10064808"/>
    <n v="178"/>
    <s v="PEÇAS -Defeito de fabric./Sem Compressão"/>
    <s v="FUNCIONAL"/>
    <x v="2"/>
    <n v="21295"/>
    <s v="REFRIGAS COMERCIO E SERVICOS"/>
    <s v="SP"/>
    <n v="648"/>
    <s v="Ultra"/>
    <n v="1350"/>
    <s v="W10393823"/>
    <s v="Compressores Herméticos"/>
    <x v="0"/>
    <n v="2"/>
    <n v="5004042"/>
    <s v="BRASIL WEB TRANSPORTES E LOGISTICA"/>
    <n v="1004.71"/>
    <d v="2025-08-14T00:00:00"/>
  </r>
  <r>
    <n v="254061175"/>
    <n v="64832012"/>
    <s v="REB"/>
    <n v="10083341"/>
    <n v="176"/>
    <s v="PEÇAS - Defeito de fabric./Interrompido"/>
    <s v="FUNCIONAL"/>
    <x v="2"/>
    <n v="77212"/>
    <s v="FA REFRIGERACAO SERVICOS"/>
    <s v="CE"/>
    <n v="644"/>
    <s v="Plus"/>
    <n v="1350"/>
    <s v="W10518617"/>
    <s v="Atuadores"/>
    <x v="4"/>
    <n v="2"/>
    <n v="5004101"/>
    <s v="UNIDOCK'S ASSESSORIA E LOGISTICA DE"/>
    <n v="68.39"/>
    <d v="2025-08-14T00:00:00"/>
  </r>
  <r>
    <n v="254058143"/>
    <n v="64832014"/>
    <s v="REB"/>
    <n v="9638262"/>
    <n v="176"/>
    <s v="PEÇAS - Defeito de fabric./Interrompido"/>
    <s v="FUNCIONAL"/>
    <x v="2"/>
    <n v="59011"/>
    <s v="H D CASTELAO EIRELI - EPP"/>
    <s v="SP"/>
    <n v="648"/>
    <s v="Ultra"/>
    <n v="1350"/>
    <s v="W11677208"/>
    <s v="Compressores Herméticos"/>
    <x v="0"/>
    <n v="1"/>
    <n v="5004042"/>
    <s v="BRASIL WEB TRANSPORTES E LOGISTICA"/>
    <n v="325.11"/>
    <d v="2025-08-14T00:00:00"/>
  </r>
  <r>
    <n v="254058143"/>
    <n v="64832019"/>
    <s v="REB"/>
    <n v="10113046"/>
    <n v="173"/>
    <s v="PEÇAS - Defeito de fabric./Alta Amperage"/>
    <s v="FUNCIONAL"/>
    <x v="2"/>
    <n v="59011"/>
    <s v="H D CASTELAO EIRELI - EPP"/>
    <s v="SP"/>
    <n v="648"/>
    <s v="Ultra"/>
    <n v="1350"/>
    <s v="W10393822"/>
    <s v="Compressores Herméticos"/>
    <x v="0"/>
    <n v="1"/>
    <n v="5004042"/>
    <s v="BRASIL WEB TRANSPORTES E LOGISTICA"/>
    <n v="510.32"/>
    <d v="2025-08-14T00:00:00"/>
  </r>
  <r>
    <s v="Sem TR"/>
    <n v="64832020"/>
    <s v="REB"/>
    <n v="10142477"/>
    <n v="509"/>
    <s v="Qtd de peças a Menor dentro do Volume"/>
    <s v="LOGÍSTICA"/>
    <x v="1"/>
    <n v="75930"/>
    <s v="LUCAS DO AMARAL BRISTOT"/>
    <s v="SC"/>
    <n v="648"/>
    <s v="Ultra"/>
    <n v="1350"/>
    <s v="W10829873"/>
    <s v="Outros"/>
    <x v="5"/>
    <n v="3"/>
    <n v="5002359"/>
    <s v="EMPRESA BRASILEIRA DE CORREIOS E"/>
    <n v="210.03"/>
    <d v="2025-08-14T00:00:00"/>
  </r>
  <r>
    <n v="254061175"/>
    <n v="64832021"/>
    <s v="REB"/>
    <n v="10112054"/>
    <n v="176"/>
    <s v="PEÇAS - Defeito de fabric./Interrompido"/>
    <s v="FUNCIONAL"/>
    <x v="2"/>
    <n v="77212"/>
    <s v="FA REFRIGERACAO SERVICOS"/>
    <s v="CE"/>
    <n v="644"/>
    <s v="Plus"/>
    <n v="1350"/>
    <s v="W11383843"/>
    <s v="Válvulas de Água"/>
    <x v="6"/>
    <n v="1"/>
    <n v="5004101"/>
    <s v="UNIDOCK'S ASSESSORIA E LOGISTICA DE"/>
    <n v="100.41"/>
    <d v="2025-08-14T00:00:00"/>
  </r>
  <r>
    <s v="Sem TR"/>
    <n v="64832034"/>
    <s v="REB"/>
    <n v="10132936"/>
    <n v="176"/>
    <s v="PEÇAS - Defeito de fabric./Interrompido"/>
    <s v="FUNCIONAL"/>
    <x v="1"/>
    <n v="31537"/>
    <s v="RAQUEL SILVEIRA RODRIGUES &amp; CIA. LT"/>
    <s v="RS"/>
    <n v="641"/>
    <s v="CDP Diamante"/>
    <n v="1350"/>
    <n v="326011600"/>
    <s v="Válvulas de Água"/>
    <x v="6"/>
    <n v="1"/>
    <n v="5003024"/>
    <s v="RODOBRAS TRANSPORTES RODOVIARIOS LT"/>
    <n v="31.78"/>
    <d v="2025-08-14T00:00:00"/>
  </r>
  <r>
    <n v="254061104"/>
    <n v="64832035"/>
    <s v="REB"/>
    <n v="10113333"/>
    <n v="178"/>
    <s v="PEÇAS -Defeito de fabric./Sem Compressão"/>
    <s v="FUNCIONAL"/>
    <x v="1"/>
    <n v="32455"/>
    <s v="FRIOSAMO REFRIGERACAO LTDA"/>
    <s v="SP"/>
    <n v="643"/>
    <s v="Elite"/>
    <n v="1350"/>
    <s v="W10393823"/>
    <s v="Compressores Herméticos"/>
    <x v="0"/>
    <n v="1"/>
    <n v="5004042"/>
    <s v="BRASIL WEB TRANSPORTES E LOGISTICA"/>
    <n v="481.07"/>
    <d v="2025-08-14T00:00:00"/>
  </r>
  <r>
    <n v="254061138"/>
    <n v="64832038"/>
    <s v="REB"/>
    <n v="10112047"/>
    <n v="176"/>
    <s v="PEÇAS - Defeito de fabric./Interrompido"/>
    <s v="FUNCIONAL"/>
    <x v="2"/>
    <n v="58276"/>
    <s v="CHAMATEC COMERCIO E"/>
    <s v="CE"/>
    <n v="644"/>
    <s v="Plus"/>
    <n v="1350"/>
    <s v="W11510292"/>
    <s v="Interruptores"/>
    <x v="8"/>
    <n v="1"/>
    <n v="5004101"/>
    <s v="UNIDOCK'S ASSESSORIA E LOGISTICA DE"/>
    <n v="30.58"/>
    <d v="2025-08-14T00:00:00"/>
  </r>
  <r>
    <n v="254058120"/>
    <n v="64832039"/>
    <s v="REB"/>
    <n v="10061716"/>
    <n v="176"/>
    <s v="PEÇAS - Defeito de fabric./Interrompido"/>
    <s v="FUNCIONAL"/>
    <x v="2"/>
    <n v="22211"/>
    <s v="BARNI PRES SER COM PROD REFIRG ME"/>
    <s v="SC"/>
    <n v="644"/>
    <s v="Plus"/>
    <n v="1350"/>
    <s v="W11160655"/>
    <s v="Placas de Interface"/>
    <x v="2"/>
    <n v="1"/>
    <n v="5003024"/>
    <s v="RODOBRAS TRANSPORTES RODOVIARIOS LT"/>
    <n v="96.04"/>
    <d v="2025-08-14T00:00:00"/>
  </r>
  <r>
    <n v="254058047"/>
    <n v="64832040"/>
    <s v="REB"/>
    <n v="10051424"/>
    <n v="176"/>
    <s v="PEÇAS - Defeito de fabric./Interrompido"/>
    <s v="FUNCIONAL"/>
    <x v="2"/>
    <n v="2424"/>
    <s v="TERMO STATUS INSTALADORA DE"/>
    <s v="RJ"/>
    <n v="350"/>
    <s v="Ats On"/>
    <n v="1350"/>
    <s v="W11245249"/>
    <s v="Válvulas de Água"/>
    <x v="6"/>
    <n v="1"/>
    <n v="5003176"/>
    <s v="J C THEDIN TRANSPORTES LTDA"/>
    <n v="49.55"/>
    <d v="2025-08-14T00:00:00"/>
  </r>
  <r>
    <n v="254058120"/>
    <n v="64832044"/>
    <s v="REB"/>
    <n v="10091262"/>
    <n v="176"/>
    <s v="PEÇAS - Defeito de fabric./Interrompido"/>
    <s v="FUNCIONAL"/>
    <x v="2"/>
    <n v="22211"/>
    <s v="BARNI PRES SER COM PROD REFIRG ME"/>
    <s v="SC"/>
    <n v="644"/>
    <s v="Plus"/>
    <n v="1350"/>
    <s v="W11603414"/>
    <s v="Placas de Controle"/>
    <x v="2"/>
    <n v="1"/>
    <n v="5003024"/>
    <s v="RODOBRAS TRANSPORTES RODOVIARIOS LT"/>
    <n v="201.39"/>
    <d v="2025-08-14T00:00:00"/>
  </r>
  <r>
    <s v="Sem TR"/>
    <n v="64832063"/>
    <s v="ROB"/>
    <n v="10168002"/>
    <n v="25"/>
    <s v="OC. 80 - EXTRAVIO TOTAL"/>
    <s v="TRANSPORTADORA"/>
    <x v="2"/>
    <n v="68008"/>
    <s v="W.A. SERVICE E ASSISTENCIA TECNICA"/>
    <s v="SP"/>
    <n v="932"/>
    <s v="CDP Prata"/>
    <n v="1350"/>
    <s v="W10699240"/>
    <s v="Filtro Secadores"/>
    <x v="0"/>
    <n v="1"/>
    <n v="5004101"/>
    <s v="UNIDOCK'S ASSESSORIA E LOGISTICA DE"/>
    <n v="8.41"/>
    <d v="2025-08-14T00:00:00"/>
  </r>
  <r>
    <s v="Sem TR"/>
    <n v="64832063"/>
    <s v="ROB"/>
    <n v="10168002"/>
    <n v="25"/>
    <s v="OC. 80 - EXTRAVIO TOTAL"/>
    <s v="TRANSPORTADORA"/>
    <x v="2"/>
    <n v="68008"/>
    <s v="W.A. SERVICE E ASSISTENCIA TECNICA"/>
    <s v="SP"/>
    <n v="932"/>
    <s v="CDP Prata"/>
    <n v="1350"/>
    <s v="W10816563"/>
    <s v="Capas Queimadores"/>
    <x v="9"/>
    <n v="2"/>
    <n v="5004101"/>
    <s v="UNIDOCK'S ASSESSORIA E LOGISTICA DE"/>
    <n v="21.27"/>
    <d v="2025-08-14T00:00:00"/>
  </r>
  <r>
    <s v="Sem TR"/>
    <n v="64832063"/>
    <s v="ROB"/>
    <n v="10168002"/>
    <n v="25"/>
    <s v="OC. 80 - EXTRAVIO TOTAL"/>
    <s v="TRANSPORTADORA"/>
    <x v="2"/>
    <n v="68008"/>
    <s v="W.A. SERVICE E ASSISTENCIA TECNICA"/>
    <s v="SP"/>
    <n v="932"/>
    <s v="CDP Prata"/>
    <n v="1350"/>
    <s v="W10816564"/>
    <s v="Capas Queimadores"/>
    <x v="9"/>
    <n v="2"/>
    <n v="5004101"/>
    <s v="UNIDOCK'S ASSESSORIA E LOGISTICA DE"/>
    <n v="15.64"/>
    <d v="2025-08-14T00:00:00"/>
  </r>
  <r>
    <s v="Sem TR"/>
    <n v="64832063"/>
    <s v="ROB"/>
    <n v="10168002"/>
    <n v="25"/>
    <s v="OC. 80 - EXTRAVIO TOTAL"/>
    <s v="TRANSPORTADORA"/>
    <x v="2"/>
    <n v="68008"/>
    <s v="W.A. SERVICE E ASSISTENCIA TECNICA"/>
    <s v="SP"/>
    <n v="932"/>
    <s v="CDP Prata"/>
    <n v="1350"/>
    <s v="W10849469"/>
    <s v="Bombas"/>
    <x v="2"/>
    <n v="1"/>
    <n v="5004101"/>
    <s v="UNIDOCK'S ASSESSORIA E LOGISTICA DE"/>
    <n v="35"/>
    <d v="2025-08-14T00:00:00"/>
  </r>
  <r>
    <s v="Sem TR"/>
    <n v="64832071"/>
    <s v="ROB"/>
    <n v="10158873"/>
    <n v="25"/>
    <s v="OC. 80 - EXTRAVIO TOTAL"/>
    <s v="TRANSPORTADORA"/>
    <x v="2"/>
    <n v="83495"/>
    <s v="TESLA COMERCIO E SERVICOS DE"/>
    <s v="AM"/>
    <n v="934"/>
    <s v="CDP Ouro"/>
    <n v="1350"/>
    <s v="W10269366"/>
    <s v="Placas de Controle"/>
    <x v="2"/>
    <n v="5"/>
    <n v="5002858"/>
    <s v="FAVORITA TRANSPORTES LTDA"/>
    <n v="664.27"/>
    <d v="2025-08-30T00:00:00"/>
  </r>
  <r>
    <s v="Sem TR"/>
    <n v="64832072"/>
    <s v="ROB"/>
    <n v="10158874"/>
    <n v="25"/>
    <s v="OC. 80 - EXTRAVIO TOTAL"/>
    <s v="TRANSPORTADORA"/>
    <x v="2"/>
    <n v="83495"/>
    <s v="TESLA COMERCIO E SERVICOS DE"/>
    <s v="AM"/>
    <n v="934"/>
    <s v="CDP Ouro"/>
    <n v="1350"/>
    <s v="W11634491"/>
    <s v="Placas de Controle"/>
    <x v="2"/>
    <n v="5"/>
    <n v="5002858"/>
    <s v="FAVORITA TRANSPORTES LTDA"/>
    <n v="284.69"/>
    <d v="2025-08-30T00:00:00"/>
  </r>
  <r>
    <n v="254061090"/>
    <n v="64832081"/>
    <s v="REB"/>
    <n v="10101477"/>
    <n v="176"/>
    <s v="PEÇAS - Defeito de fabric./Interrompido"/>
    <s v="FUNCIONAL"/>
    <x v="1"/>
    <n v="30416"/>
    <s v="JF OLIVEIRA PEREIRA ELETROD LTDA"/>
    <s v="AM"/>
    <n v="648"/>
    <s v="Ultra"/>
    <n v="1350"/>
    <s v="W11240384"/>
    <s v="Placas de Controle"/>
    <x v="2"/>
    <n v="1"/>
    <n v="5002858"/>
    <s v="FAVORITA TRANSPORTES LTDA"/>
    <n v="79.209999999999994"/>
    <d v="2025-08-15T00:00:00"/>
  </r>
  <r>
    <s v="Sem TR"/>
    <n v="64832083"/>
    <s v="REB"/>
    <n v="10041151"/>
    <n v="90"/>
    <s v="CLIENTE-não solicitou"/>
    <s v="COMERCIAL"/>
    <x v="1"/>
    <n v="81674"/>
    <s v="DUAR REFRIGERACAO LTDA"/>
    <s v="RS"/>
    <n v="350"/>
    <s v="Ats On"/>
    <n v="1350"/>
    <s v="W10292562"/>
    <s v="Capas"/>
    <x v="3"/>
    <n v="1"/>
    <n v="5003024"/>
    <s v="RODOBRAS TRANSPORTES RODOVIARIOS LT"/>
    <n v="23.09"/>
    <d v="2025-08-15T00:00:00"/>
  </r>
  <r>
    <s v="Sem TR"/>
    <n v="64832083"/>
    <s v="REB"/>
    <n v="10041151"/>
    <n v="90"/>
    <s v="CLIENTE-não solicitou"/>
    <s v="COMERCIAL"/>
    <x v="1"/>
    <n v="81674"/>
    <s v="DUAR REFRIGERACAO LTDA"/>
    <s v="RS"/>
    <n v="350"/>
    <s v="Ats On"/>
    <n v="1350"/>
    <s v="W10477178"/>
    <s v="Capas"/>
    <x v="3"/>
    <n v="1"/>
    <n v="5003024"/>
    <s v="RODOBRAS TRANSPORTES RODOVIARIOS LT"/>
    <n v="22.22"/>
    <d v="2025-08-15T00:00:00"/>
  </r>
  <r>
    <s v="Sem TR"/>
    <n v="64832083"/>
    <s v="REB"/>
    <n v="10041151"/>
    <n v="90"/>
    <s v="CLIENTE-não solicitou"/>
    <s v="COMERCIAL"/>
    <x v="1"/>
    <n v="81674"/>
    <s v="DUAR REFRIGERACAO LTDA"/>
    <s v="RS"/>
    <n v="350"/>
    <s v="Ats On"/>
    <n v="1350"/>
    <s v="W10531315"/>
    <s v="Sensores"/>
    <x v="8"/>
    <n v="1"/>
    <n v="5003024"/>
    <s v="RODOBRAS TRANSPORTES RODOVIARIOS LT"/>
    <n v="8.48"/>
    <d v="2025-08-15T00:00:00"/>
  </r>
  <r>
    <s v="Sem TR"/>
    <n v="64832083"/>
    <s v="REB"/>
    <n v="10041151"/>
    <n v="90"/>
    <s v="CLIENTE-não solicitou"/>
    <s v="COMERCIAL"/>
    <x v="1"/>
    <n v="81674"/>
    <s v="DUAR REFRIGERACAO LTDA"/>
    <s v="RS"/>
    <n v="350"/>
    <s v="Ats On"/>
    <n v="1350"/>
    <s v="W10820205"/>
    <s v="Resistências"/>
    <x v="2"/>
    <n v="1"/>
    <n v="5003024"/>
    <s v="RODOBRAS TRANSPORTES RODOVIARIOS LT"/>
    <n v="279.68"/>
    <d v="2025-08-15T00:00:00"/>
  </r>
  <r>
    <n v="254058176"/>
    <n v="64832090"/>
    <s v="REB"/>
    <n v="9093792"/>
    <n v="178"/>
    <s v="PEÇAS -Defeito de fabric./Sem Compressão"/>
    <s v="FUNCIONAL"/>
    <x v="2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72.92"/>
    <d v="2025-08-14T00:00:00"/>
  </r>
  <r>
    <n v="254058175"/>
    <n v="64832091"/>
    <s v="REB"/>
    <n v="9606901"/>
    <n v="178"/>
    <s v="PEÇAS -Defeito de fabric./Sem Compressão"/>
    <s v="FUNCIONAL"/>
    <x v="2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6.05"/>
    <d v="2025-08-14T00:00:00"/>
  </r>
  <r>
    <n v="254058175"/>
    <n v="64832092"/>
    <s v="REB"/>
    <n v="9425884"/>
    <n v="178"/>
    <s v="PEÇAS -Defeito de fabric./Sem Compressão"/>
    <s v="FUNCIONAL"/>
    <x v="2"/>
    <n v="81459"/>
    <s v="REFRIGERACAO GM EIRELI"/>
    <s v="SP"/>
    <n v="648"/>
    <s v="Ultra"/>
    <n v="1350"/>
    <s v="W11375485"/>
    <s v="Compressores Herméticos"/>
    <x v="0"/>
    <n v="1"/>
    <n v="5004042"/>
    <s v="BRASIL WEB TRANSPORTES E LOGISTICA"/>
    <n v="412.72"/>
    <d v="2025-08-14T00:00:00"/>
  </r>
  <r>
    <n v="254058148"/>
    <n v="64832093"/>
    <s v="REB"/>
    <n v="9659572"/>
    <n v="173"/>
    <s v="PEÇAS - Defeito de fabric./Alta Amperage"/>
    <s v="FUNCIONAL"/>
    <x v="2"/>
    <n v="67948"/>
    <s v="REFRICRIL DISTRIBUIDORA DE AR REFRI"/>
    <s v="SC"/>
    <n v="713"/>
    <s v="Key Account"/>
    <n v="1350"/>
    <s v="W10863659"/>
    <s v="Placas de Controle"/>
    <x v="2"/>
    <n v="1"/>
    <n v="5003024"/>
    <s v="RODOBRAS TRANSPORTES RODOVIARIOS LT"/>
    <n v="248.29"/>
    <d v="2025-08-14T00:00:00"/>
  </r>
  <r>
    <s v="Sem TR"/>
    <n v="64832094"/>
    <s v="REB"/>
    <n v="10076227"/>
    <n v="173"/>
    <s v="PEÇAS - Defeito de fabric./Alta Amperage"/>
    <s v="FUNCIONAL"/>
    <x v="1"/>
    <n v="24994"/>
    <s v="ROSA MARIA CORREA RIBEIRO &amp; CIA LT"/>
    <s v="MG"/>
    <n v="350"/>
    <s v="Ats On"/>
    <n v="1350"/>
    <s v="W11364875"/>
    <s v="Válvulas de Água"/>
    <x v="6"/>
    <n v="1"/>
    <n v="5004215"/>
    <s v="BRASIL WEB TRANSPORTES E LOGISTICA"/>
    <n v="29.31"/>
    <d v="2025-08-14T00:00:00"/>
  </r>
  <r>
    <n v="254056480"/>
    <n v="64832101"/>
    <s v="REB"/>
    <n v="10131580"/>
    <n v="176"/>
    <s v="PEÇAS - Defeito de fabric./Interrompido"/>
    <s v="FUNCIONAL"/>
    <x v="1"/>
    <n v="31587"/>
    <s v="COPEGEL REFRIGERACAO LTDA"/>
    <s v="SP"/>
    <n v="643"/>
    <s v="Elite"/>
    <n v="1350"/>
    <s v="W11300675"/>
    <s v="Mecanismos"/>
    <x v="4"/>
    <n v="1"/>
    <n v="5004042"/>
    <s v="BRASIL WEB TRANSPORTES E LOGISTICA"/>
    <n v="116.37"/>
    <d v="2025-08-15T00:00:00"/>
  </r>
  <r>
    <s v="Sem TR"/>
    <n v="64832102"/>
    <s v="REB"/>
    <n v="10166519"/>
    <n v="90"/>
    <s v="CLIENTE-não solicitou"/>
    <s v="COMERCIAL"/>
    <x v="1"/>
    <n v="4585"/>
    <s v="ELETRO PECAS REAL LTDA"/>
    <s v="SC"/>
    <n v="350"/>
    <s v="Ats On"/>
    <n v="1350"/>
    <s v="W11348806"/>
    <s v="Outros"/>
    <x v="5"/>
    <n v="1"/>
    <n v="5003024"/>
    <s v="RODOBRAS TRANSPORTES RODOVIARIOS LT"/>
    <n v="195.84"/>
    <d v="2025-08-15T00:00:00"/>
  </r>
  <r>
    <n v="254056464"/>
    <n v="64832103"/>
    <s v="REB"/>
    <n v="10143381"/>
    <n v="176"/>
    <s v="PEÇAS - Defeito de fabric./Interrompido"/>
    <s v="FUNCIONAL"/>
    <x v="1"/>
    <n v="21594"/>
    <s v="GOLD SERVICE COMERCIO"/>
    <s v="SP"/>
    <n v="931"/>
    <s v="Ats Off"/>
    <n v="1350"/>
    <s v="W10531315"/>
    <s v="Sensores"/>
    <x v="8"/>
    <n v="3"/>
    <n v="5004042"/>
    <s v="BRASIL WEB TRANSPORTES E LOGISTICA"/>
    <n v="25.37"/>
    <d v="2025-08-15T00:00:00"/>
  </r>
  <r>
    <n v="254056469"/>
    <n v="64832108"/>
    <s v="REB"/>
    <n v="9692356"/>
    <n v="173"/>
    <s v="PEÇAS - Defeito de fabric./Alta Amperage"/>
    <s v="FUNCIONAL"/>
    <x v="2"/>
    <n v="27253"/>
    <s v="S.M. QUARESMA"/>
    <s v="PI"/>
    <n v="644"/>
    <s v="Plus"/>
    <n v="1350"/>
    <s v="W11741179"/>
    <s v="Outros"/>
    <x v="5"/>
    <n v="2"/>
    <n v="5004101"/>
    <s v="UNIDOCK'S ASSESSORIA E LOGISTICA DE"/>
    <n v="696.05"/>
    <d v="2025-08-15T00:00:00"/>
  </r>
  <r>
    <s v="Sem TR"/>
    <n v="64832110"/>
    <s v="REB"/>
    <n v="10114075"/>
    <n v="92"/>
    <s v="PEÇAS-Preço divergente"/>
    <s v="COMERCIAL"/>
    <x v="1"/>
    <n v="31030"/>
    <s v="BARIZON REFRIGERACAO"/>
    <s v="RS"/>
    <n v="934"/>
    <s v="CDP Ouro"/>
    <n v="1350"/>
    <s v="W11387506"/>
    <s v="Placas de Controle"/>
    <x v="2"/>
    <n v="1"/>
    <n v="5003024"/>
    <s v="RODOBRAS TRANSPORTES RODOVIARIOS LT"/>
    <n v="358.71"/>
    <d v="2025-08-14T00:00:00"/>
  </r>
  <r>
    <s v="Sem TR"/>
    <n v="64832111"/>
    <s v="REB"/>
    <n v="10087887"/>
    <n v="173"/>
    <s v="PEÇAS - Defeito de fabric./Alta Amperage"/>
    <s v="FUNCIONAL"/>
    <x v="1"/>
    <n v="87707"/>
    <s v="REFRIGERA BRASIL CLIMATIZACAO E REF"/>
    <s v="BA"/>
    <n v="648"/>
    <s v="Ultra"/>
    <n v="1350"/>
    <s v="W11123829"/>
    <s v="Placas de Controle"/>
    <x v="2"/>
    <n v="1"/>
    <n v="5004101"/>
    <s v="UNIDOCK'S ASSESSORIA E LOGISTICA DE"/>
    <n v="103.06"/>
    <d v="2025-08-14T00:00:00"/>
  </r>
  <r>
    <s v="Sem TR"/>
    <n v="64832112"/>
    <s v="REB"/>
    <n v="10027146"/>
    <n v="173"/>
    <s v="PEÇAS - Defeito de fabric./Alta Amperage"/>
    <s v="FUNCIONAL"/>
    <x v="1"/>
    <n v="87707"/>
    <s v="REFRIGERA BRASIL CLIMATIZACAO E REF"/>
    <s v="BA"/>
    <n v="648"/>
    <s v="Ultra"/>
    <n v="1350"/>
    <s v="W11300695"/>
    <s v="Mecanismos"/>
    <x v="4"/>
    <n v="2"/>
    <n v="5004101"/>
    <s v="UNIDOCK'S ASSESSORIA E LOGISTICA DE"/>
    <n v="367.84"/>
    <d v="2025-08-14T00:00:00"/>
  </r>
  <r>
    <n v="254058180"/>
    <n v="64832114"/>
    <s v="REB"/>
    <n v="10132767"/>
    <n v="90"/>
    <s v="CLIENTE-não solicitou"/>
    <s v="COMERCIAL"/>
    <x v="2"/>
    <n v="85591"/>
    <s v="TREVIZAN &amp; CIA LTDA"/>
    <s v="SC"/>
    <n v="643"/>
    <s v="Elite"/>
    <n v="1350"/>
    <s v="W10722093"/>
    <s v="Mesas Cocção"/>
    <x v="3"/>
    <n v="2"/>
    <n v="5003024"/>
    <s v="RODOBRAS TRANSPORTES RODOVIARIOS LT"/>
    <n v="286.89"/>
    <d v="2025-08-14T00:00:00"/>
  </r>
  <r>
    <s v="Sem TR"/>
    <n v="64832117"/>
    <s v="REB"/>
    <n v="9939519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9.47"/>
    <d v="2025-08-14T00:00:00"/>
  </r>
  <r>
    <s v="Sem TR"/>
    <n v="64832118"/>
    <s v="REB"/>
    <n v="9993691"/>
    <n v="176"/>
    <s v="PEÇAS - Defeito de fabric./Interrompido"/>
    <s v="FUNCIONAL"/>
    <x v="1"/>
    <n v="81988"/>
    <s v="BH COMERCIO DE PECAS E FRIGERACAO"/>
    <s v="MG"/>
    <n v="648"/>
    <s v="Ultra"/>
    <n v="1350"/>
    <s v="W10393822"/>
    <s v="Compressores Herméticos"/>
    <x v="0"/>
    <n v="1"/>
    <n v="5004215"/>
    <s v="BRASIL WEB TRANSPORTES E LOGISTICA"/>
    <n v="569.47"/>
    <d v="2025-08-14T00:00:00"/>
  </r>
  <r>
    <n v="254058141"/>
    <n v="64832119"/>
    <s v="REB"/>
    <n v="9801991"/>
    <n v="176"/>
    <s v="PEÇAS - Defeito de fabric./Interrompido"/>
    <s v="FUNCIONAL"/>
    <x v="2"/>
    <n v="58767"/>
    <s v="STE - SERVICOS TECNICOS"/>
    <s v="ES"/>
    <n v="932"/>
    <s v="CDP Prata"/>
    <n v="1350"/>
    <s v="W10700346"/>
    <s v="Placas de Controle"/>
    <x v="2"/>
    <n v="1"/>
    <n v="5004042"/>
    <s v="BRASIL WEB TRANSPORTES E LOGISTICA"/>
    <n v="140.37"/>
    <d v="2025-08-14T00:00:00"/>
  </r>
  <r>
    <n v="254058172"/>
    <n v="64832124"/>
    <s v="REB"/>
    <n v="9685290"/>
    <n v="178"/>
    <s v="PEÇAS -Defeito de fabric./Sem Compressão"/>
    <s v="FUNCIONAL"/>
    <x v="2"/>
    <n v="81459"/>
    <s v="REFRIGERACAO GM EIRELI"/>
    <s v="SP"/>
    <n v="648"/>
    <s v="Ultra"/>
    <n v="1350"/>
    <s v="W11375485"/>
    <s v="Compressores Herméticos"/>
    <x v="0"/>
    <n v="1"/>
    <n v="5004042"/>
    <s v="BRASIL WEB TRANSPORTES E LOGISTICA"/>
    <n v="463.89"/>
    <d v="2025-08-14T00:00:00"/>
  </r>
  <r>
    <n v="254058173"/>
    <n v="64832134"/>
    <s v="REB"/>
    <n v="9624373"/>
    <n v="178"/>
    <s v="PEÇAS -Defeito de fabric./Sem Compressão"/>
    <s v="FUNCIONAL"/>
    <x v="2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76.48"/>
    <d v="2025-08-14T00:00:00"/>
  </r>
  <r>
    <n v="254058175"/>
    <n v="64832139"/>
    <s v="REB"/>
    <n v="9493028"/>
    <n v="178"/>
    <s v="PEÇAS -Defeito de fabric./Sem Compressão"/>
    <s v="FUNCIONAL"/>
    <x v="2"/>
    <n v="81459"/>
    <s v="REFRIGERACAO GM EIRELI"/>
    <s v="SP"/>
    <n v="648"/>
    <s v="Ultra"/>
    <n v="1350"/>
    <s v="W10393815"/>
    <s v="Compressores Herméticos"/>
    <x v="0"/>
    <n v="1"/>
    <n v="5004042"/>
    <s v="BRASIL WEB TRANSPORTES E LOGISTICA"/>
    <n v="472.92"/>
    <d v="2025-08-14T00:00:00"/>
  </r>
  <r>
    <n v="254058154"/>
    <n v="64832140"/>
    <s v="REB"/>
    <n v="10042086"/>
    <n v="173"/>
    <s v="PEÇAS - Defeito de fabric./Alta Amperage"/>
    <s v="FUNCIONAL"/>
    <x v="2"/>
    <n v="69166"/>
    <s v="PC COMERCIO E REPARACAO DE APARELHO"/>
    <s v="RJ"/>
    <n v="931"/>
    <s v="Ats Off"/>
    <n v="1350"/>
    <s v="W10518616"/>
    <s v="Atuadores"/>
    <x v="4"/>
    <n v="1"/>
    <n v="5003176"/>
    <s v="J C THEDIN TRANSPORTES LTDA"/>
    <n v="31.74"/>
    <d v="2025-08-14T00:00:00"/>
  </r>
  <r>
    <s v="Sem TR"/>
    <n v="64832145"/>
    <s v="REB"/>
    <n v="10143766"/>
    <n v="176"/>
    <s v="PEÇAS - Defeito de fabric./Interrompido"/>
    <s v="FUNCIONAL"/>
    <x v="1"/>
    <n v="28178"/>
    <s v="IRMAOS CARICILLI LTDA"/>
    <s v="SP"/>
    <n v="644"/>
    <s v="Plus"/>
    <n v="1350"/>
    <n v="326073242"/>
    <s v="Placas de Controle"/>
    <x v="2"/>
    <n v="1"/>
    <n v="5004042"/>
    <s v="BRASIL WEB TRANSPORTES E LOGISTICA"/>
    <n v="152.06"/>
    <d v="2025-08-15T00:00:00"/>
  </r>
  <r>
    <n v="254056463"/>
    <n v="64832146"/>
    <s v="REB"/>
    <n v="10164986"/>
    <n v="173"/>
    <s v="PEÇAS - Defeito de fabric./Alta Amperage"/>
    <s v="FUNCIONAL"/>
    <x v="2"/>
    <n v="21594"/>
    <s v="GOLD SERVICE COMERCIO"/>
    <s v="SP"/>
    <n v="931"/>
    <s v="Ats Off"/>
    <n v="1350"/>
    <s v="W11448283"/>
    <s v="Capacitores"/>
    <x v="2"/>
    <n v="1"/>
    <n v="5004042"/>
    <s v="BRASIL WEB TRANSPORTES E LOGISTICA"/>
    <n v="15.59"/>
    <d v="2025-08-15T00:00:00"/>
  </r>
  <r>
    <n v="254058175"/>
    <n v="64832149"/>
    <s v="REB"/>
    <n v="9549823"/>
    <n v="178"/>
    <s v="PEÇAS -Defeito de fabric./Sem Compressão"/>
    <s v="FUNCIONAL"/>
    <x v="2"/>
    <n v="81459"/>
    <s v="REFRIGERACAO GM EIRELI"/>
    <s v="SP"/>
    <n v="648"/>
    <s v="Ultra"/>
    <n v="1350"/>
    <s v="W10769940"/>
    <s v="Compressores Herméticos"/>
    <x v="0"/>
    <n v="1"/>
    <n v="5004042"/>
    <s v="BRASIL WEB TRANSPORTES E LOGISTICA"/>
    <n v="393.1"/>
    <d v="2025-08-14T00:00:00"/>
  </r>
  <r>
    <n v="254058174"/>
    <n v="64832150"/>
    <s v="REB"/>
    <n v="9624373"/>
    <n v="178"/>
    <s v="PEÇAS -Defeito de fabric./Sem Compressão"/>
    <s v="FUNCIONAL"/>
    <x v="2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31.33"/>
    <d v="2025-08-14T00:00:00"/>
  </r>
  <r>
    <n v="254058176"/>
    <n v="64832151"/>
    <s v="REB"/>
    <n v="9309286"/>
    <n v="178"/>
    <s v="PEÇAS -Defeito de fabric./Sem Compressão"/>
    <s v="FUNCIONAL"/>
    <x v="2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489.15"/>
    <d v="2025-08-14T00:00:00"/>
  </r>
  <r>
    <n v="254061619"/>
    <n v="64832152"/>
    <s v="REB"/>
    <n v="10086027"/>
    <n v="173"/>
    <s v="PEÇAS - Defeito de fabric./Alta Amperage"/>
    <s v="FUNCIONAL"/>
    <x v="1"/>
    <n v="3236"/>
    <s v="FRISON THERM AR CONDICIONADO LTDA F"/>
    <s v="SP"/>
    <n v="931"/>
    <s v="Ats Off"/>
    <n v="1350"/>
    <n v="326073242"/>
    <s v="Placas de Controle"/>
    <x v="2"/>
    <n v="1"/>
    <n v="5004042"/>
    <s v="BRASIL WEB TRANSPORTES E LOGISTICA"/>
    <n v="145.83000000000001"/>
    <d v="2025-08-14T00:00:00"/>
  </r>
  <r>
    <s v="Sem TR"/>
    <n v="64832154"/>
    <s v="REB"/>
    <n v="10027772"/>
    <n v="173"/>
    <s v="PEÇAS - Defeito de fabric./Alta Amperage"/>
    <s v="FUNCIONAL"/>
    <x v="1"/>
    <n v="3387"/>
    <s v="UNOFRIO - COMERCIO DE"/>
    <s v="SP"/>
    <n v="933"/>
    <s v="Top"/>
    <n v="1350"/>
    <s v="W10171528"/>
    <s v="Pressostatos"/>
    <x v="8"/>
    <n v="1"/>
    <n v="5004042"/>
    <s v="BRASIL WEB TRANSPORTES E LOGISTICA"/>
    <n v="34.74"/>
    <d v="2025-08-14T00:00:00"/>
  </r>
  <r>
    <n v="254058183"/>
    <n v="64832169"/>
    <s v="REB"/>
    <n v="9840392"/>
    <n v="176"/>
    <s v="PEÇAS - Defeito de fabric./Interrompido"/>
    <s v="FUNCIONAL"/>
    <x v="1"/>
    <n v="91561"/>
    <s v="RIMAZE COMERCIO E INDUSTRIA DE"/>
    <s v="MT"/>
    <n v="934"/>
    <s v="CDP Ouro"/>
    <n v="1350"/>
    <s v="W11647660"/>
    <s v="Compressores Herméticos"/>
    <x v="0"/>
    <n v="1"/>
    <n v="5002573"/>
    <s v="CARVALIMA TRANSPORTES LTDA"/>
    <n v="310.58999999999997"/>
    <d v="2025-08-14T00:00:00"/>
  </r>
  <r>
    <s v="Sem TR"/>
    <n v="64832176"/>
    <s v="REB"/>
    <n v="10113657"/>
    <n v="177"/>
    <s v="PEÇAS - Defeito de fabric./Ruído"/>
    <s v="FUNCIONAL"/>
    <x v="1"/>
    <n v="28178"/>
    <s v="IRMAOS CARICILLI LTDA"/>
    <s v="SP"/>
    <n v="644"/>
    <s v="Plus"/>
    <n v="1350"/>
    <s v="W11486744"/>
    <s v="Rolamentos"/>
    <x v="4"/>
    <n v="1"/>
    <n v="5004042"/>
    <s v="BRASIL WEB TRANSPORTES E LOGISTICA"/>
    <n v="7.93"/>
    <d v="2025-08-15T00:00:00"/>
  </r>
  <r>
    <s v="Sem TR"/>
    <n v="64832178"/>
    <s v="REB"/>
    <n v="10165994"/>
    <n v="90"/>
    <s v="CLIENTE-não solicitou"/>
    <s v="COMERCIAL"/>
    <x v="1"/>
    <n v="77472"/>
    <s v="MORAES REFRIGERACAO E MAQUINAS LTDA"/>
    <s v="MG"/>
    <n v="932"/>
    <s v="CDP Prata"/>
    <n v="1350"/>
    <n v="4197305"/>
    <s v="Dobradiças"/>
    <x v="7"/>
    <n v="2"/>
    <n v="5004215"/>
    <s v="BRASIL WEB TRANSPORTES E LOGISTICA"/>
    <n v="67.7"/>
    <d v="2025-08-15T00:00:00"/>
  </r>
  <r>
    <s v="Sem TR"/>
    <n v="64832178"/>
    <s v="REB"/>
    <n v="10165994"/>
    <n v="90"/>
    <s v="CLIENTE-não solicitou"/>
    <s v="COMERCIAL"/>
    <x v="1"/>
    <n v="77472"/>
    <s v="MORAES REFRIGERACAO E MAQUINAS LTDA"/>
    <s v="MG"/>
    <n v="932"/>
    <s v="CDP Prata"/>
    <n v="1350"/>
    <n v="326051369"/>
    <s v="Portas"/>
    <x v="3"/>
    <n v="2"/>
    <n v="5004215"/>
    <s v="BRASIL WEB TRANSPORTES E LOGISTICA"/>
    <n v="637.19000000000005"/>
    <d v="2025-08-15T00:00:00"/>
  </r>
  <r>
    <s v="Sem TR"/>
    <n v="64832178"/>
    <s v="REB"/>
    <n v="10165994"/>
    <n v="90"/>
    <s v="CLIENTE-não solicitou"/>
    <s v="COMERCIAL"/>
    <x v="1"/>
    <n v="77472"/>
    <s v="MORAES REFRIGERACAO E MAQUINAS LTDA"/>
    <s v="MG"/>
    <n v="932"/>
    <s v="CDP Prata"/>
    <n v="1350"/>
    <s v="W10351678"/>
    <s v="Puxadores"/>
    <x v="3"/>
    <n v="2"/>
    <n v="5004215"/>
    <s v="BRASIL WEB TRANSPORTES E LOGISTICA"/>
    <n v="25.64"/>
    <d v="2025-08-15T00:00:00"/>
  </r>
  <r>
    <s v="Sem TR"/>
    <n v="64832178"/>
    <s v="REB"/>
    <n v="10165994"/>
    <n v="90"/>
    <s v="CLIENTE-não solicitou"/>
    <s v="COMERCIAL"/>
    <x v="1"/>
    <n v="77472"/>
    <s v="MORAES REFRIGERACAO E MAQUINAS LTDA"/>
    <s v="MG"/>
    <n v="932"/>
    <s v="CDP Prata"/>
    <n v="1350"/>
    <s v="W10367622"/>
    <s v="Gaxetas"/>
    <x v="10"/>
    <n v="5"/>
    <n v="5004215"/>
    <s v="BRASIL WEB TRANSPORTES E LOGISTICA"/>
    <n v="243.83"/>
    <d v="2025-08-15T00:00:00"/>
  </r>
  <r>
    <n v="254058151"/>
    <n v="64832189"/>
    <s v="REB"/>
    <n v="10066678"/>
    <n v="168"/>
    <s v="PEÇAS-Def.Fabric.Empenamento/Abaulamento"/>
    <s v="FUNCIONAL"/>
    <x v="2"/>
    <n v="67948"/>
    <s v="REFRICRIL DISTRIBUIDORA DE AR REFRI"/>
    <s v="SC"/>
    <n v="713"/>
    <s v="Key Account"/>
    <n v="1350"/>
    <s v="W10616687"/>
    <s v="Capas"/>
    <x v="3"/>
    <n v="3"/>
    <n v="5003024"/>
    <s v="RODOBRAS TRANSPORTES RODOVIARIOS LT"/>
    <n v="71.64"/>
    <d v="2025-08-14T00:00:00"/>
  </r>
  <r>
    <n v="254058151"/>
    <n v="64832189"/>
    <s v="REB"/>
    <n v="10066678"/>
    <n v="168"/>
    <s v="PEÇAS-Def.Fabric.Empenamento/Abaulamento"/>
    <s v="FUNCIONAL"/>
    <x v="2"/>
    <n v="67948"/>
    <s v="REFRICRIL DISTRIBUIDORA DE AR REFRI"/>
    <s v="SC"/>
    <n v="713"/>
    <s v="Key Account"/>
    <n v="1350"/>
    <s v="W10292562"/>
    <s v="Capas"/>
    <x v="3"/>
    <n v="5"/>
    <n v="5003024"/>
    <s v="RODOBRAS TRANSPORTES RODOVIARIOS LT"/>
    <n v="106.13"/>
    <d v="2025-08-14T00:00:00"/>
  </r>
  <r>
    <n v="254058151"/>
    <n v="64832194"/>
    <s v="REB"/>
    <n v="10090173"/>
    <n v="173"/>
    <s v="PEÇAS - Defeito de fabric./Alta Amperage"/>
    <s v="FUNCIONAL"/>
    <x v="2"/>
    <n v="67948"/>
    <s v="REFRICRIL DISTRIBUIDORA DE AR REFRI"/>
    <s v="SC"/>
    <n v="713"/>
    <s v="Key Account"/>
    <n v="1350"/>
    <s v="W11254865"/>
    <s v="Mecanismos"/>
    <x v="4"/>
    <n v="1"/>
    <n v="5003024"/>
    <s v="RODOBRAS TRANSPORTES RODOVIARIOS LT"/>
    <n v="138.19"/>
    <d v="2025-08-14T00:00:00"/>
  </r>
  <r>
    <n v="254058151"/>
    <n v="64832195"/>
    <s v="REB"/>
    <n v="10090174"/>
    <n v="173"/>
    <s v="PEÇAS - Defeito de fabric./Alta Amperage"/>
    <s v="FUNCIONAL"/>
    <x v="2"/>
    <n v="67948"/>
    <s v="REFRICRIL DISTRIBUIDORA DE AR REFRI"/>
    <s v="SC"/>
    <n v="713"/>
    <s v="Key Account"/>
    <n v="1350"/>
    <s v="W10882241"/>
    <s v="Agitadores"/>
    <x v="4"/>
    <n v="3"/>
    <n v="5003024"/>
    <s v="RODOBRAS TRANSPORTES RODOVIARIOS LT"/>
    <n v="99.97"/>
    <d v="2025-08-14T00:00:00"/>
  </r>
  <r>
    <s v="Sem TR"/>
    <n v="64832196"/>
    <s v="REB"/>
    <n v="10079917"/>
    <n v="173"/>
    <s v="PEÇAS - Defeito de fabric./Alta Amperage"/>
    <s v="FUNCIONAL"/>
    <x v="1"/>
    <n v="28178"/>
    <s v="IRMAOS CARICILLI LTDA"/>
    <s v="SP"/>
    <n v="644"/>
    <s v="Plus"/>
    <n v="1350"/>
    <s v="W11300675"/>
    <s v="Mecanismos"/>
    <x v="4"/>
    <n v="2"/>
    <n v="5004042"/>
    <s v="BRASIL WEB TRANSPORTES E LOGISTICA"/>
    <n v="237.68"/>
    <d v="2025-08-14T00:00:00"/>
  </r>
  <r>
    <s v="Sem TR"/>
    <n v="64832196"/>
    <s v="REB"/>
    <n v="10079917"/>
    <n v="173"/>
    <s v="PEÇAS - Defeito de fabric./Alta Amperage"/>
    <s v="FUNCIONAL"/>
    <x v="1"/>
    <n v="28178"/>
    <s v="IRMAOS CARICILLI LTDA"/>
    <s v="SP"/>
    <n v="644"/>
    <s v="Plus"/>
    <n v="1350"/>
    <s v="W11299803"/>
    <s v="Mecanismos"/>
    <x v="4"/>
    <n v="1"/>
    <n v="5004042"/>
    <s v="BRASIL WEB TRANSPORTES E LOGISTICA"/>
    <n v="110.19"/>
    <d v="2025-08-14T00:00:00"/>
  </r>
  <r>
    <s v="Sem TR"/>
    <n v="64832197"/>
    <s v="REB"/>
    <n v="10143765"/>
    <n v="176"/>
    <s v="PEÇAS - Defeito de fabric./Interrompido"/>
    <s v="FUNCIONAL"/>
    <x v="1"/>
    <n v="28178"/>
    <s v="IRMAOS CARICILLI LTDA"/>
    <s v="SP"/>
    <n v="644"/>
    <s v="Plus"/>
    <n v="1350"/>
    <s v="W10399715"/>
    <s v="Motores Ventiladores"/>
    <x v="2"/>
    <n v="1"/>
    <n v="5004042"/>
    <s v="BRASIL WEB TRANSPORTES E LOGISTICA"/>
    <n v="57.07"/>
    <d v="2025-08-14T00:00:00"/>
  </r>
  <r>
    <s v="Sem TR"/>
    <n v="64832197"/>
    <s v="REB"/>
    <n v="10143765"/>
    <n v="176"/>
    <s v="PEÇAS - Defeito de fabric./Interrompido"/>
    <s v="FUNCIONAL"/>
    <x v="1"/>
    <n v="28178"/>
    <s v="IRMAOS CARICILLI LTDA"/>
    <s v="SP"/>
    <n v="644"/>
    <s v="Plus"/>
    <n v="1350"/>
    <s v="W10531315"/>
    <s v="Sensores"/>
    <x v="8"/>
    <n v="1"/>
    <n v="5004042"/>
    <s v="BRASIL WEB TRANSPORTES E LOGISTICA"/>
    <n v="8.82"/>
    <d v="2025-08-14T00:00:00"/>
  </r>
  <r>
    <n v="254058181"/>
    <n v="64832198"/>
    <s v="REB"/>
    <n v="10131658"/>
    <n v="178"/>
    <s v="PEÇAS -Defeito de fabric./Sem Compressão"/>
    <s v="FUNCIONAL"/>
    <x v="2"/>
    <n v="87383"/>
    <s v="REFRIGERACAO RBL 25 LTDA"/>
    <s v="RJ"/>
    <n v="933"/>
    <s v="Top"/>
    <n v="1350"/>
    <s v="W11677208"/>
    <s v="Compressores Herméticos"/>
    <x v="0"/>
    <n v="1"/>
    <n v="5003176"/>
    <s v="J C THEDIN TRANSPORTES LTDA"/>
    <n v="281.68"/>
    <d v="2025-08-14T00:00:00"/>
  </r>
  <r>
    <n v="254058181"/>
    <n v="64832199"/>
    <s v="REB"/>
    <n v="9939319"/>
    <n v="178"/>
    <s v="PEÇAS -Defeito de fabric./Sem Compressão"/>
    <s v="FUNCIONAL"/>
    <x v="2"/>
    <n v="87383"/>
    <s v="REFRIGERACAO RBL 25 LTDA"/>
    <s v="RJ"/>
    <n v="933"/>
    <s v="Top"/>
    <n v="1350"/>
    <s v="W10393822"/>
    <s v="Compressores Herméticos"/>
    <x v="0"/>
    <n v="2"/>
    <n v="5003176"/>
    <s v="J C THEDIN TRANSPORTES LTDA"/>
    <n v="937.01"/>
    <d v="2025-08-14T00:00:00"/>
  </r>
  <r>
    <n v="254058181"/>
    <n v="64832200"/>
    <s v="REB"/>
    <n v="10124004"/>
    <n v="178"/>
    <s v="PEÇAS -Defeito de fabric./Sem Compressão"/>
    <s v="FUNCIONAL"/>
    <x v="2"/>
    <n v="87383"/>
    <s v="REFRIGERACAO RBL 25 LTDA"/>
    <s v="RJ"/>
    <n v="933"/>
    <s v="Top"/>
    <n v="1350"/>
    <s v="W11741178"/>
    <s v="Outros"/>
    <x v="5"/>
    <n v="1"/>
    <n v="5003176"/>
    <s v="J C THEDIN TRANSPORTES LTDA"/>
    <n v="390.41"/>
    <d v="2025-08-14T00:00:00"/>
  </r>
  <r>
    <s v="Sem TR"/>
    <n v="64832204"/>
    <s v="REB"/>
    <n v="9863944"/>
    <n v="178"/>
    <s v="PEÇAS -Defeito de fabric./Sem Compressão"/>
    <s v="FUNCIONAL"/>
    <x v="1"/>
    <n v="53319"/>
    <s v="PARTS FRIO DISTRIBUIDORA DE"/>
    <s v="PR"/>
    <n v="644"/>
    <s v="Plus"/>
    <n v="1350"/>
    <s v="W11647660"/>
    <s v="Compressores Herméticos"/>
    <x v="0"/>
    <n v="1"/>
    <n v="5003024"/>
    <s v="RODOBRAS TRANSPORTES RODOVIARIOS LT"/>
    <n v="298.22000000000003"/>
    <d v="2025-08-14T00:00:00"/>
  </r>
  <r>
    <s v="Sem TR"/>
    <n v="64832209"/>
    <s v="REB"/>
    <n v="9863944"/>
    <n v="178"/>
    <s v="PEÇAS -Defeito de fabric./Sem Compressão"/>
    <s v="FUNCIONAL"/>
    <x v="1"/>
    <n v="53319"/>
    <s v="PARTS FRIO DISTRIBUIDORA DE"/>
    <s v="PR"/>
    <n v="644"/>
    <s v="Plus"/>
    <n v="1350"/>
    <s v="W10769941"/>
    <s v="Compressores Herméticos"/>
    <x v="0"/>
    <n v="1"/>
    <n v="5003024"/>
    <s v="RODOBRAS TRANSPORTES RODOVIARIOS LT"/>
    <n v="388.94"/>
    <d v="2025-08-14T00:00:00"/>
  </r>
  <r>
    <n v="254056332"/>
    <n v="64832216"/>
    <s v="REB"/>
    <n v="9984619"/>
    <n v="173"/>
    <s v="PEÇAS - Defeito de fabric./Alta Amperage"/>
    <s v="FUNCIONAL"/>
    <x v="1"/>
    <n v="4167"/>
    <s v="MAQ VILLE PECAS E SERVICOS LTDA"/>
    <s v="SP"/>
    <n v="931"/>
    <s v="Ats Off"/>
    <n v="1350"/>
    <s v="W11199201"/>
    <s v="Placas de Controle"/>
    <x v="2"/>
    <n v="1"/>
    <n v="5004042"/>
    <s v="BRASIL WEB TRANSPORTES E LOGISTICA"/>
    <n v="304.31"/>
    <d v="2025-08-15T00:00:00"/>
  </r>
  <r>
    <s v="Sem TR"/>
    <n v="64832217"/>
    <s v="REB"/>
    <n v="10066619"/>
    <n v="168"/>
    <s v="PEÇAS-Def.Fabric.Empenamento/Abaulamento"/>
    <s v="FUNCIONAL"/>
    <x v="1"/>
    <n v="13757"/>
    <s v="FRIGELAR COMÉRCIO E INDÚSTRIA LTDA"/>
    <s v="SP"/>
    <n v="713"/>
    <s v="Key Account"/>
    <n v="1350"/>
    <s v="W10882241"/>
    <s v="Agitadores"/>
    <x v="4"/>
    <n v="31"/>
    <n v="5004042"/>
    <s v="BRASIL WEB TRANSPORTES E LOGISTICA"/>
    <n v="1133.57"/>
    <d v="2025-08-15T00:00:00"/>
  </r>
  <r>
    <n v="254056485"/>
    <n v="64832218"/>
    <s v="REB"/>
    <n v="9981573"/>
    <n v="178"/>
    <s v="PEÇAS -Defeito de fabric./Sem Compressão"/>
    <s v="FUNCIONAL"/>
    <x v="2"/>
    <n v="40998"/>
    <s v="CALDEIRA E SANTOS LTDA M.E"/>
    <s v="GO"/>
    <n v="648"/>
    <s v="Ultra"/>
    <n v="1350"/>
    <s v="W10647949"/>
    <s v="Suportes"/>
    <x v="3"/>
    <n v="1"/>
    <n v="5002858"/>
    <s v="FAVORITA TRANSPORTES LTDA"/>
    <n v="4.26"/>
    <d v="2025-08-15T00:00:00"/>
  </r>
  <r>
    <s v="Sem TR"/>
    <n v="64832225"/>
    <s v="REB"/>
    <n v="10080467"/>
    <n v="173"/>
    <s v="PEÇAS - Defeito de fabric./Alta Amperage"/>
    <s v="FUNCIONAL"/>
    <x v="1"/>
    <n v="22985"/>
    <s v="Comercial Delfrio LTDA EPP"/>
    <s v="SC"/>
    <n v="641"/>
    <s v="CDP Diamante"/>
    <n v="1350"/>
    <s v="W11435396"/>
    <s v="Placas de Controle"/>
    <x v="2"/>
    <n v="1"/>
    <n v="5003024"/>
    <s v="RODOBRAS TRANSPORTES RODOVIARIOS LT"/>
    <n v="261.66000000000003"/>
    <d v="2025-08-14T00:00:00"/>
  </r>
  <r>
    <n v="254066695"/>
    <n v="64832229"/>
    <s v="REB"/>
    <n v="10045270"/>
    <n v="173"/>
    <s v="PEÇAS - Defeito de fabric./Alta Amperage"/>
    <s v="FUNCIONAL"/>
    <x v="2"/>
    <n v="63300"/>
    <s v="REFRIGERACAO MOTA LTDA"/>
    <s v="MG"/>
    <n v="643"/>
    <s v="Elite"/>
    <n v="1350"/>
    <s v="W10632492"/>
    <s v="Placas de Controle"/>
    <x v="2"/>
    <n v="1"/>
    <n v="5004215"/>
    <s v="BRASIL WEB TRANSPORTES E LOGISTICA"/>
    <n v="133.16999999999999"/>
    <d v="2025-08-14T00:00:00"/>
  </r>
  <r>
    <n v="254058728"/>
    <n v="64832270"/>
    <s v="ZDVP"/>
    <n v="10151942"/>
    <n v="173"/>
    <s v="PEÇAS - Defeito de fabric./Alta Amperage"/>
    <s v="FUNCIONAL"/>
    <x v="1"/>
    <n v="70149"/>
    <s v="BR PECAS COMERCIO DE PECAS"/>
    <s v="SP"/>
    <n v="963"/>
    <s v="Ats Distribuidoras"/>
    <n v="1350"/>
    <s v="W11647660"/>
    <s v="Compressores Herméticos"/>
    <x v="0"/>
    <n v="1"/>
    <n v="5004042"/>
    <s v="BRASIL WEB TRANSPORTES E LOGISTICA"/>
    <n v="331.35"/>
    <d v="2025-08-15T00:00:00"/>
  </r>
  <r>
    <n v="254061198"/>
    <n v="64832349"/>
    <s v="REB"/>
    <n v="10019804"/>
    <n v="178"/>
    <s v="PEÇAS -Defeito de fabric./Sem Compressão"/>
    <s v="FUNCIONAL"/>
    <x v="1"/>
    <n v="87306"/>
    <s v="PAIVA E PAIVA LTDA"/>
    <s v="AM"/>
    <n v="698"/>
    <s v="CDP Bronze"/>
    <n v="1350"/>
    <s v="W11677208"/>
    <s v="Compressores Herméticos"/>
    <x v="0"/>
    <n v="1"/>
    <n v="5002858"/>
    <s v="FAVORITA TRANSPORTES LTDA"/>
    <n v="269.95"/>
    <d v="2025-08-14T00:00:00"/>
  </r>
  <r>
    <s v="Sem TR"/>
    <n v="64832350"/>
    <s v="REB"/>
    <n v="9960751"/>
    <n v="173"/>
    <s v="PEÇAS - Defeito de fabric./Alta Amperage"/>
    <s v="FUNCIONAL"/>
    <x v="1"/>
    <n v="63300"/>
    <s v="REFRIGERACAO MOTA LTDA"/>
    <s v="MG"/>
    <n v="643"/>
    <s v="Elite"/>
    <n v="1350"/>
    <s v="W11634491"/>
    <s v="Placas de Controle"/>
    <x v="2"/>
    <n v="1"/>
    <n v="5004215"/>
    <s v="BRASIL WEB TRANSPORTES E LOGISTICA"/>
    <n v="92.78"/>
    <d v="2025-08-14T00:00:00"/>
  </r>
  <r>
    <n v="254061109"/>
    <n v="64832354"/>
    <s v="REB"/>
    <n v="9899094"/>
    <n v="178"/>
    <s v="PEÇAS -Defeito de fabric./Sem Compressão"/>
    <s v="FUNCIONAL"/>
    <x v="2"/>
    <n v="32455"/>
    <s v="FRIOSAMO REFRIGERACAO LTDA"/>
    <s v="SP"/>
    <n v="643"/>
    <s v="Elite"/>
    <n v="1350"/>
    <s v="W11677208"/>
    <s v="Compressores Herméticos"/>
    <x v="0"/>
    <n v="2"/>
    <n v="5004042"/>
    <s v="BRASIL WEB TRANSPORTES E LOGISTICA"/>
    <n v="615.27"/>
    <d v="2025-08-14T00:00:00"/>
  </r>
  <r>
    <n v="254061105"/>
    <n v="64832359"/>
    <s v="REB"/>
    <n v="9698619"/>
    <n v="178"/>
    <s v="PEÇAS -Defeito de fabric./Sem Compressão"/>
    <s v="FUNCIONAL"/>
    <x v="2"/>
    <n v="32455"/>
    <s v="FRIOSAMO REFRIGERACAO LTDA"/>
    <s v="SP"/>
    <n v="643"/>
    <s v="Elite"/>
    <n v="1350"/>
    <s v="W11647662"/>
    <s v="Compressores Herméticos"/>
    <x v="0"/>
    <n v="3"/>
    <n v="5004042"/>
    <s v="BRASIL WEB TRANSPORTES E LOGISTICA"/>
    <n v="1039.3699999999999"/>
    <d v="2025-08-14T00:00:00"/>
  </r>
  <r>
    <n v="254061105"/>
    <n v="64832363"/>
    <s v="REB"/>
    <n v="9595098"/>
    <n v="178"/>
    <s v="PEÇAS -Defeito de fabric./Sem Compressão"/>
    <s v="FUNCIONAL"/>
    <x v="2"/>
    <n v="32455"/>
    <s v="FRIOSAMO REFRIGERACAO LTDA"/>
    <s v="SP"/>
    <n v="643"/>
    <s v="Elite"/>
    <n v="1350"/>
    <s v="W10441742"/>
    <s v="Compressores Herméticos"/>
    <x v="0"/>
    <n v="1"/>
    <n v="5004042"/>
    <s v="BRASIL WEB TRANSPORTES E LOGISTICA"/>
    <n v="425.95"/>
    <d v="2025-08-14T00:00:00"/>
  </r>
  <r>
    <n v="254061104"/>
    <n v="64832364"/>
    <s v="REB"/>
    <n v="9989251"/>
    <n v="176"/>
    <s v="PEÇAS - Defeito de fabric./Interrompido"/>
    <s v="FUNCIONAL"/>
    <x v="1"/>
    <n v="32455"/>
    <s v="FRIOSAMO REFRIGERACAO LTDA"/>
    <s v="SP"/>
    <n v="643"/>
    <s v="Elite"/>
    <n v="1350"/>
    <s v="W10388219"/>
    <s v="Compressores Herméticos"/>
    <x v="0"/>
    <n v="1"/>
    <n v="5004042"/>
    <s v="BRASIL WEB TRANSPORTES E LOGISTICA"/>
    <n v="680.69"/>
    <d v="2025-08-14T00:00:00"/>
  </r>
  <r>
    <s v="Sem TR"/>
    <n v="64832369"/>
    <s v="REB"/>
    <n v="10053506"/>
    <n v="173"/>
    <s v="PEÇAS - Defeito de fabric./Alta Amperage"/>
    <s v="FUNCIONAL"/>
    <x v="1"/>
    <n v="87707"/>
    <s v="REFRIGERA BRASIL CLIMATIZACAO E REF"/>
    <s v="BA"/>
    <n v="648"/>
    <s v="Ultra"/>
    <n v="1350"/>
    <s v="W11240401"/>
    <s v="Placas de Controle"/>
    <x v="2"/>
    <n v="1"/>
    <n v="5004101"/>
    <s v="UNIDOCK'S ASSESSORIA E LOGISTICA DE"/>
    <n v="97.77"/>
    <d v="2025-08-15T00:00:00"/>
  </r>
  <r>
    <n v="254056502"/>
    <n v="64832371"/>
    <s v="REB"/>
    <n v="10045752"/>
    <n v="173"/>
    <s v="PEÇAS - Defeito de fabric./Alta Amperage"/>
    <s v="FUNCIONAL"/>
    <x v="1"/>
    <n v="76848"/>
    <s v="MUNDIAL REFRIGERACAO LTDA"/>
    <s v="GO"/>
    <n v="643"/>
    <s v="Elite"/>
    <n v="1350"/>
    <s v="W11245250"/>
    <s v="Válvulas de Água"/>
    <x v="6"/>
    <n v="1"/>
    <n v="5002858"/>
    <s v="FAVORITA TRANSPORTES LTDA"/>
    <n v="49.82"/>
    <d v="2025-08-15T00:00:00"/>
  </r>
  <r>
    <s v="Sem TR"/>
    <n v="64832374"/>
    <s v="REB"/>
    <n v="9759939"/>
    <n v="176"/>
    <s v="PEÇAS - Defeito de fabric./Interrompido"/>
    <s v="FUNCIONAL"/>
    <x v="1"/>
    <n v="9015"/>
    <s v="ALTIMARIS REFRIGERACAO LTDA"/>
    <s v="SC"/>
    <n v="350"/>
    <s v="Ats On"/>
    <n v="1350"/>
    <n v="326061172"/>
    <s v="Placas de Controle"/>
    <x v="2"/>
    <n v="2"/>
    <n v="5003024"/>
    <s v="RODOBRAS TRANSPORTES RODOVIARIOS LT"/>
    <n v="620.70000000000005"/>
    <d v="2025-08-15T00:00:00"/>
  </r>
  <r>
    <s v="Sem TR"/>
    <n v="64832389"/>
    <s v="REB"/>
    <n v="10146067"/>
    <n v="176"/>
    <s v="PEÇAS - Defeito de fabric./Interrompido"/>
    <s v="FUNCIONAL"/>
    <x v="1"/>
    <n v="48722"/>
    <s v="BUENO SERVICE PECAS"/>
    <s v="SP"/>
    <n v="350"/>
    <s v="Ats On"/>
    <n v="1350"/>
    <s v="W10388219"/>
    <s v="Compressores Herméticos"/>
    <x v="0"/>
    <n v="1"/>
    <n v="5004042"/>
    <s v="BRASIL WEB TRANSPORTES E LOGISTICA"/>
    <n v="685.97"/>
    <d v="2025-08-15T00:00:00"/>
  </r>
  <r>
    <s v="Sem TR"/>
    <n v="64832439"/>
    <s v="REB"/>
    <n v="10111785"/>
    <n v="173"/>
    <s v="PEÇAS - Defeito de fabric./Alta Amperage"/>
    <s v="FUNCIONAL"/>
    <x v="1"/>
    <n v="24289"/>
    <s v="REFRIGERACAO MOTA LTDA"/>
    <s v="MG"/>
    <n v="643"/>
    <s v="Elite"/>
    <n v="1350"/>
    <s v="W10700346"/>
    <s v="Placas de Controle"/>
    <x v="2"/>
    <n v="2"/>
    <n v="5004215"/>
    <s v="BRASIL WEB TRANSPORTES E LOGISTICA"/>
    <n v="195.35"/>
    <d v="2025-08-15T00:00:00"/>
  </r>
  <r>
    <s v="Sem TR"/>
    <n v="64832439"/>
    <s v="REB"/>
    <n v="10111785"/>
    <n v="173"/>
    <s v="PEÇAS - Defeito de fabric./Alta Amperage"/>
    <s v="FUNCIONAL"/>
    <x v="1"/>
    <n v="24289"/>
    <s v="REFRIGERACAO MOTA LTDA"/>
    <s v="MG"/>
    <n v="643"/>
    <s v="Elite"/>
    <n v="1350"/>
    <s v="W10257566"/>
    <s v="Fusíveis/Fusíveis térmicos"/>
    <x v="2"/>
    <n v="1"/>
    <n v="5004215"/>
    <s v="BRASIL WEB TRANSPORTES E LOGISTICA"/>
    <n v="9.36"/>
    <d v="2025-08-15T00:00:00"/>
  </r>
  <r>
    <n v="254061085"/>
    <n v="64832441"/>
    <s v="REB"/>
    <n v="10076937"/>
    <n v="173"/>
    <s v="PEÇAS - Defeito de fabric./Alta Amperage"/>
    <s v="FUNCIONAL"/>
    <x v="1"/>
    <n v="29985"/>
    <s v="FAUSTO ALVES RUA LTDA"/>
    <s v="GO"/>
    <n v="350"/>
    <s v="Ats On"/>
    <n v="1350"/>
    <s v="W11299803"/>
    <s v="Mecanismos"/>
    <x v="4"/>
    <n v="1"/>
    <n v="5002858"/>
    <s v="FAVORITA TRANSPORTES LTDA"/>
    <n v="102.14"/>
    <d v="2025-08-15T00:00:00"/>
  </r>
  <r>
    <s v="Sem TR"/>
    <n v="64832444"/>
    <s v="REB"/>
    <n v="10098702"/>
    <n v="173"/>
    <s v="PEÇAS - Defeito de fabric./Alta Amperage"/>
    <s v="FUNCIONAL"/>
    <x v="1"/>
    <n v="24289"/>
    <s v="REFRIGERACAO MOTA LTDA"/>
    <s v="MG"/>
    <n v="643"/>
    <s v="Elite"/>
    <n v="1350"/>
    <s v="W10901034"/>
    <s v="Filtros"/>
    <x v="6"/>
    <n v="3"/>
    <n v="5004215"/>
    <s v="BRASIL WEB TRANSPORTES E LOGISTICA"/>
    <n v="208.49"/>
    <d v="2025-08-15T00:00:00"/>
  </r>
  <r>
    <s v="Sem TR"/>
    <n v="64832479"/>
    <s v="REB"/>
    <n v="10052752"/>
    <n v="173"/>
    <s v="PEÇAS - Defeito de fabric./Alta Amperage"/>
    <s v="FUNCIONAL"/>
    <x v="1"/>
    <n v="24289"/>
    <s v="REFRIGERACAO MOTA LTDA"/>
    <s v="MG"/>
    <n v="643"/>
    <s v="Elite"/>
    <n v="1350"/>
    <s v="W10619169"/>
    <s v="Placas de Controle"/>
    <x v="2"/>
    <n v="1"/>
    <n v="5004215"/>
    <s v="BRASIL WEB TRANSPORTES E LOGISTICA"/>
    <n v="223.08"/>
    <d v="2025-08-15T00:00:00"/>
  </r>
  <r>
    <s v="Sem TR"/>
    <n v="64832479"/>
    <s v="REB"/>
    <n v="10052752"/>
    <n v="173"/>
    <s v="PEÇAS - Defeito de fabric./Alta Amperage"/>
    <s v="FUNCIONAL"/>
    <x v="1"/>
    <n v="24289"/>
    <s v="REFRIGERACAO MOTA LTDA"/>
    <s v="MG"/>
    <n v="643"/>
    <s v="Elite"/>
    <n v="1350"/>
    <s v="W11435394"/>
    <s v="Placas de Controle"/>
    <x v="2"/>
    <n v="2"/>
    <n v="5004215"/>
    <s v="BRASIL WEB TRANSPORTES E LOGISTICA"/>
    <n v="592.79999999999995"/>
    <d v="2025-08-15T00:00:00"/>
  </r>
  <r>
    <n v="254061072"/>
    <n v="64832480"/>
    <s v="REB"/>
    <n v="10157342"/>
    <n v="176"/>
    <s v="PEÇAS - Defeito de fabric./Interrompido"/>
    <s v="FUNCIONAL"/>
    <x v="2"/>
    <n v="24089"/>
    <s v="REVOLUTION COMERCIO E SERV"/>
    <s v="RJ"/>
    <n v="931"/>
    <s v="Ats Off"/>
    <n v="1350"/>
    <s v="W10531315"/>
    <s v="Sensores"/>
    <x v="8"/>
    <n v="2"/>
    <n v="5003176"/>
    <s v="J C THEDIN TRANSPORTES LTDA"/>
    <n v="15.83"/>
    <d v="2025-08-15T00:00:00"/>
  </r>
  <r>
    <n v="254061206"/>
    <n v="64832490"/>
    <s v="ZDVP"/>
    <n v="10153657"/>
    <n v="173"/>
    <s v="PEÇAS - Defeito de fabric./Alta Amperage"/>
    <s v="FUNCIONAL"/>
    <x v="1"/>
    <n v="37434"/>
    <s v="ELETRO MARTINS LTDA"/>
    <s v="GO"/>
    <n v="931"/>
    <s v="Ats Off"/>
    <n v="1350"/>
    <s v="W10882241"/>
    <s v="Agitadores"/>
    <x v="4"/>
    <n v="3"/>
    <n v="5002858"/>
    <s v="FAVORITA TRANSPORTES LTDA"/>
    <n v="124.85"/>
    <d v="2025-08-15T00:00:00"/>
  </r>
  <r>
    <n v="254061107"/>
    <n v="64832493"/>
    <s v="REB"/>
    <n v="9977856"/>
    <n v="178"/>
    <s v="PEÇAS -Defeito de fabric./Sem Compressão"/>
    <s v="FUNCIONAL"/>
    <x v="1"/>
    <n v="32455"/>
    <s v="FRIOSAMO REFRIGERACAO LTDA"/>
    <s v="SP"/>
    <n v="643"/>
    <s v="Elite"/>
    <n v="1350"/>
    <s v="W11741178"/>
    <s v="Outros"/>
    <x v="5"/>
    <n v="11"/>
    <n v="5004042"/>
    <s v="BRASIL WEB TRANSPORTES E LOGISTICA"/>
    <n v="3432.12"/>
    <d v="2025-08-15T00:00:00"/>
  </r>
  <r>
    <n v="254061107"/>
    <n v="64832505"/>
    <s v="REB"/>
    <n v="9960666"/>
    <n v="178"/>
    <s v="PEÇAS -Defeito de fabric./Sem Compressão"/>
    <s v="FUNCIONAL"/>
    <x v="1"/>
    <n v="32455"/>
    <s v="FRIOSAMO REFRIGERACAO LTDA"/>
    <s v="SP"/>
    <n v="643"/>
    <s v="Elite"/>
    <n v="1350"/>
    <s v="W11647662"/>
    <s v="Compressores Herméticos"/>
    <x v="0"/>
    <n v="2"/>
    <n v="5004042"/>
    <s v="BRASIL WEB TRANSPORTES E LOGISTICA"/>
    <n v="563.08000000000004"/>
    <d v="2025-08-15T00:00:00"/>
  </r>
  <r>
    <s v="Sem TR"/>
    <n v="64832506"/>
    <s v="REB"/>
    <n v="10134054"/>
    <n v="173"/>
    <s v="PEÇAS - Defeito de fabric./Alta Amperage"/>
    <s v="FUNCIONAL"/>
    <x v="1"/>
    <n v="87707"/>
    <s v="REFRIGERA BRASIL CLIMATIZACAO E REF"/>
    <s v="BA"/>
    <n v="648"/>
    <s v="Ultra"/>
    <n v="1350"/>
    <s v="W11299805"/>
    <s v="Mecanismos"/>
    <x v="4"/>
    <n v="1"/>
    <n v="5004101"/>
    <s v="UNIDOCK'S ASSESSORIA E LOGISTICA DE"/>
    <n v="122.81"/>
    <d v="2025-08-15T00:00:00"/>
  </r>
  <r>
    <n v="254061193"/>
    <n v="64832507"/>
    <s v="REB"/>
    <n v="9298900"/>
    <n v="178"/>
    <s v="PEÇAS -Defeito de fabric./Sem Compressão"/>
    <s v="FUNCIONAL"/>
    <x v="1"/>
    <n v="81459"/>
    <s v="REFRIGERACAO GM EIRELI"/>
    <s v="SP"/>
    <n v="648"/>
    <s v="Ultra"/>
    <n v="1350"/>
    <s v="W11133677"/>
    <s v="Compressores Herméticos"/>
    <x v="0"/>
    <n v="1"/>
    <n v="5004042"/>
    <s v="BRASIL WEB TRANSPORTES E LOGISTICA"/>
    <n v="466.57"/>
    <d v="2025-08-22T00:00:00"/>
  </r>
  <r>
    <s v="Sem TR"/>
    <n v="64832509"/>
    <s v="REB"/>
    <n v="10114052"/>
    <n v="90"/>
    <s v="CLIENTE-não solicitou"/>
    <s v="COMERCIAL"/>
    <x v="1"/>
    <n v="34532"/>
    <s v="FRIOGASMAQ COMERCIAL LTDA"/>
    <s v="SC"/>
    <n v="350"/>
    <s v="Ats On"/>
    <n v="1350"/>
    <s v="W11345781"/>
    <s v="Sensores"/>
    <x v="8"/>
    <n v="27"/>
    <n v="5003024"/>
    <s v="RODOBRAS TRANSPORTES RODOVIARIOS LT"/>
    <n v="469.57"/>
    <d v="2025-08-15T00:00:00"/>
  </r>
  <r>
    <n v="254061193"/>
    <n v="64832512"/>
    <s v="REB"/>
    <n v="9440486"/>
    <n v="178"/>
    <s v="PEÇAS -Defeito de fabric./Sem Compressão"/>
    <s v="FUNCIONAL"/>
    <x v="1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500.73"/>
    <d v="2025-08-22T00:00:00"/>
  </r>
  <r>
    <n v="254061044"/>
    <n v="64832515"/>
    <s v="REB"/>
    <n v="10111989"/>
    <n v="173"/>
    <s v="PEÇAS - Defeito de fabric./Alta Amperage"/>
    <s v="FUNCIONAL"/>
    <x v="2"/>
    <n v="4189"/>
    <s v="PONTO DE ORVALHO REFRIG LTDA"/>
    <s v="CE"/>
    <n v="931"/>
    <s v="Ats Off"/>
    <n v="1350"/>
    <s v="W10586927"/>
    <s v="Placas de Controle"/>
    <x v="2"/>
    <n v="1"/>
    <n v="5004101"/>
    <s v="UNIDOCK'S ASSESSORIA E LOGISTICA DE"/>
    <n v="170.34"/>
    <d v="2025-08-15T00:00:00"/>
  </r>
  <r>
    <s v="Sem TR"/>
    <n v="64832520"/>
    <s v="REB"/>
    <n v="9320439"/>
    <n v="178"/>
    <s v="PEÇAS -Defeito de fabric./Sem Compressão"/>
    <s v="FUNCIONAL"/>
    <x v="1"/>
    <n v="69578"/>
    <s v="ASPEN REFRIGERACAO"/>
    <s v="MG"/>
    <n v="933"/>
    <s v="Top"/>
    <n v="1350"/>
    <s v="W11677208"/>
    <s v="Compressores Herméticos"/>
    <x v="0"/>
    <n v="1"/>
    <n v="5004215"/>
    <s v="BRASIL WEB TRANSPORTES E LOGISTICA"/>
    <n v="294.08"/>
    <d v="2025-08-15T00:00:00"/>
  </r>
  <r>
    <s v="Sem TR"/>
    <n v="64832521"/>
    <s v="ZDVP"/>
    <n v="10139347"/>
    <n v="173"/>
    <s v="PEÇAS - Defeito de fabric./Alta Amperage"/>
    <s v="FUNCIONAL"/>
    <x v="1"/>
    <n v="56043"/>
    <s v="B C M - COMERCIO DE PECAS E"/>
    <s v="PR"/>
    <n v="963"/>
    <s v="Ats Distribuidoras"/>
    <n v="1350"/>
    <s v="W11299803"/>
    <s v="Mecanismos"/>
    <x v="4"/>
    <n v="3"/>
    <n v="5003024"/>
    <s v="RODOBRAS TRANSPORTES RODOVIARIOS LT"/>
    <n v="289.11"/>
    <d v="2025-08-15T00:00:00"/>
  </r>
  <r>
    <n v="254061070"/>
    <n v="64832524"/>
    <s v="REB"/>
    <n v="10085942"/>
    <n v="173"/>
    <s v="PEÇAS - Defeito de fabric./Alta Amperage"/>
    <s v="FUNCIONAL"/>
    <x v="2"/>
    <n v="18949"/>
    <s v="BIG FRIO EQUIPAMENTOS PARA"/>
    <s v="SP"/>
    <n v="933"/>
    <s v="Top"/>
    <n v="1350"/>
    <s v="W11344669"/>
    <s v="Válvulas de Água"/>
    <x v="6"/>
    <n v="1"/>
    <n v="5004042"/>
    <s v="BRASIL WEB TRANSPORTES E LOGISTICA"/>
    <n v="59.56"/>
    <d v="2025-08-15T00:00:00"/>
  </r>
  <r>
    <s v="Sem TR"/>
    <n v="64832527"/>
    <s v="REB"/>
    <n v="10165966"/>
    <n v="173"/>
    <s v="PEÇAS - Defeito de fabric./Alta Amperage"/>
    <s v="FUNCIONAL"/>
    <x v="1"/>
    <n v="21330"/>
    <s v="REFRIEL COM DE PEÇAS REFRIG LTDA RE"/>
    <s v="PR"/>
    <n v="643"/>
    <s v="Elite"/>
    <n v="1350"/>
    <s v="W10882241"/>
    <s v="Agitadores"/>
    <x v="4"/>
    <n v="1"/>
    <n v="5003024"/>
    <s v="RODOBRAS TRANSPORTES RODOVIARIOS LT"/>
    <n v="42.21"/>
    <d v="2025-08-22T00:00:00"/>
  </r>
  <r>
    <n v="254061083"/>
    <n v="64832529"/>
    <s v="REB"/>
    <n v="9678318"/>
    <n v="176"/>
    <s v="PEÇAS - Defeito de fabric./Interrompido"/>
    <s v="FUNCIONAL"/>
    <x v="2"/>
    <n v="29706"/>
    <s v="Campos Equipamentos e Refrigeração"/>
    <s v="RN"/>
    <n v="644"/>
    <s v="Plus"/>
    <n v="1350"/>
    <s v="W11487407"/>
    <s v="Placas de Controle"/>
    <x v="2"/>
    <n v="1"/>
    <n v="5004101"/>
    <s v="UNIDOCK'S ASSESSORIA E LOGISTICA DE"/>
    <n v="237.88"/>
    <d v="2025-08-15T00:00:00"/>
  </r>
  <r>
    <n v="254061084"/>
    <n v="64832530"/>
    <s v="REB"/>
    <n v="10096723"/>
    <n v="176"/>
    <s v="PEÇAS - Defeito de fabric./Interrompido"/>
    <s v="FUNCIONAL"/>
    <x v="2"/>
    <n v="29706"/>
    <s v="Campos Equipamentos e Refrigeração"/>
    <s v="RN"/>
    <n v="644"/>
    <s v="Plus"/>
    <n v="1350"/>
    <s v="W11366400"/>
    <s v="Placas de Controle"/>
    <x v="2"/>
    <n v="1"/>
    <n v="5004101"/>
    <s v="UNIDOCK'S ASSESSORIA E LOGISTICA DE"/>
    <n v="195.3"/>
    <d v="2025-08-15T00:00:00"/>
  </r>
  <r>
    <s v="Sem TR"/>
    <n v="64832533"/>
    <s v="REB"/>
    <n v="10125864"/>
    <n v="173"/>
    <s v="PEÇAS - Defeito de fabric./Alta Amperage"/>
    <s v="FUNCIONAL"/>
    <x v="1"/>
    <n v="81338"/>
    <s v="GABAN COMERCIO DE UTILIDADES"/>
    <s v="SP"/>
    <n v="644"/>
    <s v="Plus"/>
    <n v="1350"/>
    <s v="W11299805"/>
    <s v="Mecanismos"/>
    <x v="4"/>
    <n v="3"/>
    <n v="5004042"/>
    <s v="BRASIL WEB TRANSPORTES E LOGISTICA"/>
    <n v="404.94"/>
    <d v="2025-08-15T00:00:00"/>
  </r>
  <r>
    <s v="Sem TR"/>
    <n v="64832535"/>
    <s v="REB"/>
    <n v="9907361"/>
    <n v="173"/>
    <s v="PEÇAS - Defeito de fabric./Alta Amperage"/>
    <s v="FUNCIONAL"/>
    <x v="1"/>
    <n v="2159"/>
    <s v="REFRICAR ASSISTENCIA TEC LTDA"/>
    <s v="MG"/>
    <n v="350"/>
    <s v="Ats On"/>
    <n v="1350"/>
    <s v="W11516472"/>
    <s v="Compressores Herméticos"/>
    <x v="0"/>
    <n v="1"/>
    <n v="5004215"/>
    <s v="BRASIL WEB TRANSPORTES E LOGISTICA"/>
    <n v="359.06"/>
    <d v="2025-08-15T00:00:00"/>
  </r>
  <r>
    <s v="Sem TR"/>
    <n v="64832555"/>
    <s v="REB"/>
    <n v="10093537"/>
    <n v="173"/>
    <s v="PEÇAS - Defeito de fabric./Alta Amperage"/>
    <s v="FUNCIONAL"/>
    <x v="1"/>
    <n v="27804"/>
    <s v="REFRIGERACAO MAGAZINE DO FRIO LTDA"/>
    <s v="SP"/>
    <n v="641"/>
    <s v="CDP Diamante"/>
    <n v="1350"/>
    <s v="W11300816"/>
    <s v="Mecanismos"/>
    <x v="4"/>
    <n v="1"/>
    <n v="5004042"/>
    <s v="BRASIL WEB TRANSPORTES E LOGISTICA"/>
    <n v="140.21"/>
    <d v="2025-08-22T00:00:00"/>
  </r>
  <r>
    <s v="Sem TR"/>
    <n v="64832556"/>
    <s v="REB"/>
    <n v="10066836"/>
    <n v="173"/>
    <s v="PEÇAS - Defeito de fabric./Alta Amperage"/>
    <s v="FUNCIONAL"/>
    <x v="1"/>
    <n v="13757"/>
    <s v="FRIGELAR COMÉRCIO E INDÚSTRIA LTDA"/>
    <s v="SP"/>
    <n v="713"/>
    <s v="Key Account"/>
    <n v="1350"/>
    <s v="W10518617"/>
    <s v="Atuadores"/>
    <x v="4"/>
    <n v="4"/>
    <n v="5004042"/>
    <s v="BRASIL WEB TRANSPORTES E LOGISTICA"/>
    <n v="142.28"/>
    <d v="2025-08-22T00:00:00"/>
  </r>
  <r>
    <s v="Sem TR"/>
    <n v="64832557"/>
    <s v="REB"/>
    <n v="10137770"/>
    <n v="173"/>
    <s v="PEÇAS - Defeito de fabric./Alta Amperage"/>
    <s v="FUNCIONAL"/>
    <x v="1"/>
    <n v="77746"/>
    <s v="ALFA DISTRIBUIDORA"/>
    <s v="GO"/>
    <n v="933"/>
    <s v="Top"/>
    <n v="1350"/>
    <s v="W11245250"/>
    <s v="Válvulas de Água"/>
    <x v="6"/>
    <n v="1"/>
    <n v="5002858"/>
    <s v="FAVORITA TRANSPORTES LTDA"/>
    <n v="52.98"/>
    <d v="2025-08-22T00:00:00"/>
  </r>
  <r>
    <n v="254061166"/>
    <n v="64832558"/>
    <s v="REB"/>
    <n v="10143681"/>
    <n v="173"/>
    <s v="PEÇAS - Defeito de fabric./Alta Amperage"/>
    <s v="FUNCIONAL"/>
    <x v="2"/>
    <n v="69166"/>
    <s v="PC COMERCIO E REPARACAO DE APARELHO"/>
    <s v="RJ"/>
    <n v="931"/>
    <s v="Ats Off"/>
    <n v="1350"/>
    <n v="326051089"/>
    <s v="Micro Chaves/Reed Switches"/>
    <x v="8"/>
    <n v="1"/>
    <n v="5003176"/>
    <s v="J C THEDIN TRANSPORTES LTDA"/>
    <n v="17.57"/>
    <d v="2025-08-22T00:00:00"/>
  </r>
  <r>
    <s v="Sem TR"/>
    <n v="64832565"/>
    <s v="ZDVP"/>
    <n v="10111267"/>
    <n v="173"/>
    <s v="PEÇAS - Defeito de fabric./Alta Amperage"/>
    <s v="FUNCIONAL"/>
    <x v="1"/>
    <n v="24289"/>
    <s v="REFRIGERACAO MOTA LTDA"/>
    <s v="MG"/>
    <n v="643"/>
    <s v="Elite"/>
    <n v="1350"/>
    <s v="W11198953"/>
    <s v="Filtros"/>
    <x v="6"/>
    <n v="3"/>
    <n v="5004215"/>
    <s v="BRASIL WEB TRANSPORTES E LOGISTICA"/>
    <n v="227.45"/>
    <d v="2025-08-15T00:00:00"/>
  </r>
  <r>
    <s v="Sem TR"/>
    <n v="64832576"/>
    <s v="REB"/>
    <n v="10136919"/>
    <n v="168"/>
    <s v="PEÇAS-Def.Fabric.Empenamento/Abaulamento"/>
    <s v="FUNCIONAL"/>
    <x v="1"/>
    <n v="34532"/>
    <s v="FRIOGASMAQ COMERCIAL LTDA"/>
    <s v="SC"/>
    <n v="350"/>
    <s v="Ats On"/>
    <n v="1350"/>
    <s v="W10882241"/>
    <s v="Agitadores"/>
    <x v="4"/>
    <n v="1"/>
    <n v="5003024"/>
    <s v="RODOBRAS TRANSPORTES RODOVIARIOS LT"/>
    <n v="46.82"/>
    <d v="2025-08-15T00:00:00"/>
  </r>
  <r>
    <n v="254061162"/>
    <n v="64832577"/>
    <s v="REB"/>
    <n v="9965499"/>
    <n v="173"/>
    <s v="PEÇAS - Defeito de fabric./Alta Amperage"/>
    <s v="FUNCIONAL"/>
    <x v="2"/>
    <n v="67948"/>
    <s v="REFRICRIL DISTRIBUIDORA DE AR REFRI"/>
    <s v="SC"/>
    <n v="713"/>
    <s v="Key Account"/>
    <n v="1350"/>
    <s v="W11300698"/>
    <s v="Mecanismos"/>
    <x v="4"/>
    <n v="1"/>
    <n v="5003024"/>
    <s v="RODOBRAS TRANSPORTES RODOVIARIOS LT"/>
    <n v="233.54"/>
    <d v="2025-08-15T00:00:00"/>
  </r>
  <r>
    <n v="254061162"/>
    <n v="64832589"/>
    <s v="REB"/>
    <n v="10109048"/>
    <n v="176"/>
    <s v="PEÇAS - Defeito de fabric./Interrompido"/>
    <s v="FUNCIONAL"/>
    <x v="2"/>
    <n v="67948"/>
    <s v="REFRICRIL DISTRIBUIDORA DE AR REFRI"/>
    <s v="SC"/>
    <n v="713"/>
    <s v="Key Account"/>
    <n v="1350"/>
    <s v="W10828358"/>
    <s v="Pressostatos"/>
    <x v="8"/>
    <n v="1"/>
    <n v="5003024"/>
    <s v="RODOBRAS TRANSPORTES RODOVIARIOS LT"/>
    <n v="27.78"/>
    <d v="2025-08-15T00:00:00"/>
  </r>
  <r>
    <s v="Sem TR"/>
    <n v="64832593"/>
    <s v="REB"/>
    <n v="10179179"/>
    <n v="173"/>
    <s v="PEÇAS - Defeito de fabric./Alta Amperage"/>
    <s v="FUNCIONAL"/>
    <x v="1"/>
    <n v="134"/>
    <s v="MULTILAR COM DE PECAS E SERVICOS LT"/>
    <s v="SP"/>
    <n v="350"/>
    <s v="Ats On"/>
    <n v="1350"/>
    <s v="W11691009"/>
    <s v="Outros"/>
    <x v="5"/>
    <n v="1"/>
    <n v="5004042"/>
    <s v="BRASIL WEB TRANSPORTES E LOGISTICA"/>
    <n v="196.4"/>
    <d v="2025-08-22T00:00:00"/>
  </r>
  <r>
    <n v="254061201"/>
    <n v="64832600"/>
    <s v="REB"/>
    <n v="9984176"/>
    <n v="173"/>
    <s v="PEÇAS - Defeito de fabric./Alta Amperage"/>
    <s v="FUNCIONAL"/>
    <x v="2"/>
    <n v="89618"/>
    <s v="R OLIVEIRA DE LIMA"/>
    <s v="PA"/>
    <n v="932"/>
    <s v="CDP Prata"/>
    <n v="1350"/>
    <s v="W11387505"/>
    <s v="Placas de Controle"/>
    <x v="2"/>
    <n v="1"/>
    <n v="5002858"/>
    <s v="FAVORITA TRANSPORTES LTDA"/>
    <n v="266.73"/>
    <d v="2025-08-15T00:00:00"/>
  </r>
  <r>
    <s v="Sem TR"/>
    <n v="64832609"/>
    <s v="REB"/>
    <n v="10014147"/>
    <n v="173"/>
    <s v="PEÇAS - Defeito de fabric./Alta Amperage"/>
    <s v="FUNCIONAL"/>
    <x v="1"/>
    <n v="21330"/>
    <s v="REFRIEL COM DE PEÇAS REFRIG LTDA RE"/>
    <s v="PR"/>
    <n v="643"/>
    <s v="Elite"/>
    <n v="1350"/>
    <s v="W11082454"/>
    <s v="Termostatos"/>
    <x v="8"/>
    <n v="1"/>
    <n v="5003024"/>
    <s v="RODOBRAS TRANSPORTES RODOVIARIOS LT"/>
    <n v="52.52"/>
    <d v="2025-08-15T00:00:00"/>
  </r>
  <r>
    <n v="254064240"/>
    <n v="64832613"/>
    <s v="REB"/>
    <n v="10155858"/>
    <n v="167"/>
    <s v="PEÇAS - Avaria - Quebrada/Depósito"/>
    <s v="LOGÍSTICA"/>
    <x v="2"/>
    <n v="80567"/>
    <s v="SERVIPLUS REFRIGERACAO E"/>
    <s v="ES"/>
    <n v="350"/>
    <s v="Ats On"/>
    <n v="1350"/>
    <s v="W11184789"/>
    <s v="Vidros"/>
    <x v="3"/>
    <n v="1"/>
    <n v="5004042"/>
    <s v="BRASIL WEB TRANSPORTES E LOGISTICA"/>
    <n v="169.74"/>
    <d v="2025-08-22T00:00:00"/>
  </r>
  <r>
    <n v="254061106"/>
    <n v="64832636"/>
    <s v="REB"/>
    <n v="10049757"/>
    <n v="178"/>
    <s v="PEÇAS -Defeito de fabric./Sem Compressão"/>
    <s v="FUNCIONAL"/>
    <x v="1"/>
    <n v="32455"/>
    <s v="FRIOSAMO REFRIGERACAO LTDA"/>
    <s v="SP"/>
    <n v="643"/>
    <s v="Elite"/>
    <n v="1350"/>
    <s v="W11741178"/>
    <s v="Outros"/>
    <x v="5"/>
    <n v="3"/>
    <n v="5004042"/>
    <s v="BRASIL WEB TRANSPORTES E LOGISTICA"/>
    <n v="924.76"/>
    <d v="2025-08-15T00:00:00"/>
  </r>
  <r>
    <n v="254061105"/>
    <n v="64832669"/>
    <s v="REB"/>
    <n v="9718470"/>
    <n v="178"/>
    <s v="PEÇAS -Defeito de fabric./Sem Compressão"/>
    <s v="FUNCIONAL"/>
    <x v="2"/>
    <n v="32455"/>
    <s v="FRIOSAMO REFRIGERACAO LTDA"/>
    <s v="SP"/>
    <n v="643"/>
    <s v="Elite"/>
    <n v="1350"/>
    <s v="W11647660"/>
    <s v="Compressores Herméticos"/>
    <x v="0"/>
    <n v="21"/>
    <n v="5004042"/>
    <s v="BRASIL WEB TRANSPORTES E LOGISTICA"/>
    <n v="6365.98"/>
    <d v="2025-08-15T00:00:00"/>
  </r>
  <r>
    <n v="254061109"/>
    <n v="64832674"/>
    <s v="REB"/>
    <n v="9800720"/>
    <n v="178"/>
    <s v="PEÇAS -Defeito de fabric./Sem Compressão"/>
    <s v="FUNCIONAL"/>
    <x v="2"/>
    <n v="32455"/>
    <s v="FRIOSAMO REFRIGERACAO LTDA"/>
    <s v="SP"/>
    <n v="643"/>
    <s v="Elite"/>
    <n v="1350"/>
    <s v="W10393822"/>
    <s v="Compressores Herméticos"/>
    <x v="0"/>
    <n v="7"/>
    <n v="5004042"/>
    <s v="BRASIL WEB TRANSPORTES E LOGISTICA"/>
    <n v="3673.16"/>
    <d v="2025-08-15T00:00:00"/>
  </r>
  <r>
    <n v="254061109"/>
    <n v="64832675"/>
    <s v="REB"/>
    <n v="9800715"/>
    <n v="178"/>
    <s v="PEÇAS -Defeito de fabric./Sem Compressão"/>
    <s v="FUNCIONAL"/>
    <x v="2"/>
    <n v="32455"/>
    <s v="FRIOSAMO REFRIGERACAO LTDA"/>
    <s v="SP"/>
    <n v="643"/>
    <s v="Elite"/>
    <n v="1350"/>
    <s v="W10393823"/>
    <s v="Compressores Herméticos"/>
    <x v="0"/>
    <n v="14"/>
    <n v="5004042"/>
    <s v="BRASIL WEB TRANSPORTES E LOGISTICA"/>
    <n v="7346.32"/>
    <d v="2025-08-15T00:00:00"/>
  </r>
  <r>
    <n v="254061109"/>
    <n v="64832676"/>
    <s v="REB"/>
    <n v="9856628"/>
    <n v="178"/>
    <s v="PEÇAS -Defeito de fabric./Sem Compressão"/>
    <s v="FUNCIONAL"/>
    <x v="2"/>
    <n v="32455"/>
    <s v="FRIOSAMO REFRIGERACAO LTDA"/>
    <s v="SP"/>
    <n v="643"/>
    <s v="Elite"/>
    <n v="1350"/>
    <s v="W11647660"/>
    <s v="Compressores Herméticos"/>
    <x v="0"/>
    <n v="1"/>
    <n v="5004042"/>
    <s v="BRASIL WEB TRANSPORTES E LOGISTICA"/>
    <n v="305.88"/>
    <d v="2025-08-15T00:00:00"/>
  </r>
  <r>
    <n v="254061105"/>
    <n v="64832677"/>
    <s v="REB"/>
    <n v="9850415"/>
    <n v="178"/>
    <s v="PEÇAS -Defeito de fabric./Sem Compressão"/>
    <s v="FUNCIONAL"/>
    <x v="2"/>
    <n v="32455"/>
    <s v="FRIOSAMO REFRIGERACAO LTDA"/>
    <s v="SP"/>
    <n v="643"/>
    <s v="Elite"/>
    <n v="1350"/>
    <s v="W10393814"/>
    <s v="Compressores Herméticos"/>
    <x v="0"/>
    <n v="1"/>
    <n v="5004042"/>
    <s v="BRASIL WEB TRANSPORTES E LOGISTICA"/>
    <n v="462.2"/>
    <d v="2025-08-15T00:00:00"/>
  </r>
  <r>
    <n v="254061129"/>
    <n v="64832678"/>
    <s v="REB"/>
    <n v="10055339"/>
    <n v="173"/>
    <s v="PEÇAS - Defeito de fabric./Alta Amperage"/>
    <s v="FUNCIONAL"/>
    <x v="2"/>
    <n v="49243"/>
    <s v="IVANILSON INACIO DA SILVA - ME"/>
    <s v="MS"/>
    <n v="643"/>
    <s v="Elite"/>
    <n v="1350"/>
    <s v="W11741178"/>
    <s v="Outros"/>
    <x v="5"/>
    <n v="1"/>
    <n v="5002573"/>
    <s v="CARVALIMA TRANSPORTES LTDA"/>
    <n v="303.60000000000002"/>
    <d v="2025-08-15T00:00:00"/>
  </r>
  <r>
    <n v="254061108"/>
    <n v="64832679"/>
    <s v="REB"/>
    <n v="9960666"/>
    <n v="178"/>
    <s v="PEÇAS -Defeito de fabric./Sem Compressão"/>
    <s v="FUNCIONAL"/>
    <x v="1"/>
    <n v="32455"/>
    <s v="FRIOSAMO REFRIGERACAO LTDA"/>
    <s v="SP"/>
    <n v="643"/>
    <s v="Elite"/>
    <n v="1350"/>
    <s v="W11647662"/>
    <s v="Compressores Herméticos"/>
    <x v="0"/>
    <n v="4"/>
    <n v="5004042"/>
    <s v="BRASIL WEB TRANSPORTES E LOGISTICA"/>
    <n v="1126.1300000000001"/>
    <d v="2025-08-15T00:00:00"/>
  </r>
  <r>
    <s v="Sem TR"/>
    <n v="64832680"/>
    <s v="REB"/>
    <n v="10129264"/>
    <n v="173"/>
    <s v="PEÇAS - Defeito de fabric./Alta Amperage"/>
    <s v="FUNCIONAL"/>
    <x v="1"/>
    <n v="29374"/>
    <s v="MARINEIDE FELIX BARBOSA - ME"/>
    <s v="SP"/>
    <n v="643"/>
    <s v="Elite"/>
    <n v="1350"/>
    <s v="W10678919"/>
    <s v="Placas de Controle"/>
    <x v="2"/>
    <n v="23"/>
    <n v="5004042"/>
    <s v="BRASIL WEB TRANSPORTES E LOGISTICA"/>
    <n v="1742.99"/>
    <d v="2025-08-15T00:00:00"/>
  </r>
  <r>
    <n v="254061104"/>
    <n v="64832684"/>
    <s v="REB"/>
    <n v="9850415"/>
    <n v="178"/>
    <s v="PEÇAS -Defeito de fabric./Sem Compressão"/>
    <s v="FUNCIONAL"/>
    <x v="1"/>
    <n v="32455"/>
    <s v="FRIOSAMO REFRIGERACAO LTDA"/>
    <s v="SP"/>
    <n v="643"/>
    <s v="Elite"/>
    <n v="1350"/>
    <s v="W10393814"/>
    <s v="Compressores Herméticos"/>
    <x v="0"/>
    <n v="1"/>
    <n v="5004042"/>
    <s v="BRASIL WEB TRANSPORTES E LOGISTICA"/>
    <n v="462.2"/>
    <d v="2025-08-15T00:00:00"/>
  </r>
  <r>
    <n v="254061189"/>
    <n v="64832685"/>
    <s v="REB"/>
    <n v="9584332"/>
    <n v="173"/>
    <s v="PEÇAS - Defeito de fabric./Alta Amperage"/>
    <s v="FUNCIONAL"/>
    <x v="2"/>
    <n v="81093"/>
    <s v="REFRICRIL DISTRIBUIDORA DE AR"/>
    <s v="ES"/>
    <n v="713"/>
    <s v="Key Account"/>
    <n v="1350"/>
    <s v="W10399715"/>
    <s v="Motores Ventiladores"/>
    <x v="2"/>
    <n v="1"/>
    <n v="5004042"/>
    <s v="BRASIL WEB TRANSPORTES E LOGISTICA"/>
    <n v="49.3"/>
    <d v="2025-08-15T00:00:00"/>
  </r>
  <r>
    <n v="254061137"/>
    <n v="64832686"/>
    <s v="REB"/>
    <n v="9948705"/>
    <n v="178"/>
    <s v="PEÇAS -Defeito de fabric./Sem Compressão"/>
    <s v="FUNCIONAL"/>
    <x v="2"/>
    <n v="55102"/>
    <s v="PEDRO MARCOS ANTONELLI"/>
    <s v="MS"/>
    <n v="643"/>
    <s v="Elite"/>
    <n v="1350"/>
    <s v="W11647660"/>
    <s v="Compressores Herméticos"/>
    <x v="0"/>
    <n v="3"/>
    <n v="5002573"/>
    <s v="CARVALIMA TRANSPORTES LTDA"/>
    <n v="799.22"/>
    <d v="2025-08-15T00:00:00"/>
  </r>
  <r>
    <n v="254061072"/>
    <n v="64832687"/>
    <s v="REB"/>
    <n v="10051483"/>
    <n v="176"/>
    <s v="PEÇAS - Defeito de fabric./Interrompido"/>
    <s v="FUNCIONAL"/>
    <x v="2"/>
    <n v="24089"/>
    <s v="REVOLUTION COMERCIO E SERV"/>
    <s v="RJ"/>
    <n v="931"/>
    <s v="Ats Off"/>
    <n v="1350"/>
    <s v="W11557305"/>
    <s v="Resistências"/>
    <x v="2"/>
    <n v="1"/>
    <n v="5003176"/>
    <s v="J C THEDIN TRANSPORTES LTDA"/>
    <n v="119.73"/>
    <d v="2025-08-15T00:00:00"/>
  </r>
  <r>
    <n v="254061128"/>
    <n v="64832688"/>
    <s v="REB"/>
    <n v="10055339"/>
    <n v="178"/>
    <s v="PEÇAS -Defeito de fabric./Sem Compressão"/>
    <s v="FUNCIONAL"/>
    <x v="2"/>
    <n v="49243"/>
    <s v="IVANILSON INACIO DA SILVA - ME"/>
    <s v="MS"/>
    <n v="643"/>
    <s v="Elite"/>
    <n v="1350"/>
    <s v="W11741178"/>
    <s v="Outros"/>
    <x v="5"/>
    <n v="1"/>
    <n v="5002573"/>
    <s v="CARVALIMA TRANSPORTES LTDA"/>
    <n v="303.60000000000002"/>
    <d v="2025-08-15T00:00:00"/>
  </r>
  <r>
    <s v="Sem TR"/>
    <n v="64832689"/>
    <s v="REB"/>
    <n v="10147342"/>
    <n v="90"/>
    <s v="CLIENTE-não solicitou"/>
    <s v="COMERCIAL"/>
    <x v="1"/>
    <n v="26697"/>
    <s v="JUAREZ LUIS LEITE"/>
    <s v="RS"/>
    <n v="350"/>
    <s v="Ats On"/>
    <n v="1350"/>
    <s v="W10885086"/>
    <s v="Portas"/>
    <x v="3"/>
    <n v="1"/>
    <n v="5003024"/>
    <s v="RODOBRAS TRANSPORTES RODOVIARIOS LT"/>
    <n v="482.72"/>
    <d v="2025-08-15T00:00:00"/>
  </r>
  <r>
    <n v="254061090"/>
    <n v="64832690"/>
    <s v="REB"/>
    <n v="9952755"/>
    <n v="176"/>
    <s v="PEÇAS - Defeito de fabric./Interrompido"/>
    <s v="FUNCIONAL"/>
    <x v="1"/>
    <n v="30416"/>
    <s v="JF OLIVEIRA PEREIRA ELETROD LTDA"/>
    <s v="AM"/>
    <n v="648"/>
    <s v="Ultra"/>
    <n v="1350"/>
    <s v="W11023460"/>
    <s v="Placas de Controle"/>
    <x v="2"/>
    <n v="1"/>
    <n v="5002858"/>
    <s v="FAVORITA TRANSPORTES LTDA"/>
    <n v="64.22"/>
    <d v="2025-08-15T00:00:00"/>
  </r>
  <r>
    <n v="254061115"/>
    <n v="64832691"/>
    <s v="REB"/>
    <n v="9764090"/>
    <n v="173"/>
    <s v="PEÇAS - Defeito de fabric./Alta Amperage"/>
    <s v="FUNCIONAL"/>
    <x v="1"/>
    <n v="37434"/>
    <s v="ELETRO MARTINS LTDA"/>
    <s v="GO"/>
    <n v="931"/>
    <s v="Ats Off"/>
    <n v="1350"/>
    <n v="326073243"/>
    <s v="Placas de Controle"/>
    <x v="2"/>
    <n v="1"/>
    <n v="5002858"/>
    <s v="FAVORITA TRANSPORTES LTDA"/>
    <n v="112.05"/>
    <d v="2025-08-15T00:00:00"/>
  </r>
  <r>
    <n v="254061126"/>
    <n v="64832692"/>
    <s v="REB"/>
    <n v="9741227"/>
    <n v="178"/>
    <s v="PEÇAS -Defeito de fabric./Sem Compressão"/>
    <s v="FUNCIONAL"/>
    <x v="2"/>
    <n v="49243"/>
    <s v="IVANILSON INACIO DA SILVA - ME"/>
    <s v="MS"/>
    <n v="643"/>
    <s v="Elite"/>
    <n v="1350"/>
    <s v="W10393822"/>
    <s v="Compressores Herméticos"/>
    <x v="0"/>
    <n v="1"/>
    <n v="5002573"/>
    <s v="CARVALIMA TRANSPORTES LTDA"/>
    <n v="469.22"/>
    <d v="2025-08-15T00:00:00"/>
  </r>
  <r>
    <n v="254061127"/>
    <n v="64832694"/>
    <s v="REB"/>
    <n v="9741227"/>
    <n v="173"/>
    <s v="PEÇAS - Defeito de fabric./Alta Amperage"/>
    <s v="FUNCIONAL"/>
    <x v="2"/>
    <n v="49243"/>
    <s v="IVANILSON INACIO DA SILVA - ME"/>
    <s v="MS"/>
    <n v="643"/>
    <s v="Elite"/>
    <n v="1350"/>
    <s v="W10393822"/>
    <s v="Compressores Herméticos"/>
    <x v="0"/>
    <n v="1"/>
    <n v="5002573"/>
    <s v="CARVALIMA TRANSPORTES LTDA"/>
    <n v="469.22"/>
    <d v="2025-08-15T00:00:00"/>
  </r>
  <r>
    <n v="254061073"/>
    <n v="64832697"/>
    <s v="REB"/>
    <n v="9692355"/>
    <n v="173"/>
    <s v="PEÇAS - Defeito de fabric./Alta Amperage"/>
    <s v="FUNCIONAL"/>
    <x v="2"/>
    <n v="27253"/>
    <s v="S.M. QUARESMA"/>
    <s v="PI"/>
    <n v="644"/>
    <s v="Plus"/>
    <n v="1350"/>
    <s v="W10393809"/>
    <s v="Compressores Herméticos"/>
    <x v="0"/>
    <n v="1"/>
    <n v="5004101"/>
    <s v="UNIDOCK'S ASSESSORIA E LOGISTICA DE"/>
    <n v="317.64"/>
    <d v="2025-08-22T00:00:00"/>
  </r>
  <r>
    <s v="Sem TR"/>
    <n v="64832699"/>
    <s v="REB"/>
    <n v="9788522"/>
    <n v="173"/>
    <s v="PEÇAS - Defeito de fabric./Alta Amperage"/>
    <s v="FUNCIONAL"/>
    <x v="1"/>
    <n v="1255"/>
    <s v="PRAMAK REFRIGERACAO, PECAS E"/>
    <s v="CE"/>
    <n v="931"/>
    <s v="Ats Off"/>
    <n v="1350"/>
    <s v="W11741179"/>
    <s v="Outros"/>
    <x v="5"/>
    <n v="1"/>
    <n v="5004101"/>
    <s v="UNIDOCK'S ASSESSORIA E LOGISTICA DE"/>
    <n v="324.58"/>
    <d v="2025-08-15T00:00:00"/>
  </r>
  <r>
    <n v="254061136"/>
    <n v="64832704"/>
    <s v="REB"/>
    <n v="9917274"/>
    <n v="178"/>
    <s v="PEÇAS -Defeito de fabric./Sem Compressão"/>
    <s v="FUNCIONAL"/>
    <x v="2"/>
    <n v="55093"/>
    <s v="NAUTICA REFRIGERACAO E"/>
    <s v="SP"/>
    <n v="648"/>
    <s v="Ultra"/>
    <n v="1350"/>
    <s v="W11647660"/>
    <s v="Compressores Herméticos"/>
    <x v="0"/>
    <n v="1"/>
    <n v="5004042"/>
    <s v="BRASIL WEB TRANSPORTES E LOGISTICA"/>
    <n v="319.33"/>
    <d v="2025-08-15T00:00:00"/>
  </r>
  <r>
    <n v="254061016"/>
    <n v="64832705"/>
    <s v="REB"/>
    <n v="10160171"/>
    <n v="173"/>
    <s v="PEÇAS - Defeito de fabric./Alta Amperage"/>
    <s v="FUNCIONAL"/>
    <x v="1"/>
    <n v="3462"/>
    <s v="MARCO SERVICE REFRIGERACAO"/>
    <s v="SP"/>
    <n v="350"/>
    <s v="Ats On"/>
    <n v="1350"/>
    <s v="W11516472"/>
    <s v="Compressores Herméticos"/>
    <x v="0"/>
    <n v="1"/>
    <n v="5004042"/>
    <s v="BRASIL WEB TRANSPORTES E LOGISTICA"/>
    <n v="411.67"/>
    <d v="2025-08-15T00:00:00"/>
  </r>
  <r>
    <n v="254061084"/>
    <n v="64832710"/>
    <s v="REB"/>
    <n v="9953491"/>
    <n v="176"/>
    <s v="PEÇAS - Defeito de fabric./Interrompido"/>
    <s v="FUNCIONAL"/>
    <x v="2"/>
    <n v="29706"/>
    <s v="Campos Equipamentos e Refrigeração"/>
    <s v="RN"/>
    <n v="644"/>
    <s v="Plus"/>
    <n v="1350"/>
    <s v="W11023460"/>
    <s v="Placas de Controle"/>
    <x v="2"/>
    <n v="1"/>
    <n v="5004101"/>
    <s v="UNIDOCK'S ASSESSORIA E LOGISTICA DE"/>
    <n v="81.430000000000007"/>
    <d v="2025-08-15T00:00:00"/>
  </r>
  <r>
    <n v="254061080"/>
    <n v="64832711"/>
    <s v="REB"/>
    <n v="10185191"/>
    <n v="90"/>
    <s v="CLIENTE-não solicitou"/>
    <s v="COMERCIAL"/>
    <x v="1"/>
    <n v="28434"/>
    <s v="AGUIAR COMERCIO DE PRODUTOS DE REF"/>
    <s v="DF"/>
    <n v="648"/>
    <s v="Ultra"/>
    <n v="1350"/>
    <s v="W11049573"/>
    <s v="Painéis Decorativos"/>
    <x v="3"/>
    <n v="1"/>
    <n v="5002858"/>
    <s v="FAVORITA TRANSPORTES LTDA"/>
    <n v="185.74"/>
    <d v="2025-08-22T00:00:00"/>
  </r>
  <r>
    <n v="254061064"/>
    <n v="64832712"/>
    <s v="REB"/>
    <n v="10145822"/>
    <n v="173"/>
    <s v="PEÇAS - Defeito de fabric./Alta Amperage"/>
    <s v="FUNCIONAL"/>
    <x v="2"/>
    <n v="8975"/>
    <s v="FORT CENTER REFRIGERACAO LTDA"/>
    <s v="MA"/>
    <n v="931"/>
    <s v="Ats Off"/>
    <n v="1350"/>
    <s v="W10518617"/>
    <s v="Atuadores"/>
    <x v="4"/>
    <n v="1"/>
    <n v="5004101"/>
    <s v="UNIDOCK'S ASSESSORIA E LOGISTICA DE"/>
    <n v="31.68"/>
    <d v="2025-08-22T00:00:00"/>
  </r>
  <r>
    <s v="Sem TR"/>
    <n v="64832728"/>
    <s v="REB"/>
    <n v="10067387"/>
    <n v="176"/>
    <s v="PEÇAS - Defeito de fabric./Interrompido"/>
    <s v="FUNCIONAL"/>
    <x v="1"/>
    <n v="27874"/>
    <s v="REFRIGERACAO ERECHIM COML TECNICA"/>
    <s v="RS"/>
    <n v="641"/>
    <s v="CDP Diamante"/>
    <n v="1350"/>
    <s v="W10531315"/>
    <s v="Sensores"/>
    <x v="8"/>
    <n v="1"/>
    <n v="5003024"/>
    <s v="RODOBRAS TRANSPORTES RODOVIARIOS LT"/>
    <n v="8.32"/>
    <d v="2025-08-22T00:00:00"/>
  </r>
  <r>
    <n v="254056331"/>
    <n v="64832739"/>
    <s v="REB"/>
    <n v="9860486"/>
    <n v="173"/>
    <s v="PEÇAS - Defeito de fabric./Alta Amperage"/>
    <s v="FUNCIONAL"/>
    <x v="1"/>
    <n v="4167"/>
    <s v="MAQ VILLE PECAS E SERVICOS LTDA"/>
    <s v="SP"/>
    <n v="931"/>
    <s v="Ats Off"/>
    <n v="1350"/>
    <s v="W11045281"/>
    <s v="Placas de Controle"/>
    <x v="2"/>
    <n v="1"/>
    <n v="5004042"/>
    <s v="BRASIL WEB TRANSPORTES E LOGISTICA"/>
    <n v="167.18"/>
    <d v="2025-08-15T00:00:00"/>
  </r>
  <r>
    <n v="254056331"/>
    <n v="64832740"/>
    <s v="REB"/>
    <n v="9902914"/>
    <n v="173"/>
    <s v="PEÇAS - Defeito de fabric./Alta Amperage"/>
    <s v="FUNCIONAL"/>
    <x v="1"/>
    <n v="4167"/>
    <s v="MAQ VILLE PECAS E SERVICOS LTDA"/>
    <s v="SP"/>
    <n v="931"/>
    <s v="Ats Off"/>
    <n v="1350"/>
    <s v="W10364740"/>
    <s v="Placas de Interface"/>
    <x v="2"/>
    <n v="1"/>
    <n v="5004042"/>
    <s v="BRASIL WEB TRANSPORTES E LOGISTICA"/>
    <n v="57.48"/>
    <d v="2025-08-15T00:00:00"/>
  </r>
  <r>
    <n v="254056479"/>
    <n v="64832741"/>
    <s v="REB"/>
    <n v="10146374"/>
    <n v="176"/>
    <s v="PEÇAS - Defeito de fabric./Interrompido"/>
    <s v="FUNCIONAL"/>
    <x v="2"/>
    <n v="31063"/>
    <s v="ELETROFRIGOR PECAS LTDA ME"/>
    <s v="RJ"/>
    <n v="644"/>
    <s v="Plus"/>
    <n v="1350"/>
    <s v="W10678923"/>
    <s v="Placas de Controle"/>
    <x v="2"/>
    <n v="1"/>
    <n v="5003176"/>
    <s v="J C THEDIN TRANSPORTES LTDA"/>
    <n v="50.45"/>
    <d v="2025-08-15T00:00:00"/>
  </r>
  <r>
    <n v="254059898"/>
    <n v="64832742"/>
    <s v="REB"/>
    <n v="10058854"/>
    <n v="173"/>
    <s v="PEÇAS - Defeito de fabric./Alta Amperage"/>
    <s v="FUNCIONAL"/>
    <x v="2"/>
    <n v="13757"/>
    <s v="FRIGELAR COMÉRCIO E INDÚSTRIA LTDA"/>
    <s v="SP"/>
    <n v="713"/>
    <s v="Key Account"/>
    <n v="1350"/>
    <s v="W11364881"/>
    <s v="Válvulas de Água"/>
    <x v="6"/>
    <n v="1"/>
    <n v="5004042"/>
    <s v="BRASIL WEB TRANSPORTES E LOGISTICA"/>
    <n v="30.24"/>
    <d v="2025-08-15T00:00:00"/>
  </r>
  <r>
    <n v="254056469"/>
    <n v="64832743"/>
    <s v="REB"/>
    <n v="9692360"/>
    <n v="173"/>
    <s v="PEÇAS - Defeito de fabric./Alta Amperage"/>
    <s v="FUNCIONAL"/>
    <x v="2"/>
    <n v="27253"/>
    <s v="S.M. QUARESMA"/>
    <s v="PI"/>
    <n v="644"/>
    <s v="Plus"/>
    <n v="1350"/>
    <s v="W11677209"/>
    <s v="Compressores Herméticos"/>
    <x v="0"/>
    <n v="1"/>
    <n v="5004101"/>
    <s v="UNIDOCK'S ASSESSORIA E LOGISTICA DE"/>
    <n v="305.58"/>
    <d v="2025-08-15T00:00:00"/>
  </r>
  <r>
    <n v="254056455"/>
    <n v="64832749"/>
    <s v="REB"/>
    <n v="10120828"/>
    <n v="173"/>
    <s v="PEÇAS - Defeito de fabric./Alta Amperage"/>
    <s v="FUNCIONAL"/>
    <x v="2"/>
    <n v="9991"/>
    <s v="HIPERFRIO COMERCIO DE PECAS LTDA"/>
    <s v="DF"/>
    <n v="648"/>
    <s v="Ultra"/>
    <n v="1350"/>
    <s v="W11435392"/>
    <s v="Placas de Controle"/>
    <x v="2"/>
    <n v="1"/>
    <n v="5002858"/>
    <s v="FAVORITA TRANSPORTES LTDA"/>
    <n v="295.05"/>
    <d v="2025-08-15T00:00:00"/>
  </r>
  <r>
    <n v="254056498"/>
    <n v="64832754"/>
    <s v="REB"/>
    <n v="10113487"/>
    <n v="173"/>
    <s v="PEÇAS - Defeito de fabric./Alta Amperage"/>
    <s v="FUNCIONAL"/>
    <x v="2"/>
    <n v="72332"/>
    <s v="ARGELO REFRIGERACAO LTDA"/>
    <s v="RJ"/>
    <n v="933"/>
    <s v="Top"/>
    <n v="1350"/>
    <s v="W11396188"/>
    <s v="Placas de Interface"/>
    <x v="2"/>
    <n v="1"/>
    <n v="5003176"/>
    <s v="J C THEDIN TRANSPORTES LTDA"/>
    <n v="117.27"/>
    <d v="2025-08-15T00:00:00"/>
  </r>
  <r>
    <n v="254056500"/>
    <n v="64832755"/>
    <s v="REB"/>
    <n v="10161938"/>
    <n v="173"/>
    <s v="PEÇAS - Defeito de fabric./Alta Amperage"/>
    <s v="FUNCIONAL"/>
    <x v="1"/>
    <n v="75751"/>
    <s v="BORCHERT &amp; BAUMGARTNER LTDA"/>
    <s v="PR"/>
    <n v="931"/>
    <s v="Ats Off"/>
    <n v="1350"/>
    <s v="W10555140"/>
    <s v="Resistências"/>
    <x v="2"/>
    <n v="2"/>
    <n v="5003024"/>
    <s v="RODOBRAS TRANSPORTES RODOVIARIOS LT"/>
    <n v="98.79"/>
    <d v="2025-08-15T00:00:00"/>
  </r>
  <r>
    <n v="254056500"/>
    <n v="64832755"/>
    <s v="REB"/>
    <n v="10161938"/>
    <n v="173"/>
    <s v="PEÇAS - Defeito de fabric./Alta Amperage"/>
    <s v="FUNCIONAL"/>
    <x v="1"/>
    <n v="75751"/>
    <s v="BORCHERT &amp; BAUMGARTNER LTDA"/>
    <s v="PR"/>
    <n v="931"/>
    <s v="Ats Off"/>
    <n v="1350"/>
    <s v="W10711361"/>
    <s v="Placas de Interface"/>
    <x v="2"/>
    <n v="1"/>
    <n v="5003024"/>
    <s v="RODOBRAS TRANSPORTES RODOVIARIOS LT"/>
    <n v="216.87"/>
    <d v="2025-08-15T00:00:00"/>
  </r>
  <r>
    <n v="254056500"/>
    <n v="64832755"/>
    <s v="REB"/>
    <n v="10161938"/>
    <n v="173"/>
    <s v="PEÇAS - Defeito de fabric./Alta Amperage"/>
    <s v="FUNCIONAL"/>
    <x v="1"/>
    <n v="75751"/>
    <s v="BORCHERT &amp; BAUMGARTNER LTDA"/>
    <s v="PR"/>
    <n v="931"/>
    <s v="Ats Off"/>
    <n v="1350"/>
    <s v="W11299805"/>
    <s v="Mecanismos"/>
    <x v="4"/>
    <n v="1"/>
    <n v="5003024"/>
    <s v="RODOBRAS TRANSPORTES RODOVIARIOS LT"/>
    <n v="120.62"/>
    <d v="2025-08-15T00:00:00"/>
  </r>
  <r>
    <n v="254056474"/>
    <n v="64832756"/>
    <s v="REB"/>
    <n v="10109185"/>
    <n v="173"/>
    <s v="PEÇAS - Defeito de fabric./Alta Amperage"/>
    <s v="FUNCIONAL"/>
    <x v="1"/>
    <n v="28162"/>
    <s v="DISTRIBUIDORA JUNDIAI DE PECAS PARA"/>
    <s v="SP"/>
    <n v="641"/>
    <s v="CDP Diamante"/>
    <n v="1350"/>
    <s v="W11299803"/>
    <s v="Mecanismos"/>
    <x v="4"/>
    <n v="1"/>
    <n v="5004042"/>
    <s v="BRASIL WEB TRANSPORTES E LOGISTICA"/>
    <n v="114.9"/>
    <d v="2025-08-15T00:00:00"/>
  </r>
  <r>
    <s v="Sem TR"/>
    <n v="64832759"/>
    <s v="REB"/>
    <n v="10134713"/>
    <n v="176"/>
    <s v="PEÇAS - Defeito de fabric./Interrompido"/>
    <s v="FUNCIONAL"/>
    <x v="1"/>
    <n v="3524"/>
    <s v="CATEL - COMERCIO DE PECAS"/>
    <s v="SP"/>
    <n v="931"/>
    <s v="Ats Off"/>
    <n v="1350"/>
    <s v="W10849469"/>
    <s v="Bombas"/>
    <x v="2"/>
    <n v="1"/>
    <n v="5004042"/>
    <s v="BRASIL WEB TRANSPORTES E LOGISTICA"/>
    <n v="34.04"/>
    <d v="2025-08-15T00:00:00"/>
  </r>
  <r>
    <s v="Sem TR"/>
    <n v="64832761"/>
    <s v="REB"/>
    <n v="10140042"/>
    <n v="178"/>
    <s v="PEÇAS -Defeito de fabric./Sem Compressão"/>
    <s v="FUNCIONAL"/>
    <x v="1"/>
    <n v="25727"/>
    <s v="Polo PeCas para RefrigeraCAo e"/>
    <s v="GO"/>
    <n v="644"/>
    <s v="Plus"/>
    <n v="1350"/>
    <s v="W11647662"/>
    <s v="Compressores Herméticos"/>
    <x v="0"/>
    <n v="1"/>
    <n v="5002858"/>
    <s v="FAVORITA TRANSPORTES LTDA"/>
    <n v="275.35000000000002"/>
    <d v="2025-08-15T00:00:00"/>
  </r>
  <r>
    <n v="254056493"/>
    <n v="64832762"/>
    <s v="REB"/>
    <n v="9852143"/>
    <n v="176"/>
    <s v="PEÇAS - Defeito de fabric./Interrompido"/>
    <s v="FUNCIONAL"/>
    <x v="1"/>
    <n v="61874"/>
    <s v="REFRIGERACAO NOVO MUNDO LTDA"/>
    <s v="GO"/>
    <n v="644"/>
    <s v="Plus"/>
    <n v="1350"/>
    <s v="W11123830"/>
    <s v="Placas de Controle"/>
    <x v="2"/>
    <n v="1"/>
    <n v="5002858"/>
    <s v="FAVORITA TRANSPORTES LTDA"/>
    <n v="85.32"/>
    <d v="2025-08-15T00:00:00"/>
  </r>
  <r>
    <n v="254056327"/>
    <n v="64832763"/>
    <s v="REB"/>
    <n v="10142844"/>
    <n v="176"/>
    <s v="PEÇAS - Defeito de fabric./Interrompido"/>
    <s v="FUNCIONAL"/>
    <x v="2"/>
    <n v="1632"/>
    <s v="BRASERVICE COMERCIO E SERVICOS"/>
    <s v="AL"/>
    <n v="931"/>
    <s v="Ats Off"/>
    <n v="1350"/>
    <s v="W10828358"/>
    <s v="Pressostatos"/>
    <x v="8"/>
    <n v="1"/>
    <n v="5004101"/>
    <s v="UNIDOCK'S ASSESSORIA E LOGISTICA DE"/>
    <n v="31.26"/>
    <d v="2025-08-15T00:00:00"/>
  </r>
  <r>
    <n v="254056457"/>
    <n v="64832764"/>
    <s v="REB"/>
    <n v="10096720"/>
    <n v="173"/>
    <s v="PEÇAS - Defeito de fabric./Alta Amperage"/>
    <s v="FUNCIONAL"/>
    <x v="2"/>
    <n v="14474"/>
    <s v="NATAL SERVICE LTDA N"/>
    <s v="RN"/>
    <n v="648"/>
    <s v="Ultra"/>
    <n v="1350"/>
    <s v="W11435392"/>
    <s v="Placas de Controle"/>
    <x v="2"/>
    <n v="1"/>
    <n v="5004101"/>
    <s v="UNIDOCK'S ASSESSORIA E LOGISTICA DE"/>
    <n v="296.99"/>
    <d v="2025-08-15T00:00:00"/>
  </r>
  <r>
    <n v="254056485"/>
    <n v="64832765"/>
    <s v="REB"/>
    <n v="10111489"/>
    <n v="178"/>
    <s v="PEÇAS -Defeito de fabric./Sem Compressão"/>
    <s v="FUNCIONAL"/>
    <x v="2"/>
    <n v="40998"/>
    <s v="CALDEIRA E SANTOS LTDA M.E"/>
    <s v="GO"/>
    <n v="648"/>
    <s v="Ultra"/>
    <n v="1350"/>
    <s v="W11300675"/>
    <s v="Mecanismos"/>
    <x v="4"/>
    <n v="4"/>
    <n v="5002858"/>
    <s v="FAVORITA TRANSPORTES LTDA"/>
    <n v="424.2"/>
    <d v="2025-08-15T00:00:00"/>
  </r>
  <r>
    <n v="254056458"/>
    <n v="64832769"/>
    <s v="REB"/>
    <n v="10096720"/>
    <n v="176"/>
    <s v="PEÇAS - Defeito de fabric./Interrompido"/>
    <s v="FUNCIONAL"/>
    <x v="2"/>
    <n v="14474"/>
    <s v="NATAL SERVICE LTDA N"/>
    <s v="RN"/>
    <n v="648"/>
    <s v="Ultra"/>
    <n v="1350"/>
    <s v="W11396188"/>
    <s v="Placas de Interface"/>
    <x v="2"/>
    <n v="1"/>
    <n v="5004101"/>
    <s v="UNIDOCK'S ASSESSORIA E LOGISTICA DE"/>
    <n v="83.06"/>
    <d v="2025-08-15T00:00:00"/>
  </r>
  <r>
    <s v="Sem TR"/>
    <n v="64832770"/>
    <s v="REB"/>
    <n v="10141780"/>
    <n v="90"/>
    <s v="CLIENTE-não solicitou"/>
    <s v="COMERCIAL"/>
    <x v="1"/>
    <n v="27113"/>
    <s v="EDUARDO CESAR DA ROCHA"/>
    <s v="MG"/>
    <n v="350"/>
    <s v="Ats On"/>
    <n v="1350"/>
    <s v="W11342524"/>
    <s v="Placas de Controle"/>
    <x v="2"/>
    <n v="1"/>
    <n v="5004215"/>
    <s v="BRASIL WEB TRANSPORTES E LOGISTICA"/>
    <n v="915.96"/>
    <d v="2025-08-15T00:00:00"/>
  </r>
  <r>
    <s v="Sem TR"/>
    <n v="64832771"/>
    <s v="REB"/>
    <n v="9878920"/>
    <n v="173"/>
    <s v="PEÇAS - Defeito de fabric./Alta Amperage"/>
    <s v="FUNCIONAL"/>
    <x v="1"/>
    <n v="69578"/>
    <s v="ASPEN REFRIGERACAO"/>
    <s v="MG"/>
    <n v="933"/>
    <s v="Top"/>
    <n v="1350"/>
    <s v="W10399715"/>
    <s v="Motores Ventiladores"/>
    <x v="2"/>
    <n v="1"/>
    <n v="5004215"/>
    <s v="BRASIL WEB TRANSPORTES E LOGISTICA"/>
    <n v="48.28"/>
    <d v="2025-08-15T00:00:00"/>
  </r>
  <r>
    <n v="254056471"/>
    <n v="64832774"/>
    <s v="REB"/>
    <n v="9681769"/>
    <n v="176"/>
    <s v="PEÇAS - Defeito de fabric./Interrompido"/>
    <s v="FUNCIONAL"/>
    <x v="2"/>
    <n v="27574"/>
    <s v="GLACIAL REFRIG MAQ E EQUIP LTDA"/>
    <s v="SP"/>
    <n v="641"/>
    <s v="CDP Diamante"/>
    <n v="1350"/>
    <s v="W10678923"/>
    <s v="Placas de Controle"/>
    <x v="2"/>
    <n v="1"/>
    <n v="5004042"/>
    <s v="BRASIL WEB TRANSPORTES E LOGISTICA"/>
    <n v="76.42"/>
    <d v="2025-08-15T00:00:00"/>
  </r>
  <r>
    <n v="254056492"/>
    <n v="64832775"/>
    <s v="REB"/>
    <n v="10134963"/>
    <n v="173"/>
    <s v="PEÇAS - Defeito de fabric./Alta Amperage"/>
    <s v="FUNCIONAL"/>
    <x v="1"/>
    <n v="55093"/>
    <s v="NAUTICA REFRIGERACAO E"/>
    <s v="SP"/>
    <n v="648"/>
    <s v="Ultra"/>
    <n v="1350"/>
    <n v="326061171"/>
    <s v="Placas de Controle"/>
    <x v="2"/>
    <n v="1"/>
    <n v="5004042"/>
    <s v="BRASIL WEB TRANSPORTES E LOGISTICA"/>
    <n v="299.37"/>
    <d v="2025-08-15T00:00:00"/>
  </r>
  <r>
    <s v="Sem TR"/>
    <n v="64832776"/>
    <s v="REB"/>
    <n v="9737170"/>
    <n v="173"/>
    <s v="PEÇAS - Defeito de fabric./Alta Amperage"/>
    <s v="FUNCIONAL"/>
    <x v="1"/>
    <n v="32533"/>
    <s v="FRIGELAR COM. DISTRIBUICAO S/A"/>
    <s v="PE"/>
    <n v="713"/>
    <s v="Key Account"/>
    <n v="1350"/>
    <s v="W10310999"/>
    <s v="Motores Ventiladores"/>
    <x v="2"/>
    <n v="1"/>
    <n v="5004101"/>
    <s v="UNIDOCK'S ASSESSORIA E LOGISTICA DE"/>
    <n v="39.549999999999997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n v="4197305"/>
    <s v="Dobradiças"/>
    <x v="7"/>
    <n v="2"/>
    <n v="5004101"/>
    <s v="UNIDOCK'S ASSESSORIA E LOGISTICA DE"/>
    <n v="65.760000000000005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n v="326053936"/>
    <s v="Redes Elétricas"/>
    <x v="2"/>
    <n v="1"/>
    <n v="5004101"/>
    <s v="UNIDOCK'S ASSESSORIA E LOGISTICA DE"/>
    <n v="164.26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s v="W10515645"/>
    <s v="Filtros"/>
    <x v="6"/>
    <n v="5"/>
    <n v="5004101"/>
    <s v="UNIDOCK'S ASSESSORIA E LOGISTICA DE"/>
    <n v="111.3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s v="W10743620"/>
    <s v="Lâmpadas"/>
    <x v="2"/>
    <n v="1"/>
    <n v="5004101"/>
    <s v="UNIDOCK'S ASSESSORIA E LOGISTICA DE"/>
    <n v="24.57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s v="W11082462"/>
    <s v="Termostatos"/>
    <x v="8"/>
    <n v="3"/>
    <n v="5004101"/>
    <s v="UNIDOCK'S ASSESSORIA E LOGISTICA DE"/>
    <n v="154.22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s v="W11082463"/>
    <s v="Termostatos"/>
    <x v="8"/>
    <n v="2"/>
    <n v="5004101"/>
    <s v="UNIDOCK'S ASSESSORIA E LOGISTICA DE"/>
    <n v="88.13"/>
    <d v="2025-08-15T00:00:00"/>
  </r>
  <r>
    <n v="254056326"/>
    <n v="64832777"/>
    <s v="REB"/>
    <n v="10041229"/>
    <n v="173"/>
    <s v="PEÇAS - Defeito de fabric./Alta Amperage"/>
    <s v="FUNCIONAL"/>
    <x v="2"/>
    <n v="1334"/>
    <s v="FLORIANO REFRIGERACAO LTDA"/>
    <s v="PI"/>
    <n v="350"/>
    <s v="Ats On"/>
    <n v="1350"/>
    <s v="W11299803"/>
    <s v="Mecanismos"/>
    <x v="4"/>
    <n v="1"/>
    <n v="5004101"/>
    <s v="UNIDOCK'S ASSESSORIA E LOGISTICA DE"/>
    <n v="101.4"/>
    <d v="2025-08-15T00:00:00"/>
  </r>
  <r>
    <n v="254056498"/>
    <n v="64832778"/>
    <s v="REB"/>
    <n v="10105681"/>
    <n v="173"/>
    <s v="PEÇAS - Defeito de fabric./Alta Amperage"/>
    <s v="FUNCIONAL"/>
    <x v="2"/>
    <n v="72332"/>
    <s v="ARGELO REFRIGERACAO LTDA"/>
    <s v="RJ"/>
    <n v="933"/>
    <s v="Top"/>
    <n v="1350"/>
    <s v="W11352536"/>
    <s v="Placas de Controle"/>
    <x v="2"/>
    <n v="1"/>
    <n v="5003176"/>
    <s v="J C THEDIN TRANSPORTES LTDA"/>
    <n v="58.49"/>
    <d v="2025-08-15T00:00:00"/>
  </r>
  <r>
    <n v="254056496"/>
    <n v="64832779"/>
    <s v="REB"/>
    <n v="10163132"/>
    <n v="168"/>
    <s v="PEÇAS-Def.Fabric.Empenamento/Abaulamento"/>
    <s v="FUNCIONAL"/>
    <x v="2"/>
    <n v="69085"/>
    <s v="DO BEN COMERCIO DE PECAS"/>
    <s v="SP"/>
    <n v="641"/>
    <s v="CDP Diamante"/>
    <n v="1350"/>
    <n v="326012158"/>
    <s v="Acessórios"/>
    <x v="5"/>
    <n v="1"/>
    <n v="5004042"/>
    <s v="BRASIL WEB TRANSPORTES E LOGISTICA"/>
    <n v="85.6"/>
    <d v="2025-08-15T00:00:00"/>
  </r>
  <r>
    <n v="254056470"/>
    <n v="64832780"/>
    <s v="REB"/>
    <n v="10039094"/>
    <n v="176"/>
    <s v="PEÇAS - Defeito de fabric./Interrompido"/>
    <s v="FUNCIONAL"/>
    <x v="1"/>
    <n v="27425"/>
    <s v="ALEXANDRA K.L. PINA"/>
    <s v="PA"/>
    <n v="641"/>
    <s v="CDP Diamante"/>
    <n v="1350"/>
    <s v="W10344078"/>
    <s v="Usinas"/>
    <x v="9"/>
    <n v="1"/>
    <n v="5002858"/>
    <s v="FAVORITA TRANSPORTES LTDA"/>
    <n v="41.78"/>
    <d v="2025-08-15T00:00:00"/>
  </r>
  <r>
    <s v="Sem TR"/>
    <n v="64832782"/>
    <s v="REB"/>
    <n v="10066354"/>
    <n v="173"/>
    <s v="PEÇAS - Defeito de fabric./Alta Amperage"/>
    <s v="FUNCIONAL"/>
    <x v="1"/>
    <n v="87707"/>
    <s v="REFRIGERA BRASIL CLIMATIZACAO E REF"/>
    <s v="BA"/>
    <n v="648"/>
    <s v="Ultra"/>
    <n v="1350"/>
    <s v="W10591605"/>
    <s v="Placas de Controle"/>
    <x v="2"/>
    <n v="1"/>
    <n v="5004101"/>
    <s v="UNIDOCK'S ASSESSORIA E LOGISTICA DE"/>
    <n v="282.74"/>
    <d v="2025-08-15T00:00:00"/>
  </r>
  <r>
    <s v="Sem TR"/>
    <n v="64832783"/>
    <s v="REB"/>
    <n v="10108019"/>
    <n v="173"/>
    <s v="PEÇAS - Defeito de fabric./Alta Amperage"/>
    <s v="FUNCIONAL"/>
    <x v="1"/>
    <n v="21330"/>
    <s v="REFRIEL COM DE PEÇAS REFRIG LTDA RE"/>
    <s v="PR"/>
    <n v="643"/>
    <s v="Elite"/>
    <n v="1350"/>
    <s v="W10544765"/>
    <s v="Placas de Interface"/>
    <x v="2"/>
    <n v="1"/>
    <n v="5003024"/>
    <s v="RODOBRAS TRANSPORTES RODOVIARIOS LT"/>
    <n v="308.89999999999998"/>
    <d v="2025-08-15T00:00:00"/>
  </r>
  <r>
    <n v="254056475"/>
    <n v="64832789"/>
    <s v="REB"/>
    <n v="9750271"/>
    <n v="176"/>
    <s v="PEÇAS - Defeito de fabric./Interrompido"/>
    <s v="FUNCIONAL"/>
    <x v="1"/>
    <n v="28181"/>
    <s v="COMERCIAL DE PEÇAS PARA REFRIG MF"/>
    <s v="GO"/>
    <n v="643"/>
    <s v="Elite"/>
    <n v="1350"/>
    <s v="W11677211"/>
    <s v="Compressores Herméticos"/>
    <x v="0"/>
    <n v="1"/>
    <n v="5002858"/>
    <s v="FAVORITA TRANSPORTES LTDA"/>
    <n v="391.41"/>
    <d v="2025-08-15T00:00:00"/>
  </r>
  <r>
    <n v="254056456"/>
    <n v="64832790"/>
    <s v="REB"/>
    <n v="10004697"/>
    <n v="173"/>
    <s v="PEÇAS - Defeito de fabric./Alta Amperage"/>
    <s v="FUNCIONAL"/>
    <x v="1"/>
    <n v="13747"/>
    <s v="FRIGELAR COMÉRCIO E INDÚSTRIA LTDA"/>
    <s v="RS"/>
    <n v="713"/>
    <s v="Key Account"/>
    <n v="1350"/>
    <s v="W10899325"/>
    <s v="Placas de Controle"/>
    <x v="2"/>
    <n v="1"/>
    <n v="5003024"/>
    <s v="RODOBRAS TRANSPORTES RODOVIARIOS LT"/>
    <n v="242"/>
    <d v="2025-08-15T00:00:00"/>
  </r>
  <r>
    <n v="254056329"/>
    <n v="64832792"/>
    <s v="REB"/>
    <n v="10046173"/>
    <n v="176"/>
    <s v="PEÇAS - Defeito de fabric./Interrompido"/>
    <s v="FUNCIONAL"/>
    <x v="1"/>
    <n v="3506"/>
    <s v="TECBRAS ASSISTENCIA TECNICA"/>
    <s v="SP"/>
    <n v="931"/>
    <s v="Ats Off"/>
    <n v="1350"/>
    <s v="W10399715"/>
    <s v="Motores Ventiladores"/>
    <x v="2"/>
    <n v="1"/>
    <n v="5004042"/>
    <s v="BRASIL WEB TRANSPORTES E LOGISTICA"/>
    <n v="56.89"/>
    <d v="2025-08-15T00:00:00"/>
  </r>
  <r>
    <n v="254056329"/>
    <n v="64832794"/>
    <s v="REB"/>
    <n v="10113100"/>
    <n v="176"/>
    <s v="PEÇAS - Defeito de fabric./Interrompido"/>
    <s v="FUNCIONAL"/>
    <x v="1"/>
    <n v="3506"/>
    <s v="TECBRAS ASSISTENCIA TECNICA"/>
    <s v="SP"/>
    <n v="931"/>
    <s v="Ats Off"/>
    <n v="1350"/>
    <s v="W10160037"/>
    <s v="Capacitores"/>
    <x v="2"/>
    <n v="1"/>
    <n v="5004042"/>
    <s v="BRASIL WEB TRANSPORTES E LOGISTICA"/>
    <n v="45.53"/>
    <d v="2025-08-15T00:00:00"/>
  </r>
  <r>
    <n v="254056486"/>
    <n v="64832795"/>
    <s v="REB"/>
    <n v="9243116"/>
    <n v="178"/>
    <s v="PEÇAS -Defeito de fabric./Sem Compressão"/>
    <s v="FUNCIONAL"/>
    <x v="2"/>
    <n v="42038"/>
    <s v="A BRASTECON REFRIGERACAO LTDA ME"/>
    <s v="MG"/>
    <n v="643"/>
    <s v="Elite"/>
    <n v="1350"/>
    <s v="W11647660"/>
    <s v="Compressores Herméticos"/>
    <x v="0"/>
    <n v="1"/>
    <n v="5004215"/>
    <s v="BRASIL WEB TRANSPORTES E LOGISTICA"/>
    <n v="288.12"/>
    <d v="2025-08-15T00:00:00"/>
  </r>
  <r>
    <s v="Sem TR"/>
    <n v="64832796"/>
    <s v="REB"/>
    <n v="10066354"/>
    <n v="173"/>
    <s v="PEÇAS - Defeito de fabric./Alta Amperage"/>
    <s v="FUNCIONAL"/>
    <x v="1"/>
    <n v="87707"/>
    <s v="REFRIGERA BRASIL CLIMATIZACAO E REF"/>
    <s v="BA"/>
    <n v="648"/>
    <s v="Ultra"/>
    <n v="1350"/>
    <s v="W11396188"/>
    <s v="Placas de Interface"/>
    <x v="2"/>
    <n v="2"/>
    <n v="5004101"/>
    <s v="UNIDOCK'S ASSESSORIA E LOGISTICA DE"/>
    <n v="174.13"/>
    <d v="2025-08-15T00:00:00"/>
  </r>
  <r>
    <s v="Sem TR"/>
    <n v="64832797"/>
    <s v="REB"/>
    <n v="10035020"/>
    <n v="176"/>
    <s v="PEÇAS - Defeito de fabric./Interrompido"/>
    <s v="FUNCIONAL"/>
    <x v="1"/>
    <n v="3648"/>
    <s v="AMAURI CARLIS JACON &amp; CIA LTDA"/>
    <s v="SP"/>
    <n v="350"/>
    <s v="Ats On"/>
    <n v="1350"/>
    <s v="W11619403"/>
    <s v="Placas de Controle"/>
    <x v="2"/>
    <n v="1"/>
    <n v="5004042"/>
    <s v="BRASIL WEB TRANSPORTES E LOGISTICA"/>
    <n v="286.22000000000003"/>
    <d v="2025-08-15T00:00:00"/>
  </r>
  <r>
    <s v="Sem TR"/>
    <n v="64832799"/>
    <s v="REB"/>
    <n v="10167700"/>
    <n v="90"/>
    <s v="CLIENTE-não solicitou"/>
    <s v="COMERCIAL"/>
    <x v="1"/>
    <n v="80257"/>
    <s v="FRILAV ELETRODOMESTICOS PECAS"/>
    <s v="MG"/>
    <n v="644"/>
    <s v="Plus"/>
    <n v="1350"/>
    <s v="W10887449"/>
    <s v="Placas de Interface"/>
    <x v="2"/>
    <n v="1"/>
    <n v="5004215"/>
    <s v="BRASIL WEB TRANSPORTES E LOGISTICA"/>
    <n v="246.05"/>
    <d v="2025-08-15T00:00:00"/>
  </r>
  <r>
    <s v="Sem TR"/>
    <n v="64832800"/>
    <s v="REB"/>
    <n v="10080610"/>
    <n v="173"/>
    <s v="PEÇAS - Defeito de fabric./Alta Amperage"/>
    <s v="FUNCIONAL"/>
    <x v="1"/>
    <n v="87707"/>
    <s v="REFRIGERA BRASIL CLIMATIZACAO E REF"/>
    <s v="BA"/>
    <n v="648"/>
    <s v="Ultra"/>
    <n v="1350"/>
    <n v="326061171"/>
    <s v="Placas de Controle"/>
    <x v="2"/>
    <n v="1"/>
    <n v="5004101"/>
    <s v="UNIDOCK'S ASSESSORIA E LOGISTICA DE"/>
    <n v="265.93"/>
    <d v="2025-08-15T00:00:00"/>
  </r>
  <r>
    <s v="Sem TR"/>
    <n v="64832802"/>
    <s v="REB"/>
    <n v="10087887"/>
    <n v="173"/>
    <s v="PEÇAS - Defeito de fabric./Alta Amperage"/>
    <s v="FUNCIONAL"/>
    <x v="1"/>
    <n v="87707"/>
    <s v="REFRIGERA BRASIL CLIMATIZACAO E REF"/>
    <s v="BA"/>
    <n v="648"/>
    <s v="Ultra"/>
    <n v="1350"/>
    <s v="W11163349"/>
    <s v="Placas de Controle"/>
    <x v="2"/>
    <n v="1"/>
    <n v="5004101"/>
    <s v="UNIDOCK'S ASSESSORIA E LOGISTICA DE"/>
    <n v="70.03"/>
    <d v="2025-08-15T00:00:00"/>
  </r>
  <r>
    <s v="Sem TR"/>
    <n v="64832804"/>
    <s v="REB"/>
    <n v="10091583"/>
    <n v="177"/>
    <s v="PEÇAS - Defeito de fabric./Ruído"/>
    <s v="FUNCIONAL"/>
    <x v="1"/>
    <n v="74845"/>
    <s v="UNOFRIO ARARAQUARA COMERCIO"/>
    <s v="SP"/>
    <n v="933"/>
    <s v="Top"/>
    <n v="1350"/>
    <s v="W10168510"/>
    <s v="Motores Ventiladores"/>
    <x v="2"/>
    <n v="1"/>
    <n v="5004042"/>
    <s v="BRASIL WEB TRANSPORTES E LOGISTICA"/>
    <n v="60.73"/>
    <d v="2025-08-15T00:00:00"/>
  </r>
  <r>
    <n v="254056481"/>
    <n v="64832806"/>
    <s v="REB"/>
    <n v="10060429"/>
    <n v="176"/>
    <s v="PEÇAS - Defeito de fabric./Interrompido"/>
    <s v="FUNCIONAL"/>
    <x v="1"/>
    <n v="32263"/>
    <s v="A C LIMA PONTES COMERCIO"/>
    <s v="PA"/>
    <n v="641"/>
    <s v="CDP Diamante"/>
    <n v="1350"/>
    <s v="W11435394"/>
    <s v="Placas de Controle"/>
    <x v="2"/>
    <n v="1"/>
    <n v="5002858"/>
    <s v="FAVORITA TRANSPORTES LTDA"/>
    <n v="311.69"/>
    <d v="2025-08-15T00:00:00"/>
  </r>
  <r>
    <n v="254056482"/>
    <n v="64832807"/>
    <s v="REB"/>
    <n v="10060429"/>
    <n v="176"/>
    <s v="PEÇAS - Defeito de fabric./Interrompido"/>
    <s v="FUNCIONAL"/>
    <x v="1"/>
    <n v="32263"/>
    <s v="A C LIMA PONTES COMERCIO"/>
    <s v="PA"/>
    <n v="641"/>
    <s v="CDP Diamante"/>
    <n v="1350"/>
    <s v="W11487407"/>
    <s v="Placas de Controle"/>
    <x v="2"/>
    <n v="1"/>
    <n v="5002858"/>
    <s v="FAVORITA TRANSPORTES LTDA"/>
    <n v="245.3"/>
    <d v="2025-08-15T00:00:00"/>
  </r>
  <r>
    <s v="Sem TR"/>
    <n v="64832814"/>
    <s v="REB"/>
    <n v="10066355"/>
    <n v="173"/>
    <s v="PEÇAS - Defeito de fabric./Alta Amperage"/>
    <s v="FUNCIONAL"/>
    <x v="1"/>
    <n v="87707"/>
    <s v="REFRIGERA BRASIL CLIMATIZACAO E REF"/>
    <s v="BA"/>
    <n v="648"/>
    <s v="Ultra"/>
    <n v="1350"/>
    <s v="W11226018"/>
    <s v="Motores Ventiladores"/>
    <x v="2"/>
    <n v="1"/>
    <n v="5004101"/>
    <s v="UNIDOCK'S ASSESSORIA E LOGISTICA DE"/>
    <n v="66.209999999999994"/>
    <d v="2025-08-15T00:00:00"/>
  </r>
  <r>
    <n v="254056495"/>
    <n v="64832815"/>
    <s v="REB"/>
    <n v="10085093"/>
    <n v="176"/>
    <s v="PEÇAS - Defeito de fabric./Interrompido"/>
    <s v="FUNCIONAL"/>
    <x v="2"/>
    <n v="67602"/>
    <s v="COMERCIAL DE PECAS VASCONCELOS &amp; SA"/>
    <s v="ES"/>
    <n v="934"/>
    <s v="CDP Ouro"/>
    <n v="1350"/>
    <s v="W11160180"/>
    <s v="Placas de Controle"/>
    <x v="2"/>
    <n v="1"/>
    <n v="5004042"/>
    <s v="BRASIL WEB TRANSPORTES E LOGISTICA"/>
    <n v="245.62"/>
    <d v="2025-08-15T00:00:00"/>
  </r>
  <r>
    <n v="254056478"/>
    <n v="64832816"/>
    <s v="REB"/>
    <n v="10058369"/>
    <n v="176"/>
    <s v="PEÇAS - Defeito de fabric./Interrompido"/>
    <s v="FUNCIONAL"/>
    <x v="1"/>
    <n v="30847"/>
    <s v="PARANAGUA FRIO REFRIGERACAO LTDA"/>
    <s v="SP"/>
    <n v="644"/>
    <s v="Plus"/>
    <n v="1350"/>
    <s v="W11415294"/>
    <s v="Placas de Controle"/>
    <x v="2"/>
    <n v="2"/>
    <n v="5004042"/>
    <s v="BRASIL WEB TRANSPORTES E LOGISTICA"/>
    <n v="572.98"/>
    <d v="2025-08-15T00:00:00"/>
  </r>
  <r>
    <s v="Sem TR"/>
    <n v="64832817"/>
    <s v="REB"/>
    <n v="10114056"/>
    <n v="173"/>
    <s v="PEÇAS - Defeito de fabric./Alta Amperage"/>
    <s v="FUNCIONAL"/>
    <x v="1"/>
    <n v="5129"/>
    <s v="CONSERTOS DE ELETRODOMESTICOS TEUT"/>
    <s v="RS"/>
    <n v="934"/>
    <s v="CDP Ouro"/>
    <n v="1350"/>
    <s v="W11082454"/>
    <s v="Termostatos"/>
    <x v="8"/>
    <n v="1"/>
    <n v="5003024"/>
    <s v="RODOBRAS TRANSPORTES RODOVIARIOS LT"/>
    <n v="57"/>
    <d v="2025-08-15T00:00:00"/>
  </r>
  <r>
    <n v="254056473"/>
    <n v="64832820"/>
    <s v="REB"/>
    <n v="10041892"/>
    <n v="173"/>
    <s v="PEÇAS - Defeito de fabric./Alta Amperage"/>
    <s v="FUNCIONAL"/>
    <x v="2"/>
    <n v="27825"/>
    <s v="DANIELA CENSON DE OLIVEIRA ME"/>
    <s v="SP"/>
    <n v="641"/>
    <s v="CDP Diamante"/>
    <n v="1350"/>
    <s v="W11299803"/>
    <s v="Mecanismos"/>
    <x v="4"/>
    <n v="5"/>
    <n v="5004042"/>
    <s v="BRASIL WEB TRANSPORTES E LOGISTICA"/>
    <n v="575.65"/>
    <d v="2025-08-15T00:00:00"/>
  </r>
  <r>
    <s v="Sem TR"/>
    <n v="64832821"/>
    <s v="REB"/>
    <n v="10136412"/>
    <n v="168"/>
    <s v="PEÇAS-Def.Fabric.Empenamento/Abaulamento"/>
    <s v="FUNCIONAL"/>
    <x v="1"/>
    <n v="2374"/>
    <s v="COMETA DISTRIBUIDORA DE PECAS"/>
    <s v="MG"/>
    <n v="350"/>
    <s v="Ats On"/>
    <n v="1350"/>
    <s v="W10882241"/>
    <s v="Agitadores"/>
    <x v="4"/>
    <n v="1"/>
    <n v="5004215"/>
    <s v="BRASIL WEB TRANSPORTES E LOGISTICA"/>
    <n v="54.76"/>
    <d v="2025-08-15T00:00:00"/>
  </r>
  <r>
    <n v="254056459"/>
    <n v="64832822"/>
    <s v="REB"/>
    <n v="9555599"/>
    <n v="173"/>
    <s v="PEÇAS - Defeito de fabric./Alta Amperage"/>
    <s v="FUNCIONAL"/>
    <x v="2"/>
    <n v="18708"/>
    <s v="QUEIROZ E SA LTDA"/>
    <s v="MA"/>
    <n v="933"/>
    <s v="Top"/>
    <n v="1350"/>
    <s v="W10393823"/>
    <s v="Compressores Herméticos"/>
    <x v="0"/>
    <n v="1"/>
    <n v="5004101"/>
    <s v="UNIDOCK'S ASSESSORIA E LOGISTICA DE"/>
    <n v="524.87"/>
    <d v="2025-08-15T00:00:00"/>
  </r>
  <r>
    <n v="254056460"/>
    <n v="64832825"/>
    <s v="REB"/>
    <n v="10136999"/>
    <n v="168"/>
    <s v="PEÇAS-Def.Fabric.Empenamento/Abaulamento"/>
    <s v="FUNCIONAL"/>
    <x v="2"/>
    <n v="19716"/>
    <s v="Refrigeração Reconfrio Ltda."/>
    <s v="SC"/>
    <n v="644"/>
    <s v="Plus"/>
    <n v="1350"/>
    <s v="W10882241"/>
    <s v="Agitadores"/>
    <x v="4"/>
    <n v="1"/>
    <n v="5003024"/>
    <s v="RODOBRAS TRANSPORTES RODOVIARIOS LT"/>
    <n v="46.8"/>
    <d v="2025-08-15T00:00:00"/>
  </r>
  <r>
    <n v="254056497"/>
    <n v="64832828"/>
    <s v="REB"/>
    <n v="10138141"/>
    <n v="173"/>
    <s v="PEÇAS - Defeito de fabric./Alta Amperage"/>
    <s v="FUNCIONAL"/>
    <x v="1"/>
    <n v="70149"/>
    <s v="BR PECAS COMERCIO DE PECAS"/>
    <s v="SP"/>
    <n v="963"/>
    <s v="Ats Distribuidoras"/>
    <n v="1350"/>
    <s v="W11566265"/>
    <s v="Placas de Controle"/>
    <x v="2"/>
    <n v="1"/>
    <n v="5004042"/>
    <s v="BRASIL WEB TRANSPORTES E LOGISTICA"/>
    <n v="229.29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n v="326006286"/>
    <s v="Agitadores"/>
    <x v="4"/>
    <n v="1"/>
    <n v="5004101"/>
    <s v="UNIDOCK'S ASSESSORIA E LOGISTICA DE"/>
    <n v="58.82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n v="326006721"/>
    <s v="Agitadores"/>
    <x v="4"/>
    <n v="1"/>
    <n v="5004101"/>
    <s v="UNIDOCK'S ASSESSORIA E LOGISTICA DE"/>
    <n v="27.46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395585"/>
    <s v="Agitadores"/>
    <x v="4"/>
    <n v="2"/>
    <n v="5004101"/>
    <s v="UNIDOCK'S ASSESSORIA E LOGISTICA DE"/>
    <n v="31.37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467328"/>
    <s v="Válvulas de Água"/>
    <x v="6"/>
    <n v="2"/>
    <n v="5004101"/>
    <s v="UNIDOCK'S ASSESSORIA E LOGISTICA DE"/>
    <n v="139.96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581537"/>
    <s v="Pressostatos"/>
    <x v="8"/>
    <n v="2"/>
    <n v="5004101"/>
    <s v="UNIDOCK'S ASSESSORIA E LOGISTICA DE"/>
    <n v="55.77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606115"/>
    <s v="Polias/Roldanas"/>
    <x v="4"/>
    <n v="10"/>
    <n v="5004101"/>
    <s v="UNIDOCK'S ASSESSORIA E LOGISTICA DE"/>
    <n v="144.99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633124"/>
    <s v="Agitadores"/>
    <x v="4"/>
    <n v="1"/>
    <n v="5004101"/>
    <s v="UNIDOCK'S ASSESSORIA E LOGISTICA DE"/>
    <n v="31.36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696981"/>
    <s v="Filtros"/>
    <x v="6"/>
    <n v="1"/>
    <n v="5004101"/>
    <s v="UNIDOCK'S ASSESSORIA E LOGISTICA DE"/>
    <n v="3.94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714366"/>
    <s v="Válvulas de Água"/>
    <x v="6"/>
    <n v="2"/>
    <n v="5004101"/>
    <s v="UNIDOCK'S ASSESSORIA E LOGISTICA DE"/>
    <n v="113.76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754807"/>
    <s v="Agitadores"/>
    <x v="4"/>
    <n v="1"/>
    <n v="5004101"/>
    <s v="UNIDOCK'S ASSESSORIA E LOGISTICA DE"/>
    <n v="54.9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791633"/>
    <s v="Retentores"/>
    <x v="10"/>
    <n v="15"/>
    <n v="5004101"/>
    <s v="UNIDOCK'S ASSESSORIA E LOGISTICA DE"/>
    <n v="145.18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796892"/>
    <s v="Agitadores"/>
    <x v="4"/>
    <n v="2"/>
    <n v="5004101"/>
    <s v="UNIDOCK'S ASSESSORIA E LOGISTICA DE"/>
    <n v="137.26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849470"/>
    <s v="Bombas"/>
    <x v="2"/>
    <n v="15"/>
    <n v="5004101"/>
    <s v="UNIDOCK'S ASSESSORIA E LOGISTICA DE"/>
    <n v="525.03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0882241"/>
    <s v="Agitadores"/>
    <x v="4"/>
    <n v="2"/>
    <n v="5004101"/>
    <s v="UNIDOCK'S ASSESSORIA E LOGISTICA DE"/>
    <n v="122.98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1486744"/>
    <s v="Rolamentos"/>
    <x v="4"/>
    <n v="90"/>
    <n v="5004101"/>
    <s v="UNIDOCK'S ASSESSORIA E LOGISTICA DE"/>
    <n v="734.44"/>
    <d v="2025-08-15T00:00:00"/>
  </r>
  <r>
    <n v="254055520"/>
    <n v="64832838"/>
    <s v="ROB"/>
    <n v="10146676"/>
    <n v="184"/>
    <s v="PEÇAS - Emissão de Nota Fiscal Errada"/>
    <s v="LOGÍSTICA"/>
    <x v="2"/>
    <n v="91085"/>
    <s v="32.055.447 JOAO PAULO DOS SANTOS"/>
    <s v="SP"/>
    <n v="698"/>
    <s v="CDP Bronze"/>
    <n v="1350"/>
    <s v="W11574388"/>
    <s v="Capacitores"/>
    <x v="2"/>
    <n v="4"/>
    <n v="5004101"/>
    <s v="UNIDOCK'S ASSESSORIA E LOGISTICA DE"/>
    <n v="63.96"/>
    <d v="2025-08-15T00:00:00"/>
  </r>
  <r>
    <n v="254056330"/>
    <n v="64832839"/>
    <s v="REB"/>
    <n v="10131508"/>
    <n v="176"/>
    <s v="PEÇAS - Defeito de fabric./Interrompido"/>
    <s v="FUNCIONAL"/>
    <x v="1"/>
    <n v="3555"/>
    <s v="LESTE SERVICE PCS SERVICOS LTDA LES"/>
    <s v="SP"/>
    <n v="931"/>
    <s v="Ats Off"/>
    <n v="1350"/>
    <s v="W11200635"/>
    <s v="Placas de Controle"/>
    <x v="2"/>
    <n v="1"/>
    <n v="5004042"/>
    <s v="BRASIL WEB TRANSPORTES E LOGISTICA"/>
    <n v="1969.71"/>
    <d v="2025-08-15T00:00:00"/>
  </r>
  <r>
    <n v="254055521"/>
    <n v="64832844"/>
    <s v="ROB"/>
    <n v="10146677"/>
    <n v="184"/>
    <s v="PEÇAS - Emissão de Nota Fiscal Errada"/>
    <s v="LOGÍSTICA"/>
    <x v="2"/>
    <n v="91085"/>
    <s v="32.055.447 JOAO PAULO DOS SANTOS"/>
    <s v="SP"/>
    <n v="698"/>
    <s v="CDP Bronze"/>
    <n v="1350"/>
    <s v="W10779052"/>
    <s v="Mangueiras"/>
    <x v="6"/>
    <n v="10"/>
    <n v="5004101"/>
    <s v="UNIDOCK'S ASSESSORIA E LOGISTICA DE"/>
    <n v="46.3"/>
    <d v="2025-08-15T00:00:00"/>
  </r>
  <r>
    <s v="Sem TR"/>
    <n v="64832855"/>
    <s v="ROB"/>
    <n v="10147007"/>
    <n v="184"/>
    <s v="PEÇAS - Emissão de Nota Fiscal Errada"/>
    <s v="LOGÍSTICA"/>
    <x v="1"/>
    <n v="88389"/>
    <s v="WALTER DOS REIS CPF 406.092.516-00"/>
    <s v="MG"/>
    <n v="932"/>
    <s v="CDP Prata"/>
    <n v="1350"/>
    <s v="W10347199"/>
    <s v="Gavetas"/>
    <x v="1"/>
    <n v="3"/>
    <n v="5004101"/>
    <s v="UNIDOCK'S ASSESSORIA E LOGISTICA DE"/>
    <n v="140.19"/>
    <d v="2025-08-15T00:00:00"/>
  </r>
  <r>
    <s v="Sem TR"/>
    <n v="64832859"/>
    <s v="REB"/>
    <n v="9687585"/>
    <n v="178"/>
    <s v="PEÇAS -Defeito de fabric./Sem Compressão"/>
    <s v="FUNCIONAL"/>
    <x v="1"/>
    <n v="61675"/>
    <s v="BEAGA REFRIGERACAO LTDA"/>
    <s v="MG"/>
    <n v="643"/>
    <s v="Elite"/>
    <n v="1350"/>
    <s v="W11647660"/>
    <s v="Compressores Herméticos"/>
    <x v="0"/>
    <n v="1"/>
    <n v="5004215"/>
    <s v="BRASIL WEB TRANSPORTES E LOGISTICA"/>
    <n v="290.38"/>
    <d v="2025-08-15T00:00:00"/>
  </r>
  <r>
    <n v="254056463"/>
    <n v="64832860"/>
    <s v="REB"/>
    <n v="10162711"/>
    <n v="173"/>
    <s v="PEÇAS - Defeito de fabric./Alta Amperage"/>
    <s v="FUNCIONAL"/>
    <x v="2"/>
    <n v="21594"/>
    <s v="GOLD SERVICE COMERCIO"/>
    <s v="SP"/>
    <n v="931"/>
    <s v="Ats Off"/>
    <n v="1350"/>
    <s v="W11499409"/>
    <s v="Bombas"/>
    <x v="2"/>
    <n v="1"/>
    <n v="5004042"/>
    <s v="BRASIL WEB TRANSPORTES E LOGISTICA"/>
    <n v="327.29000000000002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n v="326051022"/>
    <s v="Capas"/>
    <x v="3"/>
    <n v="5"/>
    <n v="5004042"/>
    <s v="BRASIL WEB TRANSPORTES E LOGISTICA"/>
    <n v="276.95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n v="326061172"/>
    <s v="Placas de Controle"/>
    <x v="2"/>
    <n v="1"/>
    <n v="5004042"/>
    <s v="BRASIL WEB TRANSPORTES E LOGISTICA"/>
    <n v="425.25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n v="326067684"/>
    <s v="Dobradiças"/>
    <x v="7"/>
    <n v="12"/>
    <n v="5004042"/>
    <s v="BRASIL WEB TRANSPORTES E LOGISTICA"/>
    <n v="160.32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417020"/>
    <s v="Portas"/>
    <x v="3"/>
    <n v="1"/>
    <n v="5004042"/>
    <s v="BRASIL WEB TRANSPORTES E LOGISTICA"/>
    <n v="375.14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616687"/>
    <s v="Capas"/>
    <x v="3"/>
    <n v="5"/>
    <n v="5004042"/>
    <s v="BRASIL WEB TRANSPORTES E LOGISTICA"/>
    <n v="166.17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665444"/>
    <s v="Bombas"/>
    <x v="2"/>
    <n v="10"/>
    <n v="5004042"/>
    <s v="BRASIL WEB TRANSPORTES E LOGISTICA"/>
    <n v="1964.8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666466"/>
    <s v="Acessórios"/>
    <x v="5"/>
    <n v="1"/>
    <n v="5004042"/>
    <s v="BRASIL WEB TRANSPORTES E LOGISTICA"/>
    <n v="310.91000000000003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711361"/>
    <s v="Placas de Interface"/>
    <x v="2"/>
    <n v="1"/>
    <n v="5004042"/>
    <s v="BRASIL WEB TRANSPORTES E LOGISTICA"/>
    <n v="222.84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721910"/>
    <s v="Pressostatos"/>
    <x v="8"/>
    <n v="1"/>
    <n v="5004042"/>
    <s v="BRASIL WEB TRANSPORTES E LOGISTICA"/>
    <n v="26.37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754807"/>
    <s v="Agitadores"/>
    <x v="4"/>
    <n v="1"/>
    <n v="5004042"/>
    <s v="BRASIL WEB TRANSPORTES E LOGISTICA"/>
    <n v="51.32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803356"/>
    <s v="Filtros"/>
    <x v="6"/>
    <n v="1"/>
    <n v="5004042"/>
    <s v="BRASIL WEB TRANSPORTES E LOGISTICA"/>
    <n v="115.48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807957"/>
    <s v="Conjunto Varetas"/>
    <x v="11"/>
    <n v="2"/>
    <n v="5004042"/>
    <s v="BRASIL WEB TRANSPORTES E LOGISTICA"/>
    <n v="183.31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0833413"/>
    <s v="Pressostatos"/>
    <x v="8"/>
    <n v="1"/>
    <n v="5004042"/>
    <s v="BRASIL WEB TRANSPORTES E LOGISTICA"/>
    <n v="64.69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027868"/>
    <s v="Dobradiças"/>
    <x v="7"/>
    <n v="4"/>
    <n v="5004042"/>
    <s v="BRASIL WEB TRANSPORTES E LOGISTICA"/>
    <n v="89.08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342952"/>
    <s v="Gaxetas"/>
    <x v="10"/>
    <n v="1"/>
    <n v="5004042"/>
    <s v="BRASIL WEB TRANSPORTES E LOGISTICA"/>
    <n v="463.81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392003"/>
    <s v="Vidros"/>
    <x v="3"/>
    <n v="1"/>
    <n v="5004042"/>
    <s v="BRASIL WEB TRANSPORTES E LOGISTICA"/>
    <n v="71.14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435390"/>
    <s v="Placas de Controle"/>
    <x v="2"/>
    <n v="2"/>
    <n v="5004042"/>
    <s v="BRASIL WEB TRANSPORTES E LOGISTICA"/>
    <n v="593.95000000000005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509806"/>
    <s v="Conexões Hidráulicas"/>
    <x v="7"/>
    <n v="20"/>
    <n v="5004042"/>
    <s v="BRASIL WEB TRANSPORTES E LOGISTICA"/>
    <n v="314.39999999999998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516477"/>
    <s v="Compressores Herméticos"/>
    <x v="0"/>
    <n v="1"/>
    <n v="5004042"/>
    <s v="BRASIL WEB TRANSPORTES E LOGISTICA"/>
    <n v="453.06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621541"/>
    <s v="Registros"/>
    <x v="9"/>
    <n v="20"/>
    <n v="5004042"/>
    <s v="BRASIL WEB TRANSPORTES E LOGISTICA"/>
    <n v="170.36"/>
    <d v="2025-08-15T00:00:00"/>
  </r>
  <r>
    <n v="254056463"/>
    <n v="64832861"/>
    <s v="REB"/>
    <n v="10159396"/>
    <n v="176"/>
    <s v="PEÇAS - Defeito de fabric./Interrompido"/>
    <s v="FUNCIONAL"/>
    <x v="2"/>
    <n v="21594"/>
    <s v="GOLD SERVICE COMERCIO"/>
    <s v="SP"/>
    <n v="931"/>
    <s v="Ats Off"/>
    <n v="1350"/>
    <s v="W11622875"/>
    <s v="Conexões Hidráulicas"/>
    <x v="7"/>
    <n v="5"/>
    <n v="5004042"/>
    <s v="BRASIL WEB TRANSPORTES E LOGISTICA"/>
    <n v="202.89"/>
    <d v="2025-08-15T00:00:00"/>
  </r>
  <r>
    <n v="254056464"/>
    <n v="64832862"/>
    <s v="REB"/>
    <n v="10128641"/>
    <n v="176"/>
    <s v="PEÇAS - Defeito de fabric./Interrompido"/>
    <s v="FUNCIONAL"/>
    <x v="1"/>
    <n v="21594"/>
    <s v="GOLD SERVICE COMERCIO"/>
    <s v="SP"/>
    <n v="931"/>
    <s v="Ats Off"/>
    <n v="1350"/>
    <s v="W11266866"/>
    <s v="Sensores"/>
    <x v="8"/>
    <n v="1"/>
    <n v="5004042"/>
    <s v="BRASIL WEB TRANSPORTES E LOGISTICA"/>
    <n v="46"/>
    <d v="2025-08-15T00:00:00"/>
  </r>
  <r>
    <n v="254056492"/>
    <n v="64832863"/>
    <s v="REB"/>
    <n v="10039719"/>
    <n v="173"/>
    <s v="PEÇAS - Defeito de fabric./Alta Amperage"/>
    <s v="FUNCIONAL"/>
    <x v="1"/>
    <n v="55093"/>
    <s v="NAUTICA REFRIGERACAO E"/>
    <s v="SP"/>
    <n v="648"/>
    <s v="Ultra"/>
    <n v="1350"/>
    <n v="326013733"/>
    <s v="Termostatos"/>
    <x v="8"/>
    <n v="1"/>
    <n v="5004042"/>
    <s v="BRASIL WEB TRANSPORTES E LOGISTICA"/>
    <n v="33.950000000000003"/>
    <d v="2025-08-15T00:00:00"/>
  </r>
  <r>
    <n v="254056466"/>
    <n v="64832869"/>
    <s v="REB"/>
    <n v="10162596"/>
    <n v="176"/>
    <s v="PEÇAS - Defeito de fabric./Interrompido"/>
    <s v="FUNCIONAL"/>
    <x v="1"/>
    <n v="21594"/>
    <s v="GOLD SERVICE COMERCIO"/>
    <s v="SP"/>
    <n v="931"/>
    <s v="Ats Off"/>
    <n v="1350"/>
    <s v="W11199342"/>
    <s v="Filtros"/>
    <x v="6"/>
    <n v="3"/>
    <n v="5004042"/>
    <s v="BRASIL WEB TRANSPORTES E LOGISTICA"/>
    <n v="192.14"/>
    <d v="2025-08-15T00:00:00"/>
  </r>
  <r>
    <n v="254056474"/>
    <n v="64832870"/>
    <s v="REB"/>
    <n v="10175483"/>
    <n v="173"/>
    <s v="PEÇAS - Defeito de fabric./Alta Amperage"/>
    <s v="FUNCIONAL"/>
    <x v="1"/>
    <n v="28162"/>
    <s v="DISTRIBUIDORA JUNDIAI DE PECAS PARA"/>
    <s v="SP"/>
    <n v="641"/>
    <s v="CDP Diamante"/>
    <n v="1350"/>
    <s v="W11300676"/>
    <s v="Mecanismos"/>
    <x v="4"/>
    <n v="2"/>
    <n v="5004042"/>
    <s v="BRASIL WEB TRANSPORTES E LOGISTICA"/>
    <n v="254.88"/>
    <d v="2025-08-15T00:00:00"/>
  </r>
  <r>
    <n v="254056469"/>
    <n v="64832872"/>
    <s v="REB"/>
    <n v="9321860"/>
    <n v="173"/>
    <s v="PEÇAS - Defeito de fabric./Alta Amperage"/>
    <s v="FUNCIONAL"/>
    <x v="2"/>
    <n v="27253"/>
    <s v="S.M. QUARESMA"/>
    <s v="PI"/>
    <n v="644"/>
    <s v="Plus"/>
    <n v="1350"/>
    <s v="W11647662"/>
    <s v="Compressores Herméticos"/>
    <x v="0"/>
    <n v="2"/>
    <n v="5004101"/>
    <s v="UNIDOCK'S ASSESSORIA E LOGISTICA DE"/>
    <n v="623.86"/>
    <d v="2025-08-15T00:00:00"/>
  </r>
  <r>
    <n v="254056482"/>
    <n v="64832889"/>
    <s v="REB"/>
    <n v="10148362"/>
    <n v="176"/>
    <s v="PEÇAS - Defeito de fabric./Interrompido"/>
    <s v="FUNCIONAL"/>
    <x v="1"/>
    <n v="32263"/>
    <s v="A C LIMA PONTES COMERCIO"/>
    <s v="PA"/>
    <n v="641"/>
    <s v="CDP Diamante"/>
    <n v="1350"/>
    <s v="W11487577"/>
    <s v="Pressostatos"/>
    <x v="8"/>
    <n v="1"/>
    <n v="5002858"/>
    <s v="FAVORITA TRANSPORTES LTDA"/>
    <n v="62.57"/>
    <d v="2025-08-15T00:00:00"/>
  </r>
  <r>
    <n v="254056461"/>
    <n v="64832890"/>
    <s v="REB"/>
    <n v="10164986"/>
    <n v="176"/>
    <s v="PEÇAS - Defeito de fabric./Interrompido"/>
    <s v="FUNCIONAL"/>
    <x v="1"/>
    <n v="21594"/>
    <s v="GOLD SERVICE COMERCIO"/>
    <s v="SP"/>
    <n v="931"/>
    <s v="Ats Off"/>
    <n v="1350"/>
    <s v="W10231316"/>
    <s v="Válvulas de Água"/>
    <x v="6"/>
    <n v="1"/>
    <n v="5004042"/>
    <s v="BRASIL WEB TRANSPORTES E LOGISTICA"/>
    <n v="35.49"/>
    <d v="2025-08-15T00:00:00"/>
  </r>
  <r>
    <n v="254056497"/>
    <n v="64832891"/>
    <s v="REB"/>
    <n v="10156580"/>
    <n v="176"/>
    <s v="PEÇAS - Defeito de fabric./Interrompido"/>
    <s v="FUNCIONAL"/>
    <x v="1"/>
    <n v="70149"/>
    <s v="BR PECAS COMERCIO DE PECAS"/>
    <s v="SP"/>
    <n v="963"/>
    <s v="Ats Distribuidoras"/>
    <n v="1350"/>
    <s v="W10528945"/>
    <s v="Interruptores"/>
    <x v="8"/>
    <n v="1"/>
    <n v="5004042"/>
    <s v="BRASIL WEB TRANSPORTES E LOGISTICA"/>
    <n v="34.159999999999997"/>
    <d v="2025-08-15T00:00:00"/>
  </r>
  <r>
    <n v="254056463"/>
    <n v="64832894"/>
    <s v="REB"/>
    <n v="10154314"/>
    <n v="176"/>
    <s v="PEÇAS - Defeito de fabric./Interrompido"/>
    <s v="FUNCIONAL"/>
    <x v="2"/>
    <n v="21594"/>
    <s v="GOLD SERVICE COMERCIO"/>
    <s v="SP"/>
    <n v="931"/>
    <s v="Ats Off"/>
    <n v="1350"/>
    <s v="W10398340"/>
    <s v="Sensores"/>
    <x v="8"/>
    <n v="1"/>
    <n v="5004042"/>
    <s v="BRASIL WEB TRANSPORTES E LOGISTICA"/>
    <n v="246.07"/>
    <d v="2025-08-15T00:00:00"/>
  </r>
  <r>
    <s v="Sem TR"/>
    <n v="64832914"/>
    <s v="REB"/>
    <n v="10165966"/>
    <n v="173"/>
    <s v="PEÇAS - Defeito de fabric./Alta Amperage"/>
    <s v="FUNCIONAL"/>
    <x v="1"/>
    <n v="21330"/>
    <s v="REFRIEL COM DE PEÇAS REFRIG LTDA RE"/>
    <s v="PR"/>
    <n v="643"/>
    <s v="Elite"/>
    <n v="1350"/>
    <s v="W10882241"/>
    <s v="Agitadores"/>
    <x v="4"/>
    <n v="1"/>
    <n v="5003024"/>
    <s v="RODOBRAS TRANSPORTES RODOVIARIOS LT"/>
    <n v="42.21"/>
    <d v="2025-08-15T00:00:00"/>
  </r>
  <r>
    <n v="254056500"/>
    <n v="64832915"/>
    <s v="REB"/>
    <n v="10139350"/>
    <n v="173"/>
    <s v="PEÇAS - Defeito de fabric./Alta Amperage"/>
    <s v="FUNCIONAL"/>
    <x v="1"/>
    <n v="75751"/>
    <s v="BORCHERT &amp; BAUMGARTNER LTDA"/>
    <s v="PR"/>
    <n v="931"/>
    <s v="Ats Off"/>
    <n v="1350"/>
    <s v="W11300816"/>
    <s v="Mecanismos"/>
    <x v="4"/>
    <n v="6"/>
    <n v="5003024"/>
    <s v="RODOBRAS TRANSPORTES RODOVIARIOS LT"/>
    <n v="634.38"/>
    <d v="2025-08-15T00:00:00"/>
  </r>
  <r>
    <n v="254056480"/>
    <n v="64832916"/>
    <s v="REB"/>
    <n v="10151917"/>
    <n v="176"/>
    <s v="PEÇAS - Defeito de fabric./Interrompido"/>
    <s v="FUNCIONAL"/>
    <x v="1"/>
    <n v="31587"/>
    <s v="COPEGEL REFRIGERACAO LTDA"/>
    <s v="SP"/>
    <n v="643"/>
    <s v="Elite"/>
    <n v="1350"/>
    <n v="326011067"/>
    <s v="Resistências"/>
    <x v="2"/>
    <n v="1"/>
    <n v="5004042"/>
    <s v="BRASIL WEB TRANSPORTES E LOGISTICA"/>
    <n v="200.99"/>
    <d v="2025-08-15T00:00:00"/>
  </r>
  <r>
    <n v="254056509"/>
    <n v="64832917"/>
    <s v="REB"/>
    <n v="10167702"/>
    <n v="173"/>
    <s v="PEÇAS - Defeito de fabric./Alta Amperage"/>
    <s v="FUNCIONAL"/>
    <x v="1"/>
    <n v="80833"/>
    <s v="REFRISELL COMERCIO DE EQUIPAMENTOS"/>
    <s v="PR"/>
    <n v="644"/>
    <s v="Plus"/>
    <n v="1350"/>
    <s v="W10463578"/>
    <s v="Placas de Interface"/>
    <x v="2"/>
    <n v="1"/>
    <n v="5003024"/>
    <s v="RODOBRAS TRANSPORTES RODOVIARIOS LT"/>
    <n v="269.14999999999998"/>
    <d v="2025-08-15T00:00:00"/>
  </r>
  <r>
    <n v="254056509"/>
    <n v="64832917"/>
    <s v="REB"/>
    <n v="10167702"/>
    <n v="173"/>
    <s v="PEÇAS - Defeito de fabric./Alta Amperage"/>
    <s v="FUNCIONAL"/>
    <x v="1"/>
    <n v="80833"/>
    <s v="REFRISELL COMERCIO DE EQUIPAMENTOS"/>
    <s v="PR"/>
    <n v="644"/>
    <s v="Plus"/>
    <n v="1350"/>
    <s v="W10640425"/>
    <s v="Placas de Interface"/>
    <x v="2"/>
    <n v="1"/>
    <n v="5003024"/>
    <s v="RODOBRAS TRANSPORTES RODOVIARIOS LT"/>
    <n v="318.99"/>
    <d v="2025-08-15T00:00:00"/>
  </r>
  <r>
    <n v="254056509"/>
    <n v="64832917"/>
    <s v="REB"/>
    <n v="10167702"/>
    <n v="173"/>
    <s v="PEÇAS - Defeito de fabric./Alta Amperage"/>
    <s v="FUNCIONAL"/>
    <x v="1"/>
    <n v="80833"/>
    <s v="REFRISELL COMERCIO DE EQUIPAMENTOS"/>
    <s v="PR"/>
    <n v="644"/>
    <s v="Plus"/>
    <n v="1350"/>
    <s v="W10827972"/>
    <s v="Placas de Controle"/>
    <x v="2"/>
    <n v="1"/>
    <n v="5003024"/>
    <s v="RODOBRAS TRANSPORTES RODOVIARIOS LT"/>
    <n v="433.91"/>
    <d v="2025-08-15T00:00:00"/>
  </r>
  <r>
    <n v="254056509"/>
    <n v="64832917"/>
    <s v="REB"/>
    <n v="10167702"/>
    <n v="173"/>
    <s v="PEÇAS - Defeito de fabric./Alta Amperage"/>
    <s v="FUNCIONAL"/>
    <x v="1"/>
    <n v="80833"/>
    <s v="REFRISELL COMERCIO DE EQUIPAMENTOS"/>
    <s v="PR"/>
    <n v="644"/>
    <s v="Plus"/>
    <n v="1350"/>
    <s v="W10899324"/>
    <s v="Placas de Controle"/>
    <x v="2"/>
    <n v="1"/>
    <n v="5003024"/>
    <s v="RODOBRAS TRANSPORTES RODOVIARIOS LT"/>
    <n v="299.33999999999997"/>
    <d v="2025-08-15T00:00:00"/>
  </r>
  <r>
    <n v="254056499"/>
    <n v="64832919"/>
    <s v="REB"/>
    <n v="10139350"/>
    <n v="173"/>
    <s v="PEÇAS - Defeito de fabric./Alta Amperage"/>
    <s v="FUNCIONAL"/>
    <x v="1"/>
    <n v="75751"/>
    <s v="BORCHERT &amp; BAUMGARTNER LTDA"/>
    <s v="PR"/>
    <n v="931"/>
    <s v="Ats Off"/>
    <n v="1350"/>
    <s v="W11299803"/>
    <s v="Mecanismos"/>
    <x v="4"/>
    <n v="9"/>
    <n v="5003024"/>
    <s v="RODOBRAS TRANSPORTES RODOVIARIOS LT"/>
    <n v="819.9"/>
    <d v="2025-08-15T00:00:00"/>
  </r>
  <r>
    <n v="254056326"/>
    <n v="64832920"/>
    <s v="REB"/>
    <n v="10165495"/>
    <n v="168"/>
    <s v="PEÇAS-Def.Fabric.Empenamento/Abaulamento"/>
    <s v="FUNCIONAL"/>
    <x v="2"/>
    <n v="1334"/>
    <s v="FLORIANO REFRIGERACAO LTDA"/>
    <s v="PI"/>
    <n v="350"/>
    <s v="Ats On"/>
    <n v="1350"/>
    <s v="W10388134"/>
    <s v="Pés"/>
    <x v="3"/>
    <n v="1"/>
    <n v="5004101"/>
    <s v="UNIDOCK'S ASSESSORIA E LOGISTICA DE"/>
    <n v="4.4000000000000004"/>
    <d v="2025-08-15T00:00:00"/>
  </r>
  <r>
    <n v="254056326"/>
    <n v="64832920"/>
    <s v="REB"/>
    <n v="10165495"/>
    <n v="168"/>
    <s v="PEÇAS-Def.Fabric.Empenamento/Abaulamento"/>
    <s v="FUNCIONAL"/>
    <x v="2"/>
    <n v="1334"/>
    <s v="FLORIANO REFRIGERACAO LTDA"/>
    <s v="PI"/>
    <n v="350"/>
    <s v="Ats On"/>
    <n v="1350"/>
    <s v="W10764578"/>
    <s v="Conjunto Varetas"/>
    <x v="11"/>
    <n v="1"/>
    <n v="5004101"/>
    <s v="UNIDOCK'S ASSESSORIA E LOGISTICA DE"/>
    <n v="46.05"/>
    <d v="2025-08-15T00:00:00"/>
  </r>
  <r>
    <n v="254056326"/>
    <n v="64832920"/>
    <s v="REB"/>
    <n v="10165495"/>
    <n v="168"/>
    <s v="PEÇAS-Def.Fabric.Empenamento/Abaulamento"/>
    <s v="FUNCIONAL"/>
    <x v="2"/>
    <n v="1334"/>
    <s v="FLORIANO REFRIGERACAO LTDA"/>
    <s v="PI"/>
    <n v="350"/>
    <s v="Ats On"/>
    <n v="1350"/>
    <s v="W11105300"/>
    <s v="Molduras"/>
    <x v="3"/>
    <n v="1"/>
    <n v="5004101"/>
    <s v="UNIDOCK'S ASSESSORIA E LOGISTICA DE"/>
    <n v="8.5299999999999994"/>
    <d v="2025-08-15T00:00:00"/>
  </r>
  <r>
    <s v="Sem TR"/>
    <n v="64832925"/>
    <s v="REB"/>
    <n v="10175602"/>
    <n v="167"/>
    <s v="PEÇAS - Avaria - Quebrada/Depósito"/>
    <s v="LOGÍSTICA"/>
    <x v="1"/>
    <n v="3555"/>
    <s v="LESTE SERVICE PCS SERVICOS LTDA LES"/>
    <s v="SP"/>
    <n v="931"/>
    <s v="Ats Off"/>
    <n v="1350"/>
    <s v="W11577740"/>
    <s v="Portas"/>
    <x v="3"/>
    <n v="1"/>
    <n v="5004042"/>
    <s v="BRASIL WEB TRANSPORTES E LOGISTICA"/>
    <n v="177.39"/>
    <d v="2025-08-19T00:00:00"/>
  </r>
  <r>
    <n v="254056474"/>
    <n v="64832934"/>
    <s v="REB"/>
    <n v="10137894"/>
    <n v="173"/>
    <s v="PEÇAS - Defeito de fabric./Alta Amperage"/>
    <s v="FUNCIONAL"/>
    <x v="1"/>
    <n v="28162"/>
    <s v="DISTRIBUIDORA JUNDIAI DE PECAS PARA"/>
    <s v="SP"/>
    <n v="641"/>
    <s v="CDP Diamante"/>
    <n v="1350"/>
    <s v="W10310999"/>
    <s v="Motores Ventiladores"/>
    <x v="2"/>
    <n v="1"/>
    <n v="5004042"/>
    <s v="BRASIL WEB TRANSPORTES E LOGISTICA"/>
    <n v="58.8"/>
    <d v="2025-08-15T00:00:00"/>
  </r>
  <r>
    <n v="254056329"/>
    <n v="64832935"/>
    <s v="REB"/>
    <n v="10087984"/>
    <n v="176"/>
    <s v="PEÇAS - Defeito de fabric./Interrompido"/>
    <s v="FUNCIONAL"/>
    <x v="1"/>
    <n v="3506"/>
    <s v="TECBRAS ASSISTENCIA TECNICA"/>
    <s v="SP"/>
    <n v="931"/>
    <s v="Ats Off"/>
    <n v="1350"/>
    <s v="W11240401"/>
    <s v="Placas de Controle"/>
    <x v="2"/>
    <n v="1"/>
    <n v="5004042"/>
    <s v="BRASIL WEB TRANSPORTES E LOGISTICA"/>
    <n v="136.61000000000001"/>
    <d v="2025-08-15T00:00:00"/>
  </r>
  <r>
    <n v="254059899"/>
    <n v="64832936"/>
    <s v="REB"/>
    <n v="10066836"/>
    <n v="173"/>
    <s v="PEÇAS - Defeito de fabric./Alta Amperage"/>
    <s v="FUNCIONAL"/>
    <x v="2"/>
    <n v="13757"/>
    <s v="FRIGELAR COMÉRCIO E INDÚSTRIA LTDA"/>
    <s v="SP"/>
    <n v="713"/>
    <s v="Key Account"/>
    <n v="1350"/>
    <s v="W11299803"/>
    <s v="Mecanismos"/>
    <x v="4"/>
    <n v="2"/>
    <n v="5004042"/>
    <s v="BRASIL WEB TRANSPORTES E LOGISTICA"/>
    <n v="221.8"/>
    <d v="2025-08-15T00:00:00"/>
  </r>
  <r>
    <n v="254056329"/>
    <n v="64832940"/>
    <s v="REB"/>
    <n v="10178398"/>
    <n v="176"/>
    <s v="PEÇAS - Defeito de fabric./Interrompido"/>
    <s v="FUNCIONAL"/>
    <x v="1"/>
    <n v="3506"/>
    <s v="TECBRAS ASSISTENCIA TECNICA"/>
    <s v="SP"/>
    <n v="931"/>
    <s v="Ats Off"/>
    <n v="1350"/>
    <n v="326072657"/>
    <s v="Peças Transmissão/Embreagens"/>
    <x v="4"/>
    <n v="1"/>
    <n v="5004042"/>
    <s v="BRASIL WEB TRANSPORTES E LOGISTICA"/>
    <n v="100.83"/>
    <d v="2025-08-15T00:00:00"/>
  </r>
  <r>
    <n v="254056329"/>
    <n v="64832941"/>
    <s v="REB"/>
    <n v="10159305"/>
    <n v="176"/>
    <s v="PEÇAS - Defeito de fabric./Interrompido"/>
    <s v="FUNCIONAL"/>
    <x v="1"/>
    <n v="3506"/>
    <s v="TECBRAS ASSISTENCIA TECNICA"/>
    <s v="SP"/>
    <n v="931"/>
    <s v="Ats Off"/>
    <n v="1350"/>
    <s v="W10905603"/>
    <s v="Sensores"/>
    <x v="8"/>
    <n v="1"/>
    <n v="5004042"/>
    <s v="BRASIL WEB TRANSPORTES E LOGISTICA"/>
    <n v="29.01"/>
    <d v="2025-08-15T00:00:00"/>
  </r>
  <r>
    <n v="254056469"/>
    <n v="64832944"/>
    <s v="REB"/>
    <n v="8589407"/>
    <n v="173"/>
    <s v="PEÇAS - Defeito de fabric./Alta Amperage"/>
    <s v="FUNCIONAL"/>
    <x v="2"/>
    <n v="27253"/>
    <s v="S.M. QUARESMA"/>
    <s v="PI"/>
    <n v="644"/>
    <s v="Plus"/>
    <n v="1350"/>
    <s v="W10799397"/>
    <s v="Compressores Herméticos"/>
    <x v="0"/>
    <n v="3"/>
    <n v="5004101"/>
    <s v="UNIDOCK'S ASSESSORIA E LOGISTICA DE"/>
    <n v="861.97"/>
    <d v="2025-08-15T00:00:00"/>
  </r>
  <r>
    <s v="Sem TR"/>
    <n v="64832946"/>
    <s v="REB"/>
    <n v="10143582"/>
    <n v="167"/>
    <s v="PEÇAS - Avaria - Quebrada/Depósito"/>
    <s v="LOGÍSTICA"/>
    <x v="1"/>
    <n v="54465"/>
    <s v="LCB COMERCIO E SERVICOS"/>
    <s v="SP"/>
    <n v="644"/>
    <s v="Plus"/>
    <n v="1350"/>
    <s v="W10754676"/>
    <s v="Suportes"/>
    <x v="3"/>
    <n v="4"/>
    <n v="5004042"/>
    <s v="BRASIL WEB TRANSPORTES E LOGISTICA"/>
    <n v="180.14"/>
    <d v="2025-08-15T00:00:00"/>
  </r>
  <r>
    <s v="Sem TR"/>
    <n v="64832946"/>
    <s v="REB"/>
    <n v="10143582"/>
    <n v="167"/>
    <s v="PEÇAS - Avaria - Quebrada/Depósito"/>
    <s v="LOGÍSTICA"/>
    <x v="1"/>
    <n v="54465"/>
    <s v="LCB COMERCIO E SERVICOS"/>
    <s v="SP"/>
    <n v="644"/>
    <s v="Plus"/>
    <n v="1350"/>
    <s v="W10624070"/>
    <s v="Gavetas"/>
    <x v="1"/>
    <n v="1"/>
    <n v="5004042"/>
    <s v="BRASIL WEB TRANSPORTES E LOGISTICA"/>
    <n v="109.72"/>
    <d v="2025-08-15T00:00:00"/>
  </r>
  <r>
    <n v="254056465"/>
    <n v="64832949"/>
    <s v="REB"/>
    <n v="10063487"/>
    <n v="173"/>
    <s v="PEÇAS - Defeito de fabric./Alta Amperage"/>
    <s v="FUNCIONAL"/>
    <x v="1"/>
    <n v="21594"/>
    <s v="GOLD SERVICE COMERCIO"/>
    <s v="SP"/>
    <n v="931"/>
    <s v="Ats Off"/>
    <n v="1350"/>
    <s v="W11647660"/>
    <s v="Compressores Herméticos"/>
    <x v="0"/>
    <n v="1"/>
    <n v="5004042"/>
    <s v="BRASIL WEB TRANSPORTES E LOGISTICA"/>
    <n v="331.35"/>
    <d v="2025-08-15T00:00:00"/>
  </r>
  <r>
    <n v="254056487"/>
    <n v="64832950"/>
    <s v="REB"/>
    <n v="9634272"/>
    <n v="173"/>
    <s v="PEÇAS - Defeito de fabric./Alta Amperage"/>
    <s v="FUNCIONAL"/>
    <x v="1"/>
    <n v="48180"/>
    <s v="R.N.A. BITTENCOURT"/>
    <s v="PA"/>
    <n v="931"/>
    <s v="Ats Off"/>
    <n v="1350"/>
    <s v="W11199201"/>
    <s v="Placas de Controle"/>
    <x v="2"/>
    <n v="4"/>
    <n v="5002858"/>
    <s v="FAVORITA TRANSPORTES LTDA"/>
    <n v="892.65"/>
    <d v="2025-08-15T00:00:00"/>
  </r>
  <r>
    <n v="254056461"/>
    <n v="64832954"/>
    <s v="REB"/>
    <n v="10183230"/>
    <n v="176"/>
    <s v="PEÇAS - Defeito de fabric./Interrompido"/>
    <s v="FUNCIONAL"/>
    <x v="1"/>
    <n v="21594"/>
    <s v="GOLD SERVICE COMERCIO"/>
    <s v="SP"/>
    <n v="931"/>
    <s v="Ats Off"/>
    <n v="1350"/>
    <s v="W11354757"/>
    <s v="Sensores"/>
    <x v="8"/>
    <n v="1"/>
    <n v="5004042"/>
    <s v="BRASIL WEB TRANSPORTES E LOGISTICA"/>
    <n v="23.72"/>
    <d v="2025-08-15T00:00:00"/>
  </r>
  <r>
    <n v="254056490"/>
    <n v="64832955"/>
    <s v="REB"/>
    <n v="9741225"/>
    <n v="173"/>
    <s v="PEÇAS - Defeito de fabric./Alta Amperage"/>
    <s v="FUNCIONAL"/>
    <x v="1"/>
    <n v="49243"/>
    <s v="IVANILSON INACIO DA SILVA - ME"/>
    <s v="MS"/>
    <n v="643"/>
    <s v="Elite"/>
    <n v="1350"/>
    <s v="W10393822"/>
    <s v="Compressores Herméticos"/>
    <x v="0"/>
    <n v="2"/>
    <n v="5002573"/>
    <s v="CARVALIMA TRANSPORTES LTDA"/>
    <n v="938.48"/>
    <d v="2025-08-15T00:00:00"/>
  </r>
  <r>
    <n v="254056491"/>
    <n v="64832956"/>
    <s v="REB"/>
    <n v="9741225"/>
    <n v="178"/>
    <s v="PEÇAS -Defeito de fabric./Sem Compressão"/>
    <s v="FUNCIONAL"/>
    <x v="1"/>
    <n v="49243"/>
    <s v="IVANILSON INACIO DA SILVA - ME"/>
    <s v="MS"/>
    <n v="643"/>
    <s v="Elite"/>
    <n v="1350"/>
    <s v="W10393822"/>
    <s v="Compressores Herméticos"/>
    <x v="0"/>
    <n v="1"/>
    <n v="5002573"/>
    <s v="CARVALIMA TRANSPORTES LTDA"/>
    <n v="469.22"/>
    <d v="2025-08-15T00:00:00"/>
  </r>
  <r>
    <n v="254056488"/>
    <n v="64832957"/>
    <s v="REB"/>
    <n v="9634272"/>
    <n v="173"/>
    <s v="PEÇAS - Defeito de fabric./Alta Amperage"/>
    <s v="FUNCIONAL"/>
    <x v="1"/>
    <n v="48180"/>
    <s v="R.N.A. BITTENCOURT"/>
    <s v="PA"/>
    <n v="931"/>
    <s v="Ats Off"/>
    <n v="1350"/>
    <s v="W11396188"/>
    <s v="Placas de Interface"/>
    <x v="2"/>
    <n v="11"/>
    <n v="5002858"/>
    <s v="FAVORITA TRANSPORTES LTDA"/>
    <n v="793.78"/>
    <d v="2025-08-15T00:00:00"/>
  </r>
  <r>
    <n v="254056490"/>
    <n v="64832959"/>
    <s v="REB"/>
    <n v="9685002"/>
    <n v="178"/>
    <s v="PEÇAS -Defeito de fabric./Sem Compressão"/>
    <s v="FUNCIONAL"/>
    <x v="1"/>
    <n v="49243"/>
    <s v="IVANILSON INACIO DA SILVA - ME"/>
    <s v="MS"/>
    <n v="643"/>
    <s v="Elite"/>
    <n v="1350"/>
    <s v="W10393823"/>
    <s v="Compressores Herméticos"/>
    <x v="0"/>
    <n v="1"/>
    <n v="5002573"/>
    <s v="CARVALIMA TRANSPORTES LTDA"/>
    <n v="524.53"/>
    <d v="2025-08-15T00:00:00"/>
  </r>
  <r>
    <n v="254059900"/>
    <n v="64832960"/>
    <s v="REB"/>
    <n v="9953811"/>
    <n v="173"/>
    <s v="PEÇAS - Defeito de fabric./Alta Amperage"/>
    <s v="FUNCIONAL"/>
    <x v="2"/>
    <n v="13757"/>
    <s v="FRIGELAR COMÉRCIO E INDÚSTRIA LTDA"/>
    <s v="SP"/>
    <n v="713"/>
    <s v="Key Account"/>
    <n v="1350"/>
    <s v="W11634491"/>
    <s v="Placas de Controle"/>
    <x v="2"/>
    <n v="2"/>
    <n v="5004042"/>
    <s v="BRASIL WEB TRANSPORTES E LOGISTICA"/>
    <n v="127.86"/>
    <d v="2025-08-15T00:00:00"/>
  </r>
  <r>
    <s v="Sem TR"/>
    <n v="64832961"/>
    <s v="REB"/>
    <n v="10182743"/>
    <n v="90"/>
    <s v="CLIENTE-não solicitou"/>
    <s v="COMERCIAL"/>
    <x v="1"/>
    <n v="22985"/>
    <s v="Comercial Delfrio LTDA EPP"/>
    <s v="SC"/>
    <n v="641"/>
    <s v="CDP Diamante"/>
    <n v="1350"/>
    <s v="W10545668"/>
    <s v="Hélices"/>
    <x v="6"/>
    <n v="1"/>
    <n v="5003024"/>
    <s v="RODOBRAS TRANSPORTES RODOVIARIOS LT"/>
    <n v="4.22"/>
    <d v="2025-08-15T00:00:00"/>
  </r>
  <r>
    <n v="254056477"/>
    <n v="64832964"/>
    <s v="REB"/>
    <n v="9599936"/>
    <n v="176"/>
    <s v="PEÇAS - Defeito de fabric./Interrompido"/>
    <s v="FUNCIONAL"/>
    <x v="2"/>
    <n v="29706"/>
    <s v="Campos Equipamentos e Refrigeração"/>
    <s v="RN"/>
    <n v="644"/>
    <s v="Plus"/>
    <n v="1350"/>
    <s v="W10393823"/>
    <s v="Compressores Herméticos"/>
    <x v="0"/>
    <n v="1"/>
    <n v="5004101"/>
    <s v="UNIDOCK'S ASSESSORIA E LOGISTICA DE"/>
    <n v="493.26"/>
    <d v="2025-08-15T00:00:00"/>
  </r>
  <r>
    <s v="Sem TR"/>
    <n v="64832969"/>
    <s v="REB"/>
    <n v="10001880"/>
    <n v="173"/>
    <s v="PEÇAS - Defeito de fabric./Alta Amperage"/>
    <s v="FUNCIONAL"/>
    <x v="1"/>
    <n v="81988"/>
    <s v="BH COMERCIO DE PECAS E FRIGERACAO"/>
    <s v="MG"/>
    <n v="648"/>
    <s v="Ultra"/>
    <n v="1350"/>
    <s v="W11647660"/>
    <s v="Compressores Herméticos"/>
    <x v="0"/>
    <n v="1"/>
    <n v="5004215"/>
    <s v="BRASIL WEB TRANSPORTES E LOGISTICA"/>
    <n v="284.44"/>
    <d v="2025-08-15T00:00:00"/>
  </r>
  <r>
    <s v="Sem TR"/>
    <n v="64832999"/>
    <s v="REB"/>
    <n v="10129246"/>
    <n v="173"/>
    <s v="PEÇAS - Defeito de fabric./Alta Amperage"/>
    <s v="FUNCIONAL"/>
    <x v="1"/>
    <n v="21293"/>
    <s v="REFRIGERACAO J. L. BASSO LTDA"/>
    <s v="SP"/>
    <n v="643"/>
    <s v="Elite"/>
    <n v="1350"/>
    <s v="W10399715"/>
    <s v="Motores Ventiladores"/>
    <x v="2"/>
    <n v="50"/>
    <n v="5004042"/>
    <s v="BRASIL WEB TRANSPORTES E LOGISTICA"/>
    <n v="2722.5"/>
    <d v="2025-08-15T00:00:00"/>
  </r>
  <r>
    <s v="Sem TR"/>
    <n v="64833001"/>
    <s v="REB"/>
    <n v="10129279"/>
    <n v="173"/>
    <s v="PEÇAS - Defeito de fabric./Alta Amperage"/>
    <s v="FUNCIONAL"/>
    <x v="1"/>
    <n v="32023"/>
    <s v="REFRIBASSO COMERCIO DE PECAS"/>
    <s v="SP"/>
    <n v="643"/>
    <s v="Elite"/>
    <n v="1350"/>
    <s v="W11428264"/>
    <s v="Atuadores"/>
    <x v="4"/>
    <n v="20"/>
    <n v="5004042"/>
    <s v="BRASIL WEB TRANSPORTES E LOGISTICA"/>
    <n v="820.4"/>
    <d v="2025-08-15T00:00:00"/>
  </r>
  <r>
    <s v="Sem TR"/>
    <n v="64833004"/>
    <s v="REB"/>
    <n v="10097939"/>
    <n v="173"/>
    <s v="PEÇAS - Defeito de fabric./Alta Amperage"/>
    <s v="FUNCIONAL"/>
    <x v="1"/>
    <n v="65059"/>
    <s v="REFRISSUL COMERCIO DE PECAS"/>
    <s v="SP"/>
    <n v="643"/>
    <s v="Elite"/>
    <n v="1350"/>
    <s v="W10714366"/>
    <s v="Válvulas de Água"/>
    <x v="6"/>
    <n v="24"/>
    <n v="5004042"/>
    <s v="BRASIL WEB TRANSPORTES E LOGISTICA"/>
    <n v="1285.2"/>
    <d v="2025-08-15T00:00:00"/>
  </r>
  <r>
    <n v="254056329"/>
    <n v="64833005"/>
    <s v="REB"/>
    <n v="9829764"/>
    <n v="176"/>
    <s v="PEÇAS - Defeito de fabric./Interrompido"/>
    <s v="FUNCIONAL"/>
    <x v="1"/>
    <n v="3506"/>
    <s v="TECBRAS ASSISTENCIA TECNICA"/>
    <s v="SP"/>
    <n v="931"/>
    <s v="Ats Off"/>
    <n v="1350"/>
    <s v="W11690380"/>
    <s v="Painéis Decorativos"/>
    <x v="3"/>
    <n v="1"/>
    <n v="5004042"/>
    <s v="BRASIL WEB TRANSPORTES E LOGISTICA"/>
    <n v="94.19"/>
    <d v="2025-08-15T00:00:00"/>
  </r>
  <r>
    <s v="Sem TR"/>
    <n v="64833009"/>
    <s v="REB"/>
    <n v="10129299"/>
    <n v="173"/>
    <s v="PEÇAS - Defeito de fabric./Alta Amperage"/>
    <s v="FUNCIONAL"/>
    <x v="1"/>
    <n v="65057"/>
    <s v="REFRIGERACAO BASSO TAUBATE LTDA"/>
    <s v="SP"/>
    <n v="643"/>
    <s v="Elite"/>
    <n v="1350"/>
    <n v="326028183"/>
    <s v="Pressostatos"/>
    <x v="8"/>
    <n v="22"/>
    <n v="5004042"/>
    <s v="BRASIL WEB TRANSPORTES E LOGISTICA"/>
    <n v="641.77"/>
    <d v="2025-08-15T00:00:00"/>
  </r>
  <r>
    <s v="Sem TR"/>
    <n v="64833010"/>
    <s v="REB"/>
    <n v="10185652"/>
    <n v="176"/>
    <s v="PEÇAS - Defeito de fabric./Interrompido"/>
    <s v="FUNCIONAL"/>
    <x v="1"/>
    <n v="3524"/>
    <s v="CATEL - COMERCIO DE PECAS"/>
    <s v="SP"/>
    <n v="931"/>
    <s v="Ats Off"/>
    <n v="1350"/>
    <s v="W11226018"/>
    <s v="Motores Ventiladores"/>
    <x v="2"/>
    <n v="1"/>
    <n v="5004042"/>
    <s v="BRASIL WEB TRANSPORTES E LOGISTICA"/>
    <n v="75.930000000000007"/>
    <d v="2025-08-15T00:00:00"/>
  </r>
  <r>
    <n v="254056329"/>
    <n v="64833029"/>
    <s v="REB"/>
    <n v="9812658"/>
    <n v="176"/>
    <s v="PEÇAS - Defeito de fabric./Interrompido"/>
    <s v="FUNCIONAL"/>
    <x v="1"/>
    <n v="3506"/>
    <s v="TECBRAS ASSISTENCIA TECNICA"/>
    <s v="SP"/>
    <n v="931"/>
    <s v="Ats Off"/>
    <n v="1350"/>
    <s v="W11199202"/>
    <s v="Placas de Controle"/>
    <x v="2"/>
    <n v="1"/>
    <n v="5004042"/>
    <s v="BRASIL WEB TRANSPORTES E LOGISTICA"/>
    <n v="322.58999999999997"/>
    <d v="2025-08-15T00:00:00"/>
  </r>
  <r>
    <n v="254056329"/>
    <n v="64833029"/>
    <s v="REB"/>
    <n v="9812658"/>
    <n v="176"/>
    <s v="PEÇAS - Defeito de fabric./Interrompido"/>
    <s v="FUNCIONAL"/>
    <x v="1"/>
    <n v="3506"/>
    <s v="TECBRAS ASSISTENCIA TECNICA"/>
    <s v="SP"/>
    <n v="931"/>
    <s v="Ats Off"/>
    <n v="1350"/>
    <s v="W11396188"/>
    <s v="Placas de Interface"/>
    <x v="2"/>
    <n v="1"/>
    <n v="5004042"/>
    <s v="BRASIL WEB TRANSPORTES E LOGISTICA"/>
    <n v="97.68"/>
    <d v="2025-08-15T00:00:00"/>
  </r>
  <r>
    <n v="254056507"/>
    <n v="64833079"/>
    <s v="REB"/>
    <n v="9943269"/>
    <n v="173"/>
    <s v="PEÇAS - Defeito de fabric./Alta Amperage"/>
    <s v="FUNCIONAL"/>
    <x v="1"/>
    <n v="76848"/>
    <s v="MUNDIAL REFRIGERACAO LTDA"/>
    <s v="GO"/>
    <n v="643"/>
    <s v="Elite"/>
    <n v="1350"/>
    <s v="W10446925"/>
    <s v="Placas de Controle"/>
    <x v="2"/>
    <n v="1"/>
    <n v="5002858"/>
    <s v="FAVORITA TRANSPORTES LTDA"/>
    <n v="122.38"/>
    <d v="2025-08-15T00:00:00"/>
  </r>
  <r>
    <n v="254056505"/>
    <n v="64833084"/>
    <s v="REB"/>
    <n v="10045752"/>
    <n v="173"/>
    <s v="PEÇAS - Defeito de fabric./Alta Amperage"/>
    <s v="FUNCIONAL"/>
    <x v="1"/>
    <n v="76848"/>
    <s v="MUNDIAL REFRIGERACAO LTDA"/>
    <s v="GO"/>
    <n v="643"/>
    <s v="Elite"/>
    <n v="1350"/>
    <s v="W10721910"/>
    <s v="Pressostatos"/>
    <x v="8"/>
    <n v="1"/>
    <n v="5002858"/>
    <s v="FAVORITA TRANSPORTES LTDA"/>
    <n v="24.66"/>
    <d v="2025-08-15T00:00:00"/>
  </r>
  <r>
    <n v="254056503"/>
    <n v="64833085"/>
    <s v="REB"/>
    <n v="10045752"/>
    <n v="173"/>
    <s v="PEÇAS - Defeito de fabric./Alta Amperage"/>
    <s v="FUNCIONAL"/>
    <x v="1"/>
    <n v="76848"/>
    <s v="MUNDIAL REFRIGERACAO LTDA"/>
    <s v="GO"/>
    <n v="643"/>
    <s v="Elite"/>
    <n v="1350"/>
    <s v="W11199202"/>
    <s v="Placas de Controle"/>
    <x v="2"/>
    <n v="1"/>
    <n v="5002858"/>
    <s v="FAVORITA TRANSPORTES LTDA"/>
    <n v="230.76"/>
    <d v="2025-08-15T00:00:00"/>
  </r>
  <r>
    <n v="254056502"/>
    <n v="64833086"/>
    <s v="REB"/>
    <n v="10106929"/>
    <n v="173"/>
    <s v="PEÇAS - Defeito de fabric./Alta Amperage"/>
    <s v="FUNCIONAL"/>
    <x v="1"/>
    <n v="76848"/>
    <s v="MUNDIAL REFRIGERACAO LTDA"/>
    <s v="GO"/>
    <n v="643"/>
    <s v="Elite"/>
    <n v="1350"/>
    <s v="W11396188"/>
    <s v="Placas de Interface"/>
    <x v="2"/>
    <n v="1"/>
    <n v="5002858"/>
    <s v="FAVORITA TRANSPORTES LTDA"/>
    <n v="85.93"/>
    <d v="2025-08-15T00:00:00"/>
  </r>
  <r>
    <n v="254056508"/>
    <n v="64833089"/>
    <s v="REB"/>
    <n v="10102846"/>
    <n v="173"/>
    <s v="PEÇAS - Defeito de fabric./Alta Amperage"/>
    <s v="FUNCIONAL"/>
    <x v="1"/>
    <n v="76848"/>
    <s v="MUNDIAL REFRIGERACAO LTDA"/>
    <s v="GO"/>
    <n v="643"/>
    <s v="Elite"/>
    <n v="1350"/>
    <s v="W11299803"/>
    <s v="Mecanismos"/>
    <x v="4"/>
    <n v="3"/>
    <n v="5002858"/>
    <s v="FAVORITA TRANSPORTES LTDA"/>
    <n v="280.05"/>
    <d v="2025-08-15T00:00:00"/>
  </r>
  <r>
    <s v="Sem TR"/>
    <n v="64833213"/>
    <s v="REB"/>
    <n v="10158589"/>
    <n v="509"/>
    <s v="Qtd de peças a Menor dentro do Volume"/>
    <s v="LOGÍSTICA"/>
    <x v="1"/>
    <n v="67948"/>
    <s v="REFRICRIL DISTRIBUIDORA DE AR REFRI"/>
    <s v="SC"/>
    <n v="713"/>
    <s v="Key Account"/>
    <n v="1350"/>
    <s v="W10829434"/>
    <s v="Conjunto Varetas"/>
    <x v="11"/>
    <n v="15"/>
    <n v="5002359"/>
    <s v="EMPRESA BRASILEIRA DE CORREIOS E"/>
    <n v="1324.47"/>
    <d v="2025-08-22T00:00:00"/>
  </r>
  <r>
    <s v="Sem TR"/>
    <n v="64833447"/>
    <s v="REB"/>
    <n v="10160873"/>
    <n v="509"/>
    <s v="Qtd de peças a Menor dentro do Volume"/>
    <s v="LOGÍSTICA"/>
    <x v="2"/>
    <n v="20379"/>
    <s v="COMERCIAL GELACE DE REFRIGERACAO"/>
    <s v="SP"/>
    <n v="350"/>
    <s v="Ats On"/>
    <n v="1350"/>
    <n v="326007886"/>
    <s v="Válvulas de Água"/>
    <x v="6"/>
    <n v="2"/>
    <n v="5002359"/>
    <s v="EMPRESA BRASILEIRA DE CORREIOS E"/>
    <n v="62.94"/>
    <d v="2025-08-22T00:00:00"/>
  </r>
  <r>
    <s v="Sem TR"/>
    <n v="64833463"/>
    <s v="REB"/>
    <n v="10137770"/>
    <n v="173"/>
    <s v="PEÇAS - Defeito de fabric./Alta Amperage"/>
    <s v="FUNCIONAL"/>
    <x v="1"/>
    <n v="77746"/>
    <s v="ALFA DISTRIBUIDORA"/>
    <s v="GO"/>
    <n v="933"/>
    <s v="Top"/>
    <n v="1350"/>
    <s v="W10709306"/>
    <s v="Placas de Controle"/>
    <x v="2"/>
    <n v="1"/>
    <n v="5002858"/>
    <s v="FAVORITA TRANSPORTES LTDA"/>
    <n v="175.56"/>
    <d v="2025-08-22T00:00:00"/>
  </r>
  <r>
    <n v="254062127"/>
    <n v="64833466"/>
    <s v="REB"/>
    <n v="10124591"/>
    <n v="167"/>
    <s v="PEÇAS - Avaria - Quebrada/Depósito"/>
    <s v="LOGÍSTICA"/>
    <x v="2"/>
    <n v="72786"/>
    <s v="FRIOLAR CONSERTOS DE"/>
    <s v="SC"/>
    <n v="643"/>
    <s v="Elite"/>
    <n v="1350"/>
    <s v="W10287534"/>
    <s v="Prateleiras"/>
    <x v="1"/>
    <n v="1"/>
    <n v="5003024"/>
    <s v="RODOBRAS TRANSPORTES RODOVIARIOS LT"/>
    <n v="25.35"/>
    <d v="2025-08-22T00:00:00"/>
  </r>
  <r>
    <s v="Sem TR"/>
    <n v="64833467"/>
    <s v="REB"/>
    <n v="10155639"/>
    <n v="104"/>
    <s v="PEÇAS-Código trocado(embalag X conteúdo)"/>
    <s v="LOGÍSTICA"/>
    <x v="1"/>
    <n v="83581"/>
    <s v="ELLIMAQ REFRIGERACAO"/>
    <s v="SP"/>
    <n v="932"/>
    <s v="CDP Prata"/>
    <n v="1350"/>
    <s v="W10589007"/>
    <s v="Manípulos"/>
    <x v="3"/>
    <n v="5"/>
    <n v="5004042"/>
    <s v="BRASIL WEB TRANSPORTES E LOGISTICA"/>
    <n v="27.6"/>
    <d v="2025-08-22T00:00:00"/>
  </r>
  <r>
    <s v="Sem TR"/>
    <n v="64833468"/>
    <s v="REB"/>
    <n v="10157103"/>
    <n v="509"/>
    <s v="Qtd de peças a Menor dentro do Volume"/>
    <s v="LOGÍSTICA"/>
    <x v="2"/>
    <n v="81338"/>
    <s v="GABAN COMERCIO DE UTILIDADES"/>
    <s v="SP"/>
    <n v="644"/>
    <s v="Plus"/>
    <n v="1350"/>
    <s v="W10476183"/>
    <s v="Prateleiras"/>
    <x v="1"/>
    <n v="10"/>
    <n v="5002359"/>
    <s v="EMPRESA BRASILEIRA DE CORREIOS E"/>
    <n v="269.76"/>
    <d v="2025-08-22T00:00:00"/>
  </r>
  <r>
    <n v="254064159"/>
    <n v="64833521"/>
    <s v="REB"/>
    <n v="10183228"/>
    <n v="176"/>
    <s v="PEÇAS - Defeito de fabric./Interrompido"/>
    <s v="FUNCIONAL"/>
    <x v="2"/>
    <n v="21594"/>
    <s v="GOLD SERVICE COMERCIO"/>
    <s v="SP"/>
    <n v="931"/>
    <s v="Ats Off"/>
    <n v="1350"/>
    <s v="W10905603"/>
    <s v="Sensores"/>
    <x v="8"/>
    <n v="1"/>
    <n v="5004042"/>
    <s v="BRASIL WEB TRANSPORTES E LOGISTICA"/>
    <n v="27.89"/>
    <d v="2025-08-27T00:00:00"/>
  </r>
  <r>
    <n v="254064215"/>
    <n v="64833522"/>
    <s v="REB"/>
    <n v="9914191"/>
    <n v="178"/>
    <s v="PEÇAS -Defeito de fabric./Sem Compressão"/>
    <s v="FUNCIONAL"/>
    <x v="2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319.33"/>
    <d v="2025-08-27T00:00:00"/>
  </r>
  <r>
    <s v="Sem TR"/>
    <n v="64833607"/>
    <s v="REB"/>
    <n v="10152514"/>
    <n v="167"/>
    <s v="PEÇAS - Avaria - Quebrada/Depósito"/>
    <s v="LOGÍSTICA"/>
    <x v="1"/>
    <n v="63028"/>
    <s v="ELETRO122 COMERCIO DE ELETRO"/>
    <s v="SP"/>
    <n v="641"/>
    <s v="CDP Diamante"/>
    <n v="1350"/>
    <s v="W11547512"/>
    <s v="Gavetas"/>
    <x v="1"/>
    <n v="1"/>
    <n v="5004042"/>
    <s v="BRASIL WEB TRANSPORTES E LOGISTICA"/>
    <n v="183.83"/>
    <d v="2025-08-22T00:00:00"/>
  </r>
  <r>
    <s v="Sem TR"/>
    <n v="64833608"/>
    <s v="REB"/>
    <n v="10165966"/>
    <n v="167"/>
    <s v="PEÇAS - Avaria - Quebrada/Depósito"/>
    <s v="LOGÍSTICA"/>
    <x v="1"/>
    <n v="21330"/>
    <s v="REFRIEL COM DE PEÇAS REFRIG LTDA RE"/>
    <s v="PR"/>
    <n v="643"/>
    <s v="Elite"/>
    <n v="1350"/>
    <s v="W10882241"/>
    <s v="Agitadores"/>
    <x v="4"/>
    <n v="1"/>
    <n v="5003024"/>
    <s v="RODOBRAS TRANSPORTES RODOVIARIOS LT"/>
    <n v="42.21"/>
    <d v="2025-08-22T00:00:00"/>
  </r>
  <r>
    <s v="Sem TR"/>
    <n v="64833623"/>
    <s v="REB"/>
    <n v="10163912"/>
    <n v="167"/>
    <s v="PEÇAS - Avaria - Quebrada/Depósito"/>
    <s v="LOGÍSTICA"/>
    <x v="1"/>
    <n v="31537"/>
    <s v="RAQUEL SILVEIRA RODRIGUES &amp; CIA. LT"/>
    <s v="RS"/>
    <n v="641"/>
    <s v="CDP Diamante"/>
    <n v="1350"/>
    <s v="W10169464"/>
    <s v="Defletores/Difusores"/>
    <x v="6"/>
    <n v="1"/>
    <n v="5003024"/>
    <s v="RODOBRAS TRANSPORTES RODOVIARIOS LT"/>
    <n v="16.11"/>
    <d v="2025-08-22T00:00:00"/>
  </r>
  <r>
    <s v="Sem TR"/>
    <n v="64833714"/>
    <s v="REB"/>
    <n v="10158554"/>
    <n v="173"/>
    <s v="PEÇAS - Defeito de fabric./Alta Amperage"/>
    <s v="FUNCIONAL"/>
    <x v="1"/>
    <n v="92033"/>
    <s v="PREMIUM COMERCIO E MANUTENCAO"/>
    <s v="SC"/>
    <n v="350"/>
    <s v="Ats On"/>
    <n v="1350"/>
    <s v="W11248025"/>
    <s v="Placas de Interface"/>
    <x v="2"/>
    <n v="1"/>
    <n v="5003024"/>
    <s v="RODOBRAS TRANSPORTES RODOVIARIOS LT"/>
    <n v="465.97"/>
    <d v="2025-08-18T00:00:00"/>
  </r>
  <r>
    <n v="254064237"/>
    <n v="64833717"/>
    <s v="REB"/>
    <n v="10147264"/>
    <n v="104"/>
    <s v="PEÇAS-Código trocado(embalag X conteúdo)"/>
    <s v="LOGÍSTICA"/>
    <x v="2"/>
    <n v="72786"/>
    <s v="FRIOLAR CONSERTOS DE"/>
    <s v="SC"/>
    <n v="643"/>
    <s v="Elite"/>
    <n v="1350"/>
    <s v="W11639758"/>
    <s v="Outros"/>
    <x v="5"/>
    <n v="1"/>
    <n v="5003024"/>
    <s v="RODOBRAS TRANSPORTES RODOVIARIOS LT"/>
    <n v="249.71"/>
    <d v="2025-08-22T00:00:00"/>
  </r>
  <r>
    <n v="254064254"/>
    <n v="64833718"/>
    <s v="REB"/>
    <n v="10019804"/>
    <n v="178"/>
    <s v="PEÇAS -Defeito de fabric./Sem Compressão"/>
    <s v="FUNCIONAL"/>
    <x v="1"/>
    <n v="87306"/>
    <s v="PAIVA E PAIVA LTDA"/>
    <s v="AM"/>
    <n v="698"/>
    <s v="CDP Bronze"/>
    <n v="1350"/>
    <s v="W11677208"/>
    <s v="Compressores Herméticos"/>
    <x v="0"/>
    <n v="1"/>
    <n v="5002858"/>
    <s v="FAVORITA TRANSPORTES LTDA"/>
    <n v="269.95"/>
    <d v="2025-08-22T00:00:00"/>
  </r>
  <r>
    <s v="Sem TR"/>
    <n v="64833821"/>
    <s v="ZRDI"/>
    <n v="10216575"/>
    <s v="D31"/>
    <s v="DEV D2C - Defeito estético manufatura"/>
    <s v="MANUFATURA"/>
    <x v="0"/>
    <n v="4788969"/>
    <s v="GEIZA P BAPTISTA"/>
    <s v="SP"/>
    <n v="474"/>
    <s v="Site Brastemp"/>
    <n v="1352"/>
    <s v="W10638541"/>
    <s v="Filtros"/>
    <x v="6"/>
    <n v="3"/>
    <n v="5002359"/>
    <s v="EMPRESA BRASILEIRA DE CORREIOS E"/>
    <n v="831.81"/>
    <d v="2025-08-29T00:00:00"/>
  </r>
  <r>
    <s v="Sem TR"/>
    <n v="64833821"/>
    <s v="ZRDI"/>
    <n v="10216575"/>
    <s v="D31"/>
    <s v="DEV D2C - Defeito estético manufatura"/>
    <s v="MANUFATURA"/>
    <x v="0"/>
    <n v="4788969"/>
    <s v="GEIZA P BAPTISTA"/>
    <s v="SP"/>
    <n v="474"/>
    <s v="Site Brastemp"/>
    <n v="1352"/>
    <n v="326075868"/>
    <s v="Filtros"/>
    <x v="6"/>
    <n v="1"/>
    <n v="5002359"/>
    <s v="EMPRESA BRASILEIRA DE CORREIOS E"/>
    <n v="456.17"/>
    <d v="2025-08-29T00:00:00"/>
  </r>
  <r>
    <s v="Sem TR"/>
    <n v="64833915"/>
    <s v="ROB"/>
    <n v="10168889"/>
    <n v="25"/>
    <s v="OC. 80 - EXTRAVIO TOTAL"/>
    <s v="TRANSPORTADORA"/>
    <x v="2"/>
    <n v="27770"/>
    <s v="JOSE IZIDORO SILVA REFRIGERACAO"/>
    <s v="AL"/>
    <n v="641"/>
    <s v="CDP Diamante"/>
    <n v="1350"/>
    <s v="W10632492"/>
    <s v="Placas de Controle"/>
    <x v="2"/>
    <n v="6"/>
    <n v="5002970"/>
    <s v="TERMACO TERMINAIS MAR DE CONTEINERS"/>
    <n v="911.23"/>
    <d v="2025-08-18T00:00:00"/>
  </r>
  <r>
    <n v="254060961"/>
    <n v="64833930"/>
    <s v="REB"/>
    <n v="10145478"/>
    <n v="176"/>
    <s v="PEÇAS - Defeito de fabric./Interrompido"/>
    <s v="FUNCIONAL"/>
    <x v="1"/>
    <n v="66"/>
    <s v="CENTROMAQ PECAS E SERVICOS LTDA"/>
    <s v="GO"/>
    <n v="931"/>
    <s v="Ats Off"/>
    <n v="1350"/>
    <s v="W11045219"/>
    <s v="Motores Ventiladores"/>
    <x v="2"/>
    <n v="1"/>
    <n v="5002858"/>
    <s v="FAVORITA TRANSPORTES LTDA"/>
    <n v="29.35"/>
    <d v="2025-08-22T00:00:00"/>
  </r>
  <r>
    <n v="254062078"/>
    <n v="64833935"/>
    <s v="REB"/>
    <n v="10190787"/>
    <n v="176"/>
    <s v="PEÇAS - Defeito de fabric./Interrompido"/>
    <s v="FUNCIONAL"/>
    <x v="2"/>
    <n v="3555"/>
    <s v="LESTE SERVICE PCS SERVICOS LTDA LES"/>
    <s v="SP"/>
    <n v="931"/>
    <s v="Ats Off"/>
    <n v="1350"/>
    <n v="326031817"/>
    <s v="Mangueiras"/>
    <x v="6"/>
    <n v="1"/>
    <n v="5004042"/>
    <s v="BRASIL WEB TRANSPORTES E LOGISTICA"/>
    <n v="19.239999999999998"/>
    <d v="2025-08-22T00:00:00"/>
  </r>
  <r>
    <s v="Sem TR"/>
    <n v="64833936"/>
    <s v="REB"/>
    <n v="10040330"/>
    <n v="178"/>
    <s v="PEÇAS -Defeito de fabric./Sem Compressão"/>
    <s v="FUNCIONAL"/>
    <x v="1"/>
    <n v="30121"/>
    <s v="DANDE COMERCIAL LTDA"/>
    <s v="SP"/>
    <n v="648"/>
    <s v="Ultra"/>
    <n v="1350"/>
    <s v="W10393823"/>
    <s v="Compressores Herméticos"/>
    <x v="0"/>
    <n v="1"/>
    <n v="5004042"/>
    <s v="BRASIL WEB TRANSPORTES E LOGISTICA"/>
    <n v="522.17999999999995"/>
    <d v="2025-08-22T00:00:00"/>
  </r>
  <r>
    <s v="Sem TR"/>
    <n v="64833937"/>
    <s v="REB"/>
    <n v="10177305"/>
    <n v="173"/>
    <s v="PEÇAS - Defeito de fabric./Alta Amperage"/>
    <s v="FUNCIONAL"/>
    <x v="1"/>
    <n v="2374"/>
    <s v="COMETA DISTRIBUIDORA DE PECAS"/>
    <s v="MG"/>
    <n v="350"/>
    <s v="Ats On"/>
    <n v="1350"/>
    <s v="W11299803"/>
    <s v="Mecanismos"/>
    <x v="4"/>
    <n v="1"/>
    <n v="5004215"/>
    <s v="BRASIL WEB TRANSPORTES E LOGISTICA"/>
    <n v="104.62"/>
    <d v="2025-08-22T00:00:00"/>
  </r>
  <r>
    <s v="Sem TR"/>
    <n v="64833938"/>
    <s v="REB"/>
    <n v="10094713"/>
    <n v="173"/>
    <s v="PEÇAS - Defeito de fabric./Alta Amperage"/>
    <s v="FUNCIONAL"/>
    <x v="1"/>
    <n v="1255"/>
    <s v="PRAMAK REFRIGERACAO, PECAS E"/>
    <s v="CE"/>
    <n v="931"/>
    <s v="Ats Off"/>
    <n v="1350"/>
    <s v="W11647662"/>
    <s v="Compressores Herméticos"/>
    <x v="0"/>
    <n v="1"/>
    <n v="5004101"/>
    <s v="UNIDOCK'S ASSESSORIA E LOGISTICA DE"/>
    <n v="269.55"/>
    <d v="2025-08-22T00:00:00"/>
  </r>
  <r>
    <n v="254061134"/>
    <n v="64833945"/>
    <s v="REB"/>
    <n v="9575454"/>
    <n v="178"/>
    <s v="PEÇAS -Defeito de fabric./Sem Compressão"/>
    <s v="FUNCIONAL"/>
    <x v="2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79.93"/>
    <d v="2025-08-22T00:00:00"/>
  </r>
  <r>
    <n v="254060962"/>
    <n v="64833946"/>
    <s v="REB"/>
    <n v="10133948"/>
    <n v="173"/>
    <s v="PEÇAS - Defeito de fabric./Alta Amperage"/>
    <s v="FUNCIONAL"/>
    <x v="2"/>
    <n v="1334"/>
    <s v="FLORIANO REFRIGERACAO LTDA"/>
    <s v="PI"/>
    <n v="350"/>
    <s v="Ats On"/>
    <n v="1350"/>
    <s v="W11245250"/>
    <s v="Válvulas de Água"/>
    <x v="6"/>
    <n v="1"/>
    <n v="5004101"/>
    <s v="UNIDOCK'S ASSESSORIA E LOGISTICA DE"/>
    <n v="55.69"/>
    <d v="2025-08-22T00:00:00"/>
  </r>
  <r>
    <s v="Sem TR"/>
    <n v="64833947"/>
    <s v="REB"/>
    <n v="10168865"/>
    <n v="509"/>
    <s v="Qtd de peças a Menor dentro do Volume"/>
    <s v="LOGÍSTICA"/>
    <x v="2"/>
    <n v="80432"/>
    <s v="FRIORIO DISTRIBUIDOR DE PECAS PARA"/>
    <s v="ES"/>
    <n v="713"/>
    <s v="Key Account"/>
    <n v="1350"/>
    <s v="W11551361"/>
    <s v="Peças Mecanismos"/>
    <x v="4"/>
    <n v="77"/>
    <n v="5002359"/>
    <s v="EMPRESA BRASILEIRA DE CORREIOS E"/>
    <n v="761.34"/>
    <d v="2025-08-22T00:00:00"/>
  </r>
  <r>
    <s v="Sem TR"/>
    <n v="64833948"/>
    <s v="REB"/>
    <n v="10165971"/>
    <n v="173"/>
    <s v="PEÇAS - Defeito de fabric./Alta Amperage"/>
    <s v="FUNCIONAL"/>
    <x v="1"/>
    <n v="26939"/>
    <s v="TEMPERFRIO-DISTRIBUICAO E"/>
    <s v="PR"/>
    <n v="643"/>
    <s v="Elite"/>
    <n v="1350"/>
    <s v="W10849469"/>
    <s v="Bombas"/>
    <x v="2"/>
    <n v="1"/>
    <n v="5003024"/>
    <s v="RODOBRAS TRANSPORTES RODOVIARIOS LT"/>
    <n v="29.11"/>
    <d v="2025-08-22T00:00:00"/>
  </r>
  <r>
    <s v="Sem TR"/>
    <n v="64834136"/>
    <s v="REB"/>
    <n v="10186270"/>
    <n v="173"/>
    <s v="PEÇAS - Defeito de fabric./Alta Amperage"/>
    <s v="FUNCIONAL"/>
    <x v="1"/>
    <n v="29353"/>
    <s v="MAYKON CORREA DE ARAUJO"/>
    <s v="SP"/>
    <n v="350"/>
    <s v="Ats On"/>
    <n v="1350"/>
    <s v="W10806305"/>
    <s v="Placas de Controle"/>
    <x v="2"/>
    <n v="1"/>
    <n v="5004042"/>
    <s v="BRASIL WEB TRANSPORTES E LOGISTICA"/>
    <n v="286.36"/>
    <d v="2025-08-19T00:00:00"/>
  </r>
  <r>
    <s v="Sem TR"/>
    <n v="64834222"/>
    <s v="REB"/>
    <n v="10158172"/>
    <n v="509"/>
    <s v="Qtd de peças a Menor dentro do Volume"/>
    <s v="LOGÍSTICA"/>
    <x v="2"/>
    <n v="71699"/>
    <s v="JUJU PECAS PARA ELETRODOMESTICOS"/>
    <s v="MG"/>
    <n v="934"/>
    <s v="CDP Ouro"/>
    <n v="1350"/>
    <s v="W10531315"/>
    <s v="Sensores"/>
    <x v="8"/>
    <n v="24"/>
    <n v="5002359"/>
    <s v="EMPRESA BRASILEIRA DE CORREIOS E"/>
    <n v="202.18"/>
    <d v="2025-08-22T00:00:00"/>
  </r>
  <r>
    <s v="Sem TR"/>
    <n v="64834223"/>
    <s v="REB"/>
    <n v="10154392"/>
    <n v="167"/>
    <s v="PEÇAS - Avaria - Quebrada/Depósito"/>
    <s v="LOGÍSTICA"/>
    <x v="1"/>
    <n v="54465"/>
    <s v="LCB COMERCIO E SERVICOS"/>
    <s v="SP"/>
    <n v="644"/>
    <s v="Plus"/>
    <n v="1350"/>
    <s v="W11307331"/>
    <s v="Gavetas"/>
    <x v="1"/>
    <n v="1"/>
    <n v="5004042"/>
    <s v="BRASIL WEB TRANSPORTES E LOGISTICA"/>
    <n v="26.94"/>
    <d v="2025-08-22T00:00:00"/>
  </r>
  <r>
    <s v="Sem TR"/>
    <n v="64834232"/>
    <s v="REB"/>
    <n v="10158233"/>
    <n v="509"/>
    <s v="Qtd de peças a Menor dentro do Volume"/>
    <s v="LOGÍSTICA"/>
    <x v="2"/>
    <n v="67948"/>
    <s v="REFRICRIL DISTRIBUIDORA DE AR REFRI"/>
    <s v="SC"/>
    <n v="713"/>
    <s v="Key Account"/>
    <n v="1350"/>
    <s v="W10257565"/>
    <s v="Fusíveis/Fusíveis térmicos"/>
    <x v="2"/>
    <n v="30"/>
    <n v="5002359"/>
    <s v="EMPRESA BRASILEIRA DE CORREIOS E"/>
    <n v="274.27"/>
    <d v="2025-08-22T00:00:00"/>
  </r>
  <r>
    <s v="Sem TR"/>
    <n v="64834233"/>
    <s v="REB"/>
    <n v="10161752"/>
    <n v="509"/>
    <s v="Qtd de peças a Menor dentro do Volume"/>
    <s v="LOGÍSTICA"/>
    <x v="2"/>
    <n v="80432"/>
    <s v="FRIORIO DISTRIBUIDOR DE PECAS PARA"/>
    <s v="ES"/>
    <n v="713"/>
    <s v="Key Account"/>
    <n v="1350"/>
    <s v="W10754676"/>
    <s v="Suportes"/>
    <x v="3"/>
    <n v="36"/>
    <n v="5002359"/>
    <s v="EMPRESA BRASILEIRA DE CORREIOS E"/>
    <n v="1110.97"/>
    <d v="2025-08-22T00:00:00"/>
  </r>
  <r>
    <n v="254064196"/>
    <n v="64834242"/>
    <s v="REB"/>
    <n v="10030849"/>
    <n v="165"/>
    <s v="PEÇAS - Defeito de fabric./Incompleta"/>
    <s v="FUNCIONAL"/>
    <x v="1"/>
    <n v="44739"/>
    <s v="MEGA SERVICE PECAS E SERVICOS LTDA"/>
    <s v="PR"/>
    <n v="350"/>
    <s v="Ats On"/>
    <n v="1350"/>
    <s v="W10251495"/>
    <s v="Defletores/Difusores"/>
    <x v="6"/>
    <n v="1"/>
    <n v="5003024"/>
    <s v="RODOBRAS TRANSPORTES RODOVIARIOS LT"/>
    <n v="459.34"/>
    <d v="2025-08-22T00:00:00"/>
  </r>
  <r>
    <s v="Sem TR"/>
    <n v="64834243"/>
    <s v="REB"/>
    <n v="10158436"/>
    <n v="167"/>
    <s v="PEÇAS - Avaria - Quebrada/Depósito"/>
    <s v="LOGÍSTICA"/>
    <x v="1"/>
    <n v="7941"/>
    <s v="BRASERV PECAS E SERVICOS EIRELI"/>
    <s v="SC"/>
    <n v="350"/>
    <s v="Ats On"/>
    <n v="1350"/>
    <s v="W10616737"/>
    <s v="Gavetas"/>
    <x v="1"/>
    <n v="1"/>
    <n v="5003024"/>
    <s v="RODOBRAS TRANSPORTES RODOVIARIOS LT"/>
    <n v="129.44"/>
    <d v="2025-08-22T00:00:00"/>
  </r>
  <r>
    <s v="Sem TR"/>
    <n v="64834245"/>
    <s v="REB"/>
    <n v="9885248"/>
    <n v="178"/>
    <s v="PEÇAS -Defeito de fabric./Sem Compressão"/>
    <s v="FUNCIONAL"/>
    <x v="1"/>
    <n v="30121"/>
    <s v="DANDE COMERCIAL LTDA"/>
    <s v="SP"/>
    <n v="648"/>
    <s v="Ultra"/>
    <n v="1350"/>
    <s v="W11741179"/>
    <s v="Outros"/>
    <x v="5"/>
    <n v="7"/>
    <n v="5004042"/>
    <s v="BRASIL WEB TRANSPORTES E LOGISTICA"/>
    <n v="2567.14"/>
    <d v="2025-08-22T00:00:00"/>
  </r>
  <r>
    <n v="254061186"/>
    <n v="64834246"/>
    <s v="REB"/>
    <n v="10168844"/>
    <n v="176"/>
    <s v="PEÇAS - Defeito de fabric./Interrompido"/>
    <s v="FUNCIONAL"/>
    <x v="2"/>
    <n v="80432"/>
    <s v="FRIORIO DISTRIBUIDOR DE PECAS PARA"/>
    <s v="ES"/>
    <n v="713"/>
    <s v="Key Account"/>
    <n v="1350"/>
    <s v="W10828358"/>
    <s v="Pressostatos"/>
    <x v="8"/>
    <n v="1"/>
    <n v="5004042"/>
    <s v="BRASIL WEB TRANSPORTES E LOGISTICA"/>
    <n v="28.35"/>
    <d v="2025-08-22T00:00:00"/>
  </r>
  <r>
    <s v="Sem TR"/>
    <n v="64834247"/>
    <s v="REB"/>
    <n v="10165971"/>
    <n v="168"/>
    <s v="PEÇAS-Def.Fabric.Empenamento/Abaulamento"/>
    <s v="FUNCIONAL"/>
    <x v="1"/>
    <n v="26939"/>
    <s v="TEMPERFRIO-DISTRIBUICAO E"/>
    <s v="PR"/>
    <n v="643"/>
    <s v="Elite"/>
    <n v="1350"/>
    <s v="W10882241"/>
    <s v="Agitadores"/>
    <x v="4"/>
    <n v="2"/>
    <n v="5003024"/>
    <s v="RODOBRAS TRANSPORTES RODOVIARIOS LT"/>
    <n v="84.43"/>
    <d v="2025-08-22T00:00:00"/>
  </r>
  <r>
    <s v="Sem TR"/>
    <n v="64834334"/>
    <s v="ROB"/>
    <n v="10167973"/>
    <n v="25"/>
    <s v="OC. 80 - EXTRAVIO TOTAL"/>
    <s v="TRANSPORTADORA"/>
    <x v="2"/>
    <n v="19128"/>
    <s v="CARLOS EDUARDO GARCIA REFRIGERAÇÃO"/>
    <s v="SP"/>
    <n v="350"/>
    <s v="Ats On"/>
    <n v="1350"/>
    <s v="W11102691"/>
    <s v="Conexões Hidráulicas"/>
    <x v="7"/>
    <n v="1"/>
    <n v="5004101"/>
    <s v="UNIDOCK'S ASSESSORIA E LOGISTICA DE"/>
    <n v="79.81"/>
    <d v="2025-08-19T00:00:00"/>
  </r>
  <r>
    <s v="Sem TR"/>
    <n v="64834524"/>
    <s v="ROB"/>
    <n v="10180565"/>
    <n v="220"/>
    <s v="DEV-Avaria 1 trecho transp - Produto"/>
    <s v="QUALIDADE"/>
    <x v="1"/>
    <n v="26701"/>
    <s v="P ERNANI WUST &amp; CIA LTDA"/>
    <s v="RS"/>
    <n v="350"/>
    <s v="Ats On"/>
    <n v="1350"/>
    <s v="W10624070"/>
    <s v="Gavetas"/>
    <x v="1"/>
    <n v="1"/>
    <n v="5003024"/>
    <s v="RODOBRAS TRANSPORTES RODOVIARIOS LT"/>
    <n v="81.06"/>
    <d v="2025-08-19T00:00:00"/>
  </r>
  <r>
    <s v="Sem TR"/>
    <n v="64834880"/>
    <s v="ZRDI"/>
    <n v="10195817"/>
    <s v="D15"/>
    <s v="DEV D2C - Arrependimento modelo comprado"/>
    <s v="COMERCIAL"/>
    <x v="0"/>
    <n v="56697825"/>
    <s v="GUTO GABRIEL"/>
    <s v="PE"/>
    <n v="466"/>
    <s v="Sup ML Marketplace"/>
    <n v="1352"/>
    <s v="W10301562"/>
    <s v="Filtros"/>
    <x v="6"/>
    <n v="1"/>
    <n v="5002359"/>
    <s v="EMPRESA BRASILEIRA DE CORREIOS E"/>
    <n v="98.92"/>
    <d v="2025-08-29T00:00:00"/>
  </r>
  <r>
    <s v="Sem TR"/>
    <n v="64834880"/>
    <s v="ZRDI"/>
    <n v="10195817"/>
    <s v="D15"/>
    <s v="DEV D2C - Arrependimento modelo comprado"/>
    <s v="COMERCIAL"/>
    <x v="0"/>
    <n v="56697825"/>
    <s v="GUTO GABRIEL"/>
    <s v="PE"/>
    <n v="466"/>
    <s v="Sup ML Marketplace"/>
    <n v="1352"/>
    <s v="W10301562"/>
    <s v="Filtros"/>
    <x v="6"/>
    <n v="1"/>
    <n v="5002359"/>
    <s v="EMPRESA BRASILEIRA DE CORREIOS E"/>
    <n v="98.94"/>
    <d v="2025-08-29T00:00:00"/>
  </r>
  <r>
    <n v="254058076"/>
    <n v="64834910"/>
    <s v="REB"/>
    <n v="10154361"/>
    <n v="240"/>
    <s v="DEV-Avaria - 2 trecho transp - Produto"/>
    <s v="QUALIDADE"/>
    <x v="2"/>
    <n v="3618"/>
    <s v="REFRISON REFRIGERACAO E ELETRONICA"/>
    <s v="SP"/>
    <n v="350"/>
    <s v="Ats On"/>
    <n v="1350"/>
    <s v="W11751270"/>
    <s v="Outros"/>
    <x v="5"/>
    <n v="1"/>
    <n v="5004042"/>
    <s v="BRASIL WEB TRANSPORTES E LOGISTICA"/>
    <n v="93.22"/>
    <d v="2025-08-20T00:00:00"/>
  </r>
  <r>
    <s v="Sem TR"/>
    <n v="64834921"/>
    <s v="REB"/>
    <n v="10168865"/>
    <n v="509"/>
    <s v="Qtd de peças a Menor dentro do Volume"/>
    <s v="LOGÍSTICA"/>
    <x v="2"/>
    <n v="80432"/>
    <s v="FRIORIO DISTRIBUIDOR DE PECAS PARA"/>
    <s v="ES"/>
    <n v="713"/>
    <s v="Key Account"/>
    <n v="1350"/>
    <s v="W10460618"/>
    <s v="Tampas Móveis"/>
    <x v="3"/>
    <n v="3"/>
    <n v="5002359"/>
    <s v="EMPRESA BRASILEIRA DE CORREIOS E"/>
    <n v="314.39"/>
    <d v="2025-08-22T00:00:00"/>
  </r>
  <r>
    <n v="254060962"/>
    <n v="64834922"/>
    <s v="REB"/>
    <n v="10171314"/>
    <n v="173"/>
    <s v="PEÇAS - Defeito de fabric./Alta Amperage"/>
    <s v="FUNCIONAL"/>
    <x v="2"/>
    <n v="1334"/>
    <s v="FLORIANO REFRIGERACAO LTDA"/>
    <s v="PI"/>
    <n v="350"/>
    <s v="Ats On"/>
    <n v="1350"/>
    <s v="W10632303"/>
    <s v="Válvulas de Água"/>
    <x v="6"/>
    <n v="1"/>
    <n v="5004101"/>
    <s v="UNIDOCK'S ASSESSORIA E LOGISTICA DE"/>
    <n v="35.840000000000003"/>
    <d v="2025-08-22T00:00:00"/>
  </r>
  <r>
    <n v="254061101"/>
    <n v="64834923"/>
    <s v="REB"/>
    <n v="10151917"/>
    <n v="176"/>
    <s v="PEÇAS - Defeito de fabric./Interrompido"/>
    <s v="FUNCIONAL"/>
    <x v="2"/>
    <n v="31587"/>
    <s v="COPEGEL REFRIGERACAO LTDA"/>
    <s v="SP"/>
    <n v="643"/>
    <s v="Elite"/>
    <n v="1350"/>
    <s v="W11340256"/>
    <s v="Placas de Interface"/>
    <x v="2"/>
    <n v="1"/>
    <n v="5004042"/>
    <s v="BRASIL WEB TRANSPORTES E LOGISTICA"/>
    <n v="647.67999999999995"/>
    <d v="2025-08-22T00:00:00"/>
  </r>
  <r>
    <s v="Sem TR"/>
    <n v="64834995"/>
    <s v="REB"/>
    <n v="10146663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74"/>
    <d v="2025-08-22T00:00:00"/>
  </r>
  <r>
    <s v="Sem TR"/>
    <n v="64834996"/>
    <s v="REB"/>
    <n v="10093537"/>
    <n v="177"/>
    <s v="PEÇAS - Defeito de fabric./Ruído"/>
    <s v="FUNCIONAL"/>
    <x v="1"/>
    <n v="27804"/>
    <s v="REFRIGERACAO MAGAZINE DO FRIO LTDA"/>
    <s v="SP"/>
    <n v="641"/>
    <s v="CDP Diamante"/>
    <n v="1350"/>
    <s v="W11300816"/>
    <s v="Mecanismos"/>
    <x v="4"/>
    <n v="1"/>
    <n v="5004042"/>
    <s v="BRASIL WEB TRANSPORTES E LOGISTICA"/>
    <n v="140.21"/>
    <d v="2025-08-22T00:00:00"/>
  </r>
  <r>
    <n v="254061112"/>
    <n v="64834997"/>
    <s v="REB"/>
    <n v="10125228"/>
    <n v="176"/>
    <s v="PEÇAS - Defeito de fabric./Interrompido"/>
    <s v="FUNCIONAL"/>
    <x v="1"/>
    <n v="36065"/>
    <s v="REFRIGERACAO LOURES E ROSA LTDA ME"/>
    <s v="GO"/>
    <n v="643"/>
    <s v="Elite"/>
    <n v="1350"/>
    <n v="326063222"/>
    <s v="Placas de Controle"/>
    <x v="2"/>
    <n v="1"/>
    <n v="5002858"/>
    <s v="FAVORITA TRANSPORTES LTDA"/>
    <n v="219.92"/>
    <d v="2025-08-22T00:00:00"/>
  </r>
  <r>
    <n v="254064173"/>
    <n v="64834998"/>
    <s v="REB"/>
    <n v="10191602"/>
    <n v="167"/>
    <s v="PEÇAS - Avaria - Quebrada/Depósito"/>
    <s v="LOGÍSTICA"/>
    <x v="2"/>
    <n v="28016"/>
    <s v="MAREAR SERVIÇOS TECNICOS LTDA"/>
    <s v="RJ"/>
    <n v="933"/>
    <s v="Top"/>
    <n v="1350"/>
    <s v="W10287524"/>
    <s v="Prateleiras"/>
    <x v="1"/>
    <n v="1"/>
    <n v="5003176"/>
    <s v="J C THEDIN TRANSPORTES LTDA"/>
    <n v="39.53"/>
    <d v="2025-08-22T00:00:00"/>
  </r>
  <r>
    <s v="Sem TR"/>
    <n v="64835001"/>
    <s v="REB"/>
    <n v="10153349"/>
    <n v="509"/>
    <s v="Qtd de peças a Menor dentro do Volume"/>
    <s v="LOGÍSTICA"/>
    <x v="2"/>
    <n v="28681"/>
    <s v="PERIN &amp; CIA"/>
    <s v="SP"/>
    <n v="643"/>
    <s v="Elite"/>
    <n v="1350"/>
    <s v="W10531315"/>
    <s v="Sensores"/>
    <x v="8"/>
    <n v="1"/>
    <n v="5002359"/>
    <s v="EMPRESA BRASILEIRA DE CORREIOS E"/>
    <n v="8.39"/>
    <d v="2025-08-22T00:00:00"/>
  </r>
  <r>
    <n v="254061102"/>
    <n v="64835002"/>
    <s v="REB"/>
    <n v="9959027"/>
    <n v="178"/>
    <s v="PEÇAS -Defeito de fabric./Sem Compressão"/>
    <s v="FUNCIONAL"/>
    <x v="2"/>
    <n v="31587"/>
    <s v="COPEGEL REFRIGERACAO LTDA"/>
    <s v="SP"/>
    <n v="643"/>
    <s v="Elite"/>
    <n v="1350"/>
    <s v="W11677208"/>
    <s v="Compressores Herméticos"/>
    <x v="0"/>
    <n v="1"/>
    <n v="5004042"/>
    <s v="BRASIL WEB TRANSPORTES E LOGISTICA"/>
    <n v="334.83"/>
    <d v="2025-08-22T00:00:00"/>
  </r>
  <r>
    <n v="254063940"/>
    <n v="64835003"/>
    <s v="REB"/>
    <n v="10090228"/>
    <n v="173"/>
    <s v="PEÇAS - Defeito de fabric./Alta Amperage"/>
    <s v="FUNCIONAL"/>
    <x v="2"/>
    <n v="66"/>
    <s v="CENTROMAQ PECAS E SERVICOS LTDA"/>
    <s v="GO"/>
    <n v="931"/>
    <s v="Ats Off"/>
    <n v="1350"/>
    <s v="W10585017"/>
    <s v="Bombas"/>
    <x v="2"/>
    <n v="2"/>
    <n v="5002858"/>
    <s v="FAVORITA TRANSPORTES LTDA"/>
    <n v="278.88"/>
    <d v="2025-08-22T00:00:00"/>
  </r>
  <r>
    <n v="254061118"/>
    <n v="64835007"/>
    <s v="REB"/>
    <n v="10187783"/>
    <n v="168"/>
    <s v="PEÇAS-Def.Fabric.Empenamento/Abaulamento"/>
    <s v="FUNCIONAL"/>
    <x v="1"/>
    <n v="40998"/>
    <s v="CALDEIRA E SANTOS LTDA M.E"/>
    <s v="GO"/>
    <n v="648"/>
    <s v="Ultra"/>
    <n v="1350"/>
    <s v="W10882241"/>
    <s v="Agitadores"/>
    <x v="4"/>
    <n v="4"/>
    <n v="5002858"/>
    <s v="FAVORITA TRANSPORTES LTDA"/>
    <n v="151.47"/>
    <d v="2025-08-22T00:00:00"/>
  </r>
  <r>
    <n v="254061132"/>
    <n v="64835012"/>
    <s v="REB"/>
    <n v="9915487"/>
    <n v="178"/>
    <s v="PEÇAS -Defeito de fabric./Sem Compressão"/>
    <s v="FUNCIONAL"/>
    <x v="2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4.57"/>
    <d v="2025-08-22T00:00:00"/>
  </r>
  <r>
    <s v="Sem TR"/>
    <n v="64835191"/>
    <s v="REB"/>
    <n v="10173863"/>
    <n v="509"/>
    <s v="Qtd de peças a Menor dentro do Volume"/>
    <s v="LOGÍSTICA"/>
    <x v="2"/>
    <n v="87061"/>
    <s v="GELARTEC COMERCIO DE PECAS E SERVIC"/>
    <s v="BA"/>
    <n v="934"/>
    <s v="CDP Ouro"/>
    <n v="1350"/>
    <s v="W10897149"/>
    <s v="Rolamentos"/>
    <x v="4"/>
    <n v="1"/>
    <n v="5002359"/>
    <s v="EMPRESA BRASILEIRA DE CORREIOS E"/>
    <n v="9.49"/>
    <d v="2025-08-22T00:00:00"/>
  </r>
  <r>
    <n v="254066487"/>
    <n v="64835193"/>
    <s v="REB"/>
    <n v="10166445"/>
    <n v="176"/>
    <s v="PEÇAS - Defeito de fabric./Interrompido"/>
    <s v="FUNCIONAL"/>
    <x v="2"/>
    <n v="5136"/>
    <s v="BRAZILIAN SERVICE ELETRODOMESTICOS"/>
    <s v="RS"/>
    <n v="350"/>
    <s v="Ats On"/>
    <n v="1350"/>
    <s v="W11245249"/>
    <s v="Válvulas de Água"/>
    <x v="6"/>
    <n v="1"/>
    <n v="5003024"/>
    <s v="RODOBRAS TRANSPORTES RODOVIARIOS LT"/>
    <n v="49.71"/>
    <d v="2025-08-29T00:00:00"/>
  </r>
  <r>
    <n v="254061044"/>
    <n v="64835346"/>
    <s v="REB"/>
    <n v="10148091"/>
    <n v="167"/>
    <s v="PEÇAS - Avaria - Quebrada/Depósito"/>
    <s v="LOGÍSTICA"/>
    <x v="2"/>
    <n v="4189"/>
    <s v="PONTO DE ORVALHO REFRIG LTDA"/>
    <s v="CE"/>
    <n v="931"/>
    <s v="Ats Off"/>
    <n v="1350"/>
    <s v="W10758939"/>
    <s v="Prateleiras"/>
    <x v="1"/>
    <n v="1"/>
    <n v="5004101"/>
    <s v="UNIDOCK'S ASSESSORIA E LOGISTICA DE"/>
    <n v="27.73"/>
    <d v="2025-08-22T00:00:00"/>
  </r>
  <r>
    <n v="254061097"/>
    <n v="64835347"/>
    <s v="REB"/>
    <n v="10160954"/>
    <n v="167"/>
    <s v="PEÇAS - Avaria - Quebrada/Depósito"/>
    <s v="LOGÍSTICA"/>
    <x v="1"/>
    <n v="31063"/>
    <s v="ELETROFRIGOR PECAS LTDA ME"/>
    <s v="RJ"/>
    <n v="644"/>
    <s v="Plus"/>
    <n v="1350"/>
    <n v="326051022"/>
    <s v="Capas"/>
    <x v="3"/>
    <n v="1"/>
    <n v="5003176"/>
    <s v="J C THEDIN TRANSPORTES LTDA"/>
    <n v="58.26"/>
    <d v="2025-08-22T00:00:00"/>
  </r>
  <r>
    <n v="254062080"/>
    <n v="64835348"/>
    <s v="REB"/>
    <n v="10183645"/>
    <n v="167"/>
    <s v="PEÇAS - Avaria - Quebrada/Depósito"/>
    <s v="LOGÍSTICA"/>
    <x v="2"/>
    <n v="28016"/>
    <s v="MAREAR SERVIÇOS TECNICOS LTDA"/>
    <s v="RJ"/>
    <n v="933"/>
    <s v="Top"/>
    <n v="1350"/>
    <s v="W10398757"/>
    <s v="Prateleiras"/>
    <x v="1"/>
    <n v="1"/>
    <n v="5003176"/>
    <s v="J C THEDIN TRANSPORTES LTDA"/>
    <n v="37.54"/>
    <d v="2025-08-22T00:00:00"/>
  </r>
  <r>
    <s v="Sem TR"/>
    <n v="64835351"/>
    <s v="REB"/>
    <n v="10161258"/>
    <n v="509"/>
    <s v="Qtd de peças a Menor dentro do Volume"/>
    <s v="LOGÍSTICA"/>
    <x v="2"/>
    <n v="86964"/>
    <s v="REFRICRIL DISTRIBUIDORA"/>
    <s v="PB"/>
    <n v="713"/>
    <s v="Key Account"/>
    <n v="1350"/>
    <s v="W11344665"/>
    <s v="Válvulas de Água"/>
    <x v="6"/>
    <n v="1"/>
    <n v="5002359"/>
    <s v="EMPRESA BRASILEIRA DE CORREIOS E"/>
    <n v="57.96"/>
    <d v="2025-08-22T00:00:00"/>
  </r>
  <r>
    <s v="Sem TR"/>
    <n v="64835352"/>
    <s v="REB"/>
    <n v="10137770"/>
    <n v="173"/>
    <s v="PEÇAS - Defeito de fabric./Alta Amperage"/>
    <s v="FUNCIONAL"/>
    <x v="1"/>
    <n v="77746"/>
    <s v="ALFA DISTRIBUIDORA"/>
    <s v="GO"/>
    <n v="933"/>
    <s v="Top"/>
    <n v="1350"/>
    <s v="W11300816"/>
    <s v="Mecanismos"/>
    <x v="4"/>
    <n v="1"/>
    <n v="5002858"/>
    <s v="FAVORITA TRANSPORTES LTDA"/>
    <n v="126.46"/>
    <d v="2025-08-22T00:00:00"/>
  </r>
  <r>
    <s v="Sem TR"/>
    <n v="64835361"/>
    <s v="REB"/>
    <n v="10161751"/>
    <n v="509"/>
    <s v="Qtd de peças a Menor dentro do Volume"/>
    <s v="LOGÍSTICA"/>
    <x v="2"/>
    <n v="80432"/>
    <s v="FRIORIO DISTRIBUIDOR DE PECAS PARA"/>
    <s v="ES"/>
    <n v="713"/>
    <s v="Key Account"/>
    <n v="1350"/>
    <s v="W10856154"/>
    <s v="Capas"/>
    <x v="3"/>
    <n v="12"/>
    <n v="5002359"/>
    <s v="EMPRESA BRASILEIRA DE CORREIOS E"/>
    <n v="229.03"/>
    <d v="2025-08-22T00:00:00"/>
  </r>
  <r>
    <n v="254064133"/>
    <n v="64835362"/>
    <s v="REB"/>
    <n v="10039807"/>
    <n v="173"/>
    <s v="PEÇAS - Defeito de fabric./Alta Amperage"/>
    <s v="FUNCIONAL"/>
    <x v="2"/>
    <n v="3236"/>
    <s v="FRISON THERM AR CONDICIONADO LTDA F"/>
    <s v="SP"/>
    <n v="931"/>
    <s v="Ats Off"/>
    <n v="1350"/>
    <s v="W10798744"/>
    <s v="Compressores Herméticos"/>
    <x v="0"/>
    <n v="1"/>
    <n v="5004042"/>
    <s v="BRASIL WEB TRANSPORTES E LOGISTICA"/>
    <n v="428.72"/>
    <d v="2025-08-22T00:00:00"/>
  </r>
  <r>
    <n v="254062075"/>
    <n v="64835363"/>
    <s v="REB"/>
    <n v="10140214"/>
    <n v="176"/>
    <s v="PEÇAS - Defeito de fabric./Interrompido"/>
    <s v="FUNCIONAL"/>
    <x v="2"/>
    <n v="3236"/>
    <s v="FRISON THERM AR CONDICIONADO LTDA F"/>
    <s v="SP"/>
    <n v="931"/>
    <s v="Ats Off"/>
    <n v="1350"/>
    <n v="326073242"/>
    <s v="Placas de Controle"/>
    <x v="2"/>
    <n v="1"/>
    <n v="5004042"/>
    <s v="BRASIL WEB TRANSPORTES E LOGISTICA"/>
    <n v="145.83000000000001"/>
    <d v="2025-08-22T00:00:00"/>
  </r>
  <r>
    <s v="Sem TR"/>
    <n v="64835368"/>
    <s v="REB"/>
    <n v="10158244"/>
    <n v="509"/>
    <s v="Qtd de peças a Menor dentro do Volume"/>
    <s v="LOGÍSTICA"/>
    <x v="2"/>
    <n v="67948"/>
    <s v="REFRICRIL DISTRIBUIDORA DE AR REFRI"/>
    <s v="SC"/>
    <n v="713"/>
    <s v="Key Account"/>
    <n v="1350"/>
    <s v="W11299805"/>
    <s v="Mecanismos"/>
    <x v="4"/>
    <n v="20"/>
    <n v="5002359"/>
    <s v="EMPRESA BRASILEIRA DE CORREIOS E"/>
    <n v="2375.8000000000002"/>
    <d v="2025-08-22T00:00:00"/>
  </r>
  <r>
    <n v="254064712"/>
    <n v="64835376"/>
    <s v="REB"/>
    <n v="10159789"/>
    <n v="104"/>
    <s v="PEÇAS-Código trocado(embalag X conteúdo)"/>
    <s v="LOGÍSTICA"/>
    <x v="2"/>
    <n v="48722"/>
    <s v="BUENO SERVICE PECAS"/>
    <s v="SP"/>
    <n v="350"/>
    <s v="Ats On"/>
    <n v="1350"/>
    <s v="W10413648"/>
    <s v="Suportes"/>
    <x v="3"/>
    <n v="1"/>
    <n v="5004042"/>
    <s v="BRASIL WEB TRANSPORTES E LOGISTICA"/>
    <n v="20.89"/>
    <d v="2025-08-22T00:00:00"/>
  </r>
  <r>
    <n v="254061076"/>
    <n v="64835377"/>
    <s v="REB"/>
    <n v="10090455"/>
    <n v="90"/>
    <s v="CLIENTE-não solicitou"/>
    <s v="COMERCIAL"/>
    <x v="2"/>
    <n v="27574"/>
    <s v="GLACIAL REFRIG MAQ E EQUIP LTDA"/>
    <s v="SP"/>
    <n v="641"/>
    <s v="CDP Diamante"/>
    <n v="1350"/>
    <n v="326061171"/>
    <s v="Placas de Controle"/>
    <x v="2"/>
    <n v="1"/>
    <n v="5004042"/>
    <s v="BRASIL WEB TRANSPORTES E LOGISTICA"/>
    <n v="305.38"/>
    <d v="2025-08-22T00:00:00"/>
  </r>
  <r>
    <n v="254061014"/>
    <n v="64835385"/>
    <s v="REB"/>
    <n v="10167264"/>
    <n v="167"/>
    <s v="PEÇAS - Avaria - Quebrada/Depósito"/>
    <s v="LOGÍSTICA"/>
    <x v="2"/>
    <n v="2424"/>
    <s v="TERMO STATUS INSTALADORA DE"/>
    <s v="RJ"/>
    <n v="350"/>
    <s v="Ats On"/>
    <n v="1350"/>
    <s v="W10287534"/>
    <s v="Prateleiras"/>
    <x v="1"/>
    <n v="1"/>
    <n v="5003176"/>
    <s v="J C THEDIN TRANSPORTES LTDA"/>
    <n v="38.51"/>
    <d v="2025-08-22T00:00:00"/>
  </r>
  <r>
    <s v="Sem TR"/>
    <n v="64835386"/>
    <s v="REB"/>
    <n v="10158594"/>
    <n v="509"/>
    <s v="Qtd de peças a Menor dentro do Volume"/>
    <s v="LOGÍSTICA"/>
    <x v="2"/>
    <n v="72786"/>
    <s v="FRIOLAR CONSERTOS DE"/>
    <s v="SC"/>
    <n v="643"/>
    <s v="Elite"/>
    <n v="1350"/>
    <s v="W10455522"/>
    <s v="Prateleiras"/>
    <x v="1"/>
    <n v="10"/>
    <n v="5002359"/>
    <s v="EMPRESA BRASILEIRA DE CORREIOS E"/>
    <n v="228.06"/>
    <d v="2025-08-22T00:00:00"/>
  </r>
  <r>
    <s v="Sem TR"/>
    <n v="64835387"/>
    <s v="REB"/>
    <n v="10189412"/>
    <n v="90"/>
    <s v="CLIENTE-não solicitou"/>
    <s v="COMERCIAL"/>
    <x v="1"/>
    <n v="22985"/>
    <s v="Comercial Delfrio LTDA EPP"/>
    <s v="SC"/>
    <n v="641"/>
    <s v="CDP Diamante"/>
    <n v="1350"/>
    <n v="326054703"/>
    <s v="Suportes"/>
    <x v="3"/>
    <n v="1"/>
    <n v="5003024"/>
    <s v="RODOBRAS TRANSPORTES RODOVIARIOS LT"/>
    <n v="35.659999999999997"/>
    <d v="2025-08-22T00:00:00"/>
  </r>
  <r>
    <s v="Sem TR"/>
    <n v="64835388"/>
    <s v="REB"/>
    <n v="10040331"/>
    <n v="178"/>
    <s v="PEÇAS -Defeito de fabric./Sem Compressão"/>
    <s v="FUNCIONAL"/>
    <x v="1"/>
    <n v="30121"/>
    <s v="DANDE COMERCIAL LTDA"/>
    <s v="SP"/>
    <n v="648"/>
    <s v="Ultra"/>
    <n v="1350"/>
    <s v="W11741178"/>
    <s v="Outros"/>
    <x v="5"/>
    <n v="1"/>
    <n v="5004042"/>
    <s v="BRASIL WEB TRANSPORTES E LOGISTICA"/>
    <n v="322.41000000000003"/>
    <d v="2025-08-22T00:00:00"/>
  </r>
  <r>
    <s v="Sem TR"/>
    <n v="64835422"/>
    <s v="REB"/>
    <n v="10153345"/>
    <n v="509"/>
    <s v="Qtd de peças a Menor dentro do Volume"/>
    <s v="LOGÍSTICA"/>
    <x v="2"/>
    <n v="28681"/>
    <s v="PERIN &amp; CIA"/>
    <s v="SP"/>
    <n v="643"/>
    <s v="Elite"/>
    <n v="1350"/>
    <s v="W10169464"/>
    <s v="Defletores/Difusores"/>
    <x v="6"/>
    <n v="4"/>
    <n v="5002359"/>
    <s v="EMPRESA BRASILEIRA DE CORREIOS E"/>
    <n v="115.74"/>
    <d v="2025-08-22T00:00:00"/>
  </r>
  <r>
    <s v="Sem TR"/>
    <n v="64835423"/>
    <s v="REB"/>
    <n v="9941729"/>
    <n v="173"/>
    <s v="PEÇAS - Defeito de fabric./Alta Amperage"/>
    <s v="FUNCIONAL"/>
    <x v="1"/>
    <n v="29731"/>
    <s v="FRIGELAR COMÉRCIO E INDÚSTRIA LTDA"/>
    <s v="RS"/>
    <n v="713"/>
    <s v="Key Account"/>
    <n v="1350"/>
    <s v="W11199202"/>
    <s v="Placas de Controle"/>
    <x v="2"/>
    <n v="1"/>
    <n v="5003024"/>
    <s v="RODOBRAS TRANSPORTES RODOVIARIOS LT"/>
    <n v="228.99"/>
    <d v="2025-08-22T00:00:00"/>
  </r>
  <r>
    <s v="Sem TR"/>
    <n v="64835435"/>
    <s v="REB"/>
    <n v="10161752"/>
    <n v="509"/>
    <s v="Qtd de peças a Menor dentro do Volume"/>
    <s v="LOGÍSTICA"/>
    <x v="2"/>
    <n v="80432"/>
    <s v="FRIORIO DISTRIBUIDOR DE PECAS PARA"/>
    <s v="ES"/>
    <n v="713"/>
    <s v="Key Account"/>
    <n v="1350"/>
    <n v="326021045"/>
    <s v="Recipientes de Evaporação"/>
    <x v="1"/>
    <n v="5"/>
    <n v="5002359"/>
    <s v="EMPRESA BRASILEIRA DE CORREIOS E"/>
    <n v="24.64"/>
    <d v="2025-08-22T00:00:00"/>
  </r>
  <r>
    <s v="Sem TR"/>
    <n v="64835436"/>
    <s v="REB"/>
    <n v="10161752"/>
    <n v="509"/>
    <s v="Qtd de peças a Menor dentro do Volume"/>
    <s v="LOGÍSTICA"/>
    <x v="2"/>
    <n v="80432"/>
    <s v="FRIORIO DISTRIBUIDOR DE PECAS PARA"/>
    <s v="ES"/>
    <n v="713"/>
    <s v="Key Account"/>
    <n v="1350"/>
    <s v="W11629019"/>
    <s v="Recipientes de Evaporação"/>
    <x v="1"/>
    <n v="12"/>
    <n v="5002359"/>
    <s v="EMPRESA BRASILEIRA DE CORREIOS E"/>
    <n v="155.66999999999999"/>
    <d v="2025-08-22T00:00:00"/>
  </r>
  <r>
    <n v="254062080"/>
    <n v="64835438"/>
    <s v="REB"/>
    <n v="10183646"/>
    <n v="167"/>
    <s v="PEÇAS - Avaria - Quebrada/Depósito"/>
    <s v="LOGÍSTICA"/>
    <x v="2"/>
    <n v="28016"/>
    <s v="MAREAR SERVIÇOS TECNICOS LTDA"/>
    <s v="RJ"/>
    <n v="933"/>
    <s v="Top"/>
    <n v="1350"/>
    <n v="326062627"/>
    <s v="Tampas Móveis"/>
    <x v="3"/>
    <n v="1"/>
    <n v="5003176"/>
    <s v="J C THEDIN TRANSPORTES LTDA"/>
    <n v="123.59"/>
    <d v="2025-08-22T00:00:00"/>
  </r>
  <r>
    <s v="Sem TR"/>
    <n v="64835443"/>
    <s v="REB"/>
    <n v="10153346"/>
    <n v="509"/>
    <s v="Qtd de peças a Menor dentro do Volume"/>
    <s v="LOGÍSTICA"/>
    <x v="2"/>
    <n v="28681"/>
    <s v="PERIN &amp; CIA"/>
    <s v="SP"/>
    <n v="643"/>
    <s v="Elite"/>
    <n v="1350"/>
    <s v="W10181250"/>
    <s v="Polias/Roldanas"/>
    <x v="4"/>
    <n v="3"/>
    <n v="5002359"/>
    <s v="EMPRESA BRASILEIRA DE CORREIOS E"/>
    <n v="50.45"/>
    <d v="2025-08-22T00:00:00"/>
  </r>
  <r>
    <n v="254062076"/>
    <n v="64835446"/>
    <s v="REB"/>
    <n v="10143421"/>
    <n v="176"/>
    <s v="PEÇAS - Defeito de fabric./Interrompido"/>
    <s v="FUNCIONAL"/>
    <x v="2"/>
    <n v="3506"/>
    <s v="TECBRAS ASSISTENCIA TECNICA"/>
    <s v="SP"/>
    <n v="931"/>
    <s v="Ats Off"/>
    <n v="1350"/>
    <s v="W10585027"/>
    <s v="Bombas"/>
    <x v="2"/>
    <n v="1"/>
    <n v="5004042"/>
    <s v="BRASIL WEB TRANSPORTES E LOGISTICA"/>
    <n v="168.82"/>
    <d v="2025-08-22T00:00:00"/>
  </r>
  <r>
    <n v="254064142"/>
    <n v="64835447"/>
    <s v="REB"/>
    <n v="10159308"/>
    <n v="176"/>
    <s v="PEÇAS - Defeito de fabric./Interrompido"/>
    <s v="FUNCIONAL"/>
    <x v="2"/>
    <n v="3506"/>
    <s v="TECBRAS ASSISTENCIA TECNICA"/>
    <s v="SP"/>
    <n v="931"/>
    <s v="Ats Off"/>
    <n v="1350"/>
    <s v="W10729735"/>
    <s v="Transformadores"/>
    <x v="2"/>
    <n v="1"/>
    <n v="5004042"/>
    <s v="BRASIL WEB TRANSPORTES E LOGISTICA"/>
    <n v="151.07"/>
    <d v="2025-08-22T00:00:00"/>
  </r>
  <r>
    <n v="254062076"/>
    <n v="64835448"/>
    <s v="REB"/>
    <n v="10154258"/>
    <n v="176"/>
    <s v="PEÇAS - Defeito de fabric./Interrompido"/>
    <s v="FUNCIONAL"/>
    <x v="2"/>
    <n v="3506"/>
    <s v="TECBRAS ASSISTENCIA TECNICA"/>
    <s v="SP"/>
    <n v="931"/>
    <s v="Ats Off"/>
    <n v="1350"/>
    <s v="W11623159"/>
    <s v="Capacitores"/>
    <x v="2"/>
    <n v="1"/>
    <n v="5004042"/>
    <s v="BRASIL WEB TRANSPORTES E LOGISTICA"/>
    <n v="33.770000000000003"/>
    <d v="2025-08-22T00:00:00"/>
  </r>
  <r>
    <s v="Sem TR"/>
    <n v="64835449"/>
    <s v="REB"/>
    <n v="10115161"/>
    <n v="411"/>
    <s v="DEV-Extravio de PEÇAS (Transportadora)"/>
    <s v="TRANSPORTADORA"/>
    <x v="2"/>
    <n v="22759"/>
    <s v="E. V. FERREIRA MARQUES -SERVICOS"/>
    <s v="MT"/>
    <n v="931"/>
    <s v="Ats Off"/>
    <n v="1350"/>
    <s v="W11311794"/>
    <s v="Placas de Controle"/>
    <x v="2"/>
    <n v="2"/>
    <n v="5002573"/>
    <s v="CARVALIMA TRANSPORTES LTDA"/>
    <n v="169.56"/>
    <d v="2025-08-20T00:00:00"/>
  </r>
  <r>
    <s v="Sem TR"/>
    <n v="64835449"/>
    <s v="REB"/>
    <n v="10115161"/>
    <n v="411"/>
    <s v="DEV-Extravio de PEÇAS (Transportadora)"/>
    <s v="TRANSPORTADORA"/>
    <x v="2"/>
    <n v="22759"/>
    <s v="E. V. FERREIRA MARQUES -SERVICOS"/>
    <s v="MT"/>
    <n v="931"/>
    <s v="Ats Off"/>
    <n v="1350"/>
    <s v="W11340256"/>
    <s v="Placas de Interface"/>
    <x v="2"/>
    <n v="1"/>
    <n v="5002573"/>
    <s v="CARVALIMA TRANSPORTES LTDA"/>
    <n v="559.05999999999995"/>
    <d v="2025-08-20T00:00:00"/>
  </r>
  <r>
    <s v="Sem TR"/>
    <n v="64835648"/>
    <s v="REB"/>
    <n v="10161258"/>
    <n v="167"/>
    <s v="PEÇAS - Avaria - Quebrada/Depósito"/>
    <s v="LOGÍSTICA"/>
    <x v="1"/>
    <n v="86964"/>
    <s v="REFRICRIL DISTRIBUIDORA"/>
    <s v="PB"/>
    <n v="713"/>
    <s v="Key Account"/>
    <n v="1350"/>
    <s v="W10483993"/>
    <s v="Capas"/>
    <x v="3"/>
    <n v="2"/>
    <n v="5004101"/>
    <s v="UNIDOCK'S ASSESSORIA E LOGISTICA DE"/>
    <n v="40.15"/>
    <d v="2025-08-22T00:00:00"/>
  </r>
  <r>
    <n v="254064142"/>
    <n v="64835936"/>
    <s v="REB"/>
    <n v="10169065"/>
    <n v="176"/>
    <s v="PEÇAS - Defeito de fabric./Interrompido"/>
    <s v="FUNCIONAL"/>
    <x v="2"/>
    <n v="3506"/>
    <s v="TECBRAS ASSISTENCIA TECNICA"/>
    <s v="SP"/>
    <n v="931"/>
    <s v="Ats Off"/>
    <n v="1350"/>
    <s v="W10563664"/>
    <s v="Membranas Eletrônicas"/>
    <x v="2"/>
    <n v="1"/>
    <n v="5004042"/>
    <s v="BRASIL WEB TRANSPORTES E LOGISTICA"/>
    <n v="102.09"/>
    <d v="2025-08-22T00:00:00"/>
  </r>
  <r>
    <n v="254066526"/>
    <n v="64835938"/>
    <s v="REB"/>
    <n v="10177020"/>
    <n v="168"/>
    <s v="PEÇAS-Def.Fabric.Empenamento/Abaulamento"/>
    <s v="FUNCIONAL"/>
    <x v="2"/>
    <n v="64772"/>
    <s v="GIOVANNA RIBEIRO SANCHES ME"/>
    <s v="SP"/>
    <n v="350"/>
    <s v="Ats On"/>
    <n v="1350"/>
    <s v="W10410547"/>
    <s v="Dobradiças"/>
    <x v="7"/>
    <n v="1"/>
    <n v="5004042"/>
    <s v="BRASIL WEB TRANSPORTES E LOGISTICA"/>
    <n v="31.72"/>
    <d v="2025-08-29T00:00:00"/>
  </r>
  <r>
    <n v="254066526"/>
    <n v="64835938"/>
    <s v="REB"/>
    <n v="10177020"/>
    <n v="168"/>
    <s v="PEÇAS-Def.Fabric.Empenamento/Abaulamento"/>
    <s v="FUNCIONAL"/>
    <x v="2"/>
    <n v="64772"/>
    <s v="GIOVANNA RIBEIRO SANCHES ME"/>
    <s v="SP"/>
    <n v="350"/>
    <s v="Ats On"/>
    <n v="1350"/>
    <s v="W10390025"/>
    <s v="Dobradiças"/>
    <x v="7"/>
    <n v="1"/>
    <n v="5004042"/>
    <s v="BRASIL WEB TRANSPORTES E LOGISTICA"/>
    <n v="32.9"/>
    <d v="2025-08-29T00:00:00"/>
  </r>
  <r>
    <s v="Sem TR"/>
    <n v="64836007"/>
    <s v="REB"/>
    <n v="10171521"/>
    <n v="509"/>
    <s v="Qtd de peças a Menor dentro do Volume"/>
    <s v="LOGÍSTICA"/>
    <x v="2"/>
    <n v="10164"/>
    <s v="FALCONE - COMERCIO E SERVICOS LTDA"/>
    <s v="PB"/>
    <n v="931"/>
    <s v="Ats Off"/>
    <n v="1350"/>
    <s v="W11360276"/>
    <s v="Filtros"/>
    <x v="6"/>
    <n v="1"/>
    <n v="5002359"/>
    <s v="EMPRESA BRASILEIRA DE CORREIOS E"/>
    <n v="24.95"/>
    <d v="2025-08-22T00:00:00"/>
  </r>
  <r>
    <s v="Sem TR"/>
    <n v="64836008"/>
    <s v="REB"/>
    <n v="10182732"/>
    <n v="509"/>
    <s v="Qtd de peças a Menor dentro do Volume"/>
    <s v="LOGÍSTICA"/>
    <x v="2"/>
    <n v="22211"/>
    <s v="BARNI PRES SER COM PROD REFIRG ME"/>
    <s v="SC"/>
    <n v="644"/>
    <s v="Plus"/>
    <n v="1350"/>
    <s v="W10602126"/>
    <s v="Mangueiras"/>
    <x v="6"/>
    <n v="1"/>
    <n v="5002359"/>
    <s v="EMPRESA BRASILEIRA DE CORREIOS E"/>
    <n v="21.76"/>
    <d v="2025-08-22T00:00:00"/>
  </r>
  <r>
    <s v="Sem TR"/>
    <n v="64836040"/>
    <s v="REB"/>
    <n v="10159701"/>
    <n v="509"/>
    <s v="Qtd de peças a Menor dentro do Volume"/>
    <s v="LOGÍSTICA"/>
    <x v="2"/>
    <n v="27574"/>
    <s v="GLACIAL REFRIG MAQ E EQUIP LTDA"/>
    <s v="SP"/>
    <n v="641"/>
    <s v="CDP Diamante"/>
    <n v="1350"/>
    <s v="W10292562"/>
    <s v="Capas"/>
    <x v="3"/>
    <n v="2"/>
    <n v="5002359"/>
    <s v="EMPRESA BRASILEIRA DE CORREIOS E"/>
    <n v="64.41"/>
    <d v="2025-08-22T00:00:00"/>
  </r>
  <r>
    <n v="254061076"/>
    <n v="64836041"/>
    <s v="REB"/>
    <n v="10159701"/>
    <n v="167"/>
    <s v="PEÇAS - Avaria - Quebrada/Depósito"/>
    <s v="LOGÍSTICA"/>
    <x v="2"/>
    <n v="27574"/>
    <s v="GLACIAL REFRIG MAQ E EQUIP LTDA"/>
    <s v="SP"/>
    <n v="641"/>
    <s v="CDP Diamante"/>
    <n v="1350"/>
    <s v="W10477178"/>
    <s v="Capas"/>
    <x v="3"/>
    <n v="2"/>
    <n v="5004042"/>
    <s v="BRASIL WEB TRANSPORTES E LOGISTICA"/>
    <n v="61.99"/>
    <d v="2025-08-22T00:00:00"/>
  </r>
  <r>
    <s v="Sem TR"/>
    <n v="64836042"/>
    <s v="REB"/>
    <n v="10145734"/>
    <n v="509"/>
    <s v="Qtd de peças a Menor dentro do Volume"/>
    <s v="LOGÍSTICA"/>
    <x v="2"/>
    <n v="32265"/>
    <s v="REFRICON COMERCIO DE REFRIGERACAO L"/>
    <s v="PB"/>
    <n v="934"/>
    <s v="CDP Ouro"/>
    <n v="1350"/>
    <s v="W10856154"/>
    <s v="Capas"/>
    <x v="3"/>
    <n v="4"/>
    <n v="5002359"/>
    <s v="EMPRESA BRASILEIRA DE CORREIOS E"/>
    <n v="89.47"/>
    <d v="2025-08-22T00:00:00"/>
  </r>
  <r>
    <s v="Sem TR"/>
    <n v="64836043"/>
    <s v="REB"/>
    <n v="10151662"/>
    <n v="509"/>
    <s v="Qtd de peças a Menor dentro do Volume"/>
    <s v="LOGÍSTICA"/>
    <x v="2"/>
    <n v="72786"/>
    <s v="FRIOLAR CONSERTOS DE"/>
    <s v="SC"/>
    <n v="643"/>
    <s v="Elite"/>
    <n v="1350"/>
    <s v="W10920743"/>
    <s v="Redes Elétricas"/>
    <x v="2"/>
    <n v="1"/>
    <n v="5002359"/>
    <s v="EMPRESA BRASILEIRA DE CORREIOS E"/>
    <n v="182.52"/>
    <d v="2025-08-22T00:00:00"/>
  </r>
  <r>
    <s v="Sem TR"/>
    <n v="64836333"/>
    <s v="REB"/>
    <n v="10196679"/>
    <n v="110"/>
    <s v="PEÇAS-Troca de produtos"/>
    <s v="GESTÃO DE TROCAS"/>
    <x v="1"/>
    <n v="44739"/>
    <s v="MEGA SERVICE PECAS E SERVICOS LTDA"/>
    <s v="PR"/>
    <n v="350"/>
    <s v="Ats On"/>
    <n v="1350"/>
    <s v="W10655058"/>
    <s v="Gabinetes"/>
    <x v="3"/>
    <n v="1"/>
    <n v="5003024"/>
    <s v="RODOBRAS TRANSPORTES RODOVIARIOS LT"/>
    <n v="339.34"/>
    <d v="2025-08-22T00:00:00"/>
  </r>
  <r>
    <s v="Sem TR"/>
    <n v="64836415"/>
    <s v="REB"/>
    <n v="10165313"/>
    <n v="173"/>
    <s v="PEÇAS - Defeito de fabric./Alta Amperage"/>
    <s v="FUNCIONAL"/>
    <x v="1"/>
    <n v="134"/>
    <s v="MULTILAR COM DE PECAS E SERVICOS LT"/>
    <s v="SP"/>
    <n v="350"/>
    <s v="Ats On"/>
    <n v="1350"/>
    <s v="W11691009"/>
    <s v="Outros"/>
    <x v="5"/>
    <n v="1"/>
    <n v="5004042"/>
    <s v="BRASIL WEB TRANSPORTES E LOGISTICA"/>
    <n v="196.4"/>
    <d v="2025-08-22T00:00:00"/>
  </r>
  <r>
    <n v="254064197"/>
    <n v="64836416"/>
    <s v="REB"/>
    <n v="10083531"/>
    <n v="90"/>
    <s v="CLIENTE-não solicitou"/>
    <s v="COMERCIAL"/>
    <x v="2"/>
    <n v="47311"/>
    <s v="REGIMAQ SERVICE ASSIST TEC E PECAS"/>
    <s v="GO"/>
    <n v="350"/>
    <s v="Ats On"/>
    <n v="1350"/>
    <s v="W10884827"/>
    <s v="Portas"/>
    <x v="3"/>
    <n v="1"/>
    <n v="5002858"/>
    <s v="FAVORITA TRANSPORTES LTDA"/>
    <n v="709.34"/>
    <d v="2025-08-22T00:00:00"/>
  </r>
  <r>
    <s v="Sem TR"/>
    <n v="64836417"/>
    <s v="REB"/>
    <n v="10166388"/>
    <n v="173"/>
    <s v="PEÇAS - Defeito de fabric./Alta Amperage"/>
    <s v="FUNCIONAL"/>
    <x v="1"/>
    <n v="30000"/>
    <s v="REFRIGERACAO CALZA LTDA."/>
    <s v="SC"/>
    <n v="350"/>
    <s v="Ats On"/>
    <n v="1350"/>
    <s v="W10603895"/>
    <s v="Lâmpadas"/>
    <x v="2"/>
    <n v="1"/>
    <n v="5003024"/>
    <s v="RODOBRAS TRANSPORTES RODOVIARIOS LT"/>
    <n v="60.83"/>
    <d v="2025-08-22T00:00:00"/>
  </r>
  <r>
    <n v="254061093"/>
    <n v="64836418"/>
    <s v="REB"/>
    <n v="10168855"/>
    <n v="90"/>
    <s v="CLIENTE-não solicitou"/>
    <s v="COMERCIAL"/>
    <x v="2"/>
    <n v="30990"/>
    <s v="REFRIGERACAO DUFRIO COMERCIO E"/>
    <s v="ES"/>
    <n v="713"/>
    <s v="Key Account"/>
    <n v="1350"/>
    <s v="W10632302"/>
    <s v="Válvulas de Água"/>
    <x v="6"/>
    <n v="18"/>
    <n v="5004042"/>
    <s v="BRASIL WEB TRANSPORTES E LOGISTICA"/>
    <n v="494.28"/>
    <d v="2025-08-22T00:00:00"/>
  </r>
  <r>
    <s v="Sem TR"/>
    <n v="64836436"/>
    <s v="ROB"/>
    <n v="10182410"/>
    <n v="115"/>
    <s v="PEÇAS-Recusa do cliente"/>
    <s v="COMERCIAL"/>
    <x v="1"/>
    <n v="4687"/>
    <s v="DUPA COMERCIAL DE PECAS LTDA"/>
    <s v="SC"/>
    <n v="350"/>
    <s v="Ats On"/>
    <n v="1350"/>
    <s v="W11509386"/>
    <s v="Filtros"/>
    <x v="6"/>
    <n v="2"/>
    <n v="5003024"/>
    <s v="RODOBRAS TRANSPORTES RODOVIARIOS LT"/>
    <n v="165.19"/>
    <d v="2025-08-22T00:00:00"/>
  </r>
  <r>
    <s v="Sem TR"/>
    <n v="64836437"/>
    <s v="REB"/>
    <n v="10158841"/>
    <n v="411"/>
    <s v="DEV-Extravio de PEÇAS (Transportadora)"/>
    <s v="TRANSPORTADORA"/>
    <x v="2"/>
    <n v="30416"/>
    <s v="JF OLIVEIRA PEREIRA ELETROD LTDA"/>
    <s v="AM"/>
    <n v="648"/>
    <s v="Ultra"/>
    <n v="1350"/>
    <s v="W10393802"/>
    <s v="Compressores Herméticos"/>
    <x v="0"/>
    <n v="1"/>
    <n v="5002858"/>
    <s v="FAVORITA TRANSPORTES LTDA"/>
    <n v="280.95999999999998"/>
    <d v="2025-08-22T00:00:00"/>
  </r>
  <r>
    <s v="Sem TR"/>
    <n v="64836438"/>
    <s v="ROB"/>
    <n v="10182411"/>
    <n v="115"/>
    <s v="PEÇAS-Recusa do cliente"/>
    <s v="COMERCIAL"/>
    <x v="1"/>
    <n v="4687"/>
    <s v="DUPA COMERCIAL DE PECAS LTDA"/>
    <s v="SC"/>
    <n v="350"/>
    <s v="Ats On"/>
    <n v="1350"/>
    <s v="W10369204"/>
    <s v="Motores Ventiladores"/>
    <x v="2"/>
    <n v="1"/>
    <n v="5003024"/>
    <s v="RODOBRAS TRANSPORTES RODOVIARIOS LT"/>
    <n v="151.4"/>
    <d v="2025-08-22T00:00:00"/>
  </r>
  <r>
    <s v="Sem TR"/>
    <n v="64836439"/>
    <s v="ROB"/>
    <n v="10182412"/>
    <n v="115"/>
    <s v="PEÇAS-Recusa do cliente"/>
    <s v="COMERCIAL"/>
    <x v="1"/>
    <n v="4687"/>
    <s v="DUPA COMERCIAL DE PECAS LTDA"/>
    <s v="SC"/>
    <n v="350"/>
    <s v="Ats On"/>
    <n v="1350"/>
    <s v="W10309854"/>
    <s v="Mangueiras"/>
    <x v="6"/>
    <n v="5"/>
    <n v="5003024"/>
    <s v="RODOBRAS TRANSPORTES RODOVIARIOS LT"/>
    <n v="51.45"/>
    <d v="2025-08-22T00:00:00"/>
  </r>
  <r>
    <n v="254061131"/>
    <n v="64836456"/>
    <s v="REB"/>
    <n v="9915487"/>
    <n v="178"/>
    <s v="PEÇAS -Defeito de fabric./Sem Compressão"/>
    <s v="FUNCIONAL"/>
    <x v="2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4.57"/>
    <d v="2025-08-22T00:00:00"/>
  </r>
  <r>
    <s v="Sem TR"/>
    <n v="64836457"/>
    <s v="REB"/>
    <n v="10161751"/>
    <n v="509"/>
    <s v="Qtd de peças a Menor dentro do Volume"/>
    <s v="LOGÍSTICA"/>
    <x v="2"/>
    <n v="80432"/>
    <s v="FRIORIO DISTRIBUIDOR DE PECAS PARA"/>
    <s v="ES"/>
    <n v="713"/>
    <s v="Key Account"/>
    <n v="1350"/>
    <s v="W10539793"/>
    <s v="Capas"/>
    <x v="3"/>
    <n v="2"/>
    <n v="5002359"/>
    <s v="EMPRESA BRASILEIRA DE CORREIOS E"/>
    <n v="40.72"/>
    <d v="2025-08-22T00:00:00"/>
  </r>
  <r>
    <n v="254062124"/>
    <n v="64836460"/>
    <s v="REB"/>
    <n v="10181803"/>
    <n v="167"/>
    <s v="PEÇAS - Avaria - Quebrada/Depósito"/>
    <s v="LOGÍSTICA"/>
    <x v="1"/>
    <n v="42455"/>
    <s v="D. B. GOMES SOROCABA"/>
    <s v="SP"/>
    <n v="931"/>
    <s v="Ats Off"/>
    <n v="1350"/>
    <s v="W11550735"/>
    <s v="Vidros"/>
    <x v="3"/>
    <n v="1"/>
    <n v="5004042"/>
    <s v="BRASIL WEB TRANSPORTES E LOGISTICA"/>
    <n v="124.25"/>
    <d v="2025-08-22T00:00:00"/>
  </r>
  <r>
    <s v="Sem TR"/>
    <n v="64836461"/>
    <s v="REB"/>
    <n v="10182859"/>
    <n v="104"/>
    <s v="PEÇAS-Código trocado(embalag X conteúdo)"/>
    <s v="LOGÍSTICA"/>
    <x v="1"/>
    <n v="5096"/>
    <s v="GUILHERME KLEY EIRELI"/>
    <s v="RS"/>
    <n v="350"/>
    <s v="Ats On"/>
    <n v="1350"/>
    <s v="W10468263"/>
    <s v="Mangueiras"/>
    <x v="6"/>
    <n v="1"/>
    <n v="5003024"/>
    <s v="RODOBRAS TRANSPORTES RODOVIARIOS LT"/>
    <n v="31.27"/>
    <d v="2025-08-22T00:00:00"/>
  </r>
  <r>
    <s v="Sem TR"/>
    <n v="64836462"/>
    <s v="REB"/>
    <n v="10187951"/>
    <n v="509"/>
    <s v="Qtd de peças a Menor dentro do Volume"/>
    <s v="LOGÍSTICA"/>
    <x v="2"/>
    <n v="29802"/>
    <s v="BOQUETAO REFRIGERACAO EIRELI"/>
    <s v="SP"/>
    <n v="934"/>
    <s v="CDP Ouro"/>
    <n v="1350"/>
    <s v="W10531315"/>
    <s v="Sensores"/>
    <x v="8"/>
    <n v="50"/>
    <n v="5002359"/>
    <s v="EMPRESA BRASILEIRA DE CORREIOS E"/>
    <n v="470.2"/>
    <d v="2025-08-22T00:00:00"/>
  </r>
  <r>
    <n v="254061192"/>
    <n v="64836463"/>
    <s v="REB"/>
    <n v="9542996"/>
    <n v="178"/>
    <s v="PEÇAS -Defeito de fabric./Sem Compressão"/>
    <s v="FUNCIONAL"/>
    <x v="1"/>
    <n v="81459"/>
    <s v="REFRIGERACAO GM EIRELI"/>
    <s v="SP"/>
    <n v="648"/>
    <s v="Ultra"/>
    <n v="1350"/>
    <s v="W11647660"/>
    <s v="Compressores Herméticos"/>
    <x v="0"/>
    <n v="1"/>
    <n v="5004042"/>
    <s v="BRASIL WEB TRANSPORTES E LOGISTICA"/>
    <n v="305.95"/>
    <d v="2025-08-22T00:00:00"/>
  </r>
  <r>
    <n v="254061164"/>
    <n v="64836465"/>
    <s v="REB"/>
    <n v="10151938"/>
    <n v="167"/>
    <s v="PEÇAS - Avaria - Quebrada/Depósito"/>
    <s v="LOGÍSTICA"/>
    <x v="1"/>
    <n v="69085"/>
    <s v="DO BEN COMERCIO DE PECAS"/>
    <s v="SP"/>
    <n v="641"/>
    <s v="CDP Diamante"/>
    <n v="1350"/>
    <n v="326064042"/>
    <s v="Prateleiras"/>
    <x v="1"/>
    <n v="1"/>
    <n v="5004042"/>
    <s v="BRASIL WEB TRANSPORTES E LOGISTICA"/>
    <n v="28.81"/>
    <d v="2025-08-22T00:00:00"/>
  </r>
  <r>
    <n v="254061166"/>
    <n v="64836466"/>
    <s v="REB"/>
    <n v="10160834"/>
    <n v="104"/>
    <s v="PEÇAS-Código trocado(embalag X conteúdo)"/>
    <s v="LOGÍSTICA"/>
    <x v="2"/>
    <n v="69166"/>
    <s v="PC COMERCIO E REPARACAO DE APARELHO"/>
    <s v="RJ"/>
    <n v="931"/>
    <s v="Ats Off"/>
    <n v="1350"/>
    <s v="W10351688"/>
    <s v="Capas Queimadores"/>
    <x v="9"/>
    <n v="1"/>
    <n v="5003176"/>
    <s v="J C THEDIN TRANSPORTES LTDA"/>
    <n v="8.41"/>
    <d v="2025-08-22T00:00:00"/>
  </r>
  <r>
    <s v="Sem TR"/>
    <n v="64836467"/>
    <s v="REB"/>
    <n v="10155639"/>
    <n v="509"/>
    <s v="Qtd de peças a Menor dentro do Volume"/>
    <s v="LOGÍSTICA"/>
    <x v="2"/>
    <n v="83581"/>
    <s v="ELLIMAQ REFRIGERACAO"/>
    <s v="SP"/>
    <n v="932"/>
    <s v="CDP Prata"/>
    <n v="1350"/>
    <s v="W10589007"/>
    <s v="Manípulos"/>
    <x v="3"/>
    <n v="3"/>
    <n v="5002359"/>
    <s v="EMPRESA BRASILEIRA DE CORREIOS E"/>
    <n v="16.559999999999999"/>
    <d v="2025-08-22T00:00:00"/>
  </r>
  <r>
    <n v="254061200"/>
    <n v="64836468"/>
    <s v="REB"/>
    <n v="10158608"/>
    <n v="167"/>
    <s v="PEÇAS - Avaria - Quebrada/Depósito"/>
    <s v="LOGÍSTICA"/>
    <x v="1"/>
    <n v="88969"/>
    <s v="FREEZE SHOP LTDA"/>
    <s v="SC"/>
    <n v="641"/>
    <s v="CDP Diamante"/>
    <n v="1350"/>
    <s v="W11113394"/>
    <s v="Gavetas"/>
    <x v="1"/>
    <n v="1"/>
    <n v="5003024"/>
    <s v="RODOBRAS TRANSPORTES RODOVIARIOS LT"/>
    <n v="89.59"/>
    <d v="2025-08-22T00:00:00"/>
  </r>
  <r>
    <n v="254061162"/>
    <n v="64836476"/>
    <s v="REB"/>
    <n v="10158589"/>
    <n v="167"/>
    <s v="PEÇAS - Avaria - Quebrada/Depósito"/>
    <s v="LOGÍSTICA"/>
    <x v="2"/>
    <n v="67948"/>
    <s v="REFRICRIL DISTRIBUIDORA DE AR REFRI"/>
    <s v="SC"/>
    <n v="713"/>
    <s v="Key Account"/>
    <n v="1350"/>
    <s v="W10477178"/>
    <s v="Capas"/>
    <x v="3"/>
    <n v="3"/>
    <n v="5003024"/>
    <s v="RODOBRAS TRANSPORTES RODOVIARIOS LT"/>
    <n v="60.94"/>
    <d v="2025-08-22T00:00:00"/>
  </r>
  <r>
    <s v="Sem TR"/>
    <n v="64836477"/>
    <s v="REB"/>
    <n v="10158600"/>
    <n v="509"/>
    <s v="Qtd de peças a Menor dentro do Volume"/>
    <s v="LOGÍSTICA"/>
    <x v="2"/>
    <n v="72786"/>
    <s v="FRIOLAR CONSERTOS DE"/>
    <s v="SC"/>
    <n v="643"/>
    <s v="Elite"/>
    <n v="1350"/>
    <s v="W11444635"/>
    <s v="Gavetas"/>
    <x v="1"/>
    <n v="4"/>
    <n v="5002359"/>
    <s v="EMPRESA BRASILEIRA DE CORREIOS E"/>
    <n v="364.98"/>
    <d v="2025-08-22T00:00:00"/>
  </r>
  <r>
    <s v="Sem TR"/>
    <n v="64836478"/>
    <s v="REB"/>
    <n v="9912907"/>
    <n v="178"/>
    <s v="PEÇAS -Defeito de fabric./Sem Compressão"/>
    <s v="FUNCIONAL"/>
    <x v="1"/>
    <n v="63300"/>
    <s v="REFRIGERACAO MOTA LTDA"/>
    <s v="MG"/>
    <n v="643"/>
    <s v="Elite"/>
    <n v="1350"/>
    <s v="W10393823"/>
    <s v="Compressores Herméticos"/>
    <x v="0"/>
    <n v="2"/>
    <n v="5004215"/>
    <s v="BRASIL WEB TRANSPORTES E LOGISTICA"/>
    <n v="949.01"/>
    <d v="2025-08-22T00:00:00"/>
  </r>
  <r>
    <n v="254060961"/>
    <n v="64836550"/>
    <s v="REB"/>
    <n v="10153541"/>
    <n v="165"/>
    <s v="PEÇAS - Defeito de fabric./Incompleta"/>
    <s v="FUNCIONAL"/>
    <x v="1"/>
    <n v="66"/>
    <s v="CENTROMAQ PECAS E SERVICOS LTDA"/>
    <s v="GO"/>
    <n v="931"/>
    <s v="Ats Off"/>
    <n v="1350"/>
    <s v="W11634906"/>
    <s v="Sensores"/>
    <x v="8"/>
    <n v="3"/>
    <n v="5002858"/>
    <s v="FAVORITA TRANSPORTES LTDA"/>
    <n v="307.64999999999998"/>
    <d v="2025-08-22T00:00:00"/>
  </r>
  <r>
    <s v="Sem TR"/>
    <n v="64836551"/>
    <s v="REB"/>
    <n v="10154390"/>
    <n v="167"/>
    <s v="PEÇAS - Avaria - Quebrada/Depósito"/>
    <s v="LOGÍSTICA"/>
    <x v="1"/>
    <n v="54465"/>
    <s v="LCB COMERCIO E SERVICOS"/>
    <s v="SP"/>
    <n v="644"/>
    <s v="Plus"/>
    <n v="1350"/>
    <s v="W10287534"/>
    <s v="Prateleiras"/>
    <x v="1"/>
    <n v="3"/>
    <n v="5004042"/>
    <s v="BRASIL WEB TRANSPORTES E LOGISTICA"/>
    <n v="115.51"/>
    <d v="2025-08-22T00:00:00"/>
  </r>
  <r>
    <s v="Sem TR"/>
    <n v="64836552"/>
    <s v="REB"/>
    <n v="10154389"/>
    <n v="170"/>
    <s v="PEÇAS - Avaria - Riscada/Depósito"/>
    <s v="LOGÍSTICA"/>
    <x v="1"/>
    <n v="54465"/>
    <s v="LCB COMERCIO E SERVICOS"/>
    <s v="SP"/>
    <n v="644"/>
    <s v="Plus"/>
    <n v="1350"/>
    <s v="W11396368"/>
    <s v="Gavetas"/>
    <x v="1"/>
    <n v="1"/>
    <n v="5004042"/>
    <s v="BRASIL WEB TRANSPORTES E LOGISTICA"/>
    <n v="96.25"/>
    <d v="2025-08-22T00:00:00"/>
  </r>
  <r>
    <n v="254061136"/>
    <n v="64836553"/>
    <s v="REB"/>
    <n v="10181045"/>
    <n v="173"/>
    <s v="PEÇAS - Defeito de fabric./Alta Amperage"/>
    <s v="FUNCIONAL"/>
    <x v="2"/>
    <n v="55093"/>
    <s v="NAUTICA REFRIGERACAO E"/>
    <s v="SP"/>
    <n v="648"/>
    <s v="Ultra"/>
    <n v="1350"/>
    <s v="W11299803"/>
    <s v="Mecanismos"/>
    <x v="4"/>
    <n v="1"/>
    <n v="5004042"/>
    <s v="BRASIL WEB TRANSPORTES E LOGISTICA"/>
    <n v="108.5"/>
    <d v="2025-08-22T00:00:00"/>
  </r>
  <r>
    <s v="Sem TR"/>
    <n v="64836554"/>
    <s v="REB"/>
    <n v="10153345"/>
    <n v="509"/>
    <s v="Qtd de peças a Menor dentro do Volume"/>
    <s v="LOGÍSTICA"/>
    <x v="2"/>
    <n v="28681"/>
    <s v="PERIN &amp; CIA"/>
    <s v="SP"/>
    <n v="643"/>
    <s v="Elite"/>
    <n v="1350"/>
    <s v="W10471975"/>
    <s v="Interruptores"/>
    <x v="8"/>
    <n v="1"/>
    <n v="5002359"/>
    <s v="EMPRESA BRASILEIRA DE CORREIOS E"/>
    <n v="37.869999999999997"/>
    <d v="2025-08-22T00:00:00"/>
  </r>
  <r>
    <s v="Sem TR"/>
    <n v="64836555"/>
    <s v="REB"/>
    <n v="10162770"/>
    <n v="104"/>
    <s v="PEÇAS-Código trocado(embalag X conteúdo)"/>
    <s v="LOGÍSTICA"/>
    <x v="1"/>
    <n v="28684"/>
    <s v="CABO FRIO PECAS"/>
    <s v="SP"/>
    <n v="648"/>
    <s v="Ultra"/>
    <n v="1350"/>
    <s v="W10470951"/>
    <s v="Correias"/>
    <x v="4"/>
    <n v="20"/>
    <n v="5004042"/>
    <s v="BRASIL WEB TRANSPORTES E LOGISTICA"/>
    <n v="200.01"/>
    <d v="2025-08-22T00:00:00"/>
  </r>
  <r>
    <s v="Sem TR"/>
    <n v="64836556"/>
    <s v="REB"/>
    <n v="10155568"/>
    <n v="167"/>
    <s v="PEÇAS - Avaria - Quebrada/Depósito"/>
    <s v="LOGÍSTICA"/>
    <x v="1"/>
    <n v="25656"/>
    <s v="OFICIAL REFRIGERACAO COMERCIO"/>
    <s v="SP"/>
    <n v="931"/>
    <s v="Ats Off"/>
    <n v="1350"/>
    <s v="W10287534"/>
    <s v="Prateleiras"/>
    <x v="1"/>
    <n v="1"/>
    <n v="5004042"/>
    <s v="BRASIL WEB TRANSPORTES E LOGISTICA"/>
    <n v="36.909999999999997"/>
    <d v="2025-08-22T00:00:00"/>
  </r>
  <r>
    <s v="Sem TR"/>
    <n v="64836557"/>
    <s v="REB"/>
    <n v="10185699"/>
    <n v="509"/>
    <s v="Qtd de peças a Menor dentro do Volume"/>
    <s v="LOGÍSTICA"/>
    <x v="2"/>
    <n v="29432"/>
    <s v="SAT COMERCIO DE PECAS P/ ELETROD.LT"/>
    <s v="SP"/>
    <n v="932"/>
    <s v="CDP Prata"/>
    <n v="1350"/>
    <s v="W10779052"/>
    <s v="Mangueiras"/>
    <x v="6"/>
    <n v="1"/>
    <n v="5002359"/>
    <s v="EMPRESA BRASILEIRA DE CORREIOS E"/>
    <n v="5.08"/>
    <d v="2025-08-22T00:00:00"/>
  </r>
  <r>
    <n v="254062079"/>
    <n v="64836559"/>
    <s v="REB"/>
    <n v="10150455"/>
    <n v="104"/>
    <s v="PEÇAS-Código trocado(embalag X conteúdo)"/>
    <s v="LOGÍSTICA"/>
    <x v="1"/>
    <n v="27511"/>
    <s v="MARCOS JOSE DE OLIVEIRA SOROCABA-EP"/>
    <s v="SP"/>
    <n v="641"/>
    <s v="CDP Diamante"/>
    <n v="1350"/>
    <s v="W10754807"/>
    <s v="Agitadores"/>
    <x v="4"/>
    <n v="2"/>
    <n v="5004042"/>
    <s v="BRASIL WEB TRANSPORTES E LOGISTICA"/>
    <n v="107.59"/>
    <d v="2025-08-22T00:00:00"/>
  </r>
  <r>
    <n v="254061063"/>
    <n v="64836561"/>
    <s v="REB"/>
    <n v="10111828"/>
    <n v="176"/>
    <s v="PEÇAS - Defeito de fabric./Interrompido"/>
    <s v="FUNCIONAL"/>
    <x v="2"/>
    <n v="8975"/>
    <s v="FORT CENTER REFRIGERACAO LTDA"/>
    <s v="MA"/>
    <n v="931"/>
    <s v="Ats Off"/>
    <n v="1350"/>
    <s v="W11199202"/>
    <s v="Placas de Controle"/>
    <x v="2"/>
    <n v="1"/>
    <n v="5004101"/>
    <s v="UNIDOCK'S ASSESSORIA E LOGISTICA DE"/>
    <n v="242.69"/>
    <d v="2025-08-22T00:00:00"/>
  </r>
  <r>
    <s v="Sem TR"/>
    <n v="64836564"/>
    <s v="REB"/>
    <n v="10148511"/>
    <n v="509"/>
    <s v="Qtd de peças a Menor dentro do Volume"/>
    <s v="LOGÍSTICA"/>
    <x v="2"/>
    <n v="38591"/>
    <s v="MUNDIAL REFRIGERACAO LTDA"/>
    <s v="GO"/>
    <n v="643"/>
    <s v="Elite"/>
    <n v="1350"/>
    <s v="W10602056"/>
    <s v="Botões"/>
    <x v="3"/>
    <n v="3"/>
    <n v="5002359"/>
    <s v="EMPRESA BRASILEIRA DE CORREIOS E"/>
    <n v="29.22"/>
    <d v="2025-08-22T00:00:00"/>
  </r>
  <r>
    <s v="Sem TR"/>
    <n v="64836565"/>
    <s v="REB"/>
    <n v="10163621"/>
    <n v="90"/>
    <s v="CLIENTE-não solicitou"/>
    <s v="COMERCIAL"/>
    <x v="1"/>
    <n v="63300"/>
    <s v="REFRIGERACAO MOTA LTDA"/>
    <s v="MG"/>
    <n v="643"/>
    <s v="Elite"/>
    <n v="1350"/>
    <s v="W11300676"/>
    <s v="Mecanismos"/>
    <x v="4"/>
    <n v="50"/>
    <n v="5004215"/>
    <s v="BRASIL WEB TRANSPORTES E LOGISTICA"/>
    <n v="5124.5"/>
    <d v="2025-08-22T00:00:00"/>
  </r>
  <r>
    <s v="Sem TR"/>
    <n v="64836566"/>
    <s v="REB"/>
    <n v="10166700"/>
    <n v="104"/>
    <s v="PEÇAS-Código trocado(embalag X conteúdo)"/>
    <s v="LOGÍSTICA"/>
    <x v="1"/>
    <n v="75752"/>
    <s v="MGPARTS COMERCIO E DISTRIBUIDORA DE"/>
    <s v="PR"/>
    <n v="648"/>
    <s v="Ultra"/>
    <n v="1350"/>
    <n v="326072657"/>
    <s v="Peças Transmissão/Embreagens"/>
    <x v="4"/>
    <n v="1"/>
    <n v="5003024"/>
    <s v="RODOBRAS TRANSPORTES RODOVIARIOS LT"/>
    <n v="85.01"/>
    <d v="2025-08-22T00:00:00"/>
  </r>
  <r>
    <n v="254062127"/>
    <n v="64836567"/>
    <s v="REB"/>
    <n v="10158600"/>
    <n v="167"/>
    <s v="PEÇAS - Avaria - Quebrada/Depósito"/>
    <s v="LOGÍSTICA"/>
    <x v="2"/>
    <n v="72786"/>
    <s v="FRIOLAR CONSERTOS DE"/>
    <s v="SC"/>
    <n v="643"/>
    <s v="Elite"/>
    <n v="1350"/>
    <n v="326065119"/>
    <s v="Prateleiras"/>
    <x v="1"/>
    <n v="1"/>
    <n v="5003024"/>
    <s v="RODOBRAS TRANSPORTES RODOVIARIOS LT"/>
    <n v="24.07"/>
    <d v="2025-08-22T00:00:00"/>
  </r>
  <r>
    <s v="Sem TR"/>
    <n v="64836568"/>
    <s v="REB"/>
    <n v="9898701"/>
    <n v="173"/>
    <s v="PEÇAS - Defeito de fabric./Alta Amperage"/>
    <s v="FUNCIONAL"/>
    <x v="1"/>
    <n v="84684"/>
    <s v="CENTERMAQ COMERCIO E CONSERTOS DE M"/>
    <s v="SC"/>
    <n v="934"/>
    <s v="CDP Ouro"/>
    <n v="1350"/>
    <s v="W11307524"/>
    <s v="Placas de Interface"/>
    <x v="2"/>
    <n v="1"/>
    <n v="5003024"/>
    <s v="RODOBRAS TRANSPORTES RODOVIARIOS LT"/>
    <n v="91.76"/>
    <d v="2025-08-22T00:00:00"/>
  </r>
  <r>
    <s v="Sem TR"/>
    <n v="64836569"/>
    <s v="REB"/>
    <n v="10157103"/>
    <n v="509"/>
    <s v="Qtd de peças a Menor dentro do Volume"/>
    <s v="LOGÍSTICA"/>
    <x v="2"/>
    <n v="81338"/>
    <s v="GABAN COMERCIO DE UTILIDADES"/>
    <s v="SP"/>
    <n v="644"/>
    <s v="Plus"/>
    <n v="1350"/>
    <s v="W11132264"/>
    <s v="Trempes"/>
    <x v="3"/>
    <n v="8"/>
    <n v="5002359"/>
    <s v="EMPRESA BRASILEIRA DE CORREIOS E"/>
    <n v="347.01"/>
    <d v="2025-08-22T00:00:00"/>
  </r>
  <r>
    <n v="254061045"/>
    <n v="64836570"/>
    <s v="REB"/>
    <n v="10155665"/>
    <n v="165"/>
    <s v="PEÇAS - Defeito de fabric./Incompleta"/>
    <s v="FUNCIONAL"/>
    <x v="2"/>
    <n v="4318"/>
    <s v="REFRIGERACAO MARTENDAL LTDA"/>
    <s v="SC"/>
    <n v="931"/>
    <s v="Ats Off"/>
    <n v="1350"/>
    <s v="W11310109"/>
    <s v="Espargidores"/>
    <x v="4"/>
    <n v="2"/>
    <n v="5003024"/>
    <s v="RODOBRAS TRANSPORTES RODOVIARIOS LT"/>
    <n v="48.41"/>
    <d v="2025-08-22T00:00:00"/>
  </r>
  <r>
    <n v="254060961"/>
    <n v="64836571"/>
    <s v="REB"/>
    <n v="10168810"/>
    <n v="104"/>
    <s v="PEÇAS-Código trocado(embalag X conteúdo)"/>
    <s v="LOGÍSTICA"/>
    <x v="1"/>
    <n v="66"/>
    <s v="CENTROMAQ PECAS E SERVICOS LTDA"/>
    <s v="GO"/>
    <n v="931"/>
    <s v="Ats Off"/>
    <n v="1350"/>
    <s v="W10347201"/>
    <s v="Prateleiras"/>
    <x v="1"/>
    <n v="1"/>
    <n v="5002858"/>
    <s v="FAVORITA TRANSPORTES LTDA"/>
    <n v="61.8"/>
    <d v="2025-08-22T00:00:00"/>
  </r>
  <r>
    <s v="Sem TR"/>
    <n v="64836572"/>
    <s v="REB"/>
    <n v="9964312"/>
    <n v="173"/>
    <s v="PEÇAS - Defeito de fabric./Alta Amperage"/>
    <s v="FUNCIONAL"/>
    <x v="1"/>
    <n v="27804"/>
    <s v="REFRIGERACAO MAGAZINE DO FRIO LTDA"/>
    <s v="SP"/>
    <n v="641"/>
    <s v="CDP Diamante"/>
    <n v="1350"/>
    <s v="W10686100"/>
    <s v="Placas de Controle"/>
    <x v="2"/>
    <n v="1"/>
    <n v="5004042"/>
    <s v="BRASIL WEB TRANSPORTES E LOGISTICA"/>
    <n v="194.55"/>
    <d v="2025-08-22T00:00:00"/>
  </r>
  <r>
    <s v="Sem TR"/>
    <n v="64836573"/>
    <s v="REB"/>
    <n v="10195315"/>
    <n v="173"/>
    <s v="PEÇAS - Defeito de fabric./Alta Amperage"/>
    <s v="FUNCIONAL"/>
    <x v="1"/>
    <n v="27874"/>
    <s v="REFRIGERACAO ERECHIM COML TECNICA"/>
    <s v="RS"/>
    <n v="641"/>
    <s v="CDP Diamante"/>
    <n v="1350"/>
    <s v="W11082463"/>
    <s v="Termostatos"/>
    <x v="8"/>
    <n v="1"/>
    <n v="5003024"/>
    <s v="RODOBRAS TRANSPORTES RODOVIARIOS LT"/>
    <n v="42.75"/>
    <d v="2025-08-22T00:00:00"/>
  </r>
  <r>
    <s v="Sem TR"/>
    <n v="64836594"/>
    <s v="REB"/>
    <n v="10154939"/>
    <n v="104"/>
    <s v="PEÇAS-Código trocado(embalag X conteúdo)"/>
    <s v="LOGÍSTICA"/>
    <x v="1"/>
    <n v="3729"/>
    <s v="SERVE SIM SERVICOS E PECAS LTDA"/>
    <s v="SP"/>
    <n v="350"/>
    <s v="Ats On"/>
    <n v="1350"/>
    <s v="W10666549"/>
    <s v="Gaxetas"/>
    <x v="10"/>
    <n v="1"/>
    <n v="5004042"/>
    <s v="BRASIL WEB TRANSPORTES E LOGISTICA"/>
    <n v="100.63"/>
    <d v="2025-08-22T00:00:00"/>
  </r>
  <r>
    <s v="Sem TR"/>
    <n v="64836595"/>
    <s v="REB"/>
    <n v="10158613"/>
    <n v="509"/>
    <s v="Qtd de peças a Menor dentro do Volume"/>
    <s v="LOGÍSTICA"/>
    <x v="2"/>
    <n v="50822"/>
    <s v="CLAYTON DE OLIVEIRA"/>
    <s v="AL"/>
    <n v="644"/>
    <s v="Plus"/>
    <n v="1350"/>
    <s v="W10292562"/>
    <s v="Capas"/>
    <x v="3"/>
    <n v="1"/>
    <n v="5002359"/>
    <s v="EMPRESA BRASILEIRA DE CORREIOS E"/>
    <n v="32.4"/>
    <d v="2025-08-22T00:00:00"/>
  </r>
  <r>
    <n v="254062078"/>
    <n v="64836596"/>
    <s v="REB"/>
    <n v="10183098"/>
    <n v="90"/>
    <s v="CLIENTE-não solicitou"/>
    <s v="COMERCIAL"/>
    <x v="2"/>
    <n v="3555"/>
    <s v="LESTE SERVICE PCS SERVICOS LTDA LES"/>
    <s v="SP"/>
    <n v="931"/>
    <s v="Ats Off"/>
    <n v="1350"/>
    <s v="W11662174"/>
    <s v="Outros"/>
    <x v="5"/>
    <n v="1"/>
    <n v="5004042"/>
    <s v="BRASIL WEB TRANSPORTES E LOGISTICA"/>
    <n v="20.83"/>
    <d v="2025-08-22T00:00:00"/>
  </r>
  <r>
    <n v="254062079"/>
    <n v="64836597"/>
    <s v="REB"/>
    <n v="10189414"/>
    <n v="90"/>
    <s v="CLIENTE-não solicitou"/>
    <s v="COMERCIAL"/>
    <x v="1"/>
    <n v="27511"/>
    <s v="MARCOS JOSE DE OLIVEIRA SOROCABA-EP"/>
    <s v="SP"/>
    <n v="641"/>
    <s v="CDP Diamante"/>
    <n v="1350"/>
    <s v="W10416690"/>
    <s v="Placas de Controle"/>
    <x v="2"/>
    <n v="1"/>
    <n v="5004042"/>
    <s v="BRASIL WEB TRANSPORTES E LOGISTICA"/>
    <n v="422.71"/>
    <d v="2025-08-22T00:00:00"/>
  </r>
  <r>
    <s v="Sem TR"/>
    <n v="64836598"/>
    <s v="REB"/>
    <n v="10163910"/>
    <n v="176"/>
    <s v="PEÇAS - Defeito de fabric./Interrompido"/>
    <s v="FUNCIONAL"/>
    <x v="1"/>
    <n v="31537"/>
    <s v="RAQUEL SILVEIRA RODRIGUES &amp; CIA. LT"/>
    <s v="RS"/>
    <n v="641"/>
    <s v="CDP Diamante"/>
    <n v="1350"/>
    <s v="W10320833"/>
    <s v="Filtros"/>
    <x v="6"/>
    <n v="1"/>
    <n v="5003024"/>
    <s v="RODOBRAS TRANSPORTES RODOVIARIOS LT"/>
    <n v="98.23"/>
    <d v="2025-08-22T00:00:00"/>
  </r>
  <r>
    <n v="254061118"/>
    <n v="64836600"/>
    <s v="REB"/>
    <n v="10111489"/>
    <n v="173"/>
    <s v="PEÇAS - Defeito de fabric./Alta Amperage"/>
    <s v="FUNCIONAL"/>
    <x v="1"/>
    <n v="40998"/>
    <s v="CALDEIRA E SANTOS LTDA M.E"/>
    <s v="GO"/>
    <n v="648"/>
    <s v="Ultra"/>
    <n v="1350"/>
    <s v="W11299803"/>
    <s v="Mecanismos"/>
    <x v="4"/>
    <n v="3"/>
    <n v="5002858"/>
    <s v="FAVORITA TRANSPORTES LTDA"/>
    <n v="295.05"/>
    <d v="2025-08-22T00:00:00"/>
  </r>
  <r>
    <n v="254061014"/>
    <n v="64836601"/>
    <s v="REB"/>
    <n v="10151202"/>
    <n v="176"/>
    <s v="PEÇAS - Defeito de fabric./Interrompido"/>
    <s v="FUNCIONAL"/>
    <x v="2"/>
    <n v="2424"/>
    <s v="TERMO STATUS INSTALADORA DE"/>
    <s v="RJ"/>
    <n v="350"/>
    <s v="Ats On"/>
    <n v="1350"/>
    <n v="326065129"/>
    <s v="Resistências"/>
    <x v="2"/>
    <n v="1"/>
    <n v="5003176"/>
    <s v="J C THEDIN TRANSPORTES LTDA"/>
    <n v="67.84"/>
    <d v="2025-08-22T00:00:00"/>
  </r>
  <r>
    <n v="254062075"/>
    <n v="64836602"/>
    <s v="REB"/>
    <n v="10181061"/>
    <n v="176"/>
    <s v="PEÇAS - Defeito de fabric./Interrompido"/>
    <s v="FUNCIONAL"/>
    <x v="2"/>
    <n v="3236"/>
    <s v="FRISON THERM AR CONDICIONADO LTDA F"/>
    <s v="SP"/>
    <n v="931"/>
    <s v="Ats Off"/>
    <n v="1350"/>
    <s v="W11047054"/>
    <s v="Interruptores horário"/>
    <x v="8"/>
    <n v="1"/>
    <n v="5004042"/>
    <s v="BRASIL WEB TRANSPORTES E LOGISTICA"/>
    <n v="136.47"/>
    <d v="2025-08-22T00:00:00"/>
  </r>
  <r>
    <n v="254064133"/>
    <n v="64836603"/>
    <s v="REB"/>
    <n v="10159256"/>
    <n v="176"/>
    <s v="PEÇAS - Defeito de fabric./Interrompido"/>
    <s v="FUNCIONAL"/>
    <x v="2"/>
    <n v="3236"/>
    <s v="FRISON THERM AR CONDICIONADO LTDA F"/>
    <s v="SP"/>
    <n v="931"/>
    <s v="Ats Off"/>
    <n v="1350"/>
    <s v="W11639757"/>
    <s v="Outros"/>
    <x v="5"/>
    <n v="1"/>
    <n v="5004042"/>
    <s v="BRASIL WEB TRANSPORTES E LOGISTICA"/>
    <n v="325.58"/>
    <d v="2025-08-22T00:00:00"/>
  </r>
  <r>
    <s v="Sem TR"/>
    <n v="64836604"/>
    <s v="REB"/>
    <n v="10161925"/>
    <n v="509"/>
    <s v="Qtd de peças a Menor dentro do Volume"/>
    <s v="LOGÍSTICA"/>
    <x v="2"/>
    <n v="78757"/>
    <s v="POSFRIO REFRIGERACAO LTDA"/>
    <s v="RS"/>
    <n v="643"/>
    <s v="Elite"/>
    <n v="1350"/>
    <s v="W11299803"/>
    <s v="Mecanismos"/>
    <x v="4"/>
    <n v="5"/>
    <n v="5002359"/>
    <s v="EMPRESA BRASILEIRA DE CORREIOS E"/>
    <n v="496.35"/>
    <d v="2025-08-22T00:00:00"/>
  </r>
  <r>
    <n v="254061099"/>
    <n v="64836605"/>
    <s v="REB"/>
    <n v="10160955"/>
    <n v="167"/>
    <s v="PEÇAS - Avaria - Quebrada/Depósito"/>
    <s v="LOGÍSTICA"/>
    <x v="1"/>
    <n v="31063"/>
    <s v="ELETROFRIGOR PECAS LTDA ME"/>
    <s v="RJ"/>
    <n v="644"/>
    <s v="Plus"/>
    <n v="1350"/>
    <s v="W10856154"/>
    <s v="Capas"/>
    <x v="3"/>
    <n v="3"/>
    <n v="5003176"/>
    <s v="J C THEDIN TRANSPORTES LTDA"/>
    <n v="82.9"/>
    <d v="2025-08-22T00:00:00"/>
  </r>
  <r>
    <n v="254061164"/>
    <n v="64836606"/>
    <s v="REB"/>
    <n v="10163130"/>
    <n v="167"/>
    <s v="PEÇAS - Avaria - Quebrada/Depósito"/>
    <s v="LOGÍSTICA"/>
    <x v="1"/>
    <n v="69085"/>
    <s v="DO BEN COMERCIO DE PECAS"/>
    <s v="SP"/>
    <n v="641"/>
    <s v="CDP Diamante"/>
    <n v="1350"/>
    <s v="W10169464"/>
    <s v="Defletores/Difusores"/>
    <x v="6"/>
    <n v="1"/>
    <n v="5004042"/>
    <s v="BRASIL WEB TRANSPORTES E LOGISTICA"/>
    <n v="22.54"/>
    <d v="2025-08-22T00:00:00"/>
  </r>
  <r>
    <n v="254061207"/>
    <n v="64836608"/>
    <s v="ZDVP"/>
    <n v="10098871"/>
    <n v="178"/>
    <s v="PEÇAS -Defeito de fabric./Sem Compressão"/>
    <s v="FUNCIONAL"/>
    <x v="2"/>
    <n v="63300"/>
    <s v="REFRIGERACAO MOTA LTDA"/>
    <s v="MG"/>
    <n v="643"/>
    <s v="Elite"/>
    <n v="1350"/>
    <s v="W11647662"/>
    <s v="Compressores Herméticos"/>
    <x v="0"/>
    <n v="2"/>
    <n v="5004101"/>
    <s v="UNIDOCK'S ASSESSORIA E LOGISTICA DE"/>
    <n v="620.1"/>
    <d v="2025-08-22T00:00:00"/>
  </r>
  <r>
    <s v="Sem TR"/>
    <n v="64836615"/>
    <s v="REB"/>
    <n v="10160954"/>
    <n v="509"/>
    <s v="Qtd de peças a Menor dentro do Volume"/>
    <s v="LOGÍSTICA"/>
    <x v="2"/>
    <n v="31063"/>
    <s v="ELETROFRIGOR PECAS LTDA ME"/>
    <s v="RJ"/>
    <n v="644"/>
    <s v="Plus"/>
    <n v="1350"/>
    <s v="W10647949"/>
    <s v="Suportes"/>
    <x v="3"/>
    <n v="1"/>
    <n v="5002359"/>
    <s v="EMPRESA BRASILEIRA DE CORREIOS E"/>
    <n v="7.46"/>
    <d v="2025-08-22T00:00:00"/>
  </r>
  <r>
    <s v="Sem TR"/>
    <n v="64836616"/>
    <s v="REB"/>
    <n v="9800196"/>
    <n v="173"/>
    <s v="PEÇAS - Defeito de fabric./Alta Amperage"/>
    <s v="FUNCIONAL"/>
    <x v="1"/>
    <n v="70555"/>
    <s v="WG SOLUCOES EM ELETRODOMESTICOS"/>
    <s v="SC"/>
    <n v="648"/>
    <s v="Ultra"/>
    <n v="1350"/>
    <s v="W10895697"/>
    <s v="Placas de Controle"/>
    <x v="2"/>
    <n v="1"/>
    <n v="5003024"/>
    <s v="RODOBRAS TRANSPORTES RODOVIARIOS LT"/>
    <n v="511.79"/>
    <d v="2025-08-22T00:00:00"/>
  </r>
  <r>
    <n v="254063940"/>
    <n v="64836617"/>
    <s v="REB"/>
    <n v="10083497"/>
    <n v="173"/>
    <s v="PEÇAS - Defeito de fabric./Alta Amperage"/>
    <s v="FUNCIONAL"/>
    <x v="2"/>
    <n v="66"/>
    <s v="CENTROMAQ PECAS E SERVICOS LTDA"/>
    <s v="GO"/>
    <n v="931"/>
    <s v="Ats Off"/>
    <n v="1350"/>
    <s v="W11245250"/>
    <s v="Válvulas de Água"/>
    <x v="6"/>
    <n v="5"/>
    <n v="5002858"/>
    <s v="FAVORITA TRANSPORTES LTDA"/>
    <n v="238.6"/>
    <d v="2025-08-22T00:00:00"/>
  </r>
  <r>
    <s v="Sem TR"/>
    <n v="64836620"/>
    <s v="REB"/>
    <n v="10161752"/>
    <n v="509"/>
    <s v="Qtd de peças a Menor dentro do Volume"/>
    <s v="LOGÍSTICA"/>
    <x v="2"/>
    <n v="80432"/>
    <s v="FRIORIO DISTRIBUIDOR DE PECAS PARA"/>
    <s v="ES"/>
    <n v="713"/>
    <s v="Key Account"/>
    <n v="1350"/>
    <s v="W10212397"/>
    <s v="Outros"/>
    <x v="5"/>
    <n v="1"/>
    <n v="5002359"/>
    <s v="EMPRESA BRASILEIRA DE CORREIOS E"/>
    <n v="9.7899999999999991"/>
    <d v="2025-08-22T00:00:00"/>
  </r>
  <r>
    <s v="Sem TR"/>
    <n v="64836621"/>
    <s v="REB"/>
    <n v="10148080"/>
    <n v="173"/>
    <s v="PEÇAS - Defeito de fabric./Alta Amperage"/>
    <s v="FUNCIONAL"/>
    <x v="1"/>
    <n v="1255"/>
    <s v="PRAMAK REFRIGERACAO, PECAS E"/>
    <s v="CE"/>
    <n v="931"/>
    <s v="Ats Off"/>
    <n v="1350"/>
    <s v="W11741179"/>
    <s v="Outros"/>
    <x v="5"/>
    <n v="1"/>
    <n v="5004101"/>
    <s v="UNIDOCK'S ASSESSORIA E LOGISTICA DE"/>
    <n v="302.85000000000002"/>
    <d v="2025-08-22T00:00:00"/>
  </r>
  <r>
    <n v="254061013"/>
    <n v="64836622"/>
    <s v="REB"/>
    <n v="9708478"/>
    <n v="173"/>
    <s v="PEÇAS - Defeito de fabric./Alta Amperage"/>
    <s v="FUNCIONAL"/>
    <x v="2"/>
    <n v="1875"/>
    <s v="REFRIGERACAO PANTANAL LTDA"/>
    <s v="MS"/>
    <n v="350"/>
    <s v="Ats On"/>
    <n v="1350"/>
    <s v="W10769941"/>
    <s v="Compressores Herméticos"/>
    <x v="0"/>
    <n v="1"/>
    <n v="5002573"/>
    <s v="CARVALIMA TRANSPORTES LTDA"/>
    <n v="373.82"/>
    <d v="2025-08-22T00:00:00"/>
  </r>
  <r>
    <n v="254061167"/>
    <n v="64836623"/>
    <s v="REB"/>
    <n v="10159817"/>
    <n v="168"/>
    <s v="PEÇAS-Def.Fabric.Empenamento/Abaulamento"/>
    <s v="FUNCIONAL"/>
    <x v="1"/>
    <n v="70149"/>
    <s v="BR PECAS COMERCIO DE PECAS"/>
    <s v="SP"/>
    <n v="963"/>
    <s v="Ats Distribuidoras"/>
    <n v="1350"/>
    <s v="W10417020"/>
    <s v="Portas"/>
    <x v="3"/>
    <n v="2"/>
    <n v="5004042"/>
    <s v="BRASIL WEB TRANSPORTES E LOGISTICA"/>
    <n v="750.31"/>
    <d v="2025-08-22T00:00:00"/>
  </r>
  <r>
    <n v="254061065"/>
    <n v="64836624"/>
    <s v="REB"/>
    <n v="10175663"/>
    <n v="104"/>
    <s v="PEÇAS-Código trocado(embalag X conteúdo)"/>
    <s v="LOGÍSTICA"/>
    <x v="1"/>
    <n v="9452"/>
    <s v="MULTICENTER COMERCIO E SERVICOS"/>
    <s v="SP"/>
    <n v="931"/>
    <s v="Ats Off"/>
    <n v="1350"/>
    <s v="W10806305"/>
    <s v="Placas de Controle"/>
    <x v="2"/>
    <n v="1"/>
    <n v="5004042"/>
    <s v="BRASIL WEB TRANSPORTES E LOGISTICA"/>
    <n v="278.89999999999998"/>
    <d v="2025-08-22T00:00:00"/>
  </r>
  <r>
    <s v="Sem TR"/>
    <n v="64836625"/>
    <s v="REB"/>
    <n v="10146663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74"/>
    <d v="2025-08-22T00:00:00"/>
  </r>
  <r>
    <n v="254064195"/>
    <n v="64836626"/>
    <s v="REB"/>
    <n v="10176890"/>
    <n v="90"/>
    <s v="CLIENTE-não solicitou"/>
    <s v="COMERCIAL"/>
    <x v="2"/>
    <n v="42455"/>
    <s v="D. B. GOMES SOROCABA"/>
    <s v="SP"/>
    <n v="931"/>
    <s v="Ats Off"/>
    <n v="1350"/>
    <s v="W10431991"/>
    <s v="Gavetas"/>
    <x v="1"/>
    <n v="1"/>
    <n v="5004042"/>
    <s v="BRASIL WEB TRANSPORTES E LOGISTICA"/>
    <n v="191.99"/>
    <d v="2025-08-22T00:00:00"/>
  </r>
  <r>
    <n v="254061063"/>
    <n v="64836627"/>
    <s v="REB"/>
    <n v="10122582"/>
    <n v="176"/>
    <s v="PEÇAS - Defeito de fabric./Interrompido"/>
    <s v="FUNCIONAL"/>
    <x v="2"/>
    <n v="8975"/>
    <s v="FORT CENTER REFRIGERACAO LTDA"/>
    <s v="MA"/>
    <n v="931"/>
    <s v="Ats Off"/>
    <n v="1350"/>
    <s v="W10637050"/>
    <s v="Capacitores"/>
    <x v="2"/>
    <n v="5"/>
    <n v="5004101"/>
    <s v="UNIDOCK'S ASSESSORIA E LOGISTICA DE"/>
    <n v="137.97"/>
    <d v="2025-08-22T00:00:00"/>
  </r>
  <r>
    <n v="254061174"/>
    <n v="64836628"/>
    <s v="REB"/>
    <n v="9843974"/>
    <n v="178"/>
    <s v="PEÇAS -Defeito de fabric./Sem Compressão"/>
    <s v="FUNCIONAL"/>
    <x v="2"/>
    <n v="76848"/>
    <s v="MUNDIAL REFRIGERACAO LTDA"/>
    <s v="GO"/>
    <n v="643"/>
    <s v="Elite"/>
    <n v="1350"/>
    <s v="W11630879"/>
    <s v="Compressores Herméticos"/>
    <x v="0"/>
    <n v="1"/>
    <n v="5002858"/>
    <s v="FAVORITA TRANSPORTES LTDA"/>
    <n v="330.73"/>
    <d v="2025-08-22T00:00:00"/>
  </r>
  <r>
    <s v="Sem TR"/>
    <n v="64836629"/>
    <s v="REB"/>
    <n v="10159129"/>
    <n v="509"/>
    <s v="Qtd de peças a Menor dentro do Volume"/>
    <s v="LOGÍSTICA"/>
    <x v="2"/>
    <n v="84681"/>
    <s v="REFRIGERACAO MOTA LTDA"/>
    <s v="BA"/>
    <n v="643"/>
    <s v="Elite"/>
    <n v="1350"/>
    <n v="326065990"/>
    <s v="Recipientes de Evaporação"/>
    <x v="1"/>
    <n v="1"/>
    <n v="5002359"/>
    <s v="EMPRESA BRASILEIRA DE CORREIOS E"/>
    <n v="9.7799999999999994"/>
    <d v="2025-08-22T00:00:00"/>
  </r>
  <r>
    <n v="254061142"/>
    <n v="6483663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n v="254061147"/>
    <n v="64836631"/>
    <s v="REB"/>
    <n v="9779878"/>
    <n v="178"/>
    <s v="PEÇAS -Defeito de fabric./Sem Compressão"/>
    <s v="FUNCIONAL"/>
    <x v="2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8-22T00:00:00"/>
  </r>
  <r>
    <n v="254061149"/>
    <n v="64836632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s v="Sem TR"/>
    <n v="64836639"/>
    <s v="REB"/>
    <n v="10003585"/>
    <n v="509"/>
    <s v="Qtd de peças a Menor dentro do Volume"/>
    <s v="LOGÍSTICA"/>
    <x v="2"/>
    <n v="76847"/>
    <s v="NORDESTE COMERCIO DE"/>
    <s v="PE"/>
    <n v="641"/>
    <s v="CDP Diamante"/>
    <n v="1350"/>
    <s v="W10268573"/>
    <s v="Gaxetas"/>
    <x v="10"/>
    <n v="20"/>
    <n v="5002359"/>
    <s v="EMPRESA BRASILEIRA DE CORREIOS E"/>
    <n v="707.67"/>
    <d v="2025-08-22T00:00:00"/>
  </r>
  <r>
    <s v="Sem TR"/>
    <n v="64836640"/>
    <s v="REB"/>
    <n v="10084203"/>
    <n v="173"/>
    <s v="PEÇAS - Defeito de fabric./Alta Amperage"/>
    <s v="FUNCIONAL"/>
    <x v="1"/>
    <n v="27804"/>
    <s v="REFRIGERACAO MAGAZINE DO FRIO LTDA"/>
    <s v="SP"/>
    <n v="641"/>
    <s v="CDP Diamante"/>
    <n v="1350"/>
    <s v="W11254865"/>
    <s v="Mecanismos"/>
    <x v="4"/>
    <n v="1"/>
    <n v="5004042"/>
    <s v="BRASIL WEB TRANSPORTES E LOGISTICA"/>
    <n v="166.23"/>
    <d v="2025-08-22T00:00:00"/>
  </r>
  <r>
    <s v="Sem TR"/>
    <n v="64836641"/>
    <s v="REB"/>
    <n v="10186258"/>
    <n v="90"/>
    <s v="CLIENTE-não solicitou"/>
    <s v="COMERCIAL"/>
    <x v="1"/>
    <n v="25656"/>
    <s v="OFICIAL REFRIGERACAO COMERCIO"/>
    <s v="SP"/>
    <n v="931"/>
    <s v="Ats Off"/>
    <n v="1350"/>
    <s v="W11392547"/>
    <s v="Outros"/>
    <x v="5"/>
    <n v="1"/>
    <n v="5004042"/>
    <s v="BRASIL WEB TRANSPORTES E LOGISTICA"/>
    <n v="120.46"/>
    <d v="2025-08-22T00:00:00"/>
  </r>
  <r>
    <n v="254064138"/>
    <n v="64836643"/>
    <s v="REB"/>
    <n v="10190754"/>
    <n v="176"/>
    <s v="PEÇAS - Defeito de fabric./Interrompido"/>
    <s v="FUNCIONAL"/>
    <x v="2"/>
    <n v="3506"/>
    <s v="TECBRAS ASSISTENCIA TECNICA"/>
    <s v="SP"/>
    <n v="931"/>
    <s v="Ats Off"/>
    <n v="1350"/>
    <s v="W11551794"/>
    <s v="Placas de Controle"/>
    <x v="2"/>
    <n v="1"/>
    <n v="5004042"/>
    <s v="BRASIL WEB TRANSPORTES E LOGISTICA"/>
    <n v="286.29000000000002"/>
    <d v="2025-08-22T00:00:00"/>
  </r>
  <r>
    <n v="254061044"/>
    <n v="64836644"/>
    <s v="REB"/>
    <n v="10159107"/>
    <n v="167"/>
    <s v="PEÇAS - Avaria - Quebrada/Depósito"/>
    <s v="LOGÍSTICA"/>
    <x v="2"/>
    <n v="4189"/>
    <s v="PONTO DE ORVALHO REFRIG LTDA"/>
    <s v="CE"/>
    <n v="931"/>
    <s v="Ats Off"/>
    <n v="1350"/>
    <s v="W10758992"/>
    <s v="Gavetas"/>
    <x v="1"/>
    <n v="1"/>
    <n v="5004101"/>
    <s v="UNIDOCK'S ASSESSORIA E LOGISTICA DE"/>
    <n v="69.33"/>
    <d v="2025-08-22T00:00:00"/>
  </r>
  <r>
    <n v="254061136"/>
    <n v="64836646"/>
    <s v="REB"/>
    <n v="10166991"/>
    <n v="104"/>
    <s v="PEÇAS-Código trocado(embalag X conteúdo)"/>
    <s v="LOGÍSTICA"/>
    <x v="2"/>
    <n v="55093"/>
    <s v="NAUTICA REFRIGERACAO E"/>
    <s v="SP"/>
    <n v="648"/>
    <s v="Ultra"/>
    <n v="1350"/>
    <s v="W11677209"/>
    <s v="Compressores Herméticos"/>
    <x v="0"/>
    <n v="1"/>
    <n v="5004042"/>
    <s v="BRASIL WEB TRANSPORTES E LOGISTICA"/>
    <n v="244.3"/>
    <d v="2025-08-22T00:00:00"/>
  </r>
  <r>
    <s v="Sem TR"/>
    <n v="64836647"/>
    <s v="REB"/>
    <n v="10159137"/>
    <n v="509"/>
    <s v="Qtd de peças a Menor dentro do Volume"/>
    <s v="LOGÍSTICA"/>
    <x v="2"/>
    <n v="47026"/>
    <s v="JR PECAS LTDA JR PECAS LTDA"/>
    <s v="BA"/>
    <n v="643"/>
    <s v="Elite"/>
    <n v="1350"/>
    <s v="W11629065"/>
    <s v="Outros"/>
    <x v="5"/>
    <n v="5"/>
    <n v="5002359"/>
    <s v="EMPRESA BRASILEIRA DE CORREIOS E"/>
    <n v="41.81"/>
    <d v="2025-08-22T00:00:00"/>
  </r>
  <r>
    <s v="Sem TR"/>
    <n v="64836648"/>
    <s v="REB"/>
    <n v="10159137"/>
    <n v="167"/>
    <s v="PEÇAS - Avaria - Quebrada/Depósito"/>
    <s v="LOGÍSTICA"/>
    <x v="1"/>
    <n v="47026"/>
    <s v="JR PECAS LTDA JR PECAS LTDA"/>
    <s v="BA"/>
    <n v="643"/>
    <s v="Elite"/>
    <n v="1350"/>
    <s v="W10539793"/>
    <s v="Capas"/>
    <x v="3"/>
    <n v="1"/>
    <n v="5004101"/>
    <s v="UNIDOCK'S ASSESSORIA E LOGISTICA DE"/>
    <n v="19.100000000000001"/>
    <d v="2025-08-22T00:00:00"/>
  </r>
  <r>
    <s v="Sem TR"/>
    <n v="64836649"/>
    <s v="REB"/>
    <n v="10142936"/>
    <n v="509"/>
    <s v="Qtd de peças a Menor dentro do Volume"/>
    <s v="LOGÍSTICA"/>
    <x v="2"/>
    <n v="30416"/>
    <s v="JF OLIVEIRA PEREIRA ELETROD LTDA"/>
    <s v="AM"/>
    <n v="648"/>
    <s v="Ultra"/>
    <n v="1350"/>
    <s v="W11561657"/>
    <s v="Suportes"/>
    <x v="3"/>
    <n v="102"/>
    <n v="5002359"/>
    <s v="EMPRESA BRASILEIRA DE CORREIOS E"/>
    <n v="204.9"/>
    <d v="2025-08-22T00:00:00"/>
  </r>
  <r>
    <n v="254061120"/>
    <n v="64836650"/>
    <s v="REB"/>
    <n v="10171560"/>
    <n v="104"/>
    <s v="PEÇAS-Código trocado(embalag X conteúdo)"/>
    <s v="LOGÍSTICA"/>
    <x v="2"/>
    <n v="43266"/>
    <s v="FG MOREIRA COMERCIAL LTDA"/>
    <s v="CE"/>
    <n v="350"/>
    <s v="Ats On"/>
    <n v="1350"/>
    <n v="326029919"/>
    <s v="Gaxetas"/>
    <x v="10"/>
    <n v="5"/>
    <n v="5004101"/>
    <s v="UNIDOCK'S ASSESSORIA E LOGISTICA DE"/>
    <n v="228.88"/>
    <d v="2025-08-22T00:00:00"/>
  </r>
  <r>
    <s v="Sem TR"/>
    <n v="64836651"/>
    <s v="REB"/>
    <n v="10152072"/>
    <n v="178"/>
    <s v="PEÇAS -Defeito de fabric./Sem Compressão"/>
    <s v="FUNCIONAL"/>
    <x v="1"/>
    <n v="31883"/>
    <s v="LIMEIRA-SERVICE REFRIGERACAO LTDA"/>
    <s v="SP"/>
    <n v="350"/>
    <s v="Ats On"/>
    <n v="1350"/>
    <s v="W11040067"/>
    <s v="Bobinas Solenoides"/>
    <x v="2"/>
    <n v="1"/>
    <n v="5004042"/>
    <s v="BRASIL WEB TRANSPORTES E LOGISTICA"/>
    <n v="407.3"/>
    <d v="2025-08-22T00:00:00"/>
  </r>
  <r>
    <s v="Sem TR"/>
    <n v="64836652"/>
    <s v="REB"/>
    <n v="10055658"/>
    <n v="173"/>
    <s v="PEÇAS - Defeito de fabric./Alta Amperage"/>
    <s v="FUNCIONAL"/>
    <x v="1"/>
    <n v="77746"/>
    <s v="ALFA DISTRIBUIDORA"/>
    <s v="GO"/>
    <n v="933"/>
    <s v="Top"/>
    <n v="1350"/>
    <s v="W11299805"/>
    <s v="Mecanismos"/>
    <x v="4"/>
    <n v="1"/>
    <n v="5002858"/>
    <s v="FAVORITA TRANSPORTES LTDA"/>
    <n v="128.36000000000001"/>
    <d v="2025-08-22T00:00:00"/>
  </r>
  <r>
    <n v="254061117"/>
    <n v="64836653"/>
    <s v="REB"/>
    <n v="10090294"/>
    <n v="173"/>
    <s v="PEÇAS - Defeito de fabric./Alta Amperage"/>
    <s v="FUNCIONAL"/>
    <x v="1"/>
    <n v="38591"/>
    <s v="MUNDIAL REFRIGERACAO LTDA"/>
    <s v="GO"/>
    <n v="643"/>
    <s v="Elite"/>
    <n v="1350"/>
    <s v="W11123831"/>
    <s v="Placas de Controle"/>
    <x v="2"/>
    <n v="1"/>
    <n v="5002858"/>
    <s v="FAVORITA TRANSPORTES LTDA"/>
    <n v="95.19"/>
    <d v="2025-08-22T00:00:00"/>
  </r>
  <r>
    <s v="Sem TR"/>
    <n v="64836664"/>
    <s v="REB"/>
    <n v="10181703"/>
    <n v="167"/>
    <s v="PEÇAS - Avaria - Quebrada/Depósito"/>
    <s v="LOGÍSTICA"/>
    <x v="1"/>
    <n v="22985"/>
    <s v="Comercial Delfrio LTDA EPP"/>
    <s v="SC"/>
    <n v="641"/>
    <s v="CDP Diamante"/>
    <n v="1350"/>
    <s v="W10576312"/>
    <s v="Parafusos e afins"/>
    <x v="7"/>
    <n v="1"/>
    <n v="5003024"/>
    <s v="RODOBRAS TRANSPORTES RODOVIARIOS LT"/>
    <n v="111.32"/>
    <d v="2025-08-22T00:00:00"/>
  </r>
  <r>
    <s v="Sem TR"/>
    <n v="64836665"/>
    <s v="REB"/>
    <n v="10177685"/>
    <n v="167"/>
    <s v="PEÇAS - Avaria - Quebrada/Depósito"/>
    <s v="LOGÍSTICA"/>
    <x v="1"/>
    <n v="70205"/>
    <s v="MAQ SERVICOS"/>
    <s v="MG"/>
    <n v="350"/>
    <s v="Ats On"/>
    <n v="1350"/>
    <s v="W11516476"/>
    <s v="Compressores Herméticos"/>
    <x v="0"/>
    <n v="1"/>
    <n v="5004215"/>
    <s v="BRASIL WEB TRANSPORTES E LOGISTICA"/>
    <n v="455.21"/>
    <d v="2025-08-22T00:00:00"/>
  </r>
  <r>
    <s v="Sem TR"/>
    <n v="64836667"/>
    <s v="REB"/>
    <n v="10080469"/>
    <n v="173"/>
    <s v="PEÇAS - Defeito de fabric./Alta Amperage"/>
    <s v="FUNCIONAL"/>
    <x v="1"/>
    <n v="27874"/>
    <s v="REFRIGERACAO ERECHIM COML TECNICA"/>
    <s v="RS"/>
    <n v="641"/>
    <s v="CDP Diamante"/>
    <n v="1350"/>
    <s v="W10678923"/>
    <s v="Placas de Controle"/>
    <x v="2"/>
    <n v="1"/>
    <n v="5003024"/>
    <s v="RODOBRAS TRANSPORTES RODOVIARIOS LT"/>
    <n v="63.93"/>
    <d v="2025-08-22T00:00:00"/>
  </r>
  <r>
    <s v="Sem TR"/>
    <n v="64836668"/>
    <s v="REB"/>
    <n v="9863944"/>
    <n v="178"/>
    <s v="PEÇAS -Defeito de fabric./Sem Compressão"/>
    <s v="FUNCIONAL"/>
    <x v="1"/>
    <n v="53319"/>
    <s v="PARTS FRIO DISTRIBUIDORA DE"/>
    <s v="PR"/>
    <n v="644"/>
    <s v="Plus"/>
    <n v="1350"/>
    <s v="W10769941"/>
    <s v="Compressores Herméticos"/>
    <x v="0"/>
    <n v="1"/>
    <n v="5003024"/>
    <s v="RODOBRAS TRANSPORTES RODOVIARIOS LT"/>
    <n v="388.94"/>
    <d v="2025-08-22T00:00:00"/>
  </r>
  <r>
    <n v="254060961"/>
    <n v="64836674"/>
    <s v="REB"/>
    <n v="10178037"/>
    <n v="170"/>
    <s v="PEÇAS - Avaria - Riscada/Depósito"/>
    <s v="LOGÍSTICA"/>
    <x v="1"/>
    <n v="66"/>
    <s v="CENTROMAQ PECAS E SERVICOS LTDA"/>
    <s v="GO"/>
    <n v="931"/>
    <s v="Ats Off"/>
    <n v="1350"/>
    <s v="W10581058"/>
    <s v="Gavetas"/>
    <x v="1"/>
    <n v="1"/>
    <n v="5002858"/>
    <s v="FAVORITA TRANSPORTES LTDA"/>
    <n v="74.92"/>
    <d v="2025-08-22T00:00:00"/>
  </r>
  <r>
    <s v="Sem TR"/>
    <n v="64836679"/>
    <s v="REB"/>
    <n v="10171519"/>
    <n v="167"/>
    <s v="PEÇAS - Avaria - Quebrada/Depósito"/>
    <s v="LOGÍSTICA"/>
    <x v="1"/>
    <n v="10164"/>
    <s v="FALCONE - COMERCIO E SERVICOS LTDA"/>
    <s v="PB"/>
    <n v="931"/>
    <s v="Ats Off"/>
    <n v="1350"/>
    <s v="W10477178"/>
    <s v="Capas"/>
    <x v="3"/>
    <n v="1"/>
    <n v="5004101"/>
    <s v="UNIDOCK'S ASSESSORIA E LOGISTICA DE"/>
    <n v="21.76"/>
    <d v="2025-08-22T00:00:00"/>
  </r>
  <r>
    <s v="Sem TR"/>
    <n v="64836680"/>
    <s v="REB"/>
    <n v="10187856"/>
    <n v="90"/>
    <s v="CLIENTE-não solicitou"/>
    <s v="COMERCIAL"/>
    <x v="1"/>
    <n v="3524"/>
    <s v="CATEL - COMERCIO DE PECAS"/>
    <s v="SP"/>
    <n v="931"/>
    <s v="Ats Off"/>
    <n v="1350"/>
    <s v="W10523808"/>
    <s v="Prateleiras"/>
    <x v="1"/>
    <n v="1"/>
    <n v="5004042"/>
    <s v="BRASIL WEB TRANSPORTES E LOGISTICA"/>
    <n v="17.28"/>
    <d v="2025-08-22T00:00:00"/>
  </r>
  <r>
    <n v="254061118"/>
    <n v="64836681"/>
    <s v="REB"/>
    <n v="10096522"/>
    <n v="178"/>
    <s v="PEÇAS -Defeito de fabric./Sem Compressão"/>
    <s v="FUNCIONAL"/>
    <x v="1"/>
    <n v="40998"/>
    <s v="CALDEIRA E SANTOS LTDA M.E"/>
    <s v="GO"/>
    <n v="648"/>
    <s v="Ultra"/>
    <n v="1350"/>
    <s v="W10393823"/>
    <s v="Compressores Herméticos"/>
    <x v="0"/>
    <n v="3"/>
    <n v="5002858"/>
    <s v="FAVORITA TRANSPORTES LTDA"/>
    <n v="1357.08"/>
    <d v="2025-08-22T00:00:00"/>
  </r>
  <r>
    <n v="254061144"/>
    <n v="64836682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n v="254059972"/>
    <n v="64836685"/>
    <s v="ROB"/>
    <n v="10202040"/>
    <n v="184"/>
    <s v="PEÇAS - Emissão de Nota Fiscal Errada"/>
    <s v="LOGÍSTICA"/>
    <x v="1"/>
    <n v="38433"/>
    <s v="HJMJ COMERCIO DE PECAS LTDA ME"/>
    <s v="RJ"/>
    <n v="934"/>
    <s v="CDP Ouro"/>
    <n v="1350"/>
    <s v="W10223007"/>
    <s v="Gaxetas"/>
    <x v="10"/>
    <n v="5"/>
    <n v="5003176"/>
    <s v="J C THEDIN TRANSPORTES LTDA"/>
    <n v="228.65"/>
    <d v="2025-08-22T00:00:00"/>
  </r>
  <r>
    <n v="254059972"/>
    <n v="64836685"/>
    <s v="ROB"/>
    <n v="10202040"/>
    <n v="184"/>
    <s v="PEÇAS - Emissão de Nota Fiscal Errada"/>
    <s v="LOGÍSTICA"/>
    <x v="1"/>
    <n v="38433"/>
    <s v="HJMJ COMERCIO DE PECAS LTDA ME"/>
    <s v="RJ"/>
    <n v="934"/>
    <s v="CDP Ouro"/>
    <n v="1350"/>
    <s v="W10268574"/>
    <s v="Gaxetas"/>
    <x v="10"/>
    <n v="5"/>
    <n v="5003176"/>
    <s v="J C THEDIN TRANSPORTES LTDA"/>
    <n v="396.69"/>
    <d v="2025-08-22T00:00:00"/>
  </r>
  <r>
    <n v="254059972"/>
    <n v="64836685"/>
    <s v="ROB"/>
    <n v="10202040"/>
    <n v="184"/>
    <s v="PEÇAS - Emissão de Nota Fiscal Errada"/>
    <s v="LOGÍSTICA"/>
    <x v="1"/>
    <n v="38433"/>
    <s v="HJMJ COMERCIO DE PECAS LTDA ME"/>
    <s v="RJ"/>
    <n v="934"/>
    <s v="CDP Ouro"/>
    <n v="1350"/>
    <s v="W10268575"/>
    <s v="Gaxetas"/>
    <x v="10"/>
    <n v="5"/>
    <n v="5003176"/>
    <s v="J C THEDIN TRANSPORTES LTDA"/>
    <n v="307.82"/>
    <d v="2025-08-22T00:00:00"/>
  </r>
  <r>
    <n v="254059972"/>
    <n v="64836685"/>
    <s v="ROB"/>
    <n v="10202040"/>
    <n v="184"/>
    <s v="PEÇAS - Emissão de Nota Fiscal Errada"/>
    <s v="LOGÍSTICA"/>
    <x v="1"/>
    <n v="38433"/>
    <s v="HJMJ COMERCIO DE PECAS LTDA ME"/>
    <s v="RJ"/>
    <n v="934"/>
    <s v="CDP Ouro"/>
    <n v="1350"/>
    <s v="W11092351"/>
    <s v="Gaxetas"/>
    <x v="10"/>
    <n v="5"/>
    <n v="5003176"/>
    <s v="J C THEDIN TRANSPORTES LTDA"/>
    <n v="386.99"/>
    <d v="2025-08-22T00:00:00"/>
  </r>
  <r>
    <n v="254059973"/>
    <n v="64836686"/>
    <s v="ROB"/>
    <n v="10202041"/>
    <n v="184"/>
    <s v="PEÇAS - Emissão de Nota Fiscal Errada"/>
    <s v="LOGÍSTICA"/>
    <x v="1"/>
    <n v="38433"/>
    <s v="HJMJ COMERCIO DE PECAS LTDA ME"/>
    <s v="RJ"/>
    <n v="934"/>
    <s v="CDP Ouro"/>
    <n v="1350"/>
    <s v="W10223008"/>
    <s v="Gaxetas"/>
    <x v="10"/>
    <n v="5"/>
    <n v="5003176"/>
    <s v="J C THEDIN TRANSPORTES LTDA"/>
    <n v="272.66000000000003"/>
    <d v="2025-08-22T00:00:00"/>
  </r>
  <r>
    <s v="Sem TR"/>
    <n v="64836689"/>
    <s v="REB"/>
    <n v="10161258"/>
    <n v="167"/>
    <s v="PEÇAS - Avaria - Quebrada/Depósito"/>
    <s v="LOGÍSTICA"/>
    <x v="1"/>
    <n v="86964"/>
    <s v="REFRICRIL DISTRIBUIDORA"/>
    <s v="PB"/>
    <n v="713"/>
    <s v="Key Account"/>
    <n v="1350"/>
    <s v="W10477178"/>
    <s v="Capas"/>
    <x v="3"/>
    <n v="1"/>
    <n v="5004101"/>
    <s v="UNIDOCK'S ASSESSORIA E LOGISTICA DE"/>
    <n v="19.21"/>
    <d v="2025-08-22T00:00:00"/>
  </r>
  <r>
    <s v="Sem TR"/>
    <n v="64836690"/>
    <s v="REB"/>
    <n v="9764512"/>
    <n v="173"/>
    <s v="PEÇAS - Defeito de fabric./Alta Amperage"/>
    <s v="FUNCIONAL"/>
    <x v="1"/>
    <n v="77746"/>
    <s v="ALFA DISTRIBUIDORA"/>
    <s v="GO"/>
    <n v="933"/>
    <s v="Top"/>
    <n v="1350"/>
    <s v="W10709306"/>
    <s v="Placas de Controle"/>
    <x v="2"/>
    <n v="1"/>
    <n v="5002858"/>
    <s v="FAVORITA TRANSPORTES LTDA"/>
    <n v="164.62"/>
    <d v="2025-08-22T00:00:00"/>
  </r>
  <r>
    <s v="Sem TR"/>
    <n v="64836691"/>
    <s v="REB"/>
    <n v="10178305"/>
    <n v="167"/>
    <s v="PEÇAS - Avaria - Quebrada/Depósito"/>
    <s v="LOGÍSTICA"/>
    <x v="1"/>
    <n v="10164"/>
    <s v="FALCONE - COMERCIO E SERVICOS LTDA"/>
    <s v="PB"/>
    <n v="931"/>
    <s v="Ats Off"/>
    <n v="1350"/>
    <s v="W11693441"/>
    <s v="Outros"/>
    <x v="5"/>
    <n v="1"/>
    <n v="5004101"/>
    <s v="UNIDOCK'S ASSESSORIA E LOGISTICA DE"/>
    <n v="8.3699999999999992"/>
    <d v="2025-08-22T00:00:00"/>
  </r>
  <r>
    <s v="Sem TR"/>
    <n v="64836692"/>
    <s v="REB"/>
    <n v="9706905"/>
    <n v="178"/>
    <s v="PEÇAS -Defeito de fabric./Sem Compressão"/>
    <s v="FUNCIONAL"/>
    <x v="1"/>
    <n v="30121"/>
    <s v="DANDE COMERCIAL LTDA"/>
    <s v="SP"/>
    <n v="648"/>
    <s v="Ultra"/>
    <n v="1350"/>
    <s v="W10388222"/>
    <s v="Compressores Herméticos"/>
    <x v="0"/>
    <n v="2"/>
    <n v="5004042"/>
    <s v="BRASIL WEB TRANSPORTES E LOGISTICA"/>
    <n v="1107.69"/>
    <d v="2025-08-22T00:00:00"/>
  </r>
  <r>
    <n v="254060962"/>
    <n v="64836693"/>
    <s v="REB"/>
    <n v="10072843"/>
    <n v="173"/>
    <s v="PEÇAS - Defeito de fabric./Alta Amperage"/>
    <s v="FUNCIONAL"/>
    <x v="2"/>
    <n v="1334"/>
    <s v="FLORIANO REFRIGERACAO LTDA"/>
    <s v="PI"/>
    <n v="350"/>
    <s v="Ats On"/>
    <n v="1350"/>
    <n v="326024469"/>
    <s v="Pés"/>
    <x v="3"/>
    <n v="2"/>
    <n v="5004101"/>
    <s v="UNIDOCK'S ASSESSORIA E LOGISTICA DE"/>
    <n v="9.09"/>
    <d v="2025-08-22T00:00:00"/>
  </r>
  <r>
    <n v="254060962"/>
    <n v="64836693"/>
    <s v="REB"/>
    <n v="10072843"/>
    <n v="173"/>
    <s v="PEÇAS - Defeito de fabric./Alta Amperage"/>
    <s v="FUNCIONAL"/>
    <x v="2"/>
    <n v="1334"/>
    <s v="FLORIANO REFRIGERACAO LTDA"/>
    <s v="PI"/>
    <n v="350"/>
    <s v="Ats On"/>
    <n v="1350"/>
    <s v="W10742654"/>
    <s v="Motores Ventiladores"/>
    <x v="2"/>
    <n v="2"/>
    <n v="5004101"/>
    <s v="UNIDOCK'S ASSESSORIA E LOGISTICA DE"/>
    <n v="113.94"/>
    <d v="2025-08-22T00:00:00"/>
  </r>
  <r>
    <s v="Sem TR"/>
    <n v="64836694"/>
    <s v="REB"/>
    <n v="10168855"/>
    <n v="509"/>
    <s v="Qtd de peças a Menor dentro do Volume"/>
    <s v="LOGÍSTICA"/>
    <x v="2"/>
    <n v="30990"/>
    <s v="REFRIGERACAO DUFRIO COMERCIO E"/>
    <s v="ES"/>
    <n v="713"/>
    <s v="Key Account"/>
    <n v="1350"/>
    <n v="326005854"/>
    <s v="Sensores"/>
    <x v="8"/>
    <n v="1"/>
    <n v="5002359"/>
    <s v="EMPRESA BRASILEIRA DE CORREIOS E"/>
    <n v="25.89"/>
    <d v="2025-08-22T00:00:00"/>
  </r>
  <r>
    <s v="Sem TR"/>
    <n v="64836695"/>
    <s v="REB"/>
    <n v="10146663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74"/>
    <d v="2025-08-22T00:00:00"/>
  </r>
  <r>
    <s v="Sem TR"/>
    <n v="64836696"/>
    <s v="REB"/>
    <n v="9294698"/>
    <n v="178"/>
    <s v="PEÇAS -Defeito de fabric./Sem Compressão"/>
    <s v="FUNCIONAL"/>
    <x v="1"/>
    <n v="47026"/>
    <s v="JR PECAS LTDA JR PECAS LTDA"/>
    <s v="BA"/>
    <n v="643"/>
    <s v="Elite"/>
    <n v="1350"/>
    <s v="W11647660"/>
    <s v="Compressores Herméticos"/>
    <x v="0"/>
    <n v="5"/>
    <n v="5004101"/>
    <s v="UNIDOCK'S ASSESSORIA E LOGISTICA DE"/>
    <n v="1401.26"/>
    <d v="2025-08-22T00:00:00"/>
  </r>
  <r>
    <n v="254061080"/>
    <n v="64836697"/>
    <s v="REB"/>
    <n v="9904832"/>
    <n v="178"/>
    <s v="PEÇAS -Defeito de fabric./Sem Compressão"/>
    <s v="FUNCIONAL"/>
    <x v="1"/>
    <n v="28434"/>
    <s v="AGUIAR COMERCIO DE PRODUTOS DE REF"/>
    <s v="DF"/>
    <n v="648"/>
    <s v="Ultra"/>
    <n v="1350"/>
    <s v="W11647662"/>
    <s v="Compressores Herméticos"/>
    <x v="0"/>
    <n v="7"/>
    <n v="5002858"/>
    <s v="FAVORITA TRANSPORTES LTDA"/>
    <n v="2028.54"/>
    <d v="2025-08-22T00:00:00"/>
  </r>
  <r>
    <n v="254061051"/>
    <n v="64836698"/>
    <s v="REB"/>
    <n v="10176684"/>
    <n v="177"/>
    <s v="PEÇAS - Defeito de fabric./Ruído"/>
    <s v="FUNCIONAL"/>
    <x v="2"/>
    <n v="8267"/>
    <s v="SANTANA REFRIGERACAO LTDA"/>
    <s v="ES"/>
    <n v="350"/>
    <s v="Ats On"/>
    <n v="1350"/>
    <s v="W10882241"/>
    <s v="Agitadores"/>
    <x v="4"/>
    <n v="2"/>
    <n v="5004042"/>
    <s v="BRASIL WEB TRANSPORTES E LOGISTICA"/>
    <n v="87.64"/>
    <d v="2025-08-22T00:00:00"/>
  </r>
  <r>
    <s v="Sem TR"/>
    <n v="64836699"/>
    <s v="REB"/>
    <n v="10129901"/>
    <n v="173"/>
    <s v="PEÇAS - Defeito de fabric./Alta Amperage"/>
    <s v="FUNCIONAL"/>
    <x v="1"/>
    <n v="22875"/>
    <s v="Pinguim PeCas Para Eletrodo LTDA"/>
    <s v="MG"/>
    <n v="934"/>
    <s v="CDP Ouro"/>
    <n v="1350"/>
    <s v="W11132068"/>
    <s v="Painéis de Controle"/>
    <x v="3"/>
    <n v="1"/>
    <n v="5004215"/>
    <s v="BRASIL WEB TRANSPORTES E LOGISTICA"/>
    <n v="103.66"/>
    <d v="2025-08-22T00:00:00"/>
  </r>
  <r>
    <n v="254061204"/>
    <n v="64836700"/>
    <s v="ZDVP"/>
    <n v="10111072"/>
    <n v="173"/>
    <s v="PEÇAS - Defeito de fabric./Alta Amperage"/>
    <s v="FUNCIONAL"/>
    <x v="2"/>
    <n v="26939"/>
    <s v="TEMPERFRIO-DISTRIBUICAO E"/>
    <s v="PR"/>
    <n v="643"/>
    <s v="Elite"/>
    <n v="1350"/>
    <s v="W11300816"/>
    <s v="Mecanismos"/>
    <x v="4"/>
    <n v="1"/>
    <n v="5003024"/>
    <s v="RODOBRAS TRANSPORTES RODOVIARIOS LT"/>
    <n v="117.76"/>
    <d v="2025-08-22T00:00:00"/>
  </r>
  <r>
    <n v="254061191"/>
    <n v="64836701"/>
    <s v="REB"/>
    <n v="9624373"/>
    <n v="178"/>
    <s v="PEÇAS -Defeito de fabric./Sem Compressão"/>
    <s v="FUNCIONAL"/>
    <x v="1"/>
    <n v="81459"/>
    <s v="REFRIGERACAO GM EIRELI"/>
    <s v="SP"/>
    <n v="648"/>
    <s v="Ultra"/>
    <n v="1350"/>
    <s v="W10798744"/>
    <s v="Compressores Herméticos"/>
    <x v="0"/>
    <n v="1"/>
    <n v="5004042"/>
    <s v="BRASIL WEB TRANSPORTES E LOGISTICA"/>
    <n v="331.33"/>
    <d v="2025-08-22T00:00:00"/>
  </r>
  <r>
    <n v="254061193"/>
    <n v="64836702"/>
    <s v="REB"/>
    <n v="8800391"/>
    <n v="178"/>
    <s v="PEÇAS -Defeito de fabric./Sem Compressão"/>
    <s v="FUNCIONAL"/>
    <x v="1"/>
    <n v="81459"/>
    <s v="REFRIGERACAO GM EIRELI"/>
    <s v="SP"/>
    <n v="648"/>
    <s v="Ultra"/>
    <n v="1350"/>
    <s v="W10393847"/>
    <s v="Compressores Herméticos"/>
    <x v="0"/>
    <n v="1"/>
    <n v="5004042"/>
    <s v="BRASIL WEB TRANSPORTES E LOGISTICA"/>
    <n v="466.34"/>
    <d v="2025-08-22T00:00:00"/>
  </r>
  <r>
    <n v="254061193"/>
    <n v="64836703"/>
    <s v="REB"/>
    <n v="9493028"/>
    <n v="178"/>
    <s v="PEÇAS -Defeito de fabric./Sem Compressão"/>
    <s v="FUNCIONAL"/>
    <x v="1"/>
    <n v="81459"/>
    <s v="REFRIGERACAO GM EIRELI"/>
    <s v="SP"/>
    <n v="648"/>
    <s v="Ultra"/>
    <n v="1350"/>
    <s v="W11133677"/>
    <s v="Compressores Herméticos"/>
    <x v="0"/>
    <n v="1"/>
    <n v="5004042"/>
    <s v="BRASIL WEB TRANSPORTES E LOGISTICA"/>
    <n v="466.57"/>
    <d v="2025-08-22T00:00:00"/>
  </r>
  <r>
    <n v="254062076"/>
    <n v="64836704"/>
    <s v="REB"/>
    <n v="10125669"/>
    <n v="176"/>
    <s v="PEÇAS - Defeito de fabric./Interrompido"/>
    <s v="FUNCIONAL"/>
    <x v="2"/>
    <n v="3506"/>
    <s v="TECBRAS ASSISTENCIA TECNICA"/>
    <s v="SP"/>
    <n v="931"/>
    <s v="Ats Off"/>
    <n v="1350"/>
    <s v="W11226018"/>
    <s v="Motores Ventiladores"/>
    <x v="2"/>
    <n v="1"/>
    <n v="5004042"/>
    <s v="BRASIL WEB TRANSPORTES E LOGISTICA"/>
    <n v="74.94"/>
    <d v="2025-08-22T00:00:00"/>
  </r>
  <r>
    <n v="254062076"/>
    <n v="64836705"/>
    <s v="REB"/>
    <n v="10175586"/>
    <n v="176"/>
    <s v="PEÇAS - Defeito de fabric./Interrompido"/>
    <s v="FUNCIONAL"/>
    <x v="2"/>
    <n v="3506"/>
    <s v="TECBRAS ASSISTENCIA TECNICA"/>
    <s v="SP"/>
    <n v="931"/>
    <s v="Ats Off"/>
    <n v="1350"/>
    <s v="W10563584"/>
    <s v="Magnetrons"/>
    <x v="2"/>
    <n v="1"/>
    <n v="5004042"/>
    <s v="BRASIL WEB TRANSPORTES E LOGISTICA"/>
    <n v="206.06"/>
    <d v="2025-08-22T00:00:00"/>
  </r>
  <r>
    <s v="Sem TR"/>
    <n v="64836706"/>
    <s v="REB"/>
    <n v="10017735"/>
    <n v="178"/>
    <s v="PEÇAS -Defeito de fabric./Sem Compressão"/>
    <s v="FUNCIONAL"/>
    <x v="1"/>
    <n v="47026"/>
    <s v="JR PECAS LTDA JR PECAS LTDA"/>
    <s v="BA"/>
    <n v="643"/>
    <s v="Elite"/>
    <n v="1350"/>
    <s v="W11677209"/>
    <s v="Compressores Herméticos"/>
    <x v="0"/>
    <n v="2"/>
    <n v="5004101"/>
    <s v="UNIDOCK'S ASSESSORIA E LOGISTICA DE"/>
    <n v="526.88"/>
    <d v="2025-08-22T00:00:00"/>
  </r>
  <r>
    <n v="254061113"/>
    <n v="64836708"/>
    <s v="REB"/>
    <n v="10125228"/>
    <n v="176"/>
    <s v="PEÇAS - Defeito de fabric./Interrompido"/>
    <s v="FUNCIONAL"/>
    <x v="1"/>
    <n v="36065"/>
    <s v="REFRIGERACAO LOURES E ROSA LTDA ME"/>
    <s v="GO"/>
    <n v="643"/>
    <s v="Elite"/>
    <n v="1350"/>
    <s v="W11345331"/>
    <s v="Placas de Interface"/>
    <x v="2"/>
    <n v="1"/>
    <n v="5002858"/>
    <s v="FAVORITA TRANSPORTES LTDA"/>
    <n v="96.12"/>
    <d v="2025-08-22T00:00:00"/>
  </r>
  <r>
    <n v="254064139"/>
    <n v="64836714"/>
    <s v="REB"/>
    <n v="10183075"/>
    <n v="176"/>
    <s v="PEÇAS - Defeito de fabric./Interrompido"/>
    <s v="FUNCIONAL"/>
    <x v="2"/>
    <n v="3506"/>
    <s v="TECBRAS ASSISTENCIA TECNICA"/>
    <s v="SP"/>
    <n v="931"/>
    <s v="Ats Off"/>
    <n v="1350"/>
    <s v="W11248025"/>
    <s v="Placas de Interface"/>
    <x v="2"/>
    <n v="1"/>
    <n v="5004042"/>
    <s v="BRASIL WEB TRANSPORTES E LOGISTICA"/>
    <n v="634.1"/>
    <d v="2025-08-22T00:00:00"/>
  </r>
  <r>
    <n v="254062078"/>
    <n v="64836719"/>
    <s v="REB"/>
    <n v="10190782"/>
    <n v="176"/>
    <s v="PEÇAS - Defeito de fabric./Interrompido"/>
    <s v="FUNCIONAL"/>
    <x v="2"/>
    <n v="3555"/>
    <s v="LESTE SERVICE PCS SERVICOS LTDA LES"/>
    <s v="SP"/>
    <n v="931"/>
    <s v="Ats Off"/>
    <n v="1350"/>
    <s v="W11266866"/>
    <s v="Sensores"/>
    <x v="8"/>
    <n v="1"/>
    <n v="5004042"/>
    <s v="BRASIL WEB TRANSPORTES E LOGISTICA"/>
    <n v="48.48"/>
    <d v="2025-08-22T00:00:00"/>
  </r>
  <r>
    <n v="254064154"/>
    <n v="64836720"/>
    <s v="REB"/>
    <n v="10181079"/>
    <n v="168"/>
    <s v="PEÇAS-Def.Fabric.Empenamento/Abaulamento"/>
    <s v="FUNCIONAL"/>
    <x v="2"/>
    <n v="3555"/>
    <s v="LESTE SERVICE PCS SERVICOS LTDA LES"/>
    <s v="SP"/>
    <n v="931"/>
    <s v="Ats Off"/>
    <n v="1350"/>
    <s v="W10669011"/>
    <s v="Capas"/>
    <x v="3"/>
    <n v="1"/>
    <n v="5004042"/>
    <s v="BRASIL WEB TRANSPORTES E LOGISTICA"/>
    <n v="28.02"/>
    <d v="2025-08-22T00:00:00"/>
  </r>
  <r>
    <s v="Sem TR"/>
    <n v="64836721"/>
    <s v="REB"/>
    <n v="10184715"/>
    <n v="509"/>
    <s v="Qtd de peças a Menor dentro do Volume"/>
    <s v="LOGÍSTICA"/>
    <x v="2"/>
    <n v="87707"/>
    <s v="REFRIGERA BRASIL CLIMATIZACAO E REF"/>
    <s v="BA"/>
    <n v="648"/>
    <s v="Ultra"/>
    <n v="1350"/>
    <s v="W11363944"/>
    <s v="Capas"/>
    <x v="3"/>
    <n v="2"/>
    <n v="5002359"/>
    <s v="EMPRESA BRASILEIRA DE CORREIOS E"/>
    <n v="54.57"/>
    <d v="2025-08-22T00:00:00"/>
  </r>
  <r>
    <s v="Sem TR"/>
    <n v="64836722"/>
    <s v="REB"/>
    <n v="10184586"/>
    <n v="177"/>
    <s v="PEÇAS - Defeito de fabric./Ruído"/>
    <s v="FUNCIONAL"/>
    <x v="1"/>
    <n v="5039"/>
    <s v="MAQ TEC COMERCIO DE PECAS"/>
    <s v="RS"/>
    <n v="350"/>
    <s v="Ats On"/>
    <n v="1350"/>
    <s v="W11300698"/>
    <s v="Mecanismos"/>
    <x v="4"/>
    <n v="1"/>
    <n v="5003024"/>
    <s v="RODOBRAS TRANSPORTES RODOVIARIOS LT"/>
    <n v="244.21"/>
    <d v="2025-08-22T00:00:00"/>
  </r>
  <r>
    <s v="Sem TR"/>
    <n v="64836723"/>
    <s v="REB"/>
    <n v="10188298"/>
    <n v="90"/>
    <s v="CLIENTE-não solicitou"/>
    <s v="COMERCIAL"/>
    <x v="1"/>
    <n v="134"/>
    <s v="MULTILAR COM DE PECAS E SERVICOS LT"/>
    <s v="SP"/>
    <n v="350"/>
    <s v="Ats On"/>
    <n v="1350"/>
    <s v="W10764930"/>
    <s v="Outros"/>
    <x v="5"/>
    <n v="1"/>
    <n v="5004042"/>
    <s v="BRASIL WEB TRANSPORTES E LOGISTICA"/>
    <n v="6.22"/>
    <d v="2025-08-22T00:00:00"/>
  </r>
  <r>
    <n v="254061018"/>
    <n v="64836724"/>
    <s v="REB"/>
    <n v="10143423"/>
    <n v="176"/>
    <s v="PEÇAS - Defeito de fabric./Interrompido"/>
    <s v="FUNCIONAL"/>
    <x v="2"/>
    <n v="3506"/>
    <s v="TECBRAS ASSISTENCIA TECNICA"/>
    <s v="SP"/>
    <n v="931"/>
    <s v="Ats Off"/>
    <n v="1350"/>
    <n v="326008340"/>
    <s v="Anéis de Vedação"/>
    <x v="10"/>
    <n v="1"/>
    <n v="5004042"/>
    <s v="BRASIL WEB TRANSPORTES E LOGISTICA"/>
    <n v="18.43"/>
    <d v="2025-08-22T00:00:00"/>
  </r>
  <r>
    <n v="254061065"/>
    <n v="64836725"/>
    <s v="REB"/>
    <n v="10175662"/>
    <n v="173"/>
    <s v="PEÇAS - Defeito de fabric./Alta Amperage"/>
    <s v="FUNCIONAL"/>
    <x v="1"/>
    <n v="9452"/>
    <s v="MULTICENTER COMERCIO E SERVICOS"/>
    <s v="SP"/>
    <n v="931"/>
    <s v="Ats Off"/>
    <n v="1350"/>
    <s v="W11102574"/>
    <s v="Placas de Controle"/>
    <x v="2"/>
    <n v="1"/>
    <n v="5004042"/>
    <s v="BRASIL WEB TRANSPORTES E LOGISTICA"/>
    <n v="363.08"/>
    <d v="2025-08-22T00:00:00"/>
  </r>
  <r>
    <s v="Sem TR"/>
    <n v="64836726"/>
    <s v="REB"/>
    <n v="10180977"/>
    <n v="90"/>
    <s v="CLIENTE-não solicitou"/>
    <s v="COMERCIAL"/>
    <x v="1"/>
    <n v="56233"/>
    <s v="FELIPE GRAHL"/>
    <s v="RS"/>
    <n v="932"/>
    <s v="CDP Prata"/>
    <n v="1350"/>
    <s v="W11448815"/>
    <s v="Manípulos"/>
    <x v="3"/>
    <n v="4"/>
    <n v="5003024"/>
    <s v="RODOBRAS TRANSPORTES RODOVIARIOS LT"/>
    <n v="49.12"/>
    <d v="2025-08-22T00:00:00"/>
  </r>
  <r>
    <n v="254061133"/>
    <n v="64836727"/>
    <s v="REB"/>
    <n v="9915487"/>
    <n v="178"/>
    <s v="PEÇAS -Defeito de fabric./Sem Compressão"/>
    <s v="FUNCIONAL"/>
    <x v="2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4.57"/>
    <d v="2025-08-22T00:00:00"/>
  </r>
  <r>
    <n v="254061070"/>
    <n v="64836728"/>
    <s v="REB"/>
    <n v="10039632"/>
    <n v="173"/>
    <s v="PEÇAS - Defeito de fabric./Alta Amperage"/>
    <s v="FUNCIONAL"/>
    <x v="2"/>
    <n v="18949"/>
    <s v="BIG FRIO EQUIPAMENTOS PARA"/>
    <s v="SP"/>
    <n v="933"/>
    <s v="Top"/>
    <n v="1350"/>
    <s v="W10855670"/>
    <s v="Placas de Controle"/>
    <x v="2"/>
    <n v="1"/>
    <n v="5004042"/>
    <s v="BRASIL WEB TRANSPORTES E LOGISTICA"/>
    <n v="305.58999999999997"/>
    <d v="2025-08-22T00:00:00"/>
  </r>
  <r>
    <s v="Sem TR"/>
    <n v="64836729"/>
    <s v="REB"/>
    <n v="9726571"/>
    <n v="178"/>
    <s v="PEÇAS -Defeito de fabric./Sem Compressão"/>
    <s v="FUNCIONAL"/>
    <x v="1"/>
    <n v="63300"/>
    <s v="REFRIGERACAO MOTA LTDA"/>
    <s v="MG"/>
    <n v="643"/>
    <s v="Elite"/>
    <n v="1350"/>
    <s v="W10393808"/>
    <s v="Compressores Herméticos"/>
    <x v="0"/>
    <n v="2"/>
    <n v="5004215"/>
    <s v="BRASIL WEB TRANSPORTES E LOGISTICA"/>
    <n v="602.53"/>
    <d v="2025-08-22T00:00:00"/>
  </r>
  <r>
    <s v="Sem TR"/>
    <n v="64836729"/>
    <s v="REB"/>
    <n v="9726571"/>
    <n v="178"/>
    <s v="PEÇAS -Defeito de fabric./Sem Compressão"/>
    <s v="FUNCIONAL"/>
    <x v="1"/>
    <n v="63300"/>
    <s v="REFRIGERACAO MOTA LTDA"/>
    <s v="MG"/>
    <n v="643"/>
    <s v="Elite"/>
    <n v="1350"/>
    <s v="W10330848"/>
    <s v="Compressores Herméticos"/>
    <x v="0"/>
    <n v="1"/>
    <n v="5004215"/>
    <s v="BRASIL WEB TRANSPORTES E LOGISTICA"/>
    <n v="396.09"/>
    <d v="2025-08-22T00:00:00"/>
  </r>
  <r>
    <s v="Sem TR"/>
    <n v="64836729"/>
    <s v="REB"/>
    <n v="9726571"/>
    <n v="178"/>
    <s v="PEÇAS -Defeito de fabric./Sem Compressão"/>
    <s v="FUNCIONAL"/>
    <x v="1"/>
    <n v="63300"/>
    <s v="REFRIGERACAO MOTA LTDA"/>
    <s v="MG"/>
    <n v="643"/>
    <s v="Elite"/>
    <n v="1350"/>
    <n v="326072969"/>
    <s v="Compressores Herméticos"/>
    <x v="0"/>
    <n v="1"/>
    <n v="5004215"/>
    <s v="BRASIL WEB TRANSPORTES E LOGISTICA"/>
    <n v="339.6"/>
    <d v="2025-08-22T00:00:00"/>
  </r>
  <r>
    <s v="Sem TR"/>
    <n v="64836730"/>
    <s v="REB"/>
    <n v="10146663"/>
    <n v="173"/>
    <s v="PEÇAS - Defeito de fabric./Alta Amperage"/>
    <s v="FUNCIONAL"/>
    <x v="1"/>
    <n v="27804"/>
    <s v="REFRIGERACAO MAGAZINE DO FRIO LTDA"/>
    <s v="SP"/>
    <n v="641"/>
    <s v="CDP Diamante"/>
    <n v="1350"/>
    <s v="W11299803"/>
    <s v="Mecanismos"/>
    <x v="4"/>
    <n v="1"/>
    <n v="5004042"/>
    <s v="BRASIL WEB TRANSPORTES E LOGISTICA"/>
    <n v="116.74"/>
    <d v="2025-08-22T00:00:00"/>
  </r>
  <r>
    <s v="Sem TR"/>
    <n v="64836731"/>
    <s v="REB"/>
    <n v="10158581"/>
    <n v="173"/>
    <s v="PEÇAS - Defeito de fabric./Alta Amperage"/>
    <s v="FUNCIONAL"/>
    <x v="1"/>
    <n v="70555"/>
    <s v="WG SOLUCOES EM ELETRODOMESTICOS"/>
    <s v="SC"/>
    <n v="648"/>
    <s v="Ultra"/>
    <n v="1350"/>
    <s v="W10311954"/>
    <s v="Válvulas de Água"/>
    <x v="6"/>
    <n v="1"/>
    <n v="5003024"/>
    <s v="RODOBRAS TRANSPORTES RODOVIARIOS LT"/>
    <n v="46.08"/>
    <d v="2025-08-22T00:00:00"/>
  </r>
  <r>
    <s v="Sem TR"/>
    <n v="64836732"/>
    <s v="REB"/>
    <n v="10045132"/>
    <n v="173"/>
    <s v="PEÇAS - Defeito de fabric./Alta Amperage"/>
    <s v="FUNCIONAL"/>
    <x v="1"/>
    <n v="70555"/>
    <s v="WG SOLUCOES EM ELETRODOMESTICOS"/>
    <s v="SC"/>
    <n v="648"/>
    <s v="Ultra"/>
    <n v="1350"/>
    <s v="W10882442"/>
    <s v="Placas de Controle"/>
    <x v="2"/>
    <n v="1"/>
    <n v="5003024"/>
    <s v="RODOBRAS TRANSPORTES RODOVIARIOS LT"/>
    <n v="386.8"/>
    <d v="2025-08-22T00:00:00"/>
  </r>
  <r>
    <n v="254061191"/>
    <n v="64836733"/>
    <s v="REB"/>
    <n v="9660793"/>
    <n v="178"/>
    <s v="PEÇAS -Defeito de fabric./Sem Compressão"/>
    <s v="FUNCIONAL"/>
    <x v="1"/>
    <n v="81459"/>
    <s v="REFRIGERACAO GM EIRELI"/>
    <s v="SP"/>
    <n v="648"/>
    <s v="Ultra"/>
    <n v="1350"/>
    <s v="W10393823"/>
    <s v="Compressores Herméticos"/>
    <x v="0"/>
    <n v="1"/>
    <n v="5004042"/>
    <s v="BRASIL WEB TRANSPORTES E LOGISTICA"/>
    <n v="555.73"/>
    <d v="2025-08-22T00:00:00"/>
  </r>
  <r>
    <s v="Sem TR"/>
    <n v="64836734"/>
    <s v="REB"/>
    <n v="10185080"/>
    <n v="509"/>
    <s v="Qtd de peças a Menor dentro do Volume"/>
    <s v="LOGÍSTICA"/>
    <x v="2"/>
    <n v="66"/>
    <s v="CENTROMAQ PECAS E SERVICOS LTDA"/>
    <s v="GO"/>
    <n v="931"/>
    <s v="Ats Off"/>
    <n v="1350"/>
    <n v="326009653"/>
    <s v="Anéis de Vedação"/>
    <x v="10"/>
    <n v="40"/>
    <n v="5002359"/>
    <s v="EMPRESA BRASILEIRA DE CORREIOS E"/>
    <n v="166.22"/>
    <d v="2025-08-22T00:00:00"/>
  </r>
  <r>
    <n v="254061193"/>
    <n v="64836735"/>
    <s v="REB"/>
    <n v="9415255"/>
    <n v="178"/>
    <s v="PEÇAS -Defeito de fabric./Sem Compressão"/>
    <s v="FUNCIONAL"/>
    <x v="1"/>
    <n v="81459"/>
    <s v="REFRIGERACAO GM EIRELI"/>
    <s v="SP"/>
    <n v="648"/>
    <s v="Ultra"/>
    <n v="1350"/>
    <s v="W11647660"/>
    <s v="Compressores Herméticos"/>
    <x v="0"/>
    <n v="1"/>
    <n v="5004042"/>
    <s v="BRASIL WEB TRANSPORTES E LOGISTICA"/>
    <n v="305.95"/>
    <d v="2025-08-22T00:00:00"/>
  </r>
  <r>
    <s v="Sem TR"/>
    <n v="64836736"/>
    <s v="REB"/>
    <n v="10142703"/>
    <n v="173"/>
    <s v="PEÇAS - Defeito de fabric./Alta Amperage"/>
    <s v="FUNCIONAL"/>
    <x v="1"/>
    <n v="27874"/>
    <s v="REFRIGERACAO ERECHIM COML TECNICA"/>
    <s v="RS"/>
    <n v="641"/>
    <s v="CDP Diamante"/>
    <n v="1350"/>
    <s v="W11344665"/>
    <s v="Válvulas de Água"/>
    <x v="6"/>
    <n v="1"/>
    <n v="5003024"/>
    <s v="RODOBRAS TRANSPORTES RODOVIARIOS LT"/>
    <n v="65.72"/>
    <d v="2025-08-22T00:00:00"/>
  </r>
  <r>
    <n v="254064176"/>
    <n v="64836737"/>
    <s v="REB"/>
    <n v="10108161"/>
    <n v="176"/>
    <s v="PEÇAS - Defeito de fabric./Interrompido"/>
    <s v="FUNCIONAL"/>
    <x v="2"/>
    <n v="30847"/>
    <s v="PARANAGUA FRIO REFRIGERACAO LTDA"/>
    <s v="SP"/>
    <n v="644"/>
    <s v="Plus"/>
    <n v="1350"/>
    <s v="W11415294"/>
    <s v="Placas de Controle"/>
    <x v="2"/>
    <n v="1"/>
    <n v="5004042"/>
    <s v="BRASIL WEB TRANSPORTES E LOGISTICA"/>
    <n v="283.77999999999997"/>
    <d v="2025-08-22T00:00:00"/>
  </r>
  <r>
    <n v="254061102"/>
    <n v="64836738"/>
    <s v="REB"/>
    <n v="10022564"/>
    <n v="178"/>
    <s v="PEÇAS -Defeito de fabric./Sem Compressão"/>
    <s v="FUNCIONAL"/>
    <x v="2"/>
    <n v="31587"/>
    <s v="COPEGEL REFRIGERACAO LTDA"/>
    <s v="SP"/>
    <n v="643"/>
    <s v="Elite"/>
    <n v="1350"/>
    <s v="W11741183"/>
    <s v="Outros"/>
    <x v="5"/>
    <n v="1"/>
    <n v="5004042"/>
    <s v="BRASIL WEB TRANSPORTES E LOGISTICA"/>
    <n v="374.8"/>
    <d v="2025-08-22T00:00:00"/>
  </r>
  <r>
    <n v="254065383"/>
    <n v="64836754"/>
    <s v="REB"/>
    <n v="10182771"/>
    <n v="104"/>
    <s v="PEÇAS-Código trocado(embalag X conteúdo)"/>
    <s v="LOGÍSTICA"/>
    <x v="2"/>
    <n v="71778"/>
    <s v="EDUARDO MEES 08488521928"/>
    <s v="SC"/>
    <n v="932"/>
    <s v="CDP Prata"/>
    <n v="1350"/>
    <s v="W11344669"/>
    <s v="Válvulas de Água"/>
    <x v="6"/>
    <n v="7"/>
    <n v="5003024"/>
    <s v="RODOBRAS TRANSPORTES RODOVIARIOS LT"/>
    <n v="374.64"/>
    <d v="2025-08-22T00:00:00"/>
  </r>
  <r>
    <n v="254061195"/>
    <n v="64836755"/>
    <s v="REB"/>
    <n v="10178435"/>
    <n v="176"/>
    <s v="PEÇAS - Defeito de fabric./Interrompido"/>
    <s v="FUNCIONAL"/>
    <x v="2"/>
    <n v="83572"/>
    <s v="GRAN ELETRO GOURMET LTDA"/>
    <s v="SP"/>
    <n v="931"/>
    <s v="Ats Off"/>
    <n v="1350"/>
    <s v="W11245249"/>
    <s v="Válvulas de Água"/>
    <x v="6"/>
    <n v="1"/>
    <n v="5004042"/>
    <s v="BRASIL WEB TRANSPORTES E LOGISTICA"/>
    <n v="53.37"/>
    <d v="2025-08-22T00:00:00"/>
  </r>
  <r>
    <s v="Sem TR"/>
    <n v="64836756"/>
    <s v="REB"/>
    <n v="10113657"/>
    <n v="168"/>
    <s v="PEÇAS-Def.Fabric.Empenamento/Abaulamento"/>
    <s v="FUNCIONAL"/>
    <x v="1"/>
    <n v="28178"/>
    <s v="IRMAOS CARICILLI LTDA"/>
    <s v="SP"/>
    <n v="644"/>
    <s v="Plus"/>
    <n v="1350"/>
    <s v="W10829873"/>
    <s v="Outros"/>
    <x v="5"/>
    <n v="1"/>
    <n v="5004042"/>
    <s v="BRASIL WEB TRANSPORTES E LOGISTICA"/>
    <n v="92.47"/>
    <d v="2025-08-22T00:00:00"/>
  </r>
  <r>
    <n v="254061152"/>
    <n v="64836757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n v="254061153"/>
    <n v="64836758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s v="Sem TR"/>
    <n v="64836759"/>
    <s v="REB"/>
    <n v="10055658"/>
    <n v="173"/>
    <s v="PEÇAS - Defeito de fabric./Alta Amperage"/>
    <s v="FUNCIONAL"/>
    <x v="1"/>
    <n v="77746"/>
    <s v="ALFA DISTRIBUIDORA"/>
    <s v="GO"/>
    <n v="933"/>
    <s v="Top"/>
    <n v="1350"/>
    <s v="W10827973"/>
    <s v="Placas de Controle"/>
    <x v="2"/>
    <n v="1"/>
    <n v="5002858"/>
    <s v="FAVORITA TRANSPORTES LTDA"/>
    <n v="344.22"/>
    <d v="2025-08-22T00:00:00"/>
  </r>
  <r>
    <s v="Sem TR"/>
    <n v="64836760"/>
    <s v="REB"/>
    <n v="10067444"/>
    <n v="173"/>
    <s v="PEÇAS - Defeito de fabric./Alta Amperage"/>
    <s v="FUNCIONAL"/>
    <x v="1"/>
    <n v="29731"/>
    <s v="FRIGELAR COMÉRCIO E INDÚSTRIA LTDA"/>
    <s v="RS"/>
    <n v="713"/>
    <s v="Key Account"/>
    <n v="1350"/>
    <s v="W10737624"/>
    <s v="Pressostatos"/>
    <x v="8"/>
    <n v="1"/>
    <n v="5003024"/>
    <s v="RODOBRAS TRANSPORTES RODOVIARIOS LT"/>
    <n v="38.299999999999997"/>
    <d v="2025-08-22T00:00:00"/>
  </r>
  <r>
    <s v="Sem TR"/>
    <n v="64836761"/>
    <s v="REB"/>
    <n v="10158841"/>
    <n v="509"/>
    <s v="Qtd de peças a Menor dentro do Volume"/>
    <s v="LOGÍSTICA"/>
    <x v="2"/>
    <n v="30416"/>
    <s v="JF OLIVEIRA PEREIRA ELETROD LTDA"/>
    <s v="AM"/>
    <n v="648"/>
    <s v="Ultra"/>
    <n v="1350"/>
    <s v="W10393802"/>
    <s v="Compressores Herméticos"/>
    <x v="0"/>
    <n v="1"/>
    <n v="5002359"/>
    <s v="EMPRESA BRASILEIRA DE CORREIOS E"/>
    <n v="280.95999999999998"/>
    <d v="2025-08-22T00:00:00"/>
  </r>
  <r>
    <n v="254061118"/>
    <n v="64836762"/>
    <s v="REB"/>
    <n v="10164086"/>
    <n v="178"/>
    <s v="PEÇAS -Defeito de fabric./Sem Compressão"/>
    <s v="FUNCIONAL"/>
    <x v="1"/>
    <n v="40998"/>
    <s v="CALDEIRA E SANTOS LTDA M.E"/>
    <s v="GO"/>
    <n v="648"/>
    <s v="Ultra"/>
    <n v="1350"/>
    <s v="W11647662"/>
    <s v="Compressores Herméticos"/>
    <x v="0"/>
    <n v="1"/>
    <n v="5002858"/>
    <s v="FAVORITA TRANSPORTES LTDA"/>
    <n v="229.17"/>
    <d v="2025-08-22T00:00:00"/>
  </r>
  <r>
    <n v="254061172"/>
    <n v="64836764"/>
    <s v="REB"/>
    <n v="10139350"/>
    <n v="173"/>
    <s v="PEÇAS - Defeito de fabric./Alta Amperage"/>
    <s v="FUNCIONAL"/>
    <x v="1"/>
    <n v="75751"/>
    <s v="BORCHERT &amp; BAUMGARTNER LTDA"/>
    <s v="PR"/>
    <n v="931"/>
    <s v="Ats Off"/>
    <n v="1350"/>
    <s v="W11299803"/>
    <s v="Mecanismos"/>
    <x v="4"/>
    <n v="3"/>
    <n v="5003024"/>
    <s v="RODOBRAS TRANSPORTES RODOVIARIOS LT"/>
    <n v="273.33"/>
    <d v="2025-08-22T00:00:00"/>
  </r>
  <r>
    <n v="254061100"/>
    <n v="64836765"/>
    <s v="REB"/>
    <n v="10160955"/>
    <n v="176"/>
    <s v="PEÇAS - Defeito de fabric./Interrompido"/>
    <s v="FUNCIONAL"/>
    <x v="1"/>
    <n v="31063"/>
    <s v="ELETROFRIGOR PECAS LTDA ME"/>
    <s v="RJ"/>
    <n v="644"/>
    <s v="Plus"/>
    <n v="1350"/>
    <s v="W10399715"/>
    <s v="Motores Ventiladores"/>
    <x v="2"/>
    <n v="1"/>
    <n v="5003176"/>
    <s v="J C THEDIN TRANSPORTES LTDA"/>
    <n v="48.35"/>
    <d v="2025-08-22T00:00:00"/>
  </r>
  <r>
    <s v="Sem TR"/>
    <n v="64836766"/>
    <s v="REB"/>
    <n v="10180999"/>
    <n v="509"/>
    <s v="Qtd de peças a Menor dentro do Volume"/>
    <s v="LOGÍSTICA"/>
    <x v="2"/>
    <n v="69162"/>
    <s v="AGUIAR &amp; GUEDES LTDA"/>
    <s v="RS"/>
    <n v="934"/>
    <s v="CDP Ouro"/>
    <n v="1350"/>
    <s v="W10882241"/>
    <s v="Agitadores"/>
    <x v="4"/>
    <n v="3"/>
    <n v="5002359"/>
    <s v="EMPRESA BRASILEIRA DE CORREIOS E"/>
    <n v="143.94"/>
    <d v="2025-08-22T00:00:00"/>
  </r>
  <r>
    <s v="Sem TR"/>
    <n v="64836767"/>
    <s v="REB"/>
    <n v="10191362"/>
    <n v="509"/>
    <s v="Qtd de peças a Menor dentro do Volume"/>
    <s v="LOGÍSTICA"/>
    <x v="2"/>
    <n v="28681"/>
    <s v="PERIN &amp; CIA"/>
    <s v="SP"/>
    <n v="643"/>
    <s v="Elite"/>
    <n v="1350"/>
    <s v="W10310999"/>
    <s v="Motores Ventiladores"/>
    <x v="2"/>
    <n v="1"/>
    <n v="5002359"/>
    <s v="EMPRESA BRASILEIRA DE CORREIOS E"/>
    <n v="48.13"/>
    <d v="2025-08-22T00:00:00"/>
  </r>
  <r>
    <n v="254061052"/>
    <n v="64836768"/>
    <s v="REB"/>
    <n v="10041331"/>
    <n v="173"/>
    <s v="PEÇAS - Defeito de fabric./Alta Amperage"/>
    <s v="FUNCIONAL"/>
    <x v="2"/>
    <n v="8975"/>
    <s v="FORT CENTER REFRIGERACAO LTDA"/>
    <s v="MA"/>
    <n v="931"/>
    <s v="Ats Off"/>
    <n v="1350"/>
    <s v="W11482942"/>
    <s v="Placas de Controle"/>
    <x v="2"/>
    <n v="1"/>
    <n v="5004101"/>
    <s v="UNIDOCK'S ASSESSORIA E LOGISTICA DE"/>
    <n v="188.13"/>
    <d v="2025-08-22T00:00:00"/>
  </r>
  <r>
    <n v="254064181"/>
    <n v="64836769"/>
    <s v="REB"/>
    <n v="10096569"/>
    <n v="173"/>
    <s v="PEÇAS - Defeito de fabric./Alta Amperage"/>
    <s v="FUNCIONAL"/>
    <x v="2"/>
    <n v="33574"/>
    <s v="REFRIGERACOES SABOIA LTDA"/>
    <s v="PE"/>
    <n v="350"/>
    <s v="Ats On"/>
    <n v="1350"/>
    <s v="W11245250"/>
    <s v="Válvulas de Água"/>
    <x v="6"/>
    <n v="1"/>
    <n v="5004101"/>
    <s v="UNIDOCK'S ASSESSORIA E LOGISTICA DE"/>
    <n v="53.52"/>
    <d v="2025-08-22T00:00:00"/>
  </r>
  <r>
    <n v="254061083"/>
    <n v="64836774"/>
    <s v="REB"/>
    <n v="9371513"/>
    <n v="176"/>
    <s v="PEÇAS - Defeito de fabric./Interrompido"/>
    <s v="FUNCIONAL"/>
    <x v="2"/>
    <n v="29706"/>
    <s v="Campos Equipamentos e Refrigeração"/>
    <s v="RN"/>
    <n v="644"/>
    <s v="Plus"/>
    <n v="1350"/>
    <s v="W11133678"/>
    <s v="Compressores Herméticos"/>
    <x v="0"/>
    <n v="1"/>
    <n v="5004101"/>
    <s v="UNIDOCK'S ASSESSORIA E LOGISTICA DE"/>
    <n v="390.31"/>
    <d v="2025-08-22T00:00:00"/>
  </r>
  <r>
    <s v="Sem TR"/>
    <n v="64836775"/>
    <s v="REB"/>
    <n v="10194379"/>
    <n v="509"/>
    <s v="Qtd de peças a Menor dentro do Volume"/>
    <s v="LOGÍSTICA"/>
    <x v="2"/>
    <n v="4354"/>
    <s v="ELETRO PECAS MINGAO LTDA"/>
    <s v="PR"/>
    <n v="350"/>
    <s v="Ats On"/>
    <n v="1350"/>
    <s v="W11197058"/>
    <s v="Trempes"/>
    <x v="3"/>
    <n v="1"/>
    <n v="5002359"/>
    <s v="EMPRESA BRASILEIRA DE CORREIOS E"/>
    <n v="153.18"/>
    <d v="2025-08-22T00:00:00"/>
  </r>
  <r>
    <n v="254060962"/>
    <n v="64836776"/>
    <s v="REB"/>
    <n v="10052921"/>
    <n v="173"/>
    <s v="PEÇAS - Defeito de fabric./Alta Amperage"/>
    <s v="FUNCIONAL"/>
    <x v="2"/>
    <n v="1334"/>
    <s v="FLORIANO REFRIGERACAO LTDA"/>
    <s v="PI"/>
    <n v="350"/>
    <s v="Ats On"/>
    <n v="1350"/>
    <s v="W10849470"/>
    <s v="Bombas"/>
    <x v="2"/>
    <n v="2"/>
    <n v="5004101"/>
    <s v="UNIDOCK'S ASSESSORIA E LOGISTICA DE"/>
    <n v="66.989999999999995"/>
    <d v="2025-08-22T00:00:00"/>
  </r>
  <r>
    <n v="254061191"/>
    <n v="64836778"/>
    <s v="REB"/>
    <n v="9562426"/>
    <n v="178"/>
    <s v="PEÇAS -Defeito de fabric./Sem Compressão"/>
    <s v="FUNCIONAL"/>
    <x v="1"/>
    <n v="81459"/>
    <s v="REFRIGERACAO GM EIRELI"/>
    <s v="SP"/>
    <n v="648"/>
    <s v="Ultra"/>
    <n v="1350"/>
    <s v="W11647660"/>
    <s v="Compressores Herméticos"/>
    <x v="0"/>
    <n v="1"/>
    <n v="5004042"/>
    <s v="BRASIL WEB TRANSPORTES E LOGISTICA"/>
    <n v="305.95"/>
    <d v="2025-08-22T00:00:00"/>
  </r>
  <r>
    <n v="254061080"/>
    <n v="64836779"/>
    <s v="REB"/>
    <n v="10062224"/>
    <n v="178"/>
    <s v="PEÇAS -Defeito de fabric./Sem Compressão"/>
    <s v="FUNCIONAL"/>
    <x v="1"/>
    <n v="28434"/>
    <s v="AGUIAR COMERCIO DE PRODUTOS DE REF"/>
    <s v="DF"/>
    <n v="648"/>
    <s v="Ultra"/>
    <n v="1350"/>
    <s v="W10393823"/>
    <s v="Compressores Herméticos"/>
    <x v="0"/>
    <n v="9"/>
    <n v="5002858"/>
    <s v="FAVORITA TRANSPORTES LTDA"/>
    <n v="3935.28"/>
    <d v="2025-08-22T00:00:00"/>
  </r>
  <r>
    <s v="Sem TR"/>
    <n v="64836780"/>
    <s v="REB"/>
    <n v="10168845"/>
    <n v="509"/>
    <s v="Qtd de peças a Menor dentro do Volume"/>
    <s v="LOGÍSTICA"/>
    <x v="2"/>
    <n v="18809"/>
    <s v="REFRIGERACAO DUFRIO"/>
    <s v="RS"/>
    <n v="713"/>
    <s v="Key Account"/>
    <n v="1350"/>
    <s v="W11383843"/>
    <s v="Válvulas de Água"/>
    <x v="6"/>
    <n v="4"/>
    <n v="5002359"/>
    <s v="EMPRESA BRASILEIRA DE CORREIOS E"/>
    <n v="350.2"/>
    <d v="2025-08-22T00:00:00"/>
  </r>
  <r>
    <n v="254061102"/>
    <n v="64836781"/>
    <s v="REB"/>
    <n v="10151917"/>
    <n v="176"/>
    <s v="PEÇAS - Defeito de fabric./Interrompido"/>
    <s v="FUNCIONAL"/>
    <x v="2"/>
    <n v="31587"/>
    <s v="COPEGEL REFRIGERACAO LTDA"/>
    <s v="SP"/>
    <n v="643"/>
    <s v="Elite"/>
    <n v="1350"/>
    <s v="W11300678"/>
    <s v="Mecanismos"/>
    <x v="4"/>
    <n v="1"/>
    <n v="5004042"/>
    <s v="BRASIL WEB TRANSPORTES E LOGISTICA"/>
    <n v="201.96"/>
    <d v="2025-08-22T00:00:00"/>
  </r>
  <r>
    <n v="254062075"/>
    <n v="64836782"/>
    <s v="REB"/>
    <n v="10060710"/>
    <n v="173"/>
    <s v="PEÇAS - Defeito de fabric./Alta Amperage"/>
    <s v="FUNCIONAL"/>
    <x v="2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3.06"/>
    <d v="2025-08-22T00:00:00"/>
  </r>
  <r>
    <n v="254061159"/>
    <n v="64836783"/>
    <s v="REB"/>
    <n v="10109166"/>
    <n v="178"/>
    <s v="PEÇAS -Defeito de fabric./Sem Compressão"/>
    <s v="FUNCIONAL"/>
    <x v="1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70.14999999999998"/>
    <d v="2025-08-22T00:00:00"/>
  </r>
  <r>
    <s v="Sem TR"/>
    <n v="64836794"/>
    <s v="REB"/>
    <n v="10184815"/>
    <n v="167"/>
    <s v="PEÇAS - Avaria - Quebrada/Depósito"/>
    <s v="LOGÍSTICA"/>
    <x v="1"/>
    <n v="38744"/>
    <s v="REFRIMOTOR CLIMATIZACAO LTDA"/>
    <s v="SC"/>
    <n v="350"/>
    <s v="Ats On"/>
    <n v="1350"/>
    <s v="W10563584"/>
    <s v="Magnetrons"/>
    <x v="2"/>
    <n v="1"/>
    <n v="5003024"/>
    <s v="RODOBRAS TRANSPORTES RODOVIARIOS LT"/>
    <n v="180.71"/>
    <d v="2025-08-22T00:00:00"/>
  </r>
  <r>
    <n v="254061148"/>
    <n v="64836795"/>
    <s v="REB"/>
    <n v="9779878"/>
    <n v="178"/>
    <s v="PEÇAS -Defeito de fabric./Sem Compressão"/>
    <s v="FUNCIONAL"/>
    <x v="2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8-22T00:00:00"/>
  </r>
  <r>
    <n v="254061155"/>
    <n v="64836796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n v="254061063"/>
    <n v="64836797"/>
    <s v="REB"/>
    <n v="10083361"/>
    <n v="173"/>
    <s v="PEÇAS - Defeito de fabric./Alta Amperage"/>
    <s v="FUNCIONAL"/>
    <x v="2"/>
    <n v="8975"/>
    <s v="FORT CENTER REFRIGERACAO LTDA"/>
    <s v="MA"/>
    <n v="931"/>
    <s v="Ats Off"/>
    <n v="1350"/>
    <s v="W11603414"/>
    <s v="Placas de Controle"/>
    <x v="2"/>
    <n v="1"/>
    <n v="5004101"/>
    <s v="UNIDOCK'S ASSESSORIA E LOGISTICA DE"/>
    <n v="196.61"/>
    <d v="2025-08-22T00:00:00"/>
  </r>
  <r>
    <n v="254061208"/>
    <n v="64836798"/>
    <s v="ZDVP"/>
    <n v="10110529"/>
    <n v="177"/>
    <s v="PEÇAS - Defeito de fabric./Ruído"/>
    <s v="FUNCIONAL"/>
    <x v="2"/>
    <n v="64522"/>
    <s v="REFRIGERACAO CACIQUE RIO PRETO"/>
    <s v="SP"/>
    <n v="643"/>
    <s v="Elite"/>
    <n v="1350"/>
    <s v="W11300675"/>
    <s v="Mecanismos"/>
    <x v="4"/>
    <n v="2"/>
    <n v="5004101"/>
    <s v="UNIDOCK'S ASSESSORIA E LOGISTICA DE"/>
    <n v="226.7"/>
    <d v="2025-08-22T00:00:00"/>
  </r>
  <r>
    <n v="254061043"/>
    <n v="64836804"/>
    <s v="REB"/>
    <n v="10186140"/>
    <n v="167"/>
    <s v="PEÇAS - Avaria - Quebrada/Depósito"/>
    <s v="LOGÍSTICA"/>
    <x v="2"/>
    <n v="3618"/>
    <s v="REFRISON REFRIGERACAO E ELETRONICA"/>
    <s v="SP"/>
    <n v="350"/>
    <s v="Ats On"/>
    <n v="1350"/>
    <s v="W10169459"/>
    <s v="Prateleiras"/>
    <x v="1"/>
    <n v="1"/>
    <n v="5004042"/>
    <s v="BRASIL WEB TRANSPORTES E LOGISTICA"/>
    <n v="33.950000000000003"/>
    <d v="2025-08-22T00:00:00"/>
  </r>
  <r>
    <n v="254061076"/>
    <n v="64836805"/>
    <s v="REB"/>
    <n v="10196283"/>
    <n v="167"/>
    <s v="PEÇAS - Avaria - Quebrada/Depósito"/>
    <s v="LOGÍSTICA"/>
    <x v="2"/>
    <n v="27574"/>
    <s v="GLACIAL REFRIG MAQ E EQUIP LTDA"/>
    <s v="SP"/>
    <n v="641"/>
    <s v="CDP Diamante"/>
    <n v="1350"/>
    <s v="W10539793"/>
    <s v="Capas"/>
    <x v="3"/>
    <n v="1"/>
    <n v="5004042"/>
    <s v="BRASIL WEB TRANSPORTES E LOGISTICA"/>
    <n v="32.21"/>
    <d v="2025-08-22T00:00:00"/>
  </r>
  <r>
    <n v="254061185"/>
    <n v="64836806"/>
    <s v="REB"/>
    <n v="10161752"/>
    <n v="176"/>
    <s v="PEÇAS - Defeito de fabric./Interrompido"/>
    <s v="FUNCIONAL"/>
    <x v="2"/>
    <n v="80432"/>
    <s v="FRIORIO DISTRIBUIDOR DE PECAS PARA"/>
    <s v="ES"/>
    <n v="713"/>
    <s v="Key Account"/>
    <n v="1350"/>
    <s v="W10882442"/>
    <s v="Placas de Controle"/>
    <x v="2"/>
    <n v="1"/>
    <n v="5004042"/>
    <s v="BRASIL WEB TRANSPORTES E LOGISTICA"/>
    <n v="360.38"/>
    <d v="2025-08-22T00:00:00"/>
  </r>
  <r>
    <n v="254061186"/>
    <n v="64836807"/>
    <s v="REB"/>
    <n v="10161752"/>
    <n v="176"/>
    <s v="PEÇAS - Defeito de fabric./Interrompido"/>
    <s v="FUNCIONAL"/>
    <x v="2"/>
    <n v="80432"/>
    <s v="FRIORIO DISTRIBUIDOR DE PECAS PARA"/>
    <s v="ES"/>
    <n v="713"/>
    <s v="Key Account"/>
    <n v="1350"/>
    <s v="W10899324"/>
    <s v="Placas de Controle"/>
    <x v="2"/>
    <n v="1"/>
    <n v="5004042"/>
    <s v="BRASIL WEB TRANSPORTES E LOGISTICA"/>
    <n v="199.22"/>
    <d v="2025-08-22T00:00:00"/>
  </r>
  <r>
    <n v="254061176"/>
    <n v="64836808"/>
    <s v="REB"/>
    <n v="10191771"/>
    <n v="165"/>
    <s v="PEÇAS - Defeito de fabric./Incompleta"/>
    <s v="FUNCIONAL"/>
    <x v="2"/>
    <n v="77695"/>
    <s v="AKTIVA REFRIGERACAO LTDA"/>
    <s v="PR"/>
    <n v="934"/>
    <s v="CDP Ouro"/>
    <n v="1350"/>
    <n v="50122"/>
    <s v="Correias"/>
    <x v="4"/>
    <n v="5"/>
    <n v="5003024"/>
    <s v="RODOBRAS TRANSPORTES RODOVIARIOS LT"/>
    <n v="318.06"/>
    <d v="2025-08-22T00:00:00"/>
  </r>
  <r>
    <n v="254061187"/>
    <n v="64836814"/>
    <s v="REB"/>
    <n v="10168844"/>
    <n v="176"/>
    <s v="PEÇAS - Defeito de fabric./Interrompido"/>
    <s v="FUNCIONAL"/>
    <x v="2"/>
    <n v="80432"/>
    <s v="FRIORIO DISTRIBUIDOR DE PECAS PARA"/>
    <s v="ES"/>
    <n v="713"/>
    <s v="Key Account"/>
    <n v="1350"/>
    <s v="W10619169"/>
    <s v="Placas de Controle"/>
    <x v="2"/>
    <n v="1"/>
    <n v="5004042"/>
    <s v="BRASIL WEB TRANSPORTES E LOGISTICA"/>
    <n v="210.97"/>
    <d v="2025-08-22T00:00:00"/>
  </r>
  <r>
    <n v="254061141"/>
    <n v="64836815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s v="Sem TR"/>
    <n v="64836816"/>
    <s v="ZRDI"/>
    <n v="10207637"/>
    <s v="D35"/>
    <s v="DEV D2C - Prod difere do comprado"/>
    <s v="COMERCIAL"/>
    <x v="0"/>
    <n v="58242219"/>
    <s v="ISABELLA SILVA"/>
    <s v="SP"/>
    <n v="475"/>
    <s v="Site Consul"/>
    <n v="1352"/>
    <s v="W11199342"/>
    <s v="Filtros"/>
    <x v="6"/>
    <n v="1"/>
    <n v="5002359"/>
    <s v="EMPRESA BRASILEIRA DE CORREIOS E"/>
    <n v="81.81"/>
    <d v="2025-08-29T00:00:00"/>
  </r>
  <r>
    <n v="254061018"/>
    <n v="64836834"/>
    <s v="REB"/>
    <n v="10143421"/>
    <n v="176"/>
    <s v="PEÇAS - Defeito de fabric./Interrompido"/>
    <s v="FUNCIONAL"/>
    <x v="2"/>
    <n v="3506"/>
    <s v="TECBRAS ASSISTENCIA TECNICA"/>
    <s v="SP"/>
    <n v="931"/>
    <s v="Ats Off"/>
    <n v="1350"/>
    <s v="W10630751"/>
    <s v="Resistências"/>
    <x v="2"/>
    <n v="1"/>
    <n v="5004042"/>
    <s v="BRASIL WEB TRANSPORTES E LOGISTICA"/>
    <n v="61.89"/>
    <d v="2025-08-22T00:00:00"/>
  </r>
  <r>
    <n v="254063941"/>
    <n v="64836835"/>
    <s v="REB"/>
    <n v="10072355"/>
    <n v="173"/>
    <s v="PEÇAS - Defeito de fabric./Alta Amperage"/>
    <s v="FUNCIONAL"/>
    <x v="2"/>
    <n v="66"/>
    <s v="CENTROMAQ PECAS E SERVICOS LTDA"/>
    <s v="GO"/>
    <n v="931"/>
    <s v="Ats Off"/>
    <n v="1350"/>
    <s v="W11300681"/>
    <s v="Mecanismos"/>
    <x v="4"/>
    <n v="1"/>
    <n v="5002858"/>
    <s v="FAVORITA TRANSPORTES LTDA"/>
    <n v="177.32"/>
    <d v="2025-08-22T00:00:00"/>
  </r>
  <r>
    <n v="254061143"/>
    <n v="64836836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n v="254061166"/>
    <n v="64836837"/>
    <s v="REB"/>
    <n v="10169749"/>
    <n v="173"/>
    <s v="PEÇAS - Defeito de fabric./Alta Amperage"/>
    <s v="FUNCIONAL"/>
    <x v="2"/>
    <n v="69166"/>
    <s v="PC COMERCIO E REPARACAO DE APARELHO"/>
    <s v="RJ"/>
    <n v="931"/>
    <s v="Ats Off"/>
    <n v="1350"/>
    <s v="W10518616"/>
    <s v="Atuadores"/>
    <x v="4"/>
    <n v="1"/>
    <n v="5003176"/>
    <s v="J C THEDIN TRANSPORTES LTDA"/>
    <n v="33.89"/>
    <d v="2025-08-22T00:00:00"/>
  </r>
  <r>
    <n v="254061145"/>
    <n v="64836838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n v="254064139"/>
    <n v="64836839"/>
    <s v="REB"/>
    <n v="10181070"/>
    <n v="176"/>
    <s v="PEÇAS - Defeito de fabric./Interrompido"/>
    <s v="FUNCIONAL"/>
    <x v="2"/>
    <n v="3506"/>
    <s v="TECBRAS ASSISTENCIA TECNICA"/>
    <s v="SP"/>
    <n v="931"/>
    <s v="Ats Off"/>
    <n v="1350"/>
    <s v="W10531315"/>
    <s v="Sensores"/>
    <x v="8"/>
    <n v="1"/>
    <n v="5004042"/>
    <s v="BRASIL WEB TRANSPORTES E LOGISTICA"/>
    <n v="8.8000000000000007"/>
    <d v="2025-08-22T00:00:00"/>
  </r>
  <r>
    <n v="254061099"/>
    <n v="64836840"/>
    <s v="REB"/>
    <n v="10160954"/>
    <n v="176"/>
    <s v="PEÇAS - Defeito de fabric./Interrompido"/>
    <s v="FUNCIONAL"/>
    <x v="1"/>
    <n v="31063"/>
    <s v="ELETROFRIGOR PECAS LTDA ME"/>
    <s v="RJ"/>
    <n v="644"/>
    <s v="Plus"/>
    <n v="1350"/>
    <s v="W10678923"/>
    <s v="Placas de Controle"/>
    <x v="2"/>
    <n v="1"/>
    <n v="5003176"/>
    <s v="J C THEDIN TRANSPORTES LTDA"/>
    <n v="66"/>
    <d v="2025-08-22T00:00:00"/>
  </r>
  <r>
    <s v="Sem TR"/>
    <n v="64836841"/>
    <s v="REB"/>
    <n v="10165971"/>
    <n v="173"/>
    <s v="PEÇAS - Defeito de fabric./Alta Amperage"/>
    <s v="FUNCIONAL"/>
    <x v="1"/>
    <n v="26939"/>
    <s v="TEMPERFRIO-DISTRIBUICAO E"/>
    <s v="PR"/>
    <n v="643"/>
    <s v="Elite"/>
    <n v="1350"/>
    <s v="W11251564"/>
    <s v="Placas de Controle"/>
    <x v="2"/>
    <n v="1"/>
    <n v="5003024"/>
    <s v="RODOBRAS TRANSPORTES RODOVIARIOS LT"/>
    <n v="278.14"/>
    <d v="2025-08-22T00:00:00"/>
  </r>
  <r>
    <s v="Sem TR"/>
    <n v="64836864"/>
    <s v="REB"/>
    <n v="10168860"/>
    <n v="509"/>
    <s v="Qtd de peças a Menor dentro do Volume"/>
    <s v="LOGÍSTICA"/>
    <x v="2"/>
    <n v="32856"/>
    <s v="REFRIGERACAO DUFRIO"/>
    <s v="PR"/>
    <n v="713"/>
    <s v="Key Account"/>
    <n v="1350"/>
    <s v="W11498695"/>
    <s v="Capas"/>
    <x v="3"/>
    <n v="1"/>
    <n v="5002359"/>
    <s v="EMPRESA BRASILEIRA DE CORREIOS E"/>
    <n v="46.36"/>
    <d v="2025-08-22T00:00:00"/>
  </r>
  <r>
    <s v="Sem TR"/>
    <n v="64836865"/>
    <s v="REB"/>
    <n v="10191300"/>
    <n v="167"/>
    <s v="PEÇAS - Avaria - Quebrada/Depósito"/>
    <s v="LOGÍSTICA"/>
    <x v="1"/>
    <n v="3694"/>
    <s v="DO LAR ELETRO TECNICA LTDA"/>
    <s v="SP"/>
    <n v="350"/>
    <s v="Ats On"/>
    <n v="1350"/>
    <n v="326063836"/>
    <s v="Prateleiras"/>
    <x v="1"/>
    <n v="1"/>
    <n v="5004042"/>
    <s v="BRASIL WEB TRANSPORTES E LOGISTICA"/>
    <n v="62.27"/>
    <d v="2025-08-22T00:00:00"/>
  </r>
  <r>
    <n v="254061134"/>
    <n v="64836909"/>
    <s v="REB"/>
    <n v="9915487"/>
    <n v="178"/>
    <s v="PEÇAS -Defeito de fabric./Sem Compressão"/>
    <s v="FUNCIONAL"/>
    <x v="2"/>
    <n v="50867"/>
    <s v="IRMAOS PACIFICO COMERCIO"/>
    <s v="ES"/>
    <n v="644"/>
    <s v="Plus"/>
    <n v="1350"/>
    <s v="W11647660"/>
    <s v="Compressores Herméticos"/>
    <x v="0"/>
    <n v="1"/>
    <n v="5004042"/>
    <s v="BRASIL WEB TRANSPORTES E LOGISTICA"/>
    <n v="284.57"/>
    <d v="2025-08-22T00:00:00"/>
  </r>
  <r>
    <s v="Sem TR"/>
    <n v="64836910"/>
    <s v="REB"/>
    <n v="10163997"/>
    <n v="90"/>
    <s v="CLIENTE-não solicitou"/>
    <s v="COMERCIAL"/>
    <x v="1"/>
    <n v="31109"/>
    <s v="LEITAO E GONDIM LTDA ME"/>
    <s v="PE"/>
    <n v="934"/>
    <s v="CDP Ouro"/>
    <n v="1350"/>
    <s v="W11573273"/>
    <s v="Resistências"/>
    <x v="2"/>
    <n v="3"/>
    <n v="5004101"/>
    <s v="UNIDOCK'S ASSESSORIA E LOGISTICA DE"/>
    <n v="298.04000000000002"/>
    <d v="2025-08-22T00:00:00"/>
  </r>
  <r>
    <n v="254061192"/>
    <n v="64836911"/>
    <s v="REB"/>
    <n v="9497233"/>
    <n v="178"/>
    <s v="PEÇAS -Defeito de fabric./Sem Compressão"/>
    <s v="FUNCIONAL"/>
    <x v="1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3.1"/>
    <d v="2025-08-22T00:00:00"/>
  </r>
  <r>
    <n v="254061157"/>
    <n v="64836912"/>
    <s v="REB"/>
    <n v="10109166"/>
    <n v="178"/>
    <s v="PEÇAS -Defeito de fabric./Sem Compressão"/>
    <s v="FUNCIONAL"/>
    <x v="1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70.14999999999998"/>
    <d v="2025-08-22T00:00:00"/>
  </r>
  <r>
    <s v="Sem TR"/>
    <n v="64836914"/>
    <s v="REB"/>
    <n v="10187364"/>
    <n v="509"/>
    <s v="Qtd de peças a Menor dentro do Volume"/>
    <s v="LOGÍSTICA"/>
    <x v="2"/>
    <n v="29731"/>
    <s v="FRIGELAR COMÉRCIO E INDÚSTRIA LTDA"/>
    <s v="RS"/>
    <n v="713"/>
    <s v="Key Account"/>
    <n v="1350"/>
    <s v="W11498695"/>
    <s v="Capas"/>
    <x v="3"/>
    <n v="4"/>
    <n v="5002359"/>
    <s v="EMPRESA BRASILEIRA DE CORREIOS E"/>
    <n v="207.91"/>
    <d v="2025-08-22T00:00:00"/>
  </r>
  <r>
    <s v="Sem TR"/>
    <n v="64836915"/>
    <s v="REB"/>
    <n v="10139283"/>
    <n v="173"/>
    <s v="PEÇAS - Defeito de fabric./Alta Amperage"/>
    <s v="FUNCIONAL"/>
    <x v="1"/>
    <n v="21330"/>
    <s v="REFRIEL COM DE PEÇAS REFRIG LTDA RE"/>
    <s v="PR"/>
    <n v="643"/>
    <s v="Elite"/>
    <n v="1350"/>
    <s v="W10700346"/>
    <s v="Placas de Controle"/>
    <x v="2"/>
    <n v="1"/>
    <n v="5003024"/>
    <s v="RODOBRAS TRANSPORTES RODOVIARIOS LT"/>
    <n v="134.85"/>
    <d v="2025-08-22T00:00:00"/>
  </r>
  <r>
    <n v="254062075"/>
    <n v="64836916"/>
    <s v="REB"/>
    <n v="10083970"/>
    <n v="173"/>
    <s v="PEÇAS - Defeito de fabric./Alta Amperage"/>
    <s v="FUNCIONAL"/>
    <x v="2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3.06"/>
    <d v="2025-08-22T00:00:00"/>
  </r>
  <r>
    <n v="254061174"/>
    <n v="64836917"/>
    <s v="REB"/>
    <n v="9746950"/>
    <n v="178"/>
    <s v="PEÇAS -Defeito de fabric./Sem Compressão"/>
    <s v="FUNCIONAL"/>
    <x v="2"/>
    <n v="76848"/>
    <s v="MUNDIAL REFRIGERACAO LTDA"/>
    <s v="GO"/>
    <n v="643"/>
    <s v="Elite"/>
    <n v="1350"/>
    <s v="W10799397"/>
    <s v="Compressores Herméticos"/>
    <x v="0"/>
    <n v="1"/>
    <n v="5002858"/>
    <s v="FAVORITA TRANSPORTES LTDA"/>
    <n v="301.17"/>
    <d v="2025-08-22T00:00:00"/>
  </r>
  <r>
    <n v="254061084"/>
    <n v="64836918"/>
    <s v="REB"/>
    <n v="9919648"/>
    <n v="176"/>
    <s v="PEÇAS - Defeito de fabric./Interrompido"/>
    <s v="FUNCIONAL"/>
    <x v="2"/>
    <n v="29706"/>
    <s v="Campos Equipamentos e Refrigeração"/>
    <s v="RN"/>
    <n v="644"/>
    <s v="Plus"/>
    <n v="1350"/>
    <s v="W10632495"/>
    <s v="Placas de Controle"/>
    <x v="2"/>
    <n v="1"/>
    <n v="5004101"/>
    <s v="UNIDOCK'S ASSESSORIA E LOGISTICA DE"/>
    <n v="88.21"/>
    <d v="2025-08-22T00:00:00"/>
  </r>
  <r>
    <n v="254060962"/>
    <n v="64836939"/>
    <s v="REB"/>
    <n v="10165496"/>
    <n v="173"/>
    <s v="PEÇAS - Defeito de fabric./Alta Amperage"/>
    <s v="FUNCIONAL"/>
    <x v="2"/>
    <n v="1334"/>
    <s v="FLORIANO REFRIGERACAO LTDA"/>
    <s v="PI"/>
    <n v="350"/>
    <s v="Ats On"/>
    <n v="1350"/>
    <s v="W11245250"/>
    <s v="Válvulas de Água"/>
    <x v="6"/>
    <n v="1"/>
    <n v="5004101"/>
    <s v="UNIDOCK'S ASSESSORIA E LOGISTICA DE"/>
    <n v="54.33"/>
    <d v="2025-08-22T00:00:00"/>
  </r>
  <r>
    <n v="254061088"/>
    <n v="64836940"/>
    <s v="REB"/>
    <n v="10182680"/>
    <n v="176"/>
    <s v="PEÇAS - Defeito de fabric./Interrompido"/>
    <s v="FUNCIONAL"/>
    <x v="1"/>
    <n v="30180"/>
    <s v="REFRIG TRES MIL COM E PECAS LTDA"/>
    <s v="MG"/>
    <n v="644"/>
    <s v="Plus"/>
    <n v="1350"/>
    <s v="W11299803"/>
    <s v="Mecanismos"/>
    <x v="4"/>
    <n v="1"/>
    <n v="5004215"/>
    <s v="BRASIL WEB TRANSPORTES E LOGISTICA"/>
    <n v="105.9"/>
    <d v="2025-08-22T00:00:00"/>
  </r>
  <r>
    <n v="254062082"/>
    <n v="64836942"/>
    <s v="REB"/>
    <n v="10138123"/>
    <n v="173"/>
    <s v="PEÇAS - Defeito de fabric./Alta Amperage"/>
    <s v="FUNCIONAL"/>
    <x v="2"/>
    <n v="30847"/>
    <s v="PARANAGUA FRIO REFRIGERACAO LTDA"/>
    <s v="SP"/>
    <n v="644"/>
    <s v="Plus"/>
    <n v="1350"/>
    <s v="W11123831"/>
    <s v="Placas de Controle"/>
    <x v="2"/>
    <n v="1"/>
    <n v="5004042"/>
    <s v="BRASIL WEB TRANSPORTES E LOGISTICA"/>
    <n v="149.43"/>
    <d v="2025-08-22T00:00:00"/>
  </r>
  <r>
    <s v="Sem TR"/>
    <n v="64836944"/>
    <s v="REB"/>
    <n v="10168865"/>
    <n v="509"/>
    <s v="Qtd de peças a Menor dentro do Volume"/>
    <s v="LOGÍSTICA"/>
    <x v="2"/>
    <n v="80432"/>
    <s v="FRIORIO DISTRIBUIDOR DE PECAS PARA"/>
    <s v="ES"/>
    <n v="713"/>
    <s v="Key Account"/>
    <n v="1350"/>
    <s v="W11551361"/>
    <s v="Peças Mecanismos"/>
    <x v="4"/>
    <n v="131"/>
    <n v="5002359"/>
    <s v="EMPRESA BRASILEIRA DE CORREIOS E"/>
    <n v="1295.26"/>
    <d v="2025-08-22T00:00:00"/>
  </r>
  <r>
    <s v="Sem TR"/>
    <n v="64836945"/>
    <s v="REB"/>
    <n v="10168735"/>
    <n v="509"/>
    <s v="Qtd de peças a Menor dentro do Volume"/>
    <s v="LOGÍSTICA"/>
    <x v="2"/>
    <n v="80432"/>
    <s v="FRIORIO DISTRIBUIDOR DE PECAS PARA"/>
    <s v="ES"/>
    <n v="713"/>
    <s v="Key Account"/>
    <n v="1350"/>
    <s v="W10632492"/>
    <s v="Placas de Controle"/>
    <x v="2"/>
    <n v="1"/>
    <n v="5002359"/>
    <s v="EMPRESA BRASILEIRA DE CORREIOS E"/>
    <n v="133.1"/>
    <d v="2025-08-22T00:00:00"/>
  </r>
  <r>
    <s v="Sem TR"/>
    <n v="64836946"/>
    <s v="REB"/>
    <n v="10114028"/>
    <n v="177"/>
    <s v="PEÇAS - Defeito de fabric./Ruído"/>
    <s v="FUNCIONAL"/>
    <x v="1"/>
    <n v="53319"/>
    <s v="PARTS FRIO DISTRIBUIDORA DE"/>
    <s v="PR"/>
    <n v="644"/>
    <s v="Plus"/>
    <n v="1350"/>
    <s v="W11677208"/>
    <s v="Compressores Herméticos"/>
    <x v="0"/>
    <n v="1"/>
    <n v="5003024"/>
    <s v="RODOBRAS TRANSPORTES RODOVIARIOS LT"/>
    <n v="276.81"/>
    <d v="2025-08-22T00:00:00"/>
  </r>
  <r>
    <n v="254061081"/>
    <n v="64836947"/>
    <s v="REB"/>
    <n v="10010142"/>
    <n v="178"/>
    <s v="PEÇAS -Defeito de fabric./Sem Compressão"/>
    <s v="FUNCIONAL"/>
    <x v="2"/>
    <n v="29164"/>
    <s v="BRASTEMAK REFRIGERACAO LTDA"/>
    <s v="BA"/>
    <n v="648"/>
    <s v="Ultra"/>
    <n v="1350"/>
    <s v="W11647662"/>
    <s v="Compressores Herméticos"/>
    <x v="0"/>
    <n v="1"/>
    <n v="5004101"/>
    <s v="UNIDOCK'S ASSESSORIA E LOGISTICA DE"/>
    <n v="282.72000000000003"/>
    <d v="2025-08-22T00:00:00"/>
  </r>
  <r>
    <n v="254061147"/>
    <n v="64836948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n v="254061087"/>
    <n v="64836959"/>
    <s v="REB"/>
    <n v="10182680"/>
    <n v="176"/>
    <s v="PEÇAS - Defeito de fabric./Interrompido"/>
    <s v="FUNCIONAL"/>
    <x v="1"/>
    <n v="30180"/>
    <s v="REFRIG TRES MIL COM E PECAS LTDA"/>
    <s v="MG"/>
    <n v="644"/>
    <s v="Plus"/>
    <n v="1350"/>
    <s v="W11300816"/>
    <s v="Mecanismos"/>
    <x v="4"/>
    <n v="5"/>
    <n v="5004215"/>
    <s v="BRASIL WEB TRANSPORTES E LOGISTICA"/>
    <n v="623.1"/>
    <d v="2025-08-22T00:00:00"/>
  </r>
  <r>
    <s v="Sem TR"/>
    <n v="64836960"/>
    <s v="REB"/>
    <n v="10168865"/>
    <n v="509"/>
    <s v="Qtd de peças a Menor dentro do Volume"/>
    <s v="LOGÍSTICA"/>
    <x v="2"/>
    <n v="80432"/>
    <s v="FRIORIO DISTRIBUIDOR DE PECAS PARA"/>
    <s v="ES"/>
    <n v="713"/>
    <s v="Key Account"/>
    <n v="1350"/>
    <s v="W10460618"/>
    <s v="Tampas Móveis"/>
    <x v="3"/>
    <n v="8"/>
    <n v="5002359"/>
    <s v="EMPRESA BRASILEIRA DE CORREIOS E"/>
    <n v="838.37"/>
    <d v="2025-08-22T00:00:00"/>
  </r>
  <r>
    <n v="254066508"/>
    <n v="64836963"/>
    <s v="REB"/>
    <n v="10132422"/>
    <n v="173"/>
    <s v="PEÇAS - Defeito de fabric./Alta Amperage"/>
    <s v="FUNCIONAL"/>
    <x v="2"/>
    <n v="30990"/>
    <s v="REFRIGERACAO DUFRIO COMERCIO E"/>
    <s v="ES"/>
    <n v="713"/>
    <s v="Key Account"/>
    <n v="1350"/>
    <s v="W10882241"/>
    <s v="Agitadores"/>
    <x v="4"/>
    <n v="63"/>
    <n v="5004042"/>
    <s v="BRASIL WEB TRANSPORTES E LOGISTICA"/>
    <n v="1904.33"/>
    <d v="2025-08-29T00:00:00"/>
  </r>
  <r>
    <s v="Sem TR"/>
    <n v="64836999"/>
    <s v="REB"/>
    <n v="10165971"/>
    <n v="173"/>
    <s v="PEÇAS - Defeito de fabric./Alta Amperage"/>
    <s v="FUNCIONAL"/>
    <x v="1"/>
    <n v="26939"/>
    <s v="TEMPERFRIO-DISTRIBUICAO E"/>
    <s v="PR"/>
    <n v="643"/>
    <s v="Elite"/>
    <n v="1350"/>
    <s v="W11251564"/>
    <s v="Placas de Controle"/>
    <x v="2"/>
    <n v="1"/>
    <n v="5003024"/>
    <s v="RODOBRAS TRANSPORTES RODOVIARIOS LT"/>
    <n v="278.14"/>
    <d v="2025-08-22T00:00:00"/>
  </r>
  <r>
    <s v="Sem TR"/>
    <n v="64837000"/>
    <s v="REB"/>
    <n v="9937356"/>
    <n v="173"/>
    <s v="PEÇAS - Defeito de fabric./Alta Amperage"/>
    <s v="FUNCIONAL"/>
    <x v="1"/>
    <n v="70555"/>
    <s v="WG SOLUCOES EM ELETRODOMESTICOS"/>
    <s v="SC"/>
    <n v="648"/>
    <s v="Ultra"/>
    <n v="1350"/>
    <s v="W11435392"/>
    <s v="Placas de Controle"/>
    <x v="2"/>
    <n v="1"/>
    <n v="5003024"/>
    <s v="RODOBRAS TRANSPORTES RODOVIARIOS LT"/>
    <n v="300.64"/>
    <d v="2025-08-22T00:00:00"/>
  </r>
  <r>
    <n v="254064584"/>
    <n v="64837001"/>
    <s v="REB"/>
    <n v="8350558"/>
    <n v="173"/>
    <s v="PEÇAS - Defeito de fabric./Alta Amperage"/>
    <s v="FUNCIONAL"/>
    <x v="2"/>
    <n v="59011"/>
    <s v="H D CASTELAO EIRELI - EPP"/>
    <s v="SP"/>
    <n v="648"/>
    <s v="Ultra"/>
    <n v="1350"/>
    <s v="W10393810"/>
    <s v="Compressores Herméticos"/>
    <x v="0"/>
    <n v="1"/>
    <n v="5004042"/>
    <s v="BRASIL WEB TRANSPORTES E LOGISTICA"/>
    <n v="385.03"/>
    <d v="2025-08-22T00:00:00"/>
  </r>
  <r>
    <n v="254064584"/>
    <n v="64837002"/>
    <s v="REB"/>
    <n v="9350737"/>
    <n v="176"/>
    <s v="PEÇAS - Defeito de fabric./Interrompido"/>
    <s v="FUNCIONAL"/>
    <x v="2"/>
    <n v="59011"/>
    <s v="H D CASTELAO EIRELI - EPP"/>
    <s v="SP"/>
    <n v="648"/>
    <s v="Ultra"/>
    <n v="1350"/>
    <s v="W11368174"/>
    <s v="Compressores Herméticos"/>
    <x v="0"/>
    <n v="1"/>
    <n v="5004042"/>
    <s v="BRASIL WEB TRANSPORTES E LOGISTICA"/>
    <n v="418.33"/>
    <d v="2025-08-22T00:00:00"/>
  </r>
  <r>
    <n v="254064584"/>
    <n v="64837003"/>
    <s v="REB"/>
    <n v="10099266"/>
    <n v="176"/>
    <s v="PEÇAS - Defeito de fabric./Interrompido"/>
    <s v="FUNCIONAL"/>
    <x v="2"/>
    <n v="59011"/>
    <s v="H D CASTELAO EIRELI - EPP"/>
    <s v="SP"/>
    <n v="648"/>
    <s v="Ultra"/>
    <n v="1350"/>
    <s v="W11510292"/>
    <s v="Interruptores"/>
    <x v="8"/>
    <n v="1"/>
    <n v="5004042"/>
    <s v="BRASIL WEB TRANSPORTES E LOGISTICA"/>
    <n v="35.1"/>
    <d v="2025-08-22T00:00:00"/>
  </r>
  <r>
    <s v="Sem TR"/>
    <n v="64837004"/>
    <s v="REB"/>
    <n v="10192180"/>
    <n v="90"/>
    <s v="CLIENTE-não solicitou"/>
    <s v="COMERCIAL"/>
    <x v="1"/>
    <n v="82179"/>
    <s v="JOAO BATISTA MOREIRA DA SILVA"/>
    <s v="MG"/>
    <n v="350"/>
    <s v="Ats On"/>
    <n v="1350"/>
    <s v="W10911713"/>
    <s v="Vidros"/>
    <x v="3"/>
    <n v="1"/>
    <n v="5004215"/>
    <s v="BRASIL WEB TRANSPORTES E LOGISTICA"/>
    <n v="220.06"/>
    <d v="2025-08-22T00:00:00"/>
  </r>
  <r>
    <s v="Sem TR"/>
    <n v="64837005"/>
    <s v="REB"/>
    <n v="10004960"/>
    <n v="173"/>
    <s v="PEÇAS - Defeito de fabric./Alta Amperage"/>
    <s v="FUNCIONAL"/>
    <x v="1"/>
    <n v="70555"/>
    <s v="WG SOLUCOES EM ELETRODOMESTICOS"/>
    <s v="SC"/>
    <n v="648"/>
    <s v="Ultra"/>
    <n v="1350"/>
    <s v="W10899325"/>
    <s v="Placas de Controle"/>
    <x v="2"/>
    <n v="3"/>
    <n v="5003024"/>
    <s v="RODOBRAS TRANSPORTES RODOVIARIOS LT"/>
    <n v="729.9"/>
    <d v="2025-08-22T00:00:00"/>
  </r>
  <r>
    <n v="254066531"/>
    <n v="64837006"/>
    <s v="ZDVP"/>
    <n v="10164361"/>
    <n v="178"/>
    <s v="PEÇAS -Defeito de fabric./Sem Compressão"/>
    <s v="FUNCIONAL"/>
    <x v="2"/>
    <n v="88906"/>
    <s v="CALDEIRA LEMES DISTRIBUIDORA DE"/>
    <s v="GO"/>
    <n v="648"/>
    <s v="Ultra"/>
    <n v="1350"/>
    <s v="W11647662"/>
    <s v="Compressores Herméticos"/>
    <x v="0"/>
    <n v="1"/>
    <n v="5002858"/>
    <s v="FAVORITA TRANSPORTES LTDA"/>
    <n v="212.87"/>
    <d v="2025-08-29T00:00:00"/>
  </r>
  <r>
    <s v="Sem TR"/>
    <n v="64837009"/>
    <s v="REB"/>
    <n v="10096427"/>
    <n v="173"/>
    <s v="PEÇAS - Defeito de fabric./Alta Amperage"/>
    <s v="FUNCIONAL"/>
    <x v="1"/>
    <n v="70555"/>
    <s v="WG SOLUCOES EM ELETRODOMESTICOS"/>
    <s v="SC"/>
    <n v="648"/>
    <s v="Ultra"/>
    <n v="1350"/>
    <s v="W10855670"/>
    <s v="Placas de Controle"/>
    <x v="2"/>
    <n v="1"/>
    <n v="5003024"/>
    <s v="RODOBRAS TRANSPORTES RODOVIARIOS LT"/>
    <n v="215.4"/>
    <d v="2025-08-22T00:00:00"/>
  </r>
  <r>
    <s v="Sem TR"/>
    <n v="64837010"/>
    <s v="REB"/>
    <n v="10090280"/>
    <n v="173"/>
    <s v="PEÇAS - Defeito de fabric./Alta Amperage"/>
    <s v="FUNCIONAL"/>
    <x v="1"/>
    <n v="25727"/>
    <s v="Polo PeCas para RefrigeraCAo e"/>
    <s v="GO"/>
    <n v="644"/>
    <s v="Plus"/>
    <n v="1350"/>
    <s v="W11581054"/>
    <s v="Placas de Controle"/>
    <x v="2"/>
    <n v="1"/>
    <n v="5002858"/>
    <s v="FAVORITA TRANSPORTES LTDA"/>
    <n v="141.06"/>
    <d v="2025-08-22T00:00:00"/>
  </r>
  <r>
    <n v="254061158"/>
    <n v="64837011"/>
    <s v="REB"/>
    <n v="10109166"/>
    <n v="178"/>
    <s v="PEÇAS -Defeito de fabric./Sem Compressão"/>
    <s v="FUNCIONAL"/>
    <x v="1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70.14999999999998"/>
    <d v="2025-08-22T00:00:00"/>
  </r>
  <r>
    <n v="254060961"/>
    <n v="64837012"/>
    <s v="REB"/>
    <n v="10185122"/>
    <n v="176"/>
    <s v="PEÇAS - Defeito de fabric./Interrompido"/>
    <s v="FUNCIONAL"/>
    <x v="1"/>
    <n v="66"/>
    <s v="CENTROMAQ PECAS E SERVICOS LTDA"/>
    <s v="GO"/>
    <n v="931"/>
    <s v="Ats Off"/>
    <n v="1350"/>
    <s v="W10313529"/>
    <s v="Motores"/>
    <x v="2"/>
    <n v="1"/>
    <n v="5002858"/>
    <s v="FAVORITA TRANSPORTES LTDA"/>
    <n v="24.59"/>
    <d v="2025-08-22T00:00:00"/>
  </r>
  <r>
    <n v="254061160"/>
    <n v="64837013"/>
    <s v="REB"/>
    <n v="9958769"/>
    <n v="178"/>
    <s v="PEÇAS -Defeito de fabric./Sem Compressão"/>
    <s v="FUNCIONAL"/>
    <x v="1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69.42"/>
    <d v="2025-08-22T00:00:00"/>
  </r>
  <r>
    <s v="Sem TR"/>
    <n v="64837014"/>
    <s v="REB"/>
    <n v="10158581"/>
    <n v="176"/>
    <s v="PEÇAS - Defeito de fabric./Interrompido"/>
    <s v="FUNCIONAL"/>
    <x v="1"/>
    <n v="70555"/>
    <s v="WG SOLUCOES EM ELETRODOMESTICOS"/>
    <s v="SC"/>
    <n v="648"/>
    <s v="Ultra"/>
    <n v="1350"/>
    <s v="W11344669"/>
    <s v="Válvulas de Água"/>
    <x v="6"/>
    <n v="1"/>
    <n v="5003024"/>
    <s v="RODOBRAS TRANSPORTES RODOVIARIOS LT"/>
    <n v="53.98"/>
    <d v="2025-08-22T00:00:00"/>
  </r>
  <r>
    <n v="254060102"/>
    <n v="64837047"/>
    <s v="ROB"/>
    <n v="10202242"/>
    <n v="311"/>
    <s v="DEV-PRODUTO TROCADO-LOGÍSTICA"/>
    <s v="LOGÍSTICA"/>
    <x v="2"/>
    <n v="2506"/>
    <s v="FRIASTEC COMERCIO DE PECAS"/>
    <s v="RJ"/>
    <n v="350"/>
    <s v="Ats On"/>
    <n v="1350"/>
    <s v="W11344891"/>
    <s v="Placas de Interface"/>
    <x v="2"/>
    <n v="1"/>
    <n v="5003176"/>
    <s v="J C THEDIN TRANSPORTES LTDA"/>
    <n v="276.52999999999997"/>
    <d v="2025-08-22T00:00:00"/>
  </r>
  <r>
    <n v="254061193"/>
    <n v="64837054"/>
    <s v="REB"/>
    <n v="9435173"/>
    <n v="178"/>
    <s v="PEÇAS -Defeito de fabric./Sem Compressão"/>
    <s v="FUNCIONAL"/>
    <x v="1"/>
    <n v="81459"/>
    <s v="REFRIGERACAO GM EIRELI"/>
    <s v="SP"/>
    <n v="648"/>
    <s v="Ultra"/>
    <n v="1350"/>
    <s v="W11647662"/>
    <s v="Compressores Herméticos"/>
    <x v="0"/>
    <n v="1"/>
    <n v="5004042"/>
    <s v="BRASIL WEB TRANSPORTES E LOGISTICA"/>
    <n v="305.95"/>
    <d v="2025-08-22T00:00:00"/>
  </r>
  <r>
    <n v="254061191"/>
    <n v="64837055"/>
    <s v="REB"/>
    <n v="9676055"/>
    <n v="178"/>
    <s v="PEÇAS -Defeito de fabric./Sem Compressão"/>
    <s v="FUNCIONAL"/>
    <x v="1"/>
    <n v="81459"/>
    <s v="REFRIGERACAO GM EIRELI"/>
    <s v="SP"/>
    <n v="648"/>
    <s v="Ultra"/>
    <n v="1350"/>
    <s v="W10769941"/>
    <s v="Compressores Herméticos"/>
    <x v="0"/>
    <n v="1"/>
    <n v="5004042"/>
    <s v="BRASIL WEB TRANSPORTES E LOGISTICA"/>
    <n v="396.05"/>
    <d v="2025-08-22T00:00:00"/>
  </r>
  <r>
    <n v="254061103"/>
    <n v="64837056"/>
    <s v="REB"/>
    <n v="10060429"/>
    <n v="176"/>
    <s v="PEÇAS - Defeito de fabric./Interrompido"/>
    <s v="FUNCIONAL"/>
    <x v="1"/>
    <n v="32263"/>
    <s v="A C LIMA PONTES COMERCIO"/>
    <s v="PA"/>
    <n v="641"/>
    <s v="CDP Diamante"/>
    <n v="1350"/>
    <s v="W11482941"/>
    <s v="Placas de Controle"/>
    <x v="2"/>
    <n v="1"/>
    <n v="5002858"/>
    <s v="FAVORITA TRANSPORTES LTDA"/>
    <n v="198.08"/>
    <d v="2025-08-22T00:00:00"/>
  </r>
  <r>
    <n v="254061084"/>
    <n v="64837057"/>
    <s v="REB"/>
    <n v="9678318"/>
    <n v="176"/>
    <s v="PEÇAS - Defeito de fabric./Interrompido"/>
    <s v="FUNCIONAL"/>
    <x v="2"/>
    <n v="29706"/>
    <s v="Campos Equipamentos e Refrigeração"/>
    <s v="RN"/>
    <n v="644"/>
    <s v="Plus"/>
    <n v="1350"/>
    <s v="W11391012"/>
    <s v="Placas de Controle"/>
    <x v="2"/>
    <n v="1"/>
    <n v="5004101"/>
    <s v="UNIDOCK'S ASSESSORIA E LOGISTICA DE"/>
    <n v="292.94"/>
    <d v="2025-08-22T00:00:00"/>
  </r>
  <r>
    <n v="254061191"/>
    <n v="64837064"/>
    <s v="REB"/>
    <n v="9542996"/>
    <n v="178"/>
    <s v="PEÇAS -Defeito de fabric./Sem Compressão"/>
    <s v="FUNCIONAL"/>
    <x v="1"/>
    <n v="81459"/>
    <s v="REFRIGERACAO GM EIRELI"/>
    <s v="SP"/>
    <n v="648"/>
    <s v="Ultra"/>
    <n v="1350"/>
    <s v="W10375475"/>
    <s v="Compressores Herméticos"/>
    <x v="0"/>
    <n v="1"/>
    <n v="5004042"/>
    <s v="BRASIL WEB TRANSPORTES E LOGISTICA"/>
    <n v="355.18"/>
    <d v="2025-08-22T00:00:00"/>
  </r>
  <r>
    <n v="254060961"/>
    <n v="64837065"/>
    <s v="REB"/>
    <n v="10145492"/>
    <n v="177"/>
    <s v="PEÇAS - Defeito de fabric./Ruído"/>
    <s v="FUNCIONAL"/>
    <x v="1"/>
    <n v="66"/>
    <s v="CENTROMAQ PECAS E SERVICOS LTDA"/>
    <s v="GO"/>
    <n v="931"/>
    <s v="Ats Off"/>
    <n v="1350"/>
    <s v="W10470951"/>
    <s v="Correias"/>
    <x v="4"/>
    <n v="4"/>
    <n v="5002858"/>
    <s v="FAVORITA TRANSPORTES LTDA"/>
    <n v="35.06"/>
    <d v="2025-08-22T00:00:00"/>
  </r>
  <r>
    <s v="Sem TR"/>
    <n v="64837066"/>
    <s v="REB"/>
    <n v="9687615"/>
    <n v="173"/>
    <s v="PEÇAS - Defeito de fabric./Alta Amperage"/>
    <s v="FUNCIONAL"/>
    <x v="1"/>
    <n v="25727"/>
    <s v="Polo PeCas para RefrigeraCAo e"/>
    <s v="GO"/>
    <n v="644"/>
    <s v="Plus"/>
    <n v="1350"/>
    <s v="W11160655"/>
    <s v="Placas de Interface"/>
    <x v="2"/>
    <n v="2"/>
    <n v="5002858"/>
    <s v="FAVORITA TRANSPORTES LTDA"/>
    <n v="199.31"/>
    <d v="2025-08-22T00:00:00"/>
  </r>
  <r>
    <n v="254064233"/>
    <n v="64837084"/>
    <s v="REB"/>
    <n v="10056584"/>
    <n v="173"/>
    <s v="PEÇAS - Defeito de fabric./Alta Amperage"/>
    <s v="FUNCIONAL"/>
    <x v="2"/>
    <n v="71476"/>
    <s v="R FERREIRA DA SILVA"/>
    <s v="RJ"/>
    <n v="934"/>
    <s v="CDP Ouro"/>
    <n v="1350"/>
    <s v="W11245249"/>
    <s v="Válvulas de Água"/>
    <x v="6"/>
    <n v="1"/>
    <n v="5003176"/>
    <s v="J C THEDIN TRANSPORTES LTDA"/>
    <n v="50.98"/>
    <d v="2025-08-22T00:00:00"/>
  </r>
  <r>
    <n v="254061146"/>
    <n v="64837085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2T00:00:00"/>
  </r>
  <r>
    <n v="254061209"/>
    <n v="64837087"/>
    <s v="ZDVP"/>
    <n v="10067106"/>
    <n v="178"/>
    <s v="PEÇAS -Defeito de fabric./Sem Compressão"/>
    <s v="FUNCIONAL"/>
    <x v="1"/>
    <n v="88906"/>
    <s v="CALDEIRA LEMES DISTRIBUIDORA DE"/>
    <s v="GO"/>
    <n v="648"/>
    <s v="Ultra"/>
    <n v="1350"/>
    <s v="W11677209"/>
    <s v="Compressores Herméticos"/>
    <x v="0"/>
    <n v="1"/>
    <n v="5002858"/>
    <s v="FAVORITA TRANSPORTES LTDA"/>
    <n v="248.98"/>
    <d v="2025-08-22T00:00:00"/>
  </r>
  <r>
    <s v="Sem TR"/>
    <n v="64837088"/>
    <s v="REB"/>
    <n v="10015367"/>
    <n v="173"/>
    <s v="PEÇAS - Defeito de fabric./Alta Amperage"/>
    <s v="FUNCIONAL"/>
    <x v="1"/>
    <n v="25727"/>
    <s v="Polo PeCas para RefrigeraCAo e"/>
    <s v="GO"/>
    <n v="644"/>
    <s v="Plus"/>
    <n v="1350"/>
    <s v="W10709306"/>
    <s v="Placas de Controle"/>
    <x v="2"/>
    <n v="1"/>
    <n v="5002858"/>
    <s v="FAVORITA TRANSPORTES LTDA"/>
    <n v="175.08"/>
    <d v="2025-08-22T00:00:00"/>
  </r>
  <r>
    <n v="254061151"/>
    <n v="64837099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n v="254061150"/>
    <n v="64837104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n v="254061148"/>
    <n v="64837105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s v="Sem TR"/>
    <n v="64837106"/>
    <s v="REB"/>
    <n v="9863944"/>
    <n v="178"/>
    <s v="PEÇAS -Defeito de fabric./Sem Compressão"/>
    <s v="FUNCIONAL"/>
    <x v="1"/>
    <n v="53319"/>
    <s v="PARTS FRIO DISTRIBUIDORA DE"/>
    <s v="PR"/>
    <n v="644"/>
    <s v="Plus"/>
    <n v="1350"/>
    <s v="W11647660"/>
    <s v="Compressores Herméticos"/>
    <x v="0"/>
    <n v="1"/>
    <n v="5003024"/>
    <s v="RODOBRAS TRANSPORTES RODOVIARIOS LT"/>
    <n v="298.22000000000003"/>
    <d v="2025-08-22T00:00:00"/>
  </r>
  <r>
    <n v="254062075"/>
    <n v="64837114"/>
    <s v="REB"/>
    <n v="10060705"/>
    <n v="173"/>
    <s v="PEÇAS - Defeito de fabric./Alta Amperage"/>
    <s v="FUNCIONAL"/>
    <x v="2"/>
    <n v="3236"/>
    <s v="FRISON THERM AR CONDICIONADO LTDA F"/>
    <s v="SP"/>
    <n v="931"/>
    <s v="Ats Off"/>
    <n v="1350"/>
    <s v="W11516476"/>
    <s v="Compressores Herméticos"/>
    <x v="0"/>
    <n v="1"/>
    <n v="5004042"/>
    <s v="BRASIL WEB TRANSPORTES E LOGISTICA"/>
    <n v="453.06"/>
    <d v="2025-08-22T00:00:00"/>
  </r>
  <r>
    <n v="254061154"/>
    <n v="64837124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2T00:00:00"/>
  </r>
  <r>
    <n v="254062075"/>
    <n v="64837125"/>
    <s v="REB"/>
    <n v="10196079"/>
    <n v="177"/>
    <s v="PEÇAS - Defeito de fabric./Ruído"/>
    <s v="FUNCIONAL"/>
    <x v="2"/>
    <n v="3236"/>
    <s v="FRISON THERM AR CONDICIONADO LTDA F"/>
    <s v="SP"/>
    <n v="931"/>
    <s v="Ats Off"/>
    <n v="1350"/>
    <s v="W11300698"/>
    <s v="Mecanismos"/>
    <x v="4"/>
    <n v="1"/>
    <n v="5004042"/>
    <s v="BRASIL WEB TRANSPORTES E LOGISTICA"/>
    <n v="256.57"/>
    <d v="2025-08-22T00:00:00"/>
  </r>
  <r>
    <n v="254061063"/>
    <n v="64837144"/>
    <s v="REB"/>
    <n v="10145822"/>
    <n v="173"/>
    <s v="PEÇAS - Defeito de fabric./Alta Amperage"/>
    <s v="FUNCIONAL"/>
    <x v="2"/>
    <n v="8975"/>
    <s v="FORT CENTER REFRIGERACAO LTDA"/>
    <s v="MA"/>
    <n v="931"/>
    <s v="Ats Off"/>
    <n v="1350"/>
    <s v="W10446925"/>
    <s v="Placas de Controle"/>
    <x v="2"/>
    <n v="1"/>
    <n v="5004101"/>
    <s v="UNIDOCK'S ASSESSORIA E LOGISTICA DE"/>
    <n v="122.42"/>
    <d v="2025-08-22T00:00:00"/>
  </r>
  <r>
    <s v="Sem TR"/>
    <n v="64837145"/>
    <s v="REB"/>
    <n v="10058477"/>
    <n v="173"/>
    <s v="PEÇAS - Defeito de fabric./Alta Amperage"/>
    <s v="FUNCIONAL"/>
    <x v="1"/>
    <n v="64522"/>
    <s v="REFRIGERACAO CACIQUE RIO PRETO"/>
    <s v="SP"/>
    <n v="643"/>
    <s v="Elite"/>
    <n v="1350"/>
    <s v="W11300678"/>
    <s v="Mecanismos"/>
    <x v="4"/>
    <n v="1"/>
    <n v="5004042"/>
    <s v="BRASIL WEB TRANSPORTES E LOGISTICA"/>
    <n v="188.02"/>
    <d v="2025-08-22T00:00:00"/>
  </r>
  <r>
    <s v="Sem TR"/>
    <n v="64837146"/>
    <s v="REB"/>
    <n v="10063014"/>
    <n v="168"/>
    <s v="PEÇAS-Def.Fabric.Empenamento/Abaulamento"/>
    <s v="FUNCIONAL"/>
    <x v="1"/>
    <n v="53319"/>
    <s v="PARTS FRIO DISTRIBUIDORA DE"/>
    <s v="PR"/>
    <n v="644"/>
    <s v="Plus"/>
    <n v="1350"/>
    <s v="W10882241"/>
    <s v="Agitadores"/>
    <x v="4"/>
    <n v="2"/>
    <n v="5003024"/>
    <s v="RODOBRAS TRANSPORTES RODOVIARIOS LT"/>
    <n v="123.78"/>
    <d v="2025-08-22T00:00:00"/>
  </r>
  <r>
    <s v="Sem TR"/>
    <n v="64837147"/>
    <s v="REB"/>
    <n v="10160686"/>
    <n v="176"/>
    <s v="PEÇAS - Defeito de fabric./Interrompido"/>
    <s v="FUNCIONAL"/>
    <x v="1"/>
    <n v="26939"/>
    <s v="TEMPERFRIO-DISTRIBUICAO E"/>
    <s v="PR"/>
    <n v="643"/>
    <s v="Elite"/>
    <n v="1350"/>
    <s v="W10829434"/>
    <s v="Conjunto Varetas"/>
    <x v="11"/>
    <n v="1"/>
    <n v="5003024"/>
    <s v="RODOBRAS TRANSPORTES RODOVIARIOS LT"/>
    <n v="116.2"/>
    <d v="2025-08-22T00:00:00"/>
  </r>
  <r>
    <n v="254063742"/>
    <n v="64837154"/>
    <s v="REB"/>
    <n v="10160091"/>
    <n v="173"/>
    <s v="PEÇAS - Defeito de fabric./Alta Amperage"/>
    <s v="FUNCIONAL"/>
    <x v="2"/>
    <n v="64522"/>
    <s v="REFRIGERACAO CACIQUE RIO PRETO"/>
    <s v="SP"/>
    <n v="643"/>
    <s v="Elite"/>
    <n v="1350"/>
    <s v="W11300816"/>
    <s v="Mecanismos"/>
    <x v="4"/>
    <n v="5"/>
    <n v="5004042"/>
    <s v="BRASIL WEB TRANSPORTES E LOGISTICA"/>
    <n v="665.95"/>
    <d v="2025-08-22T00:00:00"/>
  </r>
  <r>
    <n v="254063742"/>
    <n v="64837154"/>
    <s v="REB"/>
    <n v="10160091"/>
    <n v="173"/>
    <s v="PEÇAS - Defeito de fabric./Alta Amperage"/>
    <s v="FUNCIONAL"/>
    <x v="2"/>
    <n v="64522"/>
    <s v="REFRIGERACAO CACIQUE RIO PRETO"/>
    <s v="SP"/>
    <n v="643"/>
    <s v="Elite"/>
    <n v="1350"/>
    <s v="W11299803"/>
    <s v="Mecanismos"/>
    <x v="4"/>
    <n v="6"/>
    <n v="5004042"/>
    <s v="BRASIL WEB TRANSPORTES E LOGISTICA"/>
    <n v="664.68"/>
    <d v="2025-08-22T00:00:00"/>
  </r>
  <r>
    <n v="254063941"/>
    <n v="64837155"/>
    <s v="REB"/>
    <n v="10083497"/>
    <n v="173"/>
    <s v="PEÇAS - Defeito de fabric./Alta Amperage"/>
    <s v="FUNCIONAL"/>
    <x v="2"/>
    <n v="66"/>
    <s v="CENTROMAQ PECAS E SERVICOS LTDA"/>
    <s v="GO"/>
    <n v="931"/>
    <s v="Ats Off"/>
    <n v="1350"/>
    <s v="W11551361"/>
    <s v="Peças Mecanismos"/>
    <x v="4"/>
    <n v="4"/>
    <n v="5002858"/>
    <s v="FAVORITA TRANSPORTES LTDA"/>
    <n v="40.049999999999997"/>
    <d v="2025-08-22T00:00:00"/>
  </r>
  <r>
    <s v="Sem TR"/>
    <n v="64837156"/>
    <s v="REB"/>
    <n v="9785875"/>
    <n v="173"/>
    <s v="PEÇAS - Defeito de fabric./Alta Amperage"/>
    <s v="FUNCIONAL"/>
    <x v="1"/>
    <n v="25727"/>
    <s v="Polo PeCas para RefrigeraCAo e"/>
    <s v="GO"/>
    <n v="644"/>
    <s v="Plus"/>
    <n v="1350"/>
    <s v="W10446925"/>
    <s v="Placas de Controle"/>
    <x v="2"/>
    <n v="1"/>
    <n v="5002858"/>
    <s v="FAVORITA TRANSPORTES LTDA"/>
    <n v="115.88"/>
    <d v="2025-08-22T00:00:00"/>
  </r>
  <r>
    <s v="Sem TR"/>
    <n v="64837189"/>
    <s v="REB"/>
    <n v="10155617"/>
    <n v="177"/>
    <s v="PEÇAS - Defeito de fabric./Ruído"/>
    <s v="FUNCIONAL"/>
    <x v="1"/>
    <n v="64522"/>
    <s v="REFRIGERACAO CACIQUE RIO PRETO"/>
    <s v="SP"/>
    <n v="643"/>
    <s v="Elite"/>
    <n v="1350"/>
    <s v="W11300695"/>
    <s v="Mecanismos"/>
    <x v="4"/>
    <n v="1"/>
    <n v="5004042"/>
    <s v="BRASIL WEB TRANSPORTES E LOGISTICA"/>
    <n v="203.21"/>
    <d v="2025-08-22T00:00:00"/>
  </r>
  <r>
    <n v="254062075"/>
    <n v="64837190"/>
    <s v="REB"/>
    <n v="10131492"/>
    <n v="176"/>
    <s v="PEÇAS - Defeito de fabric./Interrompido"/>
    <s v="FUNCIONAL"/>
    <x v="2"/>
    <n v="3236"/>
    <s v="FRISON THERM AR CONDICIONADO LTDA F"/>
    <s v="SP"/>
    <n v="931"/>
    <s v="Ats Off"/>
    <n v="1350"/>
    <s v="W10601059"/>
    <s v="Motores Ventiladores"/>
    <x v="2"/>
    <n v="1"/>
    <n v="5004042"/>
    <s v="BRASIL WEB TRANSPORTES E LOGISTICA"/>
    <n v="214.68"/>
    <d v="2025-08-22T00:00:00"/>
  </r>
  <r>
    <n v="254061156"/>
    <n v="64837199"/>
    <s v="REB"/>
    <n v="9483826"/>
    <n v="176"/>
    <s v="PEÇAS - Defeito de fabric./Interrompido"/>
    <s v="FUNCIONAL"/>
    <x v="1"/>
    <n v="61874"/>
    <s v="REFRIGERACAO NOVO MUNDO LTDA"/>
    <s v="GO"/>
    <n v="644"/>
    <s v="Plus"/>
    <n v="1350"/>
    <s v="W10393822"/>
    <s v="Compressores Herméticos"/>
    <x v="0"/>
    <n v="1"/>
    <n v="5002858"/>
    <s v="FAVORITA TRANSPORTES LTDA"/>
    <n v="468.27"/>
    <d v="2025-08-22T00:00:00"/>
  </r>
  <r>
    <n v="254061211"/>
    <n v="64837244"/>
    <s v="ZDVP"/>
    <n v="10164361"/>
    <n v="178"/>
    <s v="PEÇAS -Defeito de fabric./Sem Compressão"/>
    <s v="FUNCIONAL"/>
    <x v="1"/>
    <n v="88906"/>
    <s v="CALDEIRA LEMES DISTRIBUIDORA DE"/>
    <s v="GO"/>
    <n v="648"/>
    <s v="Ultra"/>
    <n v="1350"/>
    <s v="W11647662"/>
    <s v="Compressores Herméticos"/>
    <x v="0"/>
    <n v="1"/>
    <n v="5002858"/>
    <s v="FAVORITA TRANSPORTES LTDA"/>
    <n v="212.87"/>
    <d v="2025-08-22T00:00:00"/>
  </r>
  <r>
    <s v="Sem TR"/>
    <n v="64837249"/>
    <s v="REB"/>
    <n v="9927842"/>
    <n v="178"/>
    <s v="PEÇAS -Defeito de fabric./Sem Compressão"/>
    <s v="FUNCIONAL"/>
    <x v="1"/>
    <n v="65059"/>
    <s v="REFRISSUL COMERCIO DE PECAS"/>
    <s v="SP"/>
    <n v="643"/>
    <s v="Elite"/>
    <n v="1350"/>
    <s v="W11647662"/>
    <s v="Compressores Herméticos"/>
    <x v="0"/>
    <n v="23"/>
    <n v="5004042"/>
    <s v="BRASIL WEB TRANSPORTES E LOGISTICA"/>
    <n v="6930.95"/>
    <d v="2025-08-22T00:00:00"/>
  </r>
  <r>
    <n v="254061210"/>
    <n v="64837250"/>
    <s v="ZDVP"/>
    <n v="10164361"/>
    <n v="178"/>
    <s v="PEÇAS -Defeito de fabric./Sem Compressão"/>
    <s v="FUNCIONAL"/>
    <x v="1"/>
    <n v="88906"/>
    <s v="CALDEIRA LEMES DISTRIBUIDORA DE"/>
    <s v="GO"/>
    <n v="648"/>
    <s v="Ultra"/>
    <n v="1350"/>
    <s v="W11647662"/>
    <s v="Compressores Herméticos"/>
    <x v="0"/>
    <n v="1"/>
    <n v="5002858"/>
    <s v="FAVORITA TRANSPORTES LTDA"/>
    <n v="212.87"/>
    <d v="2025-08-22T00:00:00"/>
  </r>
  <r>
    <n v="254066518"/>
    <n v="64837251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8-29T00:00:00"/>
  </r>
  <r>
    <n v="254064202"/>
    <n v="64837254"/>
    <s v="REB"/>
    <n v="10009602"/>
    <n v="176"/>
    <s v="PEÇAS - Defeito de fabric./Interrompido"/>
    <s v="FUNCIONAL"/>
    <x v="2"/>
    <n v="53252"/>
    <s v="KI PONTO FRIO COMERCIO ATACADISTA"/>
    <s v="TO"/>
    <n v="641"/>
    <s v="CDP Diamante"/>
    <n v="1350"/>
    <s v="W11634491"/>
    <s v="Placas de Controle"/>
    <x v="2"/>
    <n v="1"/>
    <n v="5002858"/>
    <s v="FAVORITA TRANSPORTES LTDA"/>
    <n v="106.53"/>
    <d v="2025-08-22T00:00:00"/>
  </r>
  <r>
    <n v="254061139"/>
    <n v="64837259"/>
    <s v="REB"/>
    <n v="8350558"/>
    <n v="176"/>
    <s v="PEÇAS - Defeito de fabric./Interrompido"/>
    <s v="FUNCIONAL"/>
    <x v="1"/>
    <n v="59011"/>
    <s v="H D CASTELAO EIRELI - EPP"/>
    <s v="SP"/>
    <n v="648"/>
    <s v="Ultra"/>
    <n v="1350"/>
    <s v="W10393810"/>
    <s v="Compressores Herméticos"/>
    <x v="0"/>
    <n v="1"/>
    <n v="5004042"/>
    <s v="BRASIL WEB TRANSPORTES E LOGISTICA"/>
    <n v="385.03"/>
    <d v="2025-08-22T00:00:00"/>
  </r>
  <r>
    <n v="254064584"/>
    <n v="64837264"/>
    <s v="REB"/>
    <n v="9618546"/>
    <n v="178"/>
    <s v="PEÇAS -Defeito de fabric./Sem Compressão"/>
    <s v="FUNCIONAL"/>
    <x v="2"/>
    <n v="59011"/>
    <s v="H D CASTELAO EIRELI - EPP"/>
    <s v="SP"/>
    <n v="648"/>
    <s v="Ultra"/>
    <n v="1350"/>
    <s v="W10799397"/>
    <s v="Compressores Herméticos"/>
    <x v="0"/>
    <n v="1"/>
    <n v="5004042"/>
    <s v="BRASIL WEB TRANSPORTES E LOGISTICA"/>
    <n v="331.33"/>
    <d v="2025-08-22T00:00:00"/>
  </r>
  <r>
    <n v="254061159"/>
    <n v="64837269"/>
    <s v="REB"/>
    <n v="9958769"/>
    <n v="178"/>
    <s v="PEÇAS -Defeito de fabric./Sem Compressão"/>
    <s v="FUNCIONAL"/>
    <x v="1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69.42"/>
    <d v="2025-08-22T00:00:00"/>
  </r>
  <r>
    <n v="254061197"/>
    <n v="64837274"/>
    <s v="REB"/>
    <n v="10083588"/>
    <n v="173"/>
    <s v="PEÇAS - Defeito de fabric./Alta Amperage"/>
    <s v="FUNCIONAL"/>
    <x v="2"/>
    <n v="85666"/>
    <s v="WHP PECAS E ASSISTENCIA TECNICA"/>
    <s v="GO"/>
    <n v="932"/>
    <s v="CDP Prata"/>
    <n v="1350"/>
    <s v="W11435392"/>
    <s v="Placas de Controle"/>
    <x v="2"/>
    <n v="1"/>
    <n v="5002858"/>
    <s v="FAVORITA TRANSPORTES LTDA"/>
    <n v="305.48"/>
    <d v="2025-08-22T00:00:00"/>
  </r>
  <r>
    <s v="Sem TR"/>
    <n v="64837277"/>
    <s v="ZRDI"/>
    <n v="10205133"/>
    <s v="D10"/>
    <s v="DEV D2C - Comprou modelo errado"/>
    <s v="COMERCIAL"/>
    <x v="0"/>
    <n v="51816551"/>
    <s v="ANNE OLIVEIRA"/>
    <s v="DF"/>
    <n v="475"/>
    <s v="Site Consul"/>
    <n v="1352"/>
    <n v="326023536"/>
    <s v="Filtros"/>
    <x v="6"/>
    <n v="1"/>
    <n v="5002359"/>
    <s v="EMPRESA BRASILEIRA DE CORREIOS E"/>
    <n v="145.62"/>
    <d v="2025-08-29T00:00:00"/>
  </r>
  <r>
    <n v="254064142"/>
    <n v="64837283"/>
    <s v="REB"/>
    <n v="10169062"/>
    <n v="176"/>
    <s v="PEÇAS - Defeito de fabric./Interrompido"/>
    <s v="FUNCIONAL"/>
    <x v="2"/>
    <n v="3506"/>
    <s v="TECBRAS ASSISTENCIA TECNICA"/>
    <s v="SP"/>
    <n v="931"/>
    <s v="Ats Off"/>
    <n v="1350"/>
    <s v="W10746485"/>
    <s v="Suportes"/>
    <x v="3"/>
    <n v="1"/>
    <n v="5004042"/>
    <s v="BRASIL WEB TRANSPORTES E LOGISTICA"/>
    <n v="220.45"/>
    <d v="2025-08-27T00:00:00"/>
  </r>
  <r>
    <n v="254061203"/>
    <n v="64837319"/>
    <s v="ZDVP"/>
    <n v="10111072"/>
    <n v="173"/>
    <s v="PEÇAS - Defeito de fabric./Alta Amperage"/>
    <s v="FUNCIONAL"/>
    <x v="2"/>
    <n v="26939"/>
    <s v="TEMPERFRIO-DISTRIBUICAO E"/>
    <s v="PR"/>
    <n v="643"/>
    <s v="Elite"/>
    <n v="1350"/>
    <s v="W11299803"/>
    <s v="Mecanismos"/>
    <x v="4"/>
    <n v="1"/>
    <n v="5003024"/>
    <s v="RODOBRAS TRANSPORTES RODOVIARIOS LT"/>
    <n v="97.95"/>
    <d v="2025-08-22T00:00:00"/>
  </r>
  <r>
    <n v="254061101"/>
    <n v="64837329"/>
    <s v="REB"/>
    <n v="10178551"/>
    <n v="176"/>
    <s v="PEÇAS - Defeito de fabric./Interrompido"/>
    <s v="FUNCIONAL"/>
    <x v="2"/>
    <n v="31587"/>
    <s v="COPEGEL REFRIGERACAO LTDA"/>
    <s v="SP"/>
    <n v="643"/>
    <s v="Elite"/>
    <n v="1350"/>
    <s v="W11047052"/>
    <s v="Interruptores horário"/>
    <x v="8"/>
    <n v="1"/>
    <n v="5004042"/>
    <s v="BRASIL WEB TRANSPORTES E LOGISTICA"/>
    <n v="154.12"/>
    <d v="2025-08-22T00:00:00"/>
  </r>
  <r>
    <n v="254061102"/>
    <n v="64837334"/>
    <s v="REB"/>
    <n v="10140415"/>
    <n v="176"/>
    <s v="PEÇAS - Defeito de fabric./Interrompido"/>
    <s v="FUNCIONAL"/>
    <x v="2"/>
    <n v="31587"/>
    <s v="COPEGEL REFRIGERACAO LTDA"/>
    <s v="SP"/>
    <n v="643"/>
    <s v="Elite"/>
    <n v="1350"/>
    <n v="326015418"/>
    <s v="Polias/Roldanas"/>
    <x v="4"/>
    <n v="1"/>
    <n v="5004042"/>
    <s v="BRASIL WEB TRANSPORTES E LOGISTICA"/>
    <n v="28.6"/>
    <d v="2025-08-22T00:00:00"/>
  </r>
  <r>
    <s v="Sem TR"/>
    <n v="64837335"/>
    <s v="REB"/>
    <n v="10198850"/>
    <n v="168"/>
    <s v="PEÇAS-Def.Fabric.Empenamento/Abaulamento"/>
    <s v="FUNCIONAL"/>
    <x v="1"/>
    <n v="63028"/>
    <s v="ELETRO122 COMERCIO DE ELETRO"/>
    <s v="SP"/>
    <n v="641"/>
    <s v="CDP Diamante"/>
    <n v="1350"/>
    <s v="W10882995"/>
    <s v="Mesas Cocção"/>
    <x v="3"/>
    <n v="1"/>
    <n v="5004042"/>
    <s v="BRASIL WEB TRANSPORTES E LOGISTICA"/>
    <n v="134.37"/>
    <d v="2025-08-22T00:00:00"/>
  </r>
  <r>
    <n v="254064156"/>
    <n v="64837336"/>
    <s v="REB"/>
    <n v="10160684"/>
    <n v="173"/>
    <s v="PEÇAS - Defeito de fabric./Alta Amperage"/>
    <s v="FUNCIONAL"/>
    <x v="1"/>
    <n v="4531"/>
    <s v="COMERCIO DE REFRIGERACAO"/>
    <s v="SC"/>
    <n v="932"/>
    <s v="CDP Prata"/>
    <n v="1350"/>
    <n v="326013733"/>
    <s v="Termostatos"/>
    <x v="8"/>
    <n v="1"/>
    <n v="5003024"/>
    <s v="RODOBRAS TRANSPORTES RODOVIARIOS LT"/>
    <n v="32.96"/>
    <d v="2025-08-22T00:00:00"/>
  </r>
  <r>
    <s v="Sem TR"/>
    <n v="64837339"/>
    <s v="REB"/>
    <n v="9929787"/>
    <n v="178"/>
    <s v="PEÇAS -Defeito de fabric./Sem Compressão"/>
    <s v="FUNCIONAL"/>
    <x v="1"/>
    <n v="53319"/>
    <s v="PARTS FRIO DISTRIBUIDORA DE"/>
    <s v="PR"/>
    <n v="644"/>
    <s v="Plus"/>
    <n v="1350"/>
    <s v="W10798744"/>
    <s v="Compressores Herméticos"/>
    <x v="0"/>
    <n v="1"/>
    <n v="5003024"/>
    <s v="RODOBRAS TRANSPORTES RODOVIARIOS LT"/>
    <n v="325.38"/>
    <d v="2025-08-22T00:00:00"/>
  </r>
  <r>
    <n v="254063941"/>
    <n v="64837344"/>
    <s v="REB"/>
    <n v="10057443"/>
    <n v="173"/>
    <s v="PEÇAS - Defeito de fabric./Alta Amperage"/>
    <s v="FUNCIONAL"/>
    <x v="2"/>
    <n v="66"/>
    <s v="CENTROMAQ PECAS E SERVICOS LTDA"/>
    <s v="GO"/>
    <n v="931"/>
    <s v="Ats Off"/>
    <n v="1350"/>
    <s v="W11300695"/>
    <s v="Mecanismos"/>
    <x v="4"/>
    <n v="1"/>
    <n v="5002858"/>
    <s v="FAVORITA TRANSPORTES LTDA"/>
    <n v="173.8"/>
    <d v="2025-08-22T00:00:00"/>
  </r>
  <r>
    <s v="Sem TR"/>
    <n v="64837346"/>
    <s v="REB"/>
    <n v="9900063"/>
    <n v="115"/>
    <s v="PEÇAS-Recusa do cliente"/>
    <s v="COMERCIAL"/>
    <x v="1"/>
    <n v="3524"/>
    <s v="CATEL - COMERCIO DE PECAS"/>
    <s v="SP"/>
    <n v="931"/>
    <s v="Ats Off"/>
    <n v="1350"/>
    <s v="W11176827"/>
    <s v="Portas"/>
    <x v="3"/>
    <n v="1"/>
    <n v="5004042"/>
    <s v="BRASIL WEB TRANSPORTES E LOGISTICA"/>
    <n v="1049.2"/>
    <d v="2025-08-26T00:00:00"/>
  </r>
  <r>
    <s v="Sem TR"/>
    <n v="64837346"/>
    <s v="REB"/>
    <n v="9900063"/>
    <n v="115"/>
    <s v="PEÇAS-Recusa do cliente"/>
    <s v="COMERCIAL"/>
    <x v="1"/>
    <n v="3524"/>
    <s v="CATEL - COMERCIO DE PECAS"/>
    <s v="SP"/>
    <n v="931"/>
    <s v="Ats Off"/>
    <n v="1350"/>
    <s v="W11176812"/>
    <s v="Portas"/>
    <x v="3"/>
    <n v="1"/>
    <n v="5004042"/>
    <s v="BRASIL WEB TRANSPORTES E LOGISTICA"/>
    <n v="899.87"/>
    <d v="2025-08-26T00:00:00"/>
  </r>
  <r>
    <n v="254066452"/>
    <n v="64837348"/>
    <s v="REB"/>
    <n v="10148080"/>
    <n v="173"/>
    <s v="PEÇAS - Defeito de fabric./Alta Amperage"/>
    <s v="FUNCIONAL"/>
    <x v="2"/>
    <n v="1255"/>
    <s v="PRAMAK REFRIGERACAO, PECAS E"/>
    <s v="CE"/>
    <n v="931"/>
    <s v="Ats Off"/>
    <n v="1350"/>
    <s v="W10393823"/>
    <s v="Compressores Herméticos"/>
    <x v="0"/>
    <n v="1"/>
    <n v="5004101"/>
    <s v="UNIDOCK'S ASSESSORIA E LOGISTICA DE"/>
    <n v="485.67"/>
    <d v="2025-08-29T00:00:00"/>
  </r>
  <r>
    <s v="Sem TR"/>
    <n v="64837416"/>
    <s v="ZRDI"/>
    <n v="10181879"/>
    <s v="D18"/>
    <s v="DEV D2C - Arrependimento não quero mais"/>
    <s v="COMERCIAL"/>
    <x v="2"/>
    <n v="53955137"/>
    <s v="DANIELA CARDOSO DE SOUZA"/>
    <s v="DF"/>
    <n v="474"/>
    <s v="Site Brastemp"/>
    <n v="1352"/>
    <s v="W11115537"/>
    <s v="Prateleiras"/>
    <x v="1"/>
    <n v="1"/>
    <n v="5002359"/>
    <s v="EMPRESA BRASILEIRA DE CORREIOS E"/>
    <n v="136.56"/>
    <d v="2025-08-25T00:00:00"/>
  </r>
  <r>
    <n v="254064158"/>
    <n v="64837833"/>
    <s v="REB"/>
    <n v="10128406"/>
    <n v="178"/>
    <s v="PEÇAS -Defeito de fabric./Sem Compressão"/>
    <s v="FUNCIONAL"/>
    <x v="2"/>
    <n v="18949"/>
    <s v="BIG FRIO EQUIPAMENTOS PARA"/>
    <s v="SP"/>
    <n v="933"/>
    <s v="Top"/>
    <n v="1350"/>
    <s v="W11647662"/>
    <s v="Compressores Herméticos"/>
    <x v="0"/>
    <n v="1"/>
    <n v="5004042"/>
    <s v="BRASIL WEB TRANSPORTES E LOGISTICA"/>
    <n v="307.16000000000003"/>
    <d v="2025-08-27T00:00:00"/>
  </r>
  <r>
    <n v="254066503"/>
    <n v="64838058"/>
    <s v="REB"/>
    <n v="10167974"/>
    <n v="178"/>
    <s v="PEÇAS -Defeito de fabric./Sem Compressão"/>
    <s v="FUNCIONAL"/>
    <x v="2"/>
    <n v="21621"/>
    <s v="SAT SERVICOS DE ASSISTENCIA"/>
    <s v="SP"/>
    <n v="350"/>
    <s v="Ats On"/>
    <n v="1350"/>
    <s v="W11516472"/>
    <s v="Compressores Herméticos"/>
    <x v="0"/>
    <n v="1"/>
    <n v="5004042"/>
    <s v="BRASIL WEB TRANSPORTES E LOGISTICA"/>
    <n v="330.61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298837"/>
    <s v="Parafusos e afins"/>
    <x v="7"/>
    <n v="1"/>
    <n v="5002359"/>
    <s v="EMPRESA BRASILEIRA DE CORREIOS E"/>
    <n v="19.920000000000002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394020"/>
    <s v="Parafusos e afins"/>
    <x v="7"/>
    <n v="1"/>
    <n v="5002359"/>
    <s v="EMPRESA BRASILEIRA DE CORREIOS E"/>
    <n v="18.149999999999999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390643"/>
    <s v="Sensores"/>
    <x v="8"/>
    <n v="1"/>
    <n v="5002359"/>
    <s v="EMPRESA BRASILEIRA DE CORREIOS E"/>
    <n v="181.4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437111"/>
    <s v="Gavetas"/>
    <x v="1"/>
    <n v="1"/>
    <n v="5002359"/>
    <s v="EMPRESA BRASILEIRA DE CORREIOS E"/>
    <n v="105.48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420716"/>
    <s v="Acessórios"/>
    <x v="5"/>
    <n v="1"/>
    <n v="5002359"/>
    <s v="EMPRESA BRASILEIRA DE CORREIOS E"/>
    <n v="54.03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n v="326064966"/>
    <s v="Outros"/>
    <x v="5"/>
    <n v="1"/>
    <n v="5002359"/>
    <s v="EMPRESA BRASILEIRA DE CORREIOS E"/>
    <n v="18.68"/>
    <d v="2025-08-29T00:00:00"/>
  </r>
  <r>
    <s v="Sem TR"/>
    <n v="64838065"/>
    <s v="ZRDI"/>
    <n v="10192550"/>
    <s v="D10"/>
    <s v="DEV D2C - Comprou modelo errado"/>
    <s v="COMERCIAL"/>
    <x v="0"/>
    <n v="52355520"/>
    <s v="DENISE MINGHELLI"/>
    <s v="RS"/>
    <n v="474"/>
    <s v="Site Brastemp"/>
    <n v="1352"/>
    <s v="W10326652"/>
    <s v="Prateleiras"/>
    <x v="1"/>
    <n v="1"/>
    <n v="5002359"/>
    <s v="EMPRESA BRASILEIRA DE CORREIOS E"/>
    <n v="70.239999999999995"/>
    <d v="2025-08-29T00:00:00"/>
  </r>
  <r>
    <s v="Sem TR"/>
    <n v="64838147"/>
    <s v="ZRDI"/>
    <n v="10210509"/>
    <s v="D18"/>
    <s v="DEV D2C - Arrependimento não quero mais"/>
    <s v="COMERCIAL"/>
    <x v="0"/>
    <n v="57342583"/>
    <s v="GUSTAVO RODRIGUES"/>
    <s v="SE"/>
    <n v="475"/>
    <s v="Site Consul"/>
    <n v="1352"/>
    <s v="W11509387"/>
    <s v="Filtros"/>
    <x v="6"/>
    <n v="1"/>
    <n v="5002359"/>
    <s v="EMPRESA BRASILEIRA DE CORREIOS E"/>
    <n v="109.15"/>
    <d v="2025-08-29T00:00:00"/>
  </r>
  <r>
    <s v="Sem TR"/>
    <n v="64838147"/>
    <s v="ZRDI"/>
    <n v="10210509"/>
    <s v="D18"/>
    <s v="DEV D2C - Arrependimento não quero mais"/>
    <s v="COMERCIAL"/>
    <x v="0"/>
    <n v="57342583"/>
    <s v="GUSTAVO RODRIGUES"/>
    <s v="SE"/>
    <n v="475"/>
    <s v="Site Consul"/>
    <n v="1352"/>
    <s v="W11509387"/>
    <s v="Filtros"/>
    <x v="6"/>
    <n v="1"/>
    <n v="5002359"/>
    <s v="EMPRESA BRASILEIRA DE CORREIOS E"/>
    <n v="109.17"/>
    <d v="2025-08-29T00:00:00"/>
  </r>
  <r>
    <s v="Sem TR"/>
    <n v="64838155"/>
    <s v="ZRDI"/>
    <n v="10224225"/>
    <s v="D10"/>
    <s v="DEV D2C - Comprou modelo errado"/>
    <s v="COMERCIAL"/>
    <x v="0"/>
    <n v="58261645"/>
    <s v="DANIELLE ALVES SOARES"/>
    <s v="MG"/>
    <n v="474"/>
    <s v="Site Brastemp"/>
    <n v="1352"/>
    <s v="W10577330"/>
    <s v="Tampas Móveis"/>
    <x v="3"/>
    <n v="1"/>
    <n v="5002359"/>
    <s v="EMPRESA BRASILEIRA DE CORREIOS E"/>
    <n v="134.18"/>
    <d v="2025-08-30T00:00:00"/>
  </r>
  <r>
    <n v="254066529"/>
    <n v="64838336"/>
    <s v="REB"/>
    <n v="9960670"/>
    <n v="173"/>
    <s v="PEÇAS - Defeito de fabric./Alta Amperage"/>
    <s v="FUNCIONAL"/>
    <x v="2"/>
    <n v="81093"/>
    <s v="REFRICRIL DISTRIBUIDORA DE AR"/>
    <s v="ES"/>
    <n v="713"/>
    <s v="Key Account"/>
    <n v="1350"/>
    <s v="W11300675"/>
    <s v="Mecanismos"/>
    <x v="4"/>
    <n v="3"/>
    <n v="5004042"/>
    <s v="BRASIL WEB TRANSPORTES E LOGISTICA"/>
    <n v="298.11"/>
    <d v="2025-08-29T00:00:00"/>
  </r>
  <r>
    <n v="254064159"/>
    <n v="64838487"/>
    <s v="REB"/>
    <n v="10203945"/>
    <n v="176"/>
    <s v="PEÇAS - Defeito de fabric./Interrompido"/>
    <s v="FUNCIONAL"/>
    <x v="2"/>
    <n v="21594"/>
    <s v="GOLD SERVICE COMERCIO"/>
    <s v="SP"/>
    <n v="931"/>
    <s v="Ats Off"/>
    <n v="1350"/>
    <s v="W10390643"/>
    <s v="Sensores"/>
    <x v="8"/>
    <n v="1"/>
    <n v="5004042"/>
    <s v="BRASIL WEB TRANSPORTES E LOGISTICA"/>
    <n v="99.18"/>
    <d v="2025-08-27T00:00:00"/>
  </r>
  <r>
    <n v="254064159"/>
    <n v="64838488"/>
    <s v="REB"/>
    <n v="10188087"/>
    <n v="173"/>
    <s v="PEÇAS - Defeito de fabric./Alta Amperage"/>
    <s v="FUNCIONAL"/>
    <x v="2"/>
    <n v="21594"/>
    <s v="GOLD SERVICE COMERCIO"/>
    <s v="SP"/>
    <n v="931"/>
    <s v="Ats Off"/>
    <n v="1350"/>
    <s v="W11047055"/>
    <s v="Placas de Controle"/>
    <x v="2"/>
    <n v="1"/>
    <n v="5004042"/>
    <s v="BRASIL WEB TRANSPORTES E LOGISTICA"/>
    <n v="168.57"/>
    <d v="2025-08-27T00:00:00"/>
  </r>
  <r>
    <s v="Sem TR"/>
    <n v="64838593"/>
    <s v="REB"/>
    <n v="10185952"/>
    <n v="90"/>
    <s v="CLIENTE-não solicitou"/>
    <s v="COMERCIAL"/>
    <x v="1"/>
    <n v="3233"/>
    <s v="AMERICO DE LIMA &amp; CIA. LTDA"/>
    <s v="SP"/>
    <n v="350"/>
    <s v="Ats On"/>
    <n v="1350"/>
    <s v="W10420716"/>
    <s v="Acessórios"/>
    <x v="5"/>
    <n v="1"/>
    <n v="5004042"/>
    <s v="BRASIL WEB TRANSPORTES E LOGISTICA"/>
    <n v="45.2"/>
    <d v="2025-08-27T00:00:00"/>
  </r>
  <r>
    <s v="Sem TR"/>
    <n v="64838593"/>
    <s v="REB"/>
    <n v="10185952"/>
    <n v="90"/>
    <s v="CLIENTE-não solicitou"/>
    <s v="COMERCIAL"/>
    <x v="1"/>
    <n v="3233"/>
    <s v="AMERICO DE LIMA &amp; CIA. LTDA"/>
    <s v="SP"/>
    <n v="350"/>
    <s v="Ats On"/>
    <n v="1350"/>
    <s v="W11298039"/>
    <s v="Gavetas"/>
    <x v="1"/>
    <n v="1"/>
    <n v="5004042"/>
    <s v="BRASIL WEB TRANSPORTES E LOGISTICA"/>
    <n v="129.4"/>
    <d v="2025-08-27T00:00:00"/>
  </r>
  <r>
    <n v="254064139"/>
    <n v="64838615"/>
    <s v="REB"/>
    <n v="10190754"/>
    <n v="176"/>
    <s v="PEÇAS - Defeito de fabric./Interrompido"/>
    <s v="FUNCIONAL"/>
    <x v="2"/>
    <n v="3506"/>
    <s v="TECBRAS ASSISTENCIA TECNICA"/>
    <s v="SP"/>
    <n v="931"/>
    <s v="Ats Off"/>
    <n v="1350"/>
    <s v="W10441742"/>
    <s v="Compressores Herméticos"/>
    <x v="0"/>
    <n v="1"/>
    <n v="5004042"/>
    <s v="BRASIL WEB TRANSPORTES E LOGISTICA"/>
    <n v="509.86"/>
    <d v="2025-08-27T00:00:00"/>
  </r>
  <r>
    <n v="254064174"/>
    <n v="64838625"/>
    <s v="REB"/>
    <n v="10158652"/>
    <n v="167"/>
    <s v="PEÇAS - Avaria - Quebrada/Depósito"/>
    <s v="LOGÍSTICA"/>
    <x v="2"/>
    <n v="28181"/>
    <s v="COMERCIAL DE PEÇAS PARA REFRIG MF"/>
    <s v="GO"/>
    <n v="643"/>
    <s v="Elite"/>
    <n v="1350"/>
    <s v="W10624070"/>
    <s v="Gavetas"/>
    <x v="1"/>
    <n v="1"/>
    <n v="5002858"/>
    <s v="FAVORITA TRANSPORTES LTDA"/>
    <n v="73.069999999999993"/>
    <d v="2025-08-27T00:00:00"/>
  </r>
  <r>
    <n v="254064175"/>
    <n v="64838626"/>
    <s v="REB"/>
    <n v="9785537"/>
    <n v="178"/>
    <s v="PEÇAS -Defeito de fabric./Sem Compressão"/>
    <s v="FUNCIONAL"/>
    <x v="1"/>
    <n v="30416"/>
    <s v="JF OLIVEIRA PEREIRA ELETROD LTDA"/>
    <s v="AM"/>
    <n v="648"/>
    <s v="Ultra"/>
    <n v="1350"/>
    <s v="W10575086"/>
    <s v="Compressores Herméticos"/>
    <x v="0"/>
    <n v="1"/>
    <n v="5002858"/>
    <s v="FAVORITA TRANSPORTES LTDA"/>
    <n v="332.25"/>
    <d v="2025-08-27T00:00:00"/>
  </r>
  <r>
    <n v="254063940"/>
    <n v="64838627"/>
    <s v="REB"/>
    <n v="10090231"/>
    <n v="176"/>
    <s v="PEÇAS - Defeito de fabric./Interrompido"/>
    <s v="FUNCIONAL"/>
    <x v="2"/>
    <n v="66"/>
    <s v="CENTROMAQ PECAS E SERVICOS LTDA"/>
    <s v="GO"/>
    <n v="931"/>
    <s v="Ats Off"/>
    <n v="1350"/>
    <s v="W11573528"/>
    <s v="Placas de Controle"/>
    <x v="2"/>
    <n v="1"/>
    <n v="5002858"/>
    <s v="FAVORITA TRANSPORTES LTDA"/>
    <n v="293.66000000000003"/>
    <d v="2025-08-27T00:00:00"/>
  </r>
  <r>
    <n v="254063941"/>
    <n v="64838628"/>
    <s v="REB"/>
    <n v="10048600"/>
    <n v="176"/>
    <s v="PEÇAS - Defeito de fabric./Interrompido"/>
    <s v="FUNCIONAL"/>
    <x v="2"/>
    <n v="66"/>
    <s v="CENTROMAQ PECAS E SERVICOS LTDA"/>
    <s v="GO"/>
    <n v="931"/>
    <s v="Ats Off"/>
    <n v="1350"/>
    <s v="W11636257"/>
    <s v="Placas de Controle"/>
    <x v="2"/>
    <n v="1"/>
    <n v="5002858"/>
    <s v="FAVORITA TRANSPORTES LTDA"/>
    <n v="252.24"/>
    <d v="2025-08-27T00:00:00"/>
  </r>
  <r>
    <n v="254064236"/>
    <n v="64838632"/>
    <s v="REB"/>
    <n v="10158594"/>
    <n v="90"/>
    <s v="CLIENTE-não solicitou"/>
    <s v="COMERCIAL"/>
    <x v="2"/>
    <n v="72786"/>
    <s v="FRIOLAR CONSERTOS DE"/>
    <s v="SC"/>
    <n v="643"/>
    <s v="Elite"/>
    <n v="1350"/>
    <s v="W10455522"/>
    <s v="Prateleiras"/>
    <x v="1"/>
    <n v="1"/>
    <n v="5003024"/>
    <s v="RODOBRAS TRANSPORTES RODOVIARIOS LT"/>
    <n v="22.81"/>
    <d v="2025-08-27T00:00:00"/>
  </r>
  <r>
    <n v="254064236"/>
    <n v="64838633"/>
    <s v="REB"/>
    <n v="10151662"/>
    <n v="90"/>
    <s v="CLIENTE-não solicitou"/>
    <s v="COMERCIAL"/>
    <x v="2"/>
    <n v="72786"/>
    <s v="FRIOLAR CONSERTOS DE"/>
    <s v="SC"/>
    <n v="643"/>
    <s v="Elite"/>
    <n v="1350"/>
    <s v="W11495232"/>
    <s v="Cestos"/>
    <x v="1"/>
    <n v="3"/>
    <n v="5003024"/>
    <s v="RODOBRAS TRANSPORTES RODOVIARIOS LT"/>
    <n v="53.93"/>
    <d v="2025-08-27T00:00:00"/>
  </r>
  <r>
    <n v="254064201"/>
    <n v="64838636"/>
    <s v="REB"/>
    <n v="9942024"/>
    <n v="178"/>
    <s v="PEÇAS -Defeito de fabric./Sem Compressão"/>
    <s v="FUNCIONAL"/>
    <x v="2"/>
    <n v="50822"/>
    <s v="CLAYTON DE OLIVEIRA"/>
    <s v="AL"/>
    <n v="644"/>
    <s v="Plus"/>
    <n v="1350"/>
    <s v="W11647662"/>
    <s v="Compressores Herméticos"/>
    <x v="0"/>
    <n v="1"/>
    <n v="5004101"/>
    <s v="UNIDOCK'S ASSESSORIA E LOGISTICA DE"/>
    <n v="280.8"/>
    <d v="2025-08-27T00:00:00"/>
  </r>
  <r>
    <s v="Sem TR"/>
    <n v="64838637"/>
    <s v="REB"/>
    <n v="10066836"/>
    <n v="176"/>
    <s v="PEÇAS - Defeito de fabric./Interrompido"/>
    <s v="FUNCIONAL"/>
    <x v="1"/>
    <n v="13757"/>
    <s v="FRIGELAR COMÉRCIO E INDÚSTRIA LTDA"/>
    <s v="SP"/>
    <n v="713"/>
    <s v="Key Account"/>
    <n v="1350"/>
    <s v="W11299803"/>
    <s v="Mecanismos"/>
    <x v="4"/>
    <n v="3"/>
    <n v="5004042"/>
    <s v="BRASIL WEB TRANSPORTES E LOGISTICA"/>
    <n v="332.7"/>
    <d v="2025-08-27T00:00:00"/>
  </r>
  <r>
    <n v="254064134"/>
    <n v="64838638"/>
    <s v="REB"/>
    <n v="10206587"/>
    <n v="176"/>
    <s v="PEÇAS - Defeito de fabric./Interrompido"/>
    <s v="FUNCIONAL"/>
    <x v="2"/>
    <n v="3506"/>
    <s v="TECBRAS ASSISTENCIA TECNICA"/>
    <s v="SP"/>
    <n v="931"/>
    <s v="Ats Off"/>
    <n v="1350"/>
    <n v="326075876"/>
    <s v="Filtros"/>
    <x v="6"/>
    <n v="1"/>
    <n v="5004042"/>
    <s v="BRASIL WEB TRANSPORTES E LOGISTICA"/>
    <n v="213.51"/>
    <d v="2025-08-27T00:00:00"/>
  </r>
  <r>
    <n v="254063939"/>
    <n v="64838653"/>
    <s v="REB"/>
    <n v="10145487"/>
    <n v="90"/>
    <s v="CLIENTE-não solicitou"/>
    <s v="COMERCIAL"/>
    <x v="2"/>
    <n v="66"/>
    <s v="CENTROMAQ PECAS E SERVICOS LTDA"/>
    <s v="GO"/>
    <n v="931"/>
    <s v="Ats Off"/>
    <n v="1350"/>
    <s v="W10901034"/>
    <s v="Filtros"/>
    <x v="6"/>
    <n v="1"/>
    <n v="5002858"/>
    <s v="FAVORITA TRANSPORTES LTDA"/>
    <n v="70.38"/>
    <d v="2025-08-27T00:00:00"/>
  </r>
  <r>
    <n v="254064160"/>
    <n v="64838662"/>
    <s v="REB"/>
    <n v="10165259"/>
    <n v="177"/>
    <s v="PEÇAS - Defeito de fabric./Ruído"/>
    <s v="FUNCIONAL"/>
    <x v="2"/>
    <n v="21594"/>
    <s v="GOLD SERVICE COMERCIO"/>
    <s v="SP"/>
    <n v="931"/>
    <s v="Ats Off"/>
    <n v="1350"/>
    <s v="W10882241"/>
    <s v="Agitadores"/>
    <x v="4"/>
    <n v="1"/>
    <n v="5004042"/>
    <s v="BRASIL WEB TRANSPORTES E LOGISTICA"/>
    <n v="43.35"/>
    <d v="2025-08-27T00:00:00"/>
  </r>
  <r>
    <s v="Sem TR"/>
    <n v="64838663"/>
    <s v="REB"/>
    <n v="10066828"/>
    <n v="173"/>
    <s v="PEÇAS - Defeito de fabric./Alta Amperage"/>
    <s v="FUNCIONAL"/>
    <x v="1"/>
    <n v="47026"/>
    <s v="JR PECAS LTDA JR PECAS LTDA"/>
    <s v="BA"/>
    <n v="643"/>
    <s v="Elite"/>
    <n v="1350"/>
    <s v="W11299803"/>
    <s v="Mecanismos"/>
    <x v="4"/>
    <n v="2"/>
    <n v="5004101"/>
    <s v="UNIDOCK'S ASSESSORIA E LOGISTICA DE"/>
    <n v="168.24"/>
    <d v="2025-08-27T00:00:00"/>
  </r>
  <r>
    <n v="254063941"/>
    <n v="64838672"/>
    <s v="REB"/>
    <n v="10080988"/>
    <n v="178"/>
    <s v="PEÇAS -Defeito de fabric./Sem Compressão"/>
    <s v="FUNCIONAL"/>
    <x v="2"/>
    <n v="66"/>
    <s v="CENTROMAQ PECAS E SERVICOS LTDA"/>
    <s v="GO"/>
    <n v="931"/>
    <s v="Ats Off"/>
    <n v="1350"/>
    <s v="W11516477"/>
    <s v="Compressores Herméticos"/>
    <x v="0"/>
    <n v="1"/>
    <n v="5002858"/>
    <s v="FAVORITA TRANSPORTES LTDA"/>
    <n v="406.18"/>
    <d v="2025-08-27T00:00:00"/>
  </r>
  <r>
    <n v="254064194"/>
    <n v="64838673"/>
    <s v="REB"/>
    <n v="10148516"/>
    <n v="178"/>
    <s v="PEÇAS -Defeito de fabric./Sem Compressão"/>
    <s v="FUNCIONAL"/>
    <x v="2"/>
    <n v="40998"/>
    <s v="CALDEIRA E SANTOS LTDA M.E"/>
    <s v="GO"/>
    <n v="648"/>
    <s v="Ultra"/>
    <n v="1350"/>
    <s v="W10393823"/>
    <s v="Compressores Herméticos"/>
    <x v="0"/>
    <n v="5"/>
    <n v="5002858"/>
    <s v="FAVORITA TRANSPORTES LTDA"/>
    <n v="2004.6"/>
    <d v="2025-08-27T00:00:00"/>
  </r>
  <r>
    <s v="Sem TR"/>
    <n v="64838763"/>
    <s v="ZRDI"/>
    <n v="10215657"/>
    <s v="D32"/>
    <s v="DEV D2C - Embalagem avariada"/>
    <s v="QUALIDADE"/>
    <x v="0"/>
    <n v="54913914"/>
    <s v="RENATO CRUZEIRO"/>
    <s v="SP"/>
    <n v="475"/>
    <s v="Site Consul"/>
    <n v="1352"/>
    <s v="W11199342"/>
    <s v="Filtros"/>
    <x v="6"/>
    <n v="1"/>
    <n v="5002359"/>
    <s v="EMPRESA BRASILEIRA DE CORREIOS E"/>
    <n v="98.8"/>
    <d v="2025-08-29T00:00:00"/>
  </r>
  <r>
    <s v="Sem TR"/>
    <n v="64838798"/>
    <s v="ZRDI"/>
    <n v="10206042"/>
    <s v="D10"/>
    <s v="DEV D2C - Comprou modelo errado"/>
    <s v="COMERCIAL"/>
    <x v="0"/>
    <n v="58241381"/>
    <s v="JOSUEL BARROS"/>
    <s v="SP"/>
    <n v="475"/>
    <s v="Site Consul"/>
    <n v="1352"/>
    <s v="W11199342"/>
    <s v="Filtros"/>
    <x v="6"/>
    <n v="1"/>
    <n v="5002359"/>
    <s v="EMPRESA BRASILEIRA DE CORREIOS E"/>
    <n v="81.81"/>
    <d v="2025-08-27T00:00:00"/>
  </r>
  <r>
    <s v="Sem TR"/>
    <n v="64838798"/>
    <s v="ZRDI"/>
    <n v="10206042"/>
    <s v="D10"/>
    <s v="DEV D2C - Comprou modelo errado"/>
    <s v="COMERCIAL"/>
    <x v="0"/>
    <n v="58241381"/>
    <s v="JOSUEL BARROS"/>
    <s v="SP"/>
    <n v="475"/>
    <s v="Site Consul"/>
    <n v="1352"/>
    <s v="W11199342"/>
    <s v="Filtros"/>
    <x v="6"/>
    <n v="1"/>
    <n v="5002359"/>
    <s v="EMPRESA BRASILEIRA DE CORREIOS E"/>
    <n v="81.819999999999993"/>
    <d v="2025-08-27T00:00:00"/>
  </r>
  <r>
    <n v="254064175"/>
    <n v="64838838"/>
    <s v="REB"/>
    <n v="8917024"/>
    <n v="178"/>
    <s v="PEÇAS -Defeito de fabric./Sem Compressão"/>
    <s v="FUNCIONAL"/>
    <x v="1"/>
    <n v="30416"/>
    <s v="JF OLIVEIRA PEREIRA ELETROD LTDA"/>
    <s v="AM"/>
    <n v="648"/>
    <s v="Ultra"/>
    <n v="1350"/>
    <s v="W11459433"/>
    <s v="Compressores Herméticos"/>
    <x v="0"/>
    <n v="1"/>
    <n v="5002858"/>
    <s v="FAVORITA TRANSPORTES LTDA"/>
    <n v="388.3"/>
    <d v="2025-08-27T00:00:00"/>
  </r>
  <r>
    <n v="254062885"/>
    <n v="64838860"/>
    <s v="ROB"/>
    <n v="10183018"/>
    <n v="182"/>
    <s v="PEÇAS - Extravio - Volume a menor"/>
    <s v="TRANSPORTADORA"/>
    <x v="2"/>
    <n v="68804"/>
    <s v="JOSE CANDIDO DE AMORIM"/>
    <s v="PE"/>
    <n v="932"/>
    <s v="CDP Prata"/>
    <n v="1350"/>
    <n v="326049983"/>
    <s v="Resistências"/>
    <x v="2"/>
    <n v="2"/>
    <n v="5000253"/>
    <s v="TRANSPORTADOR GENERICO"/>
    <n v="177.73"/>
    <d v="2025-08-26T00:00:00"/>
  </r>
  <r>
    <n v="254062885"/>
    <n v="64838860"/>
    <s v="ROB"/>
    <n v="10183018"/>
    <n v="182"/>
    <s v="PEÇAS - Extravio - Volume a menor"/>
    <s v="TRANSPORTADORA"/>
    <x v="2"/>
    <n v="68804"/>
    <s v="JOSE CANDIDO DE AMORIM"/>
    <s v="PE"/>
    <n v="932"/>
    <s v="CDP Prata"/>
    <n v="1350"/>
    <s v="W10221056"/>
    <s v="Condensadores"/>
    <x v="0"/>
    <n v="1"/>
    <n v="5000253"/>
    <s v="TRANSPORTADOR GENERICO"/>
    <n v="88.05"/>
    <d v="2025-08-26T00:00:00"/>
  </r>
  <r>
    <s v="Sem TR"/>
    <n v="64838902"/>
    <s v="ZRDI"/>
    <n v="10194819"/>
    <s v="D10"/>
    <s v="DEV D2C - Comprou modelo errado"/>
    <s v="COMERCIAL"/>
    <x v="0"/>
    <n v="51968906"/>
    <s v="CLAUDIA CRISTINA SANTOS BARROS"/>
    <s v="DF"/>
    <n v="475"/>
    <s v="Site Consul"/>
    <n v="1352"/>
    <s v="W10555135"/>
    <s v="Resistências"/>
    <x v="2"/>
    <n v="1"/>
    <n v="5002359"/>
    <s v="EMPRESA BRASILEIRA DE CORREIOS E"/>
    <n v="100.14"/>
    <d v="2025-08-29T00:00:00"/>
  </r>
  <r>
    <n v="254066492"/>
    <n v="64838956"/>
    <s v="REB"/>
    <n v="10154309"/>
    <n v="173"/>
    <s v="PEÇAS - Defeito de fabric./Alta Amperage"/>
    <s v="FUNCIONAL"/>
    <x v="2"/>
    <n v="21594"/>
    <s v="GOLD SERVICE COMERCIO"/>
    <s v="SP"/>
    <n v="931"/>
    <s v="Ats Off"/>
    <n v="1350"/>
    <s v="W10544750"/>
    <s v="Motores"/>
    <x v="2"/>
    <n v="1"/>
    <n v="5004042"/>
    <s v="BRASIL WEB TRANSPORTES E LOGISTICA"/>
    <n v="524.52"/>
    <d v="2025-08-29T00:00:00"/>
  </r>
  <r>
    <n v="254066507"/>
    <n v="64838957"/>
    <s v="REB"/>
    <n v="10091560"/>
    <n v="177"/>
    <s v="PEÇAS - Defeito de fabric./Ruído"/>
    <s v="FUNCIONAL"/>
    <x v="2"/>
    <n v="30292"/>
    <s v="REFRIAR COM ASSIST TECNICA"/>
    <s v="SP"/>
    <n v="932"/>
    <s v="CDP Prata"/>
    <n v="1350"/>
    <s v="W11300816"/>
    <s v="Mecanismos"/>
    <x v="4"/>
    <n v="2"/>
    <n v="5004042"/>
    <s v="BRASIL WEB TRANSPORTES E LOGISTICA"/>
    <n v="286.18"/>
    <d v="2025-08-29T00:00:00"/>
  </r>
  <r>
    <n v="254066520"/>
    <n v="64838958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9T00:00:00"/>
  </r>
  <r>
    <s v="Sem TR"/>
    <n v="64838996"/>
    <s v="ZRDI"/>
    <n v="10202516"/>
    <s v="D31"/>
    <s v="DEV D2C - Defeito estético manufatura"/>
    <s v="MANUFATURA"/>
    <x v="0"/>
    <n v="57534187"/>
    <s v="GEORGE WASHINGTON DE CARVALHO"/>
    <s v="PI"/>
    <n v="474"/>
    <s v="Site Brastemp"/>
    <n v="1352"/>
    <s v="W11298039"/>
    <s v="Gavetas"/>
    <x v="1"/>
    <n v="1"/>
    <n v="5002359"/>
    <s v="EMPRESA BRASILEIRA DE CORREIOS E"/>
    <n v="192.9"/>
    <d v="2025-08-27T00:00:00"/>
  </r>
  <r>
    <s v="Sem TR"/>
    <n v="64838996"/>
    <s v="ZRDI"/>
    <n v="10202516"/>
    <s v="D31"/>
    <s v="DEV D2C - Defeito estético manufatura"/>
    <s v="MANUFATURA"/>
    <x v="0"/>
    <n v="57534187"/>
    <s v="GEORGE WASHINGTON DE CARVALHO"/>
    <s v="PI"/>
    <n v="474"/>
    <s v="Site Brastemp"/>
    <n v="1352"/>
    <s v="W10624070"/>
    <s v="Gavetas"/>
    <x v="1"/>
    <n v="1"/>
    <n v="5002359"/>
    <s v="EMPRESA BRASILEIRA DE CORREIOS E"/>
    <n v="196.78"/>
    <d v="2025-08-27T00:00:00"/>
  </r>
  <r>
    <n v="254063235"/>
    <n v="64839061"/>
    <s v="REB"/>
    <n v="10207933"/>
    <n v="170"/>
    <s v="PEÇAS - Avaria - Riscada/Depósito"/>
    <s v="LOGÍSTICA"/>
    <x v="1"/>
    <n v="4531"/>
    <s v="COMERCIO DE REFRIGERACAO"/>
    <s v="SC"/>
    <n v="932"/>
    <s v="CDP Prata"/>
    <n v="1350"/>
    <n v="326073227"/>
    <s v="Portas"/>
    <x v="3"/>
    <n v="1"/>
    <n v="5003024"/>
    <s v="RODOBRAS TRANSPORTES RODOVIARIOS LT"/>
    <n v="418.14"/>
    <d v="2025-08-26T00:00:00"/>
  </r>
  <r>
    <s v="Sem TR"/>
    <n v="64839342"/>
    <s v="ZRDI"/>
    <n v="10213497"/>
    <s v="D10"/>
    <s v="DEV D2C - Comprou modelo errado"/>
    <s v="COMERCIAL"/>
    <x v="0"/>
    <n v="58247663"/>
    <s v="RICARDO SANTOS"/>
    <s v="SP"/>
    <n v="475"/>
    <s v="Site Consul"/>
    <n v="1352"/>
    <s v="W10212441"/>
    <s v="Prateleiras"/>
    <x v="1"/>
    <n v="1"/>
    <n v="5003972"/>
    <s v="ICARO EXPRESS LOGISTICA LTDA"/>
    <n v="41.45"/>
    <d v="2025-08-30T00:00:00"/>
  </r>
  <r>
    <s v="Sem TR"/>
    <n v="64839428"/>
    <s v="ZRDI"/>
    <n v="10213397"/>
    <s v="D31"/>
    <s v="DEV D2C - Defeito estético manufatura"/>
    <s v="MANUFATURA"/>
    <x v="2"/>
    <n v="5756329"/>
    <s v="LEONARDO ALMEIDA"/>
    <s v="MG"/>
    <n v="474"/>
    <s v="Site Brastemp"/>
    <n v="1352"/>
    <s v="W11217869"/>
    <s v="Gavetas"/>
    <x v="1"/>
    <n v="1"/>
    <n v="5002359"/>
    <s v="EMPRESA BRASILEIRA DE CORREIOS E"/>
    <n v="346.28"/>
    <d v="2025-08-30T00:00:00"/>
  </r>
  <r>
    <s v="Sem TR"/>
    <n v="64839486"/>
    <s v="ZRDI"/>
    <n v="10189395"/>
    <s v="D10"/>
    <s v="DEV D2C - Comprou modelo errado"/>
    <s v="COMERCIAL"/>
    <x v="0"/>
    <n v="58220830"/>
    <s v="ANTÔNIO EVANIEUDO"/>
    <s v="CE"/>
    <n v="474"/>
    <s v="Site Brastemp"/>
    <n v="1352"/>
    <s v="W10668378"/>
    <s v="Placas de Controle"/>
    <x v="2"/>
    <n v="1"/>
    <n v="5002359"/>
    <s v="EMPRESA BRASILEIRA DE CORREIOS E"/>
    <n v="430.26"/>
    <d v="2025-08-29T00:00:00"/>
  </r>
  <r>
    <s v="Sem TR"/>
    <n v="64839487"/>
    <s v="ZRDI"/>
    <n v="10205881"/>
    <s v="D10"/>
    <s v="DEV D2C - Comprou modelo errado"/>
    <s v="COMERCIAL"/>
    <x v="0"/>
    <n v="58239854"/>
    <s v="TAMIRES CLEMENTE"/>
    <s v="MG"/>
    <n v="475"/>
    <s v="Site Consul"/>
    <n v="1352"/>
    <s v="W10212441"/>
    <s v="Prateleiras"/>
    <x v="1"/>
    <n v="1"/>
    <n v="5002359"/>
    <s v="EMPRESA BRASILEIRA DE CORREIOS E"/>
    <n v="45.75"/>
    <d v="2025-08-29T00:00:00"/>
  </r>
  <r>
    <s v="Sem TR"/>
    <n v="64839487"/>
    <s v="ZRDI"/>
    <n v="10205881"/>
    <s v="D10"/>
    <s v="DEV D2C - Comprou modelo errado"/>
    <s v="COMERCIAL"/>
    <x v="0"/>
    <n v="58239854"/>
    <s v="TAMIRES CLEMENTE"/>
    <s v="MG"/>
    <n v="475"/>
    <s v="Site Consul"/>
    <n v="1352"/>
    <s v="W11374521"/>
    <s v="Suportes"/>
    <x v="3"/>
    <n v="1"/>
    <n v="5002359"/>
    <s v="EMPRESA BRASILEIRA DE CORREIOS E"/>
    <n v="46.02"/>
    <d v="2025-08-29T00:00:00"/>
  </r>
  <r>
    <n v="254063657"/>
    <n v="64839528"/>
    <s v="REB"/>
    <n v="10203011"/>
    <n v="220"/>
    <s v="DEV-Avaria 1 trecho transp - Produto"/>
    <s v="QUALIDADE"/>
    <x v="1"/>
    <n v="59520"/>
    <s v="SARDANHA COMERC PECAS E ACESSORIOS"/>
    <s v="SC"/>
    <n v="643"/>
    <s v="Elite"/>
    <n v="1350"/>
    <s v="W11393157"/>
    <s v="Tampas Móveis"/>
    <x v="3"/>
    <n v="1"/>
    <n v="5003024"/>
    <s v="RODOBRAS TRANSPORTES RODOVIARIOS LT"/>
    <n v="145.38999999999999"/>
    <d v="2025-08-27T00:00:00"/>
  </r>
  <r>
    <s v="Sem TR"/>
    <n v="64839566"/>
    <s v="ZRDI"/>
    <n v="10207904"/>
    <s v="D10"/>
    <s v="DEV D2C - Comprou modelo errado"/>
    <s v="COMERCIAL"/>
    <x v="0"/>
    <n v="58243456"/>
    <s v="MÁRCIA APARECIDA GATTINI FABBRI"/>
    <s v="MG"/>
    <n v="474"/>
    <s v="Site Brastemp"/>
    <n v="1352"/>
    <s v="W11661613"/>
    <s v="Outros"/>
    <x v="5"/>
    <n v="1"/>
    <n v="5002359"/>
    <s v="EMPRESA BRASILEIRA DE CORREIOS E"/>
    <n v="153.47999999999999"/>
    <d v="2025-08-29T00:00:00"/>
  </r>
  <r>
    <n v="254064154"/>
    <n v="64839641"/>
    <s v="REB"/>
    <n v="10193702"/>
    <n v="173"/>
    <s v="PEÇAS - Defeito de fabric./Alta Amperage"/>
    <s v="FUNCIONAL"/>
    <x v="2"/>
    <n v="3555"/>
    <s v="LESTE SERVICE PCS SERVICOS LTDA LES"/>
    <s v="SP"/>
    <n v="931"/>
    <s v="Ats Off"/>
    <n v="1350"/>
    <n v="326076881"/>
    <s v="Resistências"/>
    <x v="2"/>
    <n v="1"/>
    <n v="5004042"/>
    <s v="BRASIL WEB TRANSPORTES E LOGISTICA"/>
    <n v="83.02"/>
    <d v="2025-08-27T00:00:00"/>
  </r>
  <r>
    <n v="254064154"/>
    <n v="64839642"/>
    <s v="REB"/>
    <n v="10190782"/>
    <n v="173"/>
    <s v="PEÇAS - Defeito de fabric./Alta Amperage"/>
    <s v="FUNCIONAL"/>
    <x v="2"/>
    <n v="3555"/>
    <s v="LESTE SERVICE PCS SERVICOS LTDA LES"/>
    <s v="SP"/>
    <n v="931"/>
    <s v="Ats Off"/>
    <n v="1350"/>
    <s v="W11266866"/>
    <s v="Sensores"/>
    <x v="8"/>
    <n v="1"/>
    <n v="5004042"/>
    <s v="BRASIL WEB TRANSPORTES E LOGISTICA"/>
    <n v="48.48"/>
    <d v="2025-08-27T00:00:00"/>
  </r>
  <r>
    <s v="Sem TR"/>
    <n v="64839643"/>
    <s v="REB"/>
    <n v="10063115"/>
    <n v="509"/>
    <s v="Qtd de peças a Menor dentro do Volume"/>
    <s v="LOGÍSTICA"/>
    <x v="2"/>
    <n v="76462"/>
    <s v="RC REFRIGERACAO LTDA"/>
    <s v="DF"/>
    <n v="933"/>
    <s v="Top"/>
    <n v="1350"/>
    <s v="W11647662"/>
    <s v="Compressores Herméticos"/>
    <x v="0"/>
    <n v="21"/>
    <n v="5002359"/>
    <s v="EMPRESA BRASILEIRA DE CORREIOS E"/>
    <n v="5793.13"/>
    <d v="2025-08-27T00:00:00"/>
  </r>
  <r>
    <s v="Sem TR"/>
    <n v="64839732"/>
    <s v="ZRDI"/>
    <n v="10191474"/>
    <s v="D15"/>
    <s v="DEV D2C - Arrependimento modelo comprado"/>
    <s v="COMERCIAL"/>
    <x v="0"/>
    <n v="58217416"/>
    <s v="ASSIR PIERRE"/>
    <s v="SP"/>
    <n v="466"/>
    <s v="Sup ML Marketplace"/>
    <n v="1352"/>
    <s v="W10754152"/>
    <s v="Gavetas"/>
    <x v="1"/>
    <n v="1"/>
    <n v="5002359"/>
    <s v="EMPRESA BRASILEIRA DE CORREIOS E"/>
    <n v="88.84"/>
    <d v="2025-08-29T00:00:00"/>
  </r>
  <r>
    <s v="Sem TR"/>
    <n v="64839784"/>
    <s v="ROB"/>
    <n v="10185327"/>
    <n v="220"/>
    <s v="DEV-Avaria 1 trecho transp - Produto"/>
    <s v="QUALIDADE"/>
    <x v="1"/>
    <n v="75707"/>
    <s v="AMAZONAS COMERCIO DE"/>
    <s v="PA"/>
    <n v="643"/>
    <s v="Elite"/>
    <n v="1350"/>
    <s v="W11228626"/>
    <s v="Placas de Interface"/>
    <x v="2"/>
    <n v="1"/>
    <n v="5002858"/>
    <s v="FAVORITA TRANSPORTES LTDA"/>
    <n v="221.07"/>
    <d v="2025-08-27T00:00:00"/>
  </r>
  <r>
    <n v="254066520"/>
    <n v="64839801"/>
    <s v="REB"/>
    <n v="9779878"/>
    <n v="178"/>
    <s v="PEÇAS -Defeito de fabric./Sem Compressão"/>
    <s v="FUNCIONAL"/>
    <x v="2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8-29T00:00:00"/>
  </r>
  <r>
    <n v="254066483"/>
    <n v="64839802"/>
    <s v="REB"/>
    <n v="10094713"/>
    <n v="178"/>
    <s v="PEÇAS -Defeito de fabric./Sem Compressão"/>
    <s v="FUNCIONAL"/>
    <x v="2"/>
    <n v="1255"/>
    <s v="PRAMAK REFRIGERACAO, PECAS E"/>
    <s v="CE"/>
    <n v="931"/>
    <s v="Ats Off"/>
    <n v="1350"/>
    <s v="W11647662"/>
    <s v="Compressores Herméticos"/>
    <x v="0"/>
    <n v="1"/>
    <n v="5004101"/>
    <s v="UNIDOCK'S ASSESSORIA E LOGISTICA DE"/>
    <n v="269.55"/>
    <d v="2025-08-29T00:00:00"/>
  </r>
  <r>
    <n v="254064159"/>
    <n v="64839814"/>
    <s v="REB"/>
    <n v="10188088"/>
    <n v="90"/>
    <s v="CLIENTE-não solicitou"/>
    <s v="COMERCIAL"/>
    <x v="2"/>
    <n v="21594"/>
    <s v="GOLD SERVICE COMERCIO"/>
    <s v="SP"/>
    <n v="931"/>
    <s v="Ats Off"/>
    <n v="1350"/>
    <s v="W11226308"/>
    <s v="Tanques"/>
    <x v="1"/>
    <n v="1"/>
    <n v="5004042"/>
    <s v="BRASIL WEB TRANSPORTES E LOGISTICA"/>
    <n v="229.14"/>
    <d v="2025-08-27T00:00:00"/>
  </r>
  <r>
    <s v="Sem TR"/>
    <n v="64839824"/>
    <s v="REB"/>
    <n v="10199211"/>
    <n v="90"/>
    <s v="CLIENTE-não solicitou"/>
    <s v="COMERCIAL"/>
    <x v="1"/>
    <n v="28681"/>
    <s v="PERIN &amp; CIA"/>
    <s v="SP"/>
    <n v="643"/>
    <s v="Elite"/>
    <n v="1350"/>
    <s v="W11300676"/>
    <s v="Mecanismos"/>
    <x v="4"/>
    <n v="1"/>
    <n v="5004042"/>
    <s v="BRASIL WEB TRANSPORTES E LOGISTICA"/>
    <n v="121.32"/>
    <d v="2025-08-27T00:00:00"/>
  </r>
  <r>
    <s v="Sem TR"/>
    <n v="64839825"/>
    <s v="REB"/>
    <n v="10140751"/>
    <n v="178"/>
    <s v="PEÇAS -Defeito de fabric./Sem Compressão"/>
    <s v="FUNCIONAL"/>
    <x v="1"/>
    <n v="33661"/>
    <s v="REFRIGERAÇÃO BASSO LITORAL LTDA"/>
    <s v="SP"/>
    <n v="643"/>
    <s v="Elite"/>
    <n v="1350"/>
    <s v="W10798744"/>
    <s v="Compressores Herméticos"/>
    <x v="0"/>
    <n v="24"/>
    <n v="5004042"/>
    <s v="BRASIL WEB TRANSPORTES E LOGISTICA"/>
    <n v="10234.14"/>
    <d v="2025-08-27T00:00:00"/>
  </r>
  <r>
    <s v="Sem TR"/>
    <n v="64839826"/>
    <s v="REB"/>
    <n v="9965630"/>
    <n v="178"/>
    <s v="PEÇAS -Defeito de fabric./Sem Compressão"/>
    <s v="FUNCIONAL"/>
    <x v="1"/>
    <n v="47470"/>
    <s v="AR CONDICIONADO E"/>
    <s v="SP"/>
    <n v="643"/>
    <s v="Elite"/>
    <n v="1350"/>
    <s v="W10393823"/>
    <s v="Compressores Herméticos"/>
    <x v="0"/>
    <n v="28"/>
    <n v="5004042"/>
    <s v="BRASIL WEB TRANSPORTES E LOGISTICA"/>
    <n v="14621.23"/>
    <d v="2025-08-27T00:00:00"/>
  </r>
  <r>
    <n v="254063939"/>
    <n v="64839827"/>
    <s v="REB"/>
    <n v="10193440"/>
    <n v="173"/>
    <s v="PEÇAS - Defeito de fabric./Alta Amperage"/>
    <s v="FUNCIONAL"/>
    <x v="2"/>
    <n v="66"/>
    <s v="CENTROMAQ PECAS E SERVICOS LTDA"/>
    <s v="GO"/>
    <n v="931"/>
    <s v="Ats Off"/>
    <n v="1350"/>
    <s v="W10173035"/>
    <s v="Lâmpadas"/>
    <x v="2"/>
    <n v="1"/>
    <n v="5002858"/>
    <s v="FAVORITA TRANSPORTES LTDA"/>
    <n v="59.51"/>
    <d v="2025-08-27T00:00:00"/>
  </r>
  <r>
    <n v="254063939"/>
    <n v="64839828"/>
    <s v="REB"/>
    <n v="10206094"/>
    <n v="173"/>
    <s v="PEÇAS - Defeito de fabric./Alta Amperage"/>
    <s v="FUNCIONAL"/>
    <x v="2"/>
    <n v="66"/>
    <s v="CENTROMAQ PECAS E SERVICOS LTDA"/>
    <s v="GO"/>
    <n v="931"/>
    <s v="Ats Off"/>
    <n v="1350"/>
    <s v="W10173035"/>
    <s v="Lâmpadas"/>
    <x v="2"/>
    <n v="1"/>
    <n v="5002858"/>
    <s v="FAVORITA TRANSPORTES LTDA"/>
    <n v="59.51"/>
    <d v="2025-08-27T00:00:00"/>
  </r>
  <r>
    <s v="Sem TR"/>
    <n v="64839829"/>
    <s v="REB"/>
    <n v="10166850"/>
    <n v="173"/>
    <s v="PEÇAS - Defeito de fabric./Alta Amperage"/>
    <s v="FUNCIONAL"/>
    <x v="1"/>
    <n v="47026"/>
    <s v="JR PECAS LTDA JR PECAS LTDA"/>
    <s v="BA"/>
    <n v="643"/>
    <s v="Elite"/>
    <n v="1350"/>
    <s v="W11366389"/>
    <s v="Placas de Controle"/>
    <x v="2"/>
    <n v="1"/>
    <n v="5004101"/>
    <s v="UNIDOCK'S ASSESSORIA E LOGISTICA DE"/>
    <n v="172.96"/>
    <d v="2025-08-27T00:00:00"/>
  </r>
  <r>
    <s v="Sem TR"/>
    <n v="64839830"/>
    <s v="REB"/>
    <n v="10159137"/>
    <n v="173"/>
    <s v="PEÇAS - Defeito de fabric./Alta Amperage"/>
    <s v="FUNCIONAL"/>
    <x v="1"/>
    <n v="47026"/>
    <s v="JR PECAS LTDA JR PECAS LTDA"/>
    <s v="BA"/>
    <n v="643"/>
    <s v="Elite"/>
    <n v="1350"/>
    <s v="W11245249"/>
    <s v="Válvulas de Água"/>
    <x v="6"/>
    <n v="1"/>
    <n v="5004101"/>
    <s v="UNIDOCK'S ASSESSORIA E LOGISTICA DE"/>
    <n v="40.659999999999997"/>
    <d v="2025-08-27T00:00:00"/>
  </r>
  <r>
    <s v="Sem TR"/>
    <n v="64839831"/>
    <s v="REB"/>
    <n v="9926851"/>
    <n v="173"/>
    <s v="PEÇAS - Defeito de fabric./Alta Amperage"/>
    <s v="FUNCIONAL"/>
    <x v="1"/>
    <n v="84684"/>
    <s v="CENTERMAQ COMERCIO E CONSERTOS DE M"/>
    <s v="SC"/>
    <n v="934"/>
    <s v="CDP Ouro"/>
    <n v="1350"/>
    <s v="W11458016"/>
    <s v="Placas de Controle"/>
    <x v="2"/>
    <n v="1"/>
    <n v="5003024"/>
    <s v="RODOBRAS TRANSPORTES RODOVIARIOS LT"/>
    <n v="237.73"/>
    <d v="2025-08-27T00:00:00"/>
  </r>
  <r>
    <s v="Sem TR"/>
    <n v="64839834"/>
    <s v="REB"/>
    <n v="10165971"/>
    <n v="173"/>
    <s v="PEÇAS - Defeito de fabric./Alta Amperage"/>
    <s v="FUNCIONAL"/>
    <x v="1"/>
    <n v="26939"/>
    <s v="TEMPERFRIO-DISTRIBUICAO E"/>
    <s v="PR"/>
    <n v="643"/>
    <s v="Elite"/>
    <n v="1350"/>
    <s v="W11254865"/>
    <s v="Mecanismos"/>
    <x v="4"/>
    <n v="1"/>
    <n v="5003024"/>
    <s v="RODOBRAS TRANSPORTES RODOVIARIOS LT"/>
    <n v="133.91999999999999"/>
    <d v="2025-08-27T00:00:00"/>
  </r>
  <r>
    <s v="Sem TR"/>
    <n v="64839835"/>
    <s v="REB"/>
    <n v="10148080"/>
    <n v="173"/>
    <s v="PEÇAS - Defeito de fabric./Alta Amperage"/>
    <s v="FUNCIONAL"/>
    <x v="1"/>
    <n v="1255"/>
    <s v="PRAMAK REFRIGERACAO, PECAS E"/>
    <s v="CE"/>
    <n v="931"/>
    <s v="Ats Off"/>
    <n v="1350"/>
    <s v="W11741179"/>
    <s v="Outros"/>
    <x v="5"/>
    <n v="1"/>
    <n v="5004101"/>
    <s v="UNIDOCK'S ASSESSORIA E LOGISTICA DE"/>
    <n v="302.85000000000002"/>
    <d v="2025-08-27T00:00:00"/>
  </r>
  <r>
    <s v="Sem TR"/>
    <n v="64839836"/>
    <s v="REB"/>
    <n v="10073902"/>
    <n v="173"/>
    <s v="PEÇAS - Defeito de fabric./Alta Amperage"/>
    <s v="FUNCIONAL"/>
    <x v="1"/>
    <n v="47026"/>
    <s v="JR PECAS LTDA JR PECAS LTDA"/>
    <s v="BA"/>
    <n v="643"/>
    <s v="Elite"/>
    <n v="1350"/>
    <s v="W10619463"/>
    <s v="Pressostatos"/>
    <x v="8"/>
    <n v="1"/>
    <n v="5004101"/>
    <s v="UNIDOCK'S ASSESSORIA E LOGISTICA DE"/>
    <n v="35.67"/>
    <d v="2025-08-27T00:00:00"/>
  </r>
  <r>
    <s v="Sem TR"/>
    <n v="64839837"/>
    <s v="REB"/>
    <n v="10177305"/>
    <n v="177"/>
    <s v="PEÇAS - Defeito de fabric./Ruído"/>
    <s v="FUNCIONAL"/>
    <x v="1"/>
    <n v="2374"/>
    <s v="COMETA DISTRIBUIDORA DE PECAS"/>
    <s v="MG"/>
    <n v="350"/>
    <s v="Ats On"/>
    <n v="1350"/>
    <s v="W10665444"/>
    <s v="Bombas"/>
    <x v="2"/>
    <n v="1"/>
    <n v="5004215"/>
    <s v="BRASIL WEB TRANSPORTES E LOGISTICA"/>
    <n v="178.3"/>
    <d v="2025-08-27T00:00:00"/>
  </r>
  <r>
    <s v="Sem TR"/>
    <n v="64839838"/>
    <s v="REB"/>
    <n v="10166849"/>
    <n v="173"/>
    <s v="PEÇAS - Defeito de fabric./Alta Amperage"/>
    <s v="FUNCIONAL"/>
    <x v="1"/>
    <n v="47026"/>
    <s v="JR PECAS LTDA JR PECAS LTDA"/>
    <s v="BA"/>
    <n v="643"/>
    <s v="Elite"/>
    <n v="1350"/>
    <s v="W10619171"/>
    <s v="Placas de Controle"/>
    <x v="2"/>
    <n v="1"/>
    <n v="5004101"/>
    <s v="UNIDOCK'S ASSESSORIA E LOGISTICA DE"/>
    <n v="537.48"/>
    <d v="2025-08-27T00:00:00"/>
  </r>
  <r>
    <n v="254064158"/>
    <n v="64839839"/>
    <s v="REB"/>
    <n v="10029983"/>
    <n v="178"/>
    <s v="PEÇAS -Defeito de fabric./Sem Compressão"/>
    <s v="FUNCIONAL"/>
    <x v="2"/>
    <n v="18949"/>
    <s v="BIG FRIO EQUIPAMENTOS PARA"/>
    <s v="SP"/>
    <n v="933"/>
    <s v="Top"/>
    <n v="1350"/>
    <s v="W11647662"/>
    <s v="Compressores Herméticos"/>
    <x v="0"/>
    <n v="1"/>
    <n v="5004042"/>
    <s v="BRASIL WEB TRANSPORTES E LOGISTICA"/>
    <n v="306.81"/>
    <d v="2025-08-27T00:00:00"/>
  </r>
  <r>
    <n v="254064158"/>
    <n v="64839839"/>
    <s v="REB"/>
    <n v="10029983"/>
    <n v="178"/>
    <s v="PEÇAS -Defeito de fabric./Sem Compressão"/>
    <s v="FUNCIONAL"/>
    <x v="2"/>
    <n v="18949"/>
    <s v="BIG FRIO EQUIPAMENTOS PARA"/>
    <s v="SP"/>
    <n v="933"/>
    <s v="Top"/>
    <n v="1350"/>
    <s v="W10393823"/>
    <s v="Compressores Herméticos"/>
    <x v="0"/>
    <n v="1"/>
    <n v="5004042"/>
    <s v="BRASIL WEB TRANSPORTES E LOGISTICA"/>
    <n v="519.97"/>
    <d v="2025-08-27T00:00:00"/>
  </r>
  <r>
    <n v="254063939"/>
    <n v="64839840"/>
    <s v="REB"/>
    <n v="10180844"/>
    <n v="173"/>
    <s v="PEÇAS - Defeito de fabric./Alta Amperage"/>
    <s v="FUNCIONAL"/>
    <x v="2"/>
    <n v="66"/>
    <s v="CENTROMAQ PECAS E SERVICOS LTDA"/>
    <s v="GO"/>
    <n v="931"/>
    <s v="Ats Off"/>
    <n v="1350"/>
    <s v="W10649509"/>
    <s v="Fusíveis/Fusíveis térmicos"/>
    <x v="2"/>
    <n v="2"/>
    <n v="5002858"/>
    <s v="FAVORITA TRANSPORTES LTDA"/>
    <n v="29.58"/>
    <d v="2025-08-27T00:00:00"/>
  </r>
  <r>
    <n v="254064175"/>
    <n v="64839841"/>
    <s v="REB"/>
    <n v="9847019"/>
    <n v="178"/>
    <s v="PEÇAS -Defeito de fabric./Sem Compressão"/>
    <s v="FUNCIONAL"/>
    <x v="1"/>
    <n v="30416"/>
    <s v="JF OLIVEIRA PEREIRA ELETROD LTDA"/>
    <s v="AM"/>
    <n v="648"/>
    <s v="Ultra"/>
    <n v="1350"/>
    <s v="W10393808"/>
    <s v="Compressores Herméticos"/>
    <x v="0"/>
    <n v="1"/>
    <n v="5002858"/>
    <s v="FAVORITA TRANSPORTES LTDA"/>
    <n v="255.59"/>
    <d v="2025-08-27T00:00:00"/>
  </r>
  <r>
    <n v="254064175"/>
    <n v="64839843"/>
    <s v="REB"/>
    <n v="9929898"/>
    <n v="178"/>
    <s v="PEÇAS -Defeito de fabric./Sem Compressão"/>
    <s v="FUNCIONAL"/>
    <x v="1"/>
    <n v="30416"/>
    <s v="JF OLIVEIRA PEREIRA ELETROD LTDA"/>
    <s v="AM"/>
    <n v="648"/>
    <s v="Ultra"/>
    <n v="1350"/>
    <s v="W10798744"/>
    <s v="Compressores Herméticos"/>
    <x v="0"/>
    <n v="1"/>
    <n v="5002858"/>
    <s v="FAVORITA TRANSPORTES LTDA"/>
    <n v="339.32"/>
    <d v="2025-08-27T00:00:00"/>
  </r>
  <r>
    <n v="254064158"/>
    <n v="64839844"/>
    <s v="REB"/>
    <n v="9987495"/>
    <n v="178"/>
    <s v="PEÇAS -Defeito de fabric./Sem Compressão"/>
    <s v="FUNCIONAL"/>
    <x v="2"/>
    <n v="18949"/>
    <s v="BIG FRIO EQUIPAMENTOS PARA"/>
    <s v="SP"/>
    <n v="933"/>
    <s v="Top"/>
    <n v="1350"/>
    <s v="W11647662"/>
    <s v="Compressores Herméticos"/>
    <x v="0"/>
    <n v="2"/>
    <n v="5004042"/>
    <s v="BRASIL WEB TRANSPORTES E LOGISTICA"/>
    <n v="584.73"/>
    <d v="2025-08-27T00:00:00"/>
  </r>
  <r>
    <n v="254064218"/>
    <n v="64839845"/>
    <s v="REB"/>
    <n v="9272074"/>
    <n v="173"/>
    <s v="PEÇAS - Defeito de fabric./Alta Amperage"/>
    <s v="FUNCIONAL"/>
    <x v="2"/>
    <n v="59026"/>
    <s v="OSMAR DALMASO - ME"/>
    <s v="ES"/>
    <n v="932"/>
    <s v="CDP Prata"/>
    <n v="1350"/>
    <s v="W10393822"/>
    <s v="Compressores Herméticos"/>
    <x v="0"/>
    <n v="1"/>
    <n v="5004042"/>
    <s v="BRASIL WEB TRANSPORTES E LOGISTICA"/>
    <n v="515.35"/>
    <d v="2025-08-27T00:00:00"/>
  </r>
  <r>
    <n v="254064199"/>
    <n v="64839846"/>
    <s v="REB"/>
    <n v="9942024"/>
    <n v="178"/>
    <s v="PEÇAS -Defeito de fabric./Sem Compressão"/>
    <s v="FUNCIONAL"/>
    <x v="2"/>
    <n v="50822"/>
    <s v="CLAYTON DE OLIVEIRA"/>
    <s v="AL"/>
    <n v="644"/>
    <s v="Plus"/>
    <n v="1350"/>
    <s v="W11647662"/>
    <s v="Compressores Herméticos"/>
    <x v="0"/>
    <n v="1"/>
    <n v="5004101"/>
    <s v="UNIDOCK'S ASSESSORIA E LOGISTICA DE"/>
    <n v="280.8"/>
    <d v="2025-08-27T00:00:00"/>
  </r>
  <r>
    <n v="254064220"/>
    <n v="64839847"/>
    <s v="REB"/>
    <n v="9958769"/>
    <n v="178"/>
    <s v="PEÇAS -Defeito de fabric./Sem Compressão"/>
    <s v="FUNCIONAL"/>
    <x v="2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69.42"/>
    <d v="2025-08-27T00:00:00"/>
  </r>
  <r>
    <s v="Sem TR"/>
    <n v="64839849"/>
    <s v="ZDVP"/>
    <n v="10098871"/>
    <n v="178"/>
    <s v="PEÇAS -Defeito de fabric./Sem Compressão"/>
    <s v="FUNCIONAL"/>
    <x v="1"/>
    <n v="63300"/>
    <s v="REFRIGERACAO MOTA LTDA"/>
    <s v="MG"/>
    <n v="643"/>
    <s v="Elite"/>
    <n v="1350"/>
    <s v="W11677210"/>
    <s v="Compressores Herméticos"/>
    <x v="0"/>
    <n v="6"/>
    <n v="5004215"/>
    <s v="BRASIL WEB TRANSPORTES E LOGISTICA"/>
    <n v="2505.69"/>
    <d v="2025-08-27T00:00:00"/>
  </r>
  <r>
    <s v="Sem TR"/>
    <n v="64839849"/>
    <s v="ZDVP"/>
    <n v="10098871"/>
    <n v="178"/>
    <s v="PEÇAS -Defeito de fabric./Sem Compressão"/>
    <s v="FUNCIONAL"/>
    <x v="1"/>
    <n v="63300"/>
    <s v="REFRIGERACAO MOTA LTDA"/>
    <s v="MG"/>
    <n v="643"/>
    <s v="Elite"/>
    <n v="1350"/>
    <s v="W11647660"/>
    <s v="Compressores Herméticos"/>
    <x v="0"/>
    <n v="8"/>
    <n v="5004215"/>
    <s v="BRASIL WEB TRANSPORTES E LOGISTICA"/>
    <n v="2480.4"/>
    <d v="2025-08-27T00:00:00"/>
  </r>
  <r>
    <s v="Sem TR"/>
    <n v="64839849"/>
    <s v="ZDVP"/>
    <n v="10098871"/>
    <n v="178"/>
    <s v="PEÇAS -Defeito de fabric./Sem Compressão"/>
    <s v="FUNCIONAL"/>
    <x v="1"/>
    <n v="63300"/>
    <s v="REFRIGERACAO MOTA LTDA"/>
    <s v="MG"/>
    <n v="643"/>
    <s v="Elite"/>
    <n v="1350"/>
    <s v="W11647662"/>
    <s v="Compressores Herméticos"/>
    <x v="0"/>
    <n v="2"/>
    <n v="5004215"/>
    <s v="BRASIL WEB TRANSPORTES E LOGISTICA"/>
    <n v="620.1"/>
    <d v="2025-08-27T00:00:00"/>
  </r>
  <r>
    <s v="Sem TR"/>
    <n v="64839850"/>
    <s v="ZDVP"/>
    <n v="10066346"/>
    <n v="178"/>
    <s v="PEÇAS -Defeito de fabric./Sem Compressão"/>
    <s v="FUNCIONAL"/>
    <x v="1"/>
    <n v="63300"/>
    <s v="REFRIGERACAO MOTA LTDA"/>
    <s v="MG"/>
    <n v="643"/>
    <s v="Elite"/>
    <n v="1350"/>
    <s v="W11677208"/>
    <s v="Compressores Herméticos"/>
    <x v="0"/>
    <n v="8"/>
    <n v="5004215"/>
    <s v="BRASIL WEB TRANSPORTES E LOGISTICA"/>
    <n v="2429.7600000000002"/>
    <d v="2025-08-27T00:00:00"/>
  </r>
  <r>
    <n v="254064194"/>
    <n v="64839851"/>
    <s v="REB"/>
    <n v="10164086"/>
    <n v="178"/>
    <s v="PEÇAS -Defeito de fabric./Sem Compressão"/>
    <s v="FUNCIONAL"/>
    <x v="2"/>
    <n v="40998"/>
    <s v="CALDEIRA E SANTOS LTDA M.E"/>
    <s v="GO"/>
    <n v="648"/>
    <s v="Ultra"/>
    <n v="1350"/>
    <s v="W11647662"/>
    <s v="Compressores Herméticos"/>
    <x v="0"/>
    <n v="2"/>
    <n v="5002858"/>
    <s v="FAVORITA TRANSPORTES LTDA"/>
    <n v="458.35"/>
    <d v="2025-08-27T00:00:00"/>
  </r>
  <r>
    <n v="254064179"/>
    <n v="64839852"/>
    <s v="REB"/>
    <n v="10060428"/>
    <n v="176"/>
    <s v="PEÇAS - Defeito de fabric./Interrompido"/>
    <s v="FUNCIONAL"/>
    <x v="1"/>
    <n v="32263"/>
    <s v="A C LIMA PONTES COMERCIO"/>
    <s v="PA"/>
    <n v="641"/>
    <s v="CDP Diamante"/>
    <n v="1350"/>
    <s v="W11611482"/>
    <s v="Placas de Controle"/>
    <x v="2"/>
    <n v="1"/>
    <n v="5002858"/>
    <s v="FAVORITA TRANSPORTES LTDA"/>
    <n v="90.43"/>
    <d v="2025-08-27T00:00:00"/>
  </r>
  <r>
    <n v="254063939"/>
    <n v="64839853"/>
    <s v="REB"/>
    <n v="10137715"/>
    <n v="176"/>
    <s v="PEÇAS - Defeito de fabric./Interrompido"/>
    <s v="FUNCIONAL"/>
    <x v="2"/>
    <n v="66"/>
    <s v="CENTROMAQ PECAS E SERVICOS LTDA"/>
    <s v="GO"/>
    <n v="931"/>
    <s v="Ats Off"/>
    <n v="1350"/>
    <s v="W11294885"/>
    <s v="Micro Chaves/Reed Switches"/>
    <x v="8"/>
    <n v="1"/>
    <n v="5002858"/>
    <s v="FAVORITA TRANSPORTES LTDA"/>
    <n v="10.32"/>
    <d v="2025-08-27T00:00:00"/>
  </r>
  <r>
    <n v="254064175"/>
    <n v="64839874"/>
    <s v="REB"/>
    <n v="9665566"/>
    <n v="178"/>
    <s v="PEÇAS -Defeito de fabric./Sem Compressão"/>
    <s v="FUNCIONAL"/>
    <x v="1"/>
    <n v="30416"/>
    <s v="JF OLIVEIRA PEREIRA ELETROD LTDA"/>
    <s v="AM"/>
    <n v="648"/>
    <s v="Ultra"/>
    <n v="1350"/>
    <s v="W11677210"/>
    <s v="Compressores Herméticos"/>
    <x v="0"/>
    <n v="1"/>
    <n v="5002858"/>
    <s v="FAVORITA TRANSPORTES LTDA"/>
    <n v="333.43"/>
    <d v="2025-08-27T00:00:00"/>
  </r>
  <r>
    <n v="254064175"/>
    <n v="64839875"/>
    <s v="REB"/>
    <n v="9913972"/>
    <n v="178"/>
    <s v="PEÇAS -Defeito de fabric./Sem Compressão"/>
    <s v="FUNCIONAL"/>
    <x v="1"/>
    <n v="30416"/>
    <s v="JF OLIVEIRA PEREIRA ELETROD LTDA"/>
    <s v="AM"/>
    <n v="648"/>
    <s v="Ultra"/>
    <n v="1350"/>
    <s v="W11133677"/>
    <s v="Compressores Herméticos"/>
    <x v="0"/>
    <n v="1"/>
    <n v="5002858"/>
    <s v="FAVORITA TRANSPORTES LTDA"/>
    <n v="423.88"/>
    <d v="2025-08-27T00:00:00"/>
  </r>
  <r>
    <n v="254063941"/>
    <n v="64839876"/>
    <s v="REB"/>
    <n v="10076925"/>
    <n v="176"/>
    <s v="PEÇAS - Defeito de fabric./Interrompido"/>
    <s v="FUNCIONAL"/>
    <x v="2"/>
    <n v="66"/>
    <s v="CENTROMAQ PECAS E SERVICOS LTDA"/>
    <s v="GO"/>
    <n v="931"/>
    <s v="Ats Off"/>
    <n v="1350"/>
    <s v="W10364740"/>
    <s v="Placas de Interface"/>
    <x v="2"/>
    <n v="1"/>
    <n v="5002858"/>
    <s v="FAVORITA TRANSPORTES LTDA"/>
    <n v="47.06"/>
    <d v="2025-08-27T00:00:00"/>
  </r>
  <r>
    <n v="254063942"/>
    <n v="64839877"/>
    <s v="REB"/>
    <n v="10180780"/>
    <n v="173"/>
    <s v="PEÇAS - Defeito de fabric./Alta Amperage"/>
    <s v="FUNCIONAL"/>
    <x v="2"/>
    <n v="1334"/>
    <s v="FLORIANO REFRIGERACAO LTDA"/>
    <s v="PI"/>
    <n v="350"/>
    <s v="Ats On"/>
    <n v="1350"/>
    <s v="W11634491"/>
    <s v="Placas de Controle"/>
    <x v="2"/>
    <n v="1"/>
    <n v="5004101"/>
    <s v="UNIDOCK'S ASSESSORIA E LOGISTICA DE"/>
    <n v="63.18"/>
    <d v="2025-08-27T00:00:00"/>
  </r>
  <r>
    <n v="254063940"/>
    <n v="64839878"/>
    <s v="REB"/>
    <n v="10137715"/>
    <n v="176"/>
    <s v="PEÇAS - Defeito de fabric./Interrompido"/>
    <s v="FUNCIONAL"/>
    <x v="2"/>
    <n v="66"/>
    <s v="CENTROMAQ PECAS E SERVICOS LTDA"/>
    <s v="GO"/>
    <n v="931"/>
    <s v="Ats Off"/>
    <n v="1350"/>
    <s v="W11294885"/>
    <s v="Micro Chaves/Reed Switches"/>
    <x v="8"/>
    <n v="1"/>
    <n v="5002858"/>
    <s v="FAVORITA TRANSPORTES LTDA"/>
    <n v="10.32"/>
    <d v="2025-08-27T00:00:00"/>
  </r>
  <r>
    <s v="Sem TR"/>
    <n v="64839884"/>
    <s v="REB"/>
    <n v="10132763"/>
    <n v="173"/>
    <s v="PEÇAS - Defeito de fabric./Alta Amperage"/>
    <s v="FUNCIONAL"/>
    <x v="1"/>
    <n v="22985"/>
    <s v="Comercial Delfrio LTDA EPP"/>
    <s v="SC"/>
    <n v="641"/>
    <s v="CDP Diamante"/>
    <n v="1350"/>
    <s v="W10619171"/>
    <s v="Placas de Controle"/>
    <x v="2"/>
    <n v="1"/>
    <n v="5003024"/>
    <s v="RODOBRAS TRANSPORTES RODOVIARIOS LT"/>
    <n v="564.16999999999996"/>
    <d v="2025-08-27T00:00:00"/>
  </r>
  <r>
    <n v="254063939"/>
    <n v="64839885"/>
    <s v="REB"/>
    <n v="10200097"/>
    <n v="168"/>
    <s v="PEÇAS-Def.Fabric.Empenamento/Abaulamento"/>
    <s v="FUNCIONAL"/>
    <x v="2"/>
    <n v="66"/>
    <s v="CENTROMAQ PECAS E SERVICOS LTDA"/>
    <s v="GO"/>
    <n v="931"/>
    <s v="Ats Off"/>
    <n v="1350"/>
    <s v="W10347201"/>
    <s v="Prateleiras"/>
    <x v="1"/>
    <n v="1"/>
    <n v="5002858"/>
    <s v="FAVORITA TRANSPORTES LTDA"/>
    <n v="61.8"/>
    <d v="2025-08-27T00:00:00"/>
  </r>
  <r>
    <n v="254064236"/>
    <n v="64839886"/>
    <s v="REB"/>
    <n v="10151656"/>
    <n v="90"/>
    <s v="CLIENTE-não solicitou"/>
    <s v="COMERCIAL"/>
    <x v="2"/>
    <n v="72786"/>
    <s v="FRIOLAR CONSERTOS DE"/>
    <s v="SC"/>
    <n v="643"/>
    <s v="Elite"/>
    <n v="1350"/>
    <s v="W11727474"/>
    <s v="Outros"/>
    <x v="5"/>
    <n v="15"/>
    <n v="5003024"/>
    <s v="RODOBRAS TRANSPORTES RODOVIARIOS LT"/>
    <n v="175.65"/>
    <d v="2025-08-27T00:00:00"/>
  </r>
  <r>
    <n v="254064157"/>
    <n v="64839889"/>
    <s v="REB"/>
    <n v="9960385"/>
    <n v="173"/>
    <s v="PEÇAS - Defeito de fabric./Alta Amperage"/>
    <s v="FUNCIONAL"/>
    <x v="2"/>
    <n v="8975"/>
    <s v="FORT CENTER REFRIGERACAO LTDA"/>
    <s v="MA"/>
    <n v="931"/>
    <s v="Ats Off"/>
    <n v="1350"/>
    <s v="W11516471"/>
    <s v="Compressores Herméticos"/>
    <x v="0"/>
    <n v="1"/>
    <n v="5004101"/>
    <s v="UNIDOCK'S ASSESSORIA E LOGISTICA DE"/>
    <n v="318.52999999999997"/>
    <d v="2025-08-27T00:00:00"/>
  </r>
  <r>
    <n v="254064242"/>
    <n v="64839890"/>
    <s v="REB"/>
    <n v="10179461"/>
    <n v="173"/>
    <s v="PEÇAS - Defeito de fabric./Alta Amperage"/>
    <s v="FUNCIONAL"/>
    <x v="2"/>
    <n v="83387"/>
    <s v="METTA COMERCIO E SERVICOS LTDA"/>
    <s v="RJ"/>
    <n v="350"/>
    <s v="Ats On"/>
    <n v="1350"/>
    <s v="W11487966"/>
    <s v="Painéis de Controle"/>
    <x v="3"/>
    <n v="1"/>
    <n v="5003176"/>
    <s v="J C THEDIN TRANSPORTES LTDA"/>
    <n v="1646.02"/>
    <d v="2025-08-27T00:00:00"/>
  </r>
  <r>
    <s v="Sem TR"/>
    <n v="64839891"/>
    <s v="REB"/>
    <n v="10195915"/>
    <n v="173"/>
    <s v="PEÇAS - Defeito de fabric./Alta Amperage"/>
    <s v="FUNCIONAL"/>
    <x v="1"/>
    <n v="10164"/>
    <s v="FALCONE - COMERCIO E SERVICOS LTDA"/>
    <s v="PB"/>
    <n v="931"/>
    <s v="Ats Off"/>
    <n v="1350"/>
    <s v="W11435392"/>
    <s v="Placas de Controle"/>
    <x v="2"/>
    <n v="1"/>
    <n v="5004101"/>
    <s v="UNIDOCK'S ASSESSORIA E LOGISTICA DE"/>
    <n v="282.94"/>
    <d v="2025-08-27T00:00:00"/>
  </r>
  <r>
    <n v="254064214"/>
    <n v="64839892"/>
    <s v="REB"/>
    <n v="9914191"/>
    <n v="178"/>
    <s v="PEÇAS -Defeito de fabric./Sem Compressão"/>
    <s v="FUNCIONAL"/>
    <x v="2"/>
    <n v="55093"/>
    <s v="NAUTICA REFRIGERACAO E"/>
    <s v="SP"/>
    <n v="648"/>
    <s v="Ultra"/>
    <n v="1350"/>
    <s v="W11677208"/>
    <s v="Compressores Herméticos"/>
    <x v="0"/>
    <n v="1"/>
    <n v="5004042"/>
    <s v="BRASIL WEB TRANSPORTES E LOGISTICA"/>
    <n v="312.82"/>
    <d v="2025-08-27T00:00:00"/>
  </r>
  <r>
    <n v="254064140"/>
    <n v="64839893"/>
    <s v="REB"/>
    <n v="10143421"/>
    <n v="176"/>
    <s v="PEÇAS - Defeito de fabric./Interrompido"/>
    <s v="FUNCIONAL"/>
    <x v="2"/>
    <n v="3506"/>
    <s v="TECBRAS ASSISTENCIA TECNICA"/>
    <s v="SP"/>
    <n v="931"/>
    <s v="Ats Off"/>
    <n v="1350"/>
    <s v="W10585027"/>
    <s v="Bombas"/>
    <x v="2"/>
    <n v="1"/>
    <n v="5004042"/>
    <s v="BRASIL WEB TRANSPORTES E LOGISTICA"/>
    <n v="168.82"/>
    <d v="2025-08-27T00:00:00"/>
  </r>
  <r>
    <n v="254064234"/>
    <n v="64839895"/>
    <s v="REB"/>
    <n v="9949748"/>
    <n v="178"/>
    <s v="PEÇAS -Defeito de fabric./Sem Compressão"/>
    <s v="FUNCIONAL"/>
    <x v="2"/>
    <n v="72332"/>
    <s v="ARGELO REFRIGERACAO LTDA"/>
    <s v="RJ"/>
    <n v="933"/>
    <s v="Top"/>
    <n v="1350"/>
    <s v="W11741183"/>
    <s v="Outros"/>
    <x v="5"/>
    <n v="1"/>
    <n v="5003176"/>
    <s v="J C THEDIN TRANSPORTES LTDA"/>
    <n v="311.3"/>
    <d v="2025-08-27T00:00:00"/>
  </r>
  <r>
    <n v="254064234"/>
    <n v="64839895"/>
    <s v="REB"/>
    <n v="9949748"/>
    <n v="178"/>
    <s v="PEÇAS -Defeito de fabric./Sem Compressão"/>
    <s v="FUNCIONAL"/>
    <x v="2"/>
    <n v="72332"/>
    <s v="ARGELO REFRIGERACAO LTDA"/>
    <s v="RJ"/>
    <n v="933"/>
    <s v="Top"/>
    <n v="1350"/>
    <s v="W11741178"/>
    <s v="Outros"/>
    <x v="5"/>
    <n v="1"/>
    <n v="5003176"/>
    <s v="J C THEDIN TRANSPORTES LTDA"/>
    <n v="311.3"/>
    <d v="2025-08-27T00:00:00"/>
  </r>
  <r>
    <n v="254064236"/>
    <n v="64839896"/>
    <s v="REB"/>
    <n v="10158600"/>
    <n v="90"/>
    <s v="CLIENTE-não solicitou"/>
    <s v="COMERCIAL"/>
    <x v="2"/>
    <n v="72786"/>
    <s v="FRIOLAR CONSERTOS DE"/>
    <s v="SC"/>
    <n v="643"/>
    <s v="Elite"/>
    <n v="1350"/>
    <s v="W11396368"/>
    <s v="Gavetas"/>
    <x v="1"/>
    <n v="1"/>
    <n v="5003024"/>
    <s v="RODOBRAS TRANSPORTES RODOVIARIOS LT"/>
    <n v="69.13"/>
    <d v="2025-08-27T00:00:00"/>
  </r>
  <r>
    <n v="254064180"/>
    <n v="64839897"/>
    <s v="REB"/>
    <n v="10186602"/>
    <n v="173"/>
    <s v="PEÇAS - Defeito de fabric./Alta Amperage"/>
    <s v="FUNCIONAL"/>
    <x v="2"/>
    <n v="32272"/>
    <s v="CODIFRIO FORNECEDORA  DE PECAS"/>
    <s v="PR"/>
    <n v="933"/>
    <s v="Top"/>
    <n v="1350"/>
    <n v="326060498"/>
    <s v="Motores Ventiladores"/>
    <x v="2"/>
    <n v="1"/>
    <n v="5003024"/>
    <s v="RODOBRAS TRANSPORTES RODOVIARIOS LT"/>
    <n v="97.69"/>
    <d v="2025-08-27T00:00:00"/>
  </r>
  <r>
    <n v="254064160"/>
    <n v="64839898"/>
    <s v="REB"/>
    <n v="10204977"/>
    <n v="173"/>
    <s v="PEÇAS - Defeito de fabric./Alta Amperage"/>
    <s v="FUNCIONAL"/>
    <x v="2"/>
    <n v="21594"/>
    <s v="GOLD SERVICE COMERCIO"/>
    <s v="SP"/>
    <n v="931"/>
    <s v="Ats Off"/>
    <n v="1350"/>
    <s v="W10665444"/>
    <s v="Bombas"/>
    <x v="2"/>
    <n v="1"/>
    <n v="5004042"/>
    <s v="BRASIL WEB TRANSPORTES E LOGISTICA"/>
    <n v="168.31"/>
    <d v="2025-08-27T00:00:00"/>
  </r>
  <r>
    <n v="254064235"/>
    <n v="64839899"/>
    <s v="REB"/>
    <n v="10158600"/>
    <n v="90"/>
    <s v="CLIENTE-não solicitou"/>
    <s v="COMERCIAL"/>
    <x v="2"/>
    <n v="72786"/>
    <s v="FRIOLAR CONSERTOS DE"/>
    <s v="SC"/>
    <n v="643"/>
    <s v="Elite"/>
    <n v="1350"/>
    <n v="326047714"/>
    <s v="Prateleiras"/>
    <x v="1"/>
    <n v="1"/>
    <n v="5003024"/>
    <s v="RODOBRAS TRANSPORTES RODOVIARIOS LT"/>
    <n v="40.090000000000003"/>
    <d v="2025-08-27T00:00:00"/>
  </r>
  <r>
    <n v="254064237"/>
    <n v="64839900"/>
    <s v="REB"/>
    <n v="10151656"/>
    <n v="90"/>
    <s v="CLIENTE-não solicitou"/>
    <s v="COMERCIAL"/>
    <x v="2"/>
    <n v="72786"/>
    <s v="FRIOLAR CONSERTOS DE"/>
    <s v="SC"/>
    <n v="643"/>
    <s v="Elite"/>
    <n v="1350"/>
    <s v="W11435396"/>
    <s v="Placas de Controle"/>
    <x v="2"/>
    <n v="10"/>
    <n v="5003024"/>
    <s v="RODOBRAS TRANSPORTES RODOVIARIOS LT"/>
    <n v="2576.4"/>
    <d v="2025-08-27T00:00:00"/>
  </r>
  <r>
    <n v="254064238"/>
    <n v="64839904"/>
    <s v="REB"/>
    <n v="10147264"/>
    <n v="90"/>
    <s v="CLIENTE-não solicitou"/>
    <s v="COMERCIAL"/>
    <x v="2"/>
    <n v="72786"/>
    <s v="FRIOLAR CONSERTOS DE"/>
    <s v="SC"/>
    <n v="643"/>
    <s v="Elite"/>
    <n v="1350"/>
    <n v="326066852"/>
    <s v="Prateleiras"/>
    <x v="1"/>
    <n v="2"/>
    <n v="5003024"/>
    <s v="RODOBRAS TRANSPORTES RODOVIARIOS LT"/>
    <n v="65.92"/>
    <d v="2025-08-27T00:00:00"/>
  </r>
  <r>
    <n v="254064215"/>
    <n v="64839909"/>
    <s v="REB"/>
    <n v="10159150"/>
    <n v="178"/>
    <s v="PEÇAS -Defeito de fabric./Sem Compressão"/>
    <s v="FUNCIONAL"/>
    <x v="2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249.41"/>
    <d v="2025-08-27T00:00:00"/>
  </r>
  <r>
    <n v="254064216"/>
    <n v="64839910"/>
    <s v="REB"/>
    <n v="10159150"/>
    <n v="178"/>
    <s v="PEÇAS -Defeito de fabric./Sem Compressão"/>
    <s v="FUNCIONAL"/>
    <x v="2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249.41"/>
    <d v="2025-08-27T00:00:00"/>
  </r>
  <r>
    <n v="254064216"/>
    <n v="64839911"/>
    <s v="REB"/>
    <n v="10162576"/>
    <n v="178"/>
    <s v="PEÇAS -Defeito de fabric./Sem Compressão"/>
    <s v="FUNCIONAL"/>
    <x v="2"/>
    <n v="55093"/>
    <s v="NAUTICA REFRIGERACAO E"/>
    <s v="SP"/>
    <n v="648"/>
    <s v="Ultra"/>
    <n v="1350"/>
    <s v="W11647662"/>
    <s v="Compressores Herméticos"/>
    <x v="0"/>
    <n v="1"/>
    <n v="5004042"/>
    <s v="BRASIL WEB TRANSPORTES E LOGISTICA"/>
    <n v="249.41"/>
    <d v="2025-08-27T00:00:00"/>
  </r>
  <r>
    <n v="254064136"/>
    <n v="64839912"/>
    <s v="REB"/>
    <n v="10198016"/>
    <n v="176"/>
    <s v="PEÇAS - Defeito de fabric./Interrompido"/>
    <s v="FUNCIONAL"/>
    <x v="2"/>
    <n v="3506"/>
    <s v="TECBRAS ASSISTENCIA TECNICA"/>
    <s v="SP"/>
    <n v="931"/>
    <s v="Ats Off"/>
    <n v="1350"/>
    <s v="W11753723"/>
    <s v="Outros"/>
    <x v="5"/>
    <n v="1"/>
    <n v="5004042"/>
    <s v="BRASIL WEB TRANSPORTES E LOGISTICA"/>
    <n v="167.34"/>
    <d v="2025-08-27T00:00:00"/>
  </r>
  <r>
    <n v="254064136"/>
    <n v="64839913"/>
    <s v="REB"/>
    <n v="10196088"/>
    <n v="176"/>
    <s v="PEÇAS - Defeito de fabric./Interrompido"/>
    <s v="FUNCIONAL"/>
    <x v="2"/>
    <n v="3506"/>
    <s v="TECBRAS ASSISTENCIA TECNICA"/>
    <s v="SP"/>
    <n v="931"/>
    <s v="Ats Off"/>
    <n v="1350"/>
    <s v="W10699240"/>
    <s v="Filtro Secadores"/>
    <x v="0"/>
    <n v="4"/>
    <n v="5004042"/>
    <s v="BRASIL WEB TRANSPORTES E LOGISTICA"/>
    <n v="32.68"/>
    <d v="2025-08-27T00:00:00"/>
  </r>
  <r>
    <n v="254064215"/>
    <n v="64839914"/>
    <s v="REB"/>
    <n v="10154238"/>
    <n v="178"/>
    <s v="PEÇAS -Defeito de fabric./Sem Compressão"/>
    <s v="FUNCIONAL"/>
    <x v="2"/>
    <n v="55093"/>
    <s v="NAUTICA REFRIGERACAO E"/>
    <s v="SP"/>
    <n v="648"/>
    <s v="Ultra"/>
    <n v="1350"/>
    <s v="W11677209"/>
    <s v="Compressores Herméticos"/>
    <x v="0"/>
    <n v="1"/>
    <n v="5004042"/>
    <s v="BRASIL WEB TRANSPORTES E LOGISTICA"/>
    <n v="244.3"/>
    <d v="2025-08-27T00:00:00"/>
  </r>
  <r>
    <n v="254064200"/>
    <n v="64839915"/>
    <s v="REB"/>
    <n v="9942024"/>
    <n v="178"/>
    <s v="PEÇAS -Defeito de fabric./Sem Compressão"/>
    <s v="FUNCIONAL"/>
    <x v="2"/>
    <n v="50822"/>
    <s v="CLAYTON DE OLIVEIRA"/>
    <s v="AL"/>
    <n v="644"/>
    <s v="Plus"/>
    <n v="1350"/>
    <s v="W11647662"/>
    <s v="Compressores Herméticos"/>
    <x v="0"/>
    <n v="1"/>
    <n v="5004101"/>
    <s v="UNIDOCK'S ASSESSORIA E LOGISTICA DE"/>
    <n v="280.8"/>
    <d v="2025-08-27T00:00:00"/>
  </r>
  <r>
    <n v="254064139"/>
    <n v="64839916"/>
    <s v="REB"/>
    <n v="9694630"/>
    <n v="176"/>
    <s v="PEÇAS - Defeito de fabric./Interrompido"/>
    <s v="FUNCIONAL"/>
    <x v="2"/>
    <n v="3506"/>
    <s v="TECBRAS ASSISTENCIA TECNICA"/>
    <s v="SP"/>
    <n v="931"/>
    <s v="Ats Off"/>
    <n v="1350"/>
    <s v="W11543430"/>
    <s v="Outros"/>
    <x v="5"/>
    <n v="1"/>
    <n v="5004042"/>
    <s v="BRASIL WEB TRANSPORTES E LOGISTICA"/>
    <n v="312.44"/>
    <d v="2025-08-27T00:00:00"/>
  </r>
  <r>
    <n v="254064153"/>
    <n v="64839917"/>
    <s v="REB"/>
    <n v="10175586"/>
    <n v="176"/>
    <s v="PEÇAS - Defeito de fabric./Interrompido"/>
    <s v="FUNCIONAL"/>
    <x v="2"/>
    <n v="3506"/>
    <s v="TECBRAS ASSISTENCIA TECNICA"/>
    <s v="SP"/>
    <n v="931"/>
    <s v="Ats Off"/>
    <n v="1350"/>
    <s v="W10531315"/>
    <s v="Sensores"/>
    <x v="8"/>
    <n v="1"/>
    <n v="5004042"/>
    <s v="BRASIL WEB TRANSPORTES E LOGISTICA"/>
    <n v="8.8000000000000007"/>
    <d v="2025-08-27T00:00:00"/>
  </r>
  <r>
    <n v="254064141"/>
    <n v="64839919"/>
    <s v="REB"/>
    <n v="10149829"/>
    <n v="176"/>
    <s v="PEÇAS - Defeito de fabric./Interrompido"/>
    <s v="FUNCIONAL"/>
    <x v="2"/>
    <n v="3506"/>
    <s v="TECBRAS ASSISTENCIA TECNICA"/>
    <s v="SP"/>
    <n v="931"/>
    <s v="Ats Off"/>
    <n v="1350"/>
    <s v="W11389753"/>
    <s v="Capas"/>
    <x v="3"/>
    <n v="1"/>
    <n v="5004042"/>
    <s v="BRASIL WEB TRANSPORTES E LOGISTICA"/>
    <n v="84.94"/>
    <d v="2025-08-27T00:00:00"/>
  </r>
  <r>
    <n v="254064140"/>
    <n v="64839920"/>
    <s v="REB"/>
    <n v="10123026"/>
    <n v="176"/>
    <s v="PEÇAS - Defeito de fabric./Interrompido"/>
    <s v="FUNCIONAL"/>
    <x v="2"/>
    <n v="3506"/>
    <s v="TECBRAS ASSISTENCIA TECNICA"/>
    <s v="SP"/>
    <n v="931"/>
    <s v="Ats Off"/>
    <n v="1350"/>
    <n v="326075381"/>
    <s v="Painéis Decorativos"/>
    <x v="3"/>
    <n v="1"/>
    <n v="5004042"/>
    <s v="BRASIL WEB TRANSPORTES E LOGISTICA"/>
    <n v="313.44"/>
    <d v="2025-08-27T00:00:00"/>
  </r>
  <r>
    <n v="254064139"/>
    <n v="64839924"/>
    <s v="REB"/>
    <n v="10123026"/>
    <n v="176"/>
    <s v="PEÇAS - Defeito de fabric./Interrompido"/>
    <s v="FUNCIONAL"/>
    <x v="2"/>
    <n v="3506"/>
    <s v="TECBRAS ASSISTENCIA TECNICA"/>
    <s v="SP"/>
    <n v="931"/>
    <s v="Ats Off"/>
    <n v="1350"/>
    <n v="326075390"/>
    <s v="Manípulos"/>
    <x v="3"/>
    <n v="1"/>
    <n v="5004042"/>
    <s v="BRASIL WEB TRANSPORTES E LOGISTICA"/>
    <n v="16.7"/>
    <d v="2025-08-27T00:00:00"/>
  </r>
  <r>
    <n v="254064141"/>
    <n v="64839925"/>
    <s v="REB"/>
    <n v="10154258"/>
    <n v="176"/>
    <s v="PEÇAS - Defeito de fabric./Interrompido"/>
    <s v="FUNCIONAL"/>
    <x v="2"/>
    <n v="3506"/>
    <s v="TECBRAS ASSISTENCIA TECNICA"/>
    <s v="SP"/>
    <n v="931"/>
    <s v="Ats Off"/>
    <n v="1350"/>
    <s v="W11555162"/>
    <s v="Espargidores"/>
    <x v="4"/>
    <n v="1"/>
    <n v="5004042"/>
    <s v="BRASIL WEB TRANSPORTES E LOGISTICA"/>
    <n v="21.48"/>
    <d v="2025-08-27T00:00:00"/>
  </r>
  <r>
    <n v="254064138"/>
    <n v="64839929"/>
    <s v="REB"/>
    <n v="10196088"/>
    <n v="176"/>
    <s v="PEÇAS - Defeito de fabric./Interrompido"/>
    <s v="FUNCIONAL"/>
    <x v="2"/>
    <n v="3506"/>
    <s v="TECBRAS ASSISTENCIA TECNICA"/>
    <s v="SP"/>
    <n v="931"/>
    <s v="Ats Off"/>
    <n v="1350"/>
    <s v="W10231322"/>
    <s v="Conexões Hidráulicas"/>
    <x v="7"/>
    <n v="1"/>
    <n v="5004042"/>
    <s v="BRASIL WEB TRANSPORTES E LOGISTICA"/>
    <n v="17.940000000000001"/>
    <d v="2025-08-27T00:00:00"/>
  </r>
  <r>
    <n v="254064139"/>
    <n v="64839931"/>
    <s v="REB"/>
    <n v="9935938"/>
    <n v="176"/>
    <s v="PEÇAS - Defeito de fabric./Interrompido"/>
    <s v="FUNCIONAL"/>
    <x v="2"/>
    <n v="3506"/>
    <s v="TECBRAS ASSISTENCIA TECNICA"/>
    <s v="SP"/>
    <n v="931"/>
    <s v="Ats Off"/>
    <n v="1350"/>
    <s v="W11045273"/>
    <s v="Capas"/>
    <x v="3"/>
    <n v="1"/>
    <n v="5004042"/>
    <s v="BRASIL WEB TRANSPORTES E LOGISTICA"/>
    <n v="216.88"/>
    <d v="2025-08-27T00:00:00"/>
  </r>
  <r>
    <n v="254064182"/>
    <n v="64839932"/>
    <s v="REB"/>
    <n v="9958725"/>
    <n v="178"/>
    <s v="PEÇAS -Defeito de fabric./Sem Compressão"/>
    <s v="FUNCIONAL"/>
    <x v="2"/>
    <n v="37434"/>
    <s v="ELETRO MARTINS LTDA"/>
    <s v="GO"/>
    <n v="931"/>
    <s v="Ats Off"/>
    <n v="1350"/>
    <s v="W11647662"/>
    <s v="Compressores Herméticos"/>
    <x v="0"/>
    <n v="2"/>
    <n v="5002858"/>
    <s v="FAVORITA TRANSPORTES LTDA"/>
    <n v="616.17999999999995"/>
    <d v="2025-08-27T00:00:00"/>
  </r>
  <r>
    <n v="254064193"/>
    <n v="64839933"/>
    <s v="REB"/>
    <n v="9958725"/>
    <n v="178"/>
    <s v="PEÇAS -Defeito de fabric./Sem Compressão"/>
    <s v="FUNCIONAL"/>
    <x v="2"/>
    <n v="37434"/>
    <s v="ELETRO MARTINS LTDA"/>
    <s v="GO"/>
    <n v="931"/>
    <s v="Ats Off"/>
    <n v="1350"/>
    <s v="W11647662"/>
    <s v="Compressores Herméticos"/>
    <x v="0"/>
    <n v="1"/>
    <n v="5002858"/>
    <s v="FAVORITA TRANSPORTES LTDA"/>
    <n v="308.07"/>
    <d v="2025-08-27T00:00:00"/>
  </r>
  <r>
    <n v="254064239"/>
    <n v="64839935"/>
    <s v="REB"/>
    <n v="10058684"/>
    <n v="173"/>
    <s v="PEÇAS - Defeito de fabric./Alta Amperage"/>
    <s v="FUNCIONAL"/>
    <x v="2"/>
    <n v="76848"/>
    <s v="MUNDIAL REFRIGERACAO LTDA"/>
    <s v="GO"/>
    <n v="643"/>
    <s v="Elite"/>
    <n v="1350"/>
    <s v="W10882241"/>
    <s v="Agitadores"/>
    <x v="4"/>
    <n v="36"/>
    <n v="5002858"/>
    <s v="FAVORITA TRANSPORTES LTDA"/>
    <n v="1157.75"/>
    <d v="2025-08-27T00:00:00"/>
  </r>
  <r>
    <n v="254064182"/>
    <n v="64839936"/>
    <s v="REB"/>
    <n v="10108654"/>
    <n v="178"/>
    <s v="PEÇAS -Defeito de fabric./Sem Compressão"/>
    <s v="FUNCIONAL"/>
    <x v="2"/>
    <n v="37434"/>
    <s v="ELETRO MARTINS LTDA"/>
    <s v="GO"/>
    <n v="931"/>
    <s v="Ats Off"/>
    <n v="1350"/>
    <s v="W10393823"/>
    <s v="Compressores Herméticos"/>
    <x v="0"/>
    <n v="1"/>
    <n v="5002858"/>
    <s v="FAVORITA TRANSPORTES LTDA"/>
    <n v="523.70000000000005"/>
    <d v="2025-08-27T00:00:00"/>
  </r>
  <r>
    <s v="Sem TR"/>
    <n v="64839939"/>
    <s v="REB"/>
    <n v="10139401"/>
    <n v="173"/>
    <s v="PEÇAS - Defeito de fabric./Alta Amperage"/>
    <s v="FUNCIONAL"/>
    <x v="1"/>
    <n v="73003"/>
    <s v="DISFRIO DISTRIBUIDORA DE AR"/>
    <s v="SC"/>
    <n v="931"/>
    <s v="Ats Off"/>
    <n v="1350"/>
    <s v="W11299803"/>
    <s v="Mecanismos"/>
    <x v="4"/>
    <n v="1"/>
    <n v="5003024"/>
    <s v="RODOBRAS TRANSPORTES RODOVIARIOS LT"/>
    <n v="101.24"/>
    <d v="2025-08-27T00:00:00"/>
  </r>
  <r>
    <s v="Sem TR"/>
    <n v="64839940"/>
    <s v="REB"/>
    <n v="10196391"/>
    <n v="176"/>
    <s v="PEÇAS - Defeito de fabric./Interrompido"/>
    <s v="FUNCIONAL"/>
    <x v="1"/>
    <n v="13757"/>
    <s v="FRIGELAR COMÉRCIO E INDÚSTRIA LTDA"/>
    <s v="SP"/>
    <n v="713"/>
    <s v="Key Account"/>
    <n v="1350"/>
    <s v="W11300675"/>
    <s v="Mecanismos"/>
    <x v="4"/>
    <n v="3"/>
    <n v="5004042"/>
    <s v="BRASIL WEB TRANSPORTES E LOGISTICA"/>
    <n v="359.22"/>
    <d v="2025-08-27T00:00:00"/>
  </r>
  <r>
    <n v="254064241"/>
    <n v="64839941"/>
    <s v="REB"/>
    <n v="10095250"/>
    <n v="173"/>
    <s v="PEÇAS - Defeito de fabric./Alta Amperage"/>
    <s v="FUNCIONAL"/>
    <x v="2"/>
    <n v="81365"/>
    <s v="MORAIS COMERCIO DE REFRIGERACAO"/>
    <s v="SP"/>
    <n v="934"/>
    <s v="CDP Ouro"/>
    <n v="1350"/>
    <s v="W10441742"/>
    <s v="Compressores Herméticos"/>
    <x v="0"/>
    <n v="1"/>
    <n v="5004042"/>
    <s v="BRASIL WEB TRANSPORTES E LOGISTICA"/>
    <n v="566.85"/>
    <d v="2025-08-27T00:00:00"/>
  </r>
  <r>
    <n v="254064177"/>
    <n v="64839942"/>
    <s v="REB"/>
    <n v="10143777"/>
    <n v="168"/>
    <s v="PEÇAS-Def.Fabric.Empenamento/Abaulamento"/>
    <s v="FUNCIONAL"/>
    <x v="2"/>
    <n v="31063"/>
    <s v="ELETROFRIGOR PECAS LTDA ME"/>
    <s v="RJ"/>
    <n v="644"/>
    <s v="Plus"/>
    <n v="1350"/>
    <n v="326031817"/>
    <s v="Mangueiras"/>
    <x v="6"/>
    <n v="1"/>
    <n v="5003176"/>
    <s v="J C THEDIN TRANSPORTES LTDA"/>
    <n v="17.829999999999998"/>
    <d v="2025-08-27T00:00:00"/>
  </r>
  <r>
    <s v="Sem TR"/>
    <n v="64839943"/>
    <s v="REB"/>
    <n v="9294698"/>
    <n v="178"/>
    <s v="PEÇAS -Defeito de fabric./Sem Compressão"/>
    <s v="FUNCIONAL"/>
    <x v="1"/>
    <n v="47026"/>
    <s v="JR PECAS LTDA JR PECAS LTDA"/>
    <s v="BA"/>
    <n v="643"/>
    <s v="Elite"/>
    <n v="1350"/>
    <s v="W11647660"/>
    <s v="Compressores Herméticos"/>
    <x v="0"/>
    <n v="3"/>
    <n v="5004101"/>
    <s v="UNIDOCK'S ASSESSORIA E LOGISTICA DE"/>
    <n v="840.75"/>
    <d v="2025-08-27T00:00:00"/>
  </r>
  <r>
    <s v="Sem TR"/>
    <n v="64839954"/>
    <s v="REB"/>
    <n v="10153645"/>
    <n v="178"/>
    <s v="PEÇAS -Defeito de fabric./Sem Compressão"/>
    <s v="FUNCIONAL"/>
    <x v="1"/>
    <n v="47026"/>
    <s v="JR PECAS LTDA JR PECAS LTDA"/>
    <s v="BA"/>
    <n v="643"/>
    <s v="Elite"/>
    <n v="1350"/>
    <s v="W11677208"/>
    <s v="Compressores Herméticos"/>
    <x v="0"/>
    <n v="3"/>
    <n v="5004101"/>
    <s v="UNIDOCK'S ASSESSORIA E LOGISTICA DE"/>
    <n v="689.75"/>
    <d v="2025-08-27T00:00:00"/>
  </r>
  <r>
    <s v="Sem TR"/>
    <n v="64839955"/>
    <s v="REB"/>
    <n v="10163837"/>
    <n v="178"/>
    <s v="PEÇAS -Defeito de fabric./Sem Compressão"/>
    <s v="FUNCIONAL"/>
    <x v="1"/>
    <n v="47026"/>
    <s v="JR PECAS LTDA JR PECAS LTDA"/>
    <s v="BA"/>
    <n v="643"/>
    <s v="Elite"/>
    <n v="1350"/>
    <s v="W11647662"/>
    <s v="Compressores Herméticos"/>
    <x v="0"/>
    <n v="1"/>
    <n v="5004101"/>
    <s v="UNIDOCK'S ASSESSORIA E LOGISTICA DE"/>
    <n v="230.59"/>
    <d v="2025-08-27T00:00:00"/>
  </r>
  <r>
    <s v="Sem TR"/>
    <n v="64839956"/>
    <s v="REB"/>
    <n v="9985178"/>
    <n v="173"/>
    <s v="PEÇAS - Defeito de fabric./Alta Amperage"/>
    <s v="FUNCIONAL"/>
    <x v="1"/>
    <n v="81846"/>
    <s v="ITAPETININGA UNOFRIO COMERCIO"/>
    <s v="SP"/>
    <n v="933"/>
    <s v="Top"/>
    <n v="1350"/>
    <s v="W10591460"/>
    <s v="Placas de Controle"/>
    <x v="2"/>
    <n v="1"/>
    <n v="5004042"/>
    <s v="BRASIL WEB TRANSPORTES E LOGISTICA"/>
    <n v="345.65"/>
    <d v="2025-08-27T00:00:00"/>
  </r>
  <r>
    <n v="254064134"/>
    <n v="64839957"/>
    <s v="REB"/>
    <n v="10208514"/>
    <n v="176"/>
    <s v="PEÇAS - Defeito de fabric./Interrompido"/>
    <s v="FUNCIONAL"/>
    <x v="2"/>
    <n v="3506"/>
    <s v="TECBRAS ASSISTENCIA TECNICA"/>
    <s v="SP"/>
    <n v="931"/>
    <s v="Ats Off"/>
    <n v="1350"/>
    <s v="W10531315"/>
    <s v="Sensores"/>
    <x v="8"/>
    <n v="3"/>
    <n v="5004042"/>
    <s v="BRASIL WEB TRANSPORTES E LOGISTICA"/>
    <n v="26.39"/>
    <d v="2025-08-27T00:00:00"/>
  </r>
  <r>
    <n v="254064222"/>
    <n v="64839958"/>
    <s v="REB"/>
    <n v="10189074"/>
    <n v="173"/>
    <s v="PEÇAS - Defeito de fabric./Alta Amperage"/>
    <s v="FUNCIONAL"/>
    <x v="2"/>
    <n v="69166"/>
    <s v="PC COMERCIO E REPARACAO DE APARELHO"/>
    <s v="RJ"/>
    <n v="931"/>
    <s v="Ats Off"/>
    <n v="1350"/>
    <s v="W11320178"/>
    <s v="Resistências"/>
    <x v="2"/>
    <n v="1"/>
    <n v="5003176"/>
    <s v="J C THEDIN TRANSPORTES LTDA"/>
    <n v="270.7"/>
    <d v="2025-08-27T00:00:00"/>
  </r>
  <r>
    <n v="254064220"/>
    <n v="64839974"/>
    <s v="REB"/>
    <n v="10164300"/>
    <n v="178"/>
    <s v="PEÇAS -Defeito de fabric./Sem Compressão"/>
    <s v="FUNCIONAL"/>
    <x v="2"/>
    <n v="67933"/>
    <s v="N. CALDEIRA LEMES EIRELI"/>
    <s v="GO"/>
    <n v="648"/>
    <s v="Ultra"/>
    <n v="1350"/>
    <s v="W11647662"/>
    <s v="Compressores Herméticos"/>
    <x v="0"/>
    <n v="1"/>
    <n v="5002858"/>
    <s v="FAVORITA TRANSPORTES LTDA"/>
    <n v="229.17"/>
    <d v="2025-08-27T00:00:00"/>
  </r>
  <r>
    <s v="Sem TR"/>
    <n v="64839975"/>
    <s v="REB"/>
    <n v="10167554"/>
    <n v="168"/>
    <s v="PEÇAS-Def.Fabric.Empenamento/Abaulamento"/>
    <s v="FUNCIONAL"/>
    <x v="1"/>
    <n v="13757"/>
    <s v="FRIGELAR COMÉRCIO E INDÚSTRIA LTDA"/>
    <s v="SP"/>
    <n v="713"/>
    <s v="Key Account"/>
    <n v="1350"/>
    <s v="W10882241"/>
    <s v="Agitadores"/>
    <x v="4"/>
    <n v="45"/>
    <n v="5004042"/>
    <s v="BRASIL WEB TRANSPORTES E LOGISTICA"/>
    <n v="1647.54"/>
    <d v="2025-08-27T00:00:00"/>
  </r>
  <r>
    <n v="254064136"/>
    <n v="64839976"/>
    <s v="REB"/>
    <n v="10206586"/>
    <n v="176"/>
    <s v="PEÇAS - Defeito de fabric./Interrompido"/>
    <s v="FUNCIONAL"/>
    <x v="2"/>
    <n v="3506"/>
    <s v="TECBRAS ASSISTENCIA TECNICA"/>
    <s v="SP"/>
    <n v="931"/>
    <s v="Ats Off"/>
    <n v="1350"/>
    <s v="W11435390"/>
    <s v="Placas de Controle"/>
    <x v="2"/>
    <n v="1"/>
    <n v="5004042"/>
    <s v="BRASIL WEB TRANSPORTES E LOGISTICA"/>
    <n v="308.91000000000003"/>
    <d v="2025-08-27T00:00:00"/>
  </r>
  <r>
    <n v="254064142"/>
    <n v="64839977"/>
    <s v="REB"/>
    <n v="10175586"/>
    <n v="176"/>
    <s v="PEÇAS - Defeito de fabric./Interrompido"/>
    <s v="FUNCIONAL"/>
    <x v="2"/>
    <n v="3506"/>
    <s v="TECBRAS ASSISTENCIA TECNICA"/>
    <s v="SP"/>
    <n v="931"/>
    <s v="Ats Off"/>
    <n v="1350"/>
    <s v="W10699240"/>
    <s v="Filtro Secadores"/>
    <x v="0"/>
    <n v="3"/>
    <n v="5004042"/>
    <s v="BRASIL WEB TRANSPORTES E LOGISTICA"/>
    <n v="24.54"/>
    <d v="2025-08-27T00:00:00"/>
  </r>
  <r>
    <n v="254064136"/>
    <n v="64839978"/>
    <s v="REB"/>
    <n v="10198017"/>
    <n v="176"/>
    <s v="PEÇAS - Defeito de fabric./Interrompido"/>
    <s v="FUNCIONAL"/>
    <x v="2"/>
    <n v="3506"/>
    <s v="TECBRAS ASSISTENCIA TECNICA"/>
    <s v="SP"/>
    <n v="931"/>
    <s v="Ats Off"/>
    <n v="1350"/>
    <s v="W10815434"/>
    <s v="Placas de Interface"/>
    <x v="2"/>
    <n v="1"/>
    <n v="5004042"/>
    <s v="BRASIL WEB TRANSPORTES E LOGISTICA"/>
    <n v="714.33"/>
    <d v="2025-08-27T00:00:00"/>
  </r>
  <r>
    <n v="254064135"/>
    <n v="64839984"/>
    <s v="REB"/>
    <n v="10206587"/>
    <n v="168"/>
    <s v="PEÇAS-Def.Fabric.Empenamento/Abaulamento"/>
    <s v="FUNCIONAL"/>
    <x v="2"/>
    <n v="3506"/>
    <s v="TECBRAS ASSISTENCIA TECNICA"/>
    <s v="SP"/>
    <n v="931"/>
    <s v="Ats Off"/>
    <n v="1350"/>
    <s v="W11132264"/>
    <s v="Trempes"/>
    <x v="3"/>
    <n v="3"/>
    <n v="5004042"/>
    <s v="BRASIL WEB TRANSPORTES E LOGISTICA"/>
    <n v="131.54"/>
    <d v="2025-08-27T00:00:00"/>
  </r>
  <r>
    <n v="254064139"/>
    <n v="64839985"/>
    <s v="REB"/>
    <n v="10187962"/>
    <n v="176"/>
    <s v="PEÇAS - Defeito de fabric./Interrompido"/>
    <s v="FUNCIONAL"/>
    <x v="2"/>
    <n v="3506"/>
    <s v="TECBRAS ASSISTENCIA TECNICA"/>
    <s v="SP"/>
    <n v="931"/>
    <s v="Ats Off"/>
    <n v="1350"/>
    <s v="W10231316"/>
    <s v="Válvulas de Água"/>
    <x v="6"/>
    <n v="1"/>
    <n v="5004042"/>
    <s v="BRASIL WEB TRANSPORTES E LOGISTICA"/>
    <n v="36.92"/>
    <d v="2025-08-27T00:00:00"/>
  </r>
  <r>
    <n v="254064135"/>
    <n v="64839989"/>
    <s v="REB"/>
    <n v="10206586"/>
    <n v="176"/>
    <s v="PEÇAS - Defeito de fabric./Interrompido"/>
    <s v="FUNCIONAL"/>
    <x v="2"/>
    <n v="3506"/>
    <s v="TECBRAS ASSISTENCIA TECNICA"/>
    <s v="SP"/>
    <n v="931"/>
    <s v="Ats Off"/>
    <n v="1350"/>
    <n v="326059370"/>
    <s v="Placas de Controle"/>
    <x v="2"/>
    <n v="1"/>
    <n v="5004042"/>
    <s v="BRASIL WEB TRANSPORTES E LOGISTICA"/>
    <n v="298.91000000000003"/>
    <d v="2025-08-27T00:00:00"/>
  </r>
  <r>
    <n v="254064213"/>
    <n v="64839994"/>
    <s v="REB"/>
    <n v="9987138"/>
    <n v="178"/>
    <s v="PEÇAS -Defeito de fabric./Sem Compressão"/>
    <s v="FUNCIONAL"/>
    <x v="2"/>
    <n v="54055"/>
    <s v="R. GOMES NETA CANTANHEDE - ME"/>
    <s v="MA"/>
    <n v="933"/>
    <s v="Top"/>
    <n v="1350"/>
    <s v="W10393823"/>
    <s v="Compressores Herméticos"/>
    <x v="0"/>
    <n v="1"/>
    <n v="5004101"/>
    <s v="UNIDOCK'S ASSESSORIA E LOGISTICA DE"/>
    <n v="573.14"/>
    <d v="2025-08-27T00:00:00"/>
  </r>
  <r>
    <n v="254064253"/>
    <n v="64839995"/>
    <s v="REB"/>
    <n v="10208687"/>
    <n v="176"/>
    <s v="PEÇAS - Defeito de fabric./Interrompido"/>
    <s v="FUNCIONAL"/>
    <x v="2"/>
    <n v="83572"/>
    <s v="GRAN ELETRO GOURMET LTDA"/>
    <s v="SP"/>
    <n v="931"/>
    <s v="Ats Off"/>
    <n v="1350"/>
    <s v="W11174304"/>
    <s v="Bombas"/>
    <x v="2"/>
    <n v="1"/>
    <n v="5004042"/>
    <s v="BRASIL WEB TRANSPORTES E LOGISTICA"/>
    <n v="401.16"/>
    <d v="2025-08-27T00:00:00"/>
  </r>
  <r>
    <s v="Sem TR"/>
    <n v="64839996"/>
    <s v="REB"/>
    <n v="10064133"/>
    <n v="176"/>
    <s v="PEÇAS - Defeito de fabric./Interrompido"/>
    <s v="FUNCIONAL"/>
    <x v="1"/>
    <n v="3389"/>
    <s v="LARTEC COML PECAS E ACESS LTDA"/>
    <s v="SP"/>
    <n v="350"/>
    <s v="Ats On"/>
    <n v="1350"/>
    <s v="W10591605"/>
    <s v="Placas de Controle"/>
    <x v="2"/>
    <n v="1"/>
    <n v="5004042"/>
    <s v="BRASIL WEB TRANSPORTES E LOGISTICA"/>
    <n v="324.10000000000002"/>
    <d v="2025-08-27T00:00:00"/>
  </r>
  <r>
    <n v="254064219"/>
    <n v="64840004"/>
    <s v="REB"/>
    <n v="10120923"/>
    <n v="173"/>
    <s v="PEÇAS - Defeito de fabric./Alta Amperage"/>
    <s v="FUNCIONAL"/>
    <x v="2"/>
    <n v="61874"/>
    <s v="REFRIGERACAO NOVO MUNDO LTDA"/>
    <s v="GO"/>
    <n v="644"/>
    <s v="Plus"/>
    <n v="1350"/>
    <s v="W11557350"/>
    <s v="Resistências"/>
    <x v="2"/>
    <n v="1"/>
    <n v="5002858"/>
    <s v="FAVORITA TRANSPORTES LTDA"/>
    <n v="101.07"/>
    <d v="2025-08-27T00:00:00"/>
  </r>
  <r>
    <s v="Sem TR"/>
    <n v="64840086"/>
    <s v="ZRDI"/>
    <n v="10182521"/>
    <s v="D31"/>
    <s v="DEV D2C - Defeito estético manufatura"/>
    <s v="MANUFATURA"/>
    <x v="0"/>
    <n v="4628148"/>
    <s v="KARLA CARNEIRO ROMERO"/>
    <s v="CE"/>
    <n v="474"/>
    <s v="Site Brastemp"/>
    <n v="1352"/>
    <s v="W10347201"/>
    <s v="Prateleiras"/>
    <x v="1"/>
    <n v="1"/>
    <n v="5002359"/>
    <s v="EMPRESA BRASILEIRA DE CORREIOS E"/>
    <n v="121.07"/>
    <d v="2025-08-29T00:00:00"/>
  </r>
  <r>
    <s v="Sem TR"/>
    <n v="64840282"/>
    <s v="ZRDI"/>
    <n v="10194772"/>
    <s v="D18"/>
    <s v="DEV D2C - Arrependimento não quero mais"/>
    <s v="COMERCIAL"/>
    <x v="0"/>
    <n v="58226938"/>
    <s v="YASMIN BELO"/>
    <s v="SP"/>
    <n v="475"/>
    <s v="Site Consul"/>
    <n v="1352"/>
    <s v="W10231323"/>
    <s v="Mangueiras"/>
    <x v="6"/>
    <n v="1"/>
    <n v="5002359"/>
    <s v="EMPRESA BRASILEIRA DE CORREIOS E"/>
    <n v="31.11"/>
    <d v="2025-08-29T00:00:00"/>
  </r>
  <r>
    <s v="Sem TR"/>
    <n v="64840282"/>
    <s v="ZRDI"/>
    <n v="10194772"/>
    <s v="D18"/>
    <s v="DEV D2C - Arrependimento não quero mais"/>
    <s v="COMERCIAL"/>
    <x v="0"/>
    <n v="58226938"/>
    <s v="YASMIN BELO"/>
    <s v="SP"/>
    <n v="475"/>
    <s v="Site Consul"/>
    <n v="1352"/>
    <s v="W11199342"/>
    <s v="Filtros"/>
    <x v="6"/>
    <n v="1"/>
    <n v="5002359"/>
    <s v="EMPRESA BRASILEIRA DE CORREIOS E"/>
    <n v="89.81"/>
    <d v="2025-08-29T00:00:00"/>
  </r>
  <r>
    <n v="254066486"/>
    <n v="64840366"/>
    <s v="REB"/>
    <n v="10068673"/>
    <n v="176"/>
    <s v="PEÇAS - Defeito de fabric./Interrompido"/>
    <s v="FUNCIONAL"/>
    <x v="2"/>
    <n v="4531"/>
    <s v="COMERCIO DE REFRIGERACAO"/>
    <s v="SC"/>
    <n v="932"/>
    <s v="CDP Prata"/>
    <n v="1350"/>
    <s v="W10301562"/>
    <s v="Filtros"/>
    <x v="6"/>
    <n v="1"/>
    <n v="5003024"/>
    <s v="RODOBRAS TRANSPORTES RODOVIARIOS LT"/>
    <n v="69.25"/>
    <d v="2025-08-29T00:00:00"/>
  </r>
  <r>
    <n v="254066525"/>
    <n v="64840367"/>
    <s v="REB"/>
    <n v="8853184"/>
    <n v="178"/>
    <s v="PEÇAS -Defeito de fabric./Sem Compressão"/>
    <s v="FUNCIONAL"/>
    <x v="2"/>
    <n v="61868"/>
    <s v="D L REFRIGERACOES PECAS E"/>
    <s v="MA"/>
    <n v="643"/>
    <s v="Elite"/>
    <n v="1350"/>
    <s v="W10441742"/>
    <s v="Compressores Herméticos"/>
    <x v="0"/>
    <n v="1"/>
    <n v="5004101"/>
    <s v="UNIDOCK'S ASSESSORIA E LOGISTICA DE"/>
    <n v="396.95"/>
    <d v="2025-08-29T00:00:00"/>
  </r>
  <r>
    <n v="254066522"/>
    <n v="64840368"/>
    <s v="REB"/>
    <n v="9779878"/>
    <n v="178"/>
    <s v="PEÇAS -Defeito de fabric./Sem Compressão"/>
    <s v="FUNCIONAL"/>
    <x v="2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8-29T00:00:00"/>
  </r>
  <r>
    <s v="Sem TR"/>
    <n v="64840456"/>
    <s v="ZRDI"/>
    <n v="10213278"/>
    <s v="D31"/>
    <s v="DEV D2C - Defeito estético manufatura"/>
    <s v="MANUFATURA"/>
    <x v="0"/>
    <n v="51918094"/>
    <s v="LETUZA HIBBELN"/>
    <s v="SP"/>
    <n v="474"/>
    <s v="Site Brastemp"/>
    <n v="1352"/>
    <s v="W10577330"/>
    <s v="Tampas Móveis"/>
    <x v="3"/>
    <n v="1"/>
    <n v="5002359"/>
    <s v="EMPRESA BRASILEIRA DE CORREIOS E"/>
    <n v="121.05"/>
    <d v="2025-08-29T00:00:00"/>
  </r>
  <r>
    <s v="Sem TR"/>
    <n v="64840478"/>
    <s v="ZRDI"/>
    <n v="10205722"/>
    <s v="D10"/>
    <s v="DEV D2C - Comprou modelo errado"/>
    <s v="COMERCIAL"/>
    <x v="2"/>
    <n v="5544439"/>
    <s v="NILSON SANTOS DA CRUZ"/>
    <s v="BA"/>
    <n v="474"/>
    <s v="Site Brastemp"/>
    <n v="1352"/>
    <n v="326031817"/>
    <s v="Mangueiras"/>
    <x v="6"/>
    <n v="1"/>
    <n v="5002359"/>
    <s v="EMPRESA BRASILEIRA DE CORREIOS E"/>
    <n v="44.83"/>
    <d v="2025-08-29T00:00:00"/>
  </r>
  <r>
    <s v="Sem TR"/>
    <n v="64840485"/>
    <s v="ZRDI"/>
    <n v="10204138"/>
    <s v="D10"/>
    <s v="DEV D2C - Comprou modelo errado"/>
    <s v="COMERCIAL"/>
    <x v="0"/>
    <n v="52039613"/>
    <s v="BREYNER CAMARGO"/>
    <s v="DF"/>
    <n v="474"/>
    <s v="Site Brastemp"/>
    <n v="1352"/>
    <s v="W11555162"/>
    <s v="Espargidores"/>
    <x v="4"/>
    <n v="1"/>
    <n v="5002359"/>
    <s v="EMPRESA BRASILEIRA DE CORREIOS E"/>
    <n v="40.159999999999997"/>
    <d v="2025-08-29T00:00:00"/>
  </r>
  <r>
    <s v="Sem TR"/>
    <n v="64840485"/>
    <s v="ZRDI"/>
    <n v="10204138"/>
    <s v="D10"/>
    <s v="DEV D2C - Comprou modelo errado"/>
    <s v="COMERCIAL"/>
    <x v="0"/>
    <n v="52039613"/>
    <s v="BREYNER CAMARGO"/>
    <s v="DF"/>
    <n v="474"/>
    <s v="Site Brastemp"/>
    <n v="1352"/>
    <s v="W11310109"/>
    <s v="Espargidores"/>
    <x v="4"/>
    <n v="1"/>
    <n v="5002359"/>
    <s v="EMPRESA BRASILEIRA DE CORREIOS E"/>
    <n v="59.93"/>
    <d v="2025-08-29T00:00:00"/>
  </r>
  <r>
    <s v="Sem TR"/>
    <n v="64840585"/>
    <s v="ZRDI"/>
    <n v="10205144"/>
    <s v="D18"/>
    <s v="DEV D2C - Arrependimento não quero mais"/>
    <s v="COMERCIAL"/>
    <x v="2"/>
    <n v="53213626"/>
    <s v="SERGIO ANTONIO MARTINS"/>
    <s v="SP"/>
    <n v="466"/>
    <s v="Sup ML Marketplace"/>
    <n v="1352"/>
    <s v="W10581058"/>
    <s v="Gavetas"/>
    <x v="1"/>
    <n v="1"/>
    <n v="5002359"/>
    <s v="EMPRESA BRASILEIRA DE CORREIOS E"/>
    <n v="114.37"/>
    <d v="2025-08-29T00:00:00"/>
  </r>
  <r>
    <s v="Sem TR"/>
    <n v="64840585"/>
    <s v="ZRDI"/>
    <n v="10205144"/>
    <s v="D18"/>
    <s v="DEV D2C - Arrependimento não quero mais"/>
    <s v="COMERCIAL"/>
    <x v="2"/>
    <n v="53213626"/>
    <s v="SERGIO ANTONIO MARTINS"/>
    <s v="SP"/>
    <n v="466"/>
    <s v="Sup ML Marketplace"/>
    <n v="1352"/>
    <s v="W10200101"/>
    <s v="Prateleiras"/>
    <x v="1"/>
    <n v="1"/>
    <n v="5002359"/>
    <s v="EMPRESA BRASILEIRA DE CORREIOS E"/>
    <n v="114.37"/>
    <d v="2025-08-29T00:00:00"/>
  </r>
  <r>
    <s v="Sem TR"/>
    <n v="64840631"/>
    <s v="ZRDI"/>
    <n v="10149032"/>
    <s v="D35"/>
    <s v="DEV D2C - Prod difere do comprado"/>
    <s v="COMERCIAL"/>
    <x v="2"/>
    <n v="55287313"/>
    <s v="JOÃO PAULO DAL BELLO DE SOUSA"/>
    <s v="SC"/>
    <n v="474"/>
    <s v="Site Brastemp"/>
    <n v="1352"/>
    <s v="W10347202"/>
    <s v="Gavetas"/>
    <x v="1"/>
    <n v="1"/>
    <n v="5002359"/>
    <s v="EMPRESA BRASILEIRA DE CORREIOS E"/>
    <n v="48.97"/>
    <d v="2025-08-29T00:00:00"/>
  </r>
  <r>
    <n v="254066488"/>
    <n v="64840766"/>
    <s v="REB"/>
    <n v="10167515"/>
    <n v="176"/>
    <s v="PEÇAS - Defeito de fabric./Interrompido"/>
    <s v="FUNCIONAL"/>
    <x v="2"/>
    <n v="13757"/>
    <s v="FRIGELAR COMÉRCIO E INDÚSTRIA LTDA"/>
    <s v="SP"/>
    <n v="713"/>
    <s v="Key Account"/>
    <n v="1350"/>
    <s v="W11435392"/>
    <s v="Placas de Controle"/>
    <x v="2"/>
    <n v="1"/>
    <n v="5004042"/>
    <s v="BRASIL WEB TRANSPORTES E LOGISTICA"/>
    <n v="318.81"/>
    <d v="2025-08-29T00:00:00"/>
  </r>
  <r>
    <n v="254066451"/>
    <n v="64840767"/>
    <s v="REB"/>
    <n v="10140031"/>
    <n v="176"/>
    <s v="PEÇAS - Defeito de fabric./Interrompido"/>
    <s v="FUNCIONAL"/>
    <x v="2"/>
    <n v="66"/>
    <s v="CENTROMAQ PECAS E SERVICOS LTDA"/>
    <s v="GO"/>
    <n v="931"/>
    <s v="Ats Off"/>
    <n v="1350"/>
    <s v="W11573528"/>
    <s v="Placas de Controle"/>
    <x v="2"/>
    <n v="1"/>
    <n v="5002858"/>
    <s v="FAVORITA TRANSPORTES LTDA"/>
    <n v="293.66000000000003"/>
    <d v="2025-08-29T00:00:00"/>
  </r>
  <r>
    <s v="Sem TR"/>
    <n v="64840775"/>
    <s v="ZRDI"/>
    <n v="10209751"/>
    <s v="D10"/>
    <s v="DEV D2C - Comprou modelo errado"/>
    <s v="COMERCIAL"/>
    <x v="0"/>
    <n v="58244112"/>
    <s v="FERNANDO FERREIRA. VAZ"/>
    <s v="ES"/>
    <n v="474"/>
    <s v="Site Brastemp"/>
    <n v="1352"/>
    <s v="W10710769"/>
    <s v="Termostatos"/>
    <x v="8"/>
    <n v="1"/>
    <n v="5002359"/>
    <s v="EMPRESA BRASILEIRA DE CORREIOS E"/>
    <n v="168.8"/>
    <d v="2025-08-29T00:00:00"/>
  </r>
  <r>
    <s v="Sem TR"/>
    <n v="64840839"/>
    <s v="ZRDI"/>
    <n v="10193136"/>
    <s v="D18"/>
    <s v="DEV D2C - Arrependimento não quero mais"/>
    <s v="COMERCIAL"/>
    <x v="0"/>
    <n v="58225092"/>
    <s v="RODRIGO SIMÕES"/>
    <s v="SC"/>
    <n v="475"/>
    <s v="Site Consul"/>
    <n v="1352"/>
    <s v="W11199342"/>
    <s v="Filtros"/>
    <x v="6"/>
    <n v="1"/>
    <n v="5002359"/>
    <s v="EMPRESA BRASILEIRA DE CORREIOS E"/>
    <n v="92.84"/>
    <d v="2025-08-29T00:00:00"/>
  </r>
  <r>
    <s v="Sem TR"/>
    <n v="64840938"/>
    <s v="ZRDI"/>
    <n v="10180339"/>
    <s v="D30"/>
    <s v="DEV D2C - Defeito funcional manufatura"/>
    <s v="MANUFATURA"/>
    <x v="0"/>
    <n v="53819593"/>
    <s v="RODRIGO VIEIRA"/>
    <s v="CE"/>
    <n v="475"/>
    <s v="Site Consul"/>
    <n v="1352"/>
    <s v="W10866789"/>
    <s v="Kits Instalação"/>
    <x v="5"/>
    <n v="1"/>
    <n v="5002359"/>
    <s v="EMPRESA BRASILEIRA DE CORREIOS E"/>
    <n v="79.510000000000005"/>
    <d v="2025-08-30T00:00:00"/>
  </r>
  <r>
    <n v="254066504"/>
    <n v="64840975"/>
    <s v="REB"/>
    <n v="10176519"/>
    <n v="173"/>
    <s v="PEÇAS - Defeito de fabric./Alta Amperage"/>
    <s v="FUNCIONAL"/>
    <x v="2"/>
    <n v="28016"/>
    <s v="MAREAR SERVIÇOS TECNICOS LTDA"/>
    <s v="RJ"/>
    <n v="933"/>
    <s v="Top"/>
    <n v="1350"/>
    <s v="W11300698"/>
    <s v="Mecanismos"/>
    <x v="4"/>
    <n v="1"/>
    <n v="5003176"/>
    <s v="J C THEDIN TRANSPORTES LTDA"/>
    <n v="263.44"/>
    <d v="2025-08-29T00:00:00"/>
  </r>
  <r>
    <s v="Sem TR"/>
    <n v="64840979"/>
    <s v="ZRDI"/>
    <n v="10191082"/>
    <s v="D18"/>
    <s v="DEV D2C - Arrependimento não quero mais"/>
    <s v="COMERCIAL"/>
    <x v="0"/>
    <n v="52553842"/>
    <s v="FABIANA COMPAGNONI FAVARETO"/>
    <s v="SC"/>
    <n v="474"/>
    <s v="Site Brastemp"/>
    <n v="1352"/>
    <s v="W11213068"/>
    <s v="Acessórios"/>
    <x v="5"/>
    <n v="1"/>
    <n v="5002359"/>
    <s v="EMPRESA BRASILEIRA DE CORREIOS E"/>
    <n v="42.29"/>
    <d v="2025-08-29T00:00:00"/>
  </r>
  <r>
    <n v="254066519"/>
    <n v="64840989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9T00:00:00"/>
  </r>
  <r>
    <n v="254066518"/>
    <n v="64840990"/>
    <s v="REB"/>
    <n v="9793564"/>
    <n v="178"/>
    <s v="PEÇAS -Defeito de fabric./Sem Compressão"/>
    <s v="FUNCIONAL"/>
    <x v="2"/>
    <n v="61868"/>
    <s v="D L REFRIGERACOES PECAS E"/>
    <s v="MA"/>
    <n v="643"/>
    <s v="Elite"/>
    <n v="1350"/>
    <s v="W11647662"/>
    <s v="Compressores Herméticos"/>
    <x v="0"/>
    <n v="1"/>
    <n v="5004101"/>
    <s v="UNIDOCK'S ASSESSORIA E LOGISTICA DE"/>
    <n v="290.2"/>
    <d v="2025-08-29T00:00:00"/>
  </r>
  <r>
    <n v="254066521"/>
    <n v="64840994"/>
    <s v="REB"/>
    <n v="9779878"/>
    <n v="178"/>
    <s v="PEÇAS -Defeito de fabric./Sem Compressão"/>
    <s v="FUNCIONAL"/>
    <x v="2"/>
    <n v="61868"/>
    <s v="D L REFRIGERACOES PECAS E"/>
    <s v="MA"/>
    <n v="643"/>
    <s v="Elite"/>
    <n v="1350"/>
    <s v="W11677211"/>
    <s v="Compressores Herméticos"/>
    <x v="0"/>
    <n v="1"/>
    <n v="5004101"/>
    <s v="UNIDOCK'S ASSESSORIA E LOGISTICA DE"/>
    <n v="389.81"/>
    <d v="2025-08-29T00:00:00"/>
  </r>
  <r>
    <n v="254066505"/>
    <n v="64840995"/>
    <s v="REB"/>
    <n v="10191738"/>
    <n v="173"/>
    <s v="PEÇAS - Defeito de fabric./Alta Amperage"/>
    <s v="FUNCIONAL"/>
    <x v="2"/>
    <n v="28178"/>
    <s v="IRMAOS CARICILLI LTDA"/>
    <s v="SP"/>
    <n v="644"/>
    <s v="Plus"/>
    <n v="1350"/>
    <s v="W11345331"/>
    <s v="Placas de Interface"/>
    <x v="2"/>
    <n v="1"/>
    <n v="5004042"/>
    <s v="BRASIL WEB TRANSPORTES E LOGISTICA"/>
    <n v="133.81"/>
    <d v="2025-08-29T00:00:00"/>
  </r>
  <r>
    <n v="254066512"/>
    <n v="64840996"/>
    <s v="REB"/>
    <n v="10157984"/>
    <n v="173"/>
    <s v="PEÇAS - Defeito de fabric./Alta Amperage"/>
    <s v="FUNCIONAL"/>
    <x v="2"/>
    <n v="50055"/>
    <s v="LUCIANO APARECIDO LIMA CRISTALDO"/>
    <s v="MS"/>
    <n v="648"/>
    <s v="Ultra"/>
    <n v="1350"/>
    <s v="W11299803"/>
    <s v="Mecanismos"/>
    <x v="4"/>
    <n v="1"/>
    <n v="5002573"/>
    <s v="CARVALIMA TRANSPORTES LTDA"/>
    <n v="102.41"/>
    <d v="2025-08-29T00:00:00"/>
  </r>
  <r>
    <n v="254066491"/>
    <n v="64840997"/>
    <s v="REB"/>
    <n v="10165966"/>
    <n v="173"/>
    <s v="PEÇAS - Defeito de fabric./Alta Amperage"/>
    <s v="FUNCIONAL"/>
    <x v="2"/>
    <n v="21330"/>
    <s v="REFRIEL COM DE PEÇAS REFRIG LTDA RE"/>
    <s v="PR"/>
    <n v="643"/>
    <s v="Elite"/>
    <n v="1350"/>
    <s v="W11300816"/>
    <s v="Mecanismos"/>
    <x v="4"/>
    <n v="1"/>
    <n v="5003024"/>
    <s v="RODOBRAS TRANSPORTES RODOVIARIOS LT"/>
    <n v="112.96"/>
    <d v="2025-08-29T00:00:00"/>
  </r>
  <r>
    <n v="254066485"/>
    <n v="64840999"/>
    <s v="REB"/>
    <n v="10190787"/>
    <n v="173"/>
    <s v="PEÇAS - Defeito de fabric./Alta Amperage"/>
    <s v="FUNCIONAL"/>
    <x v="2"/>
    <n v="3555"/>
    <s v="LESTE SERVICE PCS SERVICOS LTDA LES"/>
    <s v="SP"/>
    <n v="931"/>
    <s v="Ats Off"/>
    <n v="1350"/>
    <s v="W10518616"/>
    <s v="Atuadores"/>
    <x v="4"/>
    <n v="1"/>
    <n v="5004042"/>
    <s v="BRASIL WEB TRANSPORTES E LOGISTICA"/>
    <n v="35.729999999999997"/>
    <d v="2025-08-29T00:00:00"/>
  </r>
  <r>
    <n v="254066517"/>
    <n v="64841000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8-29T00:00:00"/>
  </r>
  <r>
    <n v="254066516"/>
    <n v="64841001"/>
    <s v="REB"/>
    <n v="10009022"/>
    <n v="178"/>
    <s v="PEÇAS -Defeito de fabric./Sem Compressão"/>
    <s v="FUNCIONAL"/>
    <x v="2"/>
    <n v="61868"/>
    <s v="D L REFRIGERACOES PECAS E"/>
    <s v="MA"/>
    <n v="643"/>
    <s v="Elite"/>
    <n v="1350"/>
    <s v="W10393823"/>
    <s v="Compressores Herméticos"/>
    <x v="0"/>
    <n v="1"/>
    <n v="5004101"/>
    <s v="UNIDOCK'S ASSESSORIA E LOGISTICA DE"/>
    <n v="447.57"/>
    <d v="2025-08-29T00:00:00"/>
  </r>
  <r>
    <n v="254066503"/>
    <n v="64841004"/>
    <s v="REB"/>
    <n v="10129253"/>
    <n v="178"/>
    <s v="PEÇAS -Defeito de fabric./Sem Compressão"/>
    <s v="FUNCIONAL"/>
    <x v="2"/>
    <n v="21621"/>
    <s v="SAT SERVICOS DE ASSISTENCIA"/>
    <s v="SP"/>
    <n v="350"/>
    <s v="Ats On"/>
    <n v="1350"/>
    <s v="W11516523"/>
    <s v="Compressores Herméticos"/>
    <x v="0"/>
    <n v="1"/>
    <n v="5004042"/>
    <s v="BRASIL WEB TRANSPORTES E LOGISTICA"/>
    <n v="404.53"/>
    <d v="2025-08-29T00:00:00"/>
  </r>
  <r>
    <n v="254066490"/>
    <n v="64841005"/>
    <s v="REB"/>
    <n v="10167554"/>
    <n v="168"/>
    <s v="PEÇAS-Def.Fabric.Empenamento/Abaulamento"/>
    <s v="FUNCIONAL"/>
    <x v="2"/>
    <n v="13757"/>
    <s v="FRIGELAR COMÉRCIO E INDÚSTRIA LTDA"/>
    <s v="SP"/>
    <n v="713"/>
    <s v="Key Account"/>
    <n v="1350"/>
    <s v="W10882241"/>
    <s v="Agitadores"/>
    <x v="4"/>
    <n v="9"/>
    <n v="5004042"/>
    <s v="BRASIL WEB TRANSPORTES E LOGISTICA"/>
    <n v="329.51"/>
    <d v="2025-08-29T00:00:00"/>
  </r>
  <r>
    <n v="254066511"/>
    <n v="64841006"/>
    <s v="REB"/>
    <n v="10195669"/>
    <n v="178"/>
    <s v="PEÇAS -Defeito de fabric./Sem Compressão"/>
    <s v="FUNCIONAL"/>
    <x v="2"/>
    <n v="40998"/>
    <s v="CALDEIRA E SANTOS LTDA M.E"/>
    <s v="GO"/>
    <n v="648"/>
    <s v="Ultra"/>
    <n v="1350"/>
    <s v="W11741179"/>
    <s v="Outros"/>
    <x v="5"/>
    <n v="1"/>
    <n v="5002858"/>
    <s v="FAVORITA TRANSPORTES LTDA"/>
    <n v="264.60000000000002"/>
    <d v="2025-08-29T00:00:00"/>
  </r>
  <r>
    <n v="254066510"/>
    <n v="64841007"/>
    <s v="REB"/>
    <n v="9653977"/>
    <n v="176"/>
    <s v="PEÇAS - Defeito de fabric./Interrompido"/>
    <s v="FUNCIONAL"/>
    <x v="2"/>
    <n v="33403"/>
    <s v="J N SOARES REFRIGERACAO - ME"/>
    <s v="RN"/>
    <n v="648"/>
    <s v="Ultra"/>
    <n v="1350"/>
    <s v="W11741179"/>
    <s v="Outros"/>
    <x v="5"/>
    <n v="1"/>
    <n v="5004101"/>
    <s v="UNIDOCK'S ASSESSORIA E LOGISTICA DE"/>
    <n v="349.14"/>
    <d v="2025-08-29T00:00:00"/>
  </r>
  <r>
    <n v="254066527"/>
    <n v="64841008"/>
    <s v="REB"/>
    <n v="8741575"/>
    <n v="173"/>
    <s v="PEÇAS - Defeito de fabric./Alta Amperage"/>
    <s v="FUNCIONAL"/>
    <x v="2"/>
    <n v="73003"/>
    <s v="DISFRIO DISTRIBUIDORA DE AR"/>
    <s v="SC"/>
    <n v="931"/>
    <s v="Ats Off"/>
    <n v="1350"/>
    <n v="326075685"/>
    <s v="Compressores Herméticos"/>
    <x v="0"/>
    <n v="1"/>
    <n v="5003024"/>
    <s v="RODOBRAS TRANSPORTES RODOVIARIOS LT"/>
    <n v="442.92"/>
    <d v="2025-08-29T00:00:00"/>
  </r>
  <r>
    <n v="254066484"/>
    <n v="64841009"/>
    <s v="REB"/>
    <n v="10187856"/>
    <n v="90"/>
    <s v="CLIENTE-não solicitou"/>
    <s v="COMERCIAL"/>
    <x v="2"/>
    <n v="3524"/>
    <s v="CATEL - COMERCIO DE PECAS"/>
    <s v="SP"/>
    <n v="931"/>
    <s v="Ats Off"/>
    <n v="1350"/>
    <s v="W10523808"/>
    <s v="Prateleiras"/>
    <x v="1"/>
    <n v="1"/>
    <n v="5004042"/>
    <s v="BRASIL WEB TRANSPORTES E LOGISTICA"/>
    <n v="17.28"/>
    <d v="2025-08-29T00:00:00"/>
  </r>
  <r>
    <n v="254066506"/>
    <n v="64841014"/>
    <s v="REB"/>
    <n v="10204779"/>
    <n v="176"/>
    <s v="PEÇAS - Defeito de fabric./Interrompido"/>
    <s v="FUNCIONAL"/>
    <x v="2"/>
    <n v="29902"/>
    <s v="SIBINEL ELETRODOMESTICOS LTDA"/>
    <s v="SP"/>
    <n v="932"/>
    <s v="CDP Prata"/>
    <n v="1350"/>
    <s v="W11160578"/>
    <s v="Placas de Controle"/>
    <x v="2"/>
    <n v="1"/>
    <n v="5004042"/>
    <s v="BRASIL WEB TRANSPORTES E LOGISTICA"/>
    <n v="419.59"/>
    <d v="2025-08-29T00:00:00"/>
  </r>
  <r>
    <n v="254066528"/>
    <n v="64841019"/>
    <s v="REB"/>
    <n v="9722098"/>
    <n v="173"/>
    <s v="PEÇAS - Defeito de fabric./Alta Amperage"/>
    <s v="FUNCIONAL"/>
    <x v="2"/>
    <n v="81093"/>
    <s v="REFRICRIL DISTRIBUIDORA DE AR"/>
    <s v="ES"/>
    <n v="713"/>
    <s v="Key Account"/>
    <n v="1350"/>
    <s v="W10849469"/>
    <s v="Bombas"/>
    <x v="2"/>
    <n v="1"/>
    <n v="5004042"/>
    <s v="BRASIL WEB TRANSPORTES E LOGISTICA"/>
    <n v="25.54"/>
    <d v="2025-08-29T00:00:00"/>
  </r>
  <r>
    <n v="254066528"/>
    <n v="64841020"/>
    <s v="REB"/>
    <n v="9925636"/>
    <n v="168"/>
    <s v="PEÇAS-Def.Fabric.Empenamento/Abaulamento"/>
    <s v="FUNCIONAL"/>
    <x v="2"/>
    <n v="81093"/>
    <s v="REFRICRIL DISTRIBUIDORA DE AR"/>
    <s v="ES"/>
    <n v="713"/>
    <s v="Key Account"/>
    <n v="1350"/>
    <s v="W10882241"/>
    <s v="Agitadores"/>
    <x v="4"/>
    <n v="29"/>
    <n v="5004042"/>
    <s v="BRASIL WEB TRANSPORTES E LOGISTICA"/>
    <n v="1120.08"/>
    <d v="2025-08-29T00:00:00"/>
  </r>
  <r>
    <n v="254066483"/>
    <n v="64841021"/>
    <s v="REB"/>
    <n v="10212911"/>
    <n v="176"/>
    <s v="PEÇAS - Defeito de fabric./Interrompido"/>
    <s v="FUNCIONAL"/>
    <x v="2"/>
    <n v="2424"/>
    <s v="TERMO STATUS INSTALADORA DE"/>
    <s v="RJ"/>
    <n v="350"/>
    <s v="Ats On"/>
    <n v="1350"/>
    <s v="W10257451"/>
    <s v="Termostatos"/>
    <x v="8"/>
    <n v="1"/>
    <n v="5003176"/>
    <s v="J C THEDIN TRANSPORTES LTDA"/>
    <n v="93.99"/>
    <d v="2025-08-29T00:00:00"/>
  </r>
  <r>
    <n v="254066451"/>
    <n v="64841022"/>
    <s v="REB"/>
    <n v="10087320"/>
    <n v="173"/>
    <s v="PEÇAS - Defeito de fabric./Alta Amperage"/>
    <s v="FUNCIONAL"/>
    <x v="2"/>
    <n v="66"/>
    <s v="CENTROMAQ PECAS E SERVICOS LTDA"/>
    <s v="GO"/>
    <n v="931"/>
    <s v="Ats Off"/>
    <n v="1350"/>
    <s v="W11619317"/>
    <s v="Placas de Controle"/>
    <x v="2"/>
    <n v="2"/>
    <n v="5002858"/>
    <s v="FAVORITA TRANSPORTES LTDA"/>
    <n v="462.22"/>
    <d v="2025-08-29T00:00:00"/>
  </r>
  <r>
    <n v="254066509"/>
    <n v="64841023"/>
    <s v="REB"/>
    <n v="10168855"/>
    <n v="173"/>
    <s v="PEÇAS - Defeito de fabric./Alta Amperage"/>
    <s v="FUNCIONAL"/>
    <x v="2"/>
    <n v="30990"/>
    <s v="REFRIGERACAO DUFRIO COMERCIO E"/>
    <s v="ES"/>
    <n v="713"/>
    <s v="Key Account"/>
    <n v="1350"/>
    <s v="W10632497"/>
    <s v="Placas de Controle"/>
    <x v="2"/>
    <n v="3"/>
    <n v="5004042"/>
    <s v="BRASIL WEB TRANSPORTES E LOGISTICA"/>
    <n v="219.05"/>
    <d v="2025-08-29T00:00:00"/>
  </r>
  <r>
    <n v="254066483"/>
    <n v="64841024"/>
    <s v="REB"/>
    <n v="10206801"/>
    <n v="176"/>
    <s v="PEÇAS - Defeito de fabric./Interrompido"/>
    <s v="FUNCIONAL"/>
    <x v="2"/>
    <n v="2424"/>
    <s v="TERMO STATUS INSTALADORA DE"/>
    <s v="RJ"/>
    <n v="350"/>
    <s v="Ats On"/>
    <n v="1350"/>
    <s v="W10446927"/>
    <s v="Placas de Controle"/>
    <x v="2"/>
    <n v="1"/>
    <n v="5003176"/>
    <s v="J C THEDIN TRANSPORTES LTDA"/>
    <n v="170.11"/>
    <d v="2025-08-29T00:00:00"/>
  </r>
  <r>
    <n v="254066509"/>
    <n v="64841025"/>
    <s v="REB"/>
    <n v="10166373"/>
    <n v="173"/>
    <s v="PEÇAS - Defeito de fabric./Alta Amperage"/>
    <s v="FUNCIONAL"/>
    <x v="2"/>
    <n v="30990"/>
    <s v="REFRIGERACAO DUFRIO COMERCIO E"/>
    <s v="ES"/>
    <n v="713"/>
    <s v="Key Account"/>
    <n v="1350"/>
    <s v="W11300698"/>
    <s v="Mecanismos"/>
    <x v="4"/>
    <n v="4"/>
    <n v="5004042"/>
    <s v="BRASIL WEB TRANSPORTES E LOGISTICA"/>
    <n v="843.64"/>
    <d v="2025-08-29T00:00:00"/>
  </r>
  <r>
    <n v="254066509"/>
    <n v="64841026"/>
    <s v="REB"/>
    <n v="10132422"/>
    <n v="173"/>
    <s v="PEÇAS - Defeito de fabric./Alta Amperage"/>
    <s v="FUNCIONAL"/>
    <x v="2"/>
    <n v="30990"/>
    <s v="REFRIGERACAO DUFRIO COMERCIO E"/>
    <s v="ES"/>
    <n v="713"/>
    <s v="Key Account"/>
    <n v="1350"/>
    <s v="W11254865"/>
    <s v="Mecanismos"/>
    <x v="4"/>
    <n v="3"/>
    <n v="5004042"/>
    <s v="BRASIL WEB TRANSPORTES E LOGISTICA"/>
    <n v="376.08"/>
    <d v="2025-08-29T00:00:00"/>
  </r>
  <r>
    <n v="254066530"/>
    <n v="64841027"/>
    <s v="REB"/>
    <n v="10057436"/>
    <n v="173"/>
    <s v="PEÇAS - Defeito de fabric./Alta Amperage"/>
    <s v="FUNCIONAL"/>
    <x v="2"/>
    <n v="85703"/>
    <s v="DF SERVICE PECAS E SERVICOS LTDA"/>
    <s v="DF"/>
    <n v="350"/>
    <s v="Ats On"/>
    <n v="1350"/>
    <s v="W10544750"/>
    <s v="Motores"/>
    <x v="2"/>
    <n v="1"/>
    <n v="5002858"/>
    <s v="FAVORITA TRANSPORTES LTDA"/>
    <n v="468.83"/>
    <d v="2025-08-29T00:00:00"/>
  </r>
  <r>
    <n v="254066451"/>
    <n v="64841028"/>
    <s v="REB"/>
    <n v="10089543"/>
    <n v="173"/>
    <s v="PEÇAS - Defeito de fabric./Alta Amperage"/>
    <s v="FUNCIONAL"/>
    <x v="2"/>
    <n v="66"/>
    <s v="CENTROMAQ PECAS E SERVICOS LTDA"/>
    <s v="GO"/>
    <n v="931"/>
    <s v="Ats Off"/>
    <n v="1350"/>
    <n v="326073245"/>
    <s v="Motores Ventiladores"/>
    <x v="2"/>
    <n v="1"/>
    <n v="5002858"/>
    <s v="FAVORITA TRANSPORTES LTDA"/>
    <n v="66.31"/>
    <d v="2025-08-29T00:00:00"/>
  </r>
  <r>
    <n v="254066451"/>
    <n v="64841029"/>
    <s v="REB"/>
    <n v="10085647"/>
    <n v="173"/>
    <s v="PEÇAS - Defeito de fabric./Alta Amperage"/>
    <s v="FUNCIONAL"/>
    <x v="2"/>
    <n v="66"/>
    <s v="CENTROMAQ PECAS E SERVICOS LTDA"/>
    <s v="GO"/>
    <n v="931"/>
    <s v="Ats Off"/>
    <n v="1350"/>
    <n v="326073243"/>
    <s v="Placas de Controle"/>
    <x v="2"/>
    <n v="1"/>
    <n v="5002858"/>
    <s v="FAVORITA TRANSPORTES LTDA"/>
    <n v="111.11"/>
    <d v="2025-08-29T00:00:00"/>
  </r>
  <r>
    <n v="254066515"/>
    <n v="64841030"/>
    <s v="REB"/>
    <n v="10187038"/>
    <n v="173"/>
    <s v="PEÇAS - Defeito de fabric./Alta Amperage"/>
    <s v="FUNCIONAL"/>
    <x v="2"/>
    <n v="61467"/>
    <s v="ILES DAYANE ARAUJO"/>
    <s v="CE"/>
    <n v="644"/>
    <s v="Plus"/>
    <n v="1350"/>
    <s v="W10678919"/>
    <s v="Placas de Controle"/>
    <x v="2"/>
    <n v="1"/>
    <n v="5004101"/>
    <s v="UNIDOCK'S ASSESSORIA E LOGISTICA DE"/>
    <n v="74.47"/>
    <d v="2025-08-29T00:00:00"/>
  </r>
  <r>
    <n v="254066488"/>
    <n v="64841034"/>
    <s v="REB"/>
    <n v="10029273"/>
    <n v="173"/>
    <s v="PEÇAS - Defeito de fabric./Alta Amperage"/>
    <s v="FUNCIONAL"/>
    <x v="2"/>
    <n v="10164"/>
    <s v="FALCONE - COMERCIO E SERVICOS LTDA"/>
    <s v="PB"/>
    <n v="931"/>
    <s v="Ats Off"/>
    <n v="1350"/>
    <s v="W11347056"/>
    <s v="Placas de Interface"/>
    <x v="2"/>
    <n v="1"/>
    <n v="5004101"/>
    <s v="UNIDOCK'S ASSESSORIA E LOGISTICA DE"/>
    <n v="851.69"/>
    <d v="2025-08-29T00:00:00"/>
  </r>
  <r>
    <n v="254066523"/>
    <n v="64841035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9T00:00:00"/>
  </r>
  <r>
    <n v="254066524"/>
    <n v="64841036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9T00:00:00"/>
  </r>
  <r>
    <n v="254066514"/>
    <n v="64841037"/>
    <s v="REB"/>
    <n v="10207948"/>
    <n v="173"/>
    <s v="PEÇAS - Defeito de fabric./Alta Amperage"/>
    <s v="FUNCIONAL"/>
    <x v="2"/>
    <n v="54465"/>
    <s v="LCB COMERCIO E SERVICOS"/>
    <s v="SP"/>
    <n v="644"/>
    <s v="Plus"/>
    <n v="1350"/>
    <n v="326063197"/>
    <s v="Placas de Controle"/>
    <x v="2"/>
    <n v="1"/>
    <n v="5004042"/>
    <s v="BRASIL WEB TRANSPORTES E LOGISTICA"/>
    <n v="308.35000000000002"/>
    <d v="2025-08-29T00:00:00"/>
  </r>
  <r>
    <n v="254066488"/>
    <n v="64841038"/>
    <s v="REB"/>
    <n v="10066836"/>
    <n v="176"/>
    <s v="PEÇAS - Defeito de fabric./Interrompido"/>
    <s v="FUNCIONAL"/>
    <x v="2"/>
    <n v="13757"/>
    <s v="FRIGELAR COMÉRCIO E INDÚSTRIA LTDA"/>
    <s v="SP"/>
    <n v="713"/>
    <s v="Key Account"/>
    <n v="1350"/>
    <s v="W11299803"/>
    <s v="Mecanismos"/>
    <x v="4"/>
    <n v="2"/>
    <n v="5004042"/>
    <s v="BRASIL WEB TRANSPORTES E LOGISTICA"/>
    <n v="221.8"/>
    <d v="2025-08-29T00:00:00"/>
  </r>
  <r>
    <n v="254066522"/>
    <n v="64841039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9T00:00:00"/>
  </r>
  <r>
    <n v="254066489"/>
    <n v="64841040"/>
    <s v="REB"/>
    <n v="10167554"/>
    <n v="168"/>
    <s v="PEÇAS-Def.Fabric.Empenamento/Abaulamento"/>
    <s v="FUNCIONAL"/>
    <x v="2"/>
    <n v="13757"/>
    <s v="FRIGELAR COMÉRCIO E INDÚSTRIA LTDA"/>
    <s v="SP"/>
    <n v="713"/>
    <s v="Key Account"/>
    <n v="1350"/>
    <s v="W10882241"/>
    <s v="Agitadores"/>
    <x v="4"/>
    <n v="8"/>
    <n v="5004042"/>
    <s v="BRASIL WEB TRANSPORTES E LOGISTICA"/>
    <n v="292.89999999999998"/>
    <d v="2025-08-29T00:00:00"/>
  </r>
  <r>
    <n v="254066515"/>
    <n v="64841041"/>
    <s v="REB"/>
    <n v="10146177"/>
    <n v="173"/>
    <s v="PEÇAS - Defeito de fabric./Alta Amperage"/>
    <s v="FUNCIONAL"/>
    <x v="2"/>
    <n v="61467"/>
    <s v="ILES DAYANE ARAUJO"/>
    <s v="CE"/>
    <n v="644"/>
    <s v="Plus"/>
    <n v="1350"/>
    <s v="W11603414"/>
    <s v="Placas de Controle"/>
    <x v="2"/>
    <n v="1"/>
    <n v="5004101"/>
    <s v="UNIDOCK'S ASSESSORIA E LOGISTICA DE"/>
    <n v="202.1"/>
    <d v="2025-08-29T00:00:00"/>
  </r>
  <r>
    <n v="254066515"/>
    <n v="64841042"/>
    <s v="REB"/>
    <n v="10134106"/>
    <n v="173"/>
    <s v="PEÇAS - Defeito de fabric./Alta Amperage"/>
    <s v="FUNCIONAL"/>
    <x v="2"/>
    <n v="61467"/>
    <s v="ILES DAYANE ARAUJO"/>
    <s v="CE"/>
    <n v="644"/>
    <s v="Plus"/>
    <n v="1350"/>
    <s v="W11634491"/>
    <s v="Placas de Controle"/>
    <x v="2"/>
    <n v="1"/>
    <n v="5004101"/>
    <s v="UNIDOCK'S ASSESSORIA E LOGISTICA DE"/>
    <n v="63.38"/>
    <d v="2025-08-29T00:00:00"/>
  </r>
  <r>
    <n v="254066525"/>
    <n v="64841044"/>
    <s v="REB"/>
    <n v="9776513"/>
    <n v="178"/>
    <s v="PEÇAS -Defeito de fabric./Sem Compressão"/>
    <s v="FUNCIONAL"/>
    <x v="2"/>
    <n v="61868"/>
    <s v="D L REFRIGERACOES PECAS E"/>
    <s v="MA"/>
    <n v="643"/>
    <s v="Elite"/>
    <n v="1350"/>
    <s v="W11677209"/>
    <s v="Compressores Herméticos"/>
    <x v="0"/>
    <n v="1"/>
    <n v="5004101"/>
    <s v="UNIDOCK'S ASSESSORIA E LOGISTICA DE"/>
    <n v="283.49"/>
    <d v="2025-08-29T00:00:00"/>
  </r>
  <r>
    <n v="254066513"/>
    <n v="64841045"/>
    <s v="REB"/>
    <n v="10207948"/>
    <n v="173"/>
    <s v="PEÇAS - Defeito de fabric./Alta Amperage"/>
    <s v="FUNCIONAL"/>
    <x v="2"/>
    <n v="54465"/>
    <s v="LCB COMERCIO E SERVICOS"/>
    <s v="SP"/>
    <n v="644"/>
    <s v="Plus"/>
    <n v="1350"/>
    <n v="326060498"/>
    <s v="Motores Ventiladores"/>
    <x v="2"/>
    <n v="1"/>
    <n v="5004042"/>
    <s v="BRASIL WEB TRANSPORTES E LOGISTICA"/>
    <n v="92.16"/>
    <d v="2025-08-29T00:00:00"/>
  </r>
  <r>
    <n v="254066451"/>
    <n v="64841046"/>
    <s v="REB"/>
    <n v="10076918"/>
    <n v="173"/>
    <s v="PEÇAS - Defeito de fabric./Alta Amperage"/>
    <s v="FUNCIONAL"/>
    <x v="2"/>
    <n v="66"/>
    <s v="CENTROMAQ PECAS E SERVICOS LTDA"/>
    <s v="GO"/>
    <n v="931"/>
    <s v="Ats Off"/>
    <n v="1350"/>
    <s v="W10665444"/>
    <s v="Bombas"/>
    <x v="2"/>
    <n v="1"/>
    <n v="5002858"/>
    <s v="FAVORITA TRANSPORTES LTDA"/>
    <n v="170.65"/>
    <d v="2025-08-29T00:00:00"/>
  </r>
  <r>
    <n v="254066527"/>
    <n v="64841047"/>
    <s v="REB"/>
    <n v="10139350"/>
    <n v="173"/>
    <s v="PEÇAS - Defeito de fabric./Alta Amperage"/>
    <s v="FUNCIONAL"/>
    <x v="2"/>
    <n v="75751"/>
    <s v="BORCHERT &amp; BAUMGARTNER LTDA"/>
    <s v="PR"/>
    <n v="931"/>
    <s v="Ats Off"/>
    <n v="1350"/>
    <s v="W11300816"/>
    <s v="Mecanismos"/>
    <x v="4"/>
    <n v="2"/>
    <n v="5003024"/>
    <s v="RODOBRAS TRANSPORTES RODOVIARIOS LT"/>
    <n v="211.46"/>
    <d v="2025-08-29T00:00:00"/>
  </r>
  <r>
    <s v="Sem TR"/>
    <n v="64841080"/>
    <s v="ZRDI"/>
    <n v="10202114"/>
    <s v="D10"/>
    <s v="DEV D2C - Comprou modelo errado"/>
    <s v="COMERCIAL"/>
    <x v="0"/>
    <n v="53210812"/>
    <s v="MARCELO PEREIRA"/>
    <s v="SP"/>
    <n v="474"/>
    <s v="Site Brastemp"/>
    <n v="1352"/>
    <s v="W11405828"/>
    <s v="Mangueiras"/>
    <x v="6"/>
    <n v="1"/>
    <n v="5002359"/>
    <s v="EMPRESA BRASILEIRA DE CORREIOS E"/>
    <n v="55.49"/>
    <d v="2025-08-29T00:00:00"/>
  </r>
  <r>
    <s v="Sem TR"/>
    <n v="64841119"/>
    <s v="ZRDI"/>
    <n v="10198575"/>
    <s v="D31"/>
    <s v="DEV D2C - Defeito estético manufatura"/>
    <s v="MANUFATURA"/>
    <x v="0"/>
    <n v="58231102"/>
    <s v="BRENDA RODRIGUES"/>
    <s v="RS"/>
    <n v="475"/>
    <s v="Site Consul"/>
    <n v="1352"/>
    <s v="W11375416"/>
    <s v="Tampas Móveis"/>
    <x v="3"/>
    <n v="1"/>
    <n v="5002359"/>
    <s v="EMPRESA BRASILEIRA DE CORREIOS E"/>
    <n v="47"/>
    <d v="2025-08-29T00:00:00"/>
  </r>
  <r>
    <s v="Sem TR"/>
    <n v="64841128"/>
    <s v="ROB"/>
    <n v="10206936"/>
    <n v="25"/>
    <s v="OC. 80 - EXTRAVIO TOTAL"/>
    <s v="TRANSPORTADORA"/>
    <x v="2"/>
    <n v="64319"/>
    <s v="VINICIUS ALBIERO TESTASICCA"/>
    <s v="SP"/>
    <n v="641"/>
    <s v="CDP Diamante"/>
    <n v="1350"/>
    <s v="W11569692"/>
    <s v="Peças e Sistema Freio"/>
    <x v="4"/>
    <n v="400"/>
    <n v="5004101"/>
    <s v="UNIDOCK'S ASSESSORIA E LOGISTICA DE"/>
    <n v="1539.47"/>
    <d v="2025-08-29T00:00:00"/>
  </r>
  <r>
    <s v="Sem TR"/>
    <n v="64841129"/>
    <s v="ROB"/>
    <n v="10206937"/>
    <n v="25"/>
    <s v="OC. 80 - EXTRAVIO TOTAL"/>
    <s v="TRANSPORTADORA"/>
    <x v="2"/>
    <n v="65408"/>
    <s v="MULTMAK COMERCIO DE PECAS"/>
    <s v="SP"/>
    <n v="641"/>
    <s v="CDP Diamante"/>
    <n v="1350"/>
    <s v="W11300678"/>
    <s v="Mecanismos"/>
    <x v="4"/>
    <n v="2"/>
    <n v="5004101"/>
    <s v="UNIDOCK'S ASSESSORIA E LOGISTICA DE"/>
    <n v="436.98"/>
    <d v="2025-08-29T00:00:00"/>
  </r>
  <r>
    <s v="Sem TR"/>
    <n v="64841129"/>
    <s v="ROB"/>
    <n v="10206937"/>
    <n v="25"/>
    <s v="OC. 80 - EXTRAVIO TOTAL"/>
    <s v="TRANSPORTADORA"/>
    <x v="2"/>
    <n v="65408"/>
    <s v="MULTMAK COMERCIO DE PECAS"/>
    <s v="SP"/>
    <n v="641"/>
    <s v="CDP Diamante"/>
    <n v="1350"/>
    <s v="W11300681"/>
    <s v="Mecanismos"/>
    <x v="4"/>
    <n v="2"/>
    <n v="5004101"/>
    <s v="UNIDOCK'S ASSESSORIA E LOGISTICA DE"/>
    <n v="436.98"/>
    <d v="2025-08-29T00:00:00"/>
  </r>
  <r>
    <s v="Sem TR"/>
    <n v="64841144"/>
    <s v="ZRDI"/>
    <n v="10189365"/>
    <s v="D10"/>
    <s v="DEV D2C - Comprou modelo errado"/>
    <s v="COMERCIAL"/>
    <x v="0"/>
    <n v="58219369"/>
    <s v="REBECA PRADO"/>
    <s v="ES"/>
    <n v="474"/>
    <s v="Site Brastemp"/>
    <n v="1352"/>
    <s v="W11115537"/>
    <s v="Prateleiras"/>
    <x v="1"/>
    <n v="1"/>
    <n v="5002359"/>
    <s v="EMPRESA BRASILEIRA DE CORREIOS E"/>
    <n v="135.52000000000001"/>
    <d v="2025-08-29T00:00:00"/>
  </r>
  <r>
    <s v="Sem TR"/>
    <n v="64841164"/>
    <s v="ZRDI"/>
    <n v="10205452"/>
    <s v="D10"/>
    <s v="DEV D2C - Comprou modelo errado"/>
    <s v="COMERCIAL"/>
    <x v="0"/>
    <n v="58238996"/>
    <s v="WALDIR RODRIGUES MONTEIRO FILHO MON"/>
    <s v="SP"/>
    <n v="474"/>
    <s v="Site Brastemp"/>
    <n v="1352"/>
    <s v="W10837295"/>
    <s v="Portas"/>
    <x v="3"/>
    <n v="1"/>
    <n v="5002359"/>
    <s v="EMPRESA BRASILEIRA DE CORREIOS E"/>
    <n v="285.7"/>
    <d v="2025-08-29T00:00:00"/>
  </r>
  <r>
    <s v="Sem TR"/>
    <n v="64841175"/>
    <s v="ZRDI"/>
    <n v="10207874"/>
    <s v="D10"/>
    <s v="DEV D2C - Comprou modelo errado"/>
    <s v="COMERCIAL"/>
    <x v="0"/>
    <n v="58242471"/>
    <s v="FERNANDA OLIVEIRA PEREIRA DA SILVA"/>
    <s v="SP"/>
    <n v="475"/>
    <s v="Site Consul"/>
    <n v="1352"/>
    <s v="W10246170"/>
    <s v="Prateleiras"/>
    <x v="1"/>
    <n v="1"/>
    <n v="5002359"/>
    <s v="EMPRESA BRASILEIRA DE CORREIOS E"/>
    <n v="70.930000000000007"/>
    <d v="2025-08-30T00:00:00"/>
  </r>
  <r>
    <s v="Sem TR"/>
    <n v="64841175"/>
    <s v="ZRDI"/>
    <n v="10207874"/>
    <s v="D10"/>
    <s v="DEV D2C - Comprou modelo errado"/>
    <s v="COMERCIAL"/>
    <x v="0"/>
    <n v="58242471"/>
    <s v="FERNANDA OLIVEIRA PEREIRA DA SILVA"/>
    <s v="SP"/>
    <n v="475"/>
    <s v="Site Consul"/>
    <n v="1352"/>
    <s v="W10698255"/>
    <s v="Prateleiras"/>
    <x v="1"/>
    <n v="1"/>
    <n v="5002359"/>
    <s v="EMPRESA BRASILEIRA DE CORREIOS E"/>
    <n v="42.91"/>
    <d v="2025-08-30T00:00:00"/>
  </r>
  <r>
    <s v="Sem TR"/>
    <n v="64841184"/>
    <s v="ZRDI"/>
    <n v="10145632"/>
    <s v="D18"/>
    <s v="DEV D2C - Arrependimento não quero mais"/>
    <s v="COMERCIAL"/>
    <x v="0"/>
    <n v="58166125"/>
    <s v="WAGNER OLIVEIRA TOLEDO"/>
    <s v="SP"/>
    <n v="474"/>
    <s v="Site Brastemp"/>
    <n v="1352"/>
    <s v="W11115537"/>
    <s v="Prateleiras"/>
    <x v="1"/>
    <n v="1"/>
    <n v="5002359"/>
    <s v="EMPRESA BRASILEIRA DE CORREIOS E"/>
    <n v="109.84"/>
    <d v="2025-08-29T00:00:00"/>
  </r>
  <r>
    <s v="Sem TR"/>
    <n v="64841254"/>
    <s v="ZRDI"/>
    <n v="10207782"/>
    <s v="D10"/>
    <s v="DEV D2C - Comprou modelo errado"/>
    <s v="COMERCIAL"/>
    <x v="0"/>
    <n v="54894464"/>
    <s v="LUCIANA MONTENEGRO"/>
    <s v="RS"/>
    <n v="475"/>
    <s v="Site Consul"/>
    <n v="1352"/>
    <s v="W10581058"/>
    <s v="Gavetas"/>
    <x v="1"/>
    <n v="1"/>
    <n v="5002359"/>
    <s v="EMPRESA BRASILEIRA DE CORREIOS E"/>
    <n v="117.63"/>
    <d v="2025-08-29T00:00:00"/>
  </r>
  <r>
    <s v="Sem TR"/>
    <n v="64841254"/>
    <s v="ZRDI"/>
    <n v="10207782"/>
    <s v="D10"/>
    <s v="DEV D2C - Comprou modelo errado"/>
    <s v="COMERCIAL"/>
    <x v="0"/>
    <n v="54894464"/>
    <s v="LUCIANA MONTENEGRO"/>
    <s v="RS"/>
    <n v="475"/>
    <s v="Site Consul"/>
    <n v="1352"/>
    <s v="W10200101"/>
    <s v="Prateleiras"/>
    <x v="1"/>
    <n v="1"/>
    <n v="5002359"/>
    <s v="EMPRESA BRASILEIRA DE CORREIOS E"/>
    <n v="117.63"/>
    <d v="2025-08-29T00:00:00"/>
  </r>
  <r>
    <n v="254065698"/>
    <n v="64841261"/>
    <s v="ZRDI"/>
    <n v="10023227"/>
    <n v="208"/>
    <s v="DEV-Atraso entrega- LOGISTICA(Transp)"/>
    <s v="TRANSPORTADORA"/>
    <x v="0"/>
    <n v="56785851"/>
    <s v="JEFFERSON NUNES"/>
    <s v="SC"/>
    <n v="475"/>
    <s v="Site Consul"/>
    <n v="1352"/>
    <n v="326066852"/>
    <s v="Prateleiras"/>
    <x v="1"/>
    <n v="1"/>
    <n v="5002359"/>
    <s v="EMPRESA BRASILEIRA DE CORREIOS E"/>
    <n v="91.84"/>
    <d v="2025-08-29T00:00:00"/>
  </r>
  <r>
    <n v="254065698"/>
    <n v="64841261"/>
    <s v="ZRDI"/>
    <n v="10023227"/>
    <n v="208"/>
    <s v="DEV-Atraso entrega- LOGISTICA(Transp)"/>
    <s v="TRANSPORTADORA"/>
    <x v="0"/>
    <n v="56785851"/>
    <s v="JEFFERSON NUNES"/>
    <s v="SC"/>
    <n v="475"/>
    <s v="Site Consul"/>
    <n v="1352"/>
    <s v="W10515645"/>
    <s v="Filtros"/>
    <x v="6"/>
    <n v="1"/>
    <n v="5002359"/>
    <s v="EMPRESA BRASILEIRA DE CORREIOS E"/>
    <n v="48.61"/>
    <d v="2025-08-29T00:00:00"/>
  </r>
  <r>
    <n v="254065699"/>
    <n v="64841262"/>
    <s v="ZRDI"/>
    <n v="10049965"/>
    <n v="208"/>
    <s v="DEV-Atraso entrega- LOGISTICA(Transp)"/>
    <s v="TRANSPORTADORA"/>
    <x v="0"/>
    <n v="51888171"/>
    <s v="FELLIPE SCHAZMANN"/>
    <s v="SC"/>
    <n v="474"/>
    <s v="Site Brastemp"/>
    <n v="1352"/>
    <s v="W11213068"/>
    <s v="Acessórios"/>
    <x v="5"/>
    <n v="1"/>
    <n v="5002359"/>
    <s v="EMPRESA BRASILEIRA DE CORREIOS E"/>
    <n v="42.29"/>
    <d v="2025-08-29T00:00:00"/>
  </r>
  <r>
    <n v="254065699"/>
    <n v="64841262"/>
    <s v="ZRDI"/>
    <n v="10049965"/>
    <n v="208"/>
    <s v="DEV-Atraso entrega- LOGISTICA(Transp)"/>
    <s v="TRANSPORTADORA"/>
    <x v="0"/>
    <n v="51888171"/>
    <s v="FELLIPE SCHAZMANN"/>
    <s v="SC"/>
    <n v="474"/>
    <s v="Site Brastemp"/>
    <n v="1352"/>
    <s v="W10620706"/>
    <s v="Outros"/>
    <x v="5"/>
    <n v="1"/>
    <n v="5002359"/>
    <s v="EMPRESA BRASILEIRA DE CORREIOS E"/>
    <n v="27.63"/>
    <d v="2025-08-29T00:00:00"/>
  </r>
  <r>
    <n v="254065699"/>
    <n v="64841262"/>
    <s v="ZRDI"/>
    <n v="10049965"/>
    <n v="208"/>
    <s v="DEV-Atraso entrega- LOGISTICA(Transp)"/>
    <s v="TRANSPORTADORA"/>
    <x v="0"/>
    <n v="51888171"/>
    <s v="FELLIPE SCHAZMANN"/>
    <s v="SC"/>
    <n v="474"/>
    <s v="Site Brastemp"/>
    <n v="1352"/>
    <n v="326026588"/>
    <s v="Outros"/>
    <x v="5"/>
    <n v="1"/>
    <n v="5002359"/>
    <s v="EMPRESA BRASILEIRA DE CORREIOS E"/>
    <n v="123.3"/>
    <d v="2025-08-29T00:00:00"/>
  </r>
  <r>
    <n v="254065701"/>
    <n v="64841263"/>
    <s v="ZRDI"/>
    <n v="10072731"/>
    <n v="208"/>
    <s v="DEV-Atraso entrega- LOGISTICA(Transp)"/>
    <s v="TRANSPORTADORA"/>
    <x v="0"/>
    <n v="52578462"/>
    <s v="CHRISTIANE SANTOS"/>
    <s v="RJ"/>
    <n v="474"/>
    <s v="Site Brastemp"/>
    <n v="1352"/>
    <s v="W10866791"/>
    <s v="Kits Instalação"/>
    <x v="5"/>
    <n v="2"/>
    <n v="5002359"/>
    <s v="EMPRESA BRASILEIRA DE CORREIOS E"/>
    <n v="254.82"/>
    <d v="2025-08-29T00:00:00"/>
  </r>
  <r>
    <n v="254065701"/>
    <n v="64841263"/>
    <s v="ZRDI"/>
    <n v="10072731"/>
    <n v="208"/>
    <s v="DEV-Atraso entrega- LOGISTICA(Transp)"/>
    <s v="TRANSPORTADORA"/>
    <x v="0"/>
    <n v="52578462"/>
    <s v="CHRISTIANE SANTOS"/>
    <s v="RJ"/>
    <n v="474"/>
    <s v="Site Brastemp"/>
    <n v="1352"/>
    <s v="W11100357"/>
    <s v="Tubos Queima"/>
    <x v="9"/>
    <n v="1"/>
    <n v="5002359"/>
    <s v="EMPRESA BRASILEIRA DE CORREIOS E"/>
    <n v="103.52"/>
    <d v="2025-08-29T00:00:00"/>
  </r>
  <r>
    <n v="254065701"/>
    <n v="64841263"/>
    <s v="ZRDI"/>
    <n v="10072731"/>
    <n v="208"/>
    <s v="DEV-Atraso entrega- LOGISTICA(Transp)"/>
    <s v="TRANSPORTADORA"/>
    <x v="0"/>
    <n v="52578462"/>
    <s v="CHRISTIANE SANTOS"/>
    <s v="RJ"/>
    <n v="474"/>
    <s v="Site Brastemp"/>
    <n v="1352"/>
    <s v="W11100356"/>
    <s v="Outros"/>
    <x v="5"/>
    <n v="1"/>
    <n v="5002359"/>
    <s v="EMPRESA BRASILEIRA DE CORREIOS E"/>
    <n v="43.67"/>
    <d v="2025-08-29T00:00:00"/>
  </r>
  <r>
    <n v="254065702"/>
    <n v="64841264"/>
    <s v="ZRDI"/>
    <n v="10079035"/>
    <n v="208"/>
    <s v="DEV-Atraso entrega- LOGISTICA(Transp)"/>
    <s v="TRANSPORTADORA"/>
    <x v="0"/>
    <n v="55553793"/>
    <s v="LUIZ FERNANDO TAVARES VIANNA"/>
    <s v="GO"/>
    <n v="466"/>
    <s v="Sup ML Marketplace"/>
    <n v="1352"/>
    <s v="W10330009"/>
    <s v="Acessórios"/>
    <x v="5"/>
    <n v="1"/>
    <n v="5002359"/>
    <s v="EMPRESA BRASILEIRA DE CORREIOS E"/>
    <n v="32.1"/>
    <d v="2025-08-29T00:00:00"/>
  </r>
  <r>
    <n v="254065702"/>
    <n v="64841264"/>
    <s v="ZRDI"/>
    <n v="10079035"/>
    <n v="208"/>
    <s v="DEV-Atraso entrega- LOGISTICA(Transp)"/>
    <s v="TRANSPORTADORA"/>
    <x v="0"/>
    <n v="55553793"/>
    <s v="LUIZ FERNANDO TAVARES VIANNA"/>
    <s v="GO"/>
    <n v="466"/>
    <s v="Sup ML Marketplace"/>
    <n v="1352"/>
    <s v="W10330009"/>
    <s v="Acessórios"/>
    <x v="5"/>
    <n v="1"/>
    <n v="5002359"/>
    <s v="EMPRESA BRASILEIRA DE CORREIOS E"/>
    <n v="32.11"/>
    <d v="2025-08-29T00:00:00"/>
  </r>
  <r>
    <n v="254065703"/>
    <n v="64841265"/>
    <s v="ZRDI"/>
    <n v="10086919"/>
    <n v="208"/>
    <s v="DEV-Atraso entrega- LOGISTICA(Transp)"/>
    <s v="TRANSPORTADORA"/>
    <x v="0"/>
    <n v="58088035"/>
    <s v="ISABEL ALMEIDA DE JESUS"/>
    <s v="BA"/>
    <n v="466"/>
    <s v="Sup ML Marketplace"/>
    <n v="1352"/>
    <s v="W10200101"/>
    <s v="Prateleiras"/>
    <x v="1"/>
    <n v="1"/>
    <n v="5002359"/>
    <s v="EMPRESA BRASILEIRA DE CORREIOS E"/>
    <n v="127.9"/>
    <d v="2025-08-29T00:00:00"/>
  </r>
  <r>
    <n v="254065703"/>
    <n v="64841265"/>
    <s v="ZRDI"/>
    <n v="10086919"/>
    <n v="208"/>
    <s v="DEV-Atraso entrega- LOGISTICA(Transp)"/>
    <s v="TRANSPORTADORA"/>
    <x v="0"/>
    <n v="58088035"/>
    <s v="ISABEL ALMEIDA DE JESUS"/>
    <s v="BA"/>
    <n v="466"/>
    <s v="Sup ML Marketplace"/>
    <n v="1352"/>
    <s v="W10581058"/>
    <s v="Gavetas"/>
    <x v="1"/>
    <n v="1"/>
    <n v="5002359"/>
    <s v="EMPRESA BRASILEIRA DE CORREIOS E"/>
    <n v="127.9"/>
    <d v="2025-08-29T00:00:00"/>
  </r>
  <r>
    <n v="254065705"/>
    <n v="64841266"/>
    <s v="ZRDI"/>
    <n v="10091695"/>
    <n v="208"/>
    <s v="DEV-Atraso entrega- LOGISTICA(Transp)"/>
    <s v="TRANSPORTADORA"/>
    <x v="0"/>
    <n v="58092924"/>
    <s v="DIEGO BARROS"/>
    <s v="SE"/>
    <n v="475"/>
    <s v="Site Consul"/>
    <n v="1352"/>
    <s v="W11715713"/>
    <s v="Outros"/>
    <x v="5"/>
    <n v="1"/>
    <n v="5002359"/>
    <s v="EMPRESA BRASILEIRA DE CORREIOS E"/>
    <n v="41.98"/>
    <d v="2025-08-29T00:00:00"/>
  </r>
  <r>
    <n v="254065708"/>
    <n v="64841268"/>
    <s v="ZRDI"/>
    <n v="10118580"/>
    <n v="208"/>
    <s v="DEV-Atraso entrega- LOGISTICA(Transp)"/>
    <s v="TRANSPORTADORA"/>
    <x v="0"/>
    <n v="51868392"/>
    <s v="LUCIA ELIAS SILVA DE MATOS"/>
    <s v="CE"/>
    <n v="474"/>
    <s v="Site Brastemp"/>
    <n v="1352"/>
    <s v="W10624070"/>
    <s v="Gavetas"/>
    <x v="1"/>
    <n v="1"/>
    <n v="5002359"/>
    <s v="EMPRESA BRASILEIRA DE CORREIOS E"/>
    <n v="189.48"/>
    <d v="2025-08-29T00:00:00"/>
  </r>
  <r>
    <n v="254065708"/>
    <n v="64841268"/>
    <s v="ZRDI"/>
    <n v="10118580"/>
    <n v="208"/>
    <s v="DEV-Atraso entrega- LOGISTICA(Transp)"/>
    <s v="TRANSPORTADORA"/>
    <x v="0"/>
    <n v="51868392"/>
    <s v="LUCIA ELIAS SILVA DE MATOS"/>
    <s v="CE"/>
    <n v="474"/>
    <s v="Site Brastemp"/>
    <n v="1352"/>
    <s v="W11298039"/>
    <s v="Gavetas"/>
    <x v="1"/>
    <n v="1"/>
    <n v="5002359"/>
    <s v="EMPRESA BRASILEIRA DE CORREIOS E"/>
    <n v="196.96"/>
    <d v="2025-08-29T00:00:00"/>
  </r>
  <r>
    <n v="254065709"/>
    <n v="64841269"/>
    <s v="ZRDI"/>
    <n v="10121609"/>
    <n v="208"/>
    <s v="DEV-Atraso entrega- LOGISTICA(Transp)"/>
    <s v="TRANSPORTADORA"/>
    <x v="0"/>
    <n v="58134328"/>
    <s v="DANIEL GONCALVES"/>
    <s v="RR"/>
    <n v="474"/>
    <s v="Site Brastemp"/>
    <n v="1352"/>
    <s v="W10866789"/>
    <s v="Kits Instalação"/>
    <x v="5"/>
    <n v="1"/>
    <n v="5002359"/>
    <s v="EMPRESA BRASILEIRA DE CORREIOS E"/>
    <n v="88.07"/>
    <d v="2025-08-29T00:00:00"/>
  </r>
  <r>
    <n v="254065710"/>
    <n v="64841270"/>
    <s v="ZRDI"/>
    <n v="10123505"/>
    <n v="208"/>
    <s v="DEV-Atraso entrega- LOGISTICA(Transp)"/>
    <s v="TRANSPORTADORA"/>
    <x v="0"/>
    <n v="58135271"/>
    <s v="MARIA APARECIDA SILVA AGUIAR"/>
    <s v="MT"/>
    <n v="474"/>
    <s v="Site Brastemp"/>
    <n v="1352"/>
    <s v="W11213068"/>
    <s v="Acessórios"/>
    <x v="5"/>
    <n v="1"/>
    <n v="5002359"/>
    <s v="EMPRESA BRASILEIRA DE CORREIOS E"/>
    <n v="45.8"/>
    <d v="2025-08-29T00:00:00"/>
  </r>
  <r>
    <n v="254065711"/>
    <n v="64841271"/>
    <s v="ZRDI"/>
    <n v="10126773"/>
    <n v="208"/>
    <s v="DEV-Atraso entrega- LOGISTICA(Transp)"/>
    <s v="TRANSPORTADORA"/>
    <x v="0"/>
    <n v="4265848"/>
    <s v="LIGIA DE PAULA MESSIAS"/>
    <s v="SP"/>
    <n v="474"/>
    <s v="Site Brastemp"/>
    <n v="1352"/>
    <s v="W10866791"/>
    <s v="Kits Instalação"/>
    <x v="5"/>
    <n v="2"/>
    <n v="5002359"/>
    <s v="EMPRESA BRASILEIRA DE CORREIOS E"/>
    <n v="236.94"/>
    <d v="2025-08-29T00:00:00"/>
  </r>
  <r>
    <n v="254065711"/>
    <n v="64841271"/>
    <s v="ZRDI"/>
    <n v="10126773"/>
    <n v="208"/>
    <s v="DEV-Atraso entrega- LOGISTICA(Transp)"/>
    <s v="TRANSPORTADORA"/>
    <x v="0"/>
    <n v="4265848"/>
    <s v="LIGIA DE PAULA MESSIAS"/>
    <s v="SP"/>
    <n v="474"/>
    <s v="Site Brastemp"/>
    <n v="1352"/>
    <s v="W11100357"/>
    <s v="Tubos Queima"/>
    <x v="9"/>
    <n v="1"/>
    <n v="5002359"/>
    <s v="EMPRESA BRASILEIRA DE CORREIOS E"/>
    <n v="96.25"/>
    <d v="2025-08-29T00:00:00"/>
  </r>
  <r>
    <n v="254065711"/>
    <n v="64841271"/>
    <s v="ZRDI"/>
    <n v="10126773"/>
    <n v="208"/>
    <s v="DEV-Atraso entrega- LOGISTICA(Transp)"/>
    <s v="TRANSPORTADORA"/>
    <x v="0"/>
    <n v="4265848"/>
    <s v="LIGIA DE PAULA MESSIAS"/>
    <s v="SP"/>
    <n v="474"/>
    <s v="Site Brastemp"/>
    <n v="1352"/>
    <s v="W11100356"/>
    <s v="Outros"/>
    <x v="5"/>
    <n v="1"/>
    <n v="5002359"/>
    <s v="EMPRESA BRASILEIRA DE CORREIOS E"/>
    <n v="40.61"/>
    <d v="2025-08-29T00:00:00"/>
  </r>
  <r>
    <n v="254065713"/>
    <n v="64841272"/>
    <s v="ZRDI"/>
    <n v="10127707"/>
    <n v="208"/>
    <s v="DEV-Atraso entrega- LOGISTICA(Transp)"/>
    <s v="TRANSPORTADORA"/>
    <x v="0"/>
    <n v="58142180"/>
    <s v="RAFAEL PEREIRA"/>
    <s v="BA"/>
    <n v="475"/>
    <s v="Site Consul"/>
    <n v="1352"/>
    <s v="W11112652"/>
    <s v="Botões"/>
    <x v="3"/>
    <n v="1"/>
    <n v="5002359"/>
    <s v="EMPRESA BRASILEIRA DE CORREIOS E"/>
    <n v="33.700000000000003"/>
    <d v="2025-08-29T00:00:00"/>
  </r>
  <r>
    <n v="254065713"/>
    <n v="64841272"/>
    <s v="ZRDI"/>
    <n v="10127707"/>
    <n v="208"/>
    <s v="DEV-Atraso entrega- LOGISTICA(Transp)"/>
    <s v="TRANSPORTADORA"/>
    <x v="0"/>
    <n v="58142180"/>
    <s v="RAFAEL PEREIRA"/>
    <s v="BA"/>
    <n v="475"/>
    <s v="Site Consul"/>
    <n v="1352"/>
    <s v="W10721910"/>
    <s v="Pressostatos"/>
    <x v="8"/>
    <n v="1"/>
    <n v="5002359"/>
    <s v="EMPRESA BRASILEIRA DE CORREIOS E"/>
    <n v="59.48"/>
    <d v="2025-08-29T00:00:00"/>
  </r>
  <r>
    <n v="254065714"/>
    <n v="64841273"/>
    <s v="ZRDI"/>
    <n v="10130104"/>
    <n v="208"/>
    <s v="DEV-Atraso entrega- LOGISTICA(Transp)"/>
    <s v="TRANSPORTADORA"/>
    <x v="0"/>
    <n v="53620697"/>
    <s v="PHELIPE FIGUEIREDO TERRIBILE"/>
    <s v="SP"/>
    <n v="474"/>
    <s v="Site Brastemp"/>
    <n v="1352"/>
    <s v="W11559303"/>
    <s v="Kits Instalação"/>
    <x v="5"/>
    <n v="1"/>
    <n v="5002359"/>
    <s v="EMPRESA BRASILEIRA DE CORREIOS E"/>
    <n v="224.89"/>
    <d v="2025-08-29T00:00:00"/>
  </r>
  <r>
    <n v="254065714"/>
    <n v="64841273"/>
    <s v="ZRDI"/>
    <n v="10130104"/>
    <n v="208"/>
    <s v="DEV-Atraso entrega- LOGISTICA(Transp)"/>
    <s v="TRANSPORTADORA"/>
    <x v="0"/>
    <n v="53620697"/>
    <s v="PHELIPE FIGUEIREDO TERRIBILE"/>
    <s v="SP"/>
    <n v="474"/>
    <s v="Site Brastemp"/>
    <n v="1352"/>
    <s v="W11213068"/>
    <s v="Acessórios"/>
    <x v="5"/>
    <n v="1"/>
    <n v="5002359"/>
    <s v="EMPRESA BRASILEIRA DE CORREIOS E"/>
    <n v="40.08"/>
    <d v="2025-08-29T00:00:00"/>
  </r>
  <r>
    <n v="254065715"/>
    <n v="64841274"/>
    <s v="ZRDI"/>
    <n v="10132987"/>
    <n v="208"/>
    <s v="DEV-Atraso entrega- LOGISTICA(Transp)"/>
    <s v="TRANSPORTADORA"/>
    <x v="0"/>
    <n v="50802527"/>
    <s v="OSVALDO JUNIOR"/>
    <s v="PR"/>
    <n v="475"/>
    <s v="Site Consul"/>
    <n v="1352"/>
    <s v="W10301562"/>
    <s v="Filtros"/>
    <x v="6"/>
    <n v="2"/>
    <n v="5002359"/>
    <s v="EMPRESA BRASILEIRA DE CORREIOS E"/>
    <n v="180.18"/>
    <d v="2025-08-29T00:00:00"/>
  </r>
  <r>
    <n v="254065715"/>
    <n v="64841274"/>
    <s v="ZRDI"/>
    <n v="10132987"/>
    <n v="208"/>
    <s v="DEV-Atraso entrega- LOGISTICA(Transp)"/>
    <s v="TRANSPORTADORA"/>
    <x v="0"/>
    <n v="50802527"/>
    <s v="OSVALDO JUNIOR"/>
    <s v="PR"/>
    <n v="475"/>
    <s v="Site Consul"/>
    <n v="1352"/>
    <s v="W10301562"/>
    <s v="Filtros"/>
    <x v="6"/>
    <n v="1"/>
    <n v="5002359"/>
    <s v="EMPRESA BRASILEIRA DE CORREIOS E"/>
    <n v="90.11"/>
    <d v="2025-08-29T00:00:00"/>
  </r>
  <r>
    <n v="254065717"/>
    <n v="64841275"/>
    <s v="ZRDI"/>
    <n v="10138796"/>
    <n v="208"/>
    <s v="DEV-Atraso entrega- LOGISTICA(Transp)"/>
    <s v="TRANSPORTADORA"/>
    <x v="0"/>
    <n v="58160669"/>
    <s v="CAMILA SOUZA"/>
    <s v="SP"/>
    <n v="475"/>
    <s v="Site Consul"/>
    <n v="1352"/>
    <s v="W11199342"/>
    <s v="Filtros"/>
    <x v="6"/>
    <n v="1"/>
    <n v="5002359"/>
    <s v="EMPRESA BRASILEIRA DE CORREIOS E"/>
    <n v="94.3"/>
    <d v="2025-08-29T00:00:00"/>
  </r>
  <r>
    <n v="254065719"/>
    <n v="64841276"/>
    <s v="ZRDI"/>
    <n v="10141092"/>
    <n v="208"/>
    <s v="DEV-Atraso entrega- LOGISTICA(Transp)"/>
    <s v="TRANSPORTADORA"/>
    <x v="0"/>
    <n v="57786894"/>
    <s v="LUIZ ANTONIO JASSI FRANCISCONI"/>
    <s v="PR"/>
    <n v="466"/>
    <s v="Sup ML Marketplace"/>
    <n v="1352"/>
    <s v="W11509386"/>
    <s v="Filtros"/>
    <x v="6"/>
    <n v="1"/>
    <n v="5002359"/>
    <s v="EMPRESA BRASILEIRA DE CORREIOS E"/>
    <n v="127.96"/>
    <d v="2025-08-29T00:00:00"/>
  </r>
  <r>
    <n v="254065720"/>
    <n v="64841277"/>
    <s v="ZRDI"/>
    <n v="10144369"/>
    <n v="208"/>
    <s v="DEV-Atraso entrega- LOGISTICA(Transp)"/>
    <s v="TRANSPORTADORA"/>
    <x v="0"/>
    <n v="58164382"/>
    <s v="RAFAEL MENDES"/>
    <s v="ES"/>
    <n v="474"/>
    <s v="Site Brastemp"/>
    <n v="1352"/>
    <s v="W11559186"/>
    <s v="Kits Instalação"/>
    <x v="5"/>
    <n v="1"/>
    <n v="5002359"/>
    <s v="EMPRESA BRASILEIRA DE CORREIOS E"/>
    <n v="216.33"/>
    <d v="2025-08-29T00:00:00"/>
  </r>
  <r>
    <n v="254065723"/>
    <n v="64841278"/>
    <s v="ZRDI"/>
    <n v="10153841"/>
    <n v="208"/>
    <s v="DEV-Atraso entrega- LOGISTICA(Transp)"/>
    <s v="TRANSPORTADORA"/>
    <x v="0"/>
    <n v="57597500"/>
    <s v="LUCAS HENRIQUE MAGALHÃES"/>
    <s v="SP"/>
    <n v="474"/>
    <s v="Site Brastemp"/>
    <n v="1352"/>
    <s v="W11213068"/>
    <s v="Acessórios"/>
    <x v="5"/>
    <n v="1"/>
    <n v="5002359"/>
    <s v="EMPRESA BRASILEIRA DE CORREIOS E"/>
    <n v="40.08"/>
    <d v="2025-08-29T00:00:00"/>
  </r>
  <r>
    <n v="254065723"/>
    <n v="64841278"/>
    <s v="ZRDI"/>
    <n v="10153841"/>
    <n v="208"/>
    <s v="DEV-Atraso entrega- LOGISTICA(Transp)"/>
    <s v="TRANSPORTADORA"/>
    <x v="0"/>
    <n v="57597500"/>
    <s v="LUCAS HENRIQUE MAGALHÃES"/>
    <s v="SP"/>
    <n v="474"/>
    <s v="Site Brastemp"/>
    <n v="1352"/>
    <s v="W10620706"/>
    <s v="Outros"/>
    <x v="5"/>
    <n v="1"/>
    <n v="5002359"/>
    <s v="EMPRESA BRASILEIRA DE CORREIOS E"/>
    <n v="25.42"/>
    <d v="2025-08-29T00:00:00"/>
  </r>
  <r>
    <s v="Sem TR"/>
    <n v="64841279"/>
    <s v="ZRDI"/>
    <n v="10162946"/>
    <n v="208"/>
    <s v="DEV-Atraso entrega- LOGISTICA(Transp)"/>
    <s v="TRANSPORTADORA"/>
    <x v="0"/>
    <n v="58189487"/>
    <s v="ANTÔNIO DA SILVA AGUIAR"/>
    <s v="MA"/>
    <n v="475"/>
    <s v="Site Consul"/>
    <n v="1352"/>
    <s v="W11226308"/>
    <s v="Tanques"/>
    <x v="1"/>
    <n v="1"/>
    <n v="5002359"/>
    <s v="EMPRESA BRASILEIRA DE CORREIOS E"/>
    <n v="276.89999999999998"/>
    <d v="2025-08-29T00:00:00"/>
  </r>
  <r>
    <n v="254065724"/>
    <n v="64841280"/>
    <s v="ZRDI"/>
    <n v="10164546"/>
    <n v="208"/>
    <s v="DEV-Atraso entrega- LOGISTICA(Transp)"/>
    <s v="TRANSPORTADORA"/>
    <x v="0"/>
    <n v="58191406"/>
    <s v="GRAZIELA DOS SANTOS MCNAMEE"/>
    <s v="SC"/>
    <n v="475"/>
    <s v="Site Consul"/>
    <n v="1352"/>
    <s v="W10301562"/>
    <s v="Filtros"/>
    <x v="6"/>
    <n v="1"/>
    <n v="5002359"/>
    <s v="EMPRESA BRASILEIRA DE CORREIOS E"/>
    <n v="101.83"/>
    <d v="2025-08-29T00:00:00"/>
  </r>
  <r>
    <n v="254065726"/>
    <n v="64841281"/>
    <s v="ZRDI"/>
    <n v="10178631"/>
    <n v="208"/>
    <s v="DEV-Atraso entrega- LOGISTICA(Transp)"/>
    <s v="TRANSPORTADORA"/>
    <x v="0"/>
    <n v="53952401"/>
    <s v="LUCAS RODRIGUES"/>
    <s v="RS"/>
    <n v="475"/>
    <s v="Site Consul"/>
    <n v="1352"/>
    <s v="W11509386"/>
    <s v="Filtros"/>
    <x v="6"/>
    <n v="2"/>
    <n v="5002359"/>
    <s v="EMPRESA BRASILEIRA DE CORREIOS E"/>
    <n v="218.44"/>
    <d v="2025-08-29T00:00:00"/>
  </r>
  <r>
    <n v="254065726"/>
    <n v="64841281"/>
    <s v="ZRDI"/>
    <n v="10178631"/>
    <n v="208"/>
    <s v="DEV-Atraso entrega- LOGISTICA(Transp)"/>
    <s v="TRANSPORTADORA"/>
    <x v="0"/>
    <n v="53952401"/>
    <s v="LUCAS RODRIGUES"/>
    <s v="RS"/>
    <n v="475"/>
    <s v="Site Consul"/>
    <n v="1352"/>
    <s v="W11509386"/>
    <s v="Filtros"/>
    <x v="6"/>
    <n v="1"/>
    <n v="5002359"/>
    <s v="EMPRESA BRASILEIRA DE CORREIOS E"/>
    <n v="109.24"/>
    <d v="2025-08-29T00:00:00"/>
  </r>
  <r>
    <n v="254065727"/>
    <n v="64841282"/>
    <s v="ZRDI"/>
    <n v="10178783"/>
    <n v="208"/>
    <s v="DEV-Atraso entrega- LOGISTICA(Transp)"/>
    <s v="TRANSPORTADORA"/>
    <x v="0"/>
    <n v="57804006"/>
    <s v="MIRELLA FERRAZ MESCH"/>
    <s v="SC"/>
    <n v="475"/>
    <s v="Site Consul"/>
    <n v="1352"/>
    <s v="W11509386"/>
    <s v="Filtros"/>
    <x v="6"/>
    <n v="1"/>
    <n v="5002359"/>
    <s v="EMPRESA BRASILEIRA DE CORREIOS E"/>
    <n v="118.17"/>
    <d v="2025-08-29T00:00:00"/>
  </r>
  <r>
    <s v="Sem TR"/>
    <n v="64841283"/>
    <s v="ZRDI"/>
    <n v="10179028"/>
    <n v="208"/>
    <s v="DEV-Atraso entrega- LOGISTICA(Transp)"/>
    <s v="TRANSPORTADORA"/>
    <x v="0"/>
    <n v="53707663"/>
    <s v="JAIR MEDEIROS"/>
    <s v="CE"/>
    <n v="466"/>
    <s v="Sup ML Marketplace"/>
    <n v="1352"/>
    <s v="W11375416"/>
    <s v="Tampas Móveis"/>
    <x v="3"/>
    <n v="1"/>
    <n v="5002359"/>
    <s v="EMPRESA BRASILEIRA DE CORREIOS E"/>
    <n v="54.22"/>
    <d v="2025-08-29T00:00:00"/>
  </r>
  <r>
    <n v="254065728"/>
    <n v="64841284"/>
    <s v="ZRDI"/>
    <n v="10181860"/>
    <n v="208"/>
    <s v="DEV-Atraso entrega- LOGISTICA(Transp)"/>
    <s v="TRANSPORTADORA"/>
    <x v="0"/>
    <n v="50370420"/>
    <s v="FELIPE VIEIRA DE OLIVEIRA"/>
    <s v="MG"/>
    <n v="466"/>
    <s v="Sup ML Marketplace"/>
    <n v="1352"/>
    <s v="W11210246"/>
    <s v="Painéis Decorativos"/>
    <x v="3"/>
    <n v="1"/>
    <n v="5002359"/>
    <s v="EMPRESA BRASILEIRA DE CORREIOS E"/>
    <n v="49.96"/>
    <d v="2025-08-29T00:00:00"/>
  </r>
  <r>
    <n v="254065729"/>
    <n v="64841285"/>
    <s v="ZRDI"/>
    <n v="10181917"/>
    <n v="208"/>
    <s v="DEV-Atraso entrega- LOGISTICA(Transp)"/>
    <s v="TRANSPORTADORA"/>
    <x v="0"/>
    <n v="58208813"/>
    <s v="MATHEUS LEANDRO"/>
    <s v="SC"/>
    <n v="474"/>
    <s v="Site Brastemp"/>
    <n v="1352"/>
    <s v="W10657521"/>
    <s v="Portas"/>
    <x v="3"/>
    <n v="1"/>
    <n v="5002359"/>
    <s v="EMPRESA BRASILEIRA DE CORREIOS E"/>
    <n v="114.45"/>
    <d v="2025-08-29T00:00:00"/>
  </r>
  <r>
    <n v="254065730"/>
    <n v="64841286"/>
    <s v="ZRDI"/>
    <n v="10181247"/>
    <n v="208"/>
    <s v="DEV-Atraso entrega- LOGISTICA(Transp)"/>
    <s v="TRANSPORTADORA"/>
    <x v="0"/>
    <n v="58211408"/>
    <s v="MÔNICA BOMFIM OLIVEIRA"/>
    <s v="RJ"/>
    <n v="474"/>
    <s v="Site Brastemp"/>
    <n v="1352"/>
    <s v="W11213068"/>
    <s v="Acessórios"/>
    <x v="5"/>
    <n v="2"/>
    <n v="5002359"/>
    <s v="EMPRESA BRASILEIRA DE CORREIOS E"/>
    <n v="84.2"/>
    <d v="2025-08-29T00:00:00"/>
  </r>
  <r>
    <n v="254065731"/>
    <n v="64841287"/>
    <s v="ZRDI"/>
    <n v="10182379"/>
    <n v="208"/>
    <s v="DEV-Atraso entrega- LOGISTICA(Transp)"/>
    <s v="TRANSPORTADORA"/>
    <x v="0"/>
    <n v="57804529"/>
    <s v="LUIZ DUARTE"/>
    <s v="SC"/>
    <n v="475"/>
    <s v="Site Consul"/>
    <n v="1352"/>
    <s v="W11199342"/>
    <s v="Filtros"/>
    <x v="6"/>
    <n v="1"/>
    <n v="5002359"/>
    <s v="EMPRESA BRASILEIRA DE CORREIOS E"/>
    <n v="101.83"/>
    <d v="2025-08-29T00:00:00"/>
  </r>
  <r>
    <n v="254065732"/>
    <n v="64841288"/>
    <s v="ZRDI"/>
    <n v="10183906"/>
    <n v="208"/>
    <s v="DEV-Atraso entrega- LOGISTICA(Transp)"/>
    <s v="TRANSPORTADORA"/>
    <x v="0"/>
    <n v="56226528"/>
    <s v="ALBERTO PEREIRA"/>
    <s v="RJ"/>
    <n v="474"/>
    <s v="Site Brastemp"/>
    <n v="1352"/>
    <s v="W10866789"/>
    <s v="Kits Instalação"/>
    <x v="5"/>
    <n v="1"/>
    <n v="5002359"/>
    <s v="EMPRESA BRASILEIRA DE CORREIOS E"/>
    <n v="75.44"/>
    <d v="2025-08-29T00:00:00"/>
  </r>
  <r>
    <n v="254065734"/>
    <n v="64841289"/>
    <s v="ZRDI"/>
    <n v="10186858"/>
    <n v="208"/>
    <s v="DEV-Atraso entrega- LOGISTICA(Transp)"/>
    <s v="TRANSPORTADORA"/>
    <x v="0"/>
    <n v="58025977"/>
    <s v="CARLOS HENRIQUE"/>
    <s v="RJ"/>
    <n v="474"/>
    <s v="Site Brastemp"/>
    <n v="1352"/>
    <s v="W10866791"/>
    <s v="Kits Instalação"/>
    <x v="5"/>
    <n v="2"/>
    <n v="5002359"/>
    <s v="EMPRESA BRASILEIRA DE CORREIOS E"/>
    <n v="229.6"/>
    <d v="2025-08-29T00:00:00"/>
  </r>
  <r>
    <n v="254065734"/>
    <n v="64841289"/>
    <s v="ZRDI"/>
    <n v="10186858"/>
    <n v="208"/>
    <s v="DEV-Atraso entrega- LOGISTICA(Transp)"/>
    <s v="TRANSPORTADORA"/>
    <x v="0"/>
    <n v="58025977"/>
    <s v="CARLOS HENRIQUE"/>
    <s v="RJ"/>
    <n v="474"/>
    <s v="Site Brastemp"/>
    <n v="1352"/>
    <s v="W10866793"/>
    <s v="Outros"/>
    <x v="5"/>
    <n v="1"/>
    <n v="5002359"/>
    <s v="EMPRESA BRASILEIRA DE CORREIOS E"/>
    <n v="39.36"/>
    <d v="2025-08-29T00:00:00"/>
  </r>
  <r>
    <n v="254065734"/>
    <n v="64841289"/>
    <s v="ZRDI"/>
    <n v="10186858"/>
    <n v="208"/>
    <s v="DEV-Atraso entrega- LOGISTICA(Transp)"/>
    <s v="TRANSPORTADORA"/>
    <x v="0"/>
    <n v="58025977"/>
    <s v="CARLOS HENRIQUE"/>
    <s v="RJ"/>
    <n v="474"/>
    <s v="Site Brastemp"/>
    <n v="1352"/>
    <s v="W11100357"/>
    <s v="Tubos Queima"/>
    <x v="9"/>
    <n v="1"/>
    <n v="5002359"/>
    <s v="EMPRESA BRASILEIRA DE CORREIOS E"/>
    <n v="93.26"/>
    <d v="2025-08-29T00:00:00"/>
  </r>
  <r>
    <n v="254065736"/>
    <n v="64841290"/>
    <s v="ZRDI"/>
    <n v="10186487"/>
    <n v="208"/>
    <s v="DEV-Atraso entrega- LOGISTICA(Transp)"/>
    <s v="TRANSPORTADORA"/>
    <x v="0"/>
    <n v="58214549"/>
    <s v="LUIZA BUCHMANN"/>
    <s v="SC"/>
    <n v="475"/>
    <s v="Site Consul"/>
    <n v="1352"/>
    <s v="W10515645"/>
    <s v="Filtros"/>
    <x v="6"/>
    <n v="2"/>
    <n v="5002359"/>
    <s v="EMPRESA BRASILEIRA DE CORREIOS E"/>
    <n v="97.22"/>
    <d v="2025-08-29T00:00:00"/>
  </r>
  <r>
    <n v="254065738"/>
    <n v="64841291"/>
    <s v="ZRDI"/>
    <n v="10188506"/>
    <n v="208"/>
    <s v="DEV-Atraso entrega- LOGISTICA(Transp)"/>
    <s v="TRANSPORTADORA"/>
    <x v="0"/>
    <n v="54840863"/>
    <s v="LENIRA FRACASSO"/>
    <s v="RJ"/>
    <n v="475"/>
    <s v="Site Consul"/>
    <n v="1352"/>
    <s v="W10866789"/>
    <s v="Kits Instalação"/>
    <x v="5"/>
    <n v="1"/>
    <n v="5002359"/>
    <s v="EMPRESA BRASILEIRA DE CORREIOS E"/>
    <n v="75.44"/>
    <d v="2025-08-29T00:00:00"/>
  </r>
  <r>
    <n v="254065741"/>
    <n v="64841292"/>
    <s v="ZRDI"/>
    <n v="10190896"/>
    <n v="208"/>
    <s v="DEV-Atraso entrega- LOGISTICA(Transp)"/>
    <s v="TRANSPORTADORA"/>
    <x v="0"/>
    <n v="58217124"/>
    <s v="YASMIN RAHN"/>
    <s v="SC"/>
    <n v="475"/>
    <s v="Site Consul"/>
    <n v="1352"/>
    <s v="W11199342"/>
    <s v="Filtros"/>
    <x v="6"/>
    <n v="1"/>
    <n v="5002359"/>
    <s v="EMPRESA BRASILEIRA DE CORREIOS E"/>
    <n v="101.83"/>
    <d v="2025-08-29T00:00:00"/>
  </r>
  <r>
    <n v="254065753"/>
    <n v="64841293"/>
    <s v="ZRDI"/>
    <n v="10195708"/>
    <n v="208"/>
    <s v="DEV-Atraso entrega- LOGISTICA(Transp)"/>
    <s v="TRANSPORTADORA"/>
    <x v="0"/>
    <n v="58228141"/>
    <s v="BEATRIZ MAIA"/>
    <s v="SP"/>
    <n v="475"/>
    <s v="Site Consul"/>
    <n v="1352"/>
    <s v="W11199342"/>
    <s v="Filtros"/>
    <x v="6"/>
    <n v="1"/>
    <n v="5002359"/>
    <s v="EMPRESA BRASILEIRA DE CORREIOS E"/>
    <n v="89.81"/>
    <d v="2025-08-29T00:00:00"/>
  </r>
  <r>
    <n v="254065756"/>
    <n v="64841299"/>
    <s v="ZRDI"/>
    <n v="10200894"/>
    <n v="208"/>
    <s v="DEV-Atraso entrega- LOGISTICA(Transp)"/>
    <s v="TRANSPORTADORA"/>
    <x v="0"/>
    <n v="55589871"/>
    <s v="THAMIRES CARRILHO DE MENEZES"/>
    <s v="RJ"/>
    <n v="475"/>
    <s v="Site Consul"/>
    <n v="1352"/>
    <s v="W11132264"/>
    <s v="Trempes"/>
    <x v="3"/>
    <n v="1"/>
    <n v="5002359"/>
    <s v="EMPRESA BRASILEIRA DE CORREIOS E"/>
    <n v="67.02"/>
    <d v="2025-08-29T00:00:00"/>
  </r>
  <r>
    <n v="254065758"/>
    <n v="64841300"/>
    <s v="ZRDI"/>
    <n v="10201554"/>
    <n v="208"/>
    <s v="DEV-Atraso entrega- LOGISTICA(Transp)"/>
    <s v="TRANSPORTADORA"/>
    <x v="0"/>
    <n v="58237529"/>
    <s v="DANIELA GONZALEZ"/>
    <s v="SP"/>
    <n v="475"/>
    <s v="Site Consul"/>
    <n v="1352"/>
    <s v="W11199342"/>
    <s v="Filtros"/>
    <x v="6"/>
    <n v="1"/>
    <n v="5002359"/>
    <s v="EMPRESA BRASILEIRA DE CORREIOS E"/>
    <n v="89.81"/>
    <d v="2025-08-29T00:00:00"/>
  </r>
  <r>
    <n v="254065761"/>
    <n v="64841301"/>
    <s v="ZRDI"/>
    <n v="10202095"/>
    <n v="208"/>
    <s v="DEV-Atraso entrega- LOGISTICA(Transp)"/>
    <s v="TRANSPORTADORA"/>
    <x v="0"/>
    <n v="50229995"/>
    <s v="EMERSON SORIANO"/>
    <s v="SP"/>
    <n v="474"/>
    <s v="Site Brastemp"/>
    <n v="1352"/>
    <s v="W10911543"/>
    <s v="Manípulos"/>
    <x v="3"/>
    <n v="3"/>
    <n v="5002359"/>
    <s v="EMPRESA BRASILEIRA DE CORREIOS E"/>
    <n v="66.599999999999994"/>
    <d v="2025-08-29T00:00:00"/>
  </r>
  <r>
    <n v="254065762"/>
    <n v="64841302"/>
    <s v="ZRDI"/>
    <n v="10202107"/>
    <n v="208"/>
    <s v="DEV-Atraso entrega- LOGISTICA(Transp)"/>
    <s v="TRANSPORTADORA"/>
    <x v="0"/>
    <n v="51804652"/>
    <s v="EDSON FREITAS LEITE"/>
    <s v="SP"/>
    <n v="475"/>
    <s v="Site Consul"/>
    <n v="1352"/>
    <s v="W10169457"/>
    <s v="Prateleiras"/>
    <x v="1"/>
    <n v="1"/>
    <n v="5002359"/>
    <s v="EMPRESA BRASILEIRA DE CORREIOS E"/>
    <n v="77.209999999999994"/>
    <d v="2025-08-29T00:00:00"/>
  </r>
  <r>
    <n v="254065762"/>
    <n v="64841302"/>
    <s v="ZRDI"/>
    <n v="10202107"/>
    <n v="208"/>
    <s v="DEV-Atraso entrega- LOGISTICA(Transp)"/>
    <s v="TRANSPORTADORA"/>
    <x v="0"/>
    <n v="51804652"/>
    <s v="EDSON FREITAS LEITE"/>
    <s v="SP"/>
    <n v="475"/>
    <s v="Site Consul"/>
    <n v="1352"/>
    <s v="W10169459"/>
    <s v="Prateleiras"/>
    <x v="1"/>
    <n v="1"/>
    <n v="5002359"/>
    <s v="EMPRESA BRASILEIRA DE CORREIOS E"/>
    <n v="55.8"/>
    <d v="2025-08-29T00:00:00"/>
  </r>
  <r>
    <n v="254065762"/>
    <n v="64841302"/>
    <s v="ZRDI"/>
    <n v="10202107"/>
    <n v="208"/>
    <s v="DEV-Atraso entrega- LOGISTICA(Transp)"/>
    <s v="TRANSPORTADORA"/>
    <x v="0"/>
    <n v="51804652"/>
    <s v="EDSON FREITAS LEITE"/>
    <s v="SP"/>
    <n v="475"/>
    <s v="Site Consul"/>
    <n v="1352"/>
    <s v="W11374521"/>
    <s v="Suportes"/>
    <x v="3"/>
    <n v="1"/>
    <n v="5002359"/>
    <s v="EMPRESA BRASILEIRA DE CORREIOS E"/>
    <n v="41.39"/>
    <d v="2025-08-29T00:00:00"/>
  </r>
  <r>
    <s v="Sem TR"/>
    <n v="64841394"/>
    <s v="ZRDI"/>
    <n v="10207757"/>
    <s v="D10"/>
    <s v="DEV D2C - Comprou modelo errado"/>
    <s v="COMERCIAL"/>
    <x v="0"/>
    <n v="53346297"/>
    <s v="ADELI LUIZ"/>
    <s v="MG"/>
    <n v="475"/>
    <s v="Site Consul"/>
    <n v="1352"/>
    <s v="W10200101"/>
    <s v="Prateleiras"/>
    <x v="1"/>
    <n v="1"/>
    <n v="5002359"/>
    <s v="EMPRESA BRASILEIRA DE CORREIOS E"/>
    <n v="104.4"/>
    <d v="2025-08-29T00:00:00"/>
  </r>
  <r>
    <n v="254066456"/>
    <n v="64841406"/>
    <s v="ZRDI"/>
    <n v="10215494"/>
    <s v="D14"/>
    <s v="DEV D2C - Comprou prod cor errada"/>
    <s v="COMERCIAL"/>
    <x v="0"/>
    <n v="5666154"/>
    <s v="ANÍSIO CELSO DOS SANTOS FILHO"/>
    <s v="BA"/>
    <n v="475"/>
    <s v="Site Consul"/>
    <n v="1352"/>
    <s v="W11509387"/>
    <s v="Filtros"/>
    <x v="6"/>
    <n v="1"/>
    <n v="5002359"/>
    <s v="EMPRESA BRASILEIRA DE CORREIOS E"/>
    <n v="107.96"/>
    <d v="2025-09-01T00:00:00"/>
  </r>
  <r>
    <n v="254066456"/>
    <n v="64841406"/>
    <s v="ZRDI"/>
    <n v="10215494"/>
    <s v="D14"/>
    <s v="DEV D2C - Comprou prod cor errada"/>
    <s v="COMERCIAL"/>
    <x v="0"/>
    <n v="5666154"/>
    <s v="ANÍSIO CELSO DOS SANTOS FILHO"/>
    <s v="BA"/>
    <n v="475"/>
    <s v="Site Consul"/>
    <n v="1352"/>
    <s v="W11509387"/>
    <s v="Filtros"/>
    <x v="6"/>
    <n v="1"/>
    <n v="5002359"/>
    <s v="EMPRESA BRASILEIRA DE CORREIOS E"/>
    <n v="107.98"/>
    <d v="2025-09-01T00:00:00"/>
  </r>
  <r>
    <n v="254066458"/>
    <n v="64841408"/>
    <s v="ZRDI"/>
    <n v="10218311"/>
    <s v="D10"/>
    <s v="DEV D2C - Comprou modelo errado"/>
    <s v="COMERCIAL"/>
    <x v="0"/>
    <n v="57840088"/>
    <s v="PAULA CALDAS"/>
    <s v="RJ"/>
    <n v="474"/>
    <s v="Site Brastemp"/>
    <n v="1352"/>
    <s v="W11245249"/>
    <s v="Válvulas de Água"/>
    <x v="6"/>
    <n v="1"/>
    <n v="5002359"/>
    <s v="EMPRESA BRASILEIRA DE CORREIOS E"/>
    <n v="87.64"/>
    <d v="2025-09-01T00:00:00"/>
  </r>
  <r>
    <s v="Sem TR"/>
    <n v="64841474"/>
    <s v="ZRDI"/>
    <n v="10216578"/>
    <s v="D10"/>
    <s v="DEV D2C - Comprou modelo errado"/>
    <s v="COMERCIAL"/>
    <x v="0"/>
    <n v="50443214"/>
    <s v="MARCUS WIBE"/>
    <s v="SP"/>
    <n v="475"/>
    <s v="Site Consul"/>
    <n v="1352"/>
    <s v="W11294886"/>
    <s v="Cordões de Alimentação"/>
    <x v="2"/>
    <n v="1"/>
    <n v="5002359"/>
    <s v="EMPRESA BRASILEIRA DE CORREIOS E"/>
    <n v="123.46"/>
    <d v="2025-08-29T00:00:00"/>
  </r>
  <r>
    <s v="Sem TR"/>
    <n v="64841476"/>
    <s v="ZRDI"/>
    <n v="10220128"/>
    <s v="D10"/>
    <s v="DEV D2C - Comprou modelo errado"/>
    <s v="COMERCIAL"/>
    <x v="0"/>
    <n v="58256993"/>
    <s v="GUSTAVO MILBEYER"/>
    <s v="SP"/>
    <n v="475"/>
    <s v="Site Consul"/>
    <n v="1352"/>
    <s v="W10212150"/>
    <s v="Gavetas"/>
    <x v="1"/>
    <n v="1"/>
    <n v="5002359"/>
    <s v="EMPRESA BRASILEIRA DE CORREIOS E"/>
    <n v="104.7"/>
    <d v="2025-08-30T00:00:00"/>
  </r>
  <r>
    <n v="254066029"/>
    <n v="64841557"/>
    <s v="ZRDI"/>
    <n v="10193072"/>
    <s v="D18"/>
    <s v="DEV D2C - Arrependimento não quero mais"/>
    <s v="COMERCIAL"/>
    <x v="0"/>
    <n v="4020367"/>
    <s v="SUZY SOUZA"/>
    <s v="SP"/>
    <n v="474"/>
    <s v="Site Brastemp"/>
    <n v="1352"/>
    <s v="W10667474"/>
    <s v="Gaxetas"/>
    <x v="10"/>
    <n v="1"/>
    <n v="5003972"/>
    <s v="ICARO EXPRESS LOGISTICA LTDA"/>
    <n v="24.73"/>
    <d v="2025-08-30T00:00:00"/>
  </r>
  <r>
    <n v="254066030"/>
    <n v="64841558"/>
    <s v="ZRDI"/>
    <n v="10205079"/>
    <s v="D10"/>
    <s v="DEV D2C - Comprou modelo errado"/>
    <s v="COMERCIAL"/>
    <x v="0"/>
    <n v="4660690"/>
    <s v="MANOELA SIUFFO"/>
    <s v="RJ"/>
    <n v="474"/>
    <s v="Site Brastemp"/>
    <n v="1352"/>
    <s v="W10320833"/>
    <s v="Filtros"/>
    <x v="6"/>
    <n v="1"/>
    <n v="5003972"/>
    <s v="ICARO EXPRESS LOGISTICA LTDA"/>
    <n v="166.32"/>
    <d v="2025-08-30T00:00:00"/>
  </r>
  <r>
    <n v="254066030"/>
    <n v="64841558"/>
    <s v="ZRDI"/>
    <n v="10205079"/>
    <s v="D10"/>
    <s v="DEV D2C - Comprou modelo errado"/>
    <s v="COMERCIAL"/>
    <x v="0"/>
    <n v="4660690"/>
    <s v="MANOELA SIUFFO"/>
    <s v="RJ"/>
    <n v="474"/>
    <s v="Site Brastemp"/>
    <n v="1352"/>
    <s v="W10320833"/>
    <s v="Filtros"/>
    <x v="6"/>
    <n v="1"/>
    <n v="5003972"/>
    <s v="ICARO EXPRESS LOGISTICA LTDA"/>
    <n v="166.33"/>
    <d v="2025-08-30T00:00:00"/>
  </r>
  <r>
    <n v="254066032"/>
    <n v="64841560"/>
    <s v="ZRDI"/>
    <n v="0"/>
    <s v="D10"/>
    <s v="DEV D2C - Comprou modelo errado"/>
    <s v="COMERCIAL"/>
    <x v="0"/>
    <n v="58238639"/>
    <s v="JOSÉ MARCIO RODRIGUES SOARES"/>
    <s v="SP"/>
    <n v="474"/>
    <s v="Site Brastemp"/>
    <n v="1352"/>
    <s v="W10447057"/>
    <s v="Placas de Controle"/>
    <x v="2"/>
    <n v="1"/>
    <n v="5003972"/>
    <s v="ICARO EXPRESS LOGISTICA LTDA"/>
    <n v="988.72"/>
    <d v="2025-08-30T00:00:00"/>
  </r>
  <r>
    <s v="Sem TR"/>
    <n v="64841634"/>
    <s v="ZRDI"/>
    <n v="0"/>
    <s v="D31"/>
    <s v="DEV D2C - Defeito estético manufatura"/>
    <s v="MANUFATURA"/>
    <x v="0"/>
    <n v="58184349"/>
    <s v="ELVIS NASCIMENTO"/>
    <s v="PE"/>
    <n v="475"/>
    <s v="Site Consul"/>
    <n v="1352"/>
    <s v="W11132264"/>
    <s v="Trempes"/>
    <x v="3"/>
    <n v="1"/>
    <n v="5002359"/>
    <s v="EMPRESA BRASILEIRA DE CORREIOS E"/>
    <n v="67.41"/>
    <d v="2025-08-30T00:00:00"/>
  </r>
  <r>
    <s v="Sem TR"/>
    <n v="0"/>
    <n v="0"/>
    <n v="0"/>
    <n v="0"/>
    <n v="0"/>
    <e v="#N/A"/>
    <x v="3"/>
    <n v="0"/>
    <n v="0"/>
    <n v="0"/>
    <n v="0"/>
    <n v="0"/>
    <n v="0"/>
    <n v="0"/>
    <s v="Outros"/>
    <x v="5"/>
    <n v="0"/>
    <n v="0"/>
    <n v="0"/>
    <n v="0"/>
    <d v="1899-12-30T00:00:00"/>
  </r>
  <r>
    <s v="Sem TR"/>
    <n v="0"/>
    <n v="0"/>
    <n v="0"/>
    <n v="0"/>
    <n v="0"/>
    <e v="#N/A"/>
    <x v="3"/>
    <n v="0"/>
    <n v="0"/>
    <n v="0"/>
    <n v="0"/>
    <n v="0"/>
    <n v="0"/>
    <n v="0"/>
    <s v="Outros"/>
    <x v="5"/>
    <n v="0"/>
    <n v="0"/>
    <n v="0"/>
    <n v="0"/>
    <d v="1899-12-30T00:00:00"/>
  </r>
  <r>
    <s v="Sem TR"/>
    <n v="0"/>
    <n v="0"/>
    <n v="0"/>
    <n v="0"/>
    <n v="0"/>
    <e v="#N/A"/>
    <x v="3"/>
    <n v="0"/>
    <n v="0"/>
    <n v="0"/>
    <n v="0"/>
    <n v="0"/>
    <n v="0"/>
    <n v="0"/>
    <s v="Outros"/>
    <x v="5"/>
    <n v="0"/>
    <n v="0"/>
    <n v="0"/>
    <n v="0"/>
    <d v="1899-12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Família de peças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>
  <location ref="A3:K19" firstHeaderRow="1" firstDataRow="3" firstDataCol="1"/>
  <pivotFields count="22"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">
        <item x="5"/>
        <item x="2"/>
        <item x="8"/>
        <item x="4"/>
        <item x="0"/>
        <item x="3"/>
        <item x="1"/>
        <item x="6"/>
        <item x="11"/>
        <item x="7"/>
        <item x="10"/>
        <item x="9"/>
        <item x="12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dataField="1" showAll="0"/>
    <pivotField numFmtId="14" showAll="0"/>
  </pivotFields>
  <rowFields count="1">
    <field x="16"/>
  </rowFields>
  <rowItems count="14">
    <i>
      <x v="4"/>
    </i>
    <i>
      <x v="1"/>
    </i>
    <i>
      <x v="3"/>
    </i>
    <i>
      <x v="5"/>
    </i>
    <i>
      <x/>
    </i>
    <i>
      <x v="7"/>
    </i>
    <i>
      <x v="6"/>
    </i>
    <i>
      <x v="2"/>
    </i>
    <i>
      <x v="10"/>
    </i>
    <i>
      <x v="8"/>
    </i>
    <i>
      <x v="9"/>
    </i>
    <i>
      <x v="11"/>
    </i>
    <i>
      <x v="12"/>
    </i>
    <i t="grand">
      <x/>
    </i>
  </rowItems>
  <colFields count="2">
    <field x="7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dataFields count="2">
    <dataField name="Soma de Qtd. Peças" fld="17" baseField="16" baseItem="0"/>
    <dataField name="Soma de   Val.Bruto." fld="20" baseField="16" baseItem="0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7" dataOnly="0" labelOnly="1" outline="0" axis="axisCol" fieldPosition="0">
        <references count="1">
          <reference field="4294967294" count="1" selected="0">
            <x v="0"/>
          </reference>
        </references>
      </pivotArea>
    </format>
    <format dxfId="6">
      <pivotArea field="7" dataOnly="0" labelOnly="1" outline="0" axis="axisCol" fieldPosition="0">
        <references count="1">
          <reference field="4294967294" count="1" selected="0">
            <x v="1"/>
          </reference>
        </references>
      </pivotArea>
    </format>
    <format dxfId="5">
      <pivotArea field="7" outline="0" collapsedLevelsAreSubtotals="1" axis="axisCol" fieldPosition="0">
        <references count="1">
          <reference field="4294967294" count="1" selected="0">
            <x v="0"/>
          </reference>
        </references>
      </pivotArea>
    </format>
    <format dxfId="4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field="7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1">
      <pivotArea outline="0" collapsedLevelsAreSubtotals="1" fieldPosition="0">
        <references count="2">
          <reference field="4294967294" count="2" selected="0">
            <x v="0"/>
            <x v="1"/>
          </reference>
          <reference field="7" count="1" selected="0">
            <x v="0"/>
          </reference>
        </references>
      </pivotArea>
    </format>
    <format dxfId="0">
      <pivotArea outline="0" collapsedLevelsAreSubtotals="1" fieldPosition="0">
        <references count="2">
          <reference field="4294967294" count="2" selected="0">
            <x v="0"/>
            <x v="1"/>
          </reference>
          <reference field="7" count="1" selected="0">
            <x v="1"/>
          </reference>
        </references>
      </pivotArea>
    </format>
  </formats>
  <pivotTableStyleInfo name="PivotStyleMedium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Impacto Cliente" cacheId="0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outline="1" outlineData="1" multipleFieldFilters="0">
  <location ref="A25:C246" firstHeaderRow="1" firstDataRow="2" firstDataCol="1"/>
  <pivotFields count="22"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5">
        <item h="1" x="2"/>
        <item h="1" x="1"/>
        <item x="0"/>
        <item h="1" x="3"/>
        <item t="default"/>
      </items>
    </pivotField>
    <pivotField showAll="0"/>
    <pivotField axis="axisRow" showAll="0" sortType="descending">
      <items count="2045">
        <item x="149"/>
        <item x="14"/>
        <item x="167"/>
        <item x="37"/>
        <item x="194"/>
        <item x="17"/>
        <item x="73"/>
        <item x="308"/>
        <item x="26"/>
        <item x="240"/>
        <item x="341"/>
        <item x="277"/>
        <item x="116"/>
        <item x="110"/>
        <item x="426"/>
        <item x="89"/>
        <item x="1233"/>
        <item x="46"/>
        <item x="176"/>
        <item x="288"/>
        <item x="183"/>
        <item x="331"/>
        <item x="305"/>
        <item x="290"/>
        <item x="99"/>
        <item x="90"/>
        <item x="298"/>
        <item x="235"/>
        <item x="135"/>
        <item x="151"/>
        <item x="325"/>
        <item x="293"/>
        <item x="136"/>
        <item x="222"/>
        <item x="268"/>
        <item x="395"/>
        <item x="48"/>
        <item x="273"/>
        <item x="1313"/>
        <item x="181"/>
        <item x="227"/>
        <item x="49"/>
        <item x="53"/>
        <item x="141"/>
        <item x="81"/>
        <item x="555"/>
        <item x="50"/>
        <item x="421"/>
        <item x="63"/>
        <item x="193"/>
        <item x="259"/>
        <item x="195"/>
        <item x="134"/>
        <item x="482"/>
        <item x="747"/>
        <item x="203"/>
        <item x="1132"/>
        <item x="451"/>
        <item x="254"/>
        <item x="32"/>
        <item x="1423"/>
        <item x="1844"/>
        <item x="220"/>
        <item x="1717"/>
        <item x="40"/>
        <item x="1887"/>
        <item x="2031"/>
        <item x="339"/>
        <item x="233"/>
        <item x="400"/>
        <item x="242"/>
        <item x="938"/>
        <item x="270"/>
        <item x="61"/>
        <item x="353"/>
        <item x="943"/>
        <item x="144"/>
        <item x="1720"/>
        <item x="219"/>
        <item x="161"/>
        <item x="74"/>
        <item x="292"/>
        <item x="1695"/>
        <item x="392"/>
        <item x="200"/>
        <item x="31"/>
        <item x="347"/>
        <item x="1786"/>
        <item x="717"/>
        <item x="97"/>
        <item x="186"/>
        <item x="3"/>
        <item x="648"/>
        <item x="344"/>
        <item x="882"/>
        <item x="1668"/>
        <item x="1561"/>
        <item x="1092"/>
        <item x="113"/>
        <item x="294"/>
        <item x="221"/>
        <item x="338"/>
        <item x="87"/>
        <item x="98"/>
        <item x="833"/>
        <item x="82"/>
        <item x="105"/>
        <item x="251"/>
        <item x="92"/>
        <item x="47"/>
        <item x="94"/>
        <item x="43"/>
        <item x="1"/>
        <item x="454"/>
        <item x="112"/>
        <item x="2006"/>
        <item x="280"/>
        <item x="260"/>
        <item x="75"/>
        <item x="295"/>
        <item x="1921"/>
        <item x="223"/>
        <item x="20"/>
        <item x="1050"/>
        <item x="106"/>
        <item x="172"/>
        <item x="232"/>
        <item x="327"/>
        <item x="492"/>
        <item x="180"/>
        <item x="231"/>
        <item x="319"/>
        <item x="143"/>
        <item x="836"/>
        <item x="190"/>
        <item x="208"/>
        <item x="9"/>
        <item x="376"/>
        <item x="360"/>
        <item x="42"/>
        <item x="412"/>
        <item x="278"/>
        <item x="38"/>
        <item x="330"/>
        <item x="91"/>
        <item x="267"/>
        <item x="237"/>
        <item x="245"/>
        <item x="399"/>
        <item x="146"/>
        <item x="247"/>
        <item x="686"/>
        <item x="150"/>
        <item x="118"/>
        <item x="11"/>
        <item x="155"/>
        <item x="1011"/>
        <item x="129"/>
        <item x="457"/>
        <item x="1820"/>
        <item x="60"/>
        <item x="4"/>
        <item x="871"/>
        <item x="2022"/>
        <item x="291"/>
        <item x="28"/>
        <item x="265"/>
        <item x="158"/>
        <item x="332"/>
        <item x="77"/>
        <item x="423"/>
        <item x="145"/>
        <item x="205"/>
        <item x="59"/>
        <item x="54"/>
        <item x="125"/>
        <item x="111"/>
        <item x="472"/>
        <item x="437"/>
        <item x="819"/>
        <item x="132"/>
        <item x="108"/>
        <item x="64"/>
        <item x="1538"/>
        <item x="41"/>
        <item x="30"/>
        <item x="417"/>
        <item x="670"/>
        <item x="130"/>
        <item x="358"/>
        <item x="188"/>
        <item x="281"/>
        <item x="241"/>
        <item x="1274"/>
        <item x="27"/>
        <item x="409"/>
        <item x="666"/>
        <item x="1185"/>
        <item x="0"/>
        <item x="310"/>
        <item x="202"/>
        <item x="154"/>
        <item x="139"/>
        <item x="366"/>
        <item x="448"/>
        <item x="248"/>
        <item x="816"/>
        <item x="791"/>
        <item x="101"/>
        <item x="651"/>
        <item x="159"/>
        <item x="39"/>
        <item x="354"/>
        <item x="414"/>
        <item x="191"/>
        <item x="44"/>
        <item x="120"/>
        <item x="263"/>
        <item x="184"/>
        <item x="177"/>
        <item x="1478"/>
        <item x="724"/>
        <item x="83"/>
        <item x="387"/>
        <item x="370"/>
        <item x="67"/>
        <item x="374"/>
        <item x="85"/>
        <item x="484"/>
        <item x="940"/>
        <item x="264"/>
        <item x="1308"/>
        <item x="1106"/>
        <item x="946"/>
        <item x="385"/>
        <item x="182"/>
        <item x="8"/>
        <item x="346"/>
        <item x="367"/>
        <item x="993"/>
        <item x="52"/>
        <item x="286"/>
        <item x="566"/>
        <item x="495"/>
        <item x="2015"/>
        <item x="192"/>
        <item x="391"/>
        <item x="304"/>
        <item x="334"/>
        <item x="435"/>
        <item x="1523"/>
        <item x="1337"/>
        <item x="532"/>
        <item x="1556"/>
        <item x="1954"/>
        <item x="375"/>
        <item x="1348"/>
        <item x="57"/>
        <item x="86"/>
        <item x="842"/>
        <item x="124"/>
        <item x="212"/>
        <item x="383"/>
        <item x="317"/>
        <item x="216"/>
        <item x="2040"/>
        <item x="384"/>
        <item x="351"/>
        <item x="336"/>
        <item x="204"/>
        <item x="610"/>
        <item x="427"/>
        <item x="174"/>
        <item x="420"/>
        <item x="434"/>
        <item x="2038"/>
        <item x="470"/>
        <item x="189"/>
        <item x="1799"/>
        <item x="214"/>
        <item x="55"/>
        <item x="382"/>
        <item x="18"/>
        <item x="287"/>
        <item x="117"/>
        <item x="170"/>
        <item x="58"/>
        <item x="348"/>
        <item x="23"/>
        <item x="300"/>
        <item x="68"/>
        <item x="1922"/>
        <item x="266"/>
        <item x="1490"/>
        <item x="1986"/>
        <item x="1474"/>
        <item x="2034"/>
        <item x="396"/>
        <item x="239"/>
        <item x="1020"/>
        <item x="904"/>
        <item x="102"/>
        <item x="404"/>
        <item x="556"/>
        <item x="65"/>
        <item x="2"/>
        <item x="5"/>
        <item x="6"/>
        <item x="7"/>
        <item x="10"/>
        <item x="12"/>
        <item x="13"/>
        <item x="15"/>
        <item x="16"/>
        <item x="19"/>
        <item x="21"/>
        <item x="22"/>
        <item x="24"/>
        <item x="25"/>
        <item x="29"/>
        <item x="33"/>
        <item x="34"/>
        <item x="35"/>
        <item x="36"/>
        <item x="45"/>
        <item x="51"/>
        <item x="56"/>
        <item x="62"/>
        <item x="66"/>
        <item x="69"/>
        <item x="70"/>
        <item x="71"/>
        <item x="72"/>
        <item x="76"/>
        <item x="78"/>
        <item x="79"/>
        <item x="80"/>
        <item x="84"/>
        <item x="88"/>
        <item x="93"/>
        <item x="95"/>
        <item x="96"/>
        <item x="100"/>
        <item x="103"/>
        <item x="104"/>
        <item x="107"/>
        <item x="109"/>
        <item x="114"/>
        <item x="115"/>
        <item x="119"/>
        <item x="121"/>
        <item x="122"/>
        <item x="123"/>
        <item x="126"/>
        <item x="127"/>
        <item x="128"/>
        <item x="131"/>
        <item x="133"/>
        <item x="137"/>
        <item x="138"/>
        <item x="140"/>
        <item x="142"/>
        <item x="147"/>
        <item x="148"/>
        <item x="152"/>
        <item x="153"/>
        <item x="156"/>
        <item x="157"/>
        <item x="160"/>
        <item x="162"/>
        <item x="163"/>
        <item x="164"/>
        <item x="165"/>
        <item x="166"/>
        <item x="168"/>
        <item x="169"/>
        <item x="171"/>
        <item x="173"/>
        <item x="175"/>
        <item x="178"/>
        <item x="179"/>
        <item x="185"/>
        <item x="187"/>
        <item x="196"/>
        <item x="197"/>
        <item x="198"/>
        <item x="199"/>
        <item x="201"/>
        <item x="206"/>
        <item x="207"/>
        <item x="209"/>
        <item x="210"/>
        <item x="211"/>
        <item x="213"/>
        <item x="215"/>
        <item x="217"/>
        <item x="218"/>
        <item x="224"/>
        <item x="225"/>
        <item x="226"/>
        <item x="228"/>
        <item x="229"/>
        <item x="230"/>
        <item x="234"/>
        <item x="236"/>
        <item x="238"/>
        <item x="243"/>
        <item x="244"/>
        <item x="246"/>
        <item x="249"/>
        <item x="250"/>
        <item x="252"/>
        <item x="253"/>
        <item x="255"/>
        <item x="256"/>
        <item x="257"/>
        <item x="258"/>
        <item x="261"/>
        <item x="262"/>
        <item x="269"/>
        <item x="271"/>
        <item x="272"/>
        <item x="274"/>
        <item x="275"/>
        <item x="276"/>
        <item x="279"/>
        <item x="282"/>
        <item x="283"/>
        <item x="284"/>
        <item x="285"/>
        <item x="289"/>
        <item x="296"/>
        <item x="297"/>
        <item x="299"/>
        <item x="301"/>
        <item x="302"/>
        <item x="303"/>
        <item x="306"/>
        <item x="307"/>
        <item x="309"/>
        <item x="311"/>
        <item x="312"/>
        <item x="313"/>
        <item x="314"/>
        <item x="315"/>
        <item x="316"/>
        <item x="318"/>
        <item x="320"/>
        <item x="321"/>
        <item x="322"/>
        <item x="323"/>
        <item x="324"/>
        <item x="326"/>
        <item x="328"/>
        <item x="329"/>
        <item x="333"/>
        <item x="335"/>
        <item x="337"/>
        <item x="340"/>
        <item x="342"/>
        <item x="343"/>
        <item x="345"/>
        <item x="349"/>
        <item x="350"/>
        <item x="352"/>
        <item x="355"/>
        <item x="356"/>
        <item x="357"/>
        <item x="359"/>
        <item x="361"/>
        <item x="362"/>
        <item x="363"/>
        <item x="364"/>
        <item x="365"/>
        <item x="368"/>
        <item x="369"/>
        <item x="371"/>
        <item x="372"/>
        <item x="373"/>
        <item x="377"/>
        <item x="378"/>
        <item x="379"/>
        <item x="380"/>
        <item x="381"/>
        <item x="386"/>
        <item x="388"/>
        <item x="389"/>
        <item x="390"/>
        <item x="393"/>
        <item x="394"/>
        <item x="397"/>
        <item x="398"/>
        <item x="401"/>
        <item x="402"/>
        <item x="403"/>
        <item x="405"/>
        <item x="406"/>
        <item x="407"/>
        <item x="408"/>
        <item x="410"/>
        <item x="411"/>
        <item x="413"/>
        <item x="415"/>
        <item x="416"/>
        <item x="418"/>
        <item x="419"/>
        <item x="422"/>
        <item x="424"/>
        <item x="425"/>
        <item x="428"/>
        <item x="429"/>
        <item x="430"/>
        <item x="431"/>
        <item x="432"/>
        <item x="433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9"/>
        <item x="450"/>
        <item x="452"/>
        <item x="453"/>
        <item x="455"/>
        <item x="456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1"/>
        <item x="473"/>
        <item x="474"/>
        <item x="475"/>
        <item x="476"/>
        <item x="477"/>
        <item x="478"/>
        <item x="479"/>
        <item x="480"/>
        <item x="481"/>
        <item x="483"/>
        <item x="485"/>
        <item x="486"/>
        <item x="487"/>
        <item x="488"/>
        <item x="489"/>
        <item x="490"/>
        <item x="491"/>
        <item x="493"/>
        <item x="494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7"/>
        <item x="558"/>
        <item x="559"/>
        <item x="560"/>
        <item x="561"/>
        <item x="562"/>
        <item x="563"/>
        <item x="564"/>
        <item x="565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9"/>
        <item x="650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7"/>
        <item x="668"/>
        <item x="669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7"/>
        <item x="818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4"/>
        <item x="835"/>
        <item x="837"/>
        <item x="838"/>
        <item x="839"/>
        <item x="840"/>
        <item x="841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2"/>
        <item x="873"/>
        <item x="874"/>
        <item x="875"/>
        <item x="876"/>
        <item x="877"/>
        <item x="878"/>
        <item x="879"/>
        <item x="880"/>
        <item x="881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9"/>
        <item x="941"/>
        <item x="942"/>
        <item x="944"/>
        <item x="945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2"/>
        <item x="1013"/>
        <item x="1014"/>
        <item x="1015"/>
        <item x="1016"/>
        <item x="1017"/>
        <item x="1018"/>
        <item x="1019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9"/>
        <item x="1310"/>
        <item x="1311"/>
        <item x="1312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8"/>
        <item x="1339"/>
        <item x="1340"/>
        <item x="1341"/>
        <item x="1342"/>
        <item x="1343"/>
        <item x="1344"/>
        <item x="1345"/>
        <item x="1346"/>
        <item x="1347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5"/>
        <item x="1476"/>
        <item x="1477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7"/>
        <item x="1558"/>
        <item x="1559"/>
        <item x="1560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8"/>
        <item x="1719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7"/>
        <item x="2008"/>
        <item x="2009"/>
        <item x="2010"/>
        <item x="2011"/>
        <item x="2012"/>
        <item x="2013"/>
        <item x="2014"/>
        <item x="2016"/>
        <item x="2017"/>
        <item x="2018"/>
        <item x="2019"/>
        <item x="2020"/>
        <item x="2021"/>
        <item x="2023"/>
        <item x="2024"/>
        <item x="2025"/>
        <item x="2026"/>
        <item x="2027"/>
        <item x="2028"/>
        <item x="2029"/>
        <item x="2030"/>
        <item x="2032"/>
        <item x="2033"/>
        <item x="2035"/>
        <item x="2036"/>
        <item x="2037"/>
        <item x="2039"/>
        <item x="2041"/>
        <item x="2042"/>
        <item x="204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dataField="1" showAll="0"/>
    <pivotField numFmtId="14" showAll="0"/>
  </pivotFields>
  <rowFields count="1">
    <field x="9"/>
  </rowFields>
  <rowItems count="220">
    <i>
      <x v="91"/>
    </i>
    <i>
      <x v="387"/>
    </i>
    <i>
      <x v="316"/>
    </i>
    <i>
      <x v="198"/>
    </i>
    <i>
      <x v="311"/>
    </i>
    <i>
      <x v="306"/>
    </i>
    <i>
      <x v="328"/>
    </i>
    <i>
      <x v="46"/>
    </i>
    <i>
      <x v="17"/>
    </i>
    <i>
      <x v="84"/>
    </i>
    <i>
      <x v="309"/>
    </i>
    <i>
      <x v="315"/>
    </i>
    <i>
      <x v="318"/>
    </i>
    <i>
      <x v="8"/>
    </i>
    <i>
      <x v="152"/>
    </i>
    <i>
      <x v="5"/>
    </i>
    <i>
      <x v="23"/>
    </i>
    <i>
      <x v="322"/>
    </i>
    <i>
      <x v="330"/>
    </i>
    <i>
      <x v="310"/>
    </i>
    <i>
      <x v="324"/>
    </i>
    <i>
      <x v="64"/>
    </i>
    <i>
      <x v="331"/>
    </i>
    <i>
      <x v="144"/>
    </i>
    <i>
      <x v="288"/>
    </i>
    <i>
      <x v="1"/>
    </i>
    <i>
      <x v="313"/>
    </i>
    <i>
      <x v="6"/>
    </i>
    <i>
      <x v="48"/>
    </i>
    <i>
      <x v="70"/>
    </i>
    <i>
      <x v="323"/>
    </i>
    <i>
      <x v="312"/>
    </i>
    <i>
      <x v="304"/>
    </i>
    <i>
      <x v="28"/>
    </i>
    <i>
      <x v="59"/>
    </i>
    <i>
      <x v="352"/>
    </i>
    <i>
      <x v="336"/>
    </i>
    <i>
      <x v="285"/>
    </i>
    <i>
      <x v="106"/>
    </i>
    <i>
      <x v="80"/>
    </i>
    <i>
      <x v="283"/>
    </i>
    <i>
      <x v="227"/>
    </i>
    <i>
      <x v="182"/>
    </i>
    <i>
      <x v="103"/>
    </i>
    <i>
      <x v="125"/>
    </i>
    <i>
      <x v="184"/>
    </i>
    <i>
      <x v="286"/>
    </i>
    <i>
      <x v="350"/>
    </i>
    <i>
      <x v="321"/>
    </i>
    <i>
      <x v="73"/>
    </i>
    <i>
      <x v="13"/>
    </i>
    <i>
      <x v="271"/>
    </i>
    <i>
      <x v="405"/>
    </i>
    <i>
      <x v="78"/>
    </i>
    <i>
      <x v="179"/>
    </i>
    <i>
      <x v="3"/>
    </i>
    <i>
      <x v="282"/>
    </i>
    <i>
      <x v="122"/>
    </i>
    <i>
      <x v="301"/>
    </i>
    <i>
      <x v="334"/>
    </i>
    <i>
      <x v="335"/>
    </i>
    <i>
      <x v="280"/>
    </i>
    <i>
      <x v="451"/>
    </i>
    <i>
      <x v="146"/>
    </i>
    <i>
      <x v="366"/>
    </i>
    <i>
      <x v="308"/>
    </i>
    <i>
      <x v="236"/>
    </i>
    <i>
      <x v="89"/>
    </i>
    <i>
      <x v="42"/>
    </i>
    <i>
      <x v="368"/>
    </i>
    <i>
      <x v="139"/>
    </i>
    <i>
      <x v="345"/>
    </i>
    <i>
      <x v="754"/>
    </i>
    <i>
      <x v="284"/>
    </i>
    <i>
      <x v="142"/>
    </i>
    <i>
      <x v="117"/>
    </i>
    <i>
      <x v="507"/>
    </i>
    <i>
      <x v="127"/>
    </i>
    <i>
      <x v="20"/>
    </i>
    <i>
      <x v="50"/>
    </i>
    <i>
      <x v="211"/>
    </i>
    <i>
      <x v="289"/>
    </i>
    <i>
      <x v="36"/>
    </i>
    <i>
      <x v="267"/>
    </i>
    <i>
      <x v="362"/>
    </i>
    <i>
      <x v="379"/>
    </i>
    <i>
      <x v="212"/>
    </i>
    <i>
      <x v="67"/>
    </i>
    <i>
      <x v="29"/>
    </i>
    <i>
      <x v="201"/>
    </i>
    <i>
      <x v="199"/>
    </i>
    <i>
      <x v="210"/>
    </i>
    <i>
      <x v="279"/>
    </i>
    <i>
      <x v="167"/>
    </i>
    <i>
      <x v="4"/>
    </i>
    <i>
      <x v="441"/>
    </i>
    <i>
      <x v="264"/>
    </i>
    <i>
      <x v="39"/>
    </i>
    <i>
      <x v="224"/>
    </i>
    <i>
      <x v="758"/>
    </i>
    <i>
      <x v="464"/>
    </i>
    <i>
      <x v="124"/>
    </i>
    <i>
      <x v="516"/>
    </i>
    <i>
      <x v="411"/>
    </i>
    <i>
      <x v="208"/>
    </i>
    <i>
      <x v="393"/>
    </i>
    <i>
      <x v="157"/>
    </i>
    <i>
      <x v="40"/>
    </i>
    <i>
      <x v="32"/>
    </i>
    <i>
      <x v="401"/>
    </i>
    <i>
      <x v="130"/>
    </i>
    <i>
      <x v="403"/>
    </i>
    <i>
      <x v="43"/>
    </i>
    <i>
      <x v="412"/>
    </i>
    <i>
      <x v="246"/>
    </i>
    <i>
      <x v="429"/>
    </i>
    <i>
      <x v="41"/>
    </i>
    <i>
      <x v="44"/>
    </i>
    <i>
      <x v="150"/>
    </i>
    <i>
      <x v="744"/>
    </i>
    <i>
      <x v="58"/>
    </i>
    <i>
      <x v="1096"/>
    </i>
    <i>
      <x v="502"/>
    </i>
    <i>
      <x v="274"/>
    </i>
    <i>
      <x v="68"/>
    </i>
    <i>
      <x v="582"/>
    </i>
    <i>
      <x v="35"/>
    </i>
    <i>
      <x v="135"/>
    </i>
    <i>
      <x v="813"/>
    </i>
    <i>
      <x v="196"/>
    </i>
    <i>
      <x v="348"/>
    </i>
    <i>
      <x v="12"/>
    </i>
    <i>
      <x v="116"/>
    </i>
    <i>
      <x v="2"/>
    </i>
    <i>
      <x v="591"/>
    </i>
    <i>
      <x v="62"/>
    </i>
    <i>
      <x v="839"/>
    </i>
    <i>
      <x v="101"/>
    </i>
    <i>
      <x v="260"/>
    </i>
    <i>
      <x v="14"/>
    </i>
    <i>
      <x v="118"/>
    </i>
    <i>
      <x v="190"/>
    </i>
    <i>
      <x v="105"/>
    </i>
    <i>
      <x v="490"/>
    </i>
    <i>
      <x v="133"/>
    </i>
    <i>
      <x v="128"/>
    </i>
    <i>
      <x v="15"/>
    </i>
    <i>
      <x v="259"/>
    </i>
    <i>
      <x v="592"/>
    </i>
    <i>
      <x v="1194"/>
    </i>
    <i>
      <x v="615"/>
    </i>
    <i>
      <x v="618"/>
    </i>
    <i>
      <x v="657"/>
    </i>
    <i>
      <x v="270"/>
    </i>
    <i>
      <x v="237"/>
    </i>
    <i>
      <x v="126"/>
    </i>
    <i>
      <x v="92"/>
    </i>
    <i>
      <x v="467"/>
    </i>
    <i>
      <x v="153"/>
    </i>
    <i>
      <x v="47"/>
    </i>
    <i>
      <x v="160"/>
    </i>
    <i>
      <x v="1088"/>
    </i>
    <i>
      <x v="206"/>
    </i>
    <i>
      <x v="384"/>
    </i>
    <i>
      <x v="399"/>
    </i>
    <i>
      <x v="170"/>
    </i>
    <i>
      <x v="18"/>
    </i>
    <i>
      <x v="300"/>
    </i>
    <i>
      <x v="372"/>
    </i>
    <i>
      <x v="989"/>
    </i>
    <i>
      <x v="1014"/>
    </i>
    <i>
      <x v="183"/>
    </i>
    <i>
      <x v="81"/>
    </i>
    <i>
      <x v="45"/>
    </i>
    <i>
      <x v="114"/>
    </i>
    <i>
      <x v="371"/>
    </i>
    <i>
      <x v="242"/>
    </i>
    <i>
      <x v="480"/>
    </i>
    <i>
      <x v="465"/>
    </i>
    <i>
      <x v="158"/>
    </i>
    <i>
      <x v="63"/>
    </i>
    <i>
      <x/>
    </i>
    <i>
      <x v="16"/>
    </i>
    <i>
      <x v="1272"/>
    </i>
    <i>
      <x v="21"/>
    </i>
    <i>
      <x v="1300"/>
    </i>
    <i>
      <x v="1302"/>
    </i>
    <i>
      <x v="420"/>
    </i>
    <i>
      <x v="174"/>
    </i>
    <i>
      <x v="168"/>
    </i>
    <i>
      <x v="102"/>
    </i>
    <i>
      <x v="85"/>
    </i>
    <i>
      <x v="162"/>
    </i>
    <i>
      <x v="1535"/>
    </i>
    <i>
      <x v="1617"/>
    </i>
    <i>
      <x v="7"/>
    </i>
    <i>
      <x v="476"/>
    </i>
    <i>
      <x v="25"/>
    </i>
    <i>
      <x v="22"/>
    </i>
    <i>
      <x v="77"/>
    </i>
    <i>
      <x v="136"/>
    </i>
    <i>
      <x v="1746"/>
    </i>
    <i>
      <x v="220"/>
    </i>
    <i>
      <x v="88"/>
    </i>
    <i>
      <x v="377"/>
    </i>
    <i>
      <x v="51"/>
    </i>
    <i>
      <x v="1834"/>
    </i>
    <i>
      <x v="230"/>
    </i>
    <i>
      <x v="940"/>
    </i>
    <i>
      <x v="52"/>
    </i>
    <i>
      <x v="1902"/>
    </i>
    <i>
      <x v="1906"/>
    </i>
    <i>
      <x v="178"/>
    </i>
    <i>
      <x v="528"/>
    </i>
    <i>
      <x v="99"/>
    </i>
    <i>
      <x v="275"/>
    </i>
    <i>
      <x v="31"/>
    </i>
    <i>
      <x v="159"/>
    </i>
    <i>
      <x v="2042"/>
    </i>
    <i t="grand">
      <x/>
    </i>
  </rowItems>
  <colFields count="1">
    <field x="7"/>
  </colFields>
  <colItems count="2">
    <i>
      <x v="2"/>
    </i>
    <i t="grand">
      <x/>
    </i>
  </colItems>
  <dataFields count="1">
    <dataField name="Soma de   Val.Bruto." fld="20" baseField="0" baseItem="0" numFmtId="166"/>
  </dataFields>
  <formats count="4">
    <format dxfId="13">
      <pivotArea type="all" dataOnly="0" outline="0" fieldPosition="0"/>
    </format>
    <format dxfId="12">
      <pivotArea grandCol="1" outline="0" collapsedLevelsAreSubtotals="1" fieldPosition="0"/>
    </format>
    <format dxfId="11">
      <pivotArea grandCol="1" outline="0" collapsedLevelsAreSubtotals="1" fieldPosition="0"/>
    </format>
    <format dxfId="10">
      <pivotArea outline="0" collapsedLevelsAreSubtotals="1" fieldPosition="0"/>
    </format>
  </formats>
  <pivotTableStyleInfo name="PivotStyleMedium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5"/>
  <dimension ref="A2:E19"/>
  <sheetViews>
    <sheetView topLeftCell="B1" workbookViewId="0">
      <selection activeCell="E3" sqref="E3"/>
    </sheetView>
  </sheetViews>
  <sheetFormatPr defaultRowHeight="15" x14ac:dyDescent="0.25"/>
  <cols>
    <col min="1" max="1" width="4.28515625" bestFit="1" customWidth="1"/>
    <col min="4" max="4" width="13.7109375" bestFit="1" customWidth="1"/>
    <col min="5" max="5" width="16.42578125" bestFit="1" customWidth="1"/>
  </cols>
  <sheetData>
    <row r="2" spans="1:5" x14ac:dyDescent="0.25">
      <c r="D2" s="44" t="s">
        <v>171</v>
      </c>
      <c r="E2" s="43" t="s">
        <v>409</v>
      </c>
    </row>
    <row r="3" spans="1:5" x14ac:dyDescent="0.25">
      <c r="D3" t="s">
        <v>172</v>
      </c>
      <c r="E3" s="43" t="s">
        <v>410</v>
      </c>
    </row>
    <row r="8" spans="1:5" x14ac:dyDescent="0.25">
      <c r="A8" t="s">
        <v>178</v>
      </c>
      <c r="B8" s="45" t="s">
        <v>190</v>
      </c>
    </row>
    <row r="9" spans="1:5" x14ac:dyDescent="0.25">
      <c r="A9" t="s">
        <v>179</v>
      </c>
      <c r="B9" s="45" t="s">
        <v>175</v>
      </c>
    </row>
    <row r="10" spans="1:5" x14ac:dyDescent="0.25">
      <c r="A10" t="s">
        <v>180</v>
      </c>
      <c r="B10" s="45" t="s">
        <v>176</v>
      </c>
    </row>
    <row r="11" spans="1:5" x14ac:dyDescent="0.25">
      <c r="A11" t="s">
        <v>181</v>
      </c>
      <c r="B11" s="45" t="s">
        <v>191</v>
      </c>
    </row>
    <row r="12" spans="1:5" x14ac:dyDescent="0.25">
      <c r="A12" t="s">
        <v>182</v>
      </c>
      <c r="B12" s="45" t="s">
        <v>192</v>
      </c>
    </row>
    <row r="13" spans="1:5" x14ac:dyDescent="0.25">
      <c r="A13" t="s">
        <v>183</v>
      </c>
      <c r="B13" s="45" t="s">
        <v>193</v>
      </c>
    </row>
    <row r="14" spans="1:5" x14ac:dyDescent="0.25">
      <c r="A14" t="s">
        <v>184</v>
      </c>
      <c r="B14" s="45" t="s">
        <v>194</v>
      </c>
    </row>
    <row r="15" spans="1:5" x14ac:dyDescent="0.25">
      <c r="A15" t="s">
        <v>185</v>
      </c>
      <c r="B15" s="45" t="s">
        <v>195</v>
      </c>
    </row>
    <row r="16" spans="1:5" x14ac:dyDescent="0.25">
      <c r="A16" t="s">
        <v>186</v>
      </c>
      <c r="B16" s="45" t="s">
        <v>196</v>
      </c>
    </row>
    <row r="17" spans="1:2" x14ac:dyDescent="0.25">
      <c r="A17" t="s">
        <v>187</v>
      </c>
      <c r="B17" s="45" t="s">
        <v>197</v>
      </c>
    </row>
    <row r="18" spans="1:2" x14ac:dyDescent="0.25">
      <c r="A18" t="s">
        <v>188</v>
      </c>
      <c r="B18" s="45" t="s">
        <v>177</v>
      </c>
    </row>
    <row r="19" spans="1:2" x14ac:dyDescent="0.25">
      <c r="A19" t="s">
        <v>189</v>
      </c>
      <c r="B19" s="45" t="s">
        <v>198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scar_dados">
                <anchor moveWithCells="1" sizeWithCells="1">
                  <from>
                    <xdr:col>0</xdr:col>
                    <xdr:colOff>257175</xdr:colOff>
                    <xdr:row>0</xdr:row>
                    <xdr:rowOff>133350</xdr:rowOff>
                  </from>
                  <to>
                    <xdr:col>2</xdr:col>
                    <xdr:colOff>333375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r_envio">
                <anchor moveWithCells="1" sizeWithCells="1">
                  <from>
                    <xdr:col>0</xdr:col>
                    <xdr:colOff>257175</xdr:colOff>
                    <xdr:row>2</xdr:row>
                    <xdr:rowOff>104775</xdr:rowOff>
                  </from>
                  <to>
                    <xdr:col>2</xdr:col>
                    <xdr:colOff>333375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rar_base_envio">
                <anchor moveWithCells="1" sizeWithCells="1">
                  <from>
                    <xdr:col>0</xdr:col>
                    <xdr:colOff>257175</xdr:colOff>
                    <xdr:row>4</xdr:row>
                    <xdr:rowOff>95250</xdr:rowOff>
                  </from>
                  <to>
                    <xdr:col>2</xdr:col>
                    <xdr:colOff>333375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BN3497"/>
  <sheetViews>
    <sheetView topLeftCell="AO1" zoomScale="80" zoomScaleNormal="80" workbookViewId="0">
      <selection activeCell="A5" sqref="A5"/>
    </sheetView>
  </sheetViews>
  <sheetFormatPr defaultRowHeight="15" x14ac:dyDescent="0.25"/>
  <cols>
    <col min="1" max="1" width="15.5703125" style="88" customWidth="1"/>
    <col min="2" max="2" width="12.7109375" style="88" bestFit="1" customWidth="1"/>
    <col min="3" max="3" width="15.5703125" style="72" customWidth="1"/>
    <col min="4" max="6" width="15.5703125" style="88" customWidth="1"/>
    <col min="7" max="7" width="15.5703125" style="72" customWidth="1"/>
    <col min="8" max="8" width="15.5703125" style="88" customWidth="1"/>
    <col min="9" max="9" width="15.5703125" style="72" customWidth="1"/>
    <col min="10" max="14" width="15.5703125" style="88" customWidth="1"/>
    <col min="15" max="15" width="15.5703125" style="72" customWidth="1"/>
    <col min="16" max="16" width="11.7109375" style="72" bestFit="1" customWidth="1"/>
    <col min="17" max="17" width="11.28515625" style="88" bestFit="1" customWidth="1"/>
    <col min="18" max="18" width="8" style="88" bestFit="1" customWidth="1"/>
    <col min="19" max="19" width="12.28515625" style="72" bestFit="1" customWidth="1"/>
    <col min="20" max="20" width="8.7109375" style="88" bestFit="1" customWidth="1"/>
    <col min="21" max="21" width="11" style="88" bestFit="1" customWidth="1"/>
    <col min="22" max="22" width="9" style="88" bestFit="1" customWidth="1"/>
    <col min="23" max="23" width="44.7109375" style="88" bestFit="1" customWidth="1"/>
    <col min="24" max="24" width="8.7109375" style="88" bestFit="1" customWidth="1"/>
    <col min="25" max="25" width="13.42578125" style="88" bestFit="1" customWidth="1"/>
    <col min="26" max="26" width="42.28515625" style="88" bestFit="1" customWidth="1"/>
    <col min="27" max="27" width="5.42578125" style="88" bestFit="1" customWidth="1"/>
    <col min="28" max="28" width="8" style="88" bestFit="1" customWidth="1"/>
    <col min="29" max="29" width="17.7109375" style="88" bestFit="1" customWidth="1"/>
    <col min="30" max="30" width="7.5703125" style="88" bestFit="1" customWidth="1"/>
    <col min="31" max="31" width="19" style="88" bestFit="1" customWidth="1"/>
    <col min="32" max="33" width="7.28515625" style="88" bestFit="1" customWidth="1"/>
    <col min="34" max="34" width="10.7109375" style="89" bestFit="1" customWidth="1"/>
    <col min="35" max="35" width="13" style="88" bestFit="1" customWidth="1"/>
    <col min="36" max="36" width="12.28515625" style="88" bestFit="1" customWidth="1"/>
    <col min="37" max="37" width="40.28515625" style="88" bestFit="1" customWidth="1"/>
    <col min="38" max="38" width="8.42578125" style="88" bestFit="1" customWidth="1"/>
    <col min="39" max="39" width="6.28515625" style="88" bestFit="1" customWidth="1"/>
    <col min="40" max="40" width="11.28515625" style="88" bestFit="1" customWidth="1"/>
    <col min="41" max="41" width="13.7109375" style="88" bestFit="1" customWidth="1"/>
    <col min="42" max="42" width="12" style="89" bestFit="1" customWidth="1"/>
    <col min="43" max="43" width="16.28515625" style="72" customWidth="1"/>
    <col min="44" max="44" width="11" style="88" bestFit="1" customWidth="1"/>
    <col min="45" max="45" width="11.42578125" style="88" bestFit="1" customWidth="1"/>
    <col min="46" max="46" width="11.28515625" style="88" bestFit="1" customWidth="1"/>
    <col min="47" max="47" width="10.7109375" style="72" bestFit="1" customWidth="1"/>
    <col min="48" max="48" width="15.28515625" style="88" bestFit="1" customWidth="1"/>
    <col min="49" max="49" width="12" style="88" bestFit="1" customWidth="1"/>
    <col min="50" max="50" width="20.42578125" style="88" customWidth="1"/>
    <col min="51" max="51" width="13.28515625" style="89" customWidth="1"/>
    <col min="52" max="52" width="57" style="89" customWidth="1"/>
    <col min="53" max="53" width="53.7109375" style="72" bestFit="1" customWidth="1"/>
    <col min="54" max="54" width="13.28515625" style="72" customWidth="1"/>
    <col min="55" max="55" width="20.42578125" style="72" customWidth="1"/>
    <col min="56" max="56" width="11.140625" style="89" bestFit="1" customWidth="1"/>
    <col min="57" max="57" width="12.42578125" style="72" bestFit="1" customWidth="1"/>
    <col min="58" max="58" width="11.7109375" style="89" customWidth="1"/>
    <col min="59" max="59" width="22.5703125" style="88" customWidth="1"/>
    <col min="60" max="60" width="17.5703125" style="89" bestFit="1" customWidth="1"/>
    <col min="61" max="61" width="22" style="89" bestFit="1" customWidth="1"/>
    <col min="62" max="62" width="24.7109375" style="72" bestFit="1" customWidth="1"/>
    <col min="63" max="63" width="26.28515625" style="88" bestFit="1" customWidth="1"/>
    <col min="64" max="64" width="18.28515625" style="88" bestFit="1" customWidth="1"/>
    <col min="65" max="65" width="27.42578125" style="72" bestFit="1" customWidth="1"/>
    <col min="66" max="66" width="10.7109375" style="88" bestFit="1" customWidth="1"/>
  </cols>
  <sheetData>
    <row r="1" spans="1:66" x14ac:dyDescent="0.25">
      <c r="A1" s="77" t="s">
        <v>1</v>
      </c>
      <c r="B1" s="77" t="s">
        <v>0</v>
      </c>
      <c r="C1" s="79" t="s">
        <v>85</v>
      </c>
      <c r="D1" s="77" t="s">
        <v>45</v>
      </c>
      <c r="E1" s="77" t="s">
        <v>46</v>
      </c>
      <c r="F1" s="79" t="s">
        <v>47</v>
      </c>
      <c r="G1" s="79" t="s">
        <v>86</v>
      </c>
      <c r="H1" s="77" t="s">
        <v>48</v>
      </c>
      <c r="I1" s="79" t="s">
        <v>87</v>
      </c>
      <c r="J1" s="77" t="s">
        <v>49</v>
      </c>
      <c r="K1" s="77" t="s">
        <v>50</v>
      </c>
      <c r="L1" s="77" t="s">
        <v>51</v>
      </c>
      <c r="M1" s="77" t="s">
        <v>52</v>
      </c>
      <c r="N1" s="77" t="s">
        <v>53</v>
      </c>
      <c r="O1" s="79" t="s">
        <v>107</v>
      </c>
      <c r="P1" s="79" t="s">
        <v>54</v>
      </c>
      <c r="Q1" s="77" t="s">
        <v>55</v>
      </c>
      <c r="R1" s="77" t="s">
        <v>56</v>
      </c>
      <c r="S1" s="79" t="s">
        <v>78</v>
      </c>
      <c r="T1" s="77" t="s">
        <v>57</v>
      </c>
      <c r="U1" s="77" t="s">
        <v>58</v>
      </c>
      <c r="V1" s="77" t="s">
        <v>2</v>
      </c>
      <c r="W1" s="77" t="s">
        <v>3</v>
      </c>
      <c r="X1" s="77" t="s">
        <v>59</v>
      </c>
      <c r="Y1" s="77" t="s">
        <v>4</v>
      </c>
      <c r="Z1" s="77" t="s">
        <v>5</v>
      </c>
      <c r="AA1" s="77" t="s">
        <v>6</v>
      </c>
      <c r="AB1" s="77" t="s">
        <v>60</v>
      </c>
      <c r="AC1" s="77" t="s">
        <v>61</v>
      </c>
      <c r="AD1" s="77" t="s">
        <v>7</v>
      </c>
      <c r="AE1" s="77" t="s">
        <v>8</v>
      </c>
      <c r="AF1" s="77" t="s">
        <v>62</v>
      </c>
      <c r="AG1" s="77" t="s">
        <v>9</v>
      </c>
      <c r="AH1" s="78" t="s">
        <v>10</v>
      </c>
      <c r="AI1" s="77" t="s">
        <v>63</v>
      </c>
      <c r="AJ1" s="77" t="s">
        <v>64</v>
      </c>
      <c r="AK1" s="77" t="s">
        <v>11</v>
      </c>
      <c r="AL1" s="77" t="s">
        <v>65</v>
      </c>
      <c r="AM1" s="77" t="s">
        <v>66</v>
      </c>
      <c r="AN1" s="77" t="s">
        <v>67</v>
      </c>
      <c r="AO1" s="77" t="s">
        <v>68</v>
      </c>
      <c r="AP1" s="78" t="s">
        <v>69</v>
      </c>
      <c r="AQ1" s="71" t="s">
        <v>70</v>
      </c>
      <c r="AR1" s="77" t="s">
        <v>71</v>
      </c>
      <c r="AS1" s="77" t="s">
        <v>72</v>
      </c>
      <c r="AT1" s="77" t="s">
        <v>73</v>
      </c>
      <c r="AU1" s="79" t="s">
        <v>104</v>
      </c>
      <c r="AV1" s="77" t="s">
        <v>74</v>
      </c>
      <c r="AW1" s="77" t="s">
        <v>75</v>
      </c>
      <c r="AX1" s="77" t="s">
        <v>59</v>
      </c>
      <c r="AY1" s="78" t="s">
        <v>77</v>
      </c>
      <c r="AZ1" s="79" t="s">
        <v>173</v>
      </c>
      <c r="BA1" s="80" t="s">
        <v>160</v>
      </c>
      <c r="BB1" s="80" t="s">
        <v>161</v>
      </c>
      <c r="BC1" s="81" t="s">
        <v>272</v>
      </c>
      <c r="BD1" s="80" t="s">
        <v>111</v>
      </c>
      <c r="BE1" s="81" t="s">
        <v>147</v>
      </c>
      <c r="BF1" s="82" t="s">
        <v>59</v>
      </c>
      <c r="BG1" s="83" t="s">
        <v>118</v>
      </c>
      <c r="BH1" s="84" t="s">
        <v>113</v>
      </c>
      <c r="BI1" s="85" t="s">
        <v>114</v>
      </c>
      <c r="BJ1" s="86" t="s">
        <v>115</v>
      </c>
      <c r="BK1" s="86" t="s">
        <v>116</v>
      </c>
      <c r="BL1" s="85" t="s">
        <v>117</v>
      </c>
      <c r="BM1" s="87" t="s">
        <v>119</v>
      </c>
      <c r="BN1" s="87" t="s">
        <v>120</v>
      </c>
    </row>
    <row r="2" spans="1:66" x14ac:dyDescent="0.25">
      <c r="A2" s="88">
        <v>64645108</v>
      </c>
      <c r="B2" s="88">
        <v>253886315</v>
      </c>
      <c r="C2" s="72">
        <v>45628</v>
      </c>
      <c r="D2" s="88">
        <v>603</v>
      </c>
      <c r="E2" s="88" t="s">
        <v>343</v>
      </c>
      <c r="F2" s="88" t="s">
        <v>345</v>
      </c>
      <c r="G2" s="72">
        <v>45645</v>
      </c>
      <c r="H2" s="88">
        <v>9</v>
      </c>
      <c r="I2" s="72">
        <v>45639</v>
      </c>
      <c r="J2" s="88">
        <v>19359</v>
      </c>
      <c r="P2" s="72">
        <v>45646</v>
      </c>
      <c r="R2" s="88" t="s">
        <v>154</v>
      </c>
      <c r="S2" s="72">
        <v>45625</v>
      </c>
      <c r="T2" s="88" t="s">
        <v>340</v>
      </c>
      <c r="U2" s="88" t="s">
        <v>344</v>
      </c>
      <c r="V2" s="88">
        <v>178</v>
      </c>
      <c r="W2" s="88" t="s">
        <v>155</v>
      </c>
      <c r="X2" s="88" t="s">
        <v>341</v>
      </c>
      <c r="Y2" s="88">
        <v>81459</v>
      </c>
      <c r="Z2" s="88" t="s">
        <v>224</v>
      </c>
      <c r="AA2" s="88" t="s">
        <v>158</v>
      </c>
      <c r="AB2" s="88">
        <v>1101</v>
      </c>
      <c r="AC2" s="88" t="s">
        <v>342</v>
      </c>
      <c r="AD2" s="88">
        <v>648</v>
      </c>
      <c r="AE2" s="88" t="s">
        <v>247</v>
      </c>
      <c r="AF2" s="88">
        <v>135</v>
      </c>
      <c r="AG2" s="88">
        <v>1350</v>
      </c>
      <c r="AH2" s="89" t="s">
        <v>156</v>
      </c>
      <c r="AI2" s="88">
        <v>1</v>
      </c>
      <c r="AJ2" s="88">
        <v>5004042</v>
      </c>
      <c r="AK2" s="88" t="s">
        <v>170</v>
      </c>
      <c r="AM2" s="88">
        <v>1</v>
      </c>
      <c r="AN2" s="88">
        <v>8895720</v>
      </c>
      <c r="AO2" s="88" t="s">
        <v>376</v>
      </c>
      <c r="AP2" s="89">
        <v>1614678197</v>
      </c>
      <c r="AQ2" s="72">
        <v>45901</v>
      </c>
      <c r="AR2" s="88">
        <v>2900615579</v>
      </c>
      <c r="AS2" s="88">
        <v>805806060</v>
      </c>
      <c r="AT2" s="88">
        <v>4908412641</v>
      </c>
      <c r="AU2" s="72">
        <v>45901</v>
      </c>
      <c r="AV2" s="90">
        <v>529.66999999999996</v>
      </c>
      <c r="AW2" s="88">
        <v>34278772000</v>
      </c>
      <c r="AX2" s="80" t="s">
        <v>44</v>
      </c>
      <c r="AY2" s="89">
        <v>8895720</v>
      </c>
      <c r="AZ2" s="89" t="s">
        <v>346</v>
      </c>
      <c r="BA2" s="72">
        <v>45901</v>
      </c>
      <c r="BB2" s="72">
        <v>45645</v>
      </c>
    </row>
    <row r="3" spans="1:66" x14ac:dyDescent="0.25">
      <c r="A3" s="88">
        <v>64652473</v>
      </c>
      <c r="B3" s="88">
        <v>253886317</v>
      </c>
      <c r="C3" s="72">
        <v>45628</v>
      </c>
      <c r="D3" s="88">
        <v>603</v>
      </c>
      <c r="E3" s="88" t="s">
        <v>343</v>
      </c>
      <c r="F3" s="88" t="s">
        <v>345</v>
      </c>
      <c r="G3" s="72">
        <v>45645</v>
      </c>
      <c r="H3" s="88">
        <v>9</v>
      </c>
      <c r="I3" s="72">
        <v>45639</v>
      </c>
      <c r="J3" s="88">
        <v>19282</v>
      </c>
      <c r="P3" s="72">
        <v>45646</v>
      </c>
      <c r="R3" s="88" t="s">
        <v>154</v>
      </c>
      <c r="S3" s="72">
        <v>45625</v>
      </c>
      <c r="T3" s="88" t="s">
        <v>340</v>
      </c>
      <c r="U3" s="88" t="s">
        <v>344</v>
      </c>
      <c r="V3" s="88">
        <v>178</v>
      </c>
      <c r="W3" s="88" t="s">
        <v>155</v>
      </c>
      <c r="X3" s="88" t="s">
        <v>341</v>
      </c>
      <c r="Y3" s="88">
        <v>81459</v>
      </c>
      <c r="Z3" s="88" t="s">
        <v>224</v>
      </c>
      <c r="AA3" s="88" t="s">
        <v>158</v>
      </c>
      <c r="AB3" s="88">
        <v>1101</v>
      </c>
      <c r="AC3" s="88" t="s">
        <v>342</v>
      </c>
      <c r="AD3" s="88">
        <v>648</v>
      </c>
      <c r="AE3" s="88" t="s">
        <v>247</v>
      </c>
      <c r="AF3" s="88">
        <v>135</v>
      </c>
      <c r="AG3" s="88">
        <v>1350</v>
      </c>
      <c r="AH3" s="89" t="s">
        <v>156</v>
      </c>
      <c r="AI3" s="88">
        <v>1</v>
      </c>
      <c r="AJ3" s="88">
        <v>5004042</v>
      </c>
      <c r="AK3" s="88" t="s">
        <v>170</v>
      </c>
      <c r="AM3" s="88">
        <v>1</v>
      </c>
      <c r="AN3" s="88">
        <v>9106090</v>
      </c>
      <c r="AO3" s="88" t="s">
        <v>377</v>
      </c>
      <c r="AP3" s="89">
        <v>1614678202</v>
      </c>
      <c r="AQ3" s="72">
        <v>45901</v>
      </c>
      <c r="AR3" s="88">
        <v>2900620639</v>
      </c>
      <c r="AS3" s="88">
        <v>805823475</v>
      </c>
      <c r="AT3" s="88">
        <v>4908412642</v>
      </c>
      <c r="AU3" s="72">
        <v>45901</v>
      </c>
      <c r="AV3" s="90">
        <v>558.61</v>
      </c>
      <c r="AW3" s="88">
        <v>34278772000</v>
      </c>
      <c r="AX3" s="80" t="s">
        <v>44</v>
      </c>
      <c r="AY3" s="89">
        <v>9106090</v>
      </c>
      <c r="AZ3" s="89" t="s">
        <v>346</v>
      </c>
      <c r="BA3" s="72">
        <v>45901</v>
      </c>
      <c r="BB3" s="72">
        <v>45645</v>
      </c>
    </row>
    <row r="4" spans="1:66" x14ac:dyDescent="0.25">
      <c r="A4" s="88">
        <v>64655449</v>
      </c>
      <c r="B4" s="88">
        <v>253886243</v>
      </c>
      <c r="C4" s="72">
        <v>45628</v>
      </c>
      <c r="D4" s="88">
        <v>603</v>
      </c>
      <c r="E4" s="88" t="s">
        <v>343</v>
      </c>
      <c r="F4" s="88" t="s">
        <v>345</v>
      </c>
      <c r="G4" s="72">
        <v>45645</v>
      </c>
      <c r="H4" s="88">
        <v>10</v>
      </c>
      <c r="I4" s="72">
        <v>45642</v>
      </c>
      <c r="J4" s="88">
        <v>19213</v>
      </c>
      <c r="P4" s="72">
        <v>45646</v>
      </c>
      <c r="R4" s="88" t="s">
        <v>154</v>
      </c>
      <c r="S4" s="72">
        <v>45625</v>
      </c>
      <c r="T4" s="88" t="s">
        <v>340</v>
      </c>
      <c r="U4" s="88" t="s">
        <v>344</v>
      </c>
      <c r="V4" s="88">
        <v>173</v>
      </c>
      <c r="W4" s="88" t="s">
        <v>157</v>
      </c>
      <c r="X4" s="88" t="s">
        <v>341</v>
      </c>
      <c r="Y4" s="88">
        <v>27808</v>
      </c>
      <c r="Z4" s="88" t="s">
        <v>252</v>
      </c>
      <c r="AA4" s="88" t="s">
        <v>158</v>
      </c>
      <c r="AB4" s="88">
        <v>1101</v>
      </c>
      <c r="AC4" s="88" t="s">
        <v>342</v>
      </c>
      <c r="AD4" s="88">
        <v>644</v>
      </c>
      <c r="AE4" s="88" t="s">
        <v>248</v>
      </c>
      <c r="AF4" s="88">
        <v>135</v>
      </c>
      <c r="AG4" s="88">
        <v>1350</v>
      </c>
      <c r="AH4" s="89" t="s">
        <v>159</v>
      </c>
      <c r="AI4" s="88">
        <v>1</v>
      </c>
      <c r="AJ4" s="88">
        <v>5004042</v>
      </c>
      <c r="AK4" s="88" t="s">
        <v>170</v>
      </c>
      <c r="AM4" s="88">
        <v>1</v>
      </c>
      <c r="AN4" s="88">
        <v>9402992</v>
      </c>
      <c r="AO4" s="88" t="s">
        <v>408</v>
      </c>
      <c r="AP4" s="89">
        <v>1614678207</v>
      </c>
      <c r="AQ4" s="72">
        <v>45901</v>
      </c>
      <c r="AR4" s="88">
        <v>2900594179</v>
      </c>
      <c r="AS4" s="88">
        <v>805824574</v>
      </c>
      <c r="AT4" s="88">
        <v>4908412643</v>
      </c>
      <c r="AU4" s="72">
        <v>45901</v>
      </c>
      <c r="AV4" s="90">
        <v>394.4</v>
      </c>
      <c r="AW4" s="88">
        <v>64096381000</v>
      </c>
      <c r="AX4" s="80" t="s">
        <v>44</v>
      </c>
      <c r="AY4" s="89">
        <v>9402992</v>
      </c>
      <c r="AZ4" s="89" t="s">
        <v>346</v>
      </c>
      <c r="BA4" s="72">
        <v>45901</v>
      </c>
      <c r="BB4" s="72">
        <v>45646</v>
      </c>
    </row>
    <row r="5" spans="1:66" x14ac:dyDescent="0.25">
      <c r="AV5" s="90"/>
      <c r="AX5" s="80"/>
    </row>
    <row r="6" spans="1:66" x14ac:dyDescent="0.25">
      <c r="AV6" s="90"/>
      <c r="AX6" s="80"/>
    </row>
    <row r="7" spans="1:66" x14ac:dyDescent="0.25">
      <c r="AV7" s="90"/>
      <c r="AX7" s="80"/>
    </row>
    <row r="8" spans="1:66" x14ac:dyDescent="0.25">
      <c r="AV8" s="90"/>
      <c r="AX8" s="80"/>
    </row>
    <row r="9" spans="1:66" x14ac:dyDescent="0.25">
      <c r="AV9" s="90"/>
      <c r="AX9" s="80"/>
    </row>
    <row r="10" spans="1:66" x14ac:dyDescent="0.25">
      <c r="AV10" s="90"/>
      <c r="AX10" s="80"/>
    </row>
    <row r="11" spans="1:66" x14ac:dyDescent="0.25">
      <c r="AV11" s="90"/>
      <c r="AX11" s="80"/>
    </row>
    <row r="12" spans="1:66" x14ac:dyDescent="0.25">
      <c r="AV12" s="90"/>
      <c r="AX12" s="80"/>
    </row>
    <row r="13" spans="1:66" x14ac:dyDescent="0.25">
      <c r="AV13" s="90"/>
      <c r="AX13" s="80"/>
    </row>
    <row r="14" spans="1:66" x14ac:dyDescent="0.25">
      <c r="AV14" s="90"/>
      <c r="AX14" s="80"/>
    </row>
    <row r="15" spans="1:66" x14ac:dyDescent="0.25">
      <c r="AV15" s="90"/>
      <c r="AX15" s="80"/>
    </row>
    <row r="16" spans="1:66" x14ac:dyDescent="0.25">
      <c r="AV16" s="90"/>
      <c r="AX16" s="80"/>
    </row>
    <row r="17" spans="48:50" x14ac:dyDescent="0.25">
      <c r="AV17" s="90"/>
      <c r="AX17" s="80"/>
    </row>
    <row r="18" spans="48:50" x14ac:dyDescent="0.25">
      <c r="AV18" s="90"/>
      <c r="AX18" s="80"/>
    </row>
    <row r="19" spans="48:50" x14ac:dyDescent="0.25">
      <c r="AV19" s="90"/>
      <c r="AX19" s="80"/>
    </row>
    <row r="20" spans="48:50" x14ac:dyDescent="0.25">
      <c r="AV20" s="90"/>
      <c r="AX20" s="80"/>
    </row>
    <row r="21" spans="48:50" x14ac:dyDescent="0.25">
      <c r="AV21" s="90"/>
      <c r="AX21" s="80"/>
    </row>
    <row r="22" spans="48:50" x14ac:dyDescent="0.25">
      <c r="AV22" s="90"/>
      <c r="AX22" s="80"/>
    </row>
    <row r="23" spans="48:50" x14ac:dyDescent="0.25">
      <c r="AV23" s="90"/>
      <c r="AX23" s="80"/>
    </row>
    <row r="24" spans="48:50" x14ac:dyDescent="0.25">
      <c r="AV24" s="90"/>
      <c r="AX24" s="80"/>
    </row>
    <row r="25" spans="48:50" x14ac:dyDescent="0.25">
      <c r="AV25" s="90"/>
      <c r="AX25" s="80"/>
    </row>
    <row r="26" spans="48:50" x14ac:dyDescent="0.25">
      <c r="AV26" s="90"/>
      <c r="AX26" s="80"/>
    </row>
    <row r="27" spans="48:50" x14ac:dyDescent="0.25">
      <c r="AV27" s="90"/>
      <c r="AX27" s="80"/>
    </row>
    <row r="28" spans="48:50" x14ac:dyDescent="0.25">
      <c r="AV28" s="90"/>
      <c r="AX28" s="80"/>
    </row>
    <row r="29" spans="48:50" x14ac:dyDescent="0.25">
      <c r="AV29" s="90"/>
      <c r="AX29" s="80"/>
    </row>
    <row r="30" spans="48:50" x14ac:dyDescent="0.25">
      <c r="AV30" s="90"/>
      <c r="AX30" s="80"/>
    </row>
    <row r="31" spans="48:50" x14ac:dyDescent="0.25">
      <c r="AV31" s="90"/>
      <c r="AX31" s="80"/>
    </row>
    <row r="32" spans="48:50" x14ac:dyDescent="0.25">
      <c r="AV32" s="90"/>
      <c r="AX32" s="80"/>
    </row>
    <row r="33" spans="48:50" x14ac:dyDescent="0.25">
      <c r="AV33" s="90"/>
      <c r="AX33" s="80"/>
    </row>
    <row r="34" spans="48:50" x14ac:dyDescent="0.25">
      <c r="AV34" s="90"/>
      <c r="AX34" s="80"/>
    </row>
    <row r="35" spans="48:50" x14ac:dyDescent="0.25">
      <c r="AV35" s="90"/>
      <c r="AX35" s="80"/>
    </row>
    <row r="36" spans="48:50" x14ac:dyDescent="0.25">
      <c r="AV36" s="90"/>
      <c r="AX36" s="80"/>
    </row>
    <row r="37" spans="48:50" x14ac:dyDescent="0.25">
      <c r="AV37" s="90"/>
      <c r="AX37" s="80"/>
    </row>
    <row r="38" spans="48:50" x14ac:dyDescent="0.25">
      <c r="AV38" s="90"/>
      <c r="AX38" s="80"/>
    </row>
    <row r="39" spans="48:50" x14ac:dyDescent="0.25">
      <c r="AV39" s="90"/>
      <c r="AX39" s="80"/>
    </row>
    <row r="40" spans="48:50" x14ac:dyDescent="0.25">
      <c r="AV40" s="90"/>
      <c r="AX40" s="80"/>
    </row>
    <row r="41" spans="48:50" x14ac:dyDescent="0.25">
      <c r="AV41" s="90"/>
      <c r="AX41" s="80"/>
    </row>
    <row r="42" spans="48:50" x14ac:dyDescent="0.25">
      <c r="AV42" s="90"/>
      <c r="AX42" s="80"/>
    </row>
    <row r="43" spans="48:50" x14ac:dyDescent="0.25">
      <c r="AV43" s="90"/>
      <c r="AX43" s="80"/>
    </row>
    <row r="44" spans="48:50" x14ac:dyDescent="0.25">
      <c r="AV44" s="90"/>
      <c r="AX44" s="80"/>
    </row>
    <row r="45" spans="48:50" x14ac:dyDescent="0.25">
      <c r="AV45" s="90"/>
      <c r="AX45" s="80"/>
    </row>
    <row r="46" spans="48:50" x14ac:dyDescent="0.25">
      <c r="AV46" s="90"/>
      <c r="AX46" s="80"/>
    </row>
    <row r="47" spans="48:50" x14ac:dyDescent="0.25">
      <c r="AV47" s="90"/>
      <c r="AX47" s="80"/>
    </row>
    <row r="48" spans="48:50" x14ac:dyDescent="0.25">
      <c r="AV48" s="90"/>
      <c r="AX48" s="80"/>
    </row>
    <row r="49" spans="48:50" x14ac:dyDescent="0.25">
      <c r="AV49" s="90"/>
      <c r="AX49" s="80"/>
    </row>
    <row r="50" spans="48:50" x14ac:dyDescent="0.25">
      <c r="AV50" s="90"/>
      <c r="AX50" s="80"/>
    </row>
    <row r="51" spans="48:50" x14ac:dyDescent="0.25">
      <c r="AV51" s="90"/>
      <c r="AX51" s="80"/>
    </row>
    <row r="52" spans="48:50" x14ac:dyDescent="0.25">
      <c r="AV52" s="90"/>
      <c r="AX52" s="80"/>
    </row>
    <row r="53" spans="48:50" x14ac:dyDescent="0.25">
      <c r="AV53" s="90"/>
      <c r="AX53" s="80"/>
    </row>
    <row r="54" spans="48:50" x14ac:dyDescent="0.25">
      <c r="AV54" s="90"/>
      <c r="AX54" s="80"/>
    </row>
    <row r="55" spans="48:50" x14ac:dyDescent="0.25">
      <c r="AV55" s="90"/>
      <c r="AX55" s="80"/>
    </row>
    <row r="56" spans="48:50" x14ac:dyDescent="0.25">
      <c r="AV56" s="90"/>
      <c r="AX56" s="80"/>
    </row>
    <row r="57" spans="48:50" x14ac:dyDescent="0.25">
      <c r="AV57" s="90"/>
      <c r="AX57" s="80"/>
    </row>
    <row r="58" spans="48:50" x14ac:dyDescent="0.25">
      <c r="AV58" s="90"/>
      <c r="AX58" s="80"/>
    </row>
    <row r="59" spans="48:50" x14ac:dyDescent="0.25">
      <c r="AV59" s="90"/>
      <c r="AX59" s="80"/>
    </row>
    <row r="60" spans="48:50" x14ac:dyDescent="0.25">
      <c r="AV60" s="90"/>
      <c r="AX60" s="80"/>
    </row>
    <row r="61" spans="48:50" x14ac:dyDescent="0.25">
      <c r="AV61" s="90"/>
      <c r="AX61" s="80"/>
    </row>
    <row r="62" spans="48:50" x14ac:dyDescent="0.25">
      <c r="AV62" s="90"/>
      <c r="AX62" s="80"/>
    </row>
    <row r="63" spans="48:50" x14ac:dyDescent="0.25">
      <c r="AV63" s="90"/>
      <c r="AX63" s="80"/>
    </row>
    <row r="64" spans="48:50" x14ac:dyDescent="0.25">
      <c r="AV64" s="90"/>
      <c r="AX64" s="80"/>
    </row>
    <row r="65" spans="48:50" x14ac:dyDescent="0.25">
      <c r="AV65" s="90"/>
      <c r="AX65" s="80"/>
    </row>
    <row r="66" spans="48:50" x14ac:dyDescent="0.25">
      <c r="AV66" s="90"/>
      <c r="AX66" s="80"/>
    </row>
    <row r="67" spans="48:50" x14ac:dyDescent="0.25">
      <c r="AV67" s="90"/>
      <c r="AX67" s="80"/>
    </row>
    <row r="68" spans="48:50" x14ac:dyDescent="0.25">
      <c r="AV68" s="90"/>
      <c r="AX68" s="80"/>
    </row>
    <row r="69" spans="48:50" x14ac:dyDescent="0.25">
      <c r="AV69" s="90"/>
      <c r="AX69" s="80"/>
    </row>
    <row r="70" spans="48:50" x14ac:dyDescent="0.25">
      <c r="AV70" s="90"/>
      <c r="AX70" s="80"/>
    </row>
    <row r="71" spans="48:50" x14ac:dyDescent="0.25">
      <c r="AV71" s="90"/>
      <c r="AX71" s="80"/>
    </row>
    <row r="72" spans="48:50" x14ac:dyDescent="0.25">
      <c r="AV72" s="90"/>
      <c r="AX72" s="80"/>
    </row>
    <row r="73" spans="48:50" x14ac:dyDescent="0.25">
      <c r="AV73" s="90"/>
      <c r="AX73" s="80"/>
    </row>
    <row r="74" spans="48:50" x14ac:dyDescent="0.25">
      <c r="AV74" s="90"/>
      <c r="AX74" s="80"/>
    </row>
    <row r="75" spans="48:50" x14ac:dyDescent="0.25">
      <c r="AV75" s="90"/>
      <c r="AX75" s="80"/>
    </row>
    <row r="76" spans="48:50" x14ac:dyDescent="0.25">
      <c r="AV76" s="90"/>
      <c r="AX76" s="80"/>
    </row>
    <row r="77" spans="48:50" x14ac:dyDescent="0.25">
      <c r="AV77" s="90"/>
      <c r="AX77" s="80"/>
    </row>
    <row r="78" spans="48:50" x14ac:dyDescent="0.25">
      <c r="AV78" s="90"/>
      <c r="AX78" s="80"/>
    </row>
    <row r="79" spans="48:50" x14ac:dyDescent="0.25">
      <c r="AV79" s="90"/>
      <c r="AX79" s="80"/>
    </row>
    <row r="80" spans="48:50" x14ac:dyDescent="0.25">
      <c r="AV80" s="90"/>
      <c r="AX80" s="80"/>
    </row>
    <row r="81" spans="48:50" x14ac:dyDescent="0.25">
      <c r="AV81" s="90"/>
      <c r="AX81" s="80"/>
    </row>
    <row r="82" spans="48:50" x14ac:dyDescent="0.25">
      <c r="AV82" s="90"/>
      <c r="AX82" s="80"/>
    </row>
    <row r="83" spans="48:50" x14ac:dyDescent="0.25">
      <c r="AV83" s="90"/>
      <c r="AX83" s="80"/>
    </row>
    <row r="84" spans="48:50" x14ac:dyDescent="0.25">
      <c r="AV84" s="90"/>
      <c r="AX84" s="80"/>
    </row>
    <row r="85" spans="48:50" x14ac:dyDescent="0.25">
      <c r="AV85" s="90"/>
      <c r="AX85" s="80"/>
    </row>
    <row r="86" spans="48:50" x14ac:dyDescent="0.25">
      <c r="AV86" s="90"/>
      <c r="AX86" s="80"/>
    </row>
    <row r="87" spans="48:50" x14ac:dyDescent="0.25">
      <c r="AV87" s="90"/>
      <c r="AX87" s="80"/>
    </row>
    <row r="88" spans="48:50" x14ac:dyDescent="0.25">
      <c r="AV88" s="90"/>
      <c r="AX88" s="80"/>
    </row>
    <row r="89" spans="48:50" x14ac:dyDescent="0.25">
      <c r="AV89" s="90"/>
      <c r="AX89" s="80"/>
    </row>
    <row r="90" spans="48:50" x14ac:dyDescent="0.25">
      <c r="AV90" s="90"/>
      <c r="AX90" s="80"/>
    </row>
    <row r="91" spans="48:50" x14ac:dyDescent="0.25">
      <c r="AV91" s="90"/>
      <c r="AX91" s="80"/>
    </row>
    <row r="92" spans="48:50" x14ac:dyDescent="0.25">
      <c r="AV92" s="90"/>
      <c r="AX92" s="80"/>
    </row>
    <row r="93" spans="48:50" x14ac:dyDescent="0.25">
      <c r="AV93" s="90"/>
      <c r="AX93" s="80"/>
    </row>
    <row r="94" spans="48:50" x14ac:dyDescent="0.25">
      <c r="AV94" s="90"/>
      <c r="AX94" s="80"/>
    </row>
    <row r="95" spans="48:50" x14ac:dyDescent="0.25">
      <c r="AV95" s="90"/>
      <c r="AX95" s="80"/>
    </row>
    <row r="96" spans="48:50" x14ac:dyDescent="0.25">
      <c r="AV96" s="90"/>
      <c r="AX96" s="80"/>
    </row>
    <row r="97" spans="48:50" x14ac:dyDescent="0.25">
      <c r="AV97" s="90"/>
      <c r="AX97" s="80"/>
    </row>
    <row r="98" spans="48:50" x14ac:dyDescent="0.25">
      <c r="AV98" s="90"/>
      <c r="AX98" s="80"/>
    </row>
    <row r="99" spans="48:50" x14ac:dyDescent="0.25">
      <c r="AV99" s="90"/>
      <c r="AX99" s="80"/>
    </row>
    <row r="100" spans="48:50" x14ac:dyDescent="0.25">
      <c r="AV100" s="90"/>
      <c r="AX100" s="80"/>
    </row>
    <row r="101" spans="48:50" x14ac:dyDescent="0.25">
      <c r="AV101" s="90"/>
      <c r="AX101" s="80"/>
    </row>
    <row r="102" spans="48:50" x14ac:dyDescent="0.25">
      <c r="AV102" s="90"/>
      <c r="AX102" s="80"/>
    </row>
    <row r="103" spans="48:50" x14ac:dyDescent="0.25">
      <c r="AV103" s="90"/>
      <c r="AX103" s="80"/>
    </row>
    <row r="104" spans="48:50" x14ac:dyDescent="0.25">
      <c r="AV104" s="90"/>
      <c r="AX104" s="80"/>
    </row>
    <row r="105" spans="48:50" x14ac:dyDescent="0.25">
      <c r="AV105" s="90"/>
      <c r="AX105" s="80"/>
    </row>
    <row r="106" spans="48:50" x14ac:dyDescent="0.25">
      <c r="AV106" s="90"/>
      <c r="AX106" s="80"/>
    </row>
    <row r="107" spans="48:50" x14ac:dyDescent="0.25">
      <c r="AV107" s="90"/>
      <c r="AX107" s="80"/>
    </row>
    <row r="108" spans="48:50" x14ac:dyDescent="0.25">
      <c r="AV108" s="90"/>
      <c r="AX108" s="80"/>
    </row>
    <row r="109" spans="48:50" x14ac:dyDescent="0.25">
      <c r="AV109" s="90"/>
      <c r="AX109" s="80"/>
    </row>
    <row r="110" spans="48:50" x14ac:dyDescent="0.25">
      <c r="AV110" s="90"/>
      <c r="AX110" s="80"/>
    </row>
    <row r="111" spans="48:50" x14ac:dyDescent="0.25">
      <c r="AV111" s="90"/>
      <c r="AX111" s="80"/>
    </row>
    <row r="112" spans="48:50" x14ac:dyDescent="0.25">
      <c r="AV112" s="90"/>
      <c r="AX112" s="80"/>
    </row>
    <row r="113" spans="48:50" x14ac:dyDescent="0.25">
      <c r="AV113" s="90"/>
      <c r="AX113" s="80"/>
    </row>
    <row r="114" spans="48:50" x14ac:dyDescent="0.25">
      <c r="AV114" s="90"/>
      <c r="AX114" s="80"/>
    </row>
    <row r="115" spans="48:50" x14ac:dyDescent="0.25">
      <c r="AV115" s="90"/>
      <c r="AX115" s="80"/>
    </row>
    <row r="116" spans="48:50" x14ac:dyDescent="0.25">
      <c r="AV116" s="90"/>
      <c r="AX116" s="80"/>
    </row>
    <row r="117" spans="48:50" x14ac:dyDescent="0.25">
      <c r="AV117" s="90"/>
      <c r="AX117" s="80"/>
    </row>
    <row r="118" spans="48:50" x14ac:dyDescent="0.25">
      <c r="AV118" s="90"/>
      <c r="AX118" s="80"/>
    </row>
    <row r="119" spans="48:50" x14ac:dyDescent="0.25">
      <c r="AV119" s="90"/>
      <c r="AX119" s="80"/>
    </row>
    <row r="120" spans="48:50" x14ac:dyDescent="0.25">
      <c r="AV120" s="90"/>
      <c r="AX120" s="80"/>
    </row>
    <row r="121" spans="48:50" x14ac:dyDescent="0.25">
      <c r="AV121" s="90"/>
      <c r="AX121" s="80"/>
    </row>
    <row r="122" spans="48:50" x14ac:dyDescent="0.25">
      <c r="AV122" s="90"/>
      <c r="AX122" s="80"/>
    </row>
    <row r="123" spans="48:50" x14ac:dyDescent="0.25">
      <c r="AV123" s="90"/>
      <c r="AX123" s="80"/>
    </row>
    <row r="124" spans="48:50" x14ac:dyDescent="0.25">
      <c r="AV124" s="90"/>
      <c r="AX124" s="80"/>
    </row>
    <row r="125" spans="48:50" x14ac:dyDescent="0.25">
      <c r="AV125" s="90"/>
      <c r="AX125" s="80"/>
    </row>
    <row r="126" spans="48:50" x14ac:dyDescent="0.25">
      <c r="AV126" s="90"/>
      <c r="AX126" s="80"/>
    </row>
    <row r="127" spans="48:50" x14ac:dyDescent="0.25">
      <c r="AV127" s="90"/>
      <c r="AX127" s="80"/>
    </row>
    <row r="128" spans="48:50" x14ac:dyDescent="0.25">
      <c r="AV128" s="90"/>
      <c r="AX128" s="80"/>
    </row>
    <row r="129" spans="48:50" x14ac:dyDescent="0.25">
      <c r="AV129" s="90"/>
      <c r="AX129" s="80"/>
    </row>
    <row r="130" spans="48:50" x14ac:dyDescent="0.25">
      <c r="AV130" s="90"/>
      <c r="AX130" s="80"/>
    </row>
    <row r="131" spans="48:50" x14ac:dyDescent="0.25">
      <c r="AV131" s="90"/>
      <c r="AX131" s="80"/>
    </row>
    <row r="132" spans="48:50" x14ac:dyDescent="0.25">
      <c r="AV132" s="90"/>
      <c r="AX132" s="80"/>
    </row>
    <row r="133" spans="48:50" x14ac:dyDescent="0.25">
      <c r="AV133" s="90"/>
      <c r="AX133" s="80"/>
    </row>
    <row r="134" spans="48:50" x14ac:dyDescent="0.25">
      <c r="AV134" s="90"/>
      <c r="AX134" s="80"/>
    </row>
    <row r="135" spans="48:50" x14ac:dyDescent="0.25">
      <c r="AV135" s="90"/>
      <c r="AX135" s="80"/>
    </row>
    <row r="136" spans="48:50" x14ac:dyDescent="0.25">
      <c r="AV136" s="90"/>
      <c r="AX136" s="80"/>
    </row>
    <row r="137" spans="48:50" x14ac:dyDescent="0.25">
      <c r="AV137" s="90"/>
      <c r="AX137" s="80"/>
    </row>
    <row r="138" spans="48:50" x14ac:dyDescent="0.25">
      <c r="AV138" s="90"/>
      <c r="AX138" s="80"/>
    </row>
    <row r="139" spans="48:50" x14ac:dyDescent="0.25">
      <c r="AV139" s="90"/>
      <c r="AX139" s="80"/>
    </row>
    <row r="140" spans="48:50" x14ac:dyDescent="0.25">
      <c r="AV140" s="90"/>
      <c r="AX140" s="80"/>
    </row>
    <row r="141" spans="48:50" x14ac:dyDescent="0.25">
      <c r="AV141" s="90"/>
      <c r="AX141" s="80"/>
    </row>
    <row r="142" spans="48:50" x14ac:dyDescent="0.25">
      <c r="AV142" s="90"/>
      <c r="AX142" s="80"/>
    </row>
    <row r="143" spans="48:50" x14ac:dyDescent="0.25">
      <c r="AV143" s="90"/>
      <c r="AX143" s="80"/>
    </row>
    <row r="144" spans="48:50" x14ac:dyDescent="0.25">
      <c r="AV144" s="90"/>
      <c r="AX144" s="80"/>
    </row>
    <row r="145" spans="48:50" x14ac:dyDescent="0.25">
      <c r="AV145" s="90"/>
      <c r="AX145" s="80"/>
    </row>
    <row r="146" spans="48:50" x14ac:dyDescent="0.25">
      <c r="AV146" s="90"/>
      <c r="AX146" s="80"/>
    </row>
    <row r="147" spans="48:50" x14ac:dyDescent="0.25">
      <c r="AV147" s="90"/>
      <c r="AX147" s="80"/>
    </row>
    <row r="148" spans="48:50" x14ac:dyDescent="0.25">
      <c r="AV148" s="90"/>
      <c r="AX148" s="80"/>
    </row>
    <row r="149" spans="48:50" x14ac:dyDescent="0.25">
      <c r="AV149" s="90"/>
      <c r="AX149" s="80"/>
    </row>
    <row r="150" spans="48:50" x14ac:dyDescent="0.25">
      <c r="AV150" s="90"/>
      <c r="AX150" s="80"/>
    </row>
    <row r="151" spans="48:50" x14ac:dyDescent="0.25">
      <c r="AV151" s="90"/>
      <c r="AX151" s="80"/>
    </row>
    <row r="152" spans="48:50" x14ac:dyDescent="0.25">
      <c r="AV152" s="90"/>
      <c r="AX152" s="80"/>
    </row>
    <row r="153" spans="48:50" x14ac:dyDescent="0.25">
      <c r="AV153" s="90"/>
      <c r="AX153" s="80"/>
    </row>
    <row r="154" spans="48:50" x14ac:dyDescent="0.25">
      <c r="AV154" s="90"/>
      <c r="AX154" s="80"/>
    </row>
    <row r="155" spans="48:50" x14ac:dyDescent="0.25">
      <c r="AV155" s="90"/>
      <c r="AX155" s="80"/>
    </row>
    <row r="156" spans="48:50" x14ac:dyDescent="0.25">
      <c r="AV156" s="90"/>
      <c r="AX156" s="80"/>
    </row>
    <row r="157" spans="48:50" x14ac:dyDescent="0.25">
      <c r="AV157" s="90"/>
      <c r="AX157" s="80"/>
    </row>
    <row r="158" spans="48:50" x14ac:dyDescent="0.25">
      <c r="AV158" s="90"/>
      <c r="AX158" s="80"/>
    </row>
    <row r="159" spans="48:50" x14ac:dyDescent="0.25">
      <c r="AV159" s="90"/>
      <c r="AX159" s="80"/>
    </row>
    <row r="160" spans="48:50" x14ac:dyDescent="0.25">
      <c r="AV160" s="90"/>
      <c r="AX160" s="80"/>
    </row>
    <row r="161" spans="48:50" x14ac:dyDescent="0.25">
      <c r="AV161" s="90"/>
      <c r="AX161" s="80"/>
    </row>
    <row r="162" spans="48:50" x14ac:dyDescent="0.25">
      <c r="AV162" s="90"/>
      <c r="AX162" s="80"/>
    </row>
    <row r="163" spans="48:50" x14ac:dyDescent="0.25">
      <c r="AV163" s="90"/>
      <c r="AX163" s="80"/>
    </row>
    <row r="164" spans="48:50" x14ac:dyDescent="0.25">
      <c r="AV164" s="90"/>
      <c r="AX164" s="80"/>
    </row>
    <row r="165" spans="48:50" x14ac:dyDescent="0.25">
      <c r="AV165" s="90"/>
      <c r="AX165" s="80"/>
    </row>
    <row r="166" spans="48:50" x14ac:dyDescent="0.25">
      <c r="AV166" s="90"/>
      <c r="AX166" s="80"/>
    </row>
    <row r="167" spans="48:50" x14ac:dyDescent="0.25">
      <c r="AV167" s="90"/>
      <c r="AX167" s="80"/>
    </row>
    <row r="168" spans="48:50" x14ac:dyDescent="0.25">
      <c r="AV168" s="90"/>
      <c r="AX168" s="80"/>
    </row>
    <row r="169" spans="48:50" x14ac:dyDescent="0.25">
      <c r="AV169" s="90"/>
      <c r="AX169" s="80"/>
    </row>
    <row r="170" spans="48:50" x14ac:dyDescent="0.25">
      <c r="AV170" s="90"/>
      <c r="AX170" s="80"/>
    </row>
    <row r="171" spans="48:50" x14ac:dyDescent="0.25">
      <c r="AV171" s="90"/>
      <c r="AX171" s="80"/>
    </row>
    <row r="172" spans="48:50" x14ac:dyDescent="0.25">
      <c r="AV172" s="90"/>
      <c r="AX172" s="80"/>
    </row>
    <row r="173" spans="48:50" x14ac:dyDescent="0.25">
      <c r="AV173" s="90"/>
      <c r="AX173" s="80"/>
    </row>
    <row r="174" spans="48:50" x14ac:dyDescent="0.25">
      <c r="AV174" s="90"/>
      <c r="AX174" s="80"/>
    </row>
    <row r="175" spans="48:50" x14ac:dyDescent="0.25">
      <c r="AV175" s="90"/>
      <c r="AX175" s="80"/>
    </row>
    <row r="176" spans="48:50" x14ac:dyDescent="0.25">
      <c r="AV176" s="90"/>
      <c r="AX176" s="80"/>
    </row>
    <row r="177" spans="48:50" x14ac:dyDescent="0.25">
      <c r="AV177" s="90"/>
      <c r="AX177" s="80"/>
    </row>
    <row r="178" spans="48:50" x14ac:dyDescent="0.25">
      <c r="AV178" s="90"/>
      <c r="AX178" s="80"/>
    </row>
    <row r="179" spans="48:50" x14ac:dyDescent="0.25">
      <c r="AV179" s="90"/>
      <c r="AX179" s="80"/>
    </row>
    <row r="180" spans="48:50" x14ac:dyDescent="0.25">
      <c r="AV180" s="90"/>
      <c r="AX180" s="80"/>
    </row>
    <row r="181" spans="48:50" x14ac:dyDescent="0.25">
      <c r="AV181" s="90"/>
      <c r="AX181" s="80"/>
    </row>
    <row r="182" spans="48:50" x14ac:dyDescent="0.25">
      <c r="AV182" s="90"/>
      <c r="AX182" s="80"/>
    </row>
    <row r="183" spans="48:50" x14ac:dyDescent="0.25">
      <c r="AV183" s="90"/>
      <c r="AX183" s="80"/>
    </row>
    <row r="184" spans="48:50" x14ac:dyDescent="0.25">
      <c r="AV184" s="90"/>
      <c r="AX184" s="80"/>
    </row>
    <row r="185" spans="48:50" x14ac:dyDescent="0.25">
      <c r="AV185" s="90"/>
      <c r="AX185" s="80"/>
    </row>
    <row r="186" spans="48:50" x14ac:dyDescent="0.25">
      <c r="AV186" s="90"/>
      <c r="AX186" s="80"/>
    </row>
    <row r="187" spans="48:50" x14ac:dyDescent="0.25">
      <c r="AV187" s="90"/>
      <c r="AX187" s="80"/>
    </row>
    <row r="188" spans="48:50" x14ac:dyDescent="0.25">
      <c r="AV188" s="90"/>
      <c r="AX188" s="80"/>
    </row>
    <row r="189" spans="48:50" x14ac:dyDescent="0.25">
      <c r="AV189" s="90"/>
      <c r="AX189" s="80"/>
    </row>
    <row r="190" spans="48:50" x14ac:dyDescent="0.25">
      <c r="AV190" s="90"/>
      <c r="AX190" s="80"/>
    </row>
    <row r="191" spans="48:50" x14ac:dyDescent="0.25">
      <c r="AV191" s="90"/>
      <c r="AX191" s="80"/>
    </row>
    <row r="192" spans="48:50" x14ac:dyDescent="0.25">
      <c r="AV192" s="90"/>
      <c r="AX192" s="80"/>
    </row>
    <row r="193" spans="48:50" x14ac:dyDescent="0.25">
      <c r="AV193" s="90"/>
      <c r="AX193" s="80"/>
    </row>
    <row r="194" spans="48:50" x14ac:dyDescent="0.25">
      <c r="AV194" s="90"/>
      <c r="AX194" s="80"/>
    </row>
    <row r="195" spans="48:50" x14ac:dyDescent="0.25">
      <c r="AV195" s="90"/>
      <c r="AX195" s="80"/>
    </row>
    <row r="196" spans="48:50" x14ac:dyDescent="0.25">
      <c r="AV196" s="90"/>
      <c r="AX196" s="80"/>
    </row>
    <row r="197" spans="48:50" x14ac:dyDescent="0.25">
      <c r="AV197" s="90"/>
      <c r="AX197" s="80"/>
    </row>
    <row r="198" spans="48:50" x14ac:dyDescent="0.25">
      <c r="AV198" s="90"/>
      <c r="AX198" s="80"/>
    </row>
    <row r="199" spans="48:50" x14ac:dyDescent="0.25">
      <c r="AV199" s="90"/>
      <c r="AX199" s="80"/>
    </row>
    <row r="200" spans="48:50" x14ac:dyDescent="0.25">
      <c r="AV200" s="90"/>
      <c r="AX200" s="80"/>
    </row>
    <row r="201" spans="48:50" x14ac:dyDescent="0.25">
      <c r="AV201" s="90"/>
      <c r="AX201" s="80"/>
    </row>
    <row r="202" spans="48:50" x14ac:dyDescent="0.25">
      <c r="AV202" s="90"/>
      <c r="AX202" s="80"/>
    </row>
    <row r="203" spans="48:50" x14ac:dyDescent="0.25">
      <c r="AV203" s="90"/>
      <c r="AX203" s="80"/>
    </row>
    <row r="204" spans="48:50" x14ac:dyDescent="0.25">
      <c r="AV204" s="90"/>
      <c r="AX204" s="80"/>
    </row>
    <row r="205" spans="48:50" x14ac:dyDescent="0.25">
      <c r="AV205" s="90"/>
      <c r="AX205" s="80"/>
    </row>
    <row r="206" spans="48:50" x14ac:dyDescent="0.25">
      <c r="AV206" s="90"/>
      <c r="AX206" s="80"/>
    </row>
    <row r="207" spans="48:50" x14ac:dyDescent="0.25">
      <c r="AV207" s="90"/>
      <c r="AX207" s="80"/>
    </row>
    <row r="208" spans="48:50" x14ac:dyDescent="0.25">
      <c r="AV208" s="90"/>
      <c r="AX208" s="80"/>
    </row>
    <row r="209" spans="48:50" x14ac:dyDescent="0.25">
      <c r="AV209" s="90"/>
      <c r="AX209" s="80"/>
    </row>
    <row r="210" spans="48:50" x14ac:dyDescent="0.25">
      <c r="AV210" s="90"/>
      <c r="AX210" s="80"/>
    </row>
    <row r="211" spans="48:50" x14ac:dyDescent="0.25">
      <c r="AV211" s="90"/>
      <c r="AX211" s="80"/>
    </row>
    <row r="212" spans="48:50" x14ac:dyDescent="0.25">
      <c r="AV212" s="90"/>
      <c r="AX212" s="80"/>
    </row>
    <row r="213" spans="48:50" x14ac:dyDescent="0.25">
      <c r="AV213" s="90"/>
      <c r="AX213" s="80"/>
    </row>
    <row r="214" spans="48:50" x14ac:dyDescent="0.25">
      <c r="AV214" s="90"/>
      <c r="AX214" s="80"/>
    </row>
    <row r="215" spans="48:50" x14ac:dyDescent="0.25">
      <c r="AV215" s="90"/>
      <c r="AX215" s="80"/>
    </row>
    <row r="216" spans="48:50" x14ac:dyDescent="0.25">
      <c r="AV216" s="90"/>
      <c r="AX216" s="80"/>
    </row>
    <row r="217" spans="48:50" x14ac:dyDescent="0.25">
      <c r="AV217" s="90"/>
      <c r="AX217" s="80"/>
    </row>
    <row r="218" spans="48:50" x14ac:dyDescent="0.25">
      <c r="AV218" s="90"/>
      <c r="AX218" s="80"/>
    </row>
    <row r="219" spans="48:50" x14ac:dyDescent="0.25">
      <c r="AV219" s="90"/>
      <c r="AX219" s="80"/>
    </row>
    <row r="220" spans="48:50" x14ac:dyDescent="0.25">
      <c r="AV220" s="90"/>
      <c r="AX220" s="80"/>
    </row>
    <row r="221" spans="48:50" x14ac:dyDescent="0.25">
      <c r="AV221" s="90"/>
      <c r="AX221" s="80"/>
    </row>
    <row r="222" spans="48:50" x14ac:dyDescent="0.25">
      <c r="AV222" s="90"/>
      <c r="AX222" s="80"/>
    </row>
    <row r="223" spans="48:50" x14ac:dyDescent="0.25">
      <c r="AV223" s="90"/>
      <c r="AX223" s="80"/>
    </row>
    <row r="224" spans="48:50" x14ac:dyDescent="0.25">
      <c r="AV224" s="90"/>
      <c r="AX224" s="80"/>
    </row>
    <row r="225" spans="48:50" x14ac:dyDescent="0.25">
      <c r="AV225" s="90"/>
      <c r="AX225" s="80"/>
    </row>
    <row r="226" spans="48:50" x14ac:dyDescent="0.25">
      <c r="AV226" s="90"/>
      <c r="AX226" s="80"/>
    </row>
    <row r="227" spans="48:50" x14ac:dyDescent="0.25">
      <c r="AV227" s="90"/>
      <c r="AX227" s="80"/>
    </row>
    <row r="228" spans="48:50" x14ac:dyDescent="0.25">
      <c r="AV228" s="90"/>
      <c r="AX228" s="80"/>
    </row>
    <row r="229" spans="48:50" x14ac:dyDescent="0.25">
      <c r="AV229" s="90"/>
      <c r="AX229" s="80"/>
    </row>
    <row r="230" spans="48:50" x14ac:dyDescent="0.25">
      <c r="AV230" s="90"/>
      <c r="AX230" s="80"/>
    </row>
    <row r="231" spans="48:50" x14ac:dyDescent="0.25">
      <c r="AV231" s="90"/>
      <c r="AX231" s="80"/>
    </row>
    <row r="232" spans="48:50" x14ac:dyDescent="0.25">
      <c r="AV232" s="90"/>
      <c r="AX232" s="80"/>
    </row>
    <row r="233" spans="48:50" x14ac:dyDescent="0.25">
      <c r="AV233" s="90"/>
      <c r="AX233" s="80"/>
    </row>
    <row r="234" spans="48:50" x14ac:dyDescent="0.25">
      <c r="AV234" s="90"/>
      <c r="AX234" s="80"/>
    </row>
    <row r="235" spans="48:50" x14ac:dyDescent="0.25">
      <c r="AV235" s="90"/>
      <c r="AX235" s="80"/>
    </row>
    <row r="236" spans="48:50" x14ac:dyDescent="0.25">
      <c r="AV236" s="90"/>
      <c r="AX236" s="80"/>
    </row>
    <row r="237" spans="48:50" x14ac:dyDescent="0.25">
      <c r="AV237" s="90"/>
      <c r="AX237" s="80"/>
    </row>
    <row r="238" spans="48:50" x14ac:dyDescent="0.25">
      <c r="AV238" s="90"/>
      <c r="AX238" s="80"/>
    </row>
    <row r="239" spans="48:50" x14ac:dyDescent="0.25">
      <c r="AV239" s="90"/>
      <c r="AX239" s="80"/>
    </row>
    <row r="240" spans="48:50" x14ac:dyDescent="0.25">
      <c r="AV240" s="90"/>
      <c r="AX240" s="80"/>
    </row>
    <row r="241" spans="48:50" x14ac:dyDescent="0.25">
      <c r="AV241" s="90"/>
      <c r="AX241" s="80"/>
    </row>
    <row r="242" spans="48:50" x14ac:dyDescent="0.25">
      <c r="AV242" s="90"/>
      <c r="AX242" s="80"/>
    </row>
    <row r="243" spans="48:50" x14ac:dyDescent="0.25">
      <c r="AV243" s="90"/>
      <c r="AX243" s="80"/>
    </row>
    <row r="244" spans="48:50" x14ac:dyDescent="0.25">
      <c r="AV244" s="90"/>
      <c r="AX244" s="80"/>
    </row>
    <row r="245" spans="48:50" x14ac:dyDescent="0.25">
      <c r="AV245" s="90"/>
      <c r="AX245" s="80"/>
    </row>
    <row r="246" spans="48:50" x14ac:dyDescent="0.25">
      <c r="AV246" s="90"/>
      <c r="AX246" s="80"/>
    </row>
    <row r="247" spans="48:50" x14ac:dyDescent="0.25">
      <c r="AV247" s="90"/>
      <c r="AX247" s="80"/>
    </row>
    <row r="248" spans="48:50" x14ac:dyDescent="0.25">
      <c r="AV248" s="90"/>
      <c r="AX248" s="80"/>
    </row>
    <row r="249" spans="48:50" x14ac:dyDescent="0.25">
      <c r="AV249" s="90"/>
      <c r="AX249" s="80"/>
    </row>
    <row r="250" spans="48:50" x14ac:dyDescent="0.25">
      <c r="AV250" s="90"/>
      <c r="AX250" s="80"/>
    </row>
    <row r="251" spans="48:50" x14ac:dyDescent="0.25">
      <c r="AV251" s="90"/>
      <c r="AX251" s="80"/>
    </row>
    <row r="252" spans="48:50" x14ac:dyDescent="0.25">
      <c r="AV252" s="90"/>
      <c r="AX252" s="80"/>
    </row>
    <row r="253" spans="48:50" x14ac:dyDescent="0.25">
      <c r="AV253" s="90"/>
      <c r="AX253" s="80"/>
    </row>
    <row r="254" spans="48:50" x14ac:dyDescent="0.25">
      <c r="AV254" s="90"/>
      <c r="AX254" s="80"/>
    </row>
    <row r="255" spans="48:50" x14ac:dyDescent="0.25">
      <c r="AV255" s="90"/>
      <c r="AX255" s="80"/>
    </row>
    <row r="256" spans="48:50" x14ac:dyDescent="0.25">
      <c r="AV256" s="90"/>
      <c r="AX256" s="80"/>
    </row>
    <row r="257" spans="48:50" x14ac:dyDescent="0.25">
      <c r="AV257" s="90"/>
      <c r="AX257" s="80"/>
    </row>
    <row r="258" spans="48:50" x14ac:dyDescent="0.25">
      <c r="AV258" s="90"/>
      <c r="AX258" s="80"/>
    </row>
    <row r="259" spans="48:50" x14ac:dyDescent="0.25">
      <c r="AV259" s="90"/>
      <c r="AX259" s="80"/>
    </row>
    <row r="260" spans="48:50" x14ac:dyDescent="0.25">
      <c r="AV260" s="90"/>
      <c r="AX260" s="80"/>
    </row>
    <row r="261" spans="48:50" x14ac:dyDescent="0.25">
      <c r="AV261" s="90"/>
      <c r="AX261" s="80"/>
    </row>
    <row r="262" spans="48:50" x14ac:dyDescent="0.25">
      <c r="AV262" s="90"/>
      <c r="AX262" s="80"/>
    </row>
    <row r="263" spans="48:50" x14ac:dyDescent="0.25">
      <c r="AV263" s="90"/>
      <c r="AX263" s="80"/>
    </row>
    <row r="264" spans="48:50" x14ac:dyDescent="0.25">
      <c r="AV264" s="90"/>
      <c r="AX264" s="80"/>
    </row>
    <row r="265" spans="48:50" x14ac:dyDescent="0.25">
      <c r="AV265" s="90"/>
      <c r="AX265" s="80"/>
    </row>
    <row r="266" spans="48:50" x14ac:dyDescent="0.25">
      <c r="AV266" s="90"/>
      <c r="AX266" s="80"/>
    </row>
    <row r="267" spans="48:50" x14ac:dyDescent="0.25">
      <c r="AV267" s="90"/>
      <c r="AX267" s="80"/>
    </row>
    <row r="268" spans="48:50" x14ac:dyDescent="0.25">
      <c r="AV268" s="90"/>
      <c r="AX268" s="80"/>
    </row>
    <row r="269" spans="48:50" x14ac:dyDescent="0.25">
      <c r="AV269" s="90"/>
      <c r="AX269" s="80"/>
    </row>
    <row r="270" spans="48:50" x14ac:dyDescent="0.25">
      <c r="AV270" s="90"/>
      <c r="AX270" s="80"/>
    </row>
    <row r="271" spans="48:50" x14ac:dyDescent="0.25">
      <c r="AV271" s="90"/>
      <c r="AX271" s="80"/>
    </row>
    <row r="272" spans="48:50" x14ac:dyDescent="0.25">
      <c r="AV272" s="90"/>
      <c r="AX272" s="80"/>
    </row>
    <row r="273" spans="48:50" x14ac:dyDescent="0.25">
      <c r="AV273" s="90"/>
      <c r="AX273" s="80"/>
    </row>
    <row r="274" spans="48:50" x14ac:dyDescent="0.25">
      <c r="AV274" s="90"/>
      <c r="AX274" s="80"/>
    </row>
    <row r="275" spans="48:50" x14ac:dyDescent="0.25">
      <c r="AV275" s="90"/>
      <c r="AX275" s="80"/>
    </row>
    <row r="276" spans="48:50" x14ac:dyDescent="0.25">
      <c r="AV276" s="90"/>
      <c r="AX276" s="80"/>
    </row>
    <row r="277" spans="48:50" x14ac:dyDescent="0.25">
      <c r="AV277" s="90"/>
      <c r="AX277" s="80"/>
    </row>
    <row r="278" spans="48:50" x14ac:dyDescent="0.25">
      <c r="AV278" s="90"/>
      <c r="AX278" s="80"/>
    </row>
    <row r="279" spans="48:50" x14ac:dyDescent="0.25">
      <c r="AV279" s="90"/>
      <c r="AX279" s="80"/>
    </row>
    <row r="280" spans="48:50" x14ac:dyDescent="0.25">
      <c r="AV280" s="90"/>
      <c r="AX280" s="80"/>
    </row>
    <row r="281" spans="48:50" x14ac:dyDescent="0.25">
      <c r="AV281" s="90"/>
      <c r="AX281" s="80"/>
    </row>
    <row r="282" spans="48:50" x14ac:dyDescent="0.25">
      <c r="AV282" s="90"/>
      <c r="AX282" s="80"/>
    </row>
    <row r="283" spans="48:50" x14ac:dyDescent="0.25">
      <c r="AV283" s="90"/>
      <c r="AX283" s="80"/>
    </row>
    <row r="284" spans="48:50" x14ac:dyDescent="0.25">
      <c r="AV284" s="90"/>
      <c r="AX284" s="80"/>
    </row>
    <row r="285" spans="48:50" x14ac:dyDescent="0.25">
      <c r="AV285" s="90"/>
      <c r="AX285" s="80"/>
    </row>
    <row r="286" spans="48:50" x14ac:dyDescent="0.25">
      <c r="AV286" s="90"/>
      <c r="AX286" s="80"/>
    </row>
    <row r="287" spans="48:50" x14ac:dyDescent="0.25">
      <c r="AV287" s="90"/>
      <c r="AX287" s="80"/>
    </row>
    <row r="288" spans="48:50" x14ac:dyDescent="0.25">
      <c r="AV288" s="90"/>
      <c r="AX288" s="80"/>
    </row>
    <row r="289" spans="48:50" x14ac:dyDescent="0.25">
      <c r="AV289" s="90"/>
      <c r="AX289" s="80"/>
    </row>
    <row r="290" spans="48:50" x14ac:dyDescent="0.25">
      <c r="AV290" s="90"/>
      <c r="AX290" s="80"/>
    </row>
    <row r="291" spans="48:50" x14ac:dyDescent="0.25">
      <c r="AV291" s="90"/>
      <c r="AX291" s="80"/>
    </row>
    <row r="292" spans="48:50" x14ac:dyDescent="0.25">
      <c r="AV292" s="90"/>
      <c r="AX292" s="80"/>
    </row>
    <row r="293" spans="48:50" x14ac:dyDescent="0.25">
      <c r="AV293" s="90"/>
      <c r="AX293" s="80"/>
    </row>
    <row r="294" spans="48:50" x14ac:dyDescent="0.25">
      <c r="AV294" s="90"/>
      <c r="AX294" s="80"/>
    </row>
    <row r="295" spans="48:50" x14ac:dyDescent="0.25">
      <c r="AV295" s="90"/>
      <c r="AX295" s="80"/>
    </row>
    <row r="296" spans="48:50" x14ac:dyDescent="0.25">
      <c r="AV296" s="90"/>
      <c r="AX296" s="80"/>
    </row>
    <row r="297" spans="48:50" x14ac:dyDescent="0.25">
      <c r="AV297" s="90"/>
      <c r="AX297" s="80"/>
    </row>
    <row r="298" spans="48:50" x14ac:dyDescent="0.25">
      <c r="AV298" s="90"/>
      <c r="AX298" s="80"/>
    </row>
    <row r="299" spans="48:50" x14ac:dyDescent="0.25">
      <c r="AV299" s="90"/>
      <c r="AX299" s="80"/>
    </row>
    <row r="300" spans="48:50" x14ac:dyDescent="0.25">
      <c r="AV300" s="90"/>
      <c r="AX300" s="80"/>
    </row>
    <row r="301" spans="48:50" x14ac:dyDescent="0.25">
      <c r="AX301" s="80"/>
    </row>
    <row r="302" spans="48:50" x14ac:dyDescent="0.25">
      <c r="AX302" s="80"/>
    </row>
    <row r="303" spans="48:50" x14ac:dyDescent="0.25">
      <c r="AX303" s="80"/>
    </row>
    <row r="304" spans="48:50" x14ac:dyDescent="0.25">
      <c r="AX304" s="80"/>
    </row>
    <row r="305" spans="50:50" x14ac:dyDescent="0.25">
      <c r="AX305" s="80"/>
    </row>
    <row r="306" spans="50:50" x14ac:dyDescent="0.25">
      <c r="AX306" s="80"/>
    </row>
    <row r="307" spans="50:50" x14ac:dyDescent="0.25">
      <c r="AX307" s="80"/>
    </row>
    <row r="308" spans="50:50" x14ac:dyDescent="0.25">
      <c r="AX308" s="80"/>
    </row>
    <row r="309" spans="50:50" x14ac:dyDescent="0.25">
      <c r="AX309" s="80"/>
    </row>
    <row r="310" spans="50:50" x14ac:dyDescent="0.25">
      <c r="AX310" s="80"/>
    </row>
    <row r="311" spans="50:50" x14ac:dyDescent="0.25">
      <c r="AX311" s="80"/>
    </row>
    <row r="312" spans="50:50" x14ac:dyDescent="0.25">
      <c r="AX312" s="80"/>
    </row>
    <row r="313" spans="50:50" x14ac:dyDescent="0.25">
      <c r="AX313" s="80"/>
    </row>
    <row r="314" spans="50:50" x14ac:dyDescent="0.25">
      <c r="AX314" s="80"/>
    </row>
    <row r="315" spans="50:50" x14ac:dyDescent="0.25">
      <c r="AX315" s="80"/>
    </row>
    <row r="316" spans="50:50" x14ac:dyDescent="0.25">
      <c r="AX316" s="80"/>
    </row>
    <row r="317" spans="50:50" x14ac:dyDescent="0.25">
      <c r="AX317" s="80"/>
    </row>
    <row r="318" spans="50:50" x14ac:dyDescent="0.25">
      <c r="AX318" s="80"/>
    </row>
    <row r="319" spans="50:50" x14ac:dyDescent="0.25">
      <c r="AX319" s="80"/>
    </row>
    <row r="320" spans="50:50" x14ac:dyDescent="0.25">
      <c r="AX320" s="80"/>
    </row>
    <row r="321" spans="50:50" x14ac:dyDescent="0.25">
      <c r="AX321" s="80"/>
    </row>
    <row r="322" spans="50:50" x14ac:dyDescent="0.25">
      <c r="AX322" s="80"/>
    </row>
    <row r="323" spans="50:50" x14ac:dyDescent="0.25">
      <c r="AX323" s="80"/>
    </row>
    <row r="324" spans="50:50" x14ac:dyDescent="0.25">
      <c r="AX324" s="80"/>
    </row>
    <row r="325" spans="50:50" x14ac:dyDescent="0.25">
      <c r="AX325" s="80"/>
    </row>
    <row r="326" spans="50:50" x14ac:dyDescent="0.25">
      <c r="AX326" s="80"/>
    </row>
    <row r="327" spans="50:50" x14ac:dyDescent="0.25">
      <c r="AX327" s="80"/>
    </row>
    <row r="328" spans="50:50" x14ac:dyDescent="0.25">
      <c r="AX328" s="80"/>
    </row>
    <row r="329" spans="50:50" x14ac:dyDescent="0.25">
      <c r="AX329" s="80"/>
    </row>
    <row r="330" spans="50:50" x14ac:dyDescent="0.25">
      <c r="AX330" s="80"/>
    </row>
    <row r="331" spans="50:50" x14ac:dyDescent="0.25">
      <c r="AX331" s="80"/>
    </row>
    <row r="332" spans="50:50" x14ac:dyDescent="0.25">
      <c r="AX332" s="80"/>
    </row>
    <row r="333" spans="50:50" x14ac:dyDescent="0.25">
      <c r="AX333" s="80"/>
    </row>
    <row r="334" spans="50:50" x14ac:dyDescent="0.25">
      <c r="AX334" s="80"/>
    </row>
    <row r="335" spans="50:50" x14ac:dyDescent="0.25">
      <c r="AX335" s="80"/>
    </row>
    <row r="336" spans="50:50" x14ac:dyDescent="0.25">
      <c r="AX336" s="80"/>
    </row>
    <row r="337" spans="48:50" x14ac:dyDescent="0.25">
      <c r="AX337" s="80"/>
    </row>
    <row r="338" spans="48:50" x14ac:dyDescent="0.25">
      <c r="AX338" s="80"/>
    </row>
    <row r="339" spans="48:50" x14ac:dyDescent="0.25">
      <c r="AX339" s="80"/>
    </row>
    <row r="340" spans="48:50" x14ac:dyDescent="0.25">
      <c r="AX340" s="80"/>
    </row>
    <row r="341" spans="48:50" x14ac:dyDescent="0.25">
      <c r="AX341" s="80"/>
    </row>
    <row r="342" spans="48:50" x14ac:dyDescent="0.25">
      <c r="AX342" s="80"/>
    </row>
    <row r="343" spans="48:50" x14ac:dyDescent="0.25">
      <c r="AX343" s="80"/>
    </row>
    <row r="344" spans="48:50" x14ac:dyDescent="0.25">
      <c r="AX344" s="80"/>
    </row>
    <row r="345" spans="48:50" x14ac:dyDescent="0.25">
      <c r="AX345" s="80"/>
    </row>
    <row r="346" spans="48:50" x14ac:dyDescent="0.25">
      <c r="AX346" s="80"/>
    </row>
    <row r="347" spans="48:50" x14ac:dyDescent="0.25">
      <c r="AX347" s="80"/>
    </row>
    <row r="348" spans="48:50" x14ac:dyDescent="0.25">
      <c r="AX348" s="80"/>
    </row>
    <row r="349" spans="48:50" x14ac:dyDescent="0.25">
      <c r="AX349" s="80"/>
    </row>
    <row r="350" spans="48:50" x14ac:dyDescent="0.25">
      <c r="AX350" s="80"/>
    </row>
    <row r="351" spans="48:50" x14ac:dyDescent="0.25">
      <c r="AX351" s="80"/>
    </row>
    <row r="352" spans="48:50" x14ac:dyDescent="0.25">
      <c r="AV352" s="90"/>
      <c r="AX352" s="80"/>
    </row>
    <row r="353" spans="50:50" x14ac:dyDescent="0.25">
      <c r="AX353" s="80"/>
    </row>
    <row r="354" spans="50:50" x14ac:dyDescent="0.25">
      <c r="AX354" s="80"/>
    </row>
    <row r="355" spans="50:50" x14ac:dyDescent="0.25">
      <c r="AX355" s="80"/>
    </row>
    <row r="356" spans="50:50" x14ac:dyDescent="0.25">
      <c r="AX356" s="80"/>
    </row>
    <row r="357" spans="50:50" x14ac:dyDescent="0.25">
      <c r="AX357" s="80"/>
    </row>
    <row r="358" spans="50:50" x14ac:dyDescent="0.25">
      <c r="AX358" s="80"/>
    </row>
    <row r="359" spans="50:50" x14ac:dyDescent="0.25">
      <c r="AX359" s="80"/>
    </row>
    <row r="360" spans="50:50" x14ac:dyDescent="0.25">
      <c r="AX360" s="80"/>
    </row>
    <row r="361" spans="50:50" x14ac:dyDescent="0.25">
      <c r="AX361" s="80"/>
    </row>
    <row r="362" spans="50:50" x14ac:dyDescent="0.25">
      <c r="AX362" s="80"/>
    </row>
    <row r="363" spans="50:50" x14ac:dyDescent="0.25">
      <c r="AX363" s="80"/>
    </row>
    <row r="364" spans="50:50" x14ac:dyDescent="0.25">
      <c r="AX364" s="80"/>
    </row>
    <row r="365" spans="50:50" x14ac:dyDescent="0.25">
      <c r="AX365" s="80"/>
    </row>
    <row r="366" spans="50:50" x14ac:dyDescent="0.25">
      <c r="AX366" s="80"/>
    </row>
    <row r="367" spans="50:50" x14ac:dyDescent="0.25">
      <c r="AX367" s="80"/>
    </row>
    <row r="368" spans="50:50" x14ac:dyDescent="0.25">
      <c r="AX368" s="80"/>
    </row>
    <row r="369" spans="50:50" x14ac:dyDescent="0.25">
      <c r="AX369" s="80"/>
    </row>
    <row r="370" spans="50:50" x14ac:dyDescent="0.25">
      <c r="AX370" s="80"/>
    </row>
    <row r="371" spans="50:50" x14ac:dyDescent="0.25">
      <c r="AX371" s="80"/>
    </row>
    <row r="372" spans="50:50" x14ac:dyDescent="0.25">
      <c r="AX372" s="80"/>
    </row>
    <row r="373" spans="50:50" x14ac:dyDescent="0.25">
      <c r="AX373" s="80"/>
    </row>
    <row r="374" spans="50:50" x14ac:dyDescent="0.25">
      <c r="AX374" s="80"/>
    </row>
    <row r="375" spans="50:50" x14ac:dyDescent="0.25">
      <c r="AX375" s="80"/>
    </row>
    <row r="376" spans="50:50" x14ac:dyDescent="0.25">
      <c r="AX376" s="80"/>
    </row>
    <row r="377" spans="50:50" x14ac:dyDescent="0.25">
      <c r="AX377" s="80"/>
    </row>
    <row r="378" spans="50:50" x14ac:dyDescent="0.25">
      <c r="AX378" s="80"/>
    </row>
    <row r="379" spans="50:50" x14ac:dyDescent="0.25">
      <c r="AX379" s="80"/>
    </row>
    <row r="380" spans="50:50" x14ac:dyDescent="0.25">
      <c r="AX380" s="80"/>
    </row>
    <row r="381" spans="50:50" x14ac:dyDescent="0.25">
      <c r="AX381" s="80"/>
    </row>
    <row r="382" spans="50:50" x14ac:dyDescent="0.25">
      <c r="AX382" s="80"/>
    </row>
    <row r="383" spans="50:50" x14ac:dyDescent="0.25">
      <c r="AX383" s="80"/>
    </row>
    <row r="384" spans="50:50" x14ac:dyDescent="0.25">
      <c r="AX384" s="80"/>
    </row>
    <row r="385" spans="48:50" x14ac:dyDescent="0.25">
      <c r="AX385" s="80"/>
    </row>
    <row r="386" spans="48:50" x14ac:dyDescent="0.25">
      <c r="AX386" s="80"/>
    </row>
    <row r="387" spans="48:50" x14ac:dyDescent="0.25">
      <c r="AX387" s="80"/>
    </row>
    <row r="388" spans="48:50" x14ac:dyDescent="0.25">
      <c r="AX388" s="80"/>
    </row>
    <row r="389" spans="48:50" x14ac:dyDescent="0.25">
      <c r="AX389" s="80"/>
    </row>
    <row r="390" spans="48:50" x14ac:dyDescent="0.25">
      <c r="AX390" s="80"/>
    </row>
    <row r="391" spans="48:50" x14ac:dyDescent="0.25">
      <c r="AV391" s="90"/>
      <c r="AX391" s="80"/>
    </row>
    <row r="392" spans="48:50" x14ac:dyDescent="0.25">
      <c r="AX392" s="80"/>
    </row>
    <row r="393" spans="48:50" x14ac:dyDescent="0.25">
      <c r="AX393" s="80"/>
    </row>
    <row r="394" spans="48:50" x14ac:dyDescent="0.25">
      <c r="AX394" s="80"/>
    </row>
    <row r="395" spans="48:50" x14ac:dyDescent="0.25">
      <c r="AX395" s="80"/>
    </row>
    <row r="396" spans="48:50" x14ac:dyDescent="0.25">
      <c r="AX396" s="80"/>
    </row>
    <row r="397" spans="48:50" x14ac:dyDescent="0.25">
      <c r="AX397" s="80"/>
    </row>
    <row r="398" spans="48:50" x14ac:dyDescent="0.25">
      <c r="AX398" s="80"/>
    </row>
    <row r="399" spans="48:50" x14ac:dyDescent="0.25">
      <c r="AX399" s="80"/>
    </row>
    <row r="400" spans="48:50" x14ac:dyDescent="0.25">
      <c r="AX400" s="80"/>
    </row>
    <row r="401" spans="50:50" x14ac:dyDescent="0.25">
      <c r="AX401" s="80"/>
    </row>
    <row r="402" spans="50:50" x14ac:dyDescent="0.25">
      <c r="AX402" s="80"/>
    </row>
    <row r="403" spans="50:50" x14ac:dyDescent="0.25">
      <c r="AX403" s="80"/>
    </row>
    <row r="404" spans="50:50" x14ac:dyDescent="0.25">
      <c r="AX404" s="80"/>
    </row>
    <row r="405" spans="50:50" x14ac:dyDescent="0.25">
      <c r="AX405" s="80"/>
    </row>
    <row r="406" spans="50:50" x14ac:dyDescent="0.25">
      <c r="AX406" s="80"/>
    </row>
    <row r="407" spans="50:50" x14ac:dyDescent="0.25">
      <c r="AX407" s="80"/>
    </row>
    <row r="408" spans="50:50" x14ac:dyDescent="0.25">
      <c r="AX408" s="80"/>
    </row>
    <row r="409" spans="50:50" x14ac:dyDescent="0.25">
      <c r="AX409" s="80"/>
    </row>
    <row r="410" spans="50:50" x14ac:dyDescent="0.25">
      <c r="AX410" s="80"/>
    </row>
    <row r="411" spans="50:50" x14ac:dyDescent="0.25">
      <c r="AX411" s="80"/>
    </row>
    <row r="412" spans="50:50" x14ac:dyDescent="0.25">
      <c r="AX412" s="80"/>
    </row>
    <row r="413" spans="50:50" x14ac:dyDescent="0.25">
      <c r="AX413" s="80"/>
    </row>
    <row r="414" spans="50:50" x14ac:dyDescent="0.25">
      <c r="AX414" s="80"/>
    </row>
    <row r="415" spans="50:50" x14ac:dyDescent="0.25">
      <c r="AX415" s="80"/>
    </row>
    <row r="416" spans="50:50" x14ac:dyDescent="0.25">
      <c r="AX416" s="80"/>
    </row>
    <row r="417" spans="50:50" x14ac:dyDescent="0.25">
      <c r="AX417" s="80"/>
    </row>
    <row r="418" spans="50:50" x14ac:dyDescent="0.25">
      <c r="AX418" s="80"/>
    </row>
    <row r="419" spans="50:50" x14ac:dyDescent="0.25">
      <c r="AX419" s="80"/>
    </row>
    <row r="420" spans="50:50" x14ac:dyDescent="0.25">
      <c r="AX420" s="80"/>
    </row>
    <row r="421" spans="50:50" x14ac:dyDescent="0.25">
      <c r="AX421" s="80"/>
    </row>
    <row r="422" spans="50:50" x14ac:dyDescent="0.25">
      <c r="AX422" s="80"/>
    </row>
    <row r="423" spans="50:50" x14ac:dyDescent="0.25">
      <c r="AX423" s="80"/>
    </row>
    <row r="424" spans="50:50" x14ac:dyDescent="0.25">
      <c r="AX424" s="80"/>
    </row>
    <row r="425" spans="50:50" x14ac:dyDescent="0.25">
      <c r="AX425" s="80"/>
    </row>
    <row r="426" spans="50:50" x14ac:dyDescent="0.25">
      <c r="AX426" s="80"/>
    </row>
    <row r="427" spans="50:50" x14ac:dyDescent="0.25">
      <c r="AX427" s="80"/>
    </row>
    <row r="428" spans="50:50" x14ac:dyDescent="0.25">
      <c r="AX428" s="80"/>
    </row>
    <row r="429" spans="50:50" x14ac:dyDescent="0.25">
      <c r="AX429" s="80"/>
    </row>
    <row r="430" spans="50:50" x14ac:dyDescent="0.25">
      <c r="AX430" s="80"/>
    </row>
    <row r="431" spans="50:50" x14ac:dyDescent="0.25">
      <c r="AX431" s="80"/>
    </row>
    <row r="432" spans="50:50" x14ac:dyDescent="0.25">
      <c r="AX432" s="80"/>
    </row>
    <row r="433" spans="50:50" x14ac:dyDescent="0.25">
      <c r="AX433" s="80"/>
    </row>
    <row r="434" spans="50:50" x14ac:dyDescent="0.25">
      <c r="AX434" s="80"/>
    </row>
    <row r="435" spans="50:50" x14ac:dyDescent="0.25">
      <c r="AX435" s="80"/>
    </row>
    <row r="436" spans="50:50" x14ac:dyDescent="0.25">
      <c r="AX436" s="80"/>
    </row>
    <row r="437" spans="50:50" x14ac:dyDescent="0.25">
      <c r="AX437" s="80"/>
    </row>
    <row r="438" spans="50:50" x14ac:dyDescent="0.25">
      <c r="AX438" s="80"/>
    </row>
    <row r="439" spans="50:50" x14ac:dyDescent="0.25">
      <c r="AX439" s="80"/>
    </row>
    <row r="440" spans="50:50" x14ac:dyDescent="0.25">
      <c r="AX440" s="80"/>
    </row>
    <row r="441" spans="50:50" x14ac:dyDescent="0.25">
      <c r="AX441" s="80"/>
    </row>
    <row r="442" spans="50:50" x14ac:dyDescent="0.25">
      <c r="AX442" s="80"/>
    </row>
    <row r="443" spans="50:50" x14ac:dyDescent="0.25">
      <c r="AX443" s="80"/>
    </row>
    <row r="444" spans="50:50" x14ac:dyDescent="0.25">
      <c r="AX444" s="80"/>
    </row>
    <row r="445" spans="50:50" x14ac:dyDescent="0.25">
      <c r="AX445" s="80"/>
    </row>
    <row r="446" spans="50:50" x14ac:dyDescent="0.25">
      <c r="AX446" s="80"/>
    </row>
    <row r="447" spans="50:50" x14ac:dyDescent="0.25">
      <c r="AX447" s="80"/>
    </row>
    <row r="448" spans="50:50" x14ac:dyDescent="0.25">
      <c r="AX448" s="80"/>
    </row>
    <row r="449" spans="48:50" x14ac:dyDescent="0.25">
      <c r="AX449" s="80"/>
    </row>
    <row r="450" spans="48:50" x14ac:dyDescent="0.25">
      <c r="AX450" s="80"/>
    </row>
    <row r="451" spans="48:50" x14ac:dyDescent="0.25">
      <c r="AX451" s="80"/>
    </row>
    <row r="452" spans="48:50" x14ac:dyDescent="0.25">
      <c r="AX452" s="80"/>
    </row>
    <row r="453" spans="48:50" x14ac:dyDescent="0.25">
      <c r="AX453" s="80"/>
    </row>
    <row r="454" spans="48:50" x14ac:dyDescent="0.25">
      <c r="AX454" s="80"/>
    </row>
    <row r="455" spans="48:50" x14ac:dyDescent="0.25">
      <c r="AX455" s="80"/>
    </row>
    <row r="456" spans="48:50" x14ac:dyDescent="0.25">
      <c r="AX456" s="80"/>
    </row>
    <row r="457" spans="48:50" x14ac:dyDescent="0.25">
      <c r="AV457" s="90"/>
      <c r="AX457" s="80"/>
    </row>
    <row r="458" spans="48:50" x14ac:dyDescent="0.25">
      <c r="AX458" s="80"/>
    </row>
    <row r="459" spans="48:50" x14ac:dyDescent="0.25">
      <c r="AX459" s="80"/>
    </row>
    <row r="460" spans="48:50" x14ac:dyDescent="0.25">
      <c r="AX460" s="80"/>
    </row>
    <row r="461" spans="48:50" x14ac:dyDescent="0.25">
      <c r="AX461" s="80"/>
    </row>
    <row r="462" spans="48:50" x14ac:dyDescent="0.25">
      <c r="AX462" s="80"/>
    </row>
    <row r="463" spans="48:50" x14ac:dyDescent="0.25">
      <c r="AX463" s="80"/>
    </row>
    <row r="464" spans="48:50" x14ac:dyDescent="0.25">
      <c r="AX464" s="80"/>
    </row>
    <row r="465" spans="50:50" x14ac:dyDescent="0.25">
      <c r="AX465" s="80"/>
    </row>
    <row r="466" spans="50:50" x14ac:dyDescent="0.25">
      <c r="AX466" s="80"/>
    </row>
    <row r="467" spans="50:50" x14ac:dyDescent="0.25">
      <c r="AX467" s="80"/>
    </row>
    <row r="468" spans="50:50" x14ac:dyDescent="0.25">
      <c r="AX468" s="80"/>
    </row>
    <row r="469" spans="50:50" x14ac:dyDescent="0.25">
      <c r="AX469" s="80"/>
    </row>
    <row r="470" spans="50:50" x14ac:dyDescent="0.25">
      <c r="AX470" s="80"/>
    </row>
    <row r="471" spans="50:50" x14ac:dyDescent="0.25">
      <c r="AX471" s="80"/>
    </row>
    <row r="472" spans="50:50" x14ac:dyDescent="0.25">
      <c r="AX472" s="80"/>
    </row>
    <row r="473" spans="50:50" x14ac:dyDescent="0.25">
      <c r="AX473" s="80"/>
    </row>
    <row r="474" spans="50:50" x14ac:dyDescent="0.25">
      <c r="AX474" s="80"/>
    </row>
    <row r="475" spans="50:50" x14ac:dyDescent="0.25">
      <c r="AX475" s="80"/>
    </row>
    <row r="476" spans="50:50" x14ac:dyDescent="0.25">
      <c r="AX476" s="80"/>
    </row>
    <row r="477" spans="50:50" x14ac:dyDescent="0.25">
      <c r="AX477" s="80"/>
    </row>
    <row r="478" spans="50:50" x14ac:dyDescent="0.25">
      <c r="AX478" s="80"/>
    </row>
    <row r="479" spans="50:50" x14ac:dyDescent="0.25">
      <c r="AX479" s="80"/>
    </row>
    <row r="480" spans="50:50" x14ac:dyDescent="0.25">
      <c r="AX480" s="80"/>
    </row>
    <row r="481" spans="50:50" x14ac:dyDescent="0.25">
      <c r="AX481" s="80"/>
    </row>
    <row r="482" spans="50:50" x14ac:dyDescent="0.25">
      <c r="AX482" s="80"/>
    </row>
    <row r="483" spans="50:50" x14ac:dyDescent="0.25">
      <c r="AX483" s="80"/>
    </row>
    <row r="484" spans="50:50" x14ac:dyDescent="0.25">
      <c r="AX484" s="80"/>
    </row>
    <row r="485" spans="50:50" x14ac:dyDescent="0.25">
      <c r="AX485" s="80"/>
    </row>
    <row r="486" spans="50:50" x14ac:dyDescent="0.25">
      <c r="AX486" s="80"/>
    </row>
    <row r="487" spans="50:50" x14ac:dyDescent="0.25">
      <c r="AX487" s="80"/>
    </row>
    <row r="488" spans="50:50" x14ac:dyDescent="0.25">
      <c r="AX488" s="80"/>
    </row>
    <row r="489" spans="50:50" x14ac:dyDescent="0.25">
      <c r="AX489" s="80"/>
    </row>
    <row r="490" spans="50:50" x14ac:dyDescent="0.25">
      <c r="AX490" s="80"/>
    </row>
    <row r="491" spans="50:50" x14ac:dyDescent="0.25">
      <c r="AX491" s="80"/>
    </row>
    <row r="492" spans="50:50" x14ac:dyDescent="0.25">
      <c r="AX492" s="80"/>
    </row>
    <row r="493" spans="50:50" x14ac:dyDescent="0.25">
      <c r="AX493" s="80"/>
    </row>
    <row r="494" spans="50:50" x14ac:dyDescent="0.25">
      <c r="AX494" s="80"/>
    </row>
    <row r="495" spans="50:50" x14ac:dyDescent="0.25">
      <c r="AX495" s="80"/>
    </row>
    <row r="496" spans="50:50" x14ac:dyDescent="0.25">
      <c r="AX496" s="80"/>
    </row>
    <row r="497" spans="50:50" x14ac:dyDescent="0.25">
      <c r="AX497" s="80"/>
    </row>
    <row r="498" spans="50:50" x14ac:dyDescent="0.25">
      <c r="AX498" s="80"/>
    </row>
    <row r="499" spans="50:50" x14ac:dyDescent="0.25">
      <c r="AX499" s="80"/>
    </row>
    <row r="500" spans="50:50" x14ac:dyDescent="0.25">
      <c r="AX500" s="80"/>
    </row>
    <row r="501" spans="50:50" x14ac:dyDescent="0.25">
      <c r="AX501" s="80"/>
    </row>
    <row r="502" spans="50:50" x14ac:dyDescent="0.25">
      <c r="AX502" s="80"/>
    </row>
    <row r="503" spans="50:50" x14ac:dyDescent="0.25">
      <c r="AX503" s="80"/>
    </row>
    <row r="504" spans="50:50" x14ac:dyDescent="0.25">
      <c r="AX504" s="80"/>
    </row>
    <row r="505" spans="50:50" x14ac:dyDescent="0.25">
      <c r="AX505" s="80"/>
    </row>
    <row r="506" spans="50:50" x14ac:dyDescent="0.25">
      <c r="AX506" s="80"/>
    </row>
    <row r="507" spans="50:50" x14ac:dyDescent="0.25">
      <c r="AX507" s="80"/>
    </row>
    <row r="508" spans="50:50" x14ac:dyDescent="0.25">
      <c r="AX508" s="80"/>
    </row>
    <row r="509" spans="50:50" x14ac:dyDescent="0.25">
      <c r="AX509" s="80"/>
    </row>
    <row r="510" spans="50:50" x14ac:dyDescent="0.25">
      <c r="AX510" s="80"/>
    </row>
    <row r="511" spans="50:50" x14ac:dyDescent="0.25">
      <c r="AX511" s="80"/>
    </row>
    <row r="512" spans="50:50" x14ac:dyDescent="0.25">
      <c r="AX512" s="80"/>
    </row>
    <row r="513" spans="50:50" x14ac:dyDescent="0.25">
      <c r="AX513" s="80"/>
    </row>
    <row r="514" spans="50:50" x14ac:dyDescent="0.25">
      <c r="AX514" s="80"/>
    </row>
    <row r="515" spans="50:50" x14ac:dyDescent="0.25">
      <c r="AX515" s="80"/>
    </row>
    <row r="516" spans="50:50" x14ac:dyDescent="0.25">
      <c r="AX516" s="80"/>
    </row>
    <row r="517" spans="50:50" x14ac:dyDescent="0.25">
      <c r="AX517" s="80"/>
    </row>
    <row r="518" spans="50:50" x14ac:dyDescent="0.25">
      <c r="AX518" s="80"/>
    </row>
    <row r="519" spans="50:50" x14ac:dyDescent="0.25">
      <c r="AX519" s="80"/>
    </row>
    <row r="520" spans="50:50" x14ac:dyDescent="0.25">
      <c r="AX520" s="80"/>
    </row>
    <row r="521" spans="50:50" x14ac:dyDescent="0.25">
      <c r="AX521" s="80"/>
    </row>
    <row r="522" spans="50:50" x14ac:dyDescent="0.25">
      <c r="AX522" s="80"/>
    </row>
    <row r="523" spans="50:50" x14ac:dyDescent="0.25">
      <c r="AX523" s="80"/>
    </row>
    <row r="524" spans="50:50" x14ac:dyDescent="0.25">
      <c r="AX524" s="80"/>
    </row>
    <row r="525" spans="50:50" x14ac:dyDescent="0.25">
      <c r="AX525" s="80"/>
    </row>
    <row r="526" spans="50:50" x14ac:dyDescent="0.25">
      <c r="AX526" s="80"/>
    </row>
    <row r="527" spans="50:50" x14ac:dyDescent="0.25">
      <c r="AX527" s="80"/>
    </row>
    <row r="528" spans="50:50" x14ac:dyDescent="0.25">
      <c r="AX528" s="80"/>
    </row>
    <row r="529" spans="50:50" x14ac:dyDescent="0.25">
      <c r="AX529" s="80"/>
    </row>
    <row r="530" spans="50:50" x14ac:dyDescent="0.25">
      <c r="AX530" s="80"/>
    </row>
    <row r="531" spans="50:50" x14ac:dyDescent="0.25">
      <c r="AX531" s="80"/>
    </row>
    <row r="532" spans="50:50" x14ac:dyDescent="0.25">
      <c r="AX532" s="80"/>
    </row>
    <row r="533" spans="50:50" x14ac:dyDescent="0.25">
      <c r="AX533" s="80"/>
    </row>
    <row r="534" spans="50:50" x14ac:dyDescent="0.25">
      <c r="AX534" s="80"/>
    </row>
    <row r="535" spans="50:50" x14ac:dyDescent="0.25">
      <c r="AX535" s="80"/>
    </row>
    <row r="536" spans="50:50" x14ac:dyDescent="0.25">
      <c r="AX536" s="80"/>
    </row>
    <row r="537" spans="50:50" x14ac:dyDescent="0.25">
      <c r="AX537" s="80"/>
    </row>
    <row r="538" spans="50:50" x14ac:dyDescent="0.25">
      <c r="AX538" s="80"/>
    </row>
    <row r="539" spans="50:50" x14ac:dyDescent="0.25">
      <c r="AX539" s="80"/>
    </row>
    <row r="540" spans="50:50" x14ac:dyDescent="0.25">
      <c r="AX540" s="80"/>
    </row>
    <row r="541" spans="50:50" x14ac:dyDescent="0.25">
      <c r="AX541" s="80"/>
    </row>
    <row r="542" spans="50:50" x14ac:dyDescent="0.25">
      <c r="AX542" s="80"/>
    </row>
    <row r="543" spans="50:50" x14ac:dyDescent="0.25">
      <c r="AX543" s="80"/>
    </row>
    <row r="544" spans="50:50" x14ac:dyDescent="0.25">
      <c r="AX544" s="80"/>
    </row>
    <row r="545" spans="50:50" x14ac:dyDescent="0.25">
      <c r="AX545" s="80"/>
    </row>
    <row r="546" spans="50:50" x14ac:dyDescent="0.25">
      <c r="AX546" s="80"/>
    </row>
    <row r="547" spans="50:50" x14ac:dyDescent="0.25">
      <c r="AX547" s="80"/>
    </row>
    <row r="548" spans="50:50" x14ac:dyDescent="0.25">
      <c r="AX548" s="80"/>
    </row>
    <row r="549" spans="50:50" x14ac:dyDescent="0.25">
      <c r="AX549" s="80"/>
    </row>
    <row r="550" spans="50:50" x14ac:dyDescent="0.25">
      <c r="AX550" s="80"/>
    </row>
    <row r="551" spans="50:50" x14ac:dyDescent="0.25">
      <c r="AX551" s="80"/>
    </row>
    <row r="552" spans="50:50" x14ac:dyDescent="0.25">
      <c r="AX552" s="80"/>
    </row>
    <row r="553" spans="50:50" x14ac:dyDescent="0.25">
      <c r="AX553" s="80"/>
    </row>
    <row r="554" spans="50:50" x14ac:dyDescent="0.25">
      <c r="AX554" s="80"/>
    </row>
    <row r="555" spans="50:50" x14ac:dyDescent="0.25">
      <c r="AX555" s="80"/>
    </row>
    <row r="556" spans="50:50" x14ac:dyDescent="0.25">
      <c r="AX556" s="80"/>
    </row>
    <row r="557" spans="50:50" x14ac:dyDescent="0.25">
      <c r="AX557" s="80"/>
    </row>
    <row r="558" spans="50:50" x14ac:dyDescent="0.25">
      <c r="AX558" s="80"/>
    </row>
    <row r="559" spans="50:50" x14ac:dyDescent="0.25">
      <c r="AX559" s="80"/>
    </row>
    <row r="560" spans="50:50" x14ac:dyDescent="0.25">
      <c r="AX560" s="80"/>
    </row>
    <row r="561" spans="50:50" x14ac:dyDescent="0.25">
      <c r="AX561" s="80"/>
    </row>
    <row r="562" spans="50:50" x14ac:dyDescent="0.25">
      <c r="AX562" s="80"/>
    </row>
    <row r="563" spans="50:50" x14ac:dyDescent="0.25">
      <c r="AX563" s="80"/>
    </row>
    <row r="564" spans="50:50" x14ac:dyDescent="0.25">
      <c r="AX564" s="80"/>
    </row>
    <row r="565" spans="50:50" x14ac:dyDescent="0.25">
      <c r="AX565" s="80"/>
    </row>
    <row r="566" spans="50:50" x14ac:dyDescent="0.25">
      <c r="AX566" s="80"/>
    </row>
    <row r="567" spans="50:50" x14ac:dyDescent="0.25">
      <c r="AX567" s="80"/>
    </row>
    <row r="568" spans="50:50" x14ac:dyDescent="0.25">
      <c r="AX568" s="80"/>
    </row>
    <row r="569" spans="50:50" x14ac:dyDescent="0.25">
      <c r="AX569" s="80"/>
    </row>
    <row r="570" spans="50:50" x14ac:dyDescent="0.25">
      <c r="AX570" s="80"/>
    </row>
    <row r="571" spans="50:50" x14ac:dyDescent="0.25">
      <c r="AX571" s="80"/>
    </row>
    <row r="572" spans="50:50" x14ac:dyDescent="0.25">
      <c r="AX572" s="80"/>
    </row>
    <row r="573" spans="50:50" x14ac:dyDescent="0.25">
      <c r="AX573" s="80"/>
    </row>
    <row r="574" spans="50:50" x14ac:dyDescent="0.25">
      <c r="AX574" s="80"/>
    </row>
    <row r="575" spans="50:50" x14ac:dyDescent="0.25">
      <c r="AX575" s="80"/>
    </row>
    <row r="576" spans="50:50" x14ac:dyDescent="0.25">
      <c r="AX576" s="80"/>
    </row>
    <row r="577" spans="50:50" x14ac:dyDescent="0.25">
      <c r="AX577" s="80"/>
    </row>
    <row r="578" spans="50:50" x14ac:dyDescent="0.25">
      <c r="AX578" s="80"/>
    </row>
    <row r="579" spans="50:50" x14ac:dyDescent="0.25">
      <c r="AX579" s="80"/>
    </row>
    <row r="580" spans="50:50" x14ac:dyDescent="0.25">
      <c r="AX580" s="80"/>
    </row>
    <row r="581" spans="50:50" x14ac:dyDescent="0.25">
      <c r="AX581" s="80"/>
    </row>
    <row r="582" spans="50:50" x14ac:dyDescent="0.25">
      <c r="AX582" s="80"/>
    </row>
    <row r="583" spans="50:50" x14ac:dyDescent="0.25">
      <c r="AX583" s="80"/>
    </row>
    <row r="584" spans="50:50" x14ac:dyDescent="0.25">
      <c r="AX584" s="80"/>
    </row>
    <row r="585" spans="50:50" x14ac:dyDescent="0.25">
      <c r="AX585" s="80"/>
    </row>
    <row r="586" spans="50:50" x14ac:dyDescent="0.25">
      <c r="AX586" s="80"/>
    </row>
    <row r="587" spans="50:50" x14ac:dyDescent="0.25">
      <c r="AX587" s="80"/>
    </row>
    <row r="588" spans="50:50" x14ac:dyDescent="0.25">
      <c r="AX588" s="80"/>
    </row>
    <row r="589" spans="50:50" x14ac:dyDescent="0.25">
      <c r="AX589" s="80"/>
    </row>
    <row r="590" spans="50:50" x14ac:dyDescent="0.25">
      <c r="AX590" s="80"/>
    </row>
    <row r="591" spans="50:50" x14ac:dyDescent="0.25">
      <c r="AX591" s="80"/>
    </row>
    <row r="592" spans="50:50" x14ac:dyDescent="0.25">
      <c r="AX592" s="80"/>
    </row>
    <row r="593" spans="48:50" x14ac:dyDescent="0.25">
      <c r="AX593" s="80"/>
    </row>
    <row r="594" spans="48:50" x14ac:dyDescent="0.25">
      <c r="AX594" s="80"/>
    </row>
    <row r="595" spans="48:50" x14ac:dyDescent="0.25">
      <c r="AX595" s="80"/>
    </row>
    <row r="596" spans="48:50" x14ac:dyDescent="0.25">
      <c r="AX596" s="80"/>
    </row>
    <row r="597" spans="48:50" x14ac:dyDescent="0.25">
      <c r="AX597" s="80"/>
    </row>
    <row r="598" spans="48:50" x14ac:dyDescent="0.25">
      <c r="AX598" s="80"/>
    </row>
    <row r="599" spans="48:50" x14ac:dyDescent="0.25">
      <c r="AX599" s="80"/>
    </row>
    <row r="600" spans="48:50" x14ac:dyDescent="0.25">
      <c r="AX600" s="80"/>
    </row>
    <row r="601" spans="48:50" x14ac:dyDescent="0.25">
      <c r="AX601" s="80"/>
    </row>
    <row r="602" spans="48:50" x14ac:dyDescent="0.25">
      <c r="AX602" s="80"/>
    </row>
    <row r="603" spans="48:50" x14ac:dyDescent="0.25">
      <c r="AV603" s="90"/>
      <c r="AX603" s="80"/>
    </row>
    <row r="604" spans="48:50" x14ac:dyDescent="0.25">
      <c r="AX604" s="80"/>
    </row>
    <row r="605" spans="48:50" x14ac:dyDescent="0.25">
      <c r="AX605" s="80"/>
    </row>
    <row r="606" spans="48:50" x14ac:dyDescent="0.25">
      <c r="AV606" s="90"/>
      <c r="AX606" s="80"/>
    </row>
    <row r="607" spans="48:50" x14ac:dyDescent="0.25">
      <c r="AX607" s="80"/>
    </row>
    <row r="608" spans="48:50" x14ac:dyDescent="0.25">
      <c r="AX608" s="80"/>
    </row>
    <row r="609" spans="50:50" x14ac:dyDescent="0.25">
      <c r="AX609" s="80"/>
    </row>
    <row r="610" spans="50:50" x14ac:dyDescent="0.25">
      <c r="AX610" s="80"/>
    </row>
    <row r="611" spans="50:50" x14ac:dyDescent="0.25">
      <c r="AX611" s="80"/>
    </row>
    <row r="612" spans="50:50" x14ac:dyDescent="0.25">
      <c r="AX612" s="80"/>
    </row>
    <row r="613" spans="50:50" x14ac:dyDescent="0.25">
      <c r="AX613" s="80"/>
    </row>
    <row r="614" spans="50:50" x14ac:dyDescent="0.25">
      <c r="AX614" s="80"/>
    </row>
    <row r="615" spans="50:50" x14ac:dyDescent="0.25">
      <c r="AX615" s="80"/>
    </row>
    <row r="616" spans="50:50" x14ac:dyDescent="0.25">
      <c r="AX616" s="80"/>
    </row>
    <row r="617" spans="50:50" x14ac:dyDescent="0.25">
      <c r="AX617" s="80"/>
    </row>
    <row r="618" spans="50:50" x14ac:dyDescent="0.25">
      <c r="AX618" s="80"/>
    </row>
    <row r="619" spans="50:50" x14ac:dyDescent="0.25">
      <c r="AX619" s="80"/>
    </row>
    <row r="620" spans="50:50" x14ac:dyDescent="0.25">
      <c r="AX620" s="80"/>
    </row>
    <row r="621" spans="50:50" x14ac:dyDescent="0.25">
      <c r="AX621" s="80"/>
    </row>
    <row r="622" spans="50:50" x14ac:dyDescent="0.25">
      <c r="AX622" s="80"/>
    </row>
    <row r="623" spans="50:50" x14ac:dyDescent="0.25">
      <c r="AX623" s="80"/>
    </row>
    <row r="624" spans="50:50" x14ac:dyDescent="0.25">
      <c r="AX624" s="80"/>
    </row>
    <row r="625" spans="50:50" x14ac:dyDescent="0.25">
      <c r="AX625" s="80"/>
    </row>
    <row r="626" spans="50:50" x14ac:dyDescent="0.25">
      <c r="AX626" s="80"/>
    </row>
    <row r="627" spans="50:50" x14ac:dyDescent="0.25">
      <c r="AX627" s="80"/>
    </row>
    <row r="628" spans="50:50" x14ac:dyDescent="0.25">
      <c r="AX628" s="80"/>
    </row>
    <row r="629" spans="50:50" x14ac:dyDescent="0.25">
      <c r="AX629" s="80"/>
    </row>
    <row r="630" spans="50:50" x14ac:dyDescent="0.25">
      <c r="AX630" s="80"/>
    </row>
    <row r="631" spans="50:50" x14ac:dyDescent="0.25">
      <c r="AX631" s="80"/>
    </row>
    <row r="632" spans="50:50" x14ac:dyDescent="0.25">
      <c r="AX632" s="80"/>
    </row>
    <row r="633" spans="50:50" x14ac:dyDescent="0.25">
      <c r="AX633" s="80"/>
    </row>
    <row r="634" spans="50:50" x14ac:dyDescent="0.25">
      <c r="AX634" s="80"/>
    </row>
    <row r="635" spans="50:50" x14ac:dyDescent="0.25">
      <c r="AX635" s="80"/>
    </row>
    <row r="636" spans="50:50" x14ac:dyDescent="0.25">
      <c r="AX636" s="80"/>
    </row>
    <row r="637" spans="50:50" x14ac:dyDescent="0.25">
      <c r="AX637" s="80"/>
    </row>
    <row r="638" spans="50:50" x14ac:dyDescent="0.25">
      <c r="AX638" s="80"/>
    </row>
    <row r="639" spans="50:50" x14ac:dyDescent="0.25">
      <c r="AX639" s="80"/>
    </row>
    <row r="640" spans="50:50" x14ac:dyDescent="0.25">
      <c r="AX640" s="80"/>
    </row>
    <row r="641" spans="50:50" x14ac:dyDescent="0.25">
      <c r="AX641" s="80"/>
    </row>
    <row r="642" spans="50:50" x14ac:dyDescent="0.25">
      <c r="AX642" s="80"/>
    </row>
    <row r="643" spans="50:50" x14ac:dyDescent="0.25">
      <c r="AX643" s="80"/>
    </row>
    <row r="644" spans="50:50" x14ac:dyDescent="0.25">
      <c r="AX644" s="80"/>
    </row>
    <row r="645" spans="50:50" x14ac:dyDescent="0.25">
      <c r="AX645" s="80"/>
    </row>
    <row r="646" spans="50:50" x14ac:dyDescent="0.25">
      <c r="AX646" s="80"/>
    </row>
    <row r="647" spans="50:50" x14ac:dyDescent="0.25">
      <c r="AX647" s="80"/>
    </row>
    <row r="648" spans="50:50" x14ac:dyDescent="0.25">
      <c r="AX648" s="80"/>
    </row>
    <row r="649" spans="50:50" x14ac:dyDescent="0.25">
      <c r="AX649" s="80"/>
    </row>
    <row r="650" spans="50:50" x14ac:dyDescent="0.25">
      <c r="AX650" s="80"/>
    </row>
    <row r="651" spans="50:50" x14ac:dyDescent="0.25">
      <c r="AX651" s="80"/>
    </row>
    <row r="652" spans="50:50" x14ac:dyDescent="0.25">
      <c r="AX652" s="80"/>
    </row>
    <row r="653" spans="50:50" x14ac:dyDescent="0.25">
      <c r="AX653" s="80"/>
    </row>
    <row r="654" spans="50:50" x14ac:dyDescent="0.25">
      <c r="AX654" s="80"/>
    </row>
    <row r="655" spans="50:50" x14ac:dyDescent="0.25">
      <c r="AX655" s="80"/>
    </row>
    <row r="656" spans="50:50" x14ac:dyDescent="0.25">
      <c r="AX656" s="80"/>
    </row>
    <row r="657" spans="48:50" x14ac:dyDescent="0.25">
      <c r="AX657" s="80"/>
    </row>
    <row r="658" spans="48:50" x14ac:dyDescent="0.25">
      <c r="AX658" s="80"/>
    </row>
    <row r="659" spans="48:50" x14ac:dyDescent="0.25">
      <c r="AX659" s="80"/>
    </row>
    <row r="660" spans="48:50" x14ac:dyDescent="0.25">
      <c r="AX660" s="80"/>
    </row>
    <row r="661" spans="48:50" x14ac:dyDescent="0.25">
      <c r="AX661" s="80"/>
    </row>
    <row r="662" spans="48:50" x14ac:dyDescent="0.25">
      <c r="AX662" s="80"/>
    </row>
    <row r="663" spans="48:50" x14ac:dyDescent="0.25">
      <c r="AX663" s="80"/>
    </row>
    <row r="664" spans="48:50" x14ac:dyDescent="0.25">
      <c r="AX664" s="80"/>
    </row>
    <row r="665" spans="48:50" x14ac:dyDescent="0.25">
      <c r="AX665" s="80"/>
    </row>
    <row r="666" spans="48:50" x14ac:dyDescent="0.25">
      <c r="AX666" s="80"/>
    </row>
    <row r="667" spans="48:50" x14ac:dyDescent="0.25">
      <c r="AX667" s="80"/>
    </row>
    <row r="668" spans="48:50" x14ac:dyDescent="0.25">
      <c r="AV668" s="90"/>
      <c r="AX668" s="80"/>
    </row>
    <row r="669" spans="48:50" x14ac:dyDescent="0.25">
      <c r="AX669" s="80"/>
    </row>
    <row r="670" spans="48:50" x14ac:dyDescent="0.25">
      <c r="AX670" s="80"/>
    </row>
    <row r="671" spans="48:50" x14ac:dyDescent="0.25">
      <c r="AX671" s="80"/>
    </row>
    <row r="672" spans="48:50" x14ac:dyDescent="0.25">
      <c r="AX672" s="80"/>
    </row>
    <row r="673" spans="48:50" x14ac:dyDescent="0.25">
      <c r="AX673" s="80"/>
    </row>
    <row r="674" spans="48:50" x14ac:dyDescent="0.25">
      <c r="AX674" s="80"/>
    </row>
    <row r="675" spans="48:50" x14ac:dyDescent="0.25">
      <c r="AX675" s="80"/>
    </row>
    <row r="676" spans="48:50" x14ac:dyDescent="0.25">
      <c r="AX676" s="80"/>
    </row>
    <row r="677" spans="48:50" x14ac:dyDescent="0.25">
      <c r="AX677" s="80"/>
    </row>
    <row r="678" spans="48:50" x14ac:dyDescent="0.25">
      <c r="AX678" s="80"/>
    </row>
    <row r="679" spans="48:50" x14ac:dyDescent="0.25">
      <c r="AX679" s="80"/>
    </row>
    <row r="680" spans="48:50" x14ac:dyDescent="0.25">
      <c r="AX680" s="80"/>
    </row>
    <row r="681" spans="48:50" x14ac:dyDescent="0.25">
      <c r="AX681" s="80"/>
    </row>
    <row r="682" spans="48:50" x14ac:dyDescent="0.25">
      <c r="AX682" s="80"/>
    </row>
    <row r="683" spans="48:50" x14ac:dyDescent="0.25">
      <c r="AV683" s="90"/>
      <c r="AX683" s="80"/>
    </row>
    <row r="684" spans="48:50" x14ac:dyDescent="0.25">
      <c r="AX684" s="80"/>
    </row>
    <row r="685" spans="48:50" x14ac:dyDescent="0.25">
      <c r="AX685" s="80"/>
    </row>
    <row r="686" spans="48:50" x14ac:dyDescent="0.25">
      <c r="AX686" s="80"/>
    </row>
    <row r="687" spans="48:50" x14ac:dyDescent="0.25">
      <c r="AX687" s="80"/>
    </row>
    <row r="688" spans="48:50" x14ac:dyDescent="0.25">
      <c r="AV688" s="90"/>
      <c r="AX688" s="80"/>
    </row>
    <row r="689" spans="50:50" x14ac:dyDescent="0.25">
      <c r="AX689" s="80"/>
    </row>
    <row r="690" spans="50:50" x14ac:dyDescent="0.25">
      <c r="AX690" s="80"/>
    </row>
    <row r="691" spans="50:50" x14ac:dyDescent="0.25">
      <c r="AX691" s="80"/>
    </row>
    <row r="692" spans="50:50" x14ac:dyDescent="0.25">
      <c r="AX692" s="80"/>
    </row>
    <row r="693" spans="50:50" x14ac:dyDescent="0.25">
      <c r="AX693" s="80"/>
    </row>
    <row r="694" spans="50:50" x14ac:dyDescent="0.25">
      <c r="AX694" s="80"/>
    </row>
    <row r="695" spans="50:50" x14ac:dyDescent="0.25">
      <c r="AX695" s="80"/>
    </row>
    <row r="696" spans="50:50" x14ac:dyDescent="0.25">
      <c r="AX696" s="80"/>
    </row>
    <row r="697" spans="50:50" x14ac:dyDescent="0.25">
      <c r="AX697" s="80"/>
    </row>
    <row r="698" spans="50:50" x14ac:dyDescent="0.25">
      <c r="AX698" s="80"/>
    </row>
    <row r="699" spans="50:50" x14ac:dyDescent="0.25">
      <c r="AX699" s="80"/>
    </row>
    <row r="700" spans="50:50" x14ac:dyDescent="0.25">
      <c r="AX700" s="80"/>
    </row>
    <row r="701" spans="50:50" x14ac:dyDescent="0.25">
      <c r="AX701" s="80"/>
    </row>
    <row r="702" spans="50:50" x14ac:dyDescent="0.25">
      <c r="AX702" s="80"/>
    </row>
    <row r="703" spans="50:50" x14ac:dyDescent="0.25">
      <c r="AX703" s="80"/>
    </row>
    <row r="704" spans="50:50" x14ac:dyDescent="0.25">
      <c r="AX704" s="80"/>
    </row>
    <row r="705" spans="50:50" x14ac:dyDescent="0.25">
      <c r="AX705" s="80"/>
    </row>
    <row r="706" spans="50:50" x14ac:dyDescent="0.25">
      <c r="AX706" s="80"/>
    </row>
    <row r="707" spans="50:50" x14ac:dyDescent="0.25">
      <c r="AX707" s="80"/>
    </row>
    <row r="708" spans="50:50" x14ac:dyDescent="0.25">
      <c r="AX708" s="80"/>
    </row>
    <row r="709" spans="50:50" x14ac:dyDescent="0.25">
      <c r="AX709" s="80"/>
    </row>
    <row r="710" spans="50:50" x14ac:dyDescent="0.25">
      <c r="AX710" s="80"/>
    </row>
    <row r="711" spans="50:50" x14ac:dyDescent="0.25">
      <c r="AX711" s="80"/>
    </row>
    <row r="712" spans="50:50" x14ac:dyDescent="0.25">
      <c r="AX712" s="80"/>
    </row>
    <row r="713" spans="50:50" x14ac:dyDescent="0.25">
      <c r="AX713" s="80"/>
    </row>
    <row r="714" spans="50:50" x14ac:dyDescent="0.25">
      <c r="AX714" s="80"/>
    </row>
    <row r="715" spans="50:50" x14ac:dyDescent="0.25">
      <c r="AX715" s="80"/>
    </row>
    <row r="716" spans="50:50" x14ac:dyDescent="0.25">
      <c r="AX716" s="80"/>
    </row>
    <row r="717" spans="50:50" x14ac:dyDescent="0.25">
      <c r="AX717" s="80"/>
    </row>
    <row r="718" spans="50:50" x14ac:dyDescent="0.25">
      <c r="AX718" s="80"/>
    </row>
    <row r="719" spans="50:50" x14ac:dyDescent="0.25">
      <c r="AX719" s="80"/>
    </row>
    <row r="720" spans="50:50" x14ac:dyDescent="0.25">
      <c r="AX720" s="80"/>
    </row>
    <row r="721" spans="50:50" x14ac:dyDescent="0.25">
      <c r="AX721" s="80"/>
    </row>
    <row r="722" spans="50:50" x14ac:dyDescent="0.25">
      <c r="AX722" s="80"/>
    </row>
    <row r="723" spans="50:50" x14ac:dyDescent="0.25">
      <c r="AX723" s="80"/>
    </row>
    <row r="724" spans="50:50" x14ac:dyDescent="0.25">
      <c r="AX724" s="80"/>
    </row>
    <row r="725" spans="50:50" x14ac:dyDescent="0.25">
      <c r="AX725" s="80"/>
    </row>
    <row r="726" spans="50:50" x14ac:dyDescent="0.25">
      <c r="AX726" s="80"/>
    </row>
    <row r="727" spans="50:50" x14ac:dyDescent="0.25">
      <c r="AX727" s="80"/>
    </row>
    <row r="728" spans="50:50" x14ac:dyDescent="0.25">
      <c r="AX728" s="80"/>
    </row>
    <row r="729" spans="50:50" x14ac:dyDescent="0.25">
      <c r="AX729" s="80"/>
    </row>
    <row r="730" spans="50:50" x14ac:dyDescent="0.25">
      <c r="AX730" s="80"/>
    </row>
    <row r="731" spans="50:50" x14ac:dyDescent="0.25">
      <c r="AX731" s="80"/>
    </row>
    <row r="732" spans="50:50" x14ac:dyDescent="0.25">
      <c r="AX732" s="80"/>
    </row>
    <row r="733" spans="50:50" x14ac:dyDescent="0.25">
      <c r="AX733" s="80"/>
    </row>
    <row r="734" spans="50:50" x14ac:dyDescent="0.25">
      <c r="AX734" s="80"/>
    </row>
    <row r="735" spans="50:50" x14ac:dyDescent="0.25">
      <c r="AX735" s="80"/>
    </row>
    <row r="736" spans="50:50" x14ac:dyDescent="0.25">
      <c r="AX736" s="80"/>
    </row>
    <row r="737" spans="50:50" x14ac:dyDescent="0.25">
      <c r="AX737" s="80"/>
    </row>
    <row r="738" spans="50:50" x14ac:dyDescent="0.25">
      <c r="AX738" s="80"/>
    </row>
    <row r="739" spans="50:50" x14ac:dyDescent="0.25">
      <c r="AX739" s="80"/>
    </row>
    <row r="740" spans="50:50" x14ac:dyDescent="0.25">
      <c r="AX740" s="80"/>
    </row>
    <row r="741" spans="50:50" x14ac:dyDescent="0.25">
      <c r="AX741" s="80"/>
    </row>
    <row r="742" spans="50:50" x14ac:dyDescent="0.25">
      <c r="AX742" s="80"/>
    </row>
    <row r="743" spans="50:50" x14ac:dyDescent="0.25">
      <c r="AX743" s="80"/>
    </row>
    <row r="744" spans="50:50" x14ac:dyDescent="0.25">
      <c r="AX744" s="80"/>
    </row>
    <row r="745" spans="50:50" x14ac:dyDescent="0.25">
      <c r="AX745" s="80"/>
    </row>
    <row r="746" spans="50:50" x14ac:dyDescent="0.25">
      <c r="AX746" s="80"/>
    </row>
    <row r="747" spans="50:50" x14ac:dyDescent="0.25">
      <c r="AX747" s="80"/>
    </row>
    <row r="748" spans="50:50" x14ac:dyDescent="0.25">
      <c r="AX748" s="80"/>
    </row>
    <row r="749" spans="50:50" x14ac:dyDescent="0.25">
      <c r="AX749" s="80"/>
    </row>
    <row r="750" spans="50:50" x14ac:dyDescent="0.25">
      <c r="AX750" s="80"/>
    </row>
    <row r="751" spans="50:50" x14ac:dyDescent="0.25">
      <c r="AX751" s="80"/>
    </row>
    <row r="752" spans="50:50" x14ac:dyDescent="0.25">
      <c r="AX752" s="80"/>
    </row>
    <row r="753" spans="50:50" x14ac:dyDescent="0.25">
      <c r="AX753" s="80"/>
    </row>
    <row r="754" spans="50:50" x14ac:dyDescent="0.25">
      <c r="AX754" s="80"/>
    </row>
    <row r="755" spans="50:50" x14ac:dyDescent="0.25">
      <c r="AX755" s="80"/>
    </row>
    <row r="756" spans="50:50" x14ac:dyDescent="0.25">
      <c r="AX756" s="80"/>
    </row>
    <row r="757" spans="50:50" x14ac:dyDescent="0.25">
      <c r="AX757" s="80"/>
    </row>
    <row r="758" spans="50:50" x14ac:dyDescent="0.25">
      <c r="AX758" s="80"/>
    </row>
    <row r="759" spans="50:50" x14ac:dyDescent="0.25">
      <c r="AX759" s="80"/>
    </row>
    <row r="760" spans="50:50" x14ac:dyDescent="0.25">
      <c r="AX760" s="80"/>
    </row>
    <row r="761" spans="50:50" x14ac:dyDescent="0.25">
      <c r="AX761" s="80"/>
    </row>
    <row r="762" spans="50:50" x14ac:dyDescent="0.25">
      <c r="AX762" s="80"/>
    </row>
    <row r="763" spans="50:50" x14ac:dyDescent="0.25">
      <c r="AX763" s="80"/>
    </row>
    <row r="764" spans="50:50" x14ac:dyDescent="0.25">
      <c r="AX764" s="80"/>
    </row>
    <row r="765" spans="50:50" x14ac:dyDescent="0.25">
      <c r="AX765" s="80"/>
    </row>
    <row r="766" spans="50:50" x14ac:dyDescent="0.25">
      <c r="AX766" s="80"/>
    </row>
    <row r="767" spans="50:50" x14ac:dyDescent="0.25">
      <c r="AX767" s="80"/>
    </row>
    <row r="768" spans="50:50" x14ac:dyDescent="0.25">
      <c r="AX768" s="80"/>
    </row>
    <row r="769" spans="50:50" x14ac:dyDescent="0.25">
      <c r="AX769" s="80"/>
    </row>
    <row r="770" spans="50:50" x14ac:dyDescent="0.25">
      <c r="AX770" s="80"/>
    </row>
    <row r="771" spans="50:50" x14ac:dyDescent="0.25">
      <c r="AX771" s="80"/>
    </row>
    <row r="772" spans="50:50" x14ac:dyDescent="0.25">
      <c r="AX772" s="80"/>
    </row>
    <row r="773" spans="50:50" x14ac:dyDescent="0.25">
      <c r="AX773" s="80"/>
    </row>
    <row r="774" spans="50:50" x14ac:dyDescent="0.25">
      <c r="AX774" s="80"/>
    </row>
    <row r="775" spans="50:50" x14ac:dyDescent="0.25">
      <c r="AX775" s="80"/>
    </row>
    <row r="776" spans="50:50" x14ac:dyDescent="0.25">
      <c r="AX776" s="80"/>
    </row>
    <row r="777" spans="50:50" x14ac:dyDescent="0.25">
      <c r="AX777" s="80"/>
    </row>
    <row r="778" spans="50:50" x14ac:dyDescent="0.25">
      <c r="AX778" s="80"/>
    </row>
    <row r="779" spans="50:50" x14ac:dyDescent="0.25">
      <c r="AX779" s="80"/>
    </row>
    <row r="780" spans="50:50" x14ac:dyDescent="0.25">
      <c r="AX780" s="80"/>
    </row>
    <row r="781" spans="50:50" x14ac:dyDescent="0.25">
      <c r="AX781" s="80"/>
    </row>
    <row r="782" spans="50:50" x14ac:dyDescent="0.25">
      <c r="AX782" s="80"/>
    </row>
    <row r="783" spans="50:50" x14ac:dyDescent="0.25">
      <c r="AX783" s="80"/>
    </row>
    <row r="784" spans="50:50" x14ac:dyDescent="0.25">
      <c r="AX784" s="80"/>
    </row>
    <row r="785" spans="48:50" x14ac:dyDescent="0.25">
      <c r="AX785" s="80"/>
    </row>
    <row r="786" spans="48:50" x14ac:dyDescent="0.25">
      <c r="AX786" s="80"/>
    </row>
    <row r="787" spans="48:50" x14ac:dyDescent="0.25">
      <c r="AX787" s="80"/>
    </row>
    <row r="788" spans="48:50" x14ac:dyDescent="0.25">
      <c r="AX788" s="80"/>
    </row>
    <row r="789" spans="48:50" x14ac:dyDescent="0.25">
      <c r="AX789" s="80"/>
    </row>
    <row r="790" spans="48:50" x14ac:dyDescent="0.25">
      <c r="AX790" s="80"/>
    </row>
    <row r="791" spans="48:50" x14ac:dyDescent="0.25">
      <c r="AX791" s="80"/>
    </row>
    <row r="792" spans="48:50" x14ac:dyDescent="0.25">
      <c r="AX792" s="80"/>
    </row>
    <row r="793" spans="48:50" x14ac:dyDescent="0.25">
      <c r="AX793" s="80"/>
    </row>
    <row r="794" spans="48:50" x14ac:dyDescent="0.25">
      <c r="AX794" s="80"/>
    </row>
    <row r="795" spans="48:50" x14ac:dyDescent="0.25">
      <c r="AX795" s="80"/>
    </row>
    <row r="796" spans="48:50" x14ac:dyDescent="0.25">
      <c r="AV796" s="90"/>
      <c r="AX796" s="80"/>
    </row>
    <row r="797" spans="48:50" x14ac:dyDescent="0.25">
      <c r="AX797" s="80"/>
    </row>
    <row r="798" spans="48:50" x14ac:dyDescent="0.25">
      <c r="AX798" s="80"/>
    </row>
    <row r="799" spans="48:50" x14ac:dyDescent="0.25">
      <c r="AX799" s="80"/>
    </row>
    <row r="800" spans="48:50" x14ac:dyDescent="0.25">
      <c r="AX800" s="80"/>
    </row>
    <row r="801" spans="50:50" x14ac:dyDescent="0.25">
      <c r="AX801" s="80"/>
    </row>
    <row r="802" spans="50:50" x14ac:dyDescent="0.25">
      <c r="AX802" s="80"/>
    </row>
    <row r="803" spans="50:50" x14ac:dyDescent="0.25">
      <c r="AX803" s="80"/>
    </row>
    <row r="804" spans="50:50" x14ac:dyDescent="0.25">
      <c r="AX804" s="80"/>
    </row>
    <row r="805" spans="50:50" x14ac:dyDescent="0.25">
      <c r="AX805" s="80"/>
    </row>
    <row r="806" spans="50:50" x14ac:dyDescent="0.25">
      <c r="AX806" s="80"/>
    </row>
    <row r="807" spans="50:50" x14ac:dyDescent="0.25">
      <c r="AX807" s="80"/>
    </row>
    <row r="808" spans="50:50" x14ac:dyDescent="0.25">
      <c r="AX808" s="80"/>
    </row>
    <row r="809" spans="50:50" x14ac:dyDescent="0.25">
      <c r="AX809" s="80"/>
    </row>
    <row r="810" spans="50:50" x14ac:dyDescent="0.25">
      <c r="AX810" s="80"/>
    </row>
    <row r="811" spans="50:50" x14ac:dyDescent="0.25">
      <c r="AX811" s="80"/>
    </row>
    <row r="812" spans="50:50" x14ac:dyDescent="0.25">
      <c r="AX812" s="80"/>
    </row>
    <row r="813" spans="50:50" x14ac:dyDescent="0.25">
      <c r="AX813" s="80"/>
    </row>
    <row r="814" spans="50:50" x14ac:dyDescent="0.25">
      <c r="AX814" s="80"/>
    </row>
    <row r="815" spans="50:50" x14ac:dyDescent="0.25">
      <c r="AX815" s="80"/>
    </row>
    <row r="816" spans="50:50" x14ac:dyDescent="0.25">
      <c r="AX816" s="80"/>
    </row>
    <row r="817" spans="50:50" x14ac:dyDescent="0.25">
      <c r="AX817" s="80"/>
    </row>
    <row r="818" spans="50:50" x14ac:dyDescent="0.25">
      <c r="AX818" s="80"/>
    </row>
    <row r="819" spans="50:50" x14ac:dyDescent="0.25">
      <c r="AX819" s="80"/>
    </row>
    <row r="820" spans="50:50" x14ac:dyDescent="0.25">
      <c r="AX820" s="80"/>
    </row>
    <row r="821" spans="50:50" x14ac:dyDescent="0.25">
      <c r="AX821" s="80"/>
    </row>
    <row r="822" spans="50:50" x14ac:dyDescent="0.25">
      <c r="AX822" s="80"/>
    </row>
    <row r="823" spans="50:50" x14ac:dyDescent="0.25">
      <c r="AX823" s="80"/>
    </row>
    <row r="824" spans="50:50" x14ac:dyDescent="0.25">
      <c r="AX824" s="80"/>
    </row>
    <row r="825" spans="50:50" x14ac:dyDescent="0.25">
      <c r="AX825" s="80"/>
    </row>
    <row r="826" spans="50:50" x14ac:dyDescent="0.25">
      <c r="AX826" s="80"/>
    </row>
    <row r="827" spans="50:50" x14ac:dyDescent="0.25">
      <c r="AX827" s="80"/>
    </row>
    <row r="828" spans="50:50" x14ac:dyDescent="0.25">
      <c r="AX828" s="80"/>
    </row>
    <row r="829" spans="50:50" x14ac:dyDescent="0.25">
      <c r="AX829" s="80"/>
    </row>
    <row r="830" spans="50:50" x14ac:dyDescent="0.25">
      <c r="AX830" s="80"/>
    </row>
    <row r="831" spans="50:50" x14ac:dyDescent="0.25">
      <c r="AX831" s="80"/>
    </row>
    <row r="832" spans="50:50" x14ac:dyDescent="0.25">
      <c r="AX832" s="80"/>
    </row>
    <row r="833" spans="50:50" x14ac:dyDescent="0.25">
      <c r="AX833" s="80"/>
    </row>
    <row r="834" spans="50:50" x14ac:dyDescent="0.25">
      <c r="AX834" s="80"/>
    </row>
    <row r="835" spans="50:50" x14ac:dyDescent="0.25">
      <c r="AX835" s="80"/>
    </row>
    <row r="836" spans="50:50" x14ac:dyDescent="0.25">
      <c r="AX836" s="80"/>
    </row>
    <row r="837" spans="50:50" x14ac:dyDescent="0.25">
      <c r="AX837" s="80"/>
    </row>
    <row r="838" spans="50:50" x14ac:dyDescent="0.25">
      <c r="AX838" s="80"/>
    </row>
    <row r="839" spans="50:50" x14ac:dyDescent="0.25">
      <c r="AX839" s="80"/>
    </row>
    <row r="840" spans="50:50" x14ac:dyDescent="0.25">
      <c r="AX840" s="80"/>
    </row>
    <row r="841" spans="50:50" x14ac:dyDescent="0.25">
      <c r="AX841" s="80"/>
    </row>
    <row r="842" spans="50:50" x14ac:dyDescent="0.25">
      <c r="AX842" s="80"/>
    </row>
    <row r="843" spans="50:50" x14ac:dyDescent="0.25">
      <c r="AX843" s="80"/>
    </row>
    <row r="844" spans="50:50" x14ac:dyDescent="0.25">
      <c r="AX844" s="80"/>
    </row>
    <row r="845" spans="50:50" x14ac:dyDescent="0.25">
      <c r="AX845" s="80"/>
    </row>
    <row r="846" spans="50:50" x14ac:dyDescent="0.25">
      <c r="AX846" s="80"/>
    </row>
    <row r="847" spans="50:50" x14ac:dyDescent="0.25">
      <c r="AX847" s="80"/>
    </row>
    <row r="848" spans="50:50" x14ac:dyDescent="0.25">
      <c r="AX848" s="80"/>
    </row>
    <row r="849" spans="50:50" x14ac:dyDescent="0.25">
      <c r="AX849" s="80"/>
    </row>
    <row r="850" spans="50:50" x14ac:dyDescent="0.25">
      <c r="AX850" s="80"/>
    </row>
    <row r="851" spans="50:50" x14ac:dyDescent="0.25">
      <c r="AX851" s="80"/>
    </row>
    <row r="852" spans="50:50" x14ac:dyDescent="0.25">
      <c r="AX852" s="80"/>
    </row>
    <row r="853" spans="50:50" x14ac:dyDescent="0.25">
      <c r="AX853" s="80"/>
    </row>
    <row r="854" spans="50:50" x14ac:dyDescent="0.25">
      <c r="AX854" s="80"/>
    </row>
    <row r="855" spans="50:50" x14ac:dyDescent="0.25">
      <c r="AX855" s="80"/>
    </row>
    <row r="856" spans="50:50" x14ac:dyDescent="0.25">
      <c r="AX856" s="80"/>
    </row>
    <row r="857" spans="50:50" x14ac:dyDescent="0.25">
      <c r="AX857" s="80"/>
    </row>
    <row r="858" spans="50:50" x14ac:dyDescent="0.25">
      <c r="AX858" s="80"/>
    </row>
    <row r="859" spans="50:50" x14ac:dyDescent="0.25">
      <c r="AX859" s="80"/>
    </row>
    <row r="860" spans="50:50" x14ac:dyDescent="0.25">
      <c r="AX860" s="80"/>
    </row>
    <row r="861" spans="50:50" x14ac:dyDescent="0.25">
      <c r="AX861" s="80"/>
    </row>
    <row r="862" spans="50:50" x14ac:dyDescent="0.25">
      <c r="AX862" s="80"/>
    </row>
    <row r="863" spans="50:50" x14ac:dyDescent="0.25">
      <c r="AX863" s="80"/>
    </row>
    <row r="864" spans="50:50" x14ac:dyDescent="0.25">
      <c r="AX864" s="80"/>
    </row>
    <row r="865" spans="48:50" x14ac:dyDescent="0.25">
      <c r="AX865" s="80"/>
    </row>
    <row r="866" spans="48:50" x14ac:dyDescent="0.25">
      <c r="AX866" s="80"/>
    </row>
    <row r="867" spans="48:50" x14ac:dyDescent="0.25">
      <c r="AX867" s="80"/>
    </row>
    <row r="868" spans="48:50" x14ac:dyDescent="0.25">
      <c r="AX868" s="80"/>
    </row>
    <row r="869" spans="48:50" x14ac:dyDescent="0.25">
      <c r="AX869" s="80"/>
    </row>
    <row r="870" spans="48:50" x14ac:dyDescent="0.25">
      <c r="AX870" s="80"/>
    </row>
    <row r="871" spans="48:50" x14ac:dyDescent="0.25">
      <c r="AV871" s="90"/>
      <c r="AX871" s="80"/>
    </row>
    <row r="872" spans="48:50" x14ac:dyDescent="0.25">
      <c r="AX872" s="80"/>
    </row>
    <row r="873" spans="48:50" x14ac:dyDescent="0.25">
      <c r="AX873" s="80"/>
    </row>
    <row r="874" spans="48:50" x14ac:dyDescent="0.25">
      <c r="AX874" s="80"/>
    </row>
    <row r="875" spans="48:50" x14ac:dyDescent="0.25">
      <c r="AX875" s="80"/>
    </row>
    <row r="876" spans="48:50" x14ac:dyDescent="0.25">
      <c r="AX876" s="80"/>
    </row>
    <row r="877" spans="48:50" x14ac:dyDescent="0.25">
      <c r="AX877" s="80"/>
    </row>
    <row r="878" spans="48:50" x14ac:dyDescent="0.25">
      <c r="AX878" s="80"/>
    </row>
    <row r="879" spans="48:50" x14ac:dyDescent="0.25">
      <c r="AV879" s="90"/>
      <c r="AX879" s="80"/>
    </row>
    <row r="880" spans="48:50" x14ac:dyDescent="0.25">
      <c r="AX880" s="80"/>
    </row>
    <row r="881" spans="50:50" x14ac:dyDescent="0.25">
      <c r="AX881" s="80"/>
    </row>
    <row r="882" spans="50:50" x14ac:dyDescent="0.25">
      <c r="AX882" s="80"/>
    </row>
    <row r="883" spans="50:50" x14ac:dyDescent="0.25">
      <c r="AX883" s="80"/>
    </row>
    <row r="884" spans="50:50" x14ac:dyDescent="0.25">
      <c r="AX884" s="80"/>
    </row>
    <row r="885" spans="50:50" x14ac:dyDescent="0.25">
      <c r="AX885" s="80"/>
    </row>
    <row r="886" spans="50:50" x14ac:dyDescent="0.25">
      <c r="AX886" s="80"/>
    </row>
    <row r="887" spans="50:50" x14ac:dyDescent="0.25">
      <c r="AX887" s="80"/>
    </row>
    <row r="888" spans="50:50" x14ac:dyDescent="0.25">
      <c r="AX888" s="80"/>
    </row>
    <row r="889" spans="50:50" x14ac:dyDescent="0.25">
      <c r="AX889" s="80"/>
    </row>
    <row r="890" spans="50:50" x14ac:dyDescent="0.25">
      <c r="AX890" s="80"/>
    </row>
    <row r="891" spans="50:50" x14ac:dyDescent="0.25">
      <c r="AX891" s="80"/>
    </row>
    <row r="892" spans="50:50" x14ac:dyDescent="0.25">
      <c r="AX892" s="80"/>
    </row>
    <row r="893" spans="50:50" x14ac:dyDescent="0.25">
      <c r="AX893" s="80"/>
    </row>
    <row r="894" spans="50:50" x14ac:dyDescent="0.25">
      <c r="AX894" s="80"/>
    </row>
    <row r="895" spans="50:50" x14ac:dyDescent="0.25">
      <c r="AX895" s="80"/>
    </row>
    <row r="896" spans="50:50" x14ac:dyDescent="0.25">
      <c r="AX896" s="80"/>
    </row>
    <row r="897" spans="50:50" x14ac:dyDescent="0.25">
      <c r="AX897" s="80"/>
    </row>
    <row r="898" spans="50:50" x14ac:dyDescent="0.25">
      <c r="AX898" s="80"/>
    </row>
    <row r="899" spans="50:50" x14ac:dyDescent="0.25">
      <c r="AX899" s="80"/>
    </row>
    <row r="900" spans="50:50" x14ac:dyDescent="0.25">
      <c r="AX900" s="80"/>
    </row>
    <row r="901" spans="50:50" x14ac:dyDescent="0.25">
      <c r="AX901" s="80"/>
    </row>
    <row r="902" spans="50:50" x14ac:dyDescent="0.25">
      <c r="AX902" s="80"/>
    </row>
    <row r="903" spans="50:50" x14ac:dyDescent="0.25">
      <c r="AX903" s="80"/>
    </row>
    <row r="904" spans="50:50" x14ac:dyDescent="0.25">
      <c r="AX904" s="80"/>
    </row>
    <row r="905" spans="50:50" x14ac:dyDescent="0.25">
      <c r="AX905" s="80"/>
    </row>
    <row r="906" spans="50:50" x14ac:dyDescent="0.25">
      <c r="AX906" s="80"/>
    </row>
    <row r="907" spans="50:50" x14ac:dyDescent="0.25">
      <c r="AX907" s="80"/>
    </row>
    <row r="908" spans="50:50" x14ac:dyDescent="0.25">
      <c r="AX908" s="80"/>
    </row>
    <row r="909" spans="50:50" x14ac:dyDescent="0.25">
      <c r="AX909" s="80"/>
    </row>
    <row r="910" spans="50:50" x14ac:dyDescent="0.25">
      <c r="AX910" s="80"/>
    </row>
    <row r="911" spans="50:50" x14ac:dyDescent="0.25">
      <c r="AX911" s="80"/>
    </row>
    <row r="912" spans="50:50" x14ac:dyDescent="0.25">
      <c r="AX912" s="80"/>
    </row>
    <row r="913" spans="48:50" x14ac:dyDescent="0.25">
      <c r="AV913" s="90"/>
      <c r="AX913" s="80"/>
    </row>
    <row r="914" spans="48:50" x14ac:dyDescent="0.25">
      <c r="AX914" s="80"/>
    </row>
    <row r="915" spans="48:50" x14ac:dyDescent="0.25">
      <c r="AX915" s="80"/>
    </row>
    <row r="916" spans="48:50" x14ac:dyDescent="0.25">
      <c r="AX916" s="80"/>
    </row>
    <row r="917" spans="48:50" x14ac:dyDescent="0.25">
      <c r="AX917" s="80"/>
    </row>
    <row r="918" spans="48:50" x14ac:dyDescent="0.25">
      <c r="AX918" s="80"/>
    </row>
    <row r="919" spans="48:50" x14ac:dyDescent="0.25">
      <c r="AX919" s="80"/>
    </row>
    <row r="920" spans="48:50" x14ac:dyDescent="0.25">
      <c r="AX920" s="80"/>
    </row>
    <row r="921" spans="48:50" x14ac:dyDescent="0.25">
      <c r="AX921" s="80"/>
    </row>
    <row r="922" spans="48:50" x14ac:dyDescent="0.25">
      <c r="AV922" s="90"/>
      <c r="AX922" s="80"/>
    </row>
    <row r="923" spans="48:50" x14ac:dyDescent="0.25">
      <c r="AX923" s="80"/>
    </row>
    <row r="924" spans="48:50" x14ac:dyDescent="0.25">
      <c r="AX924" s="80"/>
    </row>
    <row r="925" spans="48:50" x14ac:dyDescent="0.25">
      <c r="AX925" s="80"/>
    </row>
    <row r="926" spans="48:50" x14ac:dyDescent="0.25">
      <c r="AX926" s="80"/>
    </row>
    <row r="927" spans="48:50" x14ac:dyDescent="0.25">
      <c r="AX927" s="80"/>
    </row>
    <row r="928" spans="48:50" x14ac:dyDescent="0.25">
      <c r="AX928" s="80"/>
    </row>
    <row r="929" spans="50:50" x14ac:dyDescent="0.25">
      <c r="AX929" s="80"/>
    </row>
    <row r="930" spans="50:50" x14ac:dyDescent="0.25">
      <c r="AX930" s="80"/>
    </row>
    <row r="931" spans="50:50" x14ac:dyDescent="0.25">
      <c r="AX931" s="80"/>
    </row>
    <row r="932" spans="50:50" x14ac:dyDescent="0.25">
      <c r="AX932" s="80"/>
    </row>
    <row r="933" spans="50:50" x14ac:dyDescent="0.25">
      <c r="AX933" s="80"/>
    </row>
    <row r="934" spans="50:50" x14ac:dyDescent="0.25">
      <c r="AX934" s="80"/>
    </row>
    <row r="935" spans="50:50" x14ac:dyDescent="0.25">
      <c r="AX935" s="80"/>
    </row>
    <row r="936" spans="50:50" x14ac:dyDescent="0.25">
      <c r="AX936" s="80"/>
    </row>
    <row r="937" spans="50:50" x14ac:dyDescent="0.25">
      <c r="AX937" s="80"/>
    </row>
    <row r="938" spans="50:50" x14ac:dyDescent="0.25">
      <c r="AX938" s="80"/>
    </row>
    <row r="939" spans="50:50" x14ac:dyDescent="0.25">
      <c r="AX939" s="80"/>
    </row>
    <row r="940" spans="50:50" x14ac:dyDescent="0.25">
      <c r="AX940" s="80"/>
    </row>
    <row r="941" spans="50:50" x14ac:dyDescent="0.25">
      <c r="AX941" s="80"/>
    </row>
    <row r="942" spans="50:50" x14ac:dyDescent="0.25">
      <c r="AX942" s="80"/>
    </row>
    <row r="943" spans="50:50" x14ac:dyDescent="0.25">
      <c r="AX943" s="80"/>
    </row>
    <row r="944" spans="50:50" x14ac:dyDescent="0.25">
      <c r="AX944" s="80"/>
    </row>
    <row r="945" spans="50:50" x14ac:dyDescent="0.25">
      <c r="AX945" s="80"/>
    </row>
    <row r="946" spans="50:50" x14ac:dyDescent="0.25">
      <c r="AX946" s="80"/>
    </row>
    <row r="947" spans="50:50" x14ac:dyDescent="0.25">
      <c r="AX947" s="80"/>
    </row>
    <row r="948" spans="50:50" x14ac:dyDescent="0.25">
      <c r="AX948" s="80"/>
    </row>
    <row r="949" spans="50:50" x14ac:dyDescent="0.25">
      <c r="AX949" s="80"/>
    </row>
    <row r="950" spans="50:50" x14ac:dyDescent="0.25">
      <c r="AX950" s="80"/>
    </row>
    <row r="951" spans="50:50" x14ac:dyDescent="0.25">
      <c r="AX951" s="80"/>
    </row>
    <row r="952" spans="50:50" x14ac:dyDescent="0.25">
      <c r="AX952" s="80"/>
    </row>
    <row r="953" spans="50:50" x14ac:dyDescent="0.25">
      <c r="AX953" s="80"/>
    </row>
    <row r="954" spans="50:50" x14ac:dyDescent="0.25">
      <c r="AX954" s="80"/>
    </row>
    <row r="955" spans="50:50" x14ac:dyDescent="0.25">
      <c r="AX955" s="80"/>
    </row>
    <row r="956" spans="50:50" x14ac:dyDescent="0.25">
      <c r="AX956" s="80"/>
    </row>
    <row r="957" spans="50:50" x14ac:dyDescent="0.25">
      <c r="AX957" s="80"/>
    </row>
    <row r="958" spans="50:50" x14ac:dyDescent="0.25">
      <c r="AX958" s="80"/>
    </row>
    <row r="959" spans="50:50" x14ac:dyDescent="0.25">
      <c r="AX959" s="80"/>
    </row>
    <row r="960" spans="50:50" x14ac:dyDescent="0.25">
      <c r="AX960" s="80"/>
    </row>
    <row r="961" spans="50:50" x14ac:dyDescent="0.25">
      <c r="AX961" s="80"/>
    </row>
    <row r="962" spans="50:50" x14ac:dyDescent="0.25">
      <c r="AX962" s="80"/>
    </row>
    <row r="963" spans="50:50" x14ac:dyDescent="0.25">
      <c r="AX963" s="80"/>
    </row>
    <row r="964" spans="50:50" x14ac:dyDescent="0.25">
      <c r="AX964" s="80"/>
    </row>
    <row r="965" spans="50:50" x14ac:dyDescent="0.25">
      <c r="AX965" s="80"/>
    </row>
    <row r="966" spans="50:50" x14ac:dyDescent="0.25">
      <c r="AX966" s="80"/>
    </row>
    <row r="967" spans="50:50" x14ac:dyDescent="0.25">
      <c r="AX967" s="80"/>
    </row>
    <row r="968" spans="50:50" x14ac:dyDescent="0.25">
      <c r="AX968" s="80"/>
    </row>
    <row r="969" spans="50:50" x14ac:dyDescent="0.25">
      <c r="AX969" s="80"/>
    </row>
    <row r="970" spans="50:50" x14ac:dyDescent="0.25">
      <c r="AX970" s="80"/>
    </row>
    <row r="971" spans="50:50" x14ac:dyDescent="0.25">
      <c r="AX971" s="80"/>
    </row>
    <row r="972" spans="50:50" x14ac:dyDescent="0.25">
      <c r="AX972" s="80"/>
    </row>
    <row r="973" spans="50:50" x14ac:dyDescent="0.25">
      <c r="AX973" s="80"/>
    </row>
    <row r="974" spans="50:50" x14ac:dyDescent="0.25">
      <c r="AX974" s="80"/>
    </row>
    <row r="975" spans="50:50" x14ac:dyDescent="0.25">
      <c r="AX975" s="80"/>
    </row>
    <row r="976" spans="50:50" x14ac:dyDescent="0.25">
      <c r="AX976" s="80"/>
    </row>
    <row r="977" spans="50:50" x14ac:dyDescent="0.25">
      <c r="AX977" s="80"/>
    </row>
    <row r="978" spans="50:50" x14ac:dyDescent="0.25">
      <c r="AX978" s="80"/>
    </row>
    <row r="979" spans="50:50" x14ac:dyDescent="0.25">
      <c r="AX979" s="80"/>
    </row>
    <row r="980" spans="50:50" x14ac:dyDescent="0.25">
      <c r="AX980" s="80"/>
    </row>
    <row r="981" spans="50:50" x14ac:dyDescent="0.25">
      <c r="AX981" s="80"/>
    </row>
    <row r="982" spans="50:50" x14ac:dyDescent="0.25">
      <c r="AX982" s="80"/>
    </row>
    <row r="983" spans="50:50" x14ac:dyDescent="0.25">
      <c r="AX983" s="80"/>
    </row>
    <row r="984" spans="50:50" x14ac:dyDescent="0.25">
      <c r="AX984" s="80"/>
    </row>
    <row r="985" spans="50:50" x14ac:dyDescent="0.25">
      <c r="AX985" s="80"/>
    </row>
    <row r="986" spans="50:50" x14ac:dyDescent="0.25">
      <c r="AX986" s="80"/>
    </row>
    <row r="987" spans="50:50" x14ac:dyDescent="0.25">
      <c r="AX987" s="80"/>
    </row>
    <row r="988" spans="50:50" x14ac:dyDescent="0.25">
      <c r="AX988" s="80"/>
    </row>
    <row r="989" spans="50:50" x14ac:dyDescent="0.25">
      <c r="AX989" s="80"/>
    </row>
    <row r="990" spans="50:50" x14ac:dyDescent="0.25">
      <c r="AX990" s="80"/>
    </row>
    <row r="991" spans="50:50" x14ac:dyDescent="0.25">
      <c r="AX991" s="80"/>
    </row>
    <row r="992" spans="50:50" x14ac:dyDescent="0.25">
      <c r="AX992" s="80"/>
    </row>
    <row r="993" spans="50:50" x14ac:dyDescent="0.25">
      <c r="AX993" s="80"/>
    </row>
    <row r="994" spans="50:50" x14ac:dyDescent="0.25">
      <c r="AX994" s="80"/>
    </row>
    <row r="995" spans="50:50" x14ac:dyDescent="0.25">
      <c r="AX995" s="80"/>
    </row>
    <row r="996" spans="50:50" x14ac:dyDescent="0.25">
      <c r="AX996" s="80"/>
    </row>
    <row r="997" spans="50:50" x14ac:dyDescent="0.25">
      <c r="AX997" s="80"/>
    </row>
    <row r="998" spans="50:50" x14ac:dyDescent="0.25">
      <c r="AX998" s="80"/>
    </row>
    <row r="999" spans="50:50" x14ac:dyDescent="0.25">
      <c r="AX999" s="80"/>
    </row>
    <row r="1000" spans="50:50" x14ac:dyDescent="0.25">
      <c r="AX1000" s="80"/>
    </row>
    <row r="1001" spans="50:50" x14ac:dyDescent="0.25">
      <c r="AX1001" s="80"/>
    </row>
    <row r="1002" spans="50:50" x14ac:dyDescent="0.25">
      <c r="AX1002" s="80"/>
    </row>
    <row r="1003" spans="50:50" x14ac:dyDescent="0.25">
      <c r="AX1003" s="80"/>
    </row>
    <row r="1004" spans="50:50" x14ac:dyDescent="0.25">
      <c r="AX1004" s="80"/>
    </row>
    <row r="1005" spans="50:50" x14ac:dyDescent="0.25">
      <c r="AX1005" s="80"/>
    </row>
    <row r="1006" spans="50:50" x14ac:dyDescent="0.25">
      <c r="AX1006" s="80"/>
    </row>
    <row r="1007" spans="50:50" x14ac:dyDescent="0.25">
      <c r="AX1007" s="80"/>
    </row>
    <row r="1008" spans="50:50" x14ac:dyDescent="0.25">
      <c r="AX1008" s="80"/>
    </row>
    <row r="1009" spans="50:50" x14ac:dyDescent="0.25">
      <c r="AX1009" s="80"/>
    </row>
    <row r="1010" spans="50:50" x14ac:dyDescent="0.25">
      <c r="AX1010" s="80"/>
    </row>
    <row r="1011" spans="50:50" x14ac:dyDescent="0.25">
      <c r="AX1011" s="80"/>
    </row>
    <row r="1012" spans="50:50" x14ac:dyDescent="0.25">
      <c r="AX1012" s="80"/>
    </row>
    <row r="1013" spans="50:50" x14ac:dyDescent="0.25">
      <c r="AX1013" s="80"/>
    </row>
    <row r="1014" spans="50:50" x14ac:dyDescent="0.25">
      <c r="AX1014" s="80"/>
    </row>
    <row r="1015" spans="50:50" x14ac:dyDescent="0.25">
      <c r="AX1015" s="80"/>
    </row>
    <row r="1016" spans="50:50" x14ac:dyDescent="0.25">
      <c r="AX1016" s="80"/>
    </row>
    <row r="1017" spans="50:50" x14ac:dyDescent="0.25">
      <c r="AX1017" s="80"/>
    </row>
    <row r="1018" spans="50:50" x14ac:dyDescent="0.25">
      <c r="AX1018" s="80"/>
    </row>
    <row r="1019" spans="50:50" x14ac:dyDescent="0.25">
      <c r="AX1019" s="80"/>
    </row>
    <row r="1020" spans="50:50" x14ac:dyDescent="0.25">
      <c r="AX1020" s="80"/>
    </row>
    <row r="1021" spans="50:50" x14ac:dyDescent="0.25">
      <c r="AX1021" s="80"/>
    </row>
    <row r="1022" spans="50:50" x14ac:dyDescent="0.25">
      <c r="AX1022" s="80"/>
    </row>
    <row r="1023" spans="50:50" x14ac:dyDescent="0.25">
      <c r="AX1023" s="80"/>
    </row>
    <row r="1024" spans="50:50" x14ac:dyDescent="0.25">
      <c r="AX1024" s="80"/>
    </row>
    <row r="1025" spans="48:50" x14ac:dyDescent="0.25">
      <c r="AV1025" s="90"/>
      <c r="AX1025" s="80"/>
    </row>
    <row r="1026" spans="48:50" x14ac:dyDescent="0.25">
      <c r="AX1026" s="80"/>
    </row>
    <row r="1027" spans="48:50" x14ac:dyDescent="0.25">
      <c r="AX1027" s="80"/>
    </row>
    <row r="1028" spans="48:50" x14ac:dyDescent="0.25">
      <c r="AX1028" s="80"/>
    </row>
    <row r="1029" spans="48:50" x14ac:dyDescent="0.25">
      <c r="AV1029" s="90"/>
      <c r="AX1029" s="80"/>
    </row>
    <row r="1030" spans="48:50" x14ac:dyDescent="0.25">
      <c r="AX1030" s="80"/>
    </row>
    <row r="1031" spans="48:50" x14ac:dyDescent="0.25">
      <c r="AX1031" s="80"/>
    </row>
    <row r="1032" spans="48:50" x14ac:dyDescent="0.25">
      <c r="AX1032" s="80"/>
    </row>
    <row r="1033" spans="48:50" x14ac:dyDescent="0.25">
      <c r="AX1033" s="80"/>
    </row>
    <row r="1034" spans="48:50" x14ac:dyDescent="0.25">
      <c r="AX1034" s="80"/>
    </row>
    <row r="1035" spans="48:50" x14ac:dyDescent="0.25">
      <c r="AX1035" s="80"/>
    </row>
    <row r="1036" spans="48:50" x14ac:dyDescent="0.25">
      <c r="AX1036" s="80"/>
    </row>
    <row r="1037" spans="48:50" x14ac:dyDescent="0.25">
      <c r="AV1037" s="90"/>
      <c r="AX1037" s="80"/>
    </row>
    <row r="1038" spans="48:50" x14ac:dyDescent="0.25">
      <c r="AX1038" s="80"/>
    </row>
    <row r="1039" spans="48:50" x14ac:dyDescent="0.25">
      <c r="AX1039" s="80"/>
    </row>
    <row r="1040" spans="48:50" x14ac:dyDescent="0.25">
      <c r="AX1040" s="80"/>
    </row>
    <row r="1041" spans="50:50" x14ac:dyDescent="0.25">
      <c r="AX1041" s="80"/>
    </row>
    <row r="1042" spans="50:50" x14ac:dyDescent="0.25">
      <c r="AX1042" s="80"/>
    </row>
    <row r="1043" spans="50:50" x14ac:dyDescent="0.25">
      <c r="AX1043" s="80"/>
    </row>
    <row r="1044" spans="50:50" x14ac:dyDescent="0.25">
      <c r="AX1044" s="80"/>
    </row>
    <row r="1045" spans="50:50" x14ac:dyDescent="0.25">
      <c r="AX1045" s="80"/>
    </row>
    <row r="1046" spans="50:50" x14ac:dyDescent="0.25">
      <c r="AX1046" s="80"/>
    </row>
    <row r="1047" spans="50:50" x14ac:dyDescent="0.25">
      <c r="AX1047" s="80"/>
    </row>
    <row r="1048" spans="50:50" x14ac:dyDescent="0.25">
      <c r="AX1048" s="80"/>
    </row>
    <row r="1049" spans="50:50" x14ac:dyDescent="0.25">
      <c r="AX1049" s="80"/>
    </row>
    <row r="1050" spans="50:50" x14ac:dyDescent="0.25">
      <c r="AX1050" s="80"/>
    </row>
    <row r="1051" spans="50:50" x14ac:dyDescent="0.25">
      <c r="AX1051" s="80"/>
    </row>
    <row r="1052" spans="50:50" x14ac:dyDescent="0.25">
      <c r="AX1052" s="80"/>
    </row>
    <row r="1053" spans="50:50" x14ac:dyDescent="0.25">
      <c r="AX1053" s="80"/>
    </row>
    <row r="1054" spans="50:50" x14ac:dyDescent="0.25">
      <c r="AX1054" s="80"/>
    </row>
    <row r="1055" spans="50:50" x14ac:dyDescent="0.25">
      <c r="AX1055" s="80"/>
    </row>
    <row r="1056" spans="50:50" x14ac:dyDescent="0.25">
      <c r="AX1056" s="80"/>
    </row>
    <row r="1057" spans="48:50" x14ac:dyDescent="0.25">
      <c r="AX1057" s="80"/>
    </row>
    <row r="1058" spans="48:50" x14ac:dyDescent="0.25">
      <c r="AX1058" s="80"/>
    </row>
    <row r="1059" spans="48:50" x14ac:dyDescent="0.25">
      <c r="AX1059" s="80"/>
    </row>
    <row r="1060" spans="48:50" x14ac:dyDescent="0.25">
      <c r="AX1060" s="80"/>
    </row>
    <row r="1061" spans="48:50" x14ac:dyDescent="0.25">
      <c r="AX1061" s="80"/>
    </row>
    <row r="1062" spans="48:50" x14ac:dyDescent="0.25">
      <c r="AX1062" s="80"/>
    </row>
    <row r="1063" spans="48:50" x14ac:dyDescent="0.25">
      <c r="AX1063" s="80"/>
    </row>
    <row r="1064" spans="48:50" x14ac:dyDescent="0.25">
      <c r="AX1064" s="80"/>
    </row>
    <row r="1065" spans="48:50" x14ac:dyDescent="0.25">
      <c r="AV1065" s="90"/>
      <c r="AX1065" s="80"/>
    </row>
    <row r="1066" spans="48:50" x14ac:dyDescent="0.25">
      <c r="AX1066" s="80"/>
    </row>
    <row r="1067" spans="48:50" x14ac:dyDescent="0.25">
      <c r="AX1067" s="80"/>
    </row>
    <row r="1068" spans="48:50" x14ac:dyDescent="0.25">
      <c r="AX1068" s="80"/>
    </row>
    <row r="1069" spans="48:50" x14ac:dyDescent="0.25">
      <c r="AX1069" s="80"/>
    </row>
    <row r="1070" spans="48:50" x14ac:dyDescent="0.25">
      <c r="AX1070" s="80"/>
    </row>
    <row r="1071" spans="48:50" x14ac:dyDescent="0.25">
      <c r="AX1071" s="80"/>
    </row>
    <row r="1072" spans="48:50" x14ac:dyDescent="0.25">
      <c r="AX1072" s="80"/>
    </row>
    <row r="1073" spans="50:50" x14ac:dyDescent="0.25">
      <c r="AX1073" s="80"/>
    </row>
    <row r="1074" spans="50:50" x14ac:dyDescent="0.25">
      <c r="AX1074" s="80"/>
    </row>
    <row r="1075" spans="50:50" x14ac:dyDescent="0.25">
      <c r="AX1075" s="80"/>
    </row>
    <row r="1076" spans="50:50" x14ac:dyDescent="0.25">
      <c r="AX1076" s="80"/>
    </row>
    <row r="1077" spans="50:50" x14ac:dyDescent="0.25">
      <c r="AX1077" s="80"/>
    </row>
    <row r="1078" spans="50:50" x14ac:dyDescent="0.25">
      <c r="AX1078" s="80"/>
    </row>
    <row r="1079" spans="50:50" x14ac:dyDescent="0.25">
      <c r="AX1079" s="80"/>
    </row>
    <row r="1080" spans="50:50" x14ac:dyDescent="0.25">
      <c r="AX1080" s="80"/>
    </row>
    <row r="1081" spans="50:50" x14ac:dyDescent="0.25">
      <c r="AX1081" s="80"/>
    </row>
    <row r="1082" spans="50:50" x14ac:dyDescent="0.25">
      <c r="AX1082" s="80"/>
    </row>
    <row r="1083" spans="50:50" x14ac:dyDescent="0.25">
      <c r="AX1083" s="80"/>
    </row>
    <row r="1084" spans="50:50" x14ac:dyDescent="0.25">
      <c r="AX1084" s="80"/>
    </row>
    <row r="1085" spans="50:50" x14ac:dyDescent="0.25">
      <c r="AX1085" s="80"/>
    </row>
    <row r="1086" spans="50:50" x14ac:dyDescent="0.25">
      <c r="AX1086" s="80"/>
    </row>
    <row r="1087" spans="50:50" x14ac:dyDescent="0.25">
      <c r="AX1087" s="80"/>
    </row>
    <row r="1088" spans="50:50" x14ac:dyDescent="0.25">
      <c r="AX1088" s="80"/>
    </row>
    <row r="1089" spans="50:50" x14ac:dyDescent="0.25">
      <c r="AX1089" s="80"/>
    </row>
    <row r="1090" spans="50:50" x14ac:dyDescent="0.25">
      <c r="AX1090" s="80"/>
    </row>
    <row r="1091" spans="50:50" x14ac:dyDescent="0.25">
      <c r="AX1091" s="80"/>
    </row>
    <row r="1092" spans="50:50" x14ac:dyDescent="0.25">
      <c r="AX1092" s="80"/>
    </row>
    <row r="1093" spans="50:50" x14ac:dyDescent="0.25">
      <c r="AX1093" s="80"/>
    </row>
    <row r="1094" spans="50:50" x14ac:dyDescent="0.25">
      <c r="AX1094" s="80"/>
    </row>
    <row r="1095" spans="50:50" x14ac:dyDescent="0.25">
      <c r="AX1095" s="80"/>
    </row>
    <row r="1096" spans="50:50" x14ac:dyDescent="0.25">
      <c r="AX1096" s="80"/>
    </row>
    <row r="1097" spans="50:50" x14ac:dyDescent="0.25">
      <c r="AX1097" s="80"/>
    </row>
    <row r="1098" spans="50:50" x14ac:dyDescent="0.25">
      <c r="AX1098" s="80"/>
    </row>
    <row r="1099" spans="50:50" x14ac:dyDescent="0.25">
      <c r="AX1099" s="80"/>
    </row>
    <row r="1100" spans="50:50" x14ac:dyDescent="0.25">
      <c r="AX1100" s="80"/>
    </row>
    <row r="1101" spans="50:50" x14ac:dyDescent="0.25">
      <c r="AX1101" s="80"/>
    </row>
    <row r="1102" spans="50:50" x14ac:dyDescent="0.25">
      <c r="AX1102" s="80"/>
    </row>
    <row r="1103" spans="50:50" x14ac:dyDescent="0.25">
      <c r="AX1103" s="80"/>
    </row>
    <row r="1104" spans="50:50" x14ac:dyDescent="0.25">
      <c r="AX1104" s="80"/>
    </row>
    <row r="1105" spans="50:50" x14ac:dyDescent="0.25">
      <c r="AX1105" s="80"/>
    </row>
    <row r="1106" spans="50:50" x14ac:dyDescent="0.25">
      <c r="AX1106" s="80"/>
    </row>
    <row r="1107" spans="50:50" x14ac:dyDescent="0.25">
      <c r="AX1107" s="80"/>
    </row>
    <row r="1108" spans="50:50" x14ac:dyDescent="0.25">
      <c r="AX1108" s="80"/>
    </row>
    <row r="1109" spans="50:50" x14ac:dyDescent="0.25">
      <c r="AX1109" s="80"/>
    </row>
    <row r="1110" spans="50:50" x14ac:dyDescent="0.25">
      <c r="AX1110" s="80"/>
    </row>
    <row r="1111" spans="50:50" x14ac:dyDescent="0.25">
      <c r="AX1111" s="80"/>
    </row>
    <row r="1112" spans="50:50" x14ac:dyDescent="0.25">
      <c r="AX1112" s="80"/>
    </row>
    <row r="1113" spans="50:50" x14ac:dyDescent="0.25">
      <c r="AX1113" s="80"/>
    </row>
    <row r="1114" spans="50:50" x14ac:dyDescent="0.25">
      <c r="AX1114" s="80"/>
    </row>
    <row r="1115" spans="50:50" x14ac:dyDescent="0.25">
      <c r="AX1115" s="80"/>
    </row>
    <row r="1116" spans="50:50" x14ac:dyDescent="0.25">
      <c r="AX1116" s="80"/>
    </row>
    <row r="1117" spans="50:50" x14ac:dyDescent="0.25">
      <c r="AX1117" s="80"/>
    </row>
    <row r="1118" spans="50:50" x14ac:dyDescent="0.25">
      <c r="AX1118" s="80"/>
    </row>
    <row r="1119" spans="50:50" x14ac:dyDescent="0.25">
      <c r="AX1119" s="80"/>
    </row>
    <row r="1120" spans="50:50" x14ac:dyDescent="0.25">
      <c r="AX1120" s="80"/>
    </row>
    <row r="1121" spans="50:50" x14ac:dyDescent="0.25">
      <c r="AX1121" s="80"/>
    </row>
    <row r="1122" spans="50:50" x14ac:dyDescent="0.25">
      <c r="AX1122" s="80"/>
    </row>
    <row r="1123" spans="50:50" x14ac:dyDescent="0.25">
      <c r="AX1123" s="80"/>
    </row>
    <row r="1124" spans="50:50" x14ac:dyDescent="0.25">
      <c r="AX1124" s="80"/>
    </row>
    <row r="1125" spans="50:50" x14ac:dyDescent="0.25">
      <c r="AX1125" s="80"/>
    </row>
    <row r="1126" spans="50:50" x14ac:dyDescent="0.25">
      <c r="AX1126" s="80"/>
    </row>
    <row r="1127" spans="50:50" x14ac:dyDescent="0.25">
      <c r="AX1127" s="80"/>
    </row>
    <row r="1128" spans="50:50" x14ac:dyDescent="0.25">
      <c r="AX1128" s="80"/>
    </row>
    <row r="1129" spans="50:50" x14ac:dyDescent="0.25">
      <c r="AX1129" s="80"/>
    </row>
    <row r="1130" spans="50:50" x14ac:dyDescent="0.25">
      <c r="AX1130" s="80"/>
    </row>
    <row r="1131" spans="50:50" x14ac:dyDescent="0.25">
      <c r="AX1131" s="80"/>
    </row>
    <row r="1132" spans="50:50" x14ac:dyDescent="0.25">
      <c r="AX1132" s="80"/>
    </row>
    <row r="1133" spans="50:50" x14ac:dyDescent="0.25">
      <c r="AX1133" s="80"/>
    </row>
    <row r="1134" spans="50:50" x14ac:dyDescent="0.25">
      <c r="AX1134" s="80"/>
    </row>
    <row r="1135" spans="50:50" x14ac:dyDescent="0.25">
      <c r="AX1135" s="80"/>
    </row>
    <row r="1136" spans="50:50" x14ac:dyDescent="0.25">
      <c r="AX1136" s="80"/>
    </row>
    <row r="1137" spans="50:50" x14ac:dyDescent="0.25">
      <c r="AX1137" s="80"/>
    </row>
    <row r="1138" spans="50:50" x14ac:dyDescent="0.25">
      <c r="AX1138" s="80"/>
    </row>
    <row r="1139" spans="50:50" x14ac:dyDescent="0.25">
      <c r="AX1139" s="80"/>
    </row>
    <row r="1140" spans="50:50" x14ac:dyDescent="0.25">
      <c r="AX1140" s="80"/>
    </row>
    <row r="1141" spans="50:50" x14ac:dyDescent="0.25">
      <c r="AX1141" s="80"/>
    </row>
    <row r="1142" spans="50:50" x14ac:dyDescent="0.25">
      <c r="AX1142" s="80"/>
    </row>
    <row r="1143" spans="50:50" x14ac:dyDescent="0.25">
      <c r="AX1143" s="80"/>
    </row>
    <row r="1144" spans="50:50" x14ac:dyDescent="0.25">
      <c r="AX1144" s="80"/>
    </row>
    <row r="1145" spans="50:50" x14ac:dyDescent="0.25">
      <c r="AX1145" s="80"/>
    </row>
    <row r="1146" spans="50:50" x14ac:dyDescent="0.25">
      <c r="AX1146" s="80"/>
    </row>
    <row r="1147" spans="50:50" x14ac:dyDescent="0.25">
      <c r="AX1147" s="80"/>
    </row>
    <row r="1148" spans="50:50" x14ac:dyDescent="0.25">
      <c r="AX1148" s="80"/>
    </row>
    <row r="1149" spans="50:50" x14ac:dyDescent="0.25">
      <c r="AX1149" s="80"/>
    </row>
    <row r="1150" spans="50:50" x14ac:dyDescent="0.25">
      <c r="AX1150" s="80"/>
    </row>
    <row r="1151" spans="50:50" x14ac:dyDescent="0.25">
      <c r="AX1151" s="80"/>
    </row>
    <row r="1152" spans="50:50" x14ac:dyDescent="0.25">
      <c r="AX1152" s="80"/>
    </row>
    <row r="1153" spans="48:50" x14ac:dyDescent="0.25">
      <c r="AX1153" s="80"/>
    </row>
    <row r="1154" spans="48:50" x14ac:dyDescent="0.25">
      <c r="AX1154" s="80"/>
    </row>
    <row r="1155" spans="48:50" x14ac:dyDescent="0.25">
      <c r="AX1155" s="80"/>
    </row>
    <row r="1156" spans="48:50" x14ac:dyDescent="0.25">
      <c r="AX1156" s="80"/>
    </row>
    <row r="1157" spans="48:50" x14ac:dyDescent="0.25">
      <c r="AX1157" s="80"/>
    </row>
    <row r="1158" spans="48:50" x14ac:dyDescent="0.25">
      <c r="AX1158" s="80"/>
    </row>
    <row r="1159" spans="48:50" x14ac:dyDescent="0.25">
      <c r="AX1159" s="80"/>
    </row>
    <row r="1160" spans="48:50" x14ac:dyDescent="0.25">
      <c r="AX1160" s="80"/>
    </row>
    <row r="1161" spans="48:50" x14ac:dyDescent="0.25">
      <c r="AX1161" s="80"/>
    </row>
    <row r="1162" spans="48:50" x14ac:dyDescent="0.25">
      <c r="AX1162" s="80"/>
    </row>
    <row r="1163" spans="48:50" x14ac:dyDescent="0.25">
      <c r="AX1163" s="80"/>
    </row>
    <row r="1164" spans="48:50" x14ac:dyDescent="0.25">
      <c r="AV1164" s="90"/>
      <c r="AX1164" s="80"/>
    </row>
    <row r="1165" spans="48:50" x14ac:dyDescent="0.25">
      <c r="AX1165" s="80"/>
    </row>
    <row r="1166" spans="48:50" x14ac:dyDescent="0.25">
      <c r="AX1166" s="80"/>
    </row>
    <row r="1167" spans="48:50" x14ac:dyDescent="0.25">
      <c r="AX1167" s="80"/>
    </row>
    <row r="1168" spans="48:50" x14ac:dyDescent="0.25">
      <c r="AX1168" s="80"/>
    </row>
    <row r="1169" spans="50:50" x14ac:dyDescent="0.25">
      <c r="AX1169" s="80"/>
    </row>
    <row r="1170" spans="50:50" x14ac:dyDescent="0.25">
      <c r="AX1170" s="80"/>
    </row>
    <row r="1171" spans="50:50" x14ac:dyDescent="0.25">
      <c r="AX1171" s="80"/>
    </row>
    <row r="1172" spans="50:50" x14ac:dyDescent="0.25">
      <c r="AX1172" s="80"/>
    </row>
    <row r="1173" spans="50:50" x14ac:dyDescent="0.25">
      <c r="AX1173" s="80"/>
    </row>
    <row r="1174" spans="50:50" x14ac:dyDescent="0.25">
      <c r="AX1174" s="80"/>
    </row>
    <row r="1175" spans="50:50" x14ac:dyDescent="0.25">
      <c r="AX1175" s="80"/>
    </row>
    <row r="1176" spans="50:50" x14ac:dyDescent="0.25">
      <c r="AX1176" s="80"/>
    </row>
    <row r="1177" spans="50:50" x14ac:dyDescent="0.25">
      <c r="AX1177" s="80"/>
    </row>
    <row r="1178" spans="50:50" x14ac:dyDescent="0.25">
      <c r="AX1178" s="80"/>
    </row>
    <row r="1179" spans="50:50" x14ac:dyDescent="0.25">
      <c r="AX1179" s="80"/>
    </row>
    <row r="1180" spans="50:50" x14ac:dyDescent="0.25">
      <c r="AX1180" s="80"/>
    </row>
    <row r="1181" spans="50:50" x14ac:dyDescent="0.25">
      <c r="AX1181" s="80"/>
    </row>
    <row r="1182" spans="50:50" x14ac:dyDescent="0.25">
      <c r="AX1182" s="80"/>
    </row>
    <row r="1183" spans="50:50" x14ac:dyDescent="0.25">
      <c r="AX1183" s="80"/>
    </row>
    <row r="1184" spans="50:50" x14ac:dyDescent="0.25">
      <c r="AX1184" s="80"/>
    </row>
    <row r="1185" spans="50:50" x14ac:dyDescent="0.25">
      <c r="AX1185" s="80"/>
    </row>
    <row r="1186" spans="50:50" x14ac:dyDescent="0.25">
      <c r="AX1186" s="80"/>
    </row>
    <row r="1187" spans="50:50" x14ac:dyDescent="0.25">
      <c r="AX1187" s="80"/>
    </row>
    <row r="1188" spans="50:50" x14ac:dyDescent="0.25">
      <c r="AX1188" s="80"/>
    </row>
    <row r="1189" spans="50:50" x14ac:dyDescent="0.25">
      <c r="AX1189" s="80"/>
    </row>
    <row r="1190" spans="50:50" x14ac:dyDescent="0.25">
      <c r="AX1190" s="80"/>
    </row>
    <row r="1191" spans="50:50" x14ac:dyDescent="0.25">
      <c r="AX1191" s="80"/>
    </row>
    <row r="1192" spans="50:50" x14ac:dyDescent="0.25">
      <c r="AX1192" s="80"/>
    </row>
    <row r="1193" spans="50:50" x14ac:dyDescent="0.25">
      <c r="AX1193" s="80"/>
    </row>
    <row r="1194" spans="50:50" x14ac:dyDescent="0.25">
      <c r="AX1194" s="80"/>
    </row>
    <row r="1195" spans="50:50" x14ac:dyDescent="0.25">
      <c r="AX1195" s="80"/>
    </row>
    <row r="1196" spans="50:50" x14ac:dyDescent="0.25">
      <c r="AX1196" s="80"/>
    </row>
    <row r="1197" spans="50:50" x14ac:dyDescent="0.25">
      <c r="AX1197" s="80"/>
    </row>
    <row r="1198" spans="50:50" x14ac:dyDescent="0.25">
      <c r="AX1198" s="80"/>
    </row>
    <row r="1199" spans="50:50" x14ac:dyDescent="0.25">
      <c r="AX1199" s="80"/>
    </row>
    <row r="1200" spans="50:50" x14ac:dyDescent="0.25">
      <c r="AX1200" s="80"/>
    </row>
    <row r="1201" spans="48:50" x14ac:dyDescent="0.25">
      <c r="AX1201" s="80"/>
    </row>
    <row r="1202" spans="48:50" x14ac:dyDescent="0.25">
      <c r="AX1202" s="80"/>
    </row>
    <row r="1203" spans="48:50" x14ac:dyDescent="0.25">
      <c r="AX1203" s="80"/>
    </row>
    <row r="1204" spans="48:50" x14ac:dyDescent="0.25">
      <c r="AX1204" s="80"/>
    </row>
    <row r="1205" spans="48:50" x14ac:dyDescent="0.25">
      <c r="AX1205" s="80"/>
    </row>
    <row r="1206" spans="48:50" x14ac:dyDescent="0.25">
      <c r="AV1206" s="90"/>
      <c r="AX1206" s="80"/>
    </row>
    <row r="1207" spans="48:50" x14ac:dyDescent="0.25">
      <c r="AX1207" s="80"/>
    </row>
    <row r="1208" spans="48:50" x14ac:dyDescent="0.25">
      <c r="AX1208" s="80"/>
    </row>
    <row r="1209" spans="48:50" x14ac:dyDescent="0.25">
      <c r="AX1209" s="80"/>
    </row>
    <row r="1210" spans="48:50" x14ac:dyDescent="0.25">
      <c r="AX1210" s="80"/>
    </row>
    <row r="1211" spans="48:50" x14ac:dyDescent="0.25">
      <c r="AX1211" s="80"/>
    </row>
    <row r="1212" spans="48:50" x14ac:dyDescent="0.25">
      <c r="AV1212" s="90"/>
      <c r="AX1212" s="80"/>
    </row>
    <row r="1213" spans="48:50" x14ac:dyDescent="0.25">
      <c r="AX1213" s="80"/>
    </row>
    <row r="1214" spans="48:50" x14ac:dyDescent="0.25">
      <c r="AX1214" s="80"/>
    </row>
    <row r="1215" spans="48:50" x14ac:dyDescent="0.25">
      <c r="AX1215" s="80"/>
    </row>
    <row r="1216" spans="48:50" x14ac:dyDescent="0.25">
      <c r="AX1216" s="80"/>
    </row>
    <row r="1217" spans="50:50" x14ac:dyDescent="0.25">
      <c r="AX1217" s="80"/>
    </row>
    <row r="1218" spans="50:50" x14ac:dyDescent="0.25">
      <c r="AX1218" s="80"/>
    </row>
    <row r="1219" spans="50:50" x14ac:dyDescent="0.25">
      <c r="AX1219" s="80"/>
    </row>
    <row r="1220" spans="50:50" x14ac:dyDescent="0.25">
      <c r="AX1220" s="80"/>
    </row>
    <row r="1221" spans="50:50" x14ac:dyDescent="0.25">
      <c r="AX1221" s="80"/>
    </row>
    <row r="1222" spans="50:50" x14ac:dyDescent="0.25">
      <c r="AX1222" s="80"/>
    </row>
    <row r="1223" spans="50:50" x14ac:dyDescent="0.25">
      <c r="AX1223" s="80"/>
    </row>
    <row r="1224" spans="50:50" x14ac:dyDescent="0.25">
      <c r="AX1224" s="80"/>
    </row>
    <row r="1225" spans="50:50" x14ac:dyDescent="0.25">
      <c r="AX1225" s="80"/>
    </row>
    <row r="1226" spans="50:50" x14ac:dyDescent="0.25">
      <c r="AX1226" s="80"/>
    </row>
    <row r="1227" spans="50:50" x14ac:dyDescent="0.25">
      <c r="AX1227" s="80"/>
    </row>
    <row r="1228" spans="50:50" x14ac:dyDescent="0.25">
      <c r="AX1228" s="80"/>
    </row>
    <row r="1229" spans="50:50" x14ac:dyDescent="0.25">
      <c r="AX1229" s="80"/>
    </row>
    <row r="1230" spans="50:50" x14ac:dyDescent="0.25">
      <c r="AX1230" s="80"/>
    </row>
    <row r="1231" spans="50:50" x14ac:dyDescent="0.25">
      <c r="AX1231" s="80"/>
    </row>
    <row r="1232" spans="50:50" x14ac:dyDescent="0.25">
      <c r="AX1232" s="80"/>
    </row>
    <row r="1233" spans="50:50" x14ac:dyDescent="0.25">
      <c r="AX1233" s="80"/>
    </row>
    <row r="1234" spans="50:50" x14ac:dyDescent="0.25">
      <c r="AX1234" s="80"/>
    </row>
    <row r="1235" spans="50:50" x14ac:dyDescent="0.25">
      <c r="AX1235" s="80"/>
    </row>
    <row r="1236" spans="50:50" x14ac:dyDescent="0.25">
      <c r="AX1236" s="80"/>
    </row>
    <row r="1237" spans="50:50" x14ac:dyDescent="0.25">
      <c r="AX1237" s="80"/>
    </row>
    <row r="1238" spans="50:50" x14ac:dyDescent="0.25">
      <c r="AX1238" s="80"/>
    </row>
    <row r="1239" spans="50:50" x14ac:dyDescent="0.25">
      <c r="AX1239" s="80"/>
    </row>
    <row r="1240" spans="50:50" x14ac:dyDescent="0.25">
      <c r="AX1240" s="80"/>
    </row>
    <row r="1241" spans="50:50" x14ac:dyDescent="0.25">
      <c r="AX1241" s="80"/>
    </row>
    <row r="1242" spans="50:50" x14ac:dyDescent="0.25">
      <c r="AX1242" s="80"/>
    </row>
    <row r="1243" spans="50:50" x14ac:dyDescent="0.25">
      <c r="AX1243" s="80"/>
    </row>
    <row r="1244" spans="50:50" x14ac:dyDescent="0.25">
      <c r="AX1244" s="80"/>
    </row>
    <row r="1245" spans="50:50" x14ac:dyDescent="0.25">
      <c r="AX1245" s="80"/>
    </row>
    <row r="1246" spans="50:50" x14ac:dyDescent="0.25">
      <c r="AX1246" s="80"/>
    </row>
    <row r="1247" spans="50:50" x14ac:dyDescent="0.25">
      <c r="AX1247" s="80"/>
    </row>
    <row r="1248" spans="50:50" x14ac:dyDescent="0.25">
      <c r="AX1248" s="80"/>
    </row>
    <row r="1249" spans="50:50" x14ac:dyDescent="0.25">
      <c r="AX1249" s="80"/>
    </row>
    <row r="1250" spans="50:50" x14ac:dyDescent="0.25">
      <c r="AX1250" s="80"/>
    </row>
    <row r="1251" spans="50:50" x14ac:dyDescent="0.25">
      <c r="AX1251" s="80"/>
    </row>
    <row r="1252" spans="50:50" x14ac:dyDescent="0.25">
      <c r="AX1252" s="80"/>
    </row>
    <row r="1253" spans="50:50" x14ac:dyDescent="0.25">
      <c r="AX1253" s="80"/>
    </row>
    <row r="1254" spans="50:50" x14ac:dyDescent="0.25">
      <c r="AX1254" s="80"/>
    </row>
    <row r="1255" spans="50:50" x14ac:dyDescent="0.25">
      <c r="AX1255" s="80"/>
    </row>
    <row r="1256" spans="50:50" x14ac:dyDescent="0.25">
      <c r="AX1256" s="80"/>
    </row>
    <row r="1257" spans="50:50" x14ac:dyDescent="0.25">
      <c r="AX1257" s="80"/>
    </row>
    <row r="1258" spans="50:50" x14ac:dyDescent="0.25">
      <c r="AX1258" s="80"/>
    </row>
    <row r="1259" spans="50:50" x14ac:dyDescent="0.25">
      <c r="AX1259" s="80"/>
    </row>
    <row r="1260" spans="50:50" x14ac:dyDescent="0.25">
      <c r="AX1260" s="80"/>
    </row>
    <row r="1261" spans="50:50" x14ac:dyDescent="0.25">
      <c r="AX1261" s="80"/>
    </row>
    <row r="1262" spans="50:50" x14ac:dyDescent="0.25">
      <c r="AX1262" s="80"/>
    </row>
    <row r="1263" spans="50:50" x14ac:dyDescent="0.25">
      <c r="AX1263" s="80"/>
    </row>
    <row r="1264" spans="50:50" x14ac:dyDescent="0.25">
      <c r="AX1264" s="80"/>
    </row>
    <row r="1265" spans="50:50" x14ac:dyDescent="0.25">
      <c r="AX1265" s="80"/>
    </row>
    <row r="1266" spans="50:50" x14ac:dyDescent="0.25">
      <c r="AX1266" s="80"/>
    </row>
    <row r="1267" spans="50:50" x14ac:dyDescent="0.25">
      <c r="AX1267" s="80"/>
    </row>
    <row r="1268" spans="50:50" x14ac:dyDescent="0.25">
      <c r="AX1268" s="80"/>
    </row>
    <row r="1269" spans="50:50" x14ac:dyDescent="0.25">
      <c r="AX1269" s="80"/>
    </row>
    <row r="1270" spans="50:50" x14ac:dyDescent="0.25">
      <c r="AX1270" s="80"/>
    </row>
    <row r="1271" spans="50:50" x14ac:dyDescent="0.25">
      <c r="AX1271" s="80"/>
    </row>
    <row r="1272" spans="50:50" x14ac:dyDescent="0.25">
      <c r="AX1272" s="80"/>
    </row>
    <row r="1273" spans="50:50" x14ac:dyDescent="0.25">
      <c r="AX1273" s="80"/>
    </row>
    <row r="1274" spans="50:50" x14ac:dyDescent="0.25">
      <c r="AX1274" s="80"/>
    </row>
    <row r="1275" spans="50:50" x14ac:dyDescent="0.25">
      <c r="AX1275" s="80"/>
    </row>
    <row r="1276" spans="50:50" x14ac:dyDescent="0.25">
      <c r="AX1276" s="80"/>
    </row>
    <row r="1277" spans="50:50" x14ac:dyDescent="0.25">
      <c r="AX1277" s="80"/>
    </row>
    <row r="1278" spans="50:50" x14ac:dyDescent="0.25">
      <c r="AX1278" s="80"/>
    </row>
    <row r="1279" spans="50:50" x14ac:dyDescent="0.25">
      <c r="AX1279" s="80"/>
    </row>
    <row r="1280" spans="50:50" x14ac:dyDescent="0.25">
      <c r="AX1280" s="80"/>
    </row>
    <row r="1281" spans="50:50" x14ac:dyDescent="0.25">
      <c r="AX1281" s="80"/>
    </row>
    <row r="1282" spans="50:50" x14ac:dyDescent="0.25">
      <c r="AX1282" s="80"/>
    </row>
    <row r="1283" spans="50:50" x14ac:dyDescent="0.25">
      <c r="AX1283" s="80"/>
    </row>
    <row r="1284" spans="50:50" x14ac:dyDescent="0.25">
      <c r="AX1284" s="80"/>
    </row>
    <row r="1285" spans="50:50" x14ac:dyDescent="0.25">
      <c r="AX1285" s="80"/>
    </row>
    <row r="1286" spans="50:50" x14ac:dyDescent="0.25">
      <c r="AX1286" s="80"/>
    </row>
    <row r="1287" spans="50:50" x14ac:dyDescent="0.25">
      <c r="AX1287" s="80"/>
    </row>
    <row r="1288" spans="50:50" x14ac:dyDescent="0.25">
      <c r="AX1288" s="80"/>
    </row>
    <row r="1289" spans="50:50" x14ac:dyDescent="0.25">
      <c r="AX1289" s="80"/>
    </row>
    <row r="1290" spans="50:50" x14ac:dyDescent="0.25">
      <c r="AX1290" s="80"/>
    </row>
    <row r="1291" spans="50:50" x14ac:dyDescent="0.25">
      <c r="AX1291" s="80"/>
    </row>
    <row r="1292" spans="50:50" x14ac:dyDescent="0.25">
      <c r="AX1292" s="80"/>
    </row>
    <row r="1293" spans="50:50" x14ac:dyDescent="0.25">
      <c r="AX1293" s="80"/>
    </row>
    <row r="1294" spans="50:50" x14ac:dyDescent="0.25">
      <c r="AX1294" s="80"/>
    </row>
    <row r="1295" spans="50:50" x14ac:dyDescent="0.25">
      <c r="AX1295" s="80"/>
    </row>
    <row r="1296" spans="50:50" x14ac:dyDescent="0.25">
      <c r="AX1296" s="80"/>
    </row>
    <row r="1297" spans="50:50" x14ac:dyDescent="0.25">
      <c r="AX1297" s="80"/>
    </row>
    <row r="1298" spans="50:50" x14ac:dyDescent="0.25">
      <c r="AX1298" s="80"/>
    </row>
    <row r="1299" spans="50:50" x14ac:dyDescent="0.25">
      <c r="AX1299" s="80"/>
    </row>
    <row r="1300" spans="50:50" x14ac:dyDescent="0.25">
      <c r="AX1300" s="80"/>
    </row>
    <row r="1301" spans="50:50" x14ac:dyDescent="0.25">
      <c r="AX1301" s="80"/>
    </row>
    <row r="1302" spans="50:50" x14ac:dyDescent="0.25">
      <c r="AX1302" s="80"/>
    </row>
    <row r="1303" spans="50:50" x14ac:dyDescent="0.25">
      <c r="AX1303" s="80"/>
    </row>
    <row r="1304" spans="50:50" x14ac:dyDescent="0.25">
      <c r="AX1304" s="80"/>
    </row>
    <row r="1305" spans="50:50" x14ac:dyDescent="0.25">
      <c r="AX1305" s="80"/>
    </row>
    <row r="1306" spans="50:50" x14ac:dyDescent="0.25">
      <c r="AX1306" s="80"/>
    </row>
    <row r="1307" spans="50:50" x14ac:dyDescent="0.25">
      <c r="AX1307" s="80"/>
    </row>
    <row r="1308" spans="50:50" x14ac:dyDescent="0.25">
      <c r="AX1308" s="80"/>
    </row>
    <row r="1309" spans="50:50" x14ac:dyDescent="0.25">
      <c r="AX1309" s="80"/>
    </row>
    <row r="1310" spans="50:50" x14ac:dyDescent="0.25">
      <c r="AX1310" s="80"/>
    </row>
    <row r="1311" spans="50:50" x14ac:dyDescent="0.25">
      <c r="AX1311" s="80"/>
    </row>
    <row r="1312" spans="50:50" x14ac:dyDescent="0.25">
      <c r="AX1312" s="80"/>
    </row>
    <row r="1313" spans="50:50" x14ac:dyDescent="0.25">
      <c r="AX1313" s="80"/>
    </row>
    <row r="1314" spans="50:50" x14ac:dyDescent="0.25">
      <c r="AX1314" s="80"/>
    </row>
    <row r="1315" spans="50:50" x14ac:dyDescent="0.25">
      <c r="AX1315" s="80"/>
    </row>
    <row r="1316" spans="50:50" x14ac:dyDescent="0.25">
      <c r="AX1316" s="80"/>
    </row>
    <row r="1317" spans="50:50" x14ac:dyDescent="0.25">
      <c r="AX1317" s="80"/>
    </row>
    <row r="1318" spans="50:50" x14ac:dyDescent="0.25">
      <c r="AX1318" s="80"/>
    </row>
    <row r="1319" spans="50:50" x14ac:dyDescent="0.25">
      <c r="AX1319" s="80"/>
    </row>
    <row r="1320" spans="50:50" x14ac:dyDescent="0.25">
      <c r="AX1320" s="80"/>
    </row>
    <row r="1321" spans="50:50" x14ac:dyDescent="0.25">
      <c r="AX1321" s="80"/>
    </row>
    <row r="1322" spans="50:50" x14ac:dyDescent="0.25">
      <c r="AX1322" s="80"/>
    </row>
    <row r="1323" spans="50:50" x14ac:dyDescent="0.25">
      <c r="AX1323" s="80"/>
    </row>
    <row r="1324" spans="50:50" x14ac:dyDescent="0.25">
      <c r="AX1324" s="80"/>
    </row>
    <row r="1325" spans="50:50" x14ac:dyDescent="0.25">
      <c r="AX1325" s="80"/>
    </row>
    <row r="1326" spans="50:50" x14ac:dyDescent="0.25">
      <c r="AX1326" s="80"/>
    </row>
    <row r="1327" spans="50:50" x14ac:dyDescent="0.25">
      <c r="AX1327" s="80"/>
    </row>
    <row r="1328" spans="50:50" x14ac:dyDescent="0.25">
      <c r="AX1328" s="80"/>
    </row>
    <row r="1329" spans="50:50" x14ac:dyDescent="0.25">
      <c r="AX1329" s="80"/>
    </row>
    <row r="1330" spans="50:50" x14ac:dyDescent="0.25">
      <c r="AX1330" s="80"/>
    </row>
    <row r="1331" spans="50:50" x14ac:dyDescent="0.25">
      <c r="AX1331" s="80"/>
    </row>
    <row r="1332" spans="50:50" x14ac:dyDescent="0.25">
      <c r="AX1332" s="80"/>
    </row>
    <row r="1333" spans="50:50" x14ac:dyDescent="0.25">
      <c r="AX1333" s="80"/>
    </row>
    <row r="1334" spans="50:50" x14ac:dyDescent="0.25">
      <c r="AX1334" s="80"/>
    </row>
    <row r="1335" spans="50:50" x14ac:dyDescent="0.25">
      <c r="AX1335" s="80"/>
    </row>
    <row r="1336" spans="50:50" x14ac:dyDescent="0.25">
      <c r="AX1336" s="80"/>
    </row>
    <row r="1337" spans="50:50" x14ac:dyDescent="0.25">
      <c r="AX1337" s="80"/>
    </row>
    <row r="1338" spans="50:50" x14ac:dyDescent="0.25">
      <c r="AX1338" s="80"/>
    </row>
    <row r="1339" spans="50:50" x14ac:dyDescent="0.25">
      <c r="AX1339" s="80"/>
    </row>
    <row r="1340" spans="50:50" x14ac:dyDescent="0.25">
      <c r="AX1340" s="80"/>
    </row>
    <row r="1341" spans="50:50" x14ac:dyDescent="0.25">
      <c r="AX1341" s="80"/>
    </row>
    <row r="1342" spans="50:50" x14ac:dyDescent="0.25">
      <c r="AX1342" s="80"/>
    </row>
    <row r="1343" spans="50:50" x14ac:dyDescent="0.25">
      <c r="AX1343" s="80"/>
    </row>
    <row r="1344" spans="50:50" x14ac:dyDescent="0.25">
      <c r="AX1344" s="80"/>
    </row>
    <row r="1345" spans="50:50" x14ac:dyDescent="0.25">
      <c r="AX1345" s="80"/>
    </row>
    <row r="1346" spans="50:50" x14ac:dyDescent="0.25">
      <c r="AX1346" s="80"/>
    </row>
    <row r="1347" spans="50:50" x14ac:dyDescent="0.25">
      <c r="AX1347" s="80"/>
    </row>
    <row r="1348" spans="50:50" x14ac:dyDescent="0.25">
      <c r="AX1348" s="80"/>
    </row>
    <row r="1349" spans="50:50" x14ac:dyDescent="0.25">
      <c r="AX1349" s="80"/>
    </row>
    <row r="1350" spans="50:50" x14ac:dyDescent="0.25">
      <c r="AX1350" s="80"/>
    </row>
    <row r="1351" spans="50:50" x14ac:dyDescent="0.25">
      <c r="AX1351" s="80"/>
    </row>
    <row r="1352" spans="50:50" x14ac:dyDescent="0.25">
      <c r="AX1352" s="80"/>
    </row>
    <row r="1353" spans="50:50" x14ac:dyDescent="0.25">
      <c r="AX1353" s="80"/>
    </row>
    <row r="1354" spans="50:50" x14ac:dyDescent="0.25">
      <c r="AX1354" s="80"/>
    </row>
    <row r="1355" spans="50:50" x14ac:dyDescent="0.25">
      <c r="AX1355" s="80"/>
    </row>
    <row r="1356" spans="50:50" x14ac:dyDescent="0.25">
      <c r="AX1356" s="80"/>
    </row>
    <row r="1357" spans="50:50" x14ac:dyDescent="0.25">
      <c r="AX1357" s="80"/>
    </row>
    <row r="1358" spans="50:50" x14ac:dyDescent="0.25">
      <c r="AX1358" s="80"/>
    </row>
    <row r="1359" spans="50:50" x14ac:dyDescent="0.25">
      <c r="AX1359" s="80"/>
    </row>
    <row r="1360" spans="50:50" x14ac:dyDescent="0.25">
      <c r="AX1360" s="80"/>
    </row>
    <row r="1361" spans="50:50" x14ac:dyDescent="0.25">
      <c r="AX1361" s="80"/>
    </row>
    <row r="1362" spans="50:50" x14ac:dyDescent="0.25">
      <c r="AX1362" s="80"/>
    </row>
    <row r="1363" spans="50:50" x14ac:dyDescent="0.25">
      <c r="AX1363" s="80"/>
    </row>
    <row r="1364" spans="50:50" x14ac:dyDescent="0.25">
      <c r="AX1364" s="80"/>
    </row>
    <row r="1365" spans="50:50" x14ac:dyDescent="0.25">
      <c r="AX1365" s="80"/>
    </row>
    <row r="1366" spans="50:50" x14ac:dyDescent="0.25">
      <c r="AX1366" s="80"/>
    </row>
    <row r="1367" spans="50:50" x14ac:dyDescent="0.25">
      <c r="AX1367" s="80"/>
    </row>
    <row r="1368" spans="50:50" x14ac:dyDescent="0.25">
      <c r="AX1368" s="80"/>
    </row>
    <row r="1369" spans="50:50" x14ac:dyDescent="0.25">
      <c r="AX1369" s="80"/>
    </row>
    <row r="1370" spans="50:50" x14ac:dyDescent="0.25">
      <c r="AX1370" s="80"/>
    </row>
    <row r="1371" spans="50:50" x14ac:dyDescent="0.25">
      <c r="AX1371" s="80"/>
    </row>
    <row r="1372" spans="50:50" x14ac:dyDescent="0.25">
      <c r="AX1372" s="80"/>
    </row>
    <row r="1373" spans="50:50" x14ac:dyDescent="0.25">
      <c r="AX1373" s="80"/>
    </row>
    <row r="1374" spans="50:50" x14ac:dyDescent="0.25">
      <c r="AX1374" s="80"/>
    </row>
    <row r="1375" spans="50:50" x14ac:dyDescent="0.25">
      <c r="AX1375" s="80"/>
    </row>
    <row r="1376" spans="50:50" x14ac:dyDescent="0.25">
      <c r="AX1376" s="80"/>
    </row>
    <row r="1377" spans="50:50" x14ac:dyDescent="0.25">
      <c r="AX1377" s="80"/>
    </row>
    <row r="1378" spans="50:50" x14ac:dyDescent="0.25">
      <c r="AX1378" s="80"/>
    </row>
    <row r="1379" spans="50:50" x14ac:dyDescent="0.25">
      <c r="AX1379" s="80"/>
    </row>
    <row r="1380" spans="50:50" x14ac:dyDescent="0.25">
      <c r="AX1380" s="80"/>
    </row>
    <row r="1381" spans="50:50" x14ac:dyDescent="0.25">
      <c r="AX1381" s="80"/>
    </row>
    <row r="1382" spans="50:50" x14ac:dyDescent="0.25">
      <c r="AX1382" s="80"/>
    </row>
    <row r="1383" spans="50:50" x14ac:dyDescent="0.25">
      <c r="AX1383" s="80"/>
    </row>
    <row r="1384" spans="50:50" x14ac:dyDescent="0.25">
      <c r="AX1384" s="80"/>
    </row>
    <row r="1385" spans="50:50" x14ac:dyDescent="0.25">
      <c r="AX1385" s="80"/>
    </row>
    <row r="1386" spans="50:50" x14ac:dyDescent="0.25">
      <c r="AX1386" s="80"/>
    </row>
    <row r="1387" spans="50:50" x14ac:dyDescent="0.25">
      <c r="AX1387" s="80"/>
    </row>
    <row r="1388" spans="50:50" x14ac:dyDescent="0.25">
      <c r="AX1388" s="80"/>
    </row>
    <row r="1389" spans="50:50" x14ac:dyDescent="0.25">
      <c r="AX1389" s="80"/>
    </row>
    <row r="1390" spans="50:50" x14ac:dyDescent="0.25">
      <c r="AX1390" s="80"/>
    </row>
    <row r="1391" spans="50:50" x14ac:dyDescent="0.25">
      <c r="AX1391" s="80"/>
    </row>
    <row r="1392" spans="50:50" x14ac:dyDescent="0.25">
      <c r="AX1392" s="80"/>
    </row>
    <row r="1393" spans="50:50" x14ac:dyDescent="0.25">
      <c r="AX1393" s="80"/>
    </row>
    <row r="1394" spans="50:50" x14ac:dyDescent="0.25">
      <c r="AX1394" s="80"/>
    </row>
    <row r="1395" spans="50:50" x14ac:dyDescent="0.25">
      <c r="AX1395" s="80"/>
    </row>
    <row r="1396" spans="50:50" x14ac:dyDescent="0.25">
      <c r="AX1396" s="80"/>
    </row>
    <row r="1397" spans="50:50" x14ac:dyDescent="0.25">
      <c r="AX1397" s="80"/>
    </row>
    <row r="1398" spans="50:50" x14ac:dyDescent="0.25">
      <c r="AX1398" s="80"/>
    </row>
    <row r="1399" spans="50:50" x14ac:dyDescent="0.25">
      <c r="AX1399" s="80"/>
    </row>
    <row r="1400" spans="50:50" x14ac:dyDescent="0.25">
      <c r="AX1400" s="80"/>
    </row>
    <row r="1401" spans="50:50" x14ac:dyDescent="0.25">
      <c r="AX1401" s="80"/>
    </row>
    <row r="1402" spans="50:50" x14ac:dyDescent="0.25">
      <c r="AX1402" s="80"/>
    </row>
    <row r="1403" spans="50:50" x14ac:dyDescent="0.25">
      <c r="AX1403" s="80"/>
    </row>
    <row r="1404" spans="50:50" x14ac:dyDescent="0.25">
      <c r="AX1404" s="80"/>
    </row>
    <row r="1405" spans="50:50" x14ac:dyDescent="0.25">
      <c r="AX1405" s="80"/>
    </row>
    <row r="1406" spans="50:50" x14ac:dyDescent="0.25">
      <c r="AX1406" s="80"/>
    </row>
    <row r="1407" spans="50:50" x14ac:dyDescent="0.25">
      <c r="AX1407" s="80"/>
    </row>
    <row r="1408" spans="50:50" x14ac:dyDescent="0.25">
      <c r="AX1408" s="80"/>
    </row>
    <row r="1409" spans="50:50" x14ac:dyDescent="0.25">
      <c r="AX1409" s="80"/>
    </row>
    <row r="1410" spans="50:50" x14ac:dyDescent="0.25">
      <c r="AX1410" s="80"/>
    </row>
    <row r="1411" spans="50:50" x14ac:dyDescent="0.25">
      <c r="AX1411" s="80"/>
    </row>
    <row r="1412" spans="50:50" x14ac:dyDescent="0.25">
      <c r="AX1412" s="80"/>
    </row>
    <row r="1413" spans="50:50" x14ac:dyDescent="0.25">
      <c r="AX1413" s="80"/>
    </row>
    <row r="1414" spans="50:50" x14ac:dyDescent="0.25">
      <c r="AX1414" s="80"/>
    </row>
    <row r="1415" spans="50:50" x14ac:dyDescent="0.25">
      <c r="AX1415" s="80"/>
    </row>
    <row r="1416" spans="50:50" x14ac:dyDescent="0.25">
      <c r="AX1416" s="80"/>
    </row>
    <row r="1417" spans="50:50" x14ac:dyDescent="0.25">
      <c r="AX1417" s="80"/>
    </row>
    <row r="1418" spans="50:50" x14ac:dyDescent="0.25">
      <c r="AX1418" s="80"/>
    </row>
    <row r="1419" spans="50:50" x14ac:dyDescent="0.25">
      <c r="AX1419" s="80"/>
    </row>
    <row r="1420" spans="50:50" x14ac:dyDescent="0.25">
      <c r="AX1420" s="80"/>
    </row>
    <row r="1421" spans="50:50" x14ac:dyDescent="0.25">
      <c r="AX1421" s="80"/>
    </row>
    <row r="1422" spans="50:50" x14ac:dyDescent="0.25">
      <c r="AX1422" s="80"/>
    </row>
    <row r="1423" spans="50:50" x14ac:dyDescent="0.25">
      <c r="AX1423" s="80"/>
    </row>
    <row r="1424" spans="50:50" x14ac:dyDescent="0.25">
      <c r="AX1424" s="80"/>
    </row>
    <row r="1425" spans="50:50" x14ac:dyDescent="0.25">
      <c r="AX1425" s="80"/>
    </row>
    <row r="1426" spans="50:50" x14ac:dyDescent="0.25">
      <c r="AX1426" s="80"/>
    </row>
    <row r="1427" spans="50:50" x14ac:dyDescent="0.25">
      <c r="AX1427" s="80"/>
    </row>
    <row r="1428" spans="50:50" x14ac:dyDescent="0.25">
      <c r="AX1428" s="80"/>
    </row>
    <row r="1429" spans="50:50" x14ac:dyDescent="0.25">
      <c r="AX1429" s="80"/>
    </row>
    <row r="1430" spans="50:50" x14ac:dyDescent="0.25">
      <c r="AX1430" s="80"/>
    </row>
    <row r="1431" spans="50:50" x14ac:dyDescent="0.25">
      <c r="AX1431" s="80"/>
    </row>
    <row r="1432" spans="50:50" x14ac:dyDescent="0.25">
      <c r="AX1432" s="80"/>
    </row>
    <row r="1433" spans="50:50" x14ac:dyDescent="0.25">
      <c r="AX1433" s="80"/>
    </row>
    <row r="1434" spans="50:50" x14ac:dyDescent="0.25">
      <c r="AX1434" s="80"/>
    </row>
    <row r="1435" spans="50:50" x14ac:dyDescent="0.25">
      <c r="AX1435" s="80"/>
    </row>
    <row r="1436" spans="50:50" x14ac:dyDescent="0.25">
      <c r="AX1436" s="80"/>
    </row>
    <row r="1437" spans="50:50" x14ac:dyDescent="0.25">
      <c r="AX1437" s="80"/>
    </row>
    <row r="1438" spans="50:50" x14ac:dyDescent="0.25">
      <c r="AX1438" s="80"/>
    </row>
    <row r="1439" spans="50:50" x14ac:dyDescent="0.25">
      <c r="AX1439" s="80"/>
    </row>
    <row r="1440" spans="50:50" x14ac:dyDescent="0.25">
      <c r="AX1440" s="80"/>
    </row>
    <row r="1441" spans="50:50" x14ac:dyDescent="0.25">
      <c r="AX1441" s="80"/>
    </row>
    <row r="1442" spans="50:50" x14ac:dyDescent="0.25">
      <c r="AX1442" s="80"/>
    </row>
    <row r="1443" spans="50:50" x14ac:dyDescent="0.25">
      <c r="AX1443" s="80"/>
    </row>
    <row r="1444" spans="50:50" x14ac:dyDescent="0.25">
      <c r="AX1444" s="80"/>
    </row>
    <row r="1445" spans="50:50" x14ac:dyDescent="0.25">
      <c r="AX1445" s="80"/>
    </row>
    <row r="1446" spans="50:50" x14ac:dyDescent="0.25">
      <c r="AX1446" s="80"/>
    </row>
    <row r="1447" spans="50:50" x14ac:dyDescent="0.25">
      <c r="AX1447" s="80"/>
    </row>
    <row r="1448" spans="50:50" x14ac:dyDescent="0.25">
      <c r="AX1448" s="80"/>
    </row>
    <row r="1449" spans="50:50" x14ac:dyDescent="0.25">
      <c r="AX1449" s="80"/>
    </row>
    <row r="1450" spans="50:50" x14ac:dyDescent="0.25">
      <c r="AX1450" s="80"/>
    </row>
    <row r="1451" spans="50:50" x14ac:dyDescent="0.25">
      <c r="AX1451" s="80"/>
    </row>
    <row r="1452" spans="50:50" x14ac:dyDescent="0.25">
      <c r="AX1452" s="80"/>
    </row>
    <row r="1453" spans="50:50" x14ac:dyDescent="0.25">
      <c r="AX1453" s="80"/>
    </row>
    <row r="1454" spans="50:50" x14ac:dyDescent="0.25">
      <c r="AX1454" s="80"/>
    </row>
    <row r="1455" spans="50:50" x14ac:dyDescent="0.25">
      <c r="AX1455" s="80"/>
    </row>
    <row r="1456" spans="50:50" x14ac:dyDescent="0.25">
      <c r="AX1456" s="80"/>
    </row>
    <row r="1457" spans="50:50" x14ac:dyDescent="0.25">
      <c r="AX1457" s="80"/>
    </row>
    <row r="1458" spans="50:50" x14ac:dyDescent="0.25">
      <c r="AX1458" s="80"/>
    </row>
    <row r="1459" spans="50:50" x14ac:dyDescent="0.25">
      <c r="AX1459" s="80"/>
    </row>
    <row r="1460" spans="50:50" x14ac:dyDescent="0.25">
      <c r="AX1460" s="80"/>
    </row>
    <row r="1461" spans="50:50" x14ac:dyDescent="0.25">
      <c r="AX1461" s="80"/>
    </row>
    <row r="1462" spans="50:50" x14ac:dyDescent="0.25">
      <c r="AX1462" s="80"/>
    </row>
    <row r="1463" spans="50:50" x14ac:dyDescent="0.25">
      <c r="AX1463" s="80"/>
    </row>
    <row r="1464" spans="50:50" x14ac:dyDescent="0.25">
      <c r="AX1464" s="80"/>
    </row>
    <row r="1465" spans="50:50" x14ac:dyDescent="0.25">
      <c r="AX1465" s="80"/>
    </row>
    <row r="1466" spans="50:50" x14ac:dyDescent="0.25">
      <c r="AX1466" s="80"/>
    </row>
    <row r="1467" spans="50:50" x14ac:dyDescent="0.25">
      <c r="AX1467" s="80"/>
    </row>
    <row r="1468" spans="50:50" x14ac:dyDescent="0.25">
      <c r="AX1468" s="80"/>
    </row>
    <row r="1469" spans="50:50" x14ac:dyDescent="0.25">
      <c r="AX1469" s="80"/>
    </row>
    <row r="1470" spans="50:50" x14ac:dyDescent="0.25">
      <c r="AX1470" s="80"/>
    </row>
    <row r="1471" spans="50:50" x14ac:dyDescent="0.25">
      <c r="AX1471" s="80"/>
    </row>
    <row r="1472" spans="50:50" x14ac:dyDescent="0.25">
      <c r="AX1472" s="80"/>
    </row>
    <row r="1473" spans="50:50" x14ac:dyDescent="0.25">
      <c r="AX1473" s="80"/>
    </row>
    <row r="1474" spans="50:50" x14ac:dyDescent="0.25">
      <c r="AX1474" s="80"/>
    </row>
    <row r="1475" spans="50:50" x14ac:dyDescent="0.25">
      <c r="AX1475" s="80"/>
    </row>
    <row r="1476" spans="50:50" x14ac:dyDescent="0.25">
      <c r="AX1476" s="80"/>
    </row>
    <row r="1477" spans="50:50" x14ac:dyDescent="0.25">
      <c r="AX1477" s="80"/>
    </row>
    <row r="1478" spans="50:50" x14ac:dyDescent="0.25">
      <c r="AX1478" s="80"/>
    </row>
    <row r="1479" spans="50:50" x14ac:dyDescent="0.25">
      <c r="AX1479" s="80"/>
    </row>
    <row r="1480" spans="50:50" x14ac:dyDescent="0.25">
      <c r="AX1480" s="80"/>
    </row>
    <row r="1481" spans="50:50" x14ac:dyDescent="0.25">
      <c r="AX1481" s="80"/>
    </row>
    <row r="1482" spans="50:50" x14ac:dyDescent="0.25">
      <c r="AX1482" s="80"/>
    </row>
    <row r="1483" spans="50:50" x14ac:dyDescent="0.25">
      <c r="AX1483" s="80"/>
    </row>
    <row r="1484" spans="50:50" x14ac:dyDescent="0.25">
      <c r="AX1484" s="80"/>
    </row>
    <row r="1485" spans="50:50" x14ac:dyDescent="0.25">
      <c r="AX1485" s="80"/>
    </row>
    <row r="1486" spans="50:50" x14ac:dyDescent="0.25">
      <c r="AX1486" s="80"/>
    </row>
    <row r="1487" spans="50:50" x14ac:dyDescent="0.25">
      <c r="AX1487" s="80"/>
    </row>
    <row r="1488" spans="50:50" x14ac:dyDescent="0.25">
      <c r="AX1488" s="80"/>
    </row>
    <row r="1489" spans="50:50" x14ac:dyDescent="0.25">
      <c r="AX1489" s="80"/>
    </row>
    <row r="1490" spans="50:50" x14ac:dyDescent="0.25">
      <c r="AX1490" s="80"/>
    </row>
    <row r="1491" spans="50:50" x14ac:dyDescent="0.25">
      <c r="AX1491" s="80"/>
    </row>
    <row r="1492" spans="50:50" x14ac:dyDescent="0.25">
      <c r="AX1492" s="80"/>
    </row>
    <row r="1493" spans="50:50" x14ac:dyDescent="0.25">
      <c r="AX1493" s="80"/>
    </row>
    <row r="1494" spans="50:50" x14ac:dyDescent="0.25">
      <c r="AX1494" s="80"/>
    </row>
    <row r="1495" spans="50:50" x14ac:dyDescent="0.25">
      <c r="AX1495" s="80"/>
    </row>
    <row r="1496" spans="50:50" x14ac:dyDescent="0.25">
      <c r="AX1496" s="80"/>
    </row>
    <row r="1497" spans="50:50" x14ac:dyDescent="0.25">
      <c r="AX1497" s="80"/>
    </row>
    <row r="1498" spans="50:50" x14ac:dyDescent="0.25">
      <c r="AX1498" s="80"/>
    </row>
    <row r="1499" spans="50:50" x14ac:dyDescent="0.25">
      <c r="AX1499" s="80"/>
    </row>
    <row r="1500" spans="50:50" x14ac:dyDescent="0.25">
      <c r="AX1500" s="80"/>
    </row>
    <row r="1501" spans="50:50" x14ac:dyDescent="0.25">
      <c r="AX1501" s="80"/>
    </row>
    <row r="1502" spans="50:50" x14ac:dyDescent="0.25">
      <c r="AX1502" s="80"/>
    </row>
    <row r="1503" spans="50:50" x14ac:dyDescent="0.25">
      <c r="AX1503" s="80"/>
    </row>
    <row r="1504" spans="50:50" x14ac:dyDescent="0.25">
      <c r="AX1504" s="80"/>
    </row>
    <row r="1505" spans="48:50" x14ac:dyDescent="0.25">
      <c r="AX1505" s="80"/>
    </row>
    <row r="1506" spans="48:50" x14ac:dyDescent="0.25">
      <c r="AX1506" s="80"/>
    </row>
    <row r="1507" spans="48:50" x14ac:dyDescent="0.25">
      <c r="AX1507" s="80"/>
    </row>
    <row r="1508" spans="48:50" x14ac:dyDescent="0.25">
      <c r="AX1508" s="80"/>
    </row>
    <row r="1509" spans="48:50" x14ac:dyDescent="0.25">
      <c r="AX1509" s="80"/>
    </row>
    <row r="1510" spans="48:50" x14ac:dyDescent="0.25">
      <c r="AX1510" s="80"/>
    </row>
    <row r="1511" spans="48:50" x14ac:dyDescent="0.25">
      <c r="AX1511" s="80"/>
    </row>
    <row r="1512" spans="48:50" x14ac:dyDescent="0.25">
      <c r="AX1512" s="80"/>
    </row>
    <row r="1513" spans="48:50" x14ac:dyDescent="0.25">
      <c r="AX1513" s="80"/>
    </row>
    <row r="1514" spans="48:50" x14ac:dyDescent="0.25">
      <c r="AX1514" s="80"/>
    </row>
    <row r="1515" spans="48:50" x14ac:dyDescent="0.25">
      <c r="AX1515" s="80"/>
    </row>
    <row r="1516" spans="48:50" x14ac:dyDescent="0.25">
      <c r="AX1516" s="80"/>
    </row>
    <row r="1517" spans="48:50" x14ac:dyDescent="0.25">
      <c r="AV1517" s="90"/>
      <c r="AX1517" s="80"/>
    </row>
    <row r="1518" spans="48:50" x14ac:dyDescent="0.25">
      <c r="AX1518" s="80"/>
    </row>
    <row r="1519" spans="48:50" x14ac:dyDescent="0.25">
      <c r="AX1519" s="80"/>
    </row>
    <row r="1520" spans="48:50" x14ac:dyDescent="0.25">
      <c r="AX1520" s="80"/>
    </row>
    <row r="1521" spans="50:50" x14ac:dyDescent="0.25">
      <c r="AX1521" s="80"/>
    </row>
    <row r="1522" spans="50:50" x14ac:dyDescent="0.25">
      <c r="AX1522" s="80"/>
    </row>
    <row r="1523" spans="50:50" x14ac:dyDescent="0.25">
      <c r="AX1523" s="80"/>
    </row>
    <row r="1524" spans="50:50" x14ac:dyDescent="0.25">
      <c r="AX1524" s="80"/>
    </row>
    <row r="1525" spans="50:50" x14ac:dyDescent="0.25">
      <c r="AX1525" s="80"/>
    </row>
    <row r="1526" spans="50:50" x14ac:dyDescent="0.25">
      <c r="AX1526" s="80"/>
    </row>
    <row r="1527" spans="50:50" x14ac:dyDescent="0.25">
      <c r="AX1527" s="80"/>
    </row>
    <row r="1528" spans="50:50" x14ac:dyDescent="0.25">
      <c r="AX1528" s="80"/>
    </row>
    <row r="1529" spans="50:50" x14ac:dyDescent="0.25">
      <c r="AX1529" s="80"/>
    </row>
    <row r="1530" spans="50:50" x14ac:dyDescent="0.25">
      <c r="AX1530" s="80"/>
    </row>
    <row r="1531" spans="50:50" x14ac:dyDescent="0.25">
      <c r="AX1531" s="80"/>
    </row>
    <row r="1532" spans="50:50" x14ac:dyDescent="0.25">
      <c r="AX1532" s="80"/>
    </row>
    <row r="1533" spans="50:50" x14ac:dyDescent="0.25">
      <c r="AX1533" s="80"/>
    </row>
    <row r="1534" spans="50:50" x14ac:dyDescent="0.25">
      <c r="AX1534" s="80"/>
    </row>
    <row r="1535" spans="50:50" x14ac:dyDescent="0.25">
      <c r="AX1535" s="80"/>
    </row>
    <row r="1536" spans="50:50" x14ac:dyDescent="0.25">
      <c r="AX1536" s="80"/>
    </row>
    <row r="1537" spans="50:50" x14ac:dyDescent="0.25">
      <c r="AX1537" s="80"/>
    </row>
    <row r="1538" spans="50:50" x14ac:dyDescent="0.25">
      <c r="AX1538" s="80"/>
    </row>
    <row r="1539" spans="50:50" x14ac:dyDescent="0.25">
      <c r="AX1539" s="80"/>
    </row>
    <row r="1540" spans="50:50" x14ac:dyDescent="0.25">
      <c r="AX1540" s="80"/>
    </row>
    <row r="1541" spans="50:50" x14ac:dyDescent="0.25">
      <c r="AX1541" s="80"/>
    </row>
    <row r="1542" spans="50:50" x14ac:dyDescent="0.25">
      <c r="AX1542" s="80"/>
    </row>
    <row r="1543" spans="50:50" x14ac:dyDescent="0.25">
      <c r="AX1543" s="80"/>
    </row>
    <row r="1544" spans="50:50" x14ac:dyDescent="0.25">
      <c r="AX1544" s="80"/>
    </row>
    <row r="1545" spans="50:50" x14ac:dyDescent="0.25">
      <c r="AX1545" s="80"/>
    </row>
    <row r="1546" spans="50:50" x14ac:dyDescent="0.25">
      <c r="AX1546" s="80"/>
    </row>
    <row r="1547" spans="50:50" x14ac:dyDescent="0.25">
      <c r="AX1547" s="80"/>
    </row>
    <row r="1548" spans="50:50" x14ac:dyDescent="0.25">
      <c r="AX1548" s="80"/>
    </row>
    <row r="1549" spans="50:50" x14ac:dyDescent="0.25">
      <c r="AX1549" s="80"/>
    </row>
    <row r="1550" spans="50:50" x14ac:dyDescent="0.25">
      <c r="AX1550" s="80"/>
    </row>
    <row r="1551" spans="50:50" x14ac:dyDescent="0.25">
      <c r="AX1551" s="80"/>
    </row>
    <row r="1552" spans="50:50" x14ac:dyDescent="0.25">
      <c r="AX1552" s="80"/>
    </row>
    <row r="1553" spans="50:50" x14ac:dyDescent="0.25">
      <c r="AX1553" s="80"/>
    </row>
    <row r="1554" spans="50:50" x14ac:dyDescent="0.25">
      <c r="AX1554" s="80"/>
    </row>
    <row r="1555" spans="50:50" x14ac:dyDescent="0.25">
      <c r="AX1555" s="80"/>
    </row>
    <row r="1556" spans="50:50" x14ac:dyDescent="0.25">
      <c r="AX1556" s="80"/>
    </row>
    <row r="1557" spans="50:50" x14ac:dyDescent="0.25">
      <c r="AX1557" s="80"/>
    </row>
    <row r="1558" spans="50:50" x14ac:dyDescent="0.25">
      <c r="AX1558" s="80"/>
    </row>
    <row r="1559" spans="50:50" x14ac:dyDescent="0.25">
      <c r="AX1559" s="80"/>
    </row>
    <row r="1560" spans="50:50" x14ac:dyDescent="0.25">
      <c r="AX1560" s="80"/>
    </row>
    <row r="1561" spans="50:50" x14ac:dyDescent="0.25">
      <c r="AX1561" s="80"/>
    </row>
    <row r="1562" spans="50:50" x14ac:dyDescent="0.25">
      <c r="AX1562" s="80"/>
    </row>
    <row r="1563" spans="50:50" x14ac:dyDescent="0.25">
      <c r="AX1563" s="80"/>
    </row>
    <row r="1564" spans="50:50" x14ac:dyDescent="0.25">
      <c r="AX1564" s="80"/>
    </row>
    <row r="1565" spans="50:50" x14ac:dyDescent="0.25">
      <c r="AX1565" s="80"/>
    </row>
    <row r="1566" spans="50:50" x14ac:dyDescent="0.25">
      <c r="AX1566" s="80"/>
    </row>
    <row r="1567" spans="50:50" x14ac:dyDescent="0.25">
      <c r="AX1567" s="80"/>
    </row>
    <row r="1568" spans="50:50" x14ac:dyDescent="0.25">
      <c r="AX1568" s="80"/>
    </row>
    <row r="1569" spans="50:50" x14ac:dyDescent="0.25">
      <c r="AX1569" s="80"/>
    </row>
    <row r="1570" spans="50:50" x14ac:dyDescent="0.25">
      <c r="AX1570" s="80"/>
    </row>
    <row r="1571" spans="50:50" x14ac:dyDescent="0.25">
      <c r="AX1571" s="80"/>
    </row>
    <row r="1572" spans="50:50" x14ac:dyDescent="0.25">
      <c r="AX1572" s="80"/>
    </row>
    <row r="1573" spans="50:50" x14ac:dyDescent="0.25">
      <c r="AX1573" s="80"/>
    </row>
    <row r="1574" spans="50:50" x14ac:dyDescent="0.25">
      <c r="AX1574" s="80"/>
    </row>
    <row r="1575" spans="50:50" x14ac:dyDescent="0.25">
      <c r="AX1575" s="80"/>
    </row>
    <row r="1576" spans="50:50" x14ac:dyDescent="0.25">
      <c r="AX1576" s="80"/>
    </row>
    <row r="1577" spans="50:50" x14ac:dyDescent="0.25">
      <c r="AX1577" s="80"/>
    </row>
    <row r="1578" spans="50:50" x14ac:dyDescent="0.25">
      <c r="AX1578" s="80"/>
    </row>
    <row r="1579" spans="50:50" x14ac:dyDescent="0.25">
      <c r="AX1579" s="80"/>
    </row>
    <row r="1580" spans="50:50" x14ac:dyDescent="0.25">
      <c r="AX1580" s="80"/>
    </row>
    <row r="1581" spans="50:50" x14ac:dyDescent="0.25">
      <c r="AX1581" s="80"/>
    </row>
    <row r="1582" spans="50:50" x14ac:dyDescent="0.25">
      <c r="AX1582" s="80"/>
    </row>
    <row r="1583" spans="50:50" x14ac:dyDescent="0.25">
      <c r="AX1583" s="80"/>
    </row>
    <row r="1584" spans="50:50" x14ac:dyDescent="0.25">
      <c r="AX1584" s="80"/>
    </row>
    <row r="1585" spans="50:50" x14ac:dyDescent="0.25">
      <c r="AX1585" s="80"/>
    </row>
    <row r="1586" spans="50:50" x14ac:dyDescent="0.25">
      <c r="AX1586" s="80"/>
    </row>
    <row r="1587" spans="50:50" x14ac:dyDescent="0.25">
      <c r="AX1587" s="80"/>
    </row>
    <row r="1588" spans="50:50" x14ac:dyDescent="0.25">
      <c r="AX1588" s="80"/>
    </row>
    <row r="1589" spans="50:50" x14ac:dyDescent="0.25">
      <c r="AX1589" s="80"/>
    </row>
    <row r="1590" spans="50:50" x14ac:dyDescent="0.25">
      <c r="AX1590" s="80"/>
    </row>
    <row r="1591" spans="50:50" x14ac:dyDescent="0.25">
      <c r="AX1591" s="80"/>
    </row>
    <row r="1592" spans="50:50" x14ac:dyDescent="0.25">
      <c r="AX1592" s="80"/>
    </row>
    <row r="1593" spans="50:50" x14ac:dyDescent="0.25">
      <c r="AX1593" s="80"/>
    </row>
    <row r="1594" spans="50:50" x14ac:dyDescent="0.25">
      <c r="AX1594" s="80"/>
    </row>
    <row r="1595" spans="50:50" x14ac:dyDescent="0.25">
      <c r="AX1595" s="80"/>
    </row>
    <row r="1596" spans="50:50" x14ac:dyDescent="0.25">
      <c r="AX1596" s="80"/>
    </row>
    <row r="1597" spans="50:50" x14ac:dyDescent="0.25">
      <c r="AX1597" s="80"/>
    </row>
    <row r="1598" spans="50:50" x14ac:dyDescent="0.25">
      <c r="AX1598" s="80"/>
    </row>
    <row r="1599" spans="50:50" x14ac:dyDescent="0.25">
      <c r="AX1599" s="80"/>
    </row>
    <row r="1600" spans="50:50" x14ac:dyDescent="0.25">
      <c r="AX1600" s="80"/>
    </row>
    <row r="1601" spans="50:50" x14ac:dyDescent="0.25">
      <c r="AX1601" s="80"/>
    </row>
    <row r="1602" spans="50:50" x14ac:dyDescent="0.25">
      <c r="AX1602" s="80"/>
    </row>
    <row r="1603" spans="50:50" x14ac:dyDescent="0.25">
      <c r="AX1603" s="80"/>
    </row>
    <row r="1604" spans="50:50" x14ac:dyDescent="0.25">
      <c r="AX1604" s="80"/>
    </row>
    <row r="1605" spans="50:50" x14ac:dyDescent="0.25">
      <c r="AX1605" s="80"/>
    </row>
    <row r="1606" spans="50:50" x14ac:dyDescent="0.25">
      <c r="AX1606" s="80"/>
    </row>
    <row r="1607" spans="50:50" x14ac:dyDescent="0.25">
      <c r="AX1607" s="80"/>
    </row>
    <row r="1608" spans="50:50" x14ac:dyDescent="0.25">
      <c r="AX1608" s="80"/>
    </row>
    <row r="1609" spans="50:50" x14ac:dyDescent="0.25">
      <c r="AX1609" s="80"/>
    </row>
    <row r="1610" spans="50:50" x14ac:dyDescent="0.25">
      <c r="AX1610" s="80"/>
    </row>
    <row r="1611" spans="50:50" x14ac:dyDescent="0.25">
      <c r="AX1611" s="80"/>
    </row>
    <row r="1612" spans="50:50" x14ac:dyDescent="0.25">
      <c r="AX1612" s="80"/>
    </row>
    <row r="1613" spans="50:50" x14ac:dyDescent="0.25">
      <c r="AX1613" s="80"/>
    </row>
    <row r="1614" spans="50:50" x14ac:dyDescent="0.25">
      <c r="AX1614" s="80"/>
    </row>
    <row r="1615" spans="50:50" x14ac:dyDescent="0.25">
      <c r="AX1615" s="80"/>
    </row>
    <row r="1616" spans="50:50" x14ac:dyDescent="0.25">
      <c r="AX1616" s="80"/>
    </row>
    <row r="1617" spans="50:50" x14ac:dyDescent="0.25">
      <c r="AX1617" s="80"/>
    </row>
    <row r="1618" spans="50:50" x14ac:dyDescent="0.25">
      <c r="AX1618" s="80"/>
    </row>
    <row r="1619" spans="50:50" x14ac:dyDescent="0.25">
      <c r="AX1619" s="80"/>
    </row>
    <row r="1620" spans="50:50" x14ac:dyDescent="0.25">
      <c r="AX1620" s="80"/>
    </row>
    <row r="1621" spans="50:50" x14ac:dyDescent="0.25">
      <c r="AX1621" s="80"/>
    </row>
    <row r="1622" spans="50:50" x14ac:dyDescent="0.25">
      <c r="AX1622" s="80"/>
    </row>
    <row r="1623" spans="50:50" x14ac:dyDescent="0.25">
      <c r="AX1623" s="80"/>
    </row>
    <row r="1624" spans="50:50" x14ac:dyDescent="0.25">
      <c r="AX1624" s="80"/>
    </row>
    <row r="1625" spans="50:50" x14ac:dyDescent="0.25">
      <c r="AX1625" s="80"/>
    </row>
    <row r="1626" spans="50:50" x14ac:dyDescent="0.25">
      <c r="AX1626" s="80"/>
    </row>
    <row r="1627" spans="50:50" x14ac:dyDescent="0.25">
      <c r="AX1627" s="80"/>
    </row>
    <row r="1628" spans="50:50" x14ac:dyDescent="0.25">
      <c r="AX1628" s="80"/>
    </row>
    <row r="1629" spans="50:50" x14ac:dyDescent="0.25">
      <c r="AX1629" s="80"/>
    </row>
    <row r="1630" spans="50:50" x14ac:dyDescent="0.25">
      <c r="AX1630" s="80"/>
    </row>
    <row r="1631" spans="50:50" x14ac:dyDescent="0.25">
      <c r="AX1631" s="80"/>
    </row>
    <row r="1632" spans="50:50" x14ac:dyDescent="0.25">
      <c r="AX1632" s="80"/>
    </row>
    <row r="1633" spans="50:50" x14ac:dyDescent="0.25">
      <c r="AX1633" s="80"/>
    </row>
    <row r="1634" spans="50:50" x14ac:dyDescent="0.25">
      <c r="AX1634" s="80"/>
    </row>
    <row r="1635" spans="50:50" x14ac:dyDescent="0.25">
      <c r="AX1635" s="80"/>
    </row>
    <row r="1636" spans="50:50" x14ac:dyDescent="0.25">
      <c r="AX1636" s="80"/>
    </row>
    <row r="1637" spans="50:50" x14ac:dyDescent="0.25">
      <c r="AX1637" s="80"/>
    </row>
    <row r="1638" spans="50:50" x14ac:dyDescent="0.25">
      <c r="AX1638" s="80"/>
    </row>
    <row r="1639" spans="50:50" x14ac:dyDescent="0.25">
      <c r="AX1639" s="80"/>
    </row>
    <row r="1640" spans="50:50" x14ac:dyDescent="0.25">
      <c r="AX1640" s="80"/>
    </row>
    <row r="1641" spans="50:50" x14ac:dyDescent="0.25">
      <c r="AX1641" s="80"/>
    </row>
    <row r="1642" spans="50:50" x14ac:dyDescent="0.25">
      <c r="AX1642" s="80"/>
    </row>
    <row r="1643" spans="50:50" x14ac:dyDescent="0.25">
      <c r="AX1643" s="80"/>
    </row>
    <row r="1644" spans="50:50" x14ac:dyDescent="0.25">
      <c r="AX1644" s="80"/>
    </row>
    <row r="1645" spans="50:50" x14ac:dyDescent="0.25">
      <c r="AX1645" s="80"/>
    </row>
    <row r="1646" spans="50:50" x14ac:dyDescent="0.25">
      <c r="AX1646" s="80"/>
    </row>
    <row r="1647" spans="50:50" x14ac:dyDescent="0.25">
      <c r="AX1647" s="80"/>
    </row>
    <row r="1648" spans="50:50" x14ac:dyDescent="0.25">
      <c r="AX1648" s="80"/>
    </row>
    <row r="1649" spans="50:50" x14ac:dyDescent="0.25">
      <c r="AX1649" s="80"/>
    </row>
    <row r="1650" spans="50:50" x14ac:dyDescent="0.25">
      <c r="AX1650" s="80"/>
    </row>
    <row r="1651" spans="50:50" x14ac:dyDescent="0.25">
      <c r="AX1651" s="80"/>
    </row>
    <row r="1652" spans="50:50" x14ac:dyDescent="0.25">
      <c r="AX1652" s="80"/>
    </row>
    <row r="1653" spans="50:50" x14ac:dyDescent="0.25">
      <c r="AX1653" s="80"/>
    </row>
    <row r="1654" spans="50:50" x14ac:dyDescent="0.25">
      <c r="AX1654" s="80"/>
    </row>
    <row r="1655" spans="50:50" x14ac:dyDescent="0.25">
      <c r="AX1655" s="80"/>
    </row>
    <row r="1656" spans="50:50" x14ac:dyDescent="0.25">
      <c r="AX1656" s="80"/>
    </row>
    <row r="1657" spans="50:50" x14ac:dyDescent="0.25">
      <c r="AX1657" s="80"/>
    </row>
    <row r="1658" spans="50:50" x14ac:dyDescent="0.25">
      <c r="AX1658" s="80"/>
    </row>
    <row r="1659" spans="50:50" x14ac:dyDescent="0.25">
      <c r="AX1659" s="80"/>
    </row>
    <row r="1660" spans="50:50" x14ac:dyDescent="0.25">
      <c r="AX1660" s="80"/>
    </row>
    <row r="1661" spans="50:50" x14ac:dyDescent="0.25">
      <c r="AX1661" s="80"/>
    </row>
    <row r="1662" spans="50:50" x14ac:dyDescent="0.25">
      <c r="AX1662" s="80"/>
    </row>
    <row r="1663" spans="50:50" x14ac:dyDescent="0.25">
      <c r="AX1663" s="80"/>
    </row>
    <row r="1664" spans="50:50" x14ac:dyDescent="0.25">
      <c r="AX1664" s="80"/>
    </row>
    <row r="1665" spans="50:50" x14ac:dyDescent="0.25">
      <c r="AX1665" s="80"/>
    </row>
    <row r="1666" spans="50:50" x14ac:dyDescent="0.25">
      <c r="AX1666" s="80"/>
    </row>
    <row r="1667" spans="50:50" x14ac:dyDescent="0.25">
      <c r="AX1667" s="80"/>
    </row>
    <row r="1668" spans="50:50" x14ac:dyDescent="0.25">
      <c r="AX1668" s="80"/>
    </row>
    <row r="1669" spans="50:50" x14ac:dyDescent="0.25">
      <c r="AX1669" s="80"/>
    </row>
    <row r="1670" spans="50:50" x14ac:dyDescent="0.25">
      <c r="AX1670" s="80"/>
    </row>
    <row r="1671" spans="50:50" x14ac:dyDescent="0.25">
      <c r="AX1671" s="80"/>
    </row>
    <row r="1672" spans="50:50" x14ac:dyDescent="0.25">
      <c r="AX1672" s="80"/>
    </row>
    <row r="1673" spans="50:50" x14ac:dyDescent="0.25">
      <c r="AX1673" s="80"/>
    </row>
    <row r="1674" spans="50:50" x14ac:dyDescent="0.25">
      <c r="AX1674" s="80"/>
    </row>
    <row r="1675" spans="50:50" x14ac:dyDescent="0.25">
      <c r="AX1675" s="80"/>
    </row>
    <row r="1676" spans="50:50" x14ac:dyDescent="0.25">
      <c r="AX1676" s="80"/>
    </row>
    <row r="1677" spans="50:50" x14ac:dyDescent="0.25">
      <c r="AX1677" s="80"/>
    </row>
    <row r="1678" spans="50:50" x14ac:dyDescent="0.25">
      <c r="AX1678" s="80"/>
    </row>
    <row r="1679" spans="50:50" x14ac:dyDescent="0.25">
      <c r="AX1679" s="80"/>
    </row>
    <row r="1680" spans="50:50" x14ac:dyDescent="0.25">
      <c r="AX1680" s="80"/>
    </row>
    <row r="1681" spans="48:50" x14ac:dyDescent="0.25">
      <c r="AX1681" s="80"/>
    </row>
    <row r="1682" spans="48:50" x14ac:dyDescent="0.25">
      <c r="AX1682" s="80"/>
    </row>
    <row r="1683" spans="48:50" x14ac:dyDescent="0.25">
      <c r="AX1683" s="80"/>
    </row>
    <row r="1684" spans="48:50" x14ac:dyDescent="0.25">
      <c r="AX1684" s="80"/>
    </row>
    <row r="1685" spans="48:50" x14ac:dyDescent="0.25">
      <c r="AX1685" s="80"/>
    </row>
    <row r="1686" spans="48:50" x14ac:dyDescent="0.25">
      <c r="AX1686" s="80"/>
    </row>
    <row r="1687" spans="48:50" x14ac:dyDescent="0.25">
      <c r="AX1687" s="80"/>
    </row>
    <row r="1688" spans="48:50" x14ac:dyDescent="0.25">
      <c r="AX1688" s="80"/>
    </row>
    <row r="1689" spans="48:50" x14ac:dyDescent="0.25">
      <c r="AX1689" s="80"/>
    </row>
    <row r="1690" spans="48:50" x14ac:dyDescent="0.25">
      <c r="AX1690" s="80"/>
    </row>
    <row r="1691" spans="48:50" x14ac:dyDescent="0.25">
      <c r="AX1691" s="80"/>
    </row>
    <row r="1692" spans="48:50" x14ac:dyDescent="0.25">
      <c r="AX1692" s="80"/>
    </row>
    <row r="1693" spans="48:50" x14ac:dyDescent="0.25">
      <c r="AX1693" s="80"/>
    </row>
    <row r="1694" spans="48:50" x14ac:dyDescent="0.25">
      <c r="AX1694" s="80"/>
    </row>
    <row r="1695" spans="48:50" x14ac:dyDescent="0.25">
      <c r="AX1695" s="80"/>
    </row>
    <row r="1696" spans="48:50" x14ac:dyDescent="0.25">
      <c r="AV1696" s="90"/>
      <c r="AX1696" s="80"/>
    </row>
    <row r="1697" spans="48:50" x14ac:dyDescent="0.25">
      <c r="AV1697" s="90"/>
      <c r="AX1697" s="80"/>
    </row>
    <row r="1698" spans="48:50" x14ac:dyDescent="0.25">
      <c r="AX1698" s="80"/>
    </row>
    <row r="1699" spans="48:50" x14ac:dyDescent="0.25">
      <c r="AX1699" s="80"/>
    </row>
    <row r="1700" spans="48:50" x14ac:dyDescent="0.25">
      <c r="AX1700" s="80"/>
    </row>
    <row r="1701" spans="48:50" x14ac:dyDescent="0.25">
      <c r="AX1701" s="80"/>
    </row>
    <row r="1702" spans="48:50" x14ac:dyDescent="0.25">
      <c r="AX1702" s="80"/>
    </row>
    <row r="1703" spans="48:50" x14ac:dyDescent="0.25">
      <c r="AX1703" s="80"/>
    </row>
    <row r="1704" spans="48:50" x14ac:dyDescent="0.25">
      <c r="AX1704" s="80"/>
    </row>
    <row r="1705" spans="48:50" x14ac:dyDescent="0.25">
      <c r="AX1705" s="80"/>
    </row>
    <row r="1706" spans="48:50" x14ac:dyDescent="0.25">
      <c r="AX1706" s="80"/>
    </row>
    <row r="1707" spans="48:50" x14ac:dyDescent="0.25">
      <c r="AX1707" s="80"/>
    </row>
    <row r="1708" spans="48:50" x14ac:dyDescent="0.25">
      <c r="AX1708" s="80"/>
    </row>
    <row r="1709" spans="48:50" x14ac:dyDescent="0.25">
      <c r="AX1709" s="80"/>
    </row>
    <row r="1710" spans="48:50" x14ac:dyDescent="0.25">
      <c r="AX1710" s="80"/>
    </row>
    <row r="1711" spans="48:50" x14ac:dyDescent="0.25">
      <c r="AX1711" s="80"/>
    </row>
    <row r="1712" spans="48:50" x14ac:dyDescent="0.25">
      <c r="AX1712" s="80"/>
    </row>
    <row r="1713" spans="50:50" x14ac:dyDescent="0.25">
      <c r="AX1713" s="80"/>
    </row>
    <row r="1714" spans="50:50" x14ac:dyDescent="0.25">
      <c r="AX1714" s="80"/>
    </row>
    <row r="1715" spans="50:50" x14ac:dyDescent="0.25">
      <c r="AX1715" s="80"/>
    </row>
    <row r="1716" spans="50:50" x14ac:dyDescent="0.25">
      <c r="AX1716" s="80"/>
    </row>
    <row r="1717" spans="50:50" x14ac:dyDescent="0.25">
      <c r="AX1717" s="80"/>
    </row>
    <row r="1718" spans="50:50" x14ac:dyDescent="0.25">
      <c r="AX1718" s="80"/>
    </row>
    <row r="1719" spans="50:50" x14ac:dyDescent="0.25">
      <c r="AX1719" s="80"/>
    </row>
    <row r="1720" spans="50:50" x14ac:dyDescent="0.25">
      <c r="AX1720" s="80"/>
    </row>
    <row r="1721" spans="50:50" x14ac:dyDescent="0.25">
      <c r="AX1721" s="80"/>
    </row>
    <row r="1722" spans="50:50" x14ac:dyDescent="0.25">
      <c r="AX1722" s="80"/>
    </row>
    <row r="1723" spans="50:50" x14ac:dyDescent="0.25">
      <c r="AX1723" s="80"/>
    </row>
    <row r="1724" spans="50:50" x14ac:dyDescent="0.25">
      <c r="AX1724" s="80"/>
    </row>
    <row r="1725" spans="50:50" x14ac:dyDescent="0.25">
      <c r="AX1725" s="80"/>
    </row>
    <row r="1726" spans="50:50" x14ac:dyDescent="0.25">
      <c r="AX1726" s="80"/>
    </row>
    <row r="1727" spans="50:50" x14ac:dyDescent="0.25">
      <c r="AX1727" s="80"/>
    </row>
    <row r="1728" spans="50:50" x14ac:dyDescent="0.25">
      <c r="AX1728" s="80"/>
    </row>
    <row r="1729" spans="50:50" x14ac:dyDescent="0.25">
      <c r="AX1729" s="80"/>
    </row>
    <row r="1730" spans="50:50" x14ac:dyDescent="0.25">
      <c r="AX1730" s="80"/>
    </row>
    <row r="1731" spans="50:50" x14ac:dyDescent="0.25">
      <c r="AX1731" s="80"/>
    </row>
    <row r="1732" spans="50:50" x14ac:dyDescent="0.25">
      <c r="AX1732" s="80"/>
    </row>
    <row r="1733" spans="50:50" x14ac:dyDescent="0.25">
      <c r="AX1733" s="80"/>
    </row>
    <row r="1734" spans="50:50" x14ac:dyDescent="0.25">
      <c r="AX1734" s="80"/>
    </row>
    <row r="1735" spans="50:50" x14ac:dyDescent="0.25">
      <c r="AX1735" s="80"/>
    </row>
    <row r="1736" spans="50:50" x14ac:dyDescent="0.25">
      <c r="AX1736" s="80"/>
    </row>
    <row r="1737" spans="50:50" x14ac:dyDescent="0.25">
      <c r="AX1737" s="80"/>
    </row>
    <row r="1738" spans="50:50" x14ac:dyDescent="0.25">
      <c r="AX1738" s="80"/>
    </row>
    <row r="1739" spans="50:50" x14ac:dyDescent="0.25">
      <c r="AX1739" s="80"/>
    </row>
    <row r="1740" spans="50:50" x14ac:dyDescent="0.25">
      <c r="AX1740" s="80"/>
    </row>
    <row r="1741" spans="50:50" x14ac:dyDescent="0.25">
      <c r="AX1741" s="80"/>
    </row>
    <row r="1742" spans="50:50" x14ac:dyDescent="0.25">
      <c r="AX1742" s="80"/>
    </row>
    <row r="1743" spans="50:50" x14ac:dyDescent="0.25">
      <c r="AX1743" s="80"/>
    </row>
    <row r="1744" spans="50:50" x14ac:dyDescent="0.25">
      <c r="AX1744" s="80"/>
    </row>
    <row r="1745" spans="50:50" x14ac:dyDescent="0.25">
      <c r="AX1745" s="80"/>
    </row>
    <row r="1746" spans="50:50" x14ac:dyDescent="0.25">
      <c r="AX1746" s="80"/>
    </row>
    <row r="1747" spans="50:50" x14ac:dyDescent="0.25">
      <c r="AX1747" s="80"/>
    </row>
    <row r="1748" spans="50:50" x14ac:dyDescent="0.25">
      <c r="AX1748" s="80"/>
    </row>
    <row r="1749" spans="50:50" x14ac:dyDescent="0.25">
      <c r="AX1749" s="80"/>
    </row>
    <row r="1750" spans="50:50" x14ac:dyDescent="0.25">
      <c r="AX1750" s="80"/>
    </row>
    <row r="1751" spans="50:50" x14ac:dyDescent="0.25">
      <c r="AX1751" s="80"/>
    </row>
    <row r="1752" spans="50:50" x14ac:dyDescent="0.25">
      <c r="AX1752" s="80"/>
    </row>
    <row r="1753" spans="50:50" x14ac:dyDescent="0.25">
      <c r="AX1753" s="80"/>
    </row>
    <row r="1754" spans="50:50" x14ac:dyDescent="0.25">
      <c r="AX1754" s="80"/>
    </row>
    <row r="1755" spans="50:50" x14ac:dyDescent="0.25">
      <c r="AX1755" s="80"/>
    </row>
    <row r="1756" spans="50:50" x14ac:dyDescent="0.25">
      <c r="AX1756" s="80"/>
    </row>
    <row r="1757" spans="50:50" x14ac:dyDescent="0.25">
      <c r="AX1757" s="80"/>
    </row>
    <row r="1758" spans="50:50" x14ac:dyDescent="0.25">
      <c r="AX1758" s="80"/>
    </row>
    <row r="1759" spans="50:50" x14ac:dyDescent="0.25">
      <c r="AX1759" s="80"/>
    </row>
    <row r="1760" spans="50:50" x14ac:dyDescent="0.25">
      <c r="AX1760" s="80"/>
    </row>
    <row r="1761" spans="50:50" x14ac:dyDescent="0.25">
      <c r="AX1761" s="80"/>
    </row>
    <row r="1762" spans="50:50" x14ac:dyDescent="0.25">
      <c r="AX1762" s="80"/>
    </row>
    <row r="1763" spans="50:50" x14ac:dyDescent="0.25">
      <c r="AX1763" s="80"/>
    </row>
    <row r="1764" spans="50:50" x14ac:dyDescent="0.25">
      <c r="AX1764" s="80"/>
    </row>
    <row r="1765" spans="50:50" x14ac:dyDescent="0.25">
      <c r="AX1765" s="80"/>
    </row>
    <row r="1766" spans="50:50" x14ac:dyDescent="0.25">
      <c r="AX1766" s="80"/>
    </row>
    <row r="1767" spans="50:50" x14ac:dyDescent="0.25">
      <c r="AX1767" s="80"/>
    </row>
    <row r="1768" spans="50:50" x14ac:dyDescent="0.25">
      <c r="AX1768" s="80"/>
    </row>
    <row r="1769" spans="50:50" x14ac:dyDescent="0.25">
      <c r="AX1769" s="80"/>
    </row>
    <row r="1770" spans="50:50" x14ac:dyDescent="0.25">
      <c r="AX1770" s="80"/>
    </row>
    <row r="1771" spans="50:50" x14ac:dyDescent="0.25">
      <c r="AX1771" s="80"/>
    </row>
    <row r="1772" spans="50:50" x14ac:dyDescent="0.25">
      <c r="AX1772" s="80"/>
    </row>
    <row r="1773" spans="50:50" x14ac:dyDescent="0.25">
      <c r="AX1773" s="80"/>
    </row>
    <row r="1774" spans="50:50" x14ac:dyDescent="0.25">
      <c r="AX1774" s="80"/>
    </row>
    <row r="1775" spans="50:50" x14ac:dyDescent="0.25">
      <c r="AX1775" s="80"/>
    </row>
    <row r="1776" spans="50:50" x14ac:dyDescent="0.25">
      <c r="AX1776" s="80"/>
    </row>
    <row r="1777" spans="50:50" x14ac:dyDescent="0.25">
      <c r="AX1777" s="80"/>
    </row>
    <row r="1778" spans="50:50" x14ac:dyDescent="0.25">
      <c r="AX1778" s="80"/>
    </row>
    <row r="1779" spans="50:50" x14ac:dyDescent="0.25">
      <c r="AX1779" s="80"/>
    </row>
    <row r="1780" spans="50:50" x14ac:dyDescent="0.25">
      <c r="AX1780" s="80"/>
    </row>
    <row r="1781" spans="50:50" x14ac:dyDescent="0.25">
      <c r="AX1781" s="80"/>
    </row>
    <row r="1782" spans="50:50" x14ac:dyDescent="0.25">
      <c r="AX1782" s="80"/>
    </row>
    <row r="1783" spans="50:50" x14ac:dyDescent="0.25">
      <c r="AX1783" s="80"/>
    </row>
    <row r="1784" spans="50:50" x14ac:dyDescent="0.25">
      <c r="AX1784" s="80"/>
    </row>
    <row r="1785" spans="50:50" x14ac:dyDescent="0.25">
      <c r="AX1785" s="80"/>
    </row>
    <row r="1786" spans="50:50" x14ac:dyDescent="0.25">
      <c r="AX1786" s="80"/>
    </row>
    <row r="1787" spans="50:50" x14ac:dyDescent="0.25">
      <c r="AX1787" s="80"/>
    </row>
    <row r="1788" spans="50:50" x14ac:dyDescent="0.25">
      <c r="AX1788" s="80"/>
    </row>
    <row r="1789" spans="50:50" x14ac:dyDescent="0.25">
      <c r="AX1789" s="80"/>
    </row>
    <row r="1790" spans="50:50" x14ac:dyDescent="0.25">
      <c r="AX1790" s="80"/>
    </row>
    <row r="1791" spans="50:50" x14ac:dyDescent="0.25">
      <c r="AX1791" s="80"/>
    </row>
    <row r="1792" spans="50:50" x14ac:dyDescent="0.25">
      <c r="AX1792" s="80"/>
    </row>
    <row r="1793" spans="50:50" x14ac:dyDescent="0.25">
      <c r="AX1793" s="80"/>
    </row>
    <row r="1794" spans="50:50" x14ac:dyDescent="0.25">
      <c r="AX1794" s="80"/>
    </row>
    <row r="1795" spans="50:50" x14ac:dyDescent="0.25">
      <c r="AX1795" s="80"/>
    </row>
    <row r="1796" spans="50:50" x14ac:dyDescent="0.25">
      <c r="AX1796" s="80"/>
    </row>
    <row r="1797" spans="50:50" x14ac:dyDescent="0.25">
      <c r="AX1797" s="80"/>
    </row>
    <row r="1798" spans="50:50" x14ac:dyDescent="0.25">
      <c r="AX1798" s="80"/>
    </row>
    <row r="1799" spans="50:50" x14ac:dyDescent="0.25">
      <c r="AX1799" s="80"/>
    </row>
    <row r="1800" spans="50:50" x14ac:dyDescent="0.25">
      <c r="AX1800" s="80"/>
    </row>
    <row r="1801" spans="50:50" x14ac:dyDescent="0.25">
      <c r="AX1801" s="80"/>
    </row>
    <row r="1802" spans="50:50" x14ac:dyDescent="0.25">
      <c r="AX1802" s="80"/>
    </row>
    <row r="1803" spans="50:50" x14ac:dyDescent="0.25">
      <c r="AX1803" s="80"/>
    </row>
    <row r="1804" spans="50:50" x14ac:dyDescent="0.25">
      <c r="AX1804" s="80"/>
    </row>
    <row r="1805" spans="50:50" x14ac:dyDescent="0.25">
      <c r="AX1805" s="80"/>
    </row>
    <row r="1806" spans="50:50" x14ac:dyDescent="0.25">
      <c r="AX1806" s="80"/>
    </row>
    <row r="1807" spans="50:50" x14ac:dyDescent="0.25">
      <c r="AX1807" s="80"/>
    </row>
    <row r="1808" spans="50:50" x14ac:dyDescent="0.25">
      <c r="AX1808" s="80"/>
    </row>
    <row r="1809" spans="48:50" x14ac:dyDescent="0.25">
      <c r="AX1809" s="80"/>
    </row>
    <row r="1810" spans="48:50" x14ac:dyDescent="0.25">
      <c r="AX1810" s="80"/>
    </row>
    <row r="1811" spans="48:50" x14ac:dyDescent="0.25">
      <c r="AX1811" s="80"/>
    </row>
    <row r="1812" spans="48:50" x14ac:dyDescent="0.25">
      <c r="AX1812" s="80"/>
    </row>
    <row r="1813" spans="48:50" x14ac:dyDescent="0.25">
      <c r="AX1813" s="80"/>
    </row>
    <row r="1814" spans="48:50" x14ac:dyDescent="0.25">
      <c r="AX1814" s="80"/>
    </row>
    <row r="1815" spans="48:50" x14ac:dyDescent="0.25">
      <c r="AX1815" s="80"/>
    </row>
    <row r="1816" spans="48:50" x14ac:dyDescent="0.25">
      <c r="AX1816" s="80"/>
    </row>
    <row r="1817" spans="48:50" x14ac:dyDescent="0.25">
      <c r="AX1817" s="80"/>
    </row>
    <row r="1818" spans="48:50" x14ac:dyDescent="0.25">
      <c r="AX1818" s="80"/>
    </row>
    <row r="1819" spans="48:50" x14ac:dyDescent="0.25">
      <c r="AX1819" s="80"/>
    </row>
    <row r="1820" spans="48:50" x14ac:dyDescent="0.25">
      <c r="AV1820" s="90"/>
      <c r="AX1820" s="80"/>
    </row>
    <row r="1821" spans="48:50" x14ac:dyDescent="0.25">
      <c r="AX1821" s="80"/>
    </row>
    <row r="1822" spans="48:50" x14ac:dyDescent="0.25">
      <c r="AX1822" s="80"/>
    </row>
    <row r="1823" spans="48:50" x14ac:dyDescent="0.25">
      <c r="AX1823" s="80"/>
    </row>
    <row r="1824" spans="48:50" x14ac:dyDescent="0.25">
      <c r="AX1824" s="80"/>
    </row>
    <row r="1825" spans="50:50" x14ac:dyDescent="0.25">
      <c r="AX1825" s="80"/>
    </row>
    <row r="1826" spans="50:50" x14ac:dyDescent="0.25">
      <c r="AX1826" s="80"/>
    </row>
    <row r="1827" spans="50:50" x14ac:dyDescent="0.25">
      <c r="AX1827" s="80"/>
    </row>
    <row r="1828" spans="50:50" x14ac:dyDescent="0.25">
      <c r="AX1828" s="80"/>
    </row>
    <row r="1829" spans="50:50" x14ac:dyDescent="0.25">
      <c r="AX1829" s="80"/>
    </row>
    <row r="1830" spans="50:50" x14ac:dyDescent="0.25">
      <c r="AX1830" s="80"/>
    </row>
    <row r="1831" spans="50:50" x14ac:dyDescent="0.25">
      <c r="AX1831" s="80"/>
    </row>
    <row r="1832" spans="50:50" x14ac:dyDescent="0.25">
      <c r="AX1832" s="80"/>
    </row>
    <row r="1833" spans="50:50" x14ac:dyDescent="0.25">
      <c r="AX1833" s="80"/>
    </row>
    <row r="1834" spans="50:50" x14ac:dyDescent="0.25">
      <c r="AX1834" s="80"/>
    </row>
    <row r="1835" spans="50:50" x14ac:dyDescent="0.25">
      <c r="AX1835" s="80"/>
    </row>
    <row r="1836" spans="50:50" x14ac:dyDescent="0.25">
      <c r="AX1836" s="80"/>
    </row>
    <row r="1837" spans="50:50" x14ac:dyDescent="0.25">
      <c r="AX1837" s="80"/>
    </row>
    <row r="1838" spans="50:50" x14ac:dyDescent="0.25">
      <c r="AX1838" s="80"/>
    </row>
    <row r="1839" spans="50:50" x14ac:dyDescent="0.25">
      <c r="AX1839" s="80"/>
    </row>
    <row r="1840" spans="50:50" x14ac:dyDescent="0.25">
      <c r="AX1840" s="80"/>
    </row>
    <row r="1841" spans="50:50" x14ac:dyDescent="0.25">
      <c r="AX1841" s="80"/>
    </row>
    <row r="1842" spans="50:50" x14ac:dyDescent="0.25">
      <c r="AX1842" s="80"/>
    </row>
    <row r="1843" spans="50:50" x14ac:dyDescent="0.25">
      <c r="AX1843" s="80"/>
    </row>
    <row r="1844" spans="50:50" x14ac:dyDescent="0.25">
      <c r="AX1844" s="80"/>
    </row>
    <row r="1845" spans="50:50" x14ac:dyDescent="0.25">
      <c r="AX1845" s="80"/>
    </row>
    <row r="1846" spans="50:50" x14ac:dyDescent="0.25">
      <c r="AX1846" s="80"/>
    </row>
    <row r="1847" spans="50:50" x14ac:dyDescent="0.25">
      <c r="AX1847" s="80"/>
    </row>
    <row r="1848" spans="50:50" x14ac:dyDescent="0.25">
      <c r="AX1848" s="80"/>
    </row>
    <row r="1849" spans="50:50" x14ac:dyDescent="0.25">
      <c r="AX1849" s="80"/>
    </row>
    <row r="1850" spans="50:50" x14ac:dyDescent="0.25">
      <c r="AX1850" s="80"/>
    </row>
    <row r="1851" spans="50:50" x14ac:dyDescent="0.25">
      <c r="AX1851" s="80"/>
    </row>
    <row r="1852" spans="50:50" x14ac:dyDescent="0.25">
      <c r="AX1852" s="80"/>
    </row>
    <row r="1853" spans="50:50" x14ac:dyDescent="0.25">
      <c r="AX1853" s="80"/>
    </row>
    <row r="1854" spans="50:50" x14ac:dyDescent="0.25">
      <c r="AX1854" s="80"/>
    </row>
    <row r="1855" spans="50:50" x14ac:dyDescent="0.25">
      <c r="AX1855" s="80"/>
    </row>
    <row r="1856" spans="50:50" x14ac:dyDescent="0.25">
      <c r="AX1856" s="80"/>
    </row>
    <row r="1857" spans="50:50" x14ac:dyDescent="0.25">
      <c r="AX1857" s="80"/>
    </row>
    <row r="1858" spans="50:50" x14ac:dyDescent="0.25">
      <c r="AX1858" s="80"/>
    </row>
    <row r="1859" spans="50:50" x14ac:dyDescent="0.25">
      <c r="AX1859" s="80"/>
    </row>
    <row r="1860" spans="50:50" x14ac:dyDescent="0.25">
      <c r="AX1860" s="80"/>
    </row>
    <row r="1861" spans="50:50" x14ac:dyDescent="0.25">
      <c r="AX1861" s="80"/>
    </row>
    <row r="1862" spans="50:50" x14ac:dyDescent="0.25">
      <c r="AX1862" s="80"/>
    </row>
    <row r="1863" spans="50:50" x14ac:dyDescent="0.25">
      <c r="AX1863" s="80"/>
    </row>
    <row r="1864" spans="50:50" x14ac:dyDescent="0.25">
      <c r="AX1864" s="80"/>
    </row>
    <row r="1865" spans="50:50" x14ac:dyDescent="0.25">
      <c r="AX1865" s="80"/>
    </row>
    <row r="1866" spans="50:50" x14ac:dyDescent="0.25">
      <c r="AX1866" s="80"/>
    </row>
    <row r="1867" spans="50:50" x14ac:dyDescent="0.25">
      <c r="AX1867" s="80"/>
    </row>
    <row r="1868" spans="50:50" x14ac:dyDescent="0.25">
      <c r="AX1868" s="80"/>
    </row>
    <row r="1869" spans="50:50" x14ac:dyDescent="0.25">
      <c r="AX1869" s="80"/>
    </row>
    <row r="1870" spans="50:50" x14ac:dyDescent="0.25">
      <c r="AX1870" s="80"/>
    </row>
    <row r="1871" spans="50:50" x14ac:dyDescent="0.25">
      <c r="AX1871" s="80"/>
    </row>
    <row r="1872" spans="50:50" x14ac:dyDescent="0.25">
      <c r="AX1872" s="80"/>
    </row>
    <row r="1873" spans="50:50" x14ac:dyDescent="0.25">
      <c r="AX1873" s="80"/>
    </row>
    <row r="1874" spans="50:50" x14ac:dyDescent="0.25">
      <c r="AX1874" s="80"/>
    </row>
    <row r="1875" spans="50:50" x14ac:dyDescent="0.25">
      <c r="AX1875" s="80"/>
    </row>
    <row r="1876" spans="50:50" x14ac:dyDescent="0.25">
      <c r="AX1876" s="80"/>
    </row>
    <row r="1877" spans="50:50" x14ac:dyDescent="0.25">
      <c r="AX1877" s="80"/>
    </row>
    <row r="1878" spans="50:50" x14ac:dyDescent="0.25">
      <c r="AX1878" s="80"/>
    </row>
    <row r="1879" spans="50:50" x14ac:dyDescent="0.25">
      <c r="AX1879" s="80"/>
    </row>
    <row r="1880" spans="50:50" x14ac:dyDescent="0.25">
      <c r="AX1880" s="80"/>
    </row>
    <row r="1881" spans="50:50" x14ac:dyDescent="0.25">
      <c r="AX1881" s="80"/>
    </row>
    <row r="1882" spans="50:50" x14ac:dyDescent="0.25">
      <c r="AX1882" s="80"/>
    </row>
    <row r="1883" spans="50:50" x14ac:dyDescent="0.25">
      <c r="AX1883" s="80"/>
    </row>
    <row r="1884" spans="50:50" x14ac:dyDescent="0.25">
      <c r="AX1884" s="80"/>
    </row>
    <row r="1885" spans="50:50" x14ac:dyDescent="0.25">
      <c r="AX1885" s="80"/>
    </row>
    <row r="1886" spans="50:50" x14ac:dyDescent="0.25">
      <c r="AX1886" s="80"/>
    </row>
    <row r="1887" spans="50:50" x14ac:dyDescent="0.25">
      <c r="AX1887" s="80"/>
    </row>
    <row r="1888" spans="50:50" x14ac:dyDescent="0.25">
      <c r="AX1888" s="80"/>
    </row>
    <row r="1889" spans="50:50" x14ac:dyDescent="0.25">
      <c r="AX1889" s="80"/>
    </row>
    <row r="1890" spans="50:50" x14ac:dyDescent="0.25">
      <c r="AX1890" s="80"/>
    </row>
    <row r="1891" spans="50:50" x14ac:dyDescent="0.25">
      <c r="AX1891" s="80"/>
    </row>
    <row r="1892" spans="50:50" x14ac:dyDescent="0.25">
      <c r="AX1892" s="80"/>
    </row>
    <row r="1893" spans="50:50" x14ac:dyDescent="0.25">
      <c r="AX1893" s="80"/>
    </row>
    <row r="1894" spans="50:50" x14ac:dyDescent="0.25">
      <c r="AX1894" s="80"/>
    </row>
    <row r="1895" spans="50:50" x14ac:dyDescent="0.25">
      <c r="AX1895" s="80"/>
    </row>
    <row r="1896" spans="50:50" x14ac:dyDescent="0.25">
      <c r="AX1896" s="80"/>
    </row>
    <row r="1897" spans="50:50" x14ac:dyDescent="0.25">
      <c r="AX1897" s="80"/>
    </row>
    <row r="1898" spans="50:50" x14ac:dyDescent="0.25">
      <c r="AX1898" s="80"/>
    </row>
    <row r="1899" spans="50:50" x14ac:dyDescent="0.25">
      <c r="AX1899" s="80"/>
    </row>
    <row r="1900" spans="50:50" x14ac:dyDescent="0.25">
      <c r="AX1900" s="80"/>
    </row>
    <row r="1901" spans="50:50" x14ac:dyDescent="0.25">
      <c r="AX1901" s="80"/>
    </row>
    <row r="1902" spans="50:50" x14ac:dyDescent="0.25">
      <c r="AX1902" s="80"/>
    </row>
    <row r="1903" spans="50:50" x14ac:dyDescent="0.25">
      <c r="AX1903" s="80"/>
    </row>
    <row r="1904" spans="50:50" x14ac:dyDescent="0.25">
      <c r="AX1904" s="80"/>
    </row>
    <row r="1905" spans="50:50" x14ac:dyDescent="0.25">
      <c r="AX1905" s="80"/>
    </row>
    <row r="1906" spans="50:50" x14ac:dyDescent="0.25">
      <c r="AX1906" s="80"/>
    </row>
    <row r="1907" spans="50:50" x14ac:dyDescent="0.25">
      <c r="AX1907" s="80"/>
    </row>
    <row r="1908" spans="50:50" x14ac:dyDescent="0.25">
      <c r="AX1908" s="80"/>
    </row>
    <row r="1909" spans="50:50" x14ac:dyDescent="0.25">
      <c r="AX1909" s="80"/>
    </row>
    <row r="1910" spans="50:50" x14ac:dyDescent="0.25">
      <c r="AX1910" s="80"/>
    </row>
    <row r="1911" spans="50:50" x14ac:dyDescent="0.25">
      <c r="AX1911" s="80"/>
    </row>
    <row r="1912" spans="50:50" x14ac:dyDescent="0.25">
      <c r="AX1912" s="80"/>
    </row>
    <row r="1913" spans="50:50" x14ac:dyDescent="0.25">
      <c r="AX1913" s="80"/>
    </row>
    <row r="1914" spans="50:50" x14ac:dyDescent="0.25">
      <c r="AX1914" s="80"/>
    </row>
    <row r="1915" spans="50:50" x14ac:dyDescent="0.25">
      <c r="AX1915" s="80"/>
    </row>
    <row r="1916" spans="50:50" x14ac:dyDescent="0.25">
      <c r="AX1916" s="80"/>
    </row>
    <row r="1917" spans="50:50" x14ac:dyDescent="0.25">
      <c r="AX1917" s="80"/>
    </row>
    <row r="1918" spans="50:50" x14ac:dyDescent="0.25">
      <c r="AX1918" s="80"/>
    </row>
    <row r="1919" spans="50:50" x14ac:dyDescent="0.25">
      <c r="AX1919" s="80"/>
    </row>
    <row r="1920" spans="50:50" x14ac:dyDescent="0.25">
      <c r="AX1920" s="80"/>
    </row>
    <row r="1921" spans="50:50" x14ac:dyDescent="0.25">
      <c r="AX1921" s="80"/>
    </row>
    <row r="1922" spans="50:50" x14ac:dyDescent="0.25">
      <c r="AX1922" s="80"/>
    </row>
    <row r="1923" spans="50:50" x14ac:dyDescent="0.25">
      <c r="AX1923" s="80"/>
    </row>
    <row r="1924" spans="50:50" x14ac:dyDescent="0.25">
      <c r="AX1924" s="80"/>
    </row>
    <row r="1925" spans="50:50" x14ac:dyDescent="0.25">
      <c r="AX1925" s="80"/>
    </row>
    <row r="1926" spans="50:50" x14ac:dyDescent="0.25">
      <c r="AX1926" s="80"/>
    </row>
    <row r="1927" spans="50:50" x14ac:dyDescent="0.25">
      <c r="AX1927" s="80"/>
    </row>
    <row r="1928" spans="50:50" x14ac:dyDescent="0.25">
      <c r="AX1928" s="80"/>
    </row>
    <row r="1929" spans="50:50" x14ac:dyDescent="0.25">
      <c r="AX1929" s="80"/>
    </row>
    <row r="1930" spans="50:50" x14ac:dyDescent="0.25">
      <c r="AX1930" s="80"/>
    </row>
    <row r="1931" spans="50:50" x14ac:dyDescent="0.25">
      <c r="AX1931" s="80"/>
    </row>
    <row r="1932" spans="50:50" x14ac:dyDescent="0.25">
      <c r="AX1932" s="80"/>
    </row>
    <row r="1933" spans="50:50" x14ac:dyDescent="0.25">
      <c r="AX1933" s="80"/>
    </row>
    <row r="1934" spans="50:50" x14ac:dyDescent="0.25">
      <c r="AX1934" s="80"/>
    </row>
    <row r="1935" spans="50:50" x14ac:dyDescent="0.25">
      <c r="AX1935" s="80"/>
    </row>
    <row r="1936" spans="50:50" x14ac:dyDescent="0.25">
      <c r="AX1936" s="80"/>
    </row>
    <row r="1937" spans="50:50" x14ac:dyDescent="0.25">
      <c r="AX1937" s="80"/>
    </row>
    <row r="1938" spans="50:50" x14ac:dyDescent="0.25">
      <c r="AX1938" s="80"/>
    </row>
    <row r="1939" spans="50:50" x14ac:dyDescent="0.25">
      <c r="AX1939" s="80"/>
    </row>
    <row r="1940" spans="50:50" x14ac:dyDescent="0.25">
      <c r="AX1940" s="80"/>
    </row>
    <row r="1941" spans="50:50" x14ac:dyDescent="0.25">
      <c r="AX1941" s="80"/>
    </row>
    <row r="1942" spans="50:50" x14ac:dyDescent="0.25">
      <c r="AX1942" s="80"/>
    </row>
    <row r="1943" spans="50:50" x14ac:dyDescent="0.25">
      <c r="AX1943" s="80"/>
    </row>
    <row r="1944" spans="50:50" x14ac:dyDescent="0.25">
      <c r="AX1944" s="80"/>
    </row>
    <row r="1945" spans="50:50" x14ac:dyDescent="0.25">
      <c r="AX1945" s="80"/>
    </row>
    <row r="1946" spans="50:50" x14ac:dyDescent="0.25">
      <c r="AX1946" s="80"/>
    </row>
    <row r="1947" spans="50:50" x14ac:dyDescent="0.25">
      <c r="AX1947" s="80"/>
    </row>
    <row r="1948" spans="50:50" x14ac:dyDescent="0.25">
      <c r="AX1948" s="80"/>
    </row>
    <row r="1949" spans="50:50" x14ac:dyDescent="0.25">
      <c r="AX1949" s="80"/>
    </row>
    <row r="1950" spans="50:50" x14ac:dyDescent="0.25">
      <c r="AX1950" s="80"/>
    </row>
    <row r="1951" spans="50:50" x14ac:dyDescent="0.25">
      <c r="AX1951" s="80"/>
    </row>
    <row r="1952" spans="50:50" x14ac:dyDescent="0.25">
      <c r="AX1952" s="80"/>
    </row>
    <row r="1953" spans="50:50" x14ac:dyDescent="0.25">
      <c r="AX1953" s="80"/>
    </row>
    <row r="1954" spans="50:50" x14ac:dyDescent="0.25">
      <c r="AX1954" s="80"/>
    </row>
    <row r="1955" spans="50:50" x14ac:dyDescent="0.25">
      <c r="AX1955" s="80"/>
    </row>
    <row r="1956" spans="50:50" x14ac:dyDescent="0.25">
      <c r="AX1956" s="80"/>
    </row>
    <row r="1957" spans="50:50" x14ac:dyDescent="0.25">
      <c r="AX1957" s="80"/>
    </row>
    <row r="1958" spans="50:50" x14ac:dyDescent="0.25">
      <c r="AX1958" s="80"/>
    </row>
    <row r="1959" spans="50:50" x14ac:dyDescent="0.25">
      <c r="AX1959" s="80"/>
    </row>
    <row r="1960" spans="50:50" x14ac:dyDescent="0.25">
      <c r="AX1960" s="80"/>
    </row>
    <row r="1961" spans="50:50" x14ac:dyDescent="0.25">
      <c r="AX1961" s="80"/>
    </row>
    <row r="1962" spans="50:50" x14ac:dyDescent="0.25">
      <c r="AX1962" s="80"/>
    </row>
    <row r="1963" spans="50:50" x14ac:dyDescent="0.25">
      <c r="AX1963" s="80"/>
    </row>
    <row r="1964" spans="50:50" x14ac:dyDescent="0.25">
      <c r="AX1964" s="80"/>
    </row>
    <row r="1965" spans="50:50" x14ac:dyDescent="0.25">
      <c r="AX1965" s="80"/>
    </row>
    <row r="1966" spans="50:50" x14ac:dyDescent="0.25">
      <c r="AX1966" s="80"/>
    </row>
    <row r="1967" spans="50:50" x14ac:dyDescent="0.25">
      <c r="AX1967" s="80"/>
    </row>
    <row r="1968" spans="50:50" x14ac:dyDescent="0.25">
      <c r="AX1968" s="80"/>
    </row>
    <row r="1969" spans="48:50" x14ac:dyDescent="0.25">
      <c r="AX1969" s="80"/>
    </row>
    <row r="1970" spans="48:50" x14ac:dyDescent="0.25">
      <c r="AX1970" s="80"/>
    </row>
    <row r="1971" spans="48:50" x14ac:dyDescent="0.25">
      <c r="AX1971" s="80"/>
    </row>
    <row r="1972" spans="48:50" x14ac:dyDescent="0.25">
      <c r="AX1972" s="80"/>
    </row>
    <row r="1973" spans="48:50" x14ac:dyDescent="0.25">
      <c r="AX1973" s="80"/>
    </row>
    <row r="1974" spans="48:50" x14ac:dyDescent="0.25">
      <c r="AX1974" s="80"/>
    </row>
    <row r="1975" spans="48:50" x14ac:dyDescent="0.25">
      <c r="AV1975" s="90"/>
      <c r="AX1975" s="80"/>
    </row>
    <row r="1976" spans="48:50" x14ac:dyDescent="0.25">
      <c r="AX1976" s="80"/>
    </row>
    <row r="1977" spans="48:50" x14ac:dyDescent="0.25">
      <c r="AX1977" s="80"/>
    </row>
    <row r="1978" spans="48:50" x14ac:dyDescent="0.25">
      <c r="AX1978" s="80"/>
    </row>
    <row r="1979" spans="48:50" x14ac:dyDescent="0.25">
      <c r="AX1979" s="80"/>
    </row>
    <row r="1980" spans="48:50" x14ac:dyDescent="0.25">
      <c r="AX1980" s="80"/>
    </row>
    <row r="1981" spans="48:50" x14ac:dyDescent="0.25">
      <c r="AX1981" s="80"/>
    </row>
    <row r="1982" spans="48:50" x14ac:dyDescent="0.25">
      <c r="AX1982" s="80"/>
    </row>
    <row r="1983" spans="48:50" x14ac:dyDescent="0.25">
      <c r="AX1983" s="80"/>
    </row>
    <row r="1984" spans="48:50" x14ac:dyDescent="0.25">
      <c r="AX1984" s="80"/>
    </row>
    <row r="1985" spans="50:50" x14ac:dyDescent="0.25">
      <c r="AX1985" s="80"/>
    </row>
    <row r="1986" spans="50:50" x14ac:dyDescent="0.25">
      <c r="AX1986" s="80"/>
    </row>
    <row r="1987" spans="50:50" x14ac:dyDescent="0.25">
      <c r="AX1987" s="80"/>
    </row>
    <row r="1988" spans="50:50" x14ac:dyDescent="0.25">
      <c r="AX1988" s="80"/>
    </row>
    <row r="1989" spans="50:50" x14ac:dyDescent="0.25">
      <c r="AX1989" s="80"/>
    </row>
    <row r="1990" spans="50:50" x14ac:dyDescent="0.25">
      <c r="AX1990" s="80"/>
    </row>
    <row r="1991" spans="50:50" x14ac:dyDescent="0.25">
      <c r="AX1991" s="80"/>
    </row>
    <row r="1992" spans="50:50" x14ac:dyDescent="0.25">
      <c r="AX1992" s="80"/>
    </row>
    <row r="1993" spans="50:50" x14ac:dyDescent="0.25">
      <c r="AX1993" s="80"/>
    </row>
    <row r="1994" spans="50:50" x14ac:dyDescent="0.25">
      <c r="AX1994" s="80"/>
    </row>
    <row r="1995" spans="50:50" x14ac:dyDescent="0.25">
      <c r="AX1995" s="80"/>
    </row>
    <row r="1996" spans="50:50" x14ac:dyDescent="0.25">
      <c r="AX1996" s="80"/>
    </row>
    <row r="1997" spans="50:50" x14ac:dyDescent="0.25">
      <c r="AX1997" s="80"/>
    </row>
    <row r="1998" spans="50:50" x14ac:dyDescent="0.25">
      <c r="AX1998" s="80"/>
    </row>
    <row r="1999" spans="50:50" x14ac:dyDescent="0.25">
      <c r="AX1999" s="80"/>
    </row>
    <row r="2000" spans="50:50" x14ac:dyDescent="0.25">
      <c r="AX2000" s="80"/>
    </row>
    <row r="2001" spans="50:50" x14ac:dyDescent="0.25">
      <c r="AX2001" s="80"/>
    </row>
    <row r="2002" spans="50:50" x14ac:dyDescent="0.25">
      <c r="AX2002" s="80"/>
    </row>
    <row r="2003" spans="50:50" x14ac:dyDescent="0.25">
      <c r="AX2003" s="80"/>
    </row>
    <row r="2004" spans="50:50" x14ac:dyDescent="0.25">
      <c r="AX2004" s="80"/>
    </row>
    <row r="2005" spans="50:50" x14ac:dyDescent="0.25">
      <c r="AX2005" s="80"/>
    </row>
    <row r="2006" spans="50:50" x14ac:dyDescent="0.25">
      <c r="AX2006" s="80"/>
    </row>
    <row r="2007" spans="50:50" x14ac:dyDescent="0.25">
      <c r="AX2007" s="80"/>
    </row>
    <row r="2008" spans="50:50" x14ac:dyDescent="0.25">
      <c r="AX2008" s="80"/>
    </row>
    <row r="2009" spans="50:50" x14ac:dyDescent="0.25">
      <c r="AX2009" s="80"/>
    </row>
    <row r="2010" spans="50:50" x14ac:dyDescent="0.25">
      <c r="AX2010" s="80"/>
    </row>
    <row r="2011" spans="50:50" x14ac:dyDescent="0.25">
      <c r="AX2011" s="80"/>
    </row>
    <row r="2012" spans="50:50" x14ac:dyDescent="0.25">
      <c r="AX2012" s="80"/>
    </row>
    <row r="2013" spans="50:50" x14ac:dyDescent="0.25">
      <c r="AX2013" s="80"/>
    </row>
    <row r="2014" spans="50:50" x14ac:dyDescent="0.25">
      <c r="AX2014" s="80"/>
    </row>
    <row r="2015" spans="50:50" x14ac:dyDescent="0.25">
      <c r="AX2015" s="80"/>
    </row>
    <row r="2016" spans="50:50" x14ac:dyDescent="0.25">
      <c r="AX2016" s="80"/>
    </row>
    <row r="2017" spans="50:50" x14ac:dyDescent="0.25">
      <c r="AX2017" s="80"/>
    </row>
    <row r="2018" spans="50:50" x14ac:dyDescent="0.25">
      <c r="AX2018" s="80"/>
    </row>
    <row r="2019" spans="50:50" x14ac:dyDescent="0.25">
      <c r="AX2019" s="80"/>
    </row>
    <row r="2020" spans="50:50" x14ac:dyDescent="0.25">
      <c r="AX2020" s="80"/>
    </row>
    <row r="2021" spans="50:50" x14ac:dyDescent="0.25">
      <c r="AX2021" s="80"/>
    </row>
    <row r="2022" spans="50:50" x14ac:dyDescent="0.25">
      <c r="AX2022" s="80"/>
    </row>
    <row r="2023" spans="50:50" x14ac:dyDescent="0.25">
      <c r="AX2023" s="80"/>
    </row>
    <row r="2024" spans="50:50" x14ac:dyDescent="0.25">
      <c r="AX2024" s="80"/>
    </row>
    <row r="2025" spans="50:50" x14ac:dyDescent="0.25">
      <c r="AX2025" s="80"/>
    </row>
    <row r="2026" spans="50:50" x14ac:dyDescent="0.25">
      <c r="AX2026" s="80"/>
    </row>
    <row r="2027" spans="50:50" x14ac:dyDescent="0.25">
      <c r="AX2027" s="80"/>
    </row>
    <row r="2028" spans="50:50" x14ac:dyDescent="0.25">
      <c r="AX2028" s="80"/>
    </row>
    <row r="2029" spans="50:50" x14ac:dyDescent="0.25">
      <c r="AX2029" s="80"/>
    </row>
    <row r="2030" spans="50:50" x14ac:dyDescent="0.25">
      <c r="AX2030" s="80"/>
    </row>
    <row r="2031" spans="50:50" x14ac:dyDescent="0.25">
      <c r="AX2031" s="80"/>
    </row>
    <row r="2032" spans="50:50" x14ac:dyDescent="0.25">
      <c r="AX2032" s="80"/>
    </row>
    <row r="2033" spans="50:50" x14ac:dyDescent="0.25">
      <c r="AX2033" s="80"/>
    </row>
    <row r="2034" spans="50:50" x14ac:dyDescent="0.25">
      <c r="AX2034" s="80"/>
    </row>
    <row r="2035" spans="50:50" x14ac:dyDescent="0.25">
      <c r="AX2035" s="80"/>
    </row>
    <row r="2036" spans="50:50" x14ac:dyDescent="0.25">
      <c r="AX2036" s="80"/>
    </row>
    <row r="2037" spans="50:50" x14ac:dyDescent="0.25">
      <c r="AX2037" s="80"/>
    </row>
    <row r="2038" spans="50:50" x14ac:dyDescent="0.25">
      <c r="AX2038" s="80"/>
    </row>
    <row r="2039" spans="50:50" x14ac:dyDescent="0.25">
      <c r="AX2039" s="80"/>
    </row>
    <row r="2040" spans="50:50" x14ac:dyDescent="0.25">
      <c r="AX2040" s="80"/>
    </row>
    <row r="2041" spans="50:50" x14ac:dyDescent="0.25">
      <c r="AX2041" s="80"/>
    </row>
    <row r="2042" spans="50:50" x14ac:dyDescent="0.25">
      <c r="AX2042" s="80"/>
    </row>
    <row r="2043" spans="50:50" x14ac:dyDescent="0.25">
      <c r="AX2043" s="80"/>
    </row>
    <row r="2044" spans="50:50" x14ac:dyDescent="0.25">
      <c r="AX2044" s="80"/>
    </row>
    <row r="2045" spans="50:50" x14ac:dyDescent="0.25">
      <c r="AX2045" s="80"/>
    </row>
    <row r="2046" spans="50:50" x14ac:dyDescent="0.25">
      <c r="AX2046" s="80"/>
    </row>
    <row r="2047" spans="50:50" x14ac:dyDescent="0.25">
      <c r="AX2047" s="80"/>
    </row>
    <row r="2048" spans="50:50" x14ac:dyDescent="0.25">
      <c r="AX2048" s="80"/>
    </row>
    <row r="2049" spans="48:50" x14ac:dyDescent="0.25">
      <c r="AV2049" s="90"/>
      <c r="AX2049" s="80"/>
    </row>
    <row r="2050" spans="48:50" x14ac:dyDescent="0.25">
      <c r="AX2050" s="80"/>
    </row>
    <row r="2051" spans="48:50" x14ac:dyDescent="0.25">
      <c r="AX2051" s="80"/>
    </row>
    <row r="2052" spans="48:50" x14ac:dyDescent="0.25">
      <c r="AX2052" s="80"/>
    </row>
    <row r="2053" spans="48:50" x14ac:dyDescent="0.25">
      <c r="AX2053" s="80"/>
    </row>
    <row r="2054" spans="48:50" x14ac:dyDescent="0.25">
      <c r="AX2054" s="80"/>
    </row>
    <row r="2055" spans="48:50" x14ac:dyDescent="0.25">
      <c r="AX2055" s="80"/>
    </row>
    <row r="2056" spans="48:50" x14ac:dyDescent="0.25">
      <c r="AX2056" s="80"/>
    </row>
    <row r="2057" spans="48:50" x14ac:dyDescent="0.25">
      <c r="AX2057" s="80"/>
    </row>
    <row r="2058" spans="48:50" x14ac:dyDescent="0.25">
      <c r="AX2058" s="80"/>
    </row>
    <row r="2059" spans="48:50" x14ac:dyDescent="0.25">
      <c r="AV2059" s="90"/>
      <c r="AX2059" s="80"/>
    </row>
    <row r="2060" spans="48:50" x14ac:dyDescent="0.25">
      <c r="AX2060" s="80"/>
    </row>
    <row r="2061" spans="48:50" x14ac:dyDescent="0.25">
      <c r="AX2061" s="80"/>
    </row>
    <row r="2062" spans="48:50" x14ac:dyDescent="0.25">
      <c r="AX2062" s="80"/>
    </row>
    <row r="2063" spans="48:50" x14ac:dyDescent="0.25">
      <c r="AX2063" s="80"/>
    </row>
    <row r="2064" spans="48:50" x14ac:dyDescent="0.25">
      <c r="AX2064" s="80"/>
    </row>
    <row r="2065" spans="50:50" x14ac:dyDescent="0.25">
      <c r="AX2065" s="80"/>
    </row>
    <row r="2066" spans="50:50" x14ac:dyDescent="0.25">
      <c r="AX2066" s="80"/>
    </row>
    <row r="2067" spans="50:50" x14ac:dyDescent="0.25">
      <c r="AX2067" s="80"/>
    </row>
    <row r="2068" spans="50:50" x14ac:dyDescent="0.25">
      <c r="AX2068" s="80"/>
    </row>
    <row r="2069" spans="50:50" x14ac:dyDescent="0.25">
      <c r="AX2069" s="80"/>
    </row>
    <row r="2070" spans="50:50" x14ac:dyDescent="0.25">
      <c r="AX2070" s="80"/>
    </row>
    <row r="2071" spans="50:50" x14ac:dyDescent="0.25">
      <c r="AX2071" s="80"/>
    </row>
    <row r="2072" spans="50:50" x14ac:dyDescent="0.25">
      <c r="AX2072" s="80"/>
    </row>
    <row r="2073" spans="50:50" x14ac:dyDescent="0.25">
      <c r="AX2073" s="80"/>
    </row>
    <row r="2074" spans="50:50" x14ac:dyDescent="0.25">
      <c r="AX2074" s="80"/>
    </row>
    <row r="2075" spans="50:50" x14ac:dyDescent="0.25">
      <c r="AX2075" s="80"/>
    </row>
    <row r="2076" spans="50:50" x14ac:dyDescent="0.25">
      <c r="AX2076" s="80"/>
    </row>
    <row r="2077" spans="50:50" x14ac:dyDescent="0.25">
      <c r="AX2077" s="80"/>
    </row>
    <row r="2078" spans="50:50" x14ac:dyDescent="0.25">
      <c r="AX2078" s="80"/>
    </row>
    <row r="2079" spans="50:50" x14ac:dyDescent="0.25">
      <c r="AX2079" s="80"/>
    </row>
    <row r="2080" spans="50:50" x14ac:dyDescent="0.25">
      <c r="AX2080" s="80"/>
    </row>
    <row r="2081" spans="50:50" x14ac:dyDescent="0.25">
      <c r="AX2081" s="80"/>
    </row>
    <row r="2082" spans="50:50" x14ac:dyDescent="0.25">
      <c r="AX2082" s="80"/>
    </row>
    <row r="2083" spans="50:50" x14ac:dyDescent="0.25">
      <c r="AX2083" s="80"/>
    </row>
    <row r="2084" spans="50:50" x14ac:dyDescent="0.25">
      <c r="AX2084" s="80"/>
    </row>
    <row r="2085" spans="50:50" x14ac:dyDescent="0.25">
      <c r="AX2085" s="80"/>
    </row>
    <row r="2086" spans="50:50" x14ac:dyDescent="0.25">
      <c r="AX2086" s="80"/>
    </row>
    <row r="2087" spans="50:50" x14ac:dyDescent="0.25">
      <c r="AX2087" s="80"/>
    </row>
    <row r="2088" spans="50:50" x14ac:dyDescent="0.25">
      <c r="AX2088" s="80"/>
    </row>
    <row r="2089" spans="50:50" x14ac:dyDescent="0.25">
      <c r="AX2089" s="80"/>
    </row>
    <row r="2090" spans="50:50" x14ac:dyDescent="0.25">
      <c r="AX2090" s="80"/>
    </row>
    <row r="2091" spans="50:50" x14ac:dyDescent="0.25">
      <c r="AX2091" s="80"/>
    </row>
    <row r="2092" spans="50:50" x14ac:dyDescent="0.25">
      <c r="AX2092" s="80"/>
    </row>
    <row r="2093" spans="50:50" x14ac:dyDescent="0.25">
      <c r="AX2093" s="80"/>
    </row>
    <row r="2094" spans="50:50" x14ac:dyDescent="0.25">
      <c r="AX2094" s="80"/>
    </row>
    <row r="2095" spans="50:50" x14ac:dyDescent="0.25">
      <c r="AX2095" s="80"/>
    </row>
    <row r="2096" spans="50:50" x14ac:dyDescent="0.25">
      <c r="AX2096" s="80"/>
    </row>
    <row r="2097" spans="50:50" x14ac:dyDescent="0.25">
      <c r="AX2097" s="80"/>
    </row>
    <row r="2098" spans="50:50" x14ac:dyDescent="0.25">
      <c r="AX2098" s="80"/>
    </row>
    <row r="2099" spans="50:50" x14ac:dyDescent="0.25">
      <c r="AX2099" s="80"/>
    </row>
    <row r="2100" spans="50:50" x14ac:dyDescent="0.25">
      <c r="AX2100" s="80"/>
    </row>
    <row r="2101" spans="50:50" x14ac:dyDescent="0.25">
      <c r="AX2101" s="80"/>
    </row>
    <row r="2102" spans="50:50" x14ac:dyDescent="0.25">
      <c r="AX2102" s="80"/>
    </row>
    <row r="2103" spans="50:50" x14ac:dyDescent="0.25">
      <c r="AX2103" s="80"/>
    </row>
    <row r="2104" spans="50:50" x14ac:dyDescent="0.25">
      <c r="AX2104" s="80"/>
    </row>
    <row r="2105" spans="50:50" x14ac:dyDescent="0.25">
      <c r="AX2105" s="80"/>
    </row>
    <row r="2106" spans="50:50" x14ac:dyDescent="0.25">
      <c r="AX2106" s="80"/>
    </row>
    <row r="2107" spans="50:50" x14ac:dyDescent="0.25">
      <c r="AX2107" s="80"/>
    </row>
    <row r="2108" spans="50:50" x14ac:dyDescent="0.25">
      <c r="AX2108" s="80"/>
    </row>
    <row r="2109" spans="50:50" x14ac:dyDescent="0.25">
      <c r="AX2109" s="80"/>
    </row>
    <row r="2110" spans="50:50" x14ac:dyDescent="0.25">
      <c r="AX2110" s="80"/>
    </row>
    <row r="2111" spans="50:50" x14ac:dyDescent="0.25">
      <c r="AX2111" s="80"/>
    </row>
    <row r="2112" spans="50:50" x14ac:dyDescent="0.25">
      <c r="AX2112" s="80"/>
    </row>
    <row r="2113" spans="48:50" x14ac:dyDescent="0.25">
      <c r="AX2113" s="80"/>
    </row>
    <row r="2114" spans="48:50" x14ac:dyDescent="0.25">
      <c r="AX2114" s="80"/>
    </row>
    <row r="2115" spans="48:50" x14ac:dyDescent="0.25">
      <c r="AX2115" s="80"/>
    </row>
    <row r="2116" spans="48:50" x14ac:dyDescent="0.25">
      <c r="AX2116" s="80"/>
    </row>
    <row r="2117" spans="48:50" x14ac:dyDescent="0.25">
      <c r="AX2117" s="80"/>
    </row>
    <row r="2118" spans="48:50" x14ac:dyDescent="0.25">
      <c r="AX2118" s="80"/>
    </row>
    <row r="2119" spans="48:50" x14ac:dyDescent="0.25">
      <c r="AX2119" s="80"/>
    </row>
    <row r="2120" spans="48:50" x14ac:dyDescent="0.25">
      <c r="AX2120" s="80"/>
    </row>
    <row r="2121" spans="48:50" x14ac:dyDescent="0.25">
      <c r="AX2121" s="80"/>
    </row>
    <row r="2122" spans="48:50" x14ac:dyDescent="0.25">
      <c r="AX2122" s="80"/>
    </row>
    <row r="2123" spans="48:50" x14ac:dyDescent="0.25">
      <c r="AX2123" s="80"/>
    </row>
    <row r="2124" spans="48:50" x14ac:dyDescent="0.25">
      <c r="AV2124" s="90"/>
      <c r="AX2124" s="80"/>
    </row>
    <row r="2125" spans="48:50" x14ac:dyDescent="0.25">
      <c r="AX2125" s="80"/>
    </row>
    <row r="2126" spans="48:50" x14ac:dyDescent="0.25">
      <c r="AX2126" s="80"/>
    </row>
    <row r="2127" spans="48:50" x14ac:dyDescent="0.25">
      <c r="AX2127" s="80"/>
    </row>
    <row r="2128" spans="48:50" x14ac:dyDescent="0.25">
      <c r="AX2128" s="80"/>
    </row>
    <row r="2129" spans="50:50" x14ac:dyDescent="0.25">
      <c r="AX2129" s="80"/>
    </row>
    <row r="2130" spans="50:50" x14ac:dyDescent="0.25">
      <c r="AX2130" s="80"/>
    </row>
    <row r="2131" spans="50:50" x14ac:dyDescent="0.25">
      <c r="AX2131" s="80"/>
    </row>
    <row r="2132" spans="50:50" x14ac:dyDescent="0.25">
      <c r="AX2132" s="80"/>
    </row>
    <row r="2133" spans="50:50" x14ac:dyDescent="0.25">
      <c r="AX2133" s="80"/>
    </row>
    <row r="2134" spans="50:50" x14ac:dyDescent="0.25">
      <c r="AX2134" s="80"/>
    </row>
    <row r="2135" spans="50:50" x14ac:dyDescent="0.25">
      <c r="AX2135" s="80"/>
    </row>
    <row r="2136" spans="50:50" x14ac:dyDescent="0.25">
      <c r="AX2136" s="80"/>
    </row>
    <row r="2137" spans="50:50" x14ac:dyDescent="0.25">
      <c r="AX2137" s="80"/>
    </row>
    <row r="2138" spans="50:50" x14ac:dyDescent="0.25">
      <c r="AX2138" s="80"/>
    </row>
    <row r="2139" spans="50:50" x14ac:dyDescent="0.25">
      <c r="AX2139" s="80"/>
    </row>
    <row r="2140" spans="50:50" x14ac:dyDescent="0.25">
      <c r="AX2140" s="80"/>
    </row>
    <row r="2141" spans="50:50" x14ac:dyDescent="0.25">
      <c r="AX2141" s="80"/>
    </row>
    <row r="2142" spans="50:50" x14ac:dyDescent="0.25">
      <c r="AX2142" s="80"/>
    </row>
    <row r="2143" spans="50:50" x14ac:dyDescent="0.25">
      <c r="AX2143" s="80"/>
    </row>
    <row r="2144" spans="50:50" x14ac:dyDescent="0.25">
      <c r="AX2144" s="80"/>
    </row>
    <row r="2145" spans="50:50" x14ac:dyDescent="0.25">
      <c r="AX2145" s="80"/>
    </row>
    <row r="2146" spans="50:50" x14ac:dyDescent="0.25">
      <c r="AX2146" s="80"/>
    </row>
    <row r="2147" spans="50:50" x14ac:dyDescent="0.25">
      <c r="AX2147" s="80"/>
    </row>
    <row r="2148" spans="50:50" x14ac:dyDescent="0.25">
      <c r="AX2148" s="80"/>
    </row>
    <row r="2149" spans="50:50" x14ac:dyDescent="0.25">
      <c r="AX2149" s="80"/>
    </row>
    <row r="2150" spans="50:50" x14ac:dyDescent="0.25">
      <c r="AX2150" s="80"/>
    </row>
    <row r="2151" spans="50:50" x14ac:dyDescent="0.25">
      <c r="AX2151" s="80"/>
    </row>
    <row r="2152" spans="50:50" x14ac:dyDescent="0.25">
      <c r="AX2152" s="80"/>
    </row>
    <row r="2153" spans="50:50" x14ac:dyDescent="0.25">
      <c r="AX2153" s="80"/>
    </row>
    <row r="2154" spans="50:50" x14ac:dyDescent="0.25">
      <c r="AX2154" s="80"/>
    </row>
    <row r="2155" spans="50:50" x14ac:dyDescent="0.25">
      <c r="AX2155" s="80"/>
    </row>
    <row r="2156" spans="50:50" x14ac:dyDescent="0.25">
      <c r="AX2156" s="80"/>
    </row>
    <row r="2157" spans="50:50" x14ac:dyDescent="0.25">
      <c r="AX2157" s="80"/>
    </row>
    <row r="2158" spans="50:50" x14ac:dyDescent="0.25">
      <c r="AX2158" s="80"/>
    </row>
    <row r="2159" spans="50:50" x14ac:dyDescent="0.25">
      <c r="AX2159" s="80"/>
    </row>
    <row r="2160" spans="50:50" x14ac:dyDescent="0.25">
      <c r="AX2160" s="80"/>
    </row>
    <row r="2161" spans="50:50" x14ac:dyDescent="0.25">
      <c r="AX2161" s="80"/>
    </row>
    <row r="2162" spans="50:50" x14ac:dyDescent="0.25">
      <c r="AX2162" s="80"/>
    </row>
    <row r="2163" spans="50:50" x14ac:dyDescent="0.25">
      <c r="AX2163" s="80"/>
    </row>
    <row r="2164" spans="50:50" x14ac:dyDescent="0.25">
      <c r="AX2164" s="80"/>
    </row>
    <row r="2165" spans="50:50" x14ac:dyDescent="0.25">
      <c r="AX2165" s="80"/>
    </row>
    <row r="2166" spans="50:50" x14ac:dyDescent="0.25">
      <c r="AX2166" s="80"/>
    </row>
    <row r="2167" spans="50:50" x14ac:dyDescent="0.25">
      <c r="AX2167" s="80"/>
    </row>
    <row r="2168" spans="50:50" x14ac:dyDescent="0.25">
      <c r="AX2168" s="80"/>
    </row>
    <row r="2169" spans="50:50" x14ac:dyDescent="0.25">
      <c r="AX2169" s="80"/>
    </row>
    <row r="2170" spans="50:50" x14ac:dyDescent="0.25">
      <c r="AX2170" s="80"/>
    </row>
    <row r="2171" spans="50:50" x14ac:dyDescent="0.25">
      <c r="AX2171" s="80"/>
    </row>
    <row r="2172" spans="50:50" x14ac:dyDescent="0.25">
      <c r="AX2172" s="80"/>
    </row>
    <row r="2173" spans="50:50" x14ac:dyDescent="0.25">
      <c r="AX2173" s="80"/>
    </row>
    <row r="2174" spans="50:50" x14ac:dyDescent="0.25">
      <c r="AX2174" s="80"/>
    </row>
    <row r="2175" spans="50:50" x14ac:dyDescent="0.25">
      <c r="AX2175" s="80"/>
    </row>
    <row r="2176" spans="50:50" x14ac:dyDescent="0.25">
      <c r="AX2176" s="80"/>
    </row>
    <row r="2177" spans="50:50" x14ac:dyDescent="0.25">
      <c r="AX2177" s="80"/>
    </row>
    <row r="2178" spans="50:50" x14ac:dyDescent="0.25">
      <c r="AX2178" s="80"/>
    </row>
    <row r="2179" spans="50:50" x14ac:dyDescent="0.25">
      <c r="AX2179" s="80"/>
    </row>
    <row r="2180" spans="50:50" x14ac:dyDescent="0.25">
      <c r="AX2180" s="80"/>
    </row>
    <row r="2181" spans="50:50" x14ac:dyDescent="0.25">
      <c r="AX2181" s="80"/>
    </row>
    <row r="2182" spans="50:50" x14ac:dyDescent="0.25">
      <c r="AX2182" s="80"/>
    </row>
    <row r="2183" spans="50:50" x14ac:dyDescent="0.25">
      <c r="AX2183" s="80"/>
    </row>
    <row r="2184" spans="50:50" x14ac:dyDescent="0.25">
      <c r="AX2184" s="80"/>
    </row>
    <row r="2185" spans="50:50" x14ac:dyDescent="0.25">
      <c r="AX2185" s="80"/>
    </row>
    <row r="2186" spans="50:50" x14ac:dyDescent="0.25">
      <c r="AX2186" s="80"/>
    </row>
    <row r="2187" spans="50:50" x14ac:dyDescent="0.25">
      <c r="AX2187" s="80"/>
    </row>
    <row r="2188" spans="50:50" x14ac:dyDescent="0.25">
      <c r="AX2188" s="80"/>
    </row>
    <row r="2189" spans="50:50" x14ac:dyDescent="0.25">
      <c r="AX2189" s="80"/>
    </row>
    <row r="2190" spans="50:50" x14ac:dyDescent="0.25">
      <c r="AX2190" s="80"/>
    </row>
    <row r="2191" spans="50:50" x14ac:dyDescent="0.25">
      <c r="AX2191" s="80"/>
    </row>
    <row r="2192" spans="50:50" x14ac:dyDescent="0.25">
      <c r="AX2192" s="80"/>
    </row>
    <row r="2193" spans="48:50" x14ac:dyDescent="0.25">
      <c r="AX2193" s="80"/>
    </row>
    <row r="2194" spans="48:50" x14ac:dyDescent="0.25">
      <c r="AX2194" s="80"/>
    </row>
    <row r="2195" spans="48:50" x14ac:dyDescent="0.25">
      <c r="AX2195" s="80"/>
    </row>
    <row r="2196" spans="48:50" x14ac:dyDescent="0.25">
      <c r="AX2196" s="80"/>
    </row>
    <row r="2197" spans="48:50" x14ac:dyDescent="0.25">
      <c r="AX2197" s="80"/>
    </row>
    <row r="2198" spans="48:50" x14ac:dyDescent="0.25">
      <c r="AX2198" s="80"/>
    </row>
    <row r="2199" spans="48:50" x14ac:dyDescent="0.25">
      <c r="AX2199" s="80"/>
    </row>
    <row r="2200" spans="48:50" x14ac:dyDescent="0.25">
      <c r="AX2200" s="80"/>
    </row>
    <row r="2201" spans="48:50" x14ac:dyDescent="0.25">
      <c r="AX2201" s="80"/>
    </row>
    <row r="2202" spans="48:50" x14ac:dyDescent="0.25">
      <c r="AX2202" s="80"/>
    </row>
    <row r="2203" spans="48:50" x14ac:dyDescent="0.25">
      <c r="AX2203" s="80"/>
    </row>
    <row r="2204" spans="48:50" x14ac:dyDescent="0.25">
      <c r="AX2204" s="80"/>
    </row>
    <row r="2205" spans="48:50" x14ac:dyDescent="0.25">
      <c r="AX2205" s="80"/>
    </row>
    <row r="2206" spans="48:50" x14ac:dyDescent="0.25">
      <c r="AV2206" s="90"/>
      <c r="AX2206" s="80"/>
    </row>
    <row r="2207" spans="48:50" x14ac:dyDescent="0.25">
      <c r="AX2207" s="80"/>
    </row>
    <row r="2208" spans="48:50" x14ac:dyDescent="0.25">
      <c r="AX2208" s="80"/>
    </row>
    <row r="2209" spans="50:50" x14ac:dyDescent="0.25">
      <c r="AX2209" s="80"/>
    </row>
    <row r="2210" spans="50:50" x14ac:dyDescent="0.25">
      <c r="AX2210" s="80"/>
    </row>
    <row r="2211" spans="50:50" x14ac:dyDescent="0.25">
      <c r="AX2211" s="80"/>
    </row>
    <row r="2212" spans="50:50" x14ac:dyDescent="0.25">
      <c r="AX2212" s="80"/>
    </row>
    <row r="2213" spans="50:50" x14ac:dyDescent="0.25">
      <c r="AX2213" s="80"/>
    </row>
    <row r="2214" spans="50:50" x14ac:dyDescent="0.25">
      <c r="AX2214" s="80"/>
    </row>
    <row r="2215" spans="50:50" x14ac:dyDescent="0.25">
      <c r="AX2215" s="80"/>
    </row>
    <row r="2216" spans="50:50" x14ac:dyDescent="0.25">
      <c r="AX2216" s="80"/>
    </row>
    <row r="2217" spans="50:50" x14ac:dyDescent="0.25">
      <c r="AX2217" s="80"/>
    </row>
    <row r="2218" spans="50:50" x14ac:dyDescent="0.25">
      <c r="AX2218" s="80"/>
    </row>
    <row r="2219" spans="50:50" x14ac:dyDescent="0.25">
      <c r="AX2219" s="80"/>
    </row>
    <row r="2220" spans="50:50" x14ac:dyDescent="0.25">
      <c r="AX2220" s="80"/>
    </row>
    <row r="2221" spans="50:50" x14ac:dyDescent="0.25">
      <c r="AX2221" s="80"/>
    </row>
    <row r="2222" spans="50:50" x14ac:dyDescent="0.25">
      <c r="AX2222" s="80"/>
    </row>
    <row r="2223" spans="50:50" x14ac:dyDescent="0.25">
      <c r="AX2223" s="80"/>
    </row>
    <row r="2224" spans="50:50" x14ac:dyDescent="0.25">
      <c r="AX2224" s="80"/>
    </row>
    <row r="2225" spans="50:50" x14ac:dyDescent="0.25">
      <c r="AX2225" s="80"/>
    </row>
    <row r="2226" spans="50:50" x14ac:dyDescent="0.25">
      <c r="AX2226" s="80"/>
    </row>
    <row r="2227" spans="50:50" x14ac:dyDescent="0.25">
      <c r="AX2227" s="80"/>
    </row>
    <row r="2228" spans="50:50" x14ac:dyDescent="0.25">
      <c r="AX2228" s="80"/>
    </row>
    <row r="2229" spans="50:50" x14ac:dyDescent="0.25">
      <c r="AX2229" s="80"/>
    </row>
    <row r="2230" spans="50:50" x14ac:dyDescent="0.25">
      <c r="AX2230" s="80"/>
    </row>
    <row r="2231" spans="50:50" x14ac:dyDescent="0.25">
      <c r="AX2231" s="80"/>
    </row>
    <row r="2232" spans="50:50" x14ac:dyDescent="0.25">
      <c r="AX2232" s="80"/>
    </row>
    <row r="2233" spans="50:50" x14ac:dyDescent="0.25">
      <c r="AX2233" s="80"/>
    </row>
    <row r="2234" spans="50:50" x14ac:dyDescent="0.25">
      <c r="AX2234" s="80"/>
    </row>
    <row r="2235" spans="50:50" x14ac:dyDescent="0.25">
      <c r="AX2235" s="80"/>
    </row>
    <row r="2236" spans="50:50" x14ac:dyDescent="0.25">
      <c r="AX2236" s="80"/>
    </row>
    <row r="2237" spans="50:50" x14ac:dyDescent="0.25">
      <c r="AX2237" s="80"/>
    </row>
    <row r="2238" spans="50:50" x14ac:dyDescent="0.25">
      <c r="AX2238" s="80"/>
    </row>
    <row r="2239" spans="50:50" x14ac:dyDescent="0.25">
      <c r="AX2239" s="80"/>
    </row>
    <row r="2240" spans="50:50" x14ac:dyDescent="0.25">
      <c r="AX2240" s="80"/>
    </row>
    <row r="2241" spans="50:50" x14ac:dyDescent="0.25">
      <c r="AX2241" s="80"/>
    </row>
    <row r="2242" spans="50:50" x14ac:dyDescent="0.25">
      <c r="AX2242" s="80"/>
    </row>
    <row r="2243" spans="50:50" x14ac:dyDescent="0.25">
      <c r="AX2243" s="80"/>
    </row>
    <row r="2244" spans="50:50" x14ac:dyDescent="0.25">
      <c r="AX2244" s="80"/>
    </row>
    <row r="2245" spans="50:50" x14ac:dyDescent="0.25">
      <c r="AX2245" s="80"/>
    </row>
    <row r="2246" spans="50:50" x14ac:dyDescent="0.25">
      <c r="AX2246" s="80"/>
    </row>
    <row r="2247" spans="50:50" x14ac:dyDescent="0.25">
      <c r="AX2247" s="80"/>
    </row>
    <row r="2248" spans="50:50" x14ac:dyDescent="0.25">
      <c r="AX2248" s="80"/>
    </row>
    <row r="2249" spans="50:50" x14ac:dyDescent="0.25">
      <c r="AX2249" s="80"/>
    </row>
    <row r="2250" spans="50:50" x14ac:dyDescent="0.25">
      <c r="AX2250" s="80"/>
    </row>
    <row r="2251" spans="50:50" x14ac:dyDescent="0.25">
      <c r="AX2251" s="80"/>
    </row>
    <row r="2252" spans="50:50" x14ac:dyDescent="0.25">
      <c r="AX2252" s="80"/>
    </row>
    <row r="2253" spans="50:50" x14ac:dyDescent="0.25">
      <c r="AX2253" s="80"/>
    </row>
    <row r="2254" spans="50:50" x14ac:dyDescent="0.25">
      <c r="AX2254" s="80"/>
    </row>
    <row r="2255" spans="50:50" x14ac:dyDescent="0.25">
      <c r="AX2255" s="80"/>
    </row>
    <row r="2256" spans="50:50" x14ac:dyDescent="0.25">
      <c r="AX2256" s="80"/>
    </row>
    <row r="2257" spans="50:50" x14ac:dyDescent="0.25">
      <c r="AX2257" s="80"/>
    </row>
    <row r="2258" spans="50:50" x14ac:dyDescent="0.25">
      <c r="AX2258" s="80"/>
    </row>
    <row r="2259" spans="50:50" x14ac:dyDescent="0.25">
      <c r="AX2259" s="80"/>
    </row>
    <row r="2260" spans="50:50" x14ac:dyDescent="0.25">
      <c r="AX2260" s="80"/>
    </row>
    <row r="2261" spans="50:50" x14ac:dyDescent="0.25">
      <c r="AX2261" s="80"/>
    </row>
    <row r="2262" spans="50:50" x14ac:dyDescent="0.25">
      <c r="AX2262" s="80"/>
    </row>
    <row r="2263" spans="50:50" x14ac:dyDescent="0.25">
      <c r="AX2263" s="80"/>
    </row>
    <row r="2264" spans="50:50" x14ac:dyDescent="0.25">
      <c r="AX2264" s="80"/>
    </row>
    <row r="2265" spans="50:50" x14ac:dyDescent="0.25">
      <c r="AX2265" s="80"/>
    </row>
    <row r="2266" spans="50:50" x14ac:dyDescent="0.25">
      <c r="AX2266" s="80"/>
    </row>
    <row r="2267" spans="50:50" x14ac:dyDescent="0.25">
      <c r="AX2267" s="80"/>
    </row>
    <row r="2268" spans="50:50" x14ac:dyDescent="0.25">
      <c r="AX2268" s="80"/>
    </row>
    <row r="2269" spans="50:50" x14ac:dyDescent="0.25">
      <c r="AX2269" s="80"/>
    </row>
    <row r="2270" spans="50:50" x14ac:dyDescent="0.25">
      <c r="AX2270" s="80"/>
    </row>
    <row r="2271" spans="50:50" x14ac:dyDescent="0.25">
      <c r="AX2271" s="80"/>
    </row>
    <row r="2272" spans="50:50" x14ac:dyDescent="0.25">
      <c r="AX2272" s="80"/>
    </row>
    <row r="2273" spans="50:50" x14ac:dyDescent="0.25">
      <c r="AX2273" s="80"/>
    </row>
    <row r="2274" spans="50:50" x14ac:dyDescent="0.25">
      <c r="AX2274" s="80"/>
    </row>
    <row r="2275" spans="50:50" x14ac:dyDescent="0.25">
      <c r="AX2275" s="80"/>
    </row>
    <row r="2276" spans="50:50" x14ac:dyDescent="0.25">
      <c r="AX2276" s="80"/>
    </row>
    <row r="2277" spans="50:50" x14ac:dyDescent="0.25">
      <c r="AX2277" s="80"/>
    </row>
    <row r="2278" spans="50:50" x14ac:dyDescent="0.25">
      <c r="AX2278" s="80"/>
    </row>
    <row r="2279" spans="50:50" x14ac:dyDescent="0.25">
      <c r="AX2279" s="80"/>
    </row>
    <row r="2280" spans="50:50" x14ac:dyDescent="0.25">
      <c r="AX2280" s="80"/>
    </row>
    <row r="2281" spans="50:50" x14ac:dyDescent="0.25">
      <c r="AX2281" s="80"/>
    </row>
    <row r="2282" spans="50:50" x14ac:dyDescent="0.25">
      <c r="AX2282" s="80"/>
    </row>
    <row r="2283" spans="50:50" x14ac:dyDescent="0.25">
      <c r="AX2283" s="80"/>
    </row>
    <row r="2284" spans="50:50" x14ac:dyDescent="0.25">
      <c r="AX2284" s="80"/>
    </row>
    <row r="2285" spans="50:50" x14ac:dyDescent="0.25">
      <c r="AX2285" s="80"/>
    </row>
    <row r="2286" spans="50:50" x14ac:dyDescent="0.25">
      <c r="AX2286" s="80"/>
    </row>
    <row r="2287" spans="50:50" x14ac:dyDescent="0.25">
      <c r="AX2287" s="80"/>
    </row>
    <row r="2288" spans="50:50" x14ac:dyDescent="0.25">
      <c r="AX2288" s="80"/>
    </row>
    <row r="2289" spans="48:50" x14ac:dyDescent="0.25">
      <c r="AX2289" s="80"/>
    </row>
    <row r="2290" spans="48:50" x14ac:dyDescent="0.25">
      <c r="AX2290" s="80"/>
    </row>
    <row r="2291" spans="48:50" x14ac:dyDescent="0.25">
      <c r="AX2291" s="80"/>
    </row>
    <row r="2292" spans="48:50" x14ac:dyDescent="0.25">
      <c r="AX2292" s="80"/>
    </row>
    <row r="2293" spans="48:50" x14ac:dyDescent="0.25">
      <c r="AX2293" s="80"/>
    </row>
    <row r="2294" spans="48:50" x14ac:dyDescent="0.25">
      <c r="AX2294" s="80"/>
    </row>
    <row r="2295" spans="48:50" x14ac:dyDescent="0.25">
      <c r="AX2295" s="80"/>
    </row>
    <row r="2296" spans="48:50" x14ac:dyDescent="0.25">
      <c r="AX2296" s="80"/>
    </row>
    <row r="2297" spans="48:50" x14ac:dyDescent="0.25">
      <c r="AV2297" s="90"/>
      <c r="AX2297" s="80"/>
    </row>
    <row r="2298" spans="48:50" x14ac:dyDescent="0.25">
      <c r="AX2298" s="80"/>
    </row>
    <row r="2299" spans="48:50" x14ac:dyDescent="0.25">
      <c r="AX2299" s="80"/>
    </row>
    <row r="2300" spans="48:50" x14ac:dyDescent="0.25">
      <c r="AX2300" s="80"/>
    </row>
    <row r="2301" spans="48:50" x14ac:dyDescent="0.25">
      <c r="AX2301" s="80"/>
    </row>
    <row r="2302" spans="48:50" x14ac:dyDescent="0.25">
      <c r="AX2302" s="80"/>
    </row>
    <row r="2303" spans="48:50" x14ac:dyDescent="0.25">
      <c r="AX2303" s="80"/>
    </row>
    <row r="2304" spans="48:50" x14ac:dyDescent="0.25">
      <c r="AX2304" s="80"/>
    </row>
    <row r="2305" spans="50:50" x14ac:dyDescent="0.25">
      <c r="AX2305" s="80"/>
    </row>
    <row r="2306" spans="50:50" x14ac:dyDescent="0.25">
      <c r="AX2306" s="80"/>
    </row>
    <row r="2307" spans="50:50" x14ac:dyDescent="0.25">
      <c r="AX2307" s="80"/>
    </row>
    <row r="2308" spans="50:50" x14ac:dyDescent="0.25">
      <c r="AX2308" s="80"/>
    </row>
    <row r="2309" spans="50:50" x14ac:dyDescent="0.25">
      <c r="AX2309" s="80"/>
    </row>
    <row r="2310" spans="50:50" x14ac:dyDescent="0.25">
      <c r="AX2310" s="80"/>
    </row>
    <row r="2311" spans="50:50" x14ac:dyDescent="0.25">
      <c r="AX2311" s="80"/>
    </row>
    <row r="2312" spans="50:50" x14ac:dyDescent="0.25">
      <c r="AX2312" s="80"/>
    </row>
    <row r="2313" spans="50:50" x14ac:dyDescent="0.25">
      <c r="AX2313" s="80"/>
    </row>
    <row r="2314" spans="50:50" x14ac:dyDescent="0.25">
      <c r="AX2314" s="80"/>
    </row>
    <row r="2315" spans="50:50" x14ac:dyDescent="0.25">
      <c r="AX2315" s="80"/>
    </row>
    <row r="2316" spans="50:50" x14ac:dyDescent="0.25">
      <c r="AX2316" s="80"/>
    </row>
    <row r="2317" spans="50:50" x14ac:dyDescent="0.25">
      <c r="AX2317" s="80"/>
    </row>
    <row r="2318" spans="50:50" x14ac:dyDescent="0.25">
      <c r="AX2318" s="80"/>
    </row>
    <row r="2319" spans="50:50" x14ac:dyDescent="0.25">
      <c r="AX2319" s="80"/>
    </row>
    <row r="2320" spans="50:50" x14ac:dyDescent="0.25">
      <c r="AX2320" s="80"/>
    </row>
    <row r="2321" spans="50:50" x14ac:dyDescent="0.25">
      <c r="AX2321" s="80"/>
    </row>
    <row r="2322" spans="50:50" x14ac:dyDescent="0.25">
      <c r="AX2322" s="80"/>
    </row>
    <row r="2323" spans="50:50" x14ac:dyDescent="0.25">
      <c r="AX2323" s="80"/>
    </row>
    <row r="2324" spans="50:50" x14ac:dyDescent="0.25">
      <c r="AX2324" s="80"/>
    </row>
    <row r="2325" spans="50:50" x14ac:dyDescent="0.25">
      <c r="AX2325" s="80"/>
    </row>
    <row r="2326" spans="50:50" x14ac:dyDescent="0.25">
      <c r="AX2326" s="80"/>
    </row>
    <row r="2327" spans="50:50" x14ac:dyDescent="0.25">
      <c r="AX2327" s="80"/>
    </row>
    <row r="2328" spans="50:50" x14ac:dyDescent="0.25">
      <c r="AX2328" s="80"/>
    </row>
    <row r="2329" spans="50:50" x14ac:dyDescent="0.25">
      <c r="AX2329" s="80"/>
    </row>
    <row r="2330" spans="50:50" x14ac:dyDescent="0.25">
      <c r="AX2330" s="80"/>
    </row>
    <row r="2331" spans="50:50" x14ac:dyDescent="0.25">
      <c r="AX2331" s="80"/>
    </row>
    <row r="2332" spans="50:50" x14ac:dyDescent="0.25">
      <c r="AX2332" s="80"/>
    </row>
    <row r="2333" spans="50:50" x14ac:dyDescent="0.25">
      <c r="AX2333" s="80"/>
    </row>
    <row r="2334" spans="50:50" x14ac:dyDescent="0.25">
      <c r="AX2334" s="80"/>
    </row>
    <row r="2335" spans="50:50" x14ac:dyDescent="0.25">
      <c r="AX2335" s="80"/>
    </row>
    <row r="2336" spans="50:50" x14ac:dyDescent="0.25">
      <c r="AX2336" s="80"/>
    </row>
    <row r="2337" spans="50:50" x14ac:dyDescent="0.25">
      <c r="AX2337" s="80"/>
    </row>
    <row r="2338" spans="50:50" x14ac:dyDescent="0.25">
      <c r="AX2338" s="80"/>
    </row>
    <row r="2339" spans="50:50" x14ac:dyDescent="0.25">
      <c r="AX2339" s="80"/>
    </row>
    <row r="2340" spans="50:50" x14ac:dyDescent="0.25">
      <c r="AX2340" s="80"/>
    </row>
    <row r="2341" spans="50:50" x14ac:dyDescent="0.25">
      <c r="AX2341" s="80"/>
    </row>
    <row r="2342" spans="50:50" x14ac:dyDescent="0.25">
      <c r="AX2342" s="80"/>
    </row>
    <row r="2343" spans="50:50" x14ac:dyDescent="0.25">
      <c r="AX2343" s="80"/>
    </row>
    <row r="2344" spans="50:50" x14ac:dyDescent="0.25">
      <c r="AX2344" s="80"/>
    </row>
    <row r="2345" spans="50:50" x14ac:dyDescent="0.25">
      <c r="AX2345" s="80"/>
    </row>
    <row r="2346" spans="50:50" x14ac:dyDescent="0.25">
      <c r="AX2346" s="80"/>
    </row>
    <row r="2347" spans="50:50" x14ac:dyDescent="0.25">
      <c r="AX2347" s="80"/>
    </row>
    <row r="2348" spans="50:50" x14ac:dyDescent="0.25">
      <c r="AX2348" s="80"/>
    </row>
    <row r="2349" spans="50:50" x14ac:dyDescent="0.25">
      <c r="AX2349" s="80"/>
    </row>
    <row r="2350" spans="50:50" x14ac:dyDescent="0.25">
      <c r="AX2350" s="80"/>
    </row>
    <row r="2351" spans="50:50" x14ac:dyDescent="0.25">
      <c r="AX2351" s="80"/>
    </row>
    <row r="2352" spans="50:50" x14ac:dyDescent="0.25">
      <c r="AX2352" s="80"/>
    </row>
    <row r="2353" spans="48:50" x14ac:dyDescent="0.25">
      <c r="AX2353" s="80"/>
    </row>
    <row r="2354" spans="48:50" x14ac:dyDescent="0.25">
      <c r="AX2354" s="80"/>
    </row>
    <row r="2355" spans="48:50" x14ac:dyDescent="0.25">
      <c r="AX2355" s="80"/>
    </row>
    <row r="2356" spans="48:50" x14ac:dyDescent="0.25">
      <c r="AX2356" s="80"/>
    </row>
    <row r="2357" spans="48:50" x14ac:dyDescent="0.25">
      <c r="AX2357" s="80"/>
    </row>
    <row r="2358" spans="48:50" x14ac:dyDescent="0.25">
      <c r="AV2358" s="90"/>
      <c r="AX2358" s="80"/>
    </row>
    <row r="2359" spans="48:50" x14ac:dyDescent="0.25">
      <c r="AX2359" s="80"/>
    </row>
    <row r="2360" spans="48:50" x14ac:dyDescent="0.25">
      <c r="AX2360" s="80"/>
    </row>
    <row r="2361" spans="48:50" x14ac:dyDescent="0.25">
      <c r="AX2361" s="80"/>
    </row>
    <row r="2362" spans="48:50" x14ac:dyDescent="0.25">
      <c r="AX2362" s="80"/>
    </row>
    <row r="2363" spans="48:50" x14ac:dyDescent="0.25">
      <c r="AX2363" s="80"/>
    </row>
    <row r="2364" spans="48:50" x14ac:dyDescent="0.25">
      <c r="AX2364" s="80"/>
    </row>
    <row r="2365" spans="48:50" x14ac:dyDescent="0.25">
      <c r="AX2365" s="80"/>
    </row>
    <row r="2366" spans="48:50" x14ac:dyDescent="0.25">
      <c r="AX2366" s="80"/>
    </row>
    <row r="2367" spans="48:50" x14ac:dyDescent="0.25">
      <c r="AX2367" s="80"/>
    </row>
    <row r="2368" spans="48:50" x14ac:dyDescent="0.25">
      <c r="AX2368" s="80"/>
    </row>
    <row r="2369" spans="48:50" x14ac:dyDescent="0.25">
      <c r="AX2369" s="80"/>
    </row>
    <row r="2370" spans="48:50" x14ac:dyDescent="0.25">
      <c r="AX2370" s="80"/>
    </row>
    <row r="2371" spans="48:50" x14ac:dyDescent="0.25">
      <c r="AX2371" s="80"/>
    </row>
    <row r="2372" spans="48:50" x14ac:dyDescent="0.25">
      <c r="AX2372" s="80"/>
    </row>
    <row r="2373" spans="48:50" x14ac:dyDescent="0.25">
      <c r="AX2373" s="80"/>
    </row>
    <row r="2374" spans="48:50" x14ac:dyDescent="0.25">
      <c r="AX2374" s="80"/>
    </row>
    <row r="2375" spans="48:50" x14ac:dyDescent="0.25">
      <c r="AX2375" s="80"/>
    </row>
    <row r="2376" spans="48:50" x14ac:dyDescent="0.25">
      <c r="AX2376" s="80"/>
    </row>
    <row r="2377" spans="48:50" x14ac:dyDescent="0.25">
      <c r="AV2377" s="90"/>
      <c r="AX2377" s="80"/>
    </row>
    <row r="2378" spans="48:50" x14ac:dyDescent="0.25">
      <c r="AX2378" s="80"/>
    </row>
    <row r="2379" spans="48:50" x14ac:dyDescent="0.25">
      <c r="AX2379" s="80"/>
    </row>
    <row r="2380" spans="48:50" x14ac:dyDescent="0.25">
      <c r="AX2380" s="80"/>
    </row>
    <row r="2381" spans="48:50" x14ac:dyDescent="0.25">
      <c r="AX2381" s="80"/>
    </row>
    <row r="2382" spans="48:50" x14ac:dyDescent="0.25">
      <c r="AX2382" s="80"/>
    </row>
    <row r="2383" spans="48:50" x14ac:dyDescent="0.25">
      <c r="AX2383" s="80"/>
    </row>
    <row r="2384" spans="48:50" x14ac:dyDescent="0.25">
      <c r="AX2384" s="80"/>
    </row>
    <row r="2385" spans="50:50" x14ac:dyDescent="0.25">
      <c r="AX2385" s="80"/>
    </row>
    <row r="2386" spans="50:50" x14ac:dyDescent="0.25">
      <c r="AX2386" s="80"/>
    </row>
    <row r="2387" spans="50:50" x14ac:dyDescent="0.25">
      <c r="AX2387" s="80"/>
    </row>
    <row r="2388" spans="50:50" x14ac:dyDescent="0.25">
      <c r="AX2388" s="80"/>
    </row>
    <row r="2389" spans="50:50" x14ac:dyDescent="0.25">
      <c r="AX2389" s="80"/>
    </row>
    <row r="2390" spans="50:50" x14ac:dyDescent="0.25">
      <c r="AX2390" s="80"/>
    </row>
    <row r="2391" spans="50:50" x14ac:dyDescent="0.25">
      <c r="AX2391" s="80"/>
    </row>
    <row r="2392" spans="50:50" x14ac:dyDescent="0.25">
      <c r="AX2392" s="80"/>
    </row>
    <row r="2393" spans="50:50" x14ac:dyDescent="0.25">
      <c r="AX2393" s="80"/>
    </row>
    <row r="2394" spans="50:50" x14ac:dyDescent="0.25">
      <c r="AX2394" s="80"/>
    </row>
    <row r="2395" spans="50:50" x14ac:dyDescent="0.25">
      <c r="AX2395" s="80"/>
    </row>
    <row r="2396" spans="50:50" x14ac:dyDescent="0.25">
      <c r="AX2396" s="80"/>
    </row>
    <row r="2397" spans="50:50" x14ac:dyDescent="0.25">
      <c r="AX2397" s="80"/>
    </row>
    <row r="2398" spans="50:50" x14ac:dyDescent="0.25">
      <c r="AX2398" s="80"/>
    </row>
    <row r="2399" spans="50:50" x14ac:dyDescent="0.25">
      <c r="AX2399" s="80"/>
    </row>
    <row r="2400" spans="50:50" x14ac:dyDescent="0.25">
      <c r="AX2400" s="80"/>
    </row>
    <row r="2401" spans="50:50" x14ac:dyDescent="0.25">
      <c r="AX2401" s="80"/>
    </row>
    <row r="2402" spans="50:50" x14ac:dyDescent="0.25">
      <c r="AX2402" s="80"/>
    </row>
    <row r="2403" spans="50:50" x14ac:dyDescent="0.25">
      <c r="AX2403" s="80"/>
    </row>
    <row r="2404" spans="50:50" x14ac:dyDescent="0.25">
      <c r="AX2404" s="80"/>
    </row>
    <row r="2405" spans="50:50" x14ac:dyDescent="0.25">
      <c r="AX2405" s="80"/>
    </row>
    <row r="2406" spans="50:50" x14ac:dyDescent="0.25">
      <c r="AX2406" s="80"/>
    </row>
    <row r="2407" spans="50:50" x14ac:dyDescent="0.25">
      <c r="AX2407" s="80"/>
    </row>
    <row r="2408" spans="50:50" x14ac:dyDescent="0.25">
      <c r="AX2408" s="80"/>
    </row>
    <row r="2409" spans="50:50" x14ac:dyDescent="0.25">
      <c r="AX2409" s="80"/>
    </row>
    <row r="2410" spans="50:50" x14ac:dyDescent="0.25">
      <c r="AX2410" s="80"/>
    </row>
    <row r="2411" spans="50:50" x14ac:dyDescent="0.25">
      <c r="AX2411" s="80"/>
    </row>
    <row r="2412" spans="50:50" x14ac:dyDescent="0.25">
      <c r="AX2412" s="80"/>
    </row>
    <row r="2413" spans="50:50" x14ac:dyDescent="0.25">
      <c r="AX2413" s="80"/>
    </row>
    <row r="2414" spans="50:50" x14ac:dyDescent="0.25">
      <c r="AX2414" s="80"/>
    </row>
    <row r="2415" spans="50:50" x14ac:dyDescent="0.25">
      <c r="AX2415" s="80"/>
    </row>
    <row r="2416" spans="50:50" x14ac:dyDescent="0.25">
      <c r="AX2416" s="80"/>
    </row>
    <row r="2417" spans="50:50" x14ac:dyDescent="0.25">
      <c r="AX2417" s="80"/>
    </row>
    <row r="2418" spans="50:50" x14ac:dyDescent="0.25">
      <c r="AX2418" s="80"/>
    </row>
    <row r="2419" spans="50:50" x14ac:dyDescent="0.25">
      <c r="AX2419" s="80"/>
    </row>
    <row r="2420" spans="50:50" x14ac:dyDescent="0.25">
      <c r="AX2420" s="80"/>
    </row>
    <row r="2421" spans="50:50" x14ac:dyDescent="0.25">
      <c r="AX2421" s="80"/>
    </row>
    <row r="2422" spans="50:50" x14ac:dyDescent="0.25">
      <c r="AX2422" s="80"/>
    </row>
    <row r="2423" spans="50:50" x14ac:dyDescent="0.25">
      <c r="AX2423" s="80"/>
    </row>
    <row r="2424" spans="50:50" x14ac:dyDescent="0.25">
      <c r="AX2424" s="80"/>
    </row>
    <row r="2425" spans="50:50" x14ac:dyDescent="0.25">
      <c r="AX2425" s="80"/>
    </row>
    <row r="2426" spans="50:50" x14ac:dyDescent="0.25">
      <c r="AX2426" s="80"/>
    </row>
    <row r="2427" spans="50:50" x14ac:dyDescent="0.25">
      <c r="AX2427" s="80"/>
    </row>
    <row r="2428" spans="50:50" x14ac:dyDescent="0.25">
      <c r="AX2428" s="80"/>
    </row>
    <row r="2429" spans="50:50" x14ac:dyDescent="0.25">
      <c r="AX2429" s="80"/>
    </row>
    <row r="2430" spans="50:50" x14ac:dyDescent="0.25">
      <c r="AX2430" s="80"/>
    </row>
    <row r="2431" spans="50:50" x14ac:dyDescent="0.25">
      <c r="AX2431" s="80"/>
    </row>
    <row r="2432" spans="50:50" x14ac:dyDescent="0.25">
      <c r="AX2432" s="80"/>
    </row>
    <row r="2433" spans="50:50" x14ac:dyDescent="0.25">
      <c r="AX2433" s="80"/>
    </row>
    <row r="2434" spans="50:50" x14ac:dyDescent="0.25">
      <c r="AX2434" s="80"/>
    </row>
    <row r="2435" spans="50:50" x14ac:dyDescent="0.25">
      <c r="AX2435" s="80"/>
    </row>
    <row r="2436" spans="50:50" x14ac:dyDescent="0.25">
      <c r="AX2436" s="80"/>
    </row>
    <row r="2437" spans="50:50" x14ac:dyDescent="0.25">
      <c r="AX2437" s="80"/>
    </row>
    <row r="2438" spans="50:50" x14ac:dyDescent="0.25">
      <c r="AX2438" s="80"/>
    </row>
    <row r="2439" spans="50:50" x14ac:dyDescent="0.25">
      <c r="AX2439" s="80"/>
    </row>
    <row r="2440" spans="50:50" x14ac:dyDescent="0.25">
      <c r="AX2440" s="80"/>
    </row>
    <row r="2441" spans="50:50" x14ac:dyDescent="0.25">
      <c r="AX2441" s="80"/>
    </row>
    <row r="2442" spans="50:50" x14ac:dyDescent="0.25">
      <c r="AX2442" s="80"/>
    </row>
    <row r="2443" spans="50:50" x14ac:dyDescent="0.25">
      <c r="AX2443" s="80"/>
    </row>
    <row r="2444" spans="50:50" x14ac:dyDescent="0.25">
      <c r="AX2444" s="80"/>
    </row>
    <row r="2445" spans="50:50" x14ac:dyDescent="0.25">
      <c r="AX2445" s="80"/>
    </row>
    <row r="2446" spans="50:50" x14ac:dyDescent="0.25">
      <c r="AX2446" s="80"/>
    </row>
    <row r="2447" spans="50:50" x14ac:dyDescent="0.25">
      <c r="AX2447" s="80"/>
    </row>
    <row r="2448" spans="50:50" x14ac:dyDescent="0.25">
      <c r="AX2448" s="80"/>
    </row>
    <row r="2449" spans="50:50" x14ac:dyDescent="0.25">
      <c r="AX2449" s="80"/>
    </row>
    <row r="2450" spans="50:50" x14ac:dyDescent="0.25">
      <c r="AX2450" s="80"/>
    </row>
    <row r="2451" spans="50:50" x14ac:dyDescent="0.25">
      <c r="AX2451" s="80"/>
    </row>
    <row r="2452" spans="50:50" x14ac:dyDescent="0.25">
      <c r="AX2452" s="80"/>
    </row>
    <row r="2453" spans="50:50" x14ac:dyDescent="0.25">
      <c r="AX2453" s="80"/>
    </row>
    <row r="2454" spans="50:50" x14ac:dyDescent="0.25">
      <c r="AX2454" s="80"/>
    </row>
    <row r="2455" spans="50:50" x14ac:dyDescent="0.25">
      <c r="AX2455" s="80"/>
    </row>
    <row r="2456" spans="50:50" x14ac:dyDescent="0.25">
      <c r="AX2456" s="80"/>
    </row>
    <row r="2457" spans="50:50" x14ac:dyDescent="0.25">
      <c r="AX2457" s="80"/>
    </row>
    <row r="2458" spans="50:50" x14ac:dyDescent="0.25">
      <c r="AX2458" s="80"/>
    </row>
    <row r="2459" spans="50:50" x14ac:dyDescent="0.25">
      <c r="AX2459" s="80"/>
    </row>
    <row r="2460" spans="50:50" x14ac:dyDescent="0.25">
      <c r="AX2460" s="80"/>
    </row>
    <row r="2461" spans="50:50" x14ac:dyDescent="0.25">
      <c r="AX2461" s="80"/>
    </row>
    <row r="2462" spans="50:50" x14ac:dyDescent="0.25">
      <c r="AX2462" s="80"/>
    </row>
    <row r="2463" spans="50:50" x14ac:dyDescent="0.25">
      <c r="AX2463" s="80"/>
    </row>
    <row r="2464" spans="50:50" x14ac:dyDescent="0.25">
      <c r="AX2464" s="80"/>
    </row>
    <row r="2465" spans="48:50" x14ac:dyDescent="0.25">
      <c r="AX2465" s="80"/>
    </row>
    <row r="2466" spans="48:50" x14ac:dyDescent="0.25">
      <c r="AX2466" s="80"/>
    </row>
    <row r="2467" spans="48:50" x14ac:dyDescent="0.25">
      <c r="AX2467" s="80"/>
    </row>
    <row r="2468" spans="48:50" x14ac:dyDescent="0.25">
      <c r="AV2468" s="90"/>
      <c r="AX2468" s="80"/>
    </row>
    <row r="2469" spans="48:50" x14ac:dyDescent="0.25">
      <c r="AX2469" s="80"/>
    </row>
    <row r="2470" spans="48:50" x14ac:dyDescent="0.25">
      <c r="AX2470" s="80"/>
    </row>
    <row r="2471" spans="48:50" x14ac:dyDescent="0.25">
      <c r="AX2471" s="80"/>
    </row>
    <row r="2472" spans="48:50" x14ac:dyDescent="0.25">
      <c r="AX2472" s="80"/>
    </row>
    <row r="2473" spans="48:50" x14ac:dyDescent="0.25">
      <c r="AX2473" s="80"/>
    </row>
    <row r="2474" spans="48:50" x14ac:dyDescent="0.25">
      <c r="AX2474" s="80"/>
    </row>
    <row r="2475" spans="48:50" x14ac:dyDescent="0.25">
      <c r="AX2475" s="80"/>
    </row>
    <row r="2476" spans="48:50" x14ac:dyDescent="0.25">
      <c r="AX2476" s="80"/>
    </row>
    <row r="2477" spans="48:50" x14ac:dyDescent="0.25">
      <c r="AX2477" s="80"/>
    </row>
    <row r="2478" spans="48:50" x14ac:dyDescent="0.25">
      <c r="AX2478" s="80"/>
    </row>
    <row r="2479" spans="48:50" x14ac:dyDescent="0.25">
      <c r="AX2479" s="80"/>
    </row>
    <row r="2480" spans="48:50" x14ac:dyDescent="0.25">
      <c r="AX2480" s="80"/>
    </row>
    <row r="2481" spans="50:50" x14ac:dyDescent="0.25">
      <c r="AX2481" s="80"/>
    </row>
    <row r="2482" spans="50:50" x14ac:dyDescent="0.25">
      <c r="AX2482" s="80"/>
    </row>
    <row r="2483" spans="50:50" x14ac:dyDescent="0.25">
      <c r="AX2483" s="80"/>
    </row>
    <row r="2484" spans="50:50" x14ac:dyDescent="0.25">
      <c r="AX2484" s="80"/>
    </row>
    <row r="2485" spans="50:50" x14ac:dyDescent="0.25">
      <c r="AX2485" s="80"/>
    </row>
    <row r="2486" spans="50:50" x14ac:dyDescent="0.25">
      <c r="AX2486" s="80"/>
    </row>
    <row r="2487" spans="50:50" x14ac:dyDescent="0.25">
      <c r="AX2487" s="80"/>
    </row>
    <row r="2488" spans="50:50" x14ac:dyDescent="0.25">
      <c r="AX2488" s="80"/>
    </row>
    <row r="2489" spans="50:50" x14ac:dyDescent="0.25">
      <c r="AX2489" s="80"/>
    </row>
    <row r="2490" spans="50:50" x14ac:dyDescent="0.25">
      <c r="AX2490" s="80"/>
    </row>
    <row r="2491" spans="50:50" x14ac:dyDescent="0.25">
      <c r="AX2491" s="80"/>
    </row>
    <row r="2492" spans="50:50" x14ac:dyDescent="0.25">
      <c r="AX2492" s="80"/>
    </row>
    <row r="2493" spans="50:50" x14ac:dyDescent="0.25">
      <c r="AX2493" s="80"/>
    </row>
    <row r="2494" spans="50:50" x14ac:dyDescent="0.25">
      <c r="AX2494" s="80"/>
    </row>
    <row r="2495" spans="50:50" x14ac:dyDescent="0.25">
      <c r="AX2495" s="80"/>
    </row>
    <row r="2496" spans="50:50" x14ac:dyDescent="0.25">
      <c r="AX2496" s="80"/>
    </row>
    <row r="2497" spans="50:50" x14ac:dyDescent="0.25">
      <c r="AX2497" s="80"/>
    </row>
    <row r="2498" spans="50:50" x14ac:dyDescent="0.25">
      <c r="AX2498" s="80"/>
    </row>
    <row r="2499" spans="50:50" x14ac:dyDescent="0.25">
      <c r="AX2499" s="80"/>
    </row>
    <row r="2500" spans="50:50" x14ac:dyDescent="0.25">
      <c r="AX2500" s="80"/>
    </row>
    <row r="2501" spans="50:50" x14ac:dyDescent="0.25">
      <c r="AX2501" s="80"/>
    </row>
    <row r="2502" spans="50:50" x14ac:dyDescent="0.25">
      <c r="AX2502" s="80"/>
    </row>
    <row r="2503" spans="50:50" x14ac:dyDescent="0.25">
      <c r="AX2503" s="80"/>
    </row>
    <row r="2504" spans="50:50" x14ac:dyDescent="0.25">
      <c r="AX2504" s="80"/>
    </row>
    <row r="2505" spans="50:50" x14ac:dyDescent="0.25">
      <c r="AX2505" s="80"/>
    </row>
    <row r="2506" spans="50:50" x14ac:dyDescent="0.25">
      <c r="AX2506" s="80"/>
    </row>
    <row r="2507" spans="50:50" x14ac:dyDescent="0.25">
      <c r="AX2507" s="80"/>
    </row>
    <row r="2508" spans="50:50" x14ac:dyDescent="0.25">
      <c r="AX2508" s="80"/>
    </row>
    <row r="2509" spans="50:50" x14ac:dyDescent="0.25">
      <c r="AX2509" s="80"/>
    </row>
    <row r="2510" spans="50:50" x14ac:dyDescent="0.25">
      <c r="AX2510" s="80"/>
    </row>
    <row r="2511" spans="50:50" x14ac:dyDescent="0.25">
      <c r="AX2511" s="80"/>
    </row>
    <row r="2512" spans="50:50" x14ac:dyDescent="0.25">
      <c r="AX2512" s="80"/>
    </row>
    <row r="2513" spans="50:50" x14ac:dyDescent="0.25">
      <c r="AX2513" s="80"/>
    </row>
    <row r="2514" spans="50:50" x14ac:dyDescent="0.25">
      <c r="AX2514" s="80"/>
    </row>
    <row r="2515" spans="50:50" x14ac:dyDescent="0.25">
      <c r="AX2515" s="80"/>
    </row>
    <row r="2516" spans="50:50" x14ac:dyDescent="0.25">
      <c r="AX2516" s="80"/>
    </row>
    <row r="2517" spans="50:50" x14ac:dyDescent="0.25">
      <c r="AX2517" s="80"/>
    </row>
    <row r="2518" spans="50:50" x14ac:dyDescent="0.25">
      <c r="AX2518" s="80"/>
    </row>
    <row r="2519" spans="50:50" x14ac:dyDescent="0.25">
      <c r="AX2519" s="80"/>
    </row>
    <row r="2520" spans="50:50" x14ac:dyDescent="0.25">
      <c r="AX2520" s="80"/>
    </row>
    <row r="2521" spans="50:50" x14ac:dyDescent="0.25">
      <c r="AX2521" s="80"/>
    </row>
    <row r="2522" spans="50:50" x14ac:dyDescent="0.25">
      <c r="AX2522" s="80"/>
    </row>
    <row r="2523" spans="50:50" x14ac:dyDescent="0.25">
      <c r="AX2523" s="80"/>
    </row>
    <row r="2524" spans="50:50" x14ac:dyDescent="0.25">
      <c r="AX2524" s="80"/>
    </row>
    <row r="2525" spans="50:50" x14ac:dyDescent="0.25">
      <c r="AX2525" s="80"/>
    </row>
    <row r="2526" spans="50:50" x14ac:dyDescent="0.25">
      <c r="AX2526" s="80"/>
    </row>
    <row r="2527" spans="50:50" x14ac:dyDescent="0.25">
      <c r="AX2527" s="80"/>
    </row>
    <row r="2528" spans="50:50" x14ac:dyDescent="0.25">
      <c r="AX2528" s="80"/>
    </row>
    <row r="2529" spans="50:50" x14ac:dyDescent="0.25">
      <c r="AX2529" s="80"/>
    </row>
    <row r="2530" spans="50:50" x14ac:dyDescent="0.25">
      <c r="AX2530" s="80"/>
    </row>
    <row r="2531" spans="50:50" x14ac:dyDescent="0.25">
      <c r="AX2531" s="80"/>
    </row>
    <row r="2532" spans="50:50" x14ac:dyDescent="0.25">
      <c r="AX2532" s="80"/>
    </row>
    <row r="2533" spans="50:50" x14ac:dyDescent="0.25">
      <c r="AX2533" s="80"/>
    </row>
    <row r="2534" spans="50:50" x14ac:dyDescent="0.25">
      <c r="AX2534" s="80"/>
    </row>
    <row r="2535" spans="50:50" x14ac:dyDescent="0.25">
      <c r="AX2535" s="80"/>
    </row>
    <row r="2536" spans="50:50" x14ac:dyDescent="0.25">
      <c r="AX2536" s="80"/>
    </row>
    <row r="2537" spans="50:50" x14ac:dyDescent="0.25">
      <c r="AX2537" s="80"/>
    </row>
    <row r="2538" spans="50:50" x14ac:dyDescent="0.25">
      <c r="AX2538" s="80"/>
    </row>
    <row r="2539" spans="50:50" x14ac:dyDescent="0.25">
      <c r="AX2539" s="80"/>
    </row>
    <row r="2540" spans="50:50" x14ac:dyDescent="0.25">
      <c r="AX2540" s="80"/>
    </row>
    <row r="2541" spans="50:50" x14ac:dyDescent="0.25">
      <c r="AX2541" s="80"/>
    </row>
    <row r="2542" spans="50:50" x14ac:dyDescent="0.25">
      <c r="AX2542" s="80"/>
    </row>
    <row r="2543" spans="50:50" x14ac:dyDescent="0.25">
      <c r="AX2543" s="80"/>
    </row>
    <row r="2544" spans="50:50" x14ac:dyDescent="0.25">
      <c r="AX2544" s="80"/>
    </row>
    <row r="2545" spans="50:50" x14ac:dyDescent="0.25">
      <c r="AX2545" s="80"/>
    </row>
    <row r="2546" spans="50:50" x14ac:dyDescent="0.25">
      <c r="AX2546" s="80"/>
    </row>
    <row r="2547" spans="50:50" x14ac:dyDescent="0.25">
      <c r="AX2547" s="80"/>
    </row>
    <row r="2548" spans="50:50" x14ac:dyDescent="0.25">
      <c r="AX2548" s="80"/>
    </row>
    <row r="2549" spans="50:50" x14ac:dyDescent="0.25">
      <c r="AX2549" s="80"/>
    </row>
    <row r="2550" spans="50:50" x14ac:dyDescent="0.25">
      <c r="AX2550" s="80"/>
    </row>
    <row r="2551" spans="50:50" x14ac:dyDescent="0.25">
      <c r="AX2551" s="80"/>
    </row>
    <row r="2552" spans="50:50" x14ac:dyDescent="0.25">
      <c r="AX2552" s="80"/>
    </row>
    <row r="2553" spans="50:50" x14ac:dyDescent="0.25">
      <c r="AX2553" s="80"/>
    </row>
    <row r="2554" spans="50:50" x14ac:dyDescent="0.25">
      <c r="AX2554" s="80"/>
    </row>
    <row r="2555" spans="50:50" x14ac:dyDescent="0.25">
      <c r="AX2555" s="80"/>
    </row>
    <row r="2556" spans="50:50" x14ac:dyDescent="0.25">
      <c r="AX2556" s="80"/>
    </row>
    <row r="2557" spans="50:50" x14ac:dyDescent="0.25">
      <c r="AX2557" s="80"/>
    </row>
    <row r="2558" spans="50:50" x14ac:dyDescent="0.25">
      <c r="AX2558" s="80"/>
    </row>
    <row r="2559" spans="50:50" x14ac:dyDescent="0.25">
      <c r="AX2559" s="80"/>
    </row>
    <row r="2560" spans="50:50" x14ac:dyDescent="0.25">
      <c r="AX2560" s="80"/>
    </row>
    <row r="2561" spans="50:50" x14ac:dyDescent="0.25">
      <c r="AX2561" s="80"/>
    </row>
    <row r="2562" spans="50:50" x14ac:dyDescent="0.25">
      <c r="AX2562" s="80"/>
    </row>
    <row r="2563" spans="50:50" x14ac:dyDescent="0.25">
      <c r="AX2563" s="80"/>
    </row>
    <row r="2564" spans="50:50" x14ac:dyDescent="0.25">
      <c r="AX2564" s="80"/>
    </row>
    <row r="2565" spans="50:50" x14ac:dyDescent="0.25">
      <c r="AX2565" s="80"/>
    </row>
    <row r="2566" spans="50:50" x14ac:dyDescent="0.25">
      <c r="AX2566" s="80"/>
    </row>
    <row r="2567" spans="50:50" x14ac:dyDescent="0.25">
      <c r="AX2567" s="80"/>
    </row>
    <row r="2568" spans="50:50" x14ac:dyDescent="0.25">
      <c r="AX2568" s="80"/>
    </row>
    <row r="2569" spans="50:50" x14ac:dyDescent="0.25">
      <c r="AX2569" s="80"/>
    </row>
    <row r="2570" spans="50:50" x14ac:dyDescent="0.25">
      <c r="AX2570" s="80"/>
    </row>
    <row r="2571" spans="50:50" x14ac:dyDescent="0.25">
      <c r="AX2571" s="80"/>
    </row>
    <row r="2572" spans="50:50" x14ac:dyDescent="0.25">
      <c r="AX2572" s="80"/>
    </row>
    <row r="2573" spans="50:50" x14ac:dyDescent="0.25">
      <c r="AX2573" s="80"/>
    </row>
    <row r="2574" spans="50:50" x14ac:dyDescent="0.25">
      <c r="AX2574" s="80"/>
    </row>
    <row r="2575" spans="50:50" x14ac:dyDescent="0.25">
      <c r="AX2575" s="80"/>
    </row>
    <row r="2576" spans="50:50" x14ac:dyDescent="0.25">
      <c r="AX2576" s="80"/>
    </row>
    <row r="2577" spans="50:50" x14ac:dyDescent="0.25">
      <c r="AX2577" s="80"/>
    </row>
    <row r="2578" spans="50:50" x14ac:dyDescent="0.25">
      <c r="AX2578" s="80"/>
    </row>
    <row r="2579" spans="50:50" x14ac:dyDescent="0.25">
      <c r="AX2579" s="80"/>
    </row>
    <row r="2580" spans="50:50" x14ac:dyDescent="0.25">
      <c r="AX2580" s="80"/>
    </row>
    <row r="2581" spans="50:50" x14ac:dyDescent="0.25">
      <c r="AX2581" s="80"/>
    </row>
    <row r="2582" spans="50:50" x14ac:dyDescent="0.25">
      <c r="AX2582" s="80"/>
    </row>
    <row r="2583" spans="50:50" x14ac:dyDescent="0.25">
      <c r="AX2583" s="80"/>
    </row>
    <row r="2584" spans="50:50" x14ac:dyDescent="0.25">
      <c r="AX2584" s="80"/>
    </row>
    <row r="2585" spans="50:50" x14ac:dyDescent="0.25">
      <c r="AX2585" s="80"/>
    </row>
    <row r="2586" spans="50:50" x14ac:dyDescent="0.25">
      <c r="AX2586" s="80"/>
    </row>
    <row r="2587" spans="50:50" x14ac:dyDescent="0.25">
      <c r="AX2587" s="80"/>
    </row>
    <row r="2588" spans="50:50" x14ac:dyDescent="0.25">
      <c r="AX2588" s="80"/>
    </row>
    <row r="2589" spans="50:50" x14ac:dyDescent="0.25">
      <c r="AX2589" s="80"/>
    </row>
    <row r="2590" spans="50:50" x14ac:dyDescent="0.25">
      <c r="AX2590" s="80"/>
    </row>
    <row r="2591" spans="50:50" x14ac:dyDescent="0.25">
      <c r="AX2591" s="80"/>
    </row>
    <row r="2592" spans="50:50" x14ac:dyDescent="0.25">
      <c r="AX2592" s="80"/>
    </row>
    <row r="2593" spans="50:50" x14ac:dyDescent="0.25">
      <c r="AX2593" s="80"/>
    </row>
    <row r="2594" spans="50:50" x14ac:dyDescent="0.25">
      <c r="AX2594" s="80"/>
    </row>
    <row r="2595" spans="50:50" x14ac:dyDescent="0.25">
      <c r="AX2595" s="80"/>
    </row>
    <row r="2596" spans="50:50" x14ac:dyDescent="0.25">
      <c r="AX2596" s="80"/>
    </row>
    <row r="2597" spans="50:50" x14ac:dyDescent="0.25">
      <c r="AX2597" s="80"/>
    </row>
    <row r="2598" spans="50:50" x14ac:dyDescent="0.25">
      <c r="AX2598" s="80"/>
    </row>
    <row r="2599" spans="50:50" x14ac:dyDescent="0.25">
      <c r="AX2599" s="80"/>
    </row>
    <row r="2600" spans="50:50" x14ac:dyDescent="0.25">
      <c r="AX2600" s="80"/>
    </row>
    <row r="2601" spans="50:50" x14ac:dyDescent="0.25">
      <c r="AX2601" s="80"/>
    </row>
    <row r="2602" spans="50:50" x14ac:dyDescent="0.25">
      <c r="AX2602" s="80"/>
    </row>
    <row r="2603" spans="50:50" x14ac:dyDescent="0.25">
      <c r="AX2603" s="80"/>
    </row>
    <row r="2604" spans="50:50" x14ac:dyDescent="0.25">
      <c r="AX2604" s="80"/>
    </row>
    <row r="2605" spans="50:50" x14ac:dyDescent="0.25">
      <c r="AX2605" s="80"/>
    </row>
    <row r="2606" spans="50:50" x14ac:dyDescent="0.25">
      <c r="AX2606" s="80"/>
    </row>
    <row r="2607" spans="50:50" x14ac:dyDescent="0.25">
      <c r="AX2607" s="80"/>
    </row>
    <row r="2608" spans="50:50" x14ac:dyDescent="0.25">
      <c r="AX2608" s="80"/>
    </row>
    <row r="2609" spans="48:50" x14ac:dyDescent="0.25">
      <c r="AX2609" s="80"/>
    </row>
    <row r="2610" spans="48:50" x14ac:dyDescent="0.25">
      <c r="AX2610" s="80"/>
    </row>
    <row r="2611" spans="48:50" x14ac:dyDescent="0.25">
      <c r="AX2611" s="80"/>
    </row>
    <row r="2612" spans="48:50" x14ac:dyDescent="0.25">
      <c r="AX2612" s="80"/>
    </row>
    <row r="2613" spans="48:50" x14ac:dyDescent="0.25">
      <c r="AX2613" s="80"/>
    </row>
    <row r="2614" spans="48:50" x14ac:dyDescent="0.25">
      <c r="AX2614" s="80"/>
    </row>
    <row r="2615" spans="48:50" x14ac:dyDescent="0.25">
      <c r="AX2615" s="80"/>
    </row>
    <row r="2616" spans="48:50" x14ac:dyDescent="0.25">
      <c r="AX2616" s="80"/>
    </row>
    <row r="2617" spans="48:50" x14ac:dyDescent="0.25">
      <c r="AX2617" s="80"/>
    </row>
    <row r="2618" spans="48:50" x14ac:dyDescent="0.25">
      <c r="AV2618" s="90"/>
      <c r="AX2618" s="80"/>
    </row>
    <row r="2619" spans="48:50" x14ac:dyDescent="0.25">
      <c r="AX2619" s="80"/>
    </row>
    <row r="2620" spans="48:50" x14ac:dyDescent="0.25">
      <c r="AX2620" s="80"/>
    </row>
    <row r="2621" spans="48:50" x14ac:dyDescent="0.25">
      <c r="AX2621" s="80"/>
    </row>
    <row r="2622" spans="48:50" x14ac:dyDescent="0.25">
      <c r="AX2622" s="80"/>
    </row>
    <row r="2623" spans="48:50" x14ac:dyDescent="0.25">
      <c r="AX2623" s="80"/>
    </row>
    <row r="2624" spans="48:50" x14ac:dyDescent="0.25">
      <c r="AX2624" s="80"/>
    </row>
    <row r="2625" spans="48:50" x14ac:dyDescent="0.25">
      <c r="AX2625" s="80"/>
    </row>
    <row r="2626" spans="48:50" x14ac:dyDescent="0.25">
      <c r="AX2626" s="80"/>
    </row>
    <row r="2627" spans="48:50" x14ac:dyDescent="0.25">
      <c r="AX2627" s="80"/>
    </row>
    <row r="2628" spans="48:50" x14ac:dyDescent="0.25">
      <c r="AX2628" s="80"/>
    </row>
    <row r="2629" spans="48:50" x14ac:dyDescent="0.25">
      <c r="AX2629" s="80"/>
    </row>
    <row r="2630" spans="48:50" x14ac:dyDescent="0.25">
      <c r="AX2630" s="80"/>
    </row>
    <row r="2631" spans="48:50" x14ac:dyDescent="0.25">
      <c r="AX2631" s="80"/>
    </row>
    <row r="2632" spans="48:50" x14ac:dyDescent="0.25">
      <c r="AX2632" s="80"/>
    </row>
    <row r="2633" spans="48:50" x14ac:dyDescent="0.25">
      <c r="AX2633" s="80"/>
    </row>
    <row r="2634" spans="48:50" x14ac:dyDescent="0.25">
      <c r="AX2634" s="80"/>
    </row>
    <row r="2635" spans="48:50" x14ac:dyDescent="0.25">
      <c r="AV2635" s="90"/>
      <c r="AX2635" s="80"/>
    </row>
    <row r="2636" spans="48:50" x14ac:dyDescent="0.25">
      <c r="AX2636" s="80"/>
    </row>
    <row r="2637" spans="48:50" x14ac:dyDescent="0.25">
      <c r="AX2637" s="80"/>
    </row>
    <row r="2638" spans="48:50" x14ac:dyDescent="0.25">
      <c r="AX2638" s="80"/>
    </row>
    <row r="2639" spans="48:50" x14ac:dyDescent="0.25">
      <c r="AX2639" s="80"/>
    </row>
    <row r="2640" spans="48:50" x14ac:dyDescent="0.25">
      <c r="AX2640" s="80"/>
    </row>
    <row r="2641" spans="50:50" x14ac:dyDescent="0.25">
      <c r="AX2641" s="80"/>
    </row>
    <row r="2642" spans="50:50" x14ac:dyDescent="0.25">
      <c r="AX2642" s="80"/>
    </row>
    <row r="2643" spans="50:50" x14ac:dyDescent="0.25">
      <c r="AX2643" s="80"/>
    </row>
    <row r="2644" spans="50:50" x14ac:dyDescent="0.25">
      <c r="AX2644" s="80"/>
    </row>
    <row r="2645" spans="50:50" x14ac:dyDescent="0.25">
      <c r="AX2645" s="80"/>
    </row>
    <row r="2646" spans="50:50" x14ac:dyDescent="0.25">
      <c r="AX2646" s="80"/>
    </row>
    <row r="2647" spans="50:50" x14ac:dyDescent="0.25">
      <c r="AX2647" s="80"/>
    </row>
    <row r="2648" spans="50:50" x14ac:dyDescent="0.25">
      <c r="AX2648" s="80"/>
    </row>
    <row r="2649" spans="50:50" x14ac:dyDescent="0.25">
      <c r="AX2649" s="80"/>
    </row>
    <row r="2650" spans="50:50" x14ac:dyDescent="0.25">
      <c r="AX2650" s="80"/>
    </row>
    <row r="2651" spans="50:50" x14ac:dyDescent="0.25">
      <c r="AX2651" s="80"/>
    </row>
    <row r="2652" spans="50:50" x14ac:dyDescent="0.25">
      <c r="AX2652" s="80"/>
    </row>
    <row r="2653" spans="50:50" x14ac:dyDescent="0.25">
      <c r="AX2653" s="80"/>
    </row>
    <row r="2654" spans="50:50" x14ac:dyDescent="0.25">
      <c r="AX2654" s="80"/>
    </row>
    <row r="2655" spans="50:50" x14ac:dyDescent="0.25">
      <c r="AX2655" s="80"/>
    </row>
    <row r="2656" spans="50:50" x14ac:dyDescent="0.25">
      <c r="AX2656" s="80"/>
    </row>
    <row r="2657" spans="50:50" x14ac:dyDescent="0.25">
      <c r="AX2657" s="80"/>
    </row>
    <row r="2658" spans="50:50" x14ac:dyDescent="0.25">
      <c r="AX2658" s="80"/>
    </row>
    <row r="2659" spans="50:50" x14ac:dyDescent="0.25">
      <c r="AX2659" s="80"/>
    </row>
    <row r="2660" spans="50:50" x14ac:dyDescent="0.25">
      <c r="AX2660" s="80"/>
    </row>
    <row r="2661" spans="50:50" x14ac:dyDescent="0.25">
      <c r="AX2661" s="80"/>
    </row>
    <row r="2662" spans="50:50" x14ac:dyDescent="0.25">
      <c r="AX2662" s="80"/>
    </row>
    <row r="2663" spans="50:50" x14ac:dyDescent="0.25">
      <c r="AX2663" s="80"/>
    </row>
    <row r="2664" spans="50:50" x14ac:dyDescent="0.25">
      <c r="AX2664" s="80"/>
    </row>
    <row r="2665" spans="50:50" x14ac:dyDescent="0.25">
      <c r="AX2665" s="80"/>
    </row>
    <row r="2666" spans="50:50" x14ac:dyDescent="0.25">
      <c r="AX2666" s="80"/>
    </row>
    <row r="2667" spans="50:50" x14ac:dyDescent="0.25">
      <c r="AX2667" s="80"/>
    </row>
    <row r="2668" spans="50:50" x14ac:dyDescent="0.25">
      <c r="AX2668" s="80"/>
    </row>
    <row r="2669" spans="50:50" x14ac:dyDescent="0.25">
      <c r="AX2669" s="80"/>
    </row>
    <row r="2670" spans="50:50" x14ac:dyDescent="0.25">
      <c r="AX2670" s="80"/>
    </row>
    <row r="2671" spans="50:50" x14ac:dyDescent="0.25">
      <c r="AX2671" s="80"/>
    </row>
    <row r="2672" spans="50:50" x14ac:dyDescent="0.25">
      <c r="AX2672" s="80"/>
    </row>
    <row r="2673" spans="48:50" x14ac:dyDescent="0.25">
      <c r="AX2673" s="80"/>
    </row>
    <row r="2674" spans="48:50" x14ac:dyDescent="0.25">
      <c r="AX2674" s="80"/>
    </row>
    <row r="2675" spans="48:50" x14ac:dyDescent="0.25">
      <c r="AX2675" s="80"/>
    </row>
    <row r="2676" spans="48:50" x14ac:dyDescent="0.25">
      <c r="AX2676" s="80"/>
    </row>
    <row r="2677" spans="48:50" x14ac:dyDescent="0.25">
      <c r="AX2677" s="80"/>
    </row>
    <row r="2678" spans="48:50" x14ac:dyDescent="0.25">
      <c r="AX2678" s="80"/>
    </row>
    <row r="2679" spans="48:50" x14ac:dyDescent="0.25">
      <c r="AX2679" s="80"/>
    </row>
    <row r="2680" spans="48:50" x14ac:dyDescent="0.25">
      <c r="AX2680" s="80"/>
    </row>
    <row r="2681" spans="48:50" x14ac:dyDescent="0.25">
      <c r="AX2681" s="80"/>
    </row>
    <row r="2682" spans="48:50" x14ac:dyDescent="0.25">
      <c r="AX2682" s="80"/>
    </row>
    <row r="2683" spans="48:50" x14ac:dyDescent="0.25">
      <c r="AX2683" s="80"/>
    </row>
    <row r="2684" spans="48:50" x14ac:dyDescent="0.25">
      <c r="AV2684" s="90"/>
      <c r="AX2684" s="80"/>
    </row>
    <row r="2685" spans="48:50" x14ac:dyDescent="0.25">
      <c r="AX2685" s="80"/>
    </row>
    <row r="2686" spans="48:50" x14ac:dyDescent="0.25">
      <c r="AX2686" s="80"/>
    </row>
    <row r="2687" spans="48:50" x14ac:dyDescent="0.25">
      <c r="AX2687" s="80"/>
    </row>
    <row r="2688" spans="48:50" x14ac:dyDescent="0.25">
      <c r="AX2688" s="80"/>
    </row>
    <row r="2689" spans="50:50" x14ac:dyDescent="0.25">
      <c r="AX2689" s="80"/>
    </row>
    <row r="2690" spans="50:50" x14ac:dyDescent="0.25">
      <c r="AX2690" s="80"/>
    </row>
    <row r="2691" spans="50:50" x14ac:dyDescent="0.25">
      <c r="AX2691" s="80"/>
    </row>
    <row r="2692" spans="50:50" x14ac:dyDescent="0.25">
      <c r="AX2692" s="80"/>
    </row>
    <row r="2693" spans="50:50" x14ac:dyDescent="0.25">
      <c r="AX2693" s="80"/>
    </row>
    <row r="2694" spans="50:50" x14ac:dyDescent="0.25">
      <c r="AX2694" s="80"/>
    </row>
    <row r="2695" spans="50:50" x14ac:dyDescent="0.25">
      <c r="AX2695" s="80"/>
    </row>
    <row r="2696" spans="50:50" x14ac:dyDescent="0.25">
      <c r="AX2696" s="80"/>
    </row>
    <row r="2697" spans="50:50" x14ac:dyDescent="0.25">
      <c r="AX2697" s="80"/>
    </row>
    <row r="2698" spans="50:50" x14ac:dyDescent="0.25">
      <c r="AX2698" s="80"/>
    </row>
    <row r="2699" spans="50:50" x14ac:dyDescent="0.25">
      <c r="AX2699" s="80"/>
    </row>
    <row r="2700" spans="50:50" x14ac:dyDescent="0.25">
      <c r="AX2700" s="80"/>
    </row>
    <row r="2701" spans="50:50" x14ac:dyDescent="0.25">
      <c r="AX2701" s="80"/>
    </row>
    <row r="2702" spans="50:50" x14ac:dyDescent="0.25">
      <c r="AX2702" s="80"/>
    </row>
    <row r="2703" spans="50:50" x14ac:dyDescent="0.25">
      <c r="AX2703" s="80"/>
    </row>
    <row r="2704" spans="50:50" x14ac:dyDescent="0.25">
      <c r="AX2704" s="80"/>
    </row>
    <row r="2705" spans="50:50" x14ac:dyDescent="0.25">
      <c r="AX2705" s="80"/>
    </row>
    <row r="2706" spans="50:50" x14ac:dyDescent="0.25">
      <c r="AX2706" s="80"/>
    </row>
    <row r="2707" spans="50:50" x14ac:dyDescent="0.25">
      <c r="AX2707" s="80"/>
    </row>
    <row r="2708" spans="50:50" x14ac:dyDescent="0.25">
      <c r="AX2708" s="80"/>
    </row>
    <row r="2709" spans="50:50" x14ac:dyDescent="0.25">
      <c r="AX2709" s="80"/>
    </row>
    <row r="2710" spans="50:50" x14ac:dyDescent="0.25">
      <c r="AX2710" s="80"/>
    </row>
    <row r="2711" spans="50:50" x14ac:dyDescent="0.25">
      <c r="AX2711" s="80"/>
    </row>
    <row r="2712" spans="50:50" x14ac:dyDescent="0.25">
      <c r="AX2712" s="80"/>
    </row>
    <row r="2713" spans="50:50" x14ac:dyDescent="0.25">
      <c r="AX2713" s="80"/>
    </row>
    <row r="2714" spans="50:50" x14ac:dyDescent="0.25">
      <c r="AX2714" s="80"/>
    </row>
    <row r="2715" spans="50:50" x14ac:dyDescent="0.25">
      <c r="AX2715" s="80"/>
    </row>
    <row r="2716" spans="50:50" x14ac:dyDescent="0.25">
      <c r="AX2716" s="80"/>
    </row>
    <row r="2717" spans="50:50" x14ac:dyDescent="0.25">
      <c r="AX2717" s="80"/>
    </row>
    <row r="2718" spans="50:50" x14ac:dyDescent="0.25">
      <c r="AX2718" s="80"/>
    </row>
    <row r="2719" spans="50:50" x14ac:dyDescent="0.25">
      <c r="AX2719" s="80"/>
    </row>
    <row r="2720" spans="50:50" x14ac:dyDescent="0.25">
      <c r="AX2720" s="80"/>
    </row>
    <row r="2721" spans="50:50" x14ac:dyDescent="0.25">
      <c r="AX2721" s="80"/>
    </row>
    <row r="2722" spans="50:50" x14ac:dyDescent="0.25">
      <c r="AX2722" s="80"/>
    </row>
    <row r="2723" spans="50:50" x14ac:dyDescent="0.25">
      <c r="AX2723" s="80"/>
    </row>
    <row r="2724" spans="50:50" x14ac:dyDescent="0.25">
      <c r="AX2724" s="80"/>
    </row>
    <row r="2725" spans="50:50" x14ac:dyDescent="0.25">
      <c r="AX2725" s="80"/>
    </row>
    <row r="2726" spans="50:50" x14ac:dyDescent="0.25">
      <c r="AX2726" s="80"/>
    </row>
    <row r="2727" spans="50:50" x14ac:dyDescent="0.25">
      <c r="AX2727" s="80"/>
    </row>
    <row r="2728" spans="50:50" x14ac:dyDescent="0.25">
      <c r="AX2728" s="80"/>
    </row>
    <row r="2729" spans="50:50" x14ac:dyDescent="0.25">
      <c r="AX2729" s="80"/>
    </row>
    <row r="2730" spans="50:50" x14ac:dyDescent="0.25">
      <c r="AX2730" s="80"/>
    </row>
    <row r="2731" spans="50:50" x14ac:dyDescent="0.25">
      <c r="AX2731" s="80"/>
    </row>
    <row r="2732" spans="50:50" x14ac:dyDescent="0.25">
      <c r="AX2732" s="80"/>
    </row>
    <row r="2733" spans="50:50" x14ac:dyDescent="0.25">
      <c r="AX2733" s="80"/>
    </row>
    <row r="2734" spans="50:50" x14ac:dyDescent="0.25">
      <c r="AX2734" s="80"/>
    </row>
    <row r="2735" spans="50:50" x14ac:dyDescent="0.25">
      <c r="AX2735" s="80"/>
    </row>
    <row r="2736" spans="50:50" x14ac:dyDescent="0.25">
      <c r="AX2736" s="80"/>
    </row>
    <row r="2737" spans="50:50" x14ac:dyDescent="0.25">
      <c r="AX2737" s="80"/>
    </row>
    <row r="2738" spans="50:50" x14ac:dyDescent="0.25">
      <c r="AX2738" s="80"/>
    </row>
    <row r="2739" spans="50:50" x14ac:dyDescent="0.25">
      <c r="AX2739" s="80"/>
    </row>
    <row r="2740" spans="50:50" x14ac:dyDescent="0.25">
      <c r="AX2740" s="80"/>
    </row>
    <row r="2741" spans="50:50" x14ac:dyDescent="0.25">
      <c r="AX2741" s="80"/>
    </row>
    <row r="2742" spans="50:50" x14ac:dyDescent="0.25">
      <c r="AX2742" s="80"/>
    </row>
    <row r="2743" spans="50:50" x14ac:dyDescent="0.25">
      <c r="AX2743" s="80"/>
    </row>
    <row r="2744" spans="50:50" x14ac:dyDescent="0.25">
      <c r="AX2744" s="80"/>
    </row>
    <row r="2745" spans="50:50" x14ac:dyDescent="0.25">
      <c r="AX2745" s="80"/>
    </row>
    <row r="2746" spans="50:50" x14ac:dyDescent="0.25">
      <c r="AX2746" s="80"/>
    </row>
    <row r="2747" spans="50:50" x14ac:dyDescent="0.25">
      <c r="AX2747" s="80"/>
    </row>
    <row r="2748" spans="50:50" x14ac:dyDescent="0.25">
      <c r="AX2748" s="80"/>
    </row>
    <row r="2749" spans="50:50" x14ac:dyDescent="0.25">
      <c r="AX2749" s="80"/>
    </row>
    <row r="2750" spans="50:50" x14ac:dyDescent="0.25">
      <c r="AX2750" s="80"/>
    </row>
    <row r="2751" spans="50:50" x14ac:dyDescent="0.25">
      <c r="AX2751" s="80"/>
    </row>
    <row r="2752" spans="50:50" x14ac:dyDescent="0.25">
      <c r="AX2752" s="80"/>
    </row>
    <row r="2753" spans="50:50" x14ac:dyDescent="0.25">
      <c r="AX2753" s="80"/>
    </row>
    <row r="2754" spans="50:50" x14ac:dyDescent="0.25">
      <c r="AX2754" s="80"/>
    </row>
    <row r="2755" spans="50:50" x14ac:dyDescent="0.25">
      <c r="AX2755" s="80"/>
    </row>
    <row r="2756" spans="50:50" x14ac:dyDescent="0.25">
      <c r="AX2756" s="80"/>
    </row>
    <row r="2757" spans="50:50" x14ac:dyDescent="0.25">
      <c r="AX2757" s="80"/>
    </row>
    <row r="2758" spans="50:50" x14ac:dyDescent="0.25">
      <c r="AX2758" s="80"/>
    </row>
    <row r="2759" spans="50:50" x14ac:dyDescent="0.25">
      <c r="AX2759" s="80"/>
    </row>
    <row r="2760" spans="50:50" x14ac:dyDescent="0.25">
      <c r="AX2760" s="80"/>
    </row>
    <row r="2761" spans="50:50" x14ac:dyDescent="0.25">
      <c r="AX2761" s="80"/>
    </row>
    <row r="2762" spans="50:50" x14ac:dyDescent="0.25">
      <c r="AX2762" s="80"/>
    </row>
    <row r="2763" spans="50:50" x14ac:dyDescent="0.25">
      <c r="AX2763" s="80"/>
    </row>
    <row r="2764" spans="50:50" x14ac:dyDescent="0.25">
      <c r="AX2764" s="80"/>
    </row>
    <row r="2765" spans="50:50" x14ac:dyDescent="0.25">
      <c r="AX2765" s="80"/>
    </row>
    <row r="2766" spans="50:50" x14ac:dyDescent="0.25">
      <c r="AX2766" s="80"/>
    </row>
    <row r="2767" spans="50:50" x14ac:dyDescent="0.25">
      <c r="AX2767" s="80"/>
    </row>
    <row r="2768" spans="50:50" x14ac:dyDescent="0.25">
      <c r="AX2768" s="80"/>
    </row>
    <row r="2769" spans="50:50" x14ac:dyDescent="0.25">
      <c r="AX2769" s="80"/>
    </row>
    <row r="2770" spans="50:50" x14ac:dyDescent="0.25">
      <c r="AX2770" s="80"/>
    </row>
    <row r="2771" spans="50:50" x14ac:dyDescent="0.25">
      <c r="AX2771" s="80"/>
    </row>
    <row r="2772" spans="50:50" x14ac:dyDescent="0.25">
      <c r="AX2772" s="80"/>
    </row>
    <row r="2773" spans="50:50" x14ac:dyDescent="0.25">
      <c r="AX2773" s="80"/>
    </row>
    <row r="2774" spans="50:50" x14ac:dyDescent="0.25">
      <c r="AX2774" s="80"/>
    </row>
    <row r="2775" spans="50:50" x14ac:dyDescent="0.25">
      <c r="AX2775" s="80"/>
    </row>
    <row r="2776" spans="50:50" x14ac:dyDescent="0.25">
      <c r="AX2776" s="80"/>
    </row>
    <row r="2777" spans="50:50" x14ac:dyDescent="0.25">
      <c r="AX2777" s="80"/>
    </row>
    <row r="2778" spans="50:50" x14ac:dyDescent="0.25">
      <c r="AX2778" s="80"/>
    </row>
    <row r="2779" spans="50:50" x14ac:dyDescent="0.25">
      <c r="AX2779" s="80"/>
    </row>
    <row r="2780" spans="50:50" x14ac:dyDescent="0.25">
      <c r="AX2780" s="80"/>
    </row>
    <row r="2781" spans="50:50" x14ac:dyDescent="0.25">
      <c r="AX2781" s="80"/>
    </row>
    <row r="2782" spans="50:50" x14ac:dyDescent="0.25">
      <c r="AX2782" s="80"/>
    </row>
    <row r="2783" spans="50:50" x14ac:dyDescent="0.25">
      <c r="AX2783" s="80"/>
    </row>
    <row r="2784" spans="50:50" x14ac:dyDescent="0.25">
      <c r="AX2784" s="80"/>
    </row>
    <row r="2785" spans="50:50" x14ac:dyDescent="0.25">
      <c r="AX2785" s="80"/>
    </row>
    <row r="2786" spans="50:50" x14ac:dyDescent="0.25">
      <c r="AX2786" s="80"/>
    </row>
    <row r="2787" spans="50:50" x14ac:dyDescent="0.25">
      <c r="AX2787" s="80"/>
    </row>
    <row r="2788" spans="50:50" x14ac:dyDescent="0.25">
      <c r="AX2788" s="80"/>
    </row>
    <row r="2789" spans="50:50" x14ac:dyDescent="0.25">
      <c r="AX2789" s="80"/>
    </row>
    <row r="2790" spans="50:50" x14ac:dyDescent="0.25">
      <c r="AX2790" s="80"/>
    </row>
    <row r="2791" spans="50:50" x14ac:dyDescent="0.25">
      <c r="AX2791" s="80"/>
    </row>
    <row r="2792" spans="50:50" x14ac:dyDescent="0.25">
      <c r="AX2792" s="80"/>
    </row>
    <row r="2793" spans="50:50" x14ac:dyDescent="0.25">
      <c r="AX2793" s="80"/>
    </row>
    <row r="2794" spans="50:50" x14ac:dyDescent="0.25">
      <c r="AX2794" s="80"/>
    </row>
    <row r="2795" spans="50:50" x14ac:dyDescent="0.25">
      <c r="AX2795" s="80"/>
    </row>
    <row r="2796" spans="50:50" x14ac:dyDescent="0.25">
      <c r="AX2796" s="80"/>
    </row>
    <row r="2797" spans="50:50" x14ac:dyDescent="0.25">
      <c r="AX2797" s="80"/>
    </row>
    <row r="2798" spans="50:50" x14ac:dyDescent="0.25">
      <c r="AX2798" s="80"/>
    </row>
    <row r="2799" spans="50:50" x14ac:dyDescent="0.25">
      <c r="AX2799" s="80"/>
    </row>
    <row r="2800" spans="50:50" x14ac:dyDescent="0.25">
      <c r="AX2800" s="80"/>
    </row>
    <row r="2801" spans="48:50" x14ac:dyDescent="0.25">
      <c r="AX2801" s="80"/>
    </row>
    <row r="2802" spans="48:50" x14ac:dyDescent="0.25">
      <c r="AX2802" s="80"/>
    </row>
    <row r="2803" spans="48:50" x14ac:dyDescent="0.25">
      <c r="AX2803" s="80"/>
    </row>
    <row r="2804" spans="48:50" x14ac:dyDescent="0.25">
      <c r="AX2804" s="80"/>
    </row>
    <row r="2805" spans="48:50" x14ac:dyDescent="0.25">
      <c r="AX2805" s="80"/>
    </row>
    <row r="2806" spans="48:50" x14ac:dyDescent="0.25">
      <c r="AX2806" s="80"/>
    </row>
    <row r="2807" spans="48:50" x14ac:dyDescent="0.25">
      <c r="AX2807" s="80"/>
    </row>
    <row r="2808" spans="48:50" x14ac:dyDescent="0.25">
      <c r="AX2808" s="80"/>
    </row>
    <row r="2809" spans="48:50" x14ac:dyDescent="0.25">
      <c r="AX2809" s="80"/>
    </row>
    <row r="2810" spans="48:50" x14ac:dyDescent="0.25">
      <c r="AX2810" s="80"/>
    </row>
    <row r="2811" spans="48:50" x14ac:dyDescent="0.25">
      <c r="AX2811" s="80"/>
    </row>
    <row r="2812" spans="48:50" x14ac:dyDescent="0.25">
      <c r="AX2812" s="80"/>
    </row>
    <row r="2813" spans="48:50" x14ac:dyDescent="0.25">
      <c r="AX2813" s="80"/>
    </row>
    <row r="2814" spans="48:50" x14ac:dyDescent="0.25">
      <c r="AX2814" s="80"/>
    </row>
    <row r="2815" spans="48:50" x14ac:dyDescent="0.25">
      <c r="AV2815" s="90"/>
      <c r="AX2815" s="80"/>
    </row>
    <row r="2816" spans="48:50" x14ac:dyDescent="0.25">
      <c r="AX2816" s="80"/>
    </row>
    <row r="2817" spans="50:50" x14ac:dyDescent="0.25">
      <c r="AX2817" s="80"/>
    </row>
    <row r="2818" spans="50:50" x14ac:dyDescent="0.25">
      <c r="AX2818" s="80"/>
    </row>
    <row r="2819" spans="50:50" x14ac:dyDescent="0.25">
      <c r="AX2819" s="80"/>
    </row>
    <row r="2820" spans="50:50" x14ac:dyDescent="0.25">
      <c r="AX2820" s="80"/>
    </row>
    <row r="2821" spans="50:50" x14ac:dyDescent="0.25">
      <c r="AX2821" s="80"/>
    </row>
    <row r="2822" spans="50:50" x14ac:dyDescent="0.25">
      <c r="AX2822" s="80"/>
    </row>
    <row r="2823" spans="50:50" x14ac:dyDescent="0.25">
      <c r="AX2823" s="80"/>
    </row>
    <row r="2824" spans="50:50" x14ac:dyDescent="0.25">
      <c r="AX2824" s="80"/>
    </row>
    <row r="2825" spans="50:50" x14ac:dyDescent="0.25">
      <c r="AX2825" s="80"/>
    </row>
    <row r="2826" spans="50:50" x14ac:dyDescent="0.25">
      <c r="AX2826" s="80"/>
    </row>
    <row r="2827" spans="50:50" x14ac:dyDescent="0.25">
      <c r="AX2827" s="80"/>
    </row>
    <row r="2828" spans="50:50" x14ac:dyDescent="0.25">
      <c r="AX2828" s="80"/>
    </row>
    <row r="2829" spans="50:50" x14ac:dyDescent="0.25">
      <c r="AX2829" s="80"/>
    </row>
    <row r="2830" spans="50:50" x14ac:dyDescent="0.25">
      <c r="AX2830" s="80"/>
    </row>
    <row r="2831" spans="50:50" x14ac:dyDescent="0.25">
      <c r="AX2831" s="80"/>
    </row>
    <row r="2832" spans="50:50" x14ac:dyDescent="0.25">
      <c r="AX2832" s="80"/>
    </row>
    <row r="2833" spans="50:50" x14ac:dyDescent="0.25">
      <c r="AX2833" s="80"/>
    </row>
    <row r="2834" spans="50:50" x14ac:dyDescent="0.25">
      <c r="AX2834" s="80"/>
    </row>
    <row r="2835" spans="50:50" x14ac:dyDescent="0.25">
      <c r="AX2835" s="80"/>
    </row>
    <row r="2836" spans="50:50" x14ac:dyDescent="0.25">
      <c r="AX2836" s="80"/>
    </row>
    <row r="2837" spans="50:50" x14ac:dyDescent="0.25">
      <c r="AX2837" s="80"/>
    </row>
    <row r="2838" spans="50:50" x14ac:dyDescent="0.25">
      <c r="AX2838" s="80"/>
    </row>
    <row r="2839" spans="50:50" x14ac:dyDescent="0.25">
      <c r="AX2839" s="80"/>
    </row>
    <row r="2840" spans="50:50" x14ac:dyDescent="0.25">
      <c r="AX2840" s="80"/>
    </row>
    <row r="2841" spans="50:50" x14ac:dyDescent="0.25">
      <c r="AX2841" s="80"/>
    </row>
    <row r="2842" spans="50:50" x14ac:dyDescent="0.25">
      <c r="AX2842" s="80"/>
    </row>
    <row r="2843" spans="50:50" x14ac:dyDescent="0.25">
      <c r="AX2843" s="80"/>
    </row>
    <row r="2844" spans="50:50" x14ac:dyDescent="0.25">
      <c r="AX2844" s="80"/>
    </row>
    <row r="2845" spans="50:50" x14ac:dyDescent="0.25">
      <c r="AX2845" s="80"/>
    </row>
    <row r="2846" spans="50:50" x14ac:dyDescent="0.25">
      <c r="AX2846" s="80"/>
    </row>
    <row r="2847" spans="50:50" x14ac:dyDescent="0.25">
      <c r="AX2847" s="80"/>
    </row>
    <row r="2848" spans="50:50" x14ac:dyDescent="0.25">
      <c r="AX2848" s="80"/>
    </row>
    <row r="2849" spans="50:50" x14ac:dyDescent="0.25">
      <c r="AX2849" s="80"/>
    </row>
    <row r="2850" spans="50:50" x14ac:dyDescent="0.25">
      <c r="AX2850" s="80"/>
    </row>
    <row r="2851" spans="50:50" x14ac:dyDescent="0.25">
      <c r="AX2851" s="80"/>
    </row>
    <row r="2852" spans="50:50" x14ac:dyDescent="0.25">
      <c r="AX2852" s="80"/>
    </row>
    <row r="2853" spans="50:50" x14ac:dyDescent="0.25">
      <c r="AX2853" s="80"/>
    </row>
    <row r="2854" spans="50:50" x14ac:dyDescent="0.25">
      <c r="AX2854" s="80"/>
    </row>
    <row r="2855" spans="50:50" x14ac:dyDescent="0.25">
      <c r="AX2855" s="80"/>
    </row>
    <row r="2856" spans="50:50" x14ac:dyDescent="0.25">
      <c r="AX2856" s="80"/>
    </row>
    <row r="2857" spans="50:50" x14ac:dyDescent="0.25">
      <c r="AX2857" s="80"/>
    </row>
    <row r="2858" spans="50:50" x14ac:dyDescent="0.25">
      <c r="AX2858" s="80"/>
    </row>
    <row r="2859" spans="50:50" x14ac:dyDescent="0.25">
      <c r="AX2859" s="80"/>
    </row>
    <row r="2860" spans="50:50" x14ac:dyDescent="0.25">
      <c r="AX2860" s="80"/>
    </row>
    <row r="2861" spans="50:50" x14ac:dyDescent="0.25">
      <c r="AX2861" s="80"/>
    </row>
    <row r="2862" spans="50:50" x14ac:dyDescent="0.25">
      <c r="AX2862" s="80"/>
    </row>
    <row r="2863" spans="50:50" x14ac:dyDescent="0.25">
      <c r="AX2863" s="80"/>
    </row>
    <row r="2864" spans="50:50" x14ac:dyDescent="0.25">
      <c r="AX2864" s="80"/>
    </row>
    <row r="2865" spans="50:50" x14ac:dyDescent="0.25">
      <c r="AX2865" s="80"/>
    </row>
    <row r="2866" spans="50:50" x14ac:dyDescent="0.25">
      <c r="AX2866" s="80"/>
    </row>
    <row r="2867" spans="50:50" x14ac:dyDescent="0.25">
      <c r="AX2867" s="80"/>
    </row>
    <row r="2868" spans="50:50" x14ac:dyDescent="0.25">
      <c r="AX2868" s="80"/>
    </row>
    <row r="2869" spans="50:50" x14ac:dyDescent="0.25">
      <c r="AX2869" s="80"/>
    </row>
    <row r="2870" spans="50:50" x14ac:dyDescent="0.25">
      <c r="AX2870" s="80"/>
    </row>
    <row r="2871" spans="50:50" x14ac:dyDescent="0.25">
      <c r="AX2871" s="80"/>
    </row>
    <row r="2872" spans="50:50" x14ac:dyDescent="0.25">
      <c r="AX2872" s="80"/>
    </row>
    <row r="2873" spans="50:50" x14ac:dyDescent="0.25">
      <c r="AX2873" s="80"/>
    </row>
    <row r="2874" spans="50:50" x14ac:dyDescent="0.25">
      <c r="AX2874" s="80"/>
    </row>
    <row r="2875" spans="50:50" x14ac:dyDescent="0.25">
      <c r="AX2875" s="80"/>
    </row>
    <row r="2876" spans="50:50" x14ac:dyDescent="0.25">
      <c r="AX2876" s="80"/>
    </row>
    <row r="2877" spans="50:50" x14ac:dyDescent="0.25">
      <c r="AX2877" s="80"/>
    </row>
    <row r="2878" spans="50:50" x14ac:dyDescent="0.25">
      <c r="AX2878" s="80"/>
    </row>
    <row r="2879" spans="50:50" x14ac:dyDescent="0.25">
      <c r="AX2879" s="80"/>
    </row>
    <row r="2880" spans="50:50" x14ac:dyDescent="0.25">
      <c r="AX2880" s="80"/>
    </row>
    <row r="2881" spans="50:50" x14ac:dyDescent="0.25">
      <c r="AX2881" s="80"/>
    </row>
    <row r="2882" spans="50:50" x14ac:dyDescent="0.25">
      <c r="AX2882" s="80"/>
    </row>
    <row r="2883" spans="50:50" x14ac:dyDescent="0.25">
      <c r="AX2883" s="80"/>
    </row>
    <row r="2884" spans="50:50" x14ac:dyDescent="0.25">
      <c r="AX2884" s="80"/>
    </row>
    <row r="2885" spans="50:50" x14ac:dyDescent="0.25">
      <c r="AX2885" s="80"/>
    </row>
    <row r="2886" spans="50:50" x14ac:dyDescent="0.25">
      <c r="AX2886" s="80"/>
    </row>
    <row r="2887" spans="50:50" x14ac:dyDescent="0.25">
      <c r="AX2887" s="80"/>
    </row>
    <row r="2888" spans="50:50" x14ac:dyDescent="0.25">
      <c r="AX2888" s="80"/>
    </row>
    <row r="2889" spans="50:50" x14ac:dyDescent="0.25">
      <c r="AX2889" s="80"/>
    </row>
    <row r="2890" spans="50:50" x14ac:dyDescent="0.25">
      <c r="AX2890" s="80"/>
    </row>
    <row r="2891" spans="50:50" x14ac:dyDescent="0.25">
      <c r="AX2891" s="80"/>
    </row>
    <row r="2892" spans="50:50" x14ac:dyDescent="0.25">
      <c r="AX2892" s="80"/>
    </row>
    <row r="2893" spans="50:50" x14ac:dyDescent="0.25">
      <c r="AX2893" s="80"/>
    </row>
    <row r="2894" spans="50:50" x14ac:dyDescent="0.25">
      <c r="AX2894" s="80"/>
    </row>
    <row r="2895" spans="50:50" x14ac:dyDescent="0.25">
      <c r="AX2895" s="80"/>
    </row>
    <row r="2896" spans="50:50" x14ac:dyDescent="0.25">
      <c r="AX2896" s="80"/>
    </row>
    <row r="2897" spans="50:50" x14ac:dyDescent="0.25">
      <c r="AX2897" s="80"/>
    </row>
    <row r="2898" spans="50:50" x14ac:dyDescent="0.25">
      <c r="AX2898" s="80"/>
    </row>
    <row r="2899" spans="50:50" x14ac:dyDescent="0.25">
      <c r="AX2899" s="80"/>
    </row>
    <row r="2900" spans="50:50" x14ac:dyDescent="0.25">
      <c r="AX2900" s="80"/>
    </row>
    <row r="2901" spans="50:50" x14ac:dyDescent="0.25">
      <c r="AX2901" s="80"/>
    </row>
    <row r="2902" spans="50:50" x14ac:dyDescent="0.25">
      <c r="AX2902" s="80"/>
    </row>
    <row r="2903" spans="50:50" x14ac:dyDescent="0.25">
      <c r="AX2903" s="80"/>
    </row>
    <row r="2904" spans="50:50" x14ac:dyDescent="0.25">
      <c r="AX2904" s="80"/>
    </row>
    <row r="2905" spans="50:50" x14ac:dyDescent="0.25">
      <c r="AX2905" s="80"/>
    </row>
    <row r="2906" spans="50:50" x14ac:dyDescent="0.25">
      <c r="AX2906" s="80"/>
    </row>
    <row r="2907" spans="50:50" x14ac:dyDescent="0.25">
      <c r="AX2907" s="80"/>
    </row>
    <row r="2908" spans="50:50" x14ac:dyDescent="0.25">
      <c r="AX2908" s="80"/>
    </row>
    <row r="2909" spans="50:50" x14ac:dyDescent="0.25">
      <c r="AX2909" s="80"/>
    </row>
    <row r="2910" spans="50:50" x14ac:dyDescent="0.25">
      <c r="AX2910" s="80"/>
    </row>
    <row r="2911" spans="50:50" x14ac:dyDescent="0.25">
      <c r="AX2911" s="80"/>
    </row>
    <row r="2912" spans="50:50" x14ac:dyDescent="0.25">
      <c r="AX2912" s="80"/>
    </row>
    <row r="2913" spans="50:50" x14ac:dyDescent="0.25">
      <c r="AX2913" s="80"/>
    </row>
    <row r="2914" spans="50:50" x14ac:dyDescent="0.25">
      <c r="AX2914" s="80"/>
    </row>
    <row r="2915" spans="50:50" x14ac:dyDescent="0.25">
      <c r="AX2915" s="80"/>
    </row>
    <row r="2916" spans="50:50" x14ac:dyDescent="0.25">
      <c r="AX2916" s="80"/>
    </row>
    <row r="2917" spans="50:50" x14ac:dyDescent="0.25">
      <c r="AX2917" s="80"/>
    </row>
    <row r="2918" spans="50:50" x14ac:dyDescent="0.25">
      <c r="AX2918" s="80"/>
    </row>
    <row r="2919" spans="50:50" x14ac:dyDescent="0.25">
      <c r="AX2919" s="80"/>
    </row>
    <row r="2920" spans="50:50" x14ac:dyDescent="0.25">
      <c r="AX2920" s="80"/>
    </row>
    <row r="2921" spans="50:50" x14ac:dyDescent="0.25">
      <c r="AX2921" s="80"/>
    </row>
    <row r="2922" spans="50:50" x14ac:dyDescent="0.25">
      <c r="AX2922" s="80"/>
    </row>
    <row r="2923" spans="50:50" x14ac:dyDescent="0.25">
      <c r="AX2923" s="80"/>
    </row>
    <row r="2924" spans="50:50" x14ac:dyDescent="0.25">
      <c r="AX2924" s="80"/>
    </row>
    <row r="2925" spans="50:50" x14ac:dyDescent="0.25">
      <c r="AX2925" s="80"/>
    </row>
    <row r="2926" spans="50:50" x14ac:dyDescent="0.25">
      <c r="AX2926" s="80"/>
    </row>
    <row r="2927" spans="50:50" x14ac:dyDescent="0.25">
      <c r="AX2927" s="80"/>
    </row>
    <row r="2928" spans="50:50" x14ac:dyDescent="0.25">
      <c r="AX2928" s="80"/>
    </row>
    <row r="2929" spans="50:50" x14ac:dyDescent="0.25">
      <c r="AX2929" s="80"/>
    </row>
    <row r="2930" spans="50:50" x14ac:dyDescent="0.25">
      <c r="AX2930" s="80"/>
    </row>
    <row r="2931" spans="50:50" x14ac:dyDescent="0.25">
      <c r="AX2931" s="80"/>
    </row>
    <row r="2932" spans="50:50" x14ac:dyDescent="0.25">
      <c r="AX2932" s="80"/>
    </row>
    <row r="2933" spans="50:50" x14ac:dyDescent="0.25">
      <c r="AX2933" s="80"/>
    </row>
    <row r="2934" spans="50:50" x14ac:dyDescent="0.25">
      <c r="AX2934" s="80"/>
    </row>
    <row r="2935" spans="50:50" x14ac:dyDescent="0.25">
      <c r="AX2935" s="80"/>
    </row>
    <row r="2936" spans="50:50" x14ac:dyDescent="0.25">
      <c r="AX2936" s="80"/>
    </row>
    <row r="2937" spans="50:50" x14ac:dyDescent="0.25">
      <c r="AX2937" s="80"/>
    </row>
    <row r="2938" spans="50:50" x14ac:dyDescent="0.25">
      <c r="AX2938" s="80"/>
    </row>
    <row r="2939" spans="50:50" x14ac:dyDescent="0.25">
      <c r="AX2939" s="80"/>
    </row>
    <row r="2940" spans="50:50" x14ac:dyDescent="0.25">
      <c r="AX2940" s="80"/>
    </row>
    <row r="2941" spans="50:50" x14ac:dyDescent="0.25">
      <c r="AX2941" s="80"/>
    </row>
    <row r="2942" spans="50:50" x14ac:dyDescent="0.25">
      <c r="AX2942" s="80"/>
    </row>
    <row r="2943" spans="50:50" x14ac:dyDescent="0.25">
      <c r="AX2943" s="80"/>
    </row>
    <row r="2944" spans="50:50" x14ac:dyDescent="0.25">
      <c r="AX2944" s="80"/>
    </row>
    <row r="2945" spans="50:50" x14ac:dyDescent="0.25">
      <c r="AX2945" s="80"/>
    </row>
    <row r="2946" spans="50:50" x14ac:dyDescent="0.25">
      <c r="AX2946" s="80"/>
    </row>
    <row r="2947" spans="50:50" x14ac:dyDescent="0.25">
      <c r="AX2947" s="80"/>
    </row>
    <row r="2948" spans="50:50" x14ac:dyDescent="0.25">
      <c r="AX2948" s="80"/>
    </row>
    <row r="2949" spans="50:50" x14ac:dyDescent="0.25">
      <c r="AX2949" s="80"/>
    </row>
    <row r="2950" spans="50:50" x14ac:dyDescent="0.25">
      <c r="AX2950" s="80"/>
    </row>
    <row r="2951" spans="50:50" x14ac:dyDescent="0.25">
      <c r="AX2951" s="80"/>
    </row>
    <row r="2952" spans="50:50" x14ac:dyDescent="0.25">
      <c r="AX2952" s="80"/>
    </row>
    <row r="2953" spans="50:50" x14ac:dyDescent="0.25">
      <c r="AX2953" s="80"/>
    </row>
    <row r="2954" spans="50:50" x14ac:dyDescent="0.25">
      <c r="AX2954" s="80"/>
    </row>
    <row r="2955" spans="50:50" x14ac:dyDescent="0.25">
      <c r="AX2955" s="80"/>
    </row>
    <row r="2956" spans="50:50" x14ac:dyDescent="0.25">
      <c r="AX2956" s="80"/>
    </row>
    <row r="2957" spans="50:50" x14ac:dyDescent="0.25">
      <c r="AX2957" s="80"/>
    </row>
    <row r="2958" spans="50:50" x14ac:dyDescent="0.25">
      <c r="AX2958" s="80"/>
    </row>
    <row r="2959" spans="50:50" x14ac:dyDescent="0.25">
      <c r="AX2959" s="80"/>
    </row>
    <row r="2960" spans="50:50" x14ac:dyDescent="0.25">
      <c r="AX2960" s="80"/>
    </row>
    <row r="2961" spans="50:50" x14ac:dyDescent="0.25">
      <c r="AX2961" s="80"/>
    </row>
    <row r="2962" spans="50:50" x14ac:dyDescent="0.25">
      <c r="AX2962" s="80"/>
    </row>
    <row r="2963" spans="50:50" x14ac:dyDescent="0.25">
      <c r="AX2963" s="80"/>
    </row>
    <row r="2964" spans="50:50" x14ac:dyDescent="0.25">
      <c r="AX2964" s="80"/>
    </row>
    <row r="2965" spans="50:50" x14ac:dyDescent="0.25">
      <c r="AX2965" s="80"/>
    </row>
    <row r="2966" spans="50:50" x14ac:dyDescent="0.25">
      <c r="AX2966" s="80"/>
    </row>
    <row r="2967" spans="50:50" x14ac:dyDescent="0.25">
      <c r="AX2967" s="80"/>
    </row>
    <row r="2968" spans="50:50" x14ac:dyDescent="0.25">
      <c r="AX2968" s="80"/>
    </row>
    <row r="2969" spans="50:50" x14ac:dyDescent="0.25">
      <c r="AX2969" s="80"/>
    </row>
    <row r="2970" spans="50:50" x14ac:dyDescent="0.25">
      <c r="AX2970" s="80"/>
    </row>
    <row r="2971" spans="50:50" x14ac:dyDescent="0.25">
      <c r="AX2971" s="80"/>
    </row>
    <row r="2972" spans="50:50" x14ac:dyDescent="0.25">
      <c r="AX2972" s="80"/>
    </row>
    <row r="2973" spans="50:50" x14ac:dyDescent="0.25">
      <c r="AX2973" s="80"/>
    </row>
    <row r="2974" spans="50:50" x14ac:dyDescent="0.25">
      <c r="AX2974" s="80"/>
    </row>
    <row r="2975" spans="50:50" x14ac:dyDescent="0.25">
      <c r="AX2975" s="80"/>
    </row>
    <row r="2976" spans="50:50" x14ac:dyDescent="0.25">
      <c r="AX2976" s="80"/>
    </row>
    <row r="2977" spans="50:50" x14ac:dyDescent="0.25">
      <c r="AX2977" s="80"/>
    </row>
    <row r="2978" spans="50:50" x14ac:dyDescent="0.25">
      <c r="AX2978" s="80"/>
    </row>
    <row r="2979" spans="50:50" x14ac:dyDescent="0.25">
      <c r="AX2979" s="80"/>
    </row>
    <row r="2980" spans="50:50" x14ac:dyDescent="0.25">
      <c r="AX2980" s="80"/>
    </row>
    <row r="2981" spans="50:50" x14ac:dyDescent="0.25">
      <c r="AX2981" s="80"/>
    </row>
    <row r="2982" spans="50:50" x14ac:dyDescent="0.25">
      <c r="AX2982" s="80"/>
    </row>
    <row r="2983" spans="50:50" x14ac:dyDescent="0.25">
      <c r="AX2983" s="80"/>
    </row>
    <row r="2984" spans="50:50" x14ac:dyDescent="0.25">
      <c r="AX2984" s="80"/>
    </row>
    <row r="2985" spans="50:50" x14ac:dyDescent="0.25">
      <c r="AX2985" s="80"/>
    </row>
    <row r="2986" spans="50:50" x14ac:dyDescent="0.25">
      <c r="AX2986" s="80"/>
    </row>
    <row r="2987" spans="50:50" x14ac:dyDescent="0.25">
      <c r="AX2987" s="80"/>
    </row>
    <row r="2988" spans="50:50" x14ac:dyDescent="0.25">
      <c r="AX2988" s="80"/>
    </row>
    <row r="2989" spans="50:50" x14ac:dyDescent="0.25">
      <c r="AX2989" s="80"/>
    </row>
    <row r="2990" spans="50:50" x14ac:dyDescent="0.25">
      <c r="AX2990" s="80"/>
    </row>
    <row r="2991" spans="50:50" x14ac:dyDescent="0.25">
      <c r="AX2991" s="80"/>
    </row>
    <row r="2992" spans="50:50" x14ac:dyDescent="0.25">
      <c r="AX2992" s="80"/>
    </row>
    <row r="2993" spans="50:50" x14ac:dyDescent="0.25">
      <c r="AX2993" s="80"/>
    </row>
    <row r="2994" spans="50:50" x14ac:dyDescent="0.25">
      <c r="AX2994" s="80"/>
    </row>
    <row r="2995" spans="50:50" x14ac:dyDescent="0.25">
      <c r="AX2995" s="80"/>
    </row>
    <row r="2996" spans="50:50" x14ac:dyDescent="0.25">
      <c r="AX2996" s="80"/>
    </row>
    <row r="2997" spans="50:50" x14ac:dyDescent="0.25">
      <c r="AX2997" s="80"/>
    </row>
    <row r="2998" spans="50:50" x14ac:dyDescent="0.25">
      <c r="AX2998" s="80"/>
    </row>
    <row r="2999" spans="50:50" x14ac:dyDescent="0.25">
      <c r="AX2999" s="80"/>
    </row>
    <row r="3000" spans="50:50" x14ac:dyDescent="0.25">
      <c r="AX3000" s="80"/>
    </row>
    <row r="3001" spans="50:50" x14ac:dyDescent="0.25">
      <c r="AX3001" s="80"/>
    </row>
    <row r="3002" spans="50:50" x14ac:dyDescent="0.25">
      <c r="AX3002" s="80"/>
    </row>
    <row r="3003" spans="50:50" x14ac:dyDescent="0.25">
      <c r="AX3003" s="80"/>
    </row>
    <row r="3004" spans="50:50" x14ac:dyDescent="0.25">
      <c r="AX3004" s="80"/>
    </row>
    <row r="3005" spans="50:50" x14ac:dyDescent="0.25">
      <c r="AX3005" s="80"/>
    </row>
    <row r="3006" spans="50:50" x14ac:dyDescent="0.25">
      <c r="AX3006" s="80"/>
    </row>
    <row r="3007" spans="50:50" x14ac:dyDescent="0.25">
      <c r="AX3007" s="80"/>
    </row>
    <row r="3008" spans="50:50" x14ac:dyDescent="0.25">
      <c r="AX3008" s="80"/>
    </row>
    <row r="3009" spans="50:50" x14ac:dyDescent="0.25">
      <c r="AX3009" s="80"/>
    </row>
    <row r="3010" spans="50:50" x14ac:dyDescent="0.25">
      <c r="AX3010" s="80"/>
    </row>
    <row r="3011" spans="50:50" x14ac:dyDescent="0.25">
      <c r="AX3011" s="80"/>
    </row>
    <row r="3012" spans="50:50" x14ac:dyDescent="0.25">
      <c r="AX3012" s="80"/>
    </row>
    <row r="3013" spans="50:50" x14ac:dyDescent="0.25">
      <c r="AX3013" s="80"/>
    </row>
    <row r="3014" spans="50:50" x14ac:dyDescent="0.25">
      <c r="AX3014" s="80"/>
    </row>
    <row r="3015" spans="50:50" x14ac:dyDescent="0.25">
      <c r="AX3015" s="80"/>
    </row>
    <row r="3016" spans="50:50" x14ac:dyDescent="0.25">
      <c r="AX3016" s="80"/>
    </row>
    <row r="3017" spans="50:50" x14ac:dyDescent="0.25">
      <c r="AX3017" s="80"/>
    </row>
    <row r="3018" spans="50:50" x14ac:dyDescent="0.25">
      <c r="AX3018" s="80"/>
    </row>
    <row r="3019" spans="50:50" x14ac:dyDescent="0.25">
      <c r="AX3019" s="80"/>
    </row>
    <row r="3020" spans="50:50" x14ac:dyDescent="0.25">
      <c r="AX3020" s="80"/>
    </row>
    <row r="3021" spans="50:50" x14ac:dyDescent="0.25">
      <c r="AX3021" s="80"/>
    </row>
    <row r="3022" spans="50:50" x14ac:dyDescent="0.25">
      <c r="AX3022" s="80"/>
    </row>
    <row r="3023" spans="50:50" x14ac:dyDescent="0.25">
      <c r="AX3023" s="80"/>
    </row>
    <row r="3024" spans="50:50" x14ac:dyDescent="0.25">
      <c r="AX3024" s="80"/>
    </row>
    <row r="3025" spans="50:50" x14ac:dyDescent="0.25">
      <c r="AX3025" s="80"/>
    </row>
    <row r="3026" spans="50:50" x14ac:dyDescent="0.25">
      <c r="AX3026" s="80"/>
    </row>
    <row r="3027" spans="50:50" x14ac:dyDescent="0.25">
      <c r="AX3027" s="80"/>
    </row>
    <row r="3028" spans="50:50" x14ac:dyDescent="0.25">
      <c r="AX3028" s="80"/>
    </row>
    <row r="3029" spans="50:50" x14ac:dyDescent="0.25">
      <c r="AX3029" s="80"/>
    </row>
    <row r="3030" spans="50:50" x14ac:dyDescent="0.25">
      <c r="AX3030" s="80"/>
    </row>
    <row r="3031" spans="50:50" x14ac:dyDescent="0.25">
      <c r="AX3031" s="80"/>
    </row>
    <row r="3032" spans="50:50" x14ac:dyDescent="0.25">
      <c r="AX3032" s="80"/>
    </row>
    <row r="3033" spans="50:50" x14ac:dyDescent="0.25">
      <c r="AX3033" s="80"/>
    </row>
    <row r="3034" spans="50:50" x14ac:dyDescent="0.25">
      <c r="AX3034" s="80"/>
    </row>
    <row r="3035" spans="50:50" x14ac:dyDescent="0.25">
      <c r="AX3035" s="80"/>
    </row>
    <row r="3036" spans="50:50" x14ac:dyDescent="0.25">
      <c r="AX3036" s="80"/>
    </row>
    <row r="3037" spans="50:50" x14ac:dyDescent="0.25">
      <c r="AX3037" s="80"/>
    </row>
    <row r="3038" spans="50:50" x14ac:dyDescent="0.25">
      <c r="AX3038" s="80"/>
    </row>
    <row r="3039" spans="50:50" x14ac:dyDescent="0.25">
      <c r="AX3039" s="80"/>
    </row>
    <row r="3040" spans="50:50" x14ac:dyDescent="0.25">
      <c r="AX3040" s="80"/>
    </row>
    <row r="3041" spans="50:50" x14ac:dyDescent="0.25">
      <c r="AX3041" s="80"/>
    </row>
    <row r="3042" spans="50:50" x14ac:dyDescent="0.25">
      <c r="AX3042" s="80"/>
    </row>
    <row r="3043" spans="50:50" x14ac:dyDescent="0.25">
      <c r="AX3043" s="80"/>
    </row>
    <row r="3044" spans="50:50" x14ac:dyDescent="0.25">
      <c r="AX3044" s="80"/>
    </row>
    <row r="3045" spans="50:50" x14ac:dyDescent="0.25">
      <c r="AX3045" s="80"/>
    </row>
    <row r="3046" spans="50:50" x14ac:dyDescent="0.25">
      <c r="AX3046" s="80"/>
    </row>
    <row r="3047" spans="50:50" x14ac:dyDescent="0.25">
      <c r="AX3047" s="80"/>
    </row>
    <row r="3048" spans="50:50" x14ac:dyDescent="0.25">
      <c r="AX3048" s="80"/>
    </row>
    <row r="3049" spans="50:50" x14ac:dyDescent="0.25">
      <c r="AX3049" s="80"/>
    </row>
    <row r="3050" spans="50:50" x14ac:dyDescent="0.25">
      <c r="AX3050" s="80"/>
    </row>
    <row r="3051" spans="50:50" x14ac:dyDescent="0.25">
      <c r="AX3051" s="80"/>
    </row>
    <row r="3052" spans="50:50" x14ac:dyDescent="0.25">
      <c r="AX3052" s="80"/>
    </row>
    <row r="3053" spans="50:50" x14ac:dyDescent="0.25">
      <c r="AX3053" s="80"/>
    </row>
    <row r="3054" spans="50:50" x14ac:dyDescent="0.25">
      <c r="AX3054" s="80"/>
    </row>
    <row r="3055" spans="50:50" x14ac:dyDescent="0.25">
      <c r="AX3055" s="80"/>
    </row>
    <row r="3056" spans="50:50" x14ac:dyDescent="0.25">
      <c r="AX3056" s="80"/>
    </row>
    <row r="3057" spans="50:50" x14ac:dyDescent="0.25">
      <c r="AX3057" s="80"/>
    </row>
    <row r="3058" spans="50:50" x14ac:dyDescent="0.25">
      <c r="AX3058" s="80"/>
    </row>
    <row r="3059" spans="50:50" x14ac:dyDescent="0.25">
      <c r="AX3059" s="80"/>
    </row>
    <row r="3060" spans="50:50" x14ac:dyDescent="0.25">
      <c r="AX3060" s="80"/>
    </row>
    <row r="3061" spans="50:50" x14ac:dyDescent="0.25">
      <c r="AX3061" s="80"/>
    </row>
    <row r="3062" spans="50:50" x14ac:dyDescent="0.25">
      <c r="AX3062" s="80"/>
    </row>
    <row r="3063" spans="50:50" x14ac:dyDescent="0.25">
      <c r="AX3063" s="80"/>
    </row>
    <row r="3064" spans="50:50" x14ac:dyDescent="0.25">
      <c r="AX3064" s="80"/>
    </row>
    <row r="3065" spans="50:50" x14ac:dyDescent="0.25">
      <c r="AX3065" s="80"/>
    </row>
    <row r="3066" spans="50:50" x14ac:dyDescent="0.25">
      <c r="AX3066" s="80"/>
    </row>
    <row r="3067" spans="50:50" x14ac:dyDescent="0.25">
      <c r="AX3067" s="80"/>
    </row>
    <row r="3068" spans="50:50" x14ac:dyDescent="0.25">
      <c r="AX3068" s="80"/>
    </row>
    <row r="3069" spans="50:50" x14ac:dyDescent="0.25">
      <c r="AX3069" s="80"/>
    </row>
    <row r="3070" spans="50:50" x14ac:dyDescent="0.25">
      <c r="AX3070" s="80"/>
    </row>
    <row r="3071" spans="50:50" x14ac:dyDescent="0.25">
      <c r="AX3071" s="80"/>
    </row>
    <row r="3072" spans="50:50" x14ac:dyDescent="0.25">
      <c r="AX3072" s="80"/>
    </row>
    <row r="3073" spans="50:50" x14ac:dyDescent="0.25">
      <c r="AX3073" s="80"/>
    </row>
    <row r="3074" spans="50:50" x14ac:dyDescent="0.25">
      <c r="AX3074" s="80"/>
    </row>
    <row r="3075" spans="50:50" x14ac:dyDescent="0.25">
      <c r="AX3075" s="80"/>
    </row>
    <row r="3076" spans="50:50" x14ac:dyDescent="0.25">
      <c r="AX3076" s="80"/>
    </row>
    <row r="3077" spans="50:50" x14ac:dyDescent="0.25">
      <c r="AX3077" s="80"/>
    </row>
    <row r="3078" spans="50:50" x14ac:dyDescent="0.25">
      <c r="AX3078" s="80"/>
    </row>
    <row r="3079" spans="50:50" x14ac:dyDescent="0.25">
      <c r="AX3079" s="80"/>
    </row>
    <row r="3080" spans="50:50" x14ac:dyDescent="0.25">
      <c r="AX3080" s="80"/>
    </row>
    <row r="3081" spans="50:50" x14ac:dyDescent="0.25">
      <c r="AX3081" s="80"/>
    </row>
    <row r="3082" spans="50:50" x14ac:dyDescent="0.25">
      <c r="AX3082" s="80"/>
    </row>
    <row r="3083" spans="50:50" x14ac:dyDescent="0.25">
      <c r="AX3083" s="80"/>
    </row>
    <row r="3084" spans="50:50" x14ac:dyDescent="0.25">
      <c r="AX3084" s="80"/>
    </row>
    <row r="3085" spans="50:50" x14ac:dyDescent="0.25">
      <c r="AX3085" s="80"/>
    </row>
    <row r="3086" spans="50:50" x14ac:dyDescent="0.25">
      <c r="AX3086" s="80"/>
    </row>
    <row r="3087" spans="50:50" x14ac:dyDescent="0.25">
      <c r="AX3087" s="80"/>
    </row>
    <row r="3088" spans="50:50" x14ac:dyDescent="0.25">
      <c r="AX3088" s="80"/>
    </row>
    <row r="3089" spans="50:50" x14ac:dyDescent="0.25">
      <c r="AX3089" s="80"/>
    </row>
    <row r="3090" spans="50:50" x14ac:dyDescent="0.25">
      <c r="AX3090" s="80"/>
    </row>
    <row r="3091" spans="50:50" x14ac:dyDescent="0.25">
      <c r="AX3091" s="80"/>
    </row>
    <row r="3092" spans="50:50" x14ac:dyDescent="0.25">
      <c r="AX3092" s="80"/>
    </row>
    <row r="3093" spans="50:50" x14ac:dyDescent="0.25">
      <c r="AX3093" s="80"/>
    </row>
    <row r="3094" spans="50:50" x14ac:dyDescent="0.25">
      <c r="AX3094" s="80"/>
    </row>
    <row r="3095" spans="50:50" x14ac:dyDescent="0.25">
      <c r="AX3095" s="80"/>
    </row>
    <row r="3096" spans="50:50" x14ac:dyDescent="0.25">
      <c r="AX3096" s="80"/>
    </row>
    <row r="3097" spans="50:50" x14ac:dyDescent="0.25">
      <c r="AX3097" s="80"/>
    </row>
    <row r="3098" spans="50:50" x14ac:dyDescent="0.25">
      <c r="AX3098" s="80"/>
    </row>
    <row r="3099" spans="50:50" x14ac:dyDescent="0.25">
      <c r="AX3099" s="80"/>
    </row>
    <row r="3100" spans="50:50" x14ac:dyDescent="0.25">
      <c r="AX3100" s="80"/>
    </row>
    <row r="3101" spans="50:50" x14ac:dyDescent="0.25">
      <c r="AX3101" s="80"/>
    </row>
    <row r="3102" spans="50:50" x14ac:dyDescent="0.25">
      <c r="AX3102" s="80"/>
    </row>
    <row r="3103" spans="50:50" x14ac:dyDescent="0.25">
      <c r="AX3103" s="80"/>
    </row>
    <row r="3104" spans="50:50" x14ac:dyDescent="0.25">
      <c r="AX3104" s="80"/>
    </row>
    <row r="3105" spans="50:50" x14ac:dyDescent="0.25">
      <c r="AX3105" s="80"/>
    </row>
    <row r="3106" spans="50:50" x14ac:dyDescent="0.25">
      <c r="AX3106" s="80"/>
    </row>
    <row r="3107" spans="50:50" x14ac:dyDescent="0.25">
      <c r="AX3107" s="80"/>
    </row>
    <row r="3108" spans="50:50" x14ac:dyDescent="0.25">
      <c r="AX3108" s="80"/>
    </row>
    <row r="3109" spans="50:50" x14ac:dyDescent="0.25">
      <c r="AX3109" s="80"/>
    </row>
    <row r="3110" spans="50:50" x14ac:dyDescent="0.25">
      <c r="AX3110" s="80"/>
    </row>
    <row r="3111" spans="50:50" x14ac:dyDescent="0.25">
      <c r="AX3111" s="80"/>
    </row>
    <row r="3112" spans="50:50" x14ac:dyDescent="0.25">
      <c r="AX3112" s="80"/>
    </row>
    <row r="3113" spans="50:50" x14ac:dyDescent="0.25">
      <c r="AX3113" s="80"/>
    </row>
    <row r="3114" spans="50:50" x14ac:dyDescent="0.25">
      <c r="AX3114" s="80"/>
    </row>
    <row r="3115" spans="50:50" x14ac:dyDescent="0.25">
      <c r="AX3115" s="80"/>
    </row>
    <row r="3116" spans="50:50" x14ac:dyDescent="0.25">
      <c r="AX3116" s="80"/>
    </row>
    <row r="3117" spans="50:50" x14ac:dyDescent="0.25">
      <c r="AX3117" s="80"/>
    </row>
    <row r="3118" spans="50:50" x14ac:dyDescent="0.25">
      <c r="AX3118" s="80"/>
    </row>
    <row r="3119" spans="50:50" x14ac:dyDescent="0.25">
      <c r="AX3119" s="80"/>
    </row>
    <row r="3120" spans="50:50" x14ac:dyDescent="0.25">
      <c r="AX3120" s="80"/>
    </row>
    <row r="3121" spans="50:50" x14ac:dyDescent="0.25">
      <c r="AX3121" s="80"/>
    </row>
    <row r="3122" spans="50:50" x14ac:dyDescent="0.25">
      <c r="AX3122" s="80"/>
    </row>
    <row r="3123" spans="50:50" x14ac:dyDescent="0.25">
      <c r="AX3123" s="80"/>
    </row>
    <row r="3124" spans="50:50" x14ac:dyDescent="0.25">
      <c r="AX3124" s="80"/>
    </row>
    <row r="3125" spans="50:50" x14ac:dyDescent="0.25">
      <c r="AX3125" s="80"/>
    </row>
    <row r="3126" spans="50:50" x14ac:dyDescent="0.25">
      <c r="AX3126" s="80"/>
    </row>
    <row r="3127" spans="50:50" x14ac:dyDescent="0.25">
      <c r="AX3127" s="80"/>
    </row>
    <row r="3128" spans="50:50" x14ac:dyDescent="0.25">
      <c r="AX3128" s="80"/>
    </row>
    <row r="3129" spans="50:50" x14ac:dyDescent="0.25">
      <c r="AX3129" s="80"/>
    </row>
    <row r="3130" spans="50:50" x14ac:dyDescent="0.25">
      <c r="AX3130" s="80"/>
    </row>
    <row r="3131" spans="50:50" x14ac:dyDescent="0.25">
      <c r="AX3131" s="80"/>
    </row>
    <row r="3132" spans="50:50" x14ac:dyDescent="0.25">
      <c r="AX3132" s="80"/>
    </row>
    <row r="3133" spans="50:50" x14ac:dyDescent="0.25">
      <c r="AX3133" s="80"/>
    </row>
    <row r="3134" spans="50:50" x14ac:dyDescent="0.25">
      <c r="AX3134" s="80"/>
    </row>
    <row r="3135" spans="50:50" x14ac:dyDescent="0.25">
      <c r="AX3135" s="80"/>
    </row>
    <row r="3136" spans="50:50" x14ac:dyDescent="0.25">
      <c r="AX3136" s="80"/>
    </row>
    <row r="3137" spans="50:50" x14ac:dyDescent="0.25">
      <c r="AX3137" s="80"/>
    </row>
    <row r="3138" spans="50:50" x14ac:dyDescent="0.25">
      <c r="AX3138" s="80"/>
    </row>
    <row r="3139" spans="50:50" x14ac:dyDescent="0.25">
      <c r="AX3139" s="80"/>
    </row>
    <row r="3140" spans="50:50" x14ac:dyDescent="0.25">
      <c r="AX3140" s="80"/>
    </row>
    <row r="3141" spans="50:50" x14ac:dyDescent="0.25">
      <c r="AX3141" s="80"/>
    </row>
    <row r="3142" spans="50:50" x14ac:dyDescent="0.25">
      <c r="AX3142" s="80"/>
    </row>
    <row r="3143" spans="50:50" x14ac:dyDescent="0.25">
      <c r="AX3143" s="80"/>
    </row>
    <row r="3144" spans="50:50" x14ac:dyDescent="0.25">
      <c r="AX3144" s="80"/>
    </row>
    <row r="3145" spans="50:50" x14ac:dyDescent="0.25">
      <c r="AX3145" s="80"/>
    </row>
    <row r="3146" spans="50:50" x14ac:dyDescent="0.25">
      <c r="AX3146" s="80"/>
    </row>
    <row r="3147" spans="50:50" x14ac:dyDescent="0.25">
      <c r="AX3147" s="80"/>
    </row>
    <row r="3148" spans="50:50" x14ac:dyDescent="0.25">
      <c r="AX3148" s="80"/>
    </row>
    <row r="3149" spans="50:50" x14ac:dyDescent="0.25">
      <c r="AX3149" s="80"/>
    </row>
    <row r="3150" spans="50:50" x14ac:dyDescent="0.25">
      <c r="AX3150" s="80"/>
    </row>
    <row r="3151" spans="50:50" x14ac:dyDescent="0.25">
      <c r="AX3151" s="80"/>
    </row>
    <row r="3152" spans="50:50" x14ac:dyDescent="0.25">
      <c r="AX3152" s="80"/>
    </row>
    <row r="3153" spans="50:50" x14ac:dyDescent="0.25">
      <c r="AX3153" s="80"/>
    </row>
    <row r="3154" spans="50:50" x14ac:dyDescent="0.25">
      <c r="AX3154" s="80"/>
    </row>
    <row r="3155" spans="50:50" x14ac:dyDescent="0.25">
      <c r="AX3155" s="80"/>
    </row>
    <row r="3156" spans="50:50" x14ac:dyDescent="0.25">
      <c r="AX3156" s="80"/>
    </row>
    <row r="3157" spans="50:50" x14ac:dyDescent="0.25">
      <c r="AX3157" s="80"/>
    </row>
    <row r="3158" spans="50:50" x14ac:dyDescent="0.25">
      <c r="AX3158" s="80"/>
    </row>
    <row r="3159" spans="50:50" x14ac:dyDescent="0.25">
      <c r="AX3159" s="80"/>
    </row>
    <row r="3160" spans="50:50" x14ac:dyDescent="0.25">
      <c r="AX3160" s="80"/>
    </row>
    <row r="3161" spans="50:50" x14ac:dyDescent="0.25">
      <c r="AX3161" s="80"/>
    </row>
    <row r="3162" spans="50:50" x14ac:dyDescent="0.25">
      <c r="AX3162" s="80"/>
    </row>
    <row r="3163" spans="50:50" x14ac:dyDescent="0.25">
      <c r="AX3163" s="80"/>
    </row>
    <row r="3164" spans="50:50" x14ac:dyDescent="0.25">
      <c r="AX3164" s="80"/>
    </row>
    <row r="3165" spans="50:50" x14ac:dyDescent="0.25">
      <c r="AX3165" s="80"/>
    </row>
    <row r="3166" spans="50:50" x14ac:dyDescent="0.25">
      <c r="AX3166" s="80"/>
    </row>
    <row r="3167" spans="50:50" x14ac:dyDescent="0.25">
      <c r="AX3167" s="80"/>
    </row>
    <row r="3168" spans="50:50" x14ac:dyDescent="0.25">
      <c r="AX3168" s="80"/>
    </row>
    <row r="3169" spans="50:50" x14ac:dyDescent="0.25">
      <c r="AX3169" s="80"/>
    </row>
    <row r="3170" spans="50:50" x14ac:dyDescent="0.25">
      <c r="AX3170" s="80"/>
    </row>
    <row r="3171" spans="50:50" x14ac:dyDescent="0.25">
      <c r="AX3171" s="80"/>
    </row>
    <row r="3172" spans="50:50" x14ac:dyDescent="0.25">
      <c r="AX3172" s="80"/>
    </row>
    <row r="3173" spans="50:50" x14ac:dyDescent="0.25">
      <c r="AX3173" s="80"/>
    </row>
    <row r="3174" spans="50:50" x14ac:dyDescent="0.25">
      <c r="AX3174" s="80"/>
    </row>
    <row r="3175" spans="50:50" x14ac:dyDescent="0.25">
      <c r="AX3175" s="80"/>
    </row>
    <row r="3176" spans="50:50" x14ac:dyDescent="0.25">
      <c r="AX3176" s="80"/>
    </row>
    <row r="3177" spans="50:50" x14ac:dyDescent="0.25">
      <c r="AX3177" s="80"/>
    </row>
    <row r="3178" spans="50:50" x14ac:dyDescent="0.25">
      <c r="AX3178" s="80"/>
    </row>
    <row r="3179" spans="50:50" x14ac:dyDescent="0.25">
      <c r="AX3179" s="80"/>
    </row>
    <row r="3180" spans="50:50" x14ac:dyDescent="0.25">
      <c r="AX3180" s="80"/>
    </row>
    <row r="3181" spans="50:50" x14ac:dyDescent="0.25">
      <c r="AX3181" s="80"/>
    </row>
    <row r="3182" spans="50:50" x14ac:dyDescent="0.25">
      <c r="AX3182" s="80"/>
    </row>
    <row r="3183" spans="50:50" x14ac:dyDescent="0.25">
      <c r="AX3183" s="80"/>
    </row>
    <row r="3184" spans="50:50" x14ac:dyDescent="0.25">
      <c r="AX3184" s="80"/>
    </row>
    <row r="3185" spans="50:50" x14ac:dyDescent="0.25">
      <c r="AX3185" s="80"/>
    </row>
    <row r="3186" spans="50:50" x14ac:dyDescent="0.25">
      <c r="AX3186" s="80"/>
    </row>
    <row r="3187" spans="50:50" x14ac:dyDescent="0.25">
      <c r="AX3187" s="80"/>
    </row>
    <row r="3188" spans="50:50" x14ac:dyDescent="0.25">
      <c r="AX3188" s="80"/>
    </row>
    <row r="3189" spans="50:50" x14ac:dyDescent="0.25">
      <c r="AX3189" s="80"/>
    </row>
    <row r="3190" spans="50:50" x14ac:dyDescent="0.25">
      <c r="AX3190" s="80"/>
    </row>
    <row r="3191" spans="50:50" x14ac:dyDescent="0.25">
      <c r="AX3191" s="80"/>
    </row>
    <row r="3192" spans="50:50" x14ac:dyDescent="0.25">
      <c r="AX3192" s="80"/>
    </row>
    <row r="3193" spans="50:50" x14ac:dyDescent="0.25">
      <c r="AX3193" s="80"/>
    </row>
    <row r="3194" spans="50:50" x14ac:dyDescent="0.25">
      <c r="AX3194" s="80"/>
    </row>
    <row r="3195" spans="50:50" x14ac:dyDescent="0.25">
      <c r="AX3195" s="80"/>
    </row>
    <row r="3196" spans="50:50" x14ac:dyDescent="0.25">
      <c r="AX3196" s="80"/>
    </row>
    <row r="3197" spans="50:50" x14ac:dyDescent="0.25">
      <c r="AX3197" s="80"/>
    </row>
    <row r="3198" spans="50:50" x14ac:dyDescent="0.25">
      <c r="AX3198" s="80"/>
    </row>
    <row r="3199" spans="50:50" x14ac:dyDescent="0.25">
      <c r="AX3199" s="80"/>
    </row>
    <row r="3200" spans="50:50" x14ac:dyDescent="0.25">
      <c r="AX3200" s="80"/>
    </row>
    <row r="3201" spans="50:50" x14ac:dyDescent="0.25">
      <c r="AX3201" s="80"/>
    </row>
    <row r="3202" spans="50:50" x14ac:dyDescent="0.25">
      <c r="AX3202" s="80"/>
    </row>
    <row r="3203" spans="50:50" x14ac:dyDescent="0.25">
      <c r="AX3203" s="80"/>
    </row>
    <row r="3204" spans="50:50" x14ac:dyDescent="0.25">
      <c r="AX3204" s="80"/>
    </row>
    <row r="3205" spans="50:50" x14ac:dyDescent="0.25">
      <c r="AX3205" s="80"/>
    </row>
    <row r="3206" spans="50:50" x14ac:dyDescent="0.25">
      <c r="AX3206" s="80"/>
    </row>
    <row r="3207" spans="50:50" x14ac:dyDescent="0.25">
      <c r="AX3207" s="80"/>
    </row>
    <row r="3208" spans="50:50" x14ac:dyDescent="0.25">
      <c r="AX3208" s="80"/>
    </row>
    <row r="3209" spans="50:50" x14ac:dyDescent="0.25">
      <c r="AX3209" s="80"/>
    </row>
    <row r="3210" spans="50:50" x14ac:dyDescent="0.25">
      <c r="AX3210" s="80"/>
    </row>
    <row r="3211" spans="50:50" x14ac:dyDescent="0.25">
      <c r="AX3211" s="80"/>
    </row>
    <row r="3212" spans="50:50" x14ac:dyDescent="0.25">
      <c r="AX3212" s="80"/>
    </row>
    <row r="3213" spans="50:50" x14ac:dyDescent="0.25">
      <c r="AX3213" s="80"/>
    </row>
    <row r="3214" spans="50:50" x14ac:dyDescent="0.25">
      <c r="AX3214" s="80"/>
    </row>
    <row r="3215" spans="50:50" x14ac:dyDescent="0.25">
      <c r="AX3215" s="80"/>
    </row>
    <row r="3216" spans="50:50" x14ac:dyDescent="0.25">
      <c r="AX3216" s="80"/>
    </row>
    <row r="3217" spans="50:50" x14ac:dyDescent="0.25">
      <c r="AX3217" s="80"/>
    </row>
    <row r="3218" spans="50:50" x14ac:dyDescent="0.25">
      <c r="AX3218" s="80"/>
    </row>
    <row r="3219" spans="50:50" x14ac:dyDescent="0.25">
      <c r="AX3219" s="80"/>
    </row>
    <row r="3220" spans="50:50" x14ac:dyDescent="0.25">
      <c r="AX3220" s="80"/>
    </row>
    <row r="3221" spans="50:50" x14ac:dyDescent="0.25">
      <c r="AX3221" s="80"/>
    </row>
    <row r="3222" spans="50:50" x14ac:dyDescent="0.25">
      <c r="AX3222" s="80"/>
    </row>
    <row r="3223" spans="50:50" x14ac:dyDescent="0.25">
      <c r="AX3223" s="80"/>
    </row>
    <row r="3224" spans="50:50" x14ac:dyDescent="0.25">
      <c r="AX3224" s="80"/>
    </row>
    <row r="3225" spans="50:50" x14ac:dyDescent="0.25">
      <c r="AX3225" s="80"/>
    </row>
    <row r="3226" spans="50:50" x14ac:dyDescent="0.25">
      <c r="AX3226" s="80"/>
    </row>
    <row r="3227" spans="50:50" x14ac:dyDescent="0.25">
      <c r="AX3227" s="80"/>
    </row>
    <row r="3228" spans="50:50" x14ac:dyDescent="0.25">
      <c r="AX3228" s="80"/>
    </row>
    <row r="3229" spans="50:50" x14ac:dyDescent="0.25">
      <c r="AX3229" s="80"/>
    </row>
    <row r="3230" spans="50:50" x14ac:dyDescent="0.25">
      <c r="AX3230" s="80"/>
    </row>
    <row r="3231" spans="50:50" x14ac:dyDescent="0.25">
      <c r="AX3231" s="80"/>
    </row>
    <row r="3232" spans="50:50" x14ac:dyDescent="0.25">
      <c r="AX3232" s="80"/>
    </row>
    <row r="3233" spans="50:50" x14ac:dyDescent="0.25">
      <c r="AX3233" s="80"/>
    </row>
    <row r="3234" spans="50:50" x14ac:dyDescent="0.25">
      <c r="AX3234" s="80"/>
    </row>
    <row r="3235" spans="50:50" x14ac:dyDescent="0.25">
      <c r="AX3235" s="80"/>
    </row>
    <row r="3236" spans="50:50" x14ac:dyDescent="0.25">
      <c r="AX3236" s="80"/>
    </row>
    <row r="3237" spans="50:50" x14ac:dyDescent="0.25">
      <c r="AX3237" s="80"/>
    </row>
    <row r="3238" spans="50:50" x14ac:dyDescent="0.25">
      <c r="AX3238" s="80"/>
    </row>
    <row r="3239" spans="50:50" x14ac:dyDescent="0.25">
      <c r="AX3239" s="80"/>
    </row>
    <row r="3240" spans="50:50" x14ac:dyDescent="0.25">
      <c r="AX3240" s="80"/>
    </row>
    <row r="3241" spans="50:50" x14ac:dyDescent="0.25">
      <c r="AX3241" s="80"/>
    </row>
    <row r="3242" spans="50:50" x14ac:dyDescent="0.25">
      <c r="AX3242" s="80"/>
    </row>
    <row r="3243" spans="50:50" x14ac:dyDescent="0.25">
      <c r="AX3243" s="80"/>
    </row>
    <row r="3244" spans="50:50" x14ac:dyDescent="0.25">
      <c r="AX3244" s="80"/>
    </row>
    <row r="3245" spans="50:50" x14ac:dyDescent="0.25">
      <c r="AX3245" s="80"/>
    </row>
    <row r="3246" spans="50:50" x14ac:dyDescent="0.25">
      <c r="AX3246" s="80"/>
    </row>
    <row r="3247" spans="50:50" x14ac:dyDescent="0.25">
      <c r="AX3247" s="80"/>
    </row>
    <row r="3248" spans="50:50" x14ac:dyDescent="0.25">
      <c r="AX3248" s="80"/>
    </row>
    <row r="3249" spans="50:50" x14ac:dyDescent="0.25">
      <c r="AX3249" s="80"/>
    </row>
    <row r="3250" spans="50:50" x14ac:dyDescent="0.25">
      <c r="AX3250" s="80"/>
    </row>
    <row r="3251" spans="50:50" x14ac:dyDescent="0.25">
      <c r="AX3251" s="80"/>
    </row>
    <row r="3252" spans="50:50" x14ac:dyDescent="0.25">
      <c r="AX3252" s="80"/>
    </row>
    <row r="3253" spans="50:50" x14ac:dyDescent="0.25">
      <c r="AX3253" s="80"/>
    </row>
    <row r="3254" spans="50:50" x14ac:dyDescent="0.25">
      <c r="AX3254" s="80"/>
    </row>
    <row r="3255" spans="50:50" x14ac:dyDescent="0.25">
      <c r="AX3255" s="80"/>
    </row>
    <row r="3256" spans="50:50" x14ac:dyDescent="0.25">
      <c r="AX3256" s="80"/>
    </row>
    <row r="3257" spans="50:50" x14ac:dyDescent="0.25">
      <c r="AX3257" s="80"/>
    </row>
    <row r="3258" spans="50:50" x14ac:dyDescent="0.25">
      <c r="AX3258" s="80"/>
    </row>
    <row r="3259" spans="50:50" x14ac:dyDescent="0.25">
      <c r="AX3259" s="80"/>
    </row>
    <row r="3260" spans="50:50" x14ac:dyDescent="0.25">
      <c r="AX3260" s="80"/>
    </row>
    <row r="3261" spans="50:50" x14ac:dyDescent="0.25">
      <c r="AX3261" s="80"/>
    </row>
    <row r="3262" spans="50:50" x14ac:dyDescent="0.25">
      <c r="AX3262" s="80"/>
    </row>
    <row r="3263" spans="50:50" x14ac:dyDescent="0.25">
      <c r="AX3263" s="80"/>
    </row>
    <row r="3264" spans="50:50" x14ac:dyDescent="0.25">
      <c r="AX3264" s="80"/>
    </row>
    <row r="3265" spans="50:50" x14ac:dyDescent="0.25">
      <c r="AX3265" s="80"/>
    </row>
    <row r="3266" spans="50:50" x14ac:dyDescent="0.25">
      <c r="AX3266" s="80"/>
    </row>
    <row r="3267" spans="50:50" x14ac:dyDescent="0.25">
      <c r="AX3267" s="80"/>
    </row>
    <row r="3268" spans="50:50" x14ac:dyDescent="0.25">
      <c r="AX3268" s="80"/>
    </row>
    <row r="3269" spans="50:50" x14ac:dyDescent="0.25">
      <c r="AX3269" s="80"/>
    </row>
    <row r="3270" spans="50:50" x14ac:dyDescent="0.25">
      <c r="AX3270" s="80"/>
    </row>
    <row r="3271" spans="50:50" x14ac:dyDescent="0.25">
      <c r="AX3271" s="80"/>
    </row>
    <row r="3272" spans="50:50" x14ac:dyDescent="0.25">
      <c r="AX3272" s="80"/>
    </row>
    <row r="3273" spans="50:50" x14ac:dyDescent="0.25">
      <c r="AX3273" s="80"/>
    </row>
    <row r="3274" spans="50:50" x14ac:dyDescent="0.25">
      <c r="AX3274" s="80"/>
    </row>
    <row r="3275" spans="50:50" x14ac:dyDescent="0.25">
      <c r="AX3275" s="80"/>
    </row>
    <row r="3276" spans="50:50" x14ac:dyDescent="0.25">
      <c r="AX3276" s="80"/>
    </row>
    <row r="3277" spans="50:50" x14ac:dyDescent="0.25">
      <c r="AX3277" s="80"/>
    </row>
    <row r="3278" spans="50:50" x14ac:dyDescent="0.25">
      <c r="AX3278" s="80"/>
    </row>
    <row r="3279" spans="50:50" x14ac:dyDescent="0.25">
      <c r="AX3279" s="80"/>
    </row>
    <row r="3280" spans="50:50" x14ac:dyDescent="0.25">
      <c r="AX3280" s="80"/>
    </row>
    <row r="3281" spans="50:50" x14ac:dyDescent="0.25">
      <c r="AX3281" s="80"/>
    </row>
    <row r="3282" spans="50:50" x14ac:dyDescent="0.25">
      <c r="AX3282" s="80"/>
    </row>
    <row r="3283" spans="50:50" x14ac:dyDescent="0.25">
      <c r="AX3283" s="80"/>
    </row>
    <row r="3284" spans="50:50" x14ac:dyDescent="0.25">
      <c r="AX3284" s="80"/>
    </row>
    <row r="3285" spans="50:50" x14ac:dyDescent="0.25">
      <c r="AX3285" s="80"/>
    </row>
    <row r="3286" spans="50:50" x14ac:dyDescent="0.25">
      <c r="AX3286" s="80"/>
    </row>
    <row r="3287" spans="50:50" x14ac:dyDescent="0.25">
      <c r="AX3287" s="80"/>
    </row>
    <row r="3288" spans="50:50" x14ac:dyDescent="0.25">
      <c r="AX3288" s="80"/>
    </row>
    <row r="3289" spans="50:50" x14ac:dyDescent="0.25">
      <c r="AX3289" s="80"/>
    </row>
    <row r="3290" spans="50:50" x14ac:dyDescent="0.25">
      <c r="AX3290" s="80"/>
    </row>
    <row r="3291" spans="50:50" x14ac:dyDescent="0.25">
      <c r="AX3291" s="80"/>
    </row>
    <row r="3292" spans="50:50" x14ac:dyDescent="0.25">
      <c r="AX3292" s="80"/>
    </row>
    <row r="3293" spans="50:50" x14ac:dyDescent="0.25">
      <c r="AX3293" s="80"/>
    </row>
    <row r="3294" spans="50:50" x14ac:dyDescent="0.25">
      <c r="AX3294" s="80"/>
    </row>
    <row r="3295" spans="50:50" x14ac:dyDescent="0.25">
      <c r="AX3295" s="80"/>
    </row>
    <row r="3296" spans="50:50" x14ac:dyDescent="0.25">
      <c r="AX3296" s="80"/>
    </row>
    <row r="3297" spans="48:50" x14ac:dyDescent="0.25">
      <c r="AX3297" s="80"/>
    </row>
    <row r="3298" spans="48:50" x14ac:dyDescent="0.25">
      <c r="AX3298" s="80"/>
    </row>
    <row r="3299" spans="48:50" x14ac:dyDescent="0.25">
      <c r="AX3299" s="80"/>
    </row>
    <row r="3300" spans="48:50" x14ac:dyDescent="0.25">
      <c r="AX3300" s="80"/>
    </row>
    <row r="3301" spans="48:50" x14ac:dyDescent="0.25">
      <c r="AX3301" s="80"/>
    </row>
    <row r="3302" spans="48:50" x14ac:dyDescent="0.25">
      <c r="AX3302" s="80"/>
    </row>
    <row r="3303" spans="48:50" x14ac:dyDescent="0.25">
      <c r="AX3303" s="80"/>
    </row>
    <row r="3304" spans="48:50" x14ac:dyDescent="0.25">
      <c r="AX3304" s="80"/>
    </row>
    <row r="3305" spans="48:50" x14ac:dyDescent="0.25">
      <c r="AX3305" s="80"/>
    </row>
    <row r="3306" spans="48:50" x14ac:dyDescent="0.25">
      <c r="AX3306" s="80"/>
    </row>
    <row r="3307" spans="48:50" x14ac:dyDescent="0.25">
      <c r="AX3307" s="80"/>
    </row>
    <row r="3308" spans="48:50" x14ac:dyDescent="0.25">
      <c r="AX3308" s="80"/>
    </row>
    <row r="3309" spans="48:50" x14ac:dyDescent="0.25">
      <c r="AX3309" s="80"/>
    </row>
    <row r="3310" spans="48:50" x14ac:dyDescent="0.25">
      <c r="AV3310" s="90"/>
      <c r="AX3310" s="80"/>
    </row>
    <row r="3311" spans="48:50" x14ac:dyDescent="0.25">
      <c r="AX3311" s="80"/>
    </row>
    <row r="3312" spans="48:50" x14ac:dyDescent="0.25">
      <c r="AX3312" s="80"/>
    </row>
    <row r="3313" spans="50:50" x14ac:dyDescent="0.25">
      <c r="AX3313" s="80"/>
    </row>
    <row r="3314" spans="50:50" x14ac:dyDescent="0.25">
      <c r="AX3314" s="80"/>
    </row>
    <row r="3315" spans="50:50" x14ac:dyDescent="0.25">
      <c r="AX3315" s="80"/>
    </row>
    <row r="3316" spans="50:50" x14ac:dyDescent="0.25">
      <c r="AX3316" s="80"/>
    </row>
    <row r="3317" spans="50:50" x14ac:dyDescent="0.25">
      <c r="AX3317" s="80"/>
    </row>
    <row r="3318" spans="50:50" x14ac:dyDescent="0.25">
      <c r="AX3318" s="80"/>
    </row>
    <row r="3319" spans="50:50" x14ac:dyDescent="0.25">
      <c r="AX3319" s="80"/>
    </row>
    <row r="3320" spans="50:50" x14ac:dyDescent="0.25">
      <c r="AX3320" s="80"/>
    </row>
    <row r="3321" spans="50:50" x14ac:dyDescent="0.25">
      <c r="AX3321" s="80"/>
    </row>
    <row r="3322" spans="50:50" x14ac:dyDescent="0.25">
      <c r="AX3322" s="80"/>
    </row>
    <row r="3323" spans="50:50" x14ac:dyDescent="0.25">
      <c r="AX3323" s="80"/>
    </row>
    <row r="3324" spans="50:50" x14ac:dyDescent="0.25">
      <c r="AX3324" s="80"/>
    </row>
    <row r="3325" spans="50:50" x14ac:dyDescent="0.25">
      <c r="AX3325" s="80"/>
    </row>
    <row r="3326" spans="50:50" x14ac:dyDescent="0.25">
      <c r="AX3326" s="80"/>
    </row>
    <row r="3327" spans="50:50" x14ac:dyDescent="0.25">
      <c r="AX3327" s="80"/>
    </row>
    <row r="3328" spans="50:50" x14ac:dyDescent="0.25">
      <c r="AX3328" s="80"/>
    </row>
    <row r="3329" spans="50:50" x14ac:dyDescent="0.25">
      <c r="AX3329" s="80"/>
    </row>
    <row r="3330" spans="50:50" x14ac:dyDescent="0.25">
      <c r="AX3330" s="80"/>
    </row>
    <row r="3331" spans="50:50" x14ac:dyDescent="0.25">
      <c r="AX3331" s="80"/>
    </row>
    <row r="3332" spans="50:50" x14ac:dyDescent="0.25">
      <c r="AX3332" s="80"/>
    </row>
    <row r="3333" spans="50:50" x14ac:dyDescent="0.25">
      <c r="AX3333" s="80"/>
    </row>
    <row r="3334" spans="50:50" x14ac:dyDescent="0.25">
      <c r="AX3334" s="80"/>
    </row>
    <row r="3335" spans="50:50" x14ac:dyDescent="0.25">
      <c r="AX3335" s="80"/>
    </row>
    <row r="3336" spans="50:50" x14ac:dyDescent="0.25">
      <c r="AX3336" s="80"/>
    </row>
    <row r="3337" spans="50:50" x14ac:dyDescent="0.25">
      <c r="AX3337" s="80"/>
    </row>
    <row r="3338" spans="50:50" x14ac:dyDescent="0.25">
      <c r="AX3338" s="80"/>
    </row>
    <row r="3339" spans="50:50" x14ac:dyDescent="0.25">
      <c r="AX3339" s="80"/>
    </row>
    <row r="3340" spans="50:50" x14ac:dyDescent="0.25">
      <c r="AX3340" s="80"/>
    </row>
    <row r="3341" spans="50:50" x14ac:dyDescent="0.25">
      <c r="AX3341" s="80"/>
    </row>
    <row r="3342" spans="50:50" x14ac:dyDescent="0.25">
      <c r="AX3342" s="80"/>
    </row>
    <row r="3343" spans="50:50" x14ac:dyDescent="0.25">
      <c r="AX3343" s="80"/>
    </row>
    <row r="3344" spans="50:50" x14ac:dyDescent="0.25">
      <c r="AX3344" s="80"/>
    </row>
    <row r="3345" spans="50:50" x14ac:dyDescent="0.25">
      <c r="AX3345" s="80"/>
    </row>
    <row r="3346" spans="50:50" x14ac:dyDescent="0.25">
      <c r="AX3346" s="80"/>
    </row>
    <row r="3347" spans="50:50" x14ac:dyDescent="0.25">
      <c r="AX3347" s="80"/>
    </row>
    <row r="3348" spans="50:50" x14ac:dyDescent="0.25">
      <c r="AX3348" s="80"/>
    </row>
    <row r="3349" spans="50:50" x14ac:dyDescent="0.25">
      <c r="AX3349" s="80"/>
    </row>
    <row r="3350" spans="50:50" x14ac:dyDescent="0.25">
      <c r="AX3350" s="80"/>
    </row>
    <row r="3351" spans="50:50" x14ac:dyDescent="0.25">
      <c r="AX3351" s="80"/>
    </row>
    <row r="3352" spans="50:50" x14ac:dyDescent="0.25">
      <c r="AX3352" s="80"/>
    </row>
    <row r="3353" spans="50:50" x14ac:dyDescent="0.25">
      <c r="AX3353" s="80"/>
    </row>
    <row r="3354" spans="50:50" x14ac:dyDescent="0.25">
      <c r="AX3354" s="80"/>
    </row>
    <row r="3355" spans="50:50" x14ac:dyDescent="0.25">
      <c r="AX3355" s="80"/>
    </row>
    <row r="3356" spans="50:50" x14ac:dyDescent="0.25">
      <c r="AX3356" s="80"/>
    </row>
    <row r="3357" spans="50:50" x14ac:dyDescent="0.25">
      <c r="AX3357" s="80"/>
    </row>
    <row r="3358" spans="50:50" x14ac:dyDescent="0.25">
      <c r="AX3358" s="80"/>
    </row>
    <row r="3359" spans="50:50" x14ac:dyDescent="0.25">
      <c r="AX3359" s="80"/>
    </row>
    <row r="3360" spans="50:50" x14ac:dyDescent="0.25">
      <c r="AX3360" s="80"/>
    </row>
    <row r="3361" spans="50:50" x14ac:dyDescent="0.25">
      <c r="AX3361" s="80"/>
    </row>
    <row r="3362" spans="50:50" x14ac:dyDescent="0.25">
      <c r="AX3362" s="80"/>
    </row>
    <row r="3363" spans="50:50" x14ac:dyDescent="0.25">
      <c r="AX3363" s="80"/>
    </row>
    <row r="3364" spans="50:50" x14ac:dyDescent="0.25">
      <c r="AX3364" s="80"/>
    </row>
    <row r="3365" spans="50:50" x14ac:dyDescent="0.25">
      <c r="AX3365" s="80"/>
    </row>
    <row r="3366" spans="50:50" x14ac:dyDescent="0.25">
      <c r="AX3366" s="80"/>
    </row>
    <row r="3367" spans="50:50" x14ac:dyDescent="0.25">
      <c r="AX3367" s="80"/>
    </row>
    <row r="3368" spans="50:50" x14ac:dyDescent="0.25">
      <c r="AX3368" s="80"/>
    </row>
    <row r="3369" spans="50:50" x14ac:dyDescent="0.25">
      <c r="AX3369" s="80"/>
    </row>
    <row r="3370" spans="50:50" x14ac:dyDescent="0.25">
      <c r="AX3370" s="80"/>
    </row>
    <row r="3371" spans="50:50" x14ac:dyDescent="0.25">
      <c r="AX3371" s="80"/>
    </row>
    <row r="3372" spans="50:50" x14ac:dyDescent="0.25">
      <c r="AX3372" s="80"/>
    </row>
    <row r="3373" spans="50:50" x14ac:dyDescent="0.25">
      <c r="AX3373" s="80"/>
    </row>
    <row r="3374" spans="50:50" x14ac:dyDescent="0.25">
      <c r="AX3374" s="80"/>
    </row>
    <row r="3375" spans="50:50" x14ac:dyDescent="0.25">
      <c r="AX3375" s="80"/>
    </row>
    <row r="3376" spans="50:50" x14ac:dyDescent="0.25">
      <c r="AX3376" s="80"/>
    </row>
    <row r="3377" spans="50:50" x14ac:dyDescent="0.25">
      <c r="AX3377" s="80"/>
    </row>
    <row r="3378" spans="50:50" x14ac:dyDescent="0.25">
      <c r="AX3378" s="80"/>
    </row>
    <row r="3379" spans="50:50" x14ac:dyDescent="0.25">
      <c r="AX3379" s="80"/>
    </row>
    <row r="3380" spans="50:50" x14ac:dyDescent="0.25">
      <c r="AX3380" s="80"/>
    </row>
    <row r="3381" spans="50:50" x14ac:dyDescent="0.25">
      <c r="AX3381" s="80"/>
    </row>
    <row r="3382" spans="50:50" x14ac:dyDescent="0.25">
      <c r="AX3382" s="80"/>
    </row>
    <row r="3383" spans="50:50" x14ac:dyDescent="0.25">
      <c r="AX3383" s="80"/>
    </row>
    <row r="3384" spans="50:50" x14ac:dyDescent="0.25">
      <c r="AX3384" s="80"/>
    </row>
    <row r="3385" spans="50:50" x14ac:dyDescent="0.25">
      <c r="AX3385" s="80"/>
    </row>
    <row r="3386" spans="50:50" x14ac:dyDescent="0.25">
      <c r="AX3386" s="80"/>
    </row>
    <row r="3387" spans="50:50" x14ac:dyDescent="0.25">
      <c r="AX3387" s="80"/>
    </row>
    <row r="3388" spans="50:50" x14ac:dyDescent="0.25">
      <c r="AX3388" s="80"/>
    </row>
    <row r="3389" spans="50:50" x14ac:dyDescent="0.25">
      <c r="AX3389" s="80"/>
    </row>
    <row r="3390" spans="50:50" x14ac:dyDescent="0.25">
      <c r="AX3390" s="80"/>
    </row>
    <row r="3391" spans="50:50" x14ac:dyDescent="0.25">
      <c r="AX3391" s="80"/>
    </row>
    <row r="3392" spans="50:50" x14ac:dyDescent="0.25">
      <c r="AX3392" s="80"/>
    </row>
    <row r="3393" spans="50:50" x14ac:dyDescent="0.25">
      <c r="AX3393" s="80"/>
    </row>
    <row r="3394" spans="50:50" x14ac:dyDescent="0.25">
      <c r="AX3394" s="80"/>
    </row>
    <row r="3395" spans="50:50" x14ac:dyDescent="0.25">
      <c r="AX3395" s="80"/>
    </row>
    <row r="3396" spans="50:50" x14ac:dyDescent="0.25">
      <c r="AX3396" s="80"/>
    </row>
    <row r="3397" spans="50:50" x14ac:dyDescent="0.25">
      <c r="AX3397" s="80"/>
    </row>
    <row r="3398" spans="50:50" x14ac:dyDescent="0.25">
      <c r="AX3398" s="80"/>
    </row>
    <row r="3399" spans="50:50" x14ac:dyDescent="0.25">
      <c r="AX3399" s="80"/>
    </row>
    <row r="3400" spans="50:50" x14ac:dyDescent="0.25">
      <c r="AX3400" s="80"/>
    </row>
    <row r="3401" spans="50:50" x14ac:dyDescent="0.25">
      <c r="AX3401" s="80"/>
    </row>
    <row r="3402" spans="50:50" x14ac:dyDescent="0.25">
      <c r="AX3402" s="80"/>
    </row>
    <row r="3403" spans="50:50" x14ac:dyDescent="0.25">
      <c r="AX3403" s="80"/>
    </row>
    <row r="3404" spans="50:50" x14ac:dyDescent="0.25">
      <c r="AX3404" s="80"/>
    </row>
    <row r="3405" spans="50:50" x14ac:dyDescent="0.25">
      <c r="AX3405" s="80"/>
    </row>
    <row r="3406" spans="50:50" x14ac:dyDescent="0.25">
      <c r="AX3406" s="80"/>
    </row>
    <row r="3407" spans="50:50" x14ac:dyDescent="0.25">
      <c r="AX3407" s="80"/>
    </row>
    <row r="3408" spans="50:50" x14ac:dyDescent="0.25">
      <c r="AX3408" s="80"/>
    </row>
    <row r="3409" spans="50:50" x14ac:dyDescent="0.25">
      <c r="AX3409" s="80"/>
    </row>
    <row r="3410" spans="50:50" x14ac:dyDescent="0.25">
      <c r="AX3410" s="80"/>
    </row>
    <row r="3411" spans="50:50" x14ac:dyDescent="0.25">
      <c r="AX3411" s="80"/>
    </row>
    <row r="3412" spans="50:50" x14ac:dyDescent="0.25">
      <c r="AX3412" s="80"/>
    </row>
    <row r="3413" spans="50:50" x14ac:dyDescent="0.25">
      <c r="AX3413" s="80"/>
    </row>
    <row r="3414" spans="50:50" x14ac:dyDescent="0.25">
      <c r="AX3414" s="80"/>
    </row>
    <row r="3415" spans="50:50" x14ac:dyDescent="0.25">
      <c r="AX3415" s="80"/>
    </row>
    <row r="3416" spans="50:50" x14ac:dyDescent="0.25">
      <c r="AX3416" s="80"/>
    </row>
    <row r="3417" spans="50:50" x14ac:dyDescent="0.25">
      <c r="AX3417" s="80"/>
    </row>
    <row r="3418" spans="50:50" x14ac:dyDescent="0.25">
      <c r="AX3418" s="80"/>
    </row>
    <row r="3419" spans="50:50" x14ac:dyDescent="0.25">
      <c r="AX3419" s="80"/>
    </row>
    <row r="3420" spans="50:50" x14ac:dyDescent="0.25">
      <c r="AX3420" s="80"/>
    </row>
    <row r="3421" spans="50:50" x14ac:dyDescent="0.25">
      <c r="AX3421" s="80"/>
    </row>
    <row r="3422" spans="50:50" x14ac:dyDescent="0.25">
      <c r="AX3422" s="80"/>
    </row>
    <row r="3423" spans="50:50" x14ac:dyDescent="0.25">
      <c r="AX3423" s="80"/>
    </row>
    <row r="3424" spans="50:50" x14ac:dyDescent="0.25">
      <c r="AX3424" s="80"/>
    </row>
    <row r="3425" spans="50:50" x14ac:dyDescent="0.25">
      <c r="AX3425" s="80"/>
    </row>
    <row r="3426" spans="50:50" x14ac:dyDescent="0.25">
      <c r="AX3426" s="80"/>
    </row>
    <row r="3427" spans="50:50" x14ac:dyDescent="0.25">
      <c r="AX3427" s="80"/>
    </row>
    <row r="3428" spans="50:50" x14ac:dyDescent="0.25">
      <c r="AX3428" s="80"/>
    </row>
    <row r="3429" spans="50:50" x14ac:dyDescent="0.25">
      <c r="AX3429" s="80"/>
    </row>
    <row r="3430" spans="50:50" x14ac:dyDescent="0.25">
      <c r="AX3430" s="80"/>
    </row>
    <row r="3431" spans="50:50" x14ac:dyDescent="0.25">
      <c r="AX3431" s="80"/>
    </row>
    <row r="3432" spans="50:50" x14ac:dyDescent="0.25">
      <c r="AX3432" s="80"/>
    </row>
    <row r="3433" spans="50:50" x14ac:dyDescent="0.25">
      <c r="AX3433" s="80"/>
    </row>
    <row r="3434" spans="50:50" x14ac:dyDescent="0.25">
      <c r="AX3434" s="80"/>
    </row>
    <row r="3435" spans="50:50" x14ac:dyDescent="0.25">
      <c r="AX3435" s="80"/>
    </row>
    <row r="3436" spans="50:50" x14ac:dyDescent="0.25">
      <c r="AX3436" s="80"/>
    </row>
    <row r="3437" spans="50:50" x14ac:dyDescent="0.25">
      <c r="AX3437" s="80"/>
    </row>
    <row r="3438" spans="50:50" x14ac:dyDescent="0.25">
      <c r="AX3438" s="80"/>
    </row>
    <row r="3439" spans="50:50" x14ac:dyDescent="0.25">
      <c r="AX3439" s="80"/>
    </row>
    <row r="3440" spans="50:50" x14ac:dyDescent="0.25">
      <c r="AX3440" s="80"/>
    </row>
    <row r="3441" spans="50:50" x14ac:dyDescent="0.25">
      <c r="AX3441" s="80"/>
    </row>
    <row r="3442" spans="50:50" x14ac:dyDescent="0.25">
      <c r="AX3442" s="80"/>
    </row>
    <row r="3443" spans="50:50" x14ac:dyDescent="0.25">
      <c r="AX3443" s="80"/>
    </row>
    <row r="3444" spans="50:50" x14ac:dyDescent="0.25">
      <c r="AX3444" s="80"/>
    </row>
    <row r="3445" spans="50:50" x14ac:dyDescent="0.25">
      <c r="AX3445" s="80"/>
    </row>
    <row r="3446" spans="50:50" x14ac:dyDescent="0.25">
      <c r="AX3446" s="80"/>
    </row>
    <row r="3447" spans="50:50" x14ac:dyDescent="0.25">
      <c r="AX3447" s="80"/>
    </row>
    <row r="3448" spans="50:50" x14ac:dyDescent="0.25">
      <c r="AX3448" s="80"/>
    </row>
    <row r="3449" spans="50:50" x14ac:dyDescent="0.25">
      <c r="AX3449" s="80"/>
    </row>
    <row r="3450" spans="50:50" x14ac:dyDescent="0.25">
      <c r="AX3450" s="80"/>
    </row>
    <row r="3451" spans="50:50" x14ac:dyDescent="0.25">
      <c r="AX3451" s="80"/>
    </row>
    <row r="3452" spans="50:50" x14ac:dyDescent="0.25">
      <c r="AX3452" s="80"/>
    </row>
    <row r="3453" spans="50:50" x14ac:dyDescent="0.25">
      <c r="AX3453" s="80"/>
    </row>
    <row r="3454" spans="50:50" x14ac:dyDescent="0.25">
      <c r="AX3454" s="80"/>
    </row>
    <row r="3455" spans="50:50" x14ac:dyDescent="0.25">
      <c r="AX3455" s="80"/>
    </row>
    <row r="3456" spans="50:50" x14ac:dyDescent="0.25">
      <c r="AX3456" s="80"/>
    </row>
    <row r="3457" spans="50:50" x14ac:dyDescent="0.25">
      <c r="AX3457" s="80"/>
    </row>
    <row r="3458" spans="50:50" x14ac:dyDescent="0.25">
      <c r="AX3458" s="80"/>
    </row>
    <row r="3459" spans="50:50" x14ac:dyDescent="0.25">
      <c r="AX3459" s="80"/>
    </row>
    <row r="3460" spans="50:50" x14ac:dyDescent="0.25">
      <c r="AX3460" s="80"/>
    </row>
    <row r="3461" spans="50:50" x14ac:dyDescent="0.25">
      <c r="AX3461" s="80"/>
    </row>
    <row r="3462" spans="50:50" x14ac:dyDescent="0.25">
      <c r="AX3462" s="80"/>
    </row>
    <row r="3463" spans="50:50" x14ac:dyDescent="0.25">
      <c r="AX3463" s="80"/>
    </row>
    <row r="3464" spans="50:50" x14ac:dyDescent="0.25">
      <c r="AX3464" s="80"/>
    </row>
    <row r="3465" spans="50:50" x14ac:dyDescent="0.25">
      <c r="AX3465" s="80"/>
    </row>
    <row r="3466" spans="50:50" x14ac:dyDescent="0.25">
      <c r="AX3466" s="80"/>
    </row>
    <row r="3467" spans="50:50" x14ac:dyDescent="0.25">
      <c r="AX3467" s="80"/>
    </row>
    <row r="3468" spans="50:50" x14ac:dyDescent="0.25">
      <c r="AX3468" s="80"/>
    </row>
    <row r="3469" spans="50:50" x14ac:dyDescent="0.25">
      <c r="AX3469" s="80"/>
    </row>
    <row r="3470" spans="50:50" x14ac:dyDescent="0.25">
      <c r="AX3470" s="80"/>
    </row>
    <row r="3471" spans="50:50" x14ac:dyDescent="0.25">
      <c r="AX3471" s="80"/>
    </row>
    <row r="3472" spans="50:50" x14ac:dyDescent="0.25">
      <c r="AX3472" s="80"/>
    </row>
    <row r="3473" spans="50:50" x14ac:dyDescent="0.25">
      <c r="AX3473" s="80"/>
    </row>
    <row r="3474" spans="50:50" x14ac:dyDescent="0.25">
      <c r="AX3474" s="80"/>
    </row>
    <row r="3475" spans="50:50" x14ac:dyDescent="0.25">
      <c r="AX3475" s="80"/>
    </row>
    <row r="3476" spans="50:50" x14ac:dyDescent="0.25">
      <c r="AX3476" s="80"/>
    </row>
    <row r="3477" spans="50:50" x14ac:dyDescent="0.25">
      <c r="AX3477" s="80"/>
    </row>
    <row r="3478" spans="50:50" x14ac:dyDescent="0.25">
      <c r="AX3478" s="80"/>
    </row>
    <row r="3479" spans="50:50" x14ac:dyDescent="0.25">
      <c r="AX3479" s="80"/>
    </row>
    <row r="3480" spans="50:50" x14ac:dyDescent="0.25">
      <c r="AX3480" s="80"/>
    </row>
    <row r="3481" spans="50:50" x14ac:dyDescent="0.25">
      <c r="AX3481" s="80"/>
    </row>
    <row r="3482" spans="50:50" x14ac:dyDescent="0.25">
      <c r="AX3482" s="80"/>
    </row>
    <row r="3483" spans="50:50" x14ac:dyDescent="0.25">
      <c r="AX3483" s="80"/>
    </row>
    <row r="3484" spans="50:50" x14ac:dyDescent="0.25">
      <c r="AX3484" s="80"/>
    </row>
    <row r="3485" spans="50:50" x14ac:dyDescent="0.25">
      <c r="AX3485" s="80"/>
    </row>
    <row r="3486" spans="50:50" x14ac:dyDescent="0.25">
      <c r="AX3486" s="80"/>
    </row>
    <row r="3487" spans="50:50" x14ac:dyDescent="0.25">
      <c r="AX3487" s="80"/>
    </row>
    <row r="3488" spans="50:50" x14ac:dyDescent="0.25">
      <c r="AX3488" s="80"/>
    </row>
    <row r="3489" spans="50:50" x14ac:dyDescent="0.25">
      <c r="AX3489" s="80"/>
    </row>
    <row r="3490" spans="50:50" x14ac:dyDescent="0.25">
      <c r="AX3490" s="80"/>
    </row>
    <row r="3491" spans="50:50" x14ac:dyDescent="0.25">
      <c r="AX3491" s="80"/>
    </row>
    <row r="3492" spans="50:50" x14ac:dyDescent="0.25">
      <c r="AX3492" s="80"/>
    </row>
    <row r="3493" spans="50:50" x14ac:dyDescent="0.25">
      <c r="AX3493" s="80"/>
    </row>
    <row r="3494" spans="50:50" x14ac:dyDescent="0.25">
      <c r="AX3494" s="80"/>
    </row>
    <row r="3495" spans="50:50" x14ac:dyDescent="0.25">
      <c r="AX3495" s="80"/>
    </row>
    <row r="3496" spans="50:50" x14ac:dyDescent="0.25">
      <c r="AX3496" s="80"/>
    </row>
    <row r="3497" spans="50:50" x14ac:dyDescent="0.25">
      <c r="AX3497" s="80"/>
    </row>
  </sheetData>
  <dataValidations count="1">
    <dataValidation type="list" allowBlank="1" showInputMessage="1" showErrorMessage="1" sqref="BC1" xr:uid="{00000000-0002-0000-0100-000000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V1"/>
  <sheetViews>
    <sheetView topLeftCell="L1" zoomScaleNormal="100" workbookViewId="0">
      <selection activeCell="A2" sqref="A2:XFD3497"/>
    </sheetView>
  </sheetViews>
  <sheetFormatPr defaultColWidth="9.28515625" defaultRowHeight="15" x14ac:dyDescent="0.25"/>
  <cols>
    <col min="1" max="1" width="13.28515625" style="30" bestFit="1" customWidth="1"/>
    <col min="2" max="2" width="13.7109375" style="30" bestFit="1" customWidth="1"/>
    <col min="3" max="3" width="13.28515625" style="30" bestFit="1" customWidth="1"/>
    <col min="4" max="4" width="17" style="31" bestFit="1" customWidth="1"/>
    <col min="5" max="5" width="5.5703125" style="30" bestFit="1" customWidth="1"/>
    <col min="6" max="6" width="44.7109375" style="30" bestFit="1" customWidth="1"/>
    <col min="7" max="7" width="18.42578125" style="31" bestFit="1" customWidth="1"/>
    <col min="8" max="8" width="20.42578125" style="30" bestFit="1" customWidth="1"/>
    <col min="9" max="9" width="13.7109375" style="30" bestFit="1" customWidth="1"/>
    <col min="10" max="10" width="39.7109375" style="30" bestFit="1" customWidth="1"/>
    <col min="11" max="11" width="7.42578125" style="30" bestFit="1" customWidth="1"/>
    <col min="12" max="12" width="9" style="30" bestFit="1" customWidth="1"/>
    <col min="13" max="13" width="19" style="30" bestFit="1" customWidth="1"/>
    <col min="14" max="14" width="8.7109375" style="30" bestFit="1" customWidth="1"/>
    <col min="15" max="15" width="11.5703125" style="34" bestFit="1" customWidth="1"/>
    <col min="16" max="16" width="34.28515625" style="31" bestFit="1" customWidth="1"/>
    <col min="17" max="17" width="27.42578125" style="31" bestFit="1" customWidth="1"/>
    <col min="18" max="18" width="13" style="30" bestFit="1" customWidth="1"/>
    <col min="19" max="19" width="13.28515625" style="30" bestFit="1" customWidth="1"/>
    <col min="20" max="20" width="40.28515625" style="30" bestFit="1" customWidth="1"/>
    <col min="21" max="21" width="13.42578125" style="30" bestFit="1" customWidth="1"/>
    <col min="22" max="22" width="15.28515625" style="30" bestFit="1" customWidth="1"/>
    <col min="23" max="16384" width="9.28515625" style="30"/>
  </cols>
  <sheetData>
    <row r="1" spans="1:22" x14ac:dyDescent="0.25">
      <c r="A1" s="19" t="s">
        <v>0</v>
      </c>
      <c r="B1" s="19" t="s">
        <v>1</v>
      </c>
      <c r="C1" s="19" t="s">
        <v>35</v>
      </c>
      <c r="D1" s="20" t="s">
        <v>36</v>
      </c>
      <c r="E1" s="26" t="s">
        <v>2</v>
      </c>
      <c r="F1" s="19" t="s">
        <v>3</v>
      </c>
      <c r="G1" s="20" t="s">
        <v>37</v>
      </c>
      <c r="H1" s="20" t="s">
        <v>38</v>
      </c>
      <c r="I1" s="19" t="s">
        <v>4</v>
      </c>
      <c r="J1" s="19" t="s">
        <v>5</v>
      </c>
      <c r="K1" s="19" t="s">
        <v>6</v>
      </c>
      <c r="L1" s="19" t="s">
        <v>7</v>
      </c>
      <c r="M1" s="19" t="s">
        <v>8</v>
      </c>
      <c r="N1" s="19" t="s">
        <v>9</v>
      </c>
      <c r="O1" s="33" t="s">
        <v>10</v>
      </c>
      <c r="P1" s="20" t="s">
        <v>39</v>
      </c>
      <c r="Q1" s="20" t="s">
        <v>34</v>
      </c>
      <c r="R1" s="26" t="s">
        <v>40</v>
      </c>
      <c r="S1" s="19" t="s">
        <v>41</v>
      </c>
      <c r="T1" s="19" t="s">
        <v>11</v>
      </c>
      <c r="U1" s="26" t="s">
        <v>42</v>
      </c>
      <c r="V1" s="26" t="s">
        <v>168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2:L2786"/>
  <sheetViews>
    <sheetView showGridLines="0" zoomScale="85" zoomScaleNormal="85" workbookViewId="0">
      <selection activeCell="F27" sqref="F27"/>
    </sheetView>
  </sheetViews>
  <sheetFormatPr defaultColWidth="9.28515625" defaultRowHeight="12" x14ac:dyDescent="0.2"/>
  <cols>
    <col min="1" max="1" width="21.7109375" style="1" customWidth="1"/>
    <col min="2" max="2" width="16.42578125" style="1" bestFit="1" customWidth="1"/>
    <col min="3" max="3" width="15.42578125" style="1" bestFit="1" customWidth="1"/>
    <col min="4" max="4" width="15" style="1" bestFit="1" customWidth="1"/>
    <col min="5" max="5" width="20.85546875" style="1" bestFit="1" customWidth="1"/>
    <col min="6" max="6" width="16.42578125" style="1" bestFit="1" customWidth="1"/>
    <col min="7" max="7" width="15.42578125" style="1" bestFit="1" customWidth="1"/>
    <col min="8" max="8" width="15" style="1" customWidth="1"/>
    <col min="9" max="9" width="15.42578125" style="1" customWidth="1"/>
    <col min="10" max="10" width="19.140625" style="1" bestFit="1" customWidth="1"/>
    <col min="11" max="11" width="19.42578125" style="1" bestFit="1" customWidth="1"/>
    <col min="12" max="12" width="67.140625" style="1" customWidth="1"/>
    <col min="13" max="16384" width="9.28515625" style="1"/>
  </cols>
  <sheetData>
    <row r="2" spans="1:11" ht="15" x14ac:dyDescent="0.25">
      <c r="A2" s="27" t="s">
        <v>83</v>
      </c>
    </row>
    <row r="3" spans="1:11" x14ac:dyDescent="0.2">
      <c r="B3" s="8" t="s">
        <v>25</v>
      </c>
    </row>
    <row r="4" spans="1:11" x14ac:dyDescent="0.2">
      <c r="B4" s="1" t="s">
        <v>44</v>
      </c>
      <c r="D4" s="1" t="s">
        <v>26</v>
      </c>
      <c r="F4" s="1" t="s">
        <v>27</v>
      </c>
      <c r="H4" s="91">
        <v>0</v>
      </c>
      <c r="J4" s="1" t="s">
        <v>28</v>
      </c>
      <c r="K4" s="1" t="s">
        <v>29</v>
      </c>
    </row>
    <row r="5" spans="1:11" x14ac:dyDescent="0.2">
      <c r="A5" s="8" t="s">
        <v>30</v>
      </c>
      <c r="B5" s="1" t="s">
        <v>31</v>
      </c>
      <c r="C5" s="1" t="s">
        <v>32</v>
      </c>
      <c r="D5" s="1" t="s">
        <v>31</v>
      </c>
      <c r="E5" s="1" t="s">
        <v>32</v>
      </c>
      <c r="F5" s="1" t="s">
        <v>31</v>
      </c>
      <c r="G5" s="1" t="s">
        <v>32</v>
      </c>
      <c r="H5" s="1" t="s">
        <v>31</v>
      </c>
      <c r="I5" s="1" t="s">
        <v>32</v>
      </c>
    </row>
    <row r="6" spans="1:11" x14ac:dyDescent="0.2">
      <c r="A6" s="3" t="s">
        <v>92</v>
      </c>
      <c r="B6" s="73">
        <v>43</v>
      </c>
      <c r="C6" s="74">
        <v>13606.499999999998</v>
      </c>
      <c r="D6" s="75">
        <v>945</v>
      </c>
      <c r="E6" s="76">
        <v>323786.1100000001</v>
      </c>
      <c r="F6" s="4">
        <v>466</v>
      </c>
      <c r="G6" s="5">
        <v>159404.73000000001</v>
      </c>
      <c r="H6" s="4"/>
      <c r="I6" s="5"/>
      <c r="J6" s="4">
        <v>1454</v>
      </c>
      <c r="K6" s="5">
        <v>496797.34000000008</v>
      </c>
    </row>
    <row r="7" spans="1:11" x14ac:dyDescent="0.2">
      <c r="A7" s="3" t="s">
        <v>90</v>
      </c>
      <c r="B7" s="73">
        <v>34</v>
      </c>
      <c r="C7" s="74">
        <v>10573.259999999998</v>
      </c>
      <c r="D7" s="75">
        <v>1067</v>
      </c>
      <c r="E7" s="76">
        <v>162635.71999999983</v>
      </c>
      <c r="F7" s="4">
        <v>866</v>
      </c>
      <c r="G7" s="5">
        <v>87348.150000000038</v>
      </c>
      <c r="H7" s="4"/>
      <c r="I7" s="5"/>
      <c r="J7" s="4">
        <v>1967</v>
      </c>
      <c r="K7" s="5">
        <v>260557.12999999989</v>
      </c>
    </row>
    <row r="8" spans="1:11" x14ac:dyDescent="0.2">
      <c r="A8" s="3" t="s">
        <v>93</v>
      </c>
      <c r="B8" s="73">
        <v>99</v>
      </c>
      <c r="C8" s="74">
        <v>9435.0500000000011</v>
      </c>
      <c r="D8" s="75">
        <v>1692</v>
      </c>
      <c r="E8" s="76">
        <v>82057.120000000068</v>
      </c>
      <c r="F8" s="4">
        <v>1921</v>
      </c>
      <c r="G8" s="5">
        <v>62899.330000000038</v>
      </c>
      <c r="H8" s="4"/>
      <c r="I8" s="5"/>
      <c r="J8" s="4">
        <v>3712</v>
      </c>
      <c r="K8" s="5">
        <v>154391.50000000012</v>
      </c>
    </row>
    <row r="9" spans="1:11" x14ac:dyDescent="0.2">
      <c r="A9" s="3" t="s">
        <v>91</v>
      </c>
      <c r="B9" s="73">
        <v>45</v>
      </c>
      <c r="C9" s="74">
        <v>3125.1899999999991</v>
      </c>
      <c r="D9" s="75">
        <v>338</v>
      </c>
      <c r="E9" s="76">
        <v>32953.089999999989</v>
      </c>
      <c r="F9" s="4">
        <v>1002</v>
      </c>
      <c r="G9" s="5">
        <v>35711.239999999976</v>
      </c>
      <c r="H9" s="4"/>
      <c r="I9" s="5"/>
      <c r="J9" s="4">
        <v>1385</v>
      </c>
      <c r="K9" s="5">
        <v>71789.51999999996</v>
      </c>
    </row>
    <row r="10" spans="1:11" x14ac:dyDescent="0.2">
      <c r="A10" s="3" t="s">
        <v>97</v>
      </c>
      <c r="B10" s="73">
        <v>64</v>
      </c>
      <c r="C10" s="74">
        <v>5256.079999999999</v>
      </c>
      <c r="D10" s="75">
        <v>177</v>
      </c>
      <c r="E10" s="76">
        <v>41696.29</v>
      </c>
      <c r="F10" s="4">
        <v>84</v>
      </c>
      <c r="G10" s="5">
        <v>15869.509999999997</v>
      </c>
      <c r="H10" s="4">
        <v>0</v>
      </c>
      <c r="I10" s="5">
        <v>0</v>
      </c>
      <c r="J10" s="4">
        <v>325</v>
      </c>
      <c r="K10" s="5">
        <v>62821.88</v>
      </c>
    </row>
    <row r="11" spans="1:11" x14ac:dyDescent="0.2">
      <c r="A11" s="3" t="s">
        <v>96</v>
      </c>
      <c r="B11" s="73">
        <v>79</v>
      </c>
      <c r="C11" s="74">
        <v>9433.8299999999945</v>
      </c>
      <c r="D11" s="75">
        <v>211</v>
      </c>
      <c r="E11" s="76">
        <v>9615.1500000000033</v>
      </c>
      <c r="F11" s="4">
        <v>730</v>
      </c>
      <c r="G11" s="5">
        <v>21548.209999999992</v>
      </c>
      <c r="H11" s="4"/>
      <c r="I11" s="5"/>
      <c r="J11" s="4">
        <v>1020</v>
      </c>
      <c r="K11" s="5">
        <v>40597.189999999988</v>
      </c>
    </row>
    <row r="12" spans="1:11" ht="12.75" customHeight="1" x14ac:dyDescent="0.2">
      <c r="A12" s="3" t="s">
        <v>95</v>
      </c>
      <c r="B12" s="73">
        <v>91</v>
      </c>
      <c r="C12" s="74">
        <v>9217.2299999999959</v>
      </c>
      <c r="D12" s="75">
        <v>320</v>
      </c>
      <c r="E12" s="76">
        <v>18291.129999999994</v>
      </c>
      <c r="F12" s="4">
        <v>380</v>
      </c>
      <c r="G12" s="5">
        <v>12212.93</v>
      </c>
      <c r="H12" s="4"/>
      <c r="I12" s="5"/>
      <c r="J12" s="4">
        <v>791</v>
      </c>
      <c r="K12" s="5">
        <v>39721.289999999994</v>
      </c>
    </row>
    <row r="13" spans="1:11" x14ac:dyDescent="0.2">
      <c r="A13" s="3" t="s">
        <v>94</v>
      </c>
      <c r="B13" s="73">
        <v>6</v>
      </c>
      <c r="C13" s="74">
        <v>819.36000000000013</v>
      </c>
      <c r="D13" s="75">
        <v>401</v>
      </c>
      <c r="E13" s="76">
        <v>10879.419999999996</v>
      </c>
      <c r="F13" s="4">
        <v>571</v>
      </c>
      <c r="G13" s="5">
        <v>15275.549999999992</v>
      </c>
      <c r="H13" s="4"/>
      <c r="I13" s="5"/>
      <c r="J13" s="4">
        <v>978</v>
      </c>
      <c r="K13" s="5">
        <v>26974.329999999987</v>
      </c>
    </row>
    <row r="14" spans="1:11" x14ac:dyDescent="0.2">
      <c r="A14" s="3" t="s">
        <v>98</v>
      </c>
      <c r="B14" s="73">
        <v>2</v>
      </c>
      <c r="C14" s="74">
        <v>49.46</v>
      </c>
      <c r="D14" s="75">
        <v>536</v>
      </c>
      <c r="E14" s="76">
        <v>12455.62</v>
      </c>
      <c r="F14" s="4">
        <v>485</v>
      </c>
      <c r="G14" s="5">
        <v>8598.0600000000013</v>
      </c>
      <c r="H14" s="4"/>
      <c r="I14" s="5"/>
      <c r="J14" s="4">
        <v>1023</v>
      </c>
      <c r="K14" s="5">
        <v>21103.14</v>
      </c>
    </row>
    <row r="15" spans="1:11" x14ac:dyDescent="0.2">
      <c r="A15" s="3" t="s">
        <v>100</v>
      </c>
      <c r="B15" s="73"/>
      <c r="C15" s="74"/>
      <c r="D15" s="75">
        <v>302</v>
      </c>
      <c r="E15" s="76">
        <v>3682.0699999999997</v>
      </c>
      <c r="F15" s="4">
        <v>575</v>
      </c>
      <c r="G15" s="5">
        <v>2570.4900000000002</v>
      </c>
      <c r="H15" s="4"/>
      <c r="I15" s="5"/>
      <c r="J15" s="4">
        <v>877</v>
      </c>
      <c r="K15" s="5">
        <v>6252.5599999999995</v>
      </c>
    </row>
    <row r="16" spans="1:11" x14ac:dyDescent="0.2">
      <c r="A16" s="3" t="s">
        <v>101</v>
      </c>
      <c r="B16" s="73">
        <v>4</v>
      </c>
      <c r="C16" s="74">
        <v>76.14</v>
      </c>
      <c r="D16" s="75">
        <v>213</v>
      </c>
      <c r="E16" s="76">
        <v>1988.63</v>
      </c>
      <c r="F16" s="4">
        <v>157</v>
      </c>
      <c r="G16" s="5">
        <v>2373.66</v>
      </c>
      <c r="H16" s="4"/>
      <c r="I16" s="5"/>
      <c r="J16" s="4">
        <v>374</v>
      </c>
      <c r="K16" s="5">
        <v>4438.43</v>
      </c>
    </row>
    <row r="17" spans="1:12" x14ac:dyDescent="0.2">
      <c r="A17" s="3" t="s">
        <v>99</v>
      </c>
      <c r="B17" s="73">
        <v>6</v>
      </c>
      <c r="C17" s="74">
        <v>586.05999999999995</v>
      </c>
      <c r="D17" s="75">
        <v>15</v>
      </c>
      <c r="E17" s="76">
        <v>691.2700000000001</v>
      </c>
      <c r="F17" s="4">
        <v>87</v>
      </c>
      <c r="G17" s="5">
        <v>1107.45</v>
      </c>
      <c r="H17" s="4"/>
      <c r="I17" s="5"/>
      <c r="J17" s="4">
        <v>108</v>
      </c>
      <c r="K17" s="5">
        <v>2384.7799999999997</v>
      </c>
    </row>
    <row r="18" spans="1:12" x14ac:dyDescent="0.2">
      <c r="A18" s="3" t="s">
        <v>102</v>
      </c>
      <c r="B18" s="73"/>
      <c r="C18" s="74"/>
      <c r="D18" s="75">
        <v>55</v>
      </c>
      <c r="E18" s="76">
        <v>423.19</v>
      </c>
      <c r="F18" s="4"/>
      <c r="G18" s="5"/>
      <c r="H18" s="4"/>
      <c r="I18" s="5"/>
      <c r="J18" s="4">
        <v>55</v>
      </c>
      <c r="K18" s="5">
        <v>423.19</v>
      </c>
    </row>
    <row r="19" spans="1:12" x14ac:dyDescent="0.2">
      <c r="A19" s="3" t="s">
        <v>33</v>
      </c>
      <c r="B19" s="73">
        <v>473</v>
      </c>
      <c r="C19" s="74">
        <v>62178.159999999989</v>
      </c>
      <c r="D19" s="75">
        <v>6272</v>
      </c>
      <c r="E19" s="76">
        <v>701154.80999999982</v>
      </c>
      <c r="F19" s="4">
        <v>7324</v>
      </c>
      <c r="G19" s="5">
        <v>424919.31</v>
      </c>
      <c r="H19" s="4">
        <v>0</v>
      </c>
      <c r="I19" s="5">
        <v>0</v>
      </c>
      <c r="J19" s="4">
        <v>14069</v>
      </c>
      <c r="K19" s="5">
        <v>1188252.2799999998</v>
      </c>
    </row>
    <row r="20" spans="1:12" ht="15.75" thickBot="1" x14ac:dyDescent="0.3">
      <c r="A20"/>
      <c r="B20" s="67" t="s">
        <v>291</v>
      </c>
      <c r="C20" s="68">
        <f>GETPIVOTDATA("Soma de   Val.Bruto.",$A$3,"Status Reversa","já faturadas")*0.73</f>
        <v>45390.056799999991</v>
      </c>
      <c r="D20" s="69" t="s">
        <v>291</v>
      </c>
      <c r="E20" s="70">
        <f>GETPIVOTDATA("Soma de   Val.Bruto.",$A$3,"Status Reversa","Previsão fat no mês")*0.73</f>
        <v>511843.01129999984</v>
      </c>
      <c r="F20" s="64" t="s">
        <v>291</v>
      </c>
      <c r="G20" s="65">
        <f>GETPIVOTDATA("Soma de   Val.Bruto.",$A$3,"Status Reversa","Previsão fat prox.mês")*0.73</f>
        <v>310191.09629999998</v>
      </c>
      <c r="H20"/>
      <c r="I20" s="58"/>
      <c r="J20" s="58"/>
      <c r="K20" s="58"/>
      <c r="L20" s="59"/>
    </row>
    <row r="21" spans="1:12" ht="15" x14ac:dyDescent="0.25">
      <c r="A21"/>
      <c r="B21"/>
      <c r="E21" s="51"/>
      <c r="F21" s="63"/>
      <c r="G21" s="32"/>
      <c r="H21" s="32"/>
      <c r="I21" s="59"/>
      <c r="J21" s="60"/>
      <c r="K21" s="60"/>
      <c r="L21" s="59"/>
    </row>
    <row r="22" spans="1:12" ht="15" x14ac:dyDescent="0.25">
      <c r="A22"/>
      <c r="B22"/>
      <c r="C22"/>
      <c r="E22" s="51"/>
      <c r="F22" s="63"/>
      <c r="G22" s="32"/>
      <c r="H22" s="32"/>
      <c r="I22" s="59"/>
      <c r="J22" s="61"/>
      <c r="K22" s="61"/>
      <c r="L22" s="59"/>
    </row>
    <row r="23" spans="1:12" ht="15" x14ac:dyDescent="0.25">
      <c r="A23"/>
      <c r="B23"/>
      <c r="E23" s="52"/>
      <c r="F23" s="32"/>
      <c r="G23" s="32"/>
      <c r="H23" s="32"/>
      <c r="I23" s="62"/>
      <c r="J23" s="61"/>
      <c r="K23" s="61"/>
      <c r="L23" s="59"/>
    </row>
    <row r="24" spans="1:12" ht="15" x14ac:dyDescent="0.25">
      <c r="A24" s="27" t="s">
        <v>84</v>
      </c>
      <c r="F24" s="36"/>
      <c r="G24" s="32"/>
      <c r="I24" s="62"/>
      <c r="J24" s="61"/>
      <c r="K24" s="61"/>
      <c r="L24" s="59"/>
    </row>
    <row r="25" spans="1:12" ht="15" x14ac:dyDescent="0.25">
      <c r="A25" s="8" t="s">
        <v>32</v>
      </c>
      <c r="B25" s="8" t="s">
        <v>25</v>
      </c>
      <c r="D25"/>
      <c r="E25"/>
      <c r="F25" s="7"/>
      <c r="G25"/>
      <c r="H25"/>
      <c r="I25" s="62"/>
      <c r="J25" s="61"/>
      <c r="K25" s="61"/>
      <c r="L25" s="59"/>
    </row>
    <row r="26" spans="1:12" ht="15" x14ac:dyDescent="0.25">
      <c r="A26" s="8" t="s">
        <v>30</v>
      </c>
      <c r="B26" s="1" t="s">
        <v>27</v>
      </c>
      <c r="C26" s="1" t="s">
        <v>33</v>
      </c>
      <c r="D26"/>
      <c r="E26"/>
      <c r="F26"/>
      <c r="H26"/>
      <c r="I26"/>
    </row>
    <row r="27" spans="1:12" ht="15" x14ac:dyDescent="0.25">
      <c r="A27" s="3" t="s">
        <v>153</v>
      </c>
      <c r="B27" s="66">
        <v>139263.13999999998</v>
      </c>
      <c r="C27" s="66">
        <v>139263.13999999998</v>
      </c>
      <c r="D27"/>
      <c r="E27"/>
      <c r="F27" s="35">
        <f>E27/GETPIVOTDATA("  Val.Bruto.",$A$25)</f>
        <v>0</v>
      </c>
      <c r="G27" s="29">
        <f>F27</f>
        <v>0</v>
      </c>
      <c r="H27"/>
      <c r="I27" s="55" t="s">
        <v>278</v>
      </c>
      <c r="J27" s="55" t="s">
        <v>276</v>
      </c>
      <c r="K27" s="55" t="s">
        <v>273</v>
      </c>
    </row>
    <row r="28" spans="1:12" ht="15" x14ac:dyDescent="0.25">
      <c r="A28" s="3" t="s">
        <v>393</v>
      </c>
      <c r="B28" s="66">
        <v>16083.730000000001</v>
      </c>
      <c r="C28" s="66">
        <v>16083.730000000001</v>
      </c>
      <c r="D28"/>
      <c r="E28"/>
      <c r="F28" s="35">
        <f t="shared" ref="F28:F91" si="0">E28/GETPIVOTDATA("  Val.Bruto.",$A$25)</f>
        <v>0</v>
      </c>
      <c r="G28" s="29">
        <f>F28+G27</f>
        <v>0</v>
      </c>
      <c r="H28"/>
      <c r="I28" s="53" t="s">
        <v>275</v>
      </c>
      <c r="J28" s="54">
        <v>468243</v>
      </c>
      <c r="K28" s="54">
        <f>J28*0.73</f>
        <v>341817.39</v>
      </c>
    </row>
    <row r="29" spans="1:12" ht="15" x14ac:dyDescent="0.25">
      <c r="A29" s="3" t="s">
        <v>365</v>
      </c>
      <c r="B29" s="66">
        <v>11505.37</v>
      </c>
      <c r="C29" s="66">
        <v>11505.37</v>
      </c>
      <c r="D29"/>
      <c r="E29"/>
      <c r="F29" s="35">
        <f t="shared" si="0"/>
        <v>0</v>
      </c>
      <c r="G29" s="29">
        <f t="shared" ref="G29:G70" si="1">F29+G28</f>
        <v>0</v>
      </c>
      <c r="H29"/>
      <c r="I29" s="53" t="s">
        <v>274</v>
      </c>
      <c r="J29" s="54">
        <v>310026</v>
      </c>
      <c r="K29" s="54">
        <f>J29*0.73</f>
        <v>226318.97999999998</v>
      </c>
    </row>
    <row r="30" spans="1:12" ht="15" x14ac:dyDescent="0.25">
      <c r="A30" s="3" t="s">
        <v>258</v>
      </c>
      <c r="B30" s="66">
        <v>9292.5400000000009</v>
      </c>
      <c r="C30" s="66">
        <v>9292.5400000000009</v>
      </c>
      <c r="D30"/>
      <c r="E30"/>
      <c r="F30" s="35">
        <f t="shared" si="0"/>
        <v>0</v>
      </c>
      <c r="G30" s="29">
        <f t="shared" si="1"/>
        <v>0</v>
      </c>
      <c r="H30"/>
      <c r="I30" s="56" t="s">
        <v>277</v>
      </c>
      <c r="J30" s="57">
        <f>SUM(J28:J29)</f>
        <v>778269</v>
      </c>
      <c r="K30" s="57">
        <f>SUM(K28:K29)</f>
        <v>568136.37</v>
      </c>
    </row>
    <row r="31" spans="1:12" ht="15" x14ac:dyDescent="0.25">
      <c r="A31" s="3" t="s">
        <v>351</v>
      </c>
      <c r="B31" s="66">
        <v>8096.14</v>
      </c>
      <c r="C31" s="66">
        <v>8096.14</v>
      </c>
      <c r="D31"/>
      <c r="E31"/>
      <c r="F31" s="35">
        <f t="shared" si="0"/>
        <v>0</v>
      </c>
      <c r="G31" s="29">
        <f t="shared" si="1"/>
        <v>0</v>
      </c>
      <c r="H31"/>
    </row>
    <row r="32" spans="1:12" ht="15" x14ac:dyDescent="0.25">
      <c r="A32" s="3" t="s">
        <v>218</v>
      </c>
      <c r="B32" s="66">
        <v>7800.85</v>
      </c>
      <c r="C32" s="66">
        <v>7800.85</v>
      </c>
      <c r="D32"/>
      <c r="E32"/>
      <c r="F32" s="35">
        <f t="shared" si="0"/>
        <v>0</v>
      </c>
      <c r="G32" s="29">
        <f t="shared" si="1"/>
        <v>0</v>
      </c>
      <c r="H32"/>
      <c r="I32" s="56" t="s">
        <v>277</v>
      </c>
      <c r="J32" s="57">
        <f>SUM(J28:J29)+0.664299999130889</f>
        <v>778269.66429999913</v>
      </c>
      <c r="K32" s="57">
        <f>SUM(K28:K29)+0.664299999130889</f>
        <v>568137.03429999913</v>
      </c>
    </row>
    <row r="33" spans="1:11" ht="15" x14ac:dyDescent="0.25">
      <c r="A33" s="3" t="s">
        <v>403</v>
      </c>
      <c r="B33" s="66">
        <v>7739.920000000001</v>
      </c>
      <c r="C33" s="66">
        <v>7739.920000000001</v>
      </c>
      <c r="D33"/>
      <c r="E33"/>
      <c r="F33" s="35">
        <f t="shared" si="0"/>
        <v>0</v>
      </c>
      <c r="G33" s="29">
        <f t="shared" si="1"/>
        <v>0</v>
      </c>
      <c r="H33"/>
      <c r="I33" t="s">
        <v>275</v>
      </c>
      <c r="K33" s="52"/>
    </row>
    <row r="34" spans="1:11" ht="15" x14ac:dyDescent="0.25">
      <c r="A34" s="3" t="s">
        <v>135</v>
      </c>
      <c r="B34" s="66">
        <v>7564.9599999999991</v>
      </c>
      <c r="C34" s="66">
        <v>7564.9599999999991</v>
      </c>
      <c r="D34"/>
      <c r="E34"/>
      <c r="F34" s="35">
        <f t="shared" si="0"/>
        <v>0</v>
      </c>
      <c r="G34" s="29">
        <f t="shared" si="1"/>
        <v>0</v>
      </c>
      <c r="H34"/>
      <c r="I34" s="55" t="s">
        <v>278</v>
      </c>
      <c r="J34" s="55" t="s">
        <v>276</v>
      </c>
      <c r="K34" s="55" t="s">
        <v>273</v>
      </c>
    </row>
    <row r="35" spans="1:11" ht="15" x14ac:dyDescent="0.25">
      <c r="A35" s="3" t="s">
        <v>80</v>
      </c>
      <c r="B35" s="66">
        <v>7212.77</v>
      </c>
      <c r="C35" s="66">
        <v>7212.77</v>
      </c>
      <c r="D35"/>
      <c r="E35"/>
      <c r="F35" s="35">
        <f t="shared" si="0"/>
        <v>0</v>
      </c>
      <c r="G35" s="29">
        <f t="shared" si="1"/>
        <v>0</v>
      </c>
      <c r="H35"/>
      <c r="I35" s="53" t="s">
        <v>282</v>
      </c>
      <c r="J35" s="54">
        <v>208657</v>
      </c>
      <c r="K35" s="54">
        <f>J35*0.73</f>
        <v>152319.60999999999</v>
      </c>
    </row>
    <row r="36" spans="1:11" ht="15" x14ac:dyDescent="0.25">
      <c r="A36" s="3" t="s">
        <v>151</v>
      </c>
      <c r="B36" s="66">
        <v>6395.28</v>
      </c>
      <c r="C36" s="66">
        <v>6395.28</v>
      </c>
      <c r="D36"/>
      <c r="E36"/>
      <c r="F36" s="35">
        <f t="shared" si="0"/>
        <v>0</v>
      </c>
      <c r="G36" s="29">
        <f t="shared" si="1"/>
        <v>0</v>
      </c>
      <c r="H36"/>
      <c r="I36" s="53" t="s">
        <v>283</v>
      </c>
      <c r="J36" s="54">
        <v>20934</v>
      </c>
      <c r="K36" s="54">
        <f>J36*0.73</f>
        <v>15281.82</v>
      </c>
    </row>
    <row r="37" spans="1:11" ht="15" x14ac:dyDescent="0.25">
      <c r="A37" s="3" t="s">
        <v>317</v>
      </c>
      <c r="B37" s="66">
        <v>5620.35</v>
      </c>
      <c r="C37" s="66">
        <v>5620.35</v>
      </c>
      <c r="D37"/>
      <c r="E37"/>
      <c r="F37" s="35">
        <f t="shared" si="0"/>
        <v>0</v>
      </c>
      <c r="G37" s="29">
        <f t="shared" si="1"/>
        <v>0</v>
      </c>
      <c r="H37"/>
      <c r="I37"/>
    </row>
    <row r="38" spans="1:11" ht="15" x14ac:dyDescent="0.25">
      <c r="A38" s="3" t="s">
        <v>363</v>
      </c>
      <c r="B38" s="66">
        <v>5273.4400000000005</v>
      </c>
      <c r="C38" s="66">
        <v>5273.4400000000005</v>
      </c>
      <c r="D38"/>
      <c r="E38"/>
      <c r="F38" s="35">
        <f t="shared" si="0"/>
        <v>0</v>
      </c>
      <c r="G38" s="29">
        <f t="shared" si="1"/>
        <v>0</v>
      </c>
      <c r="H38"/>
      <c r="I38"/>
    </row>
    <row r="39" spans="1:11" ht="15" x14ac:dyDescent="0.25">
      <c r="A39" s="3" t="s">
        <v>364</v>
      </c>
      <c r="B39" s="66">
        <v>4996.7</v>
      </c>
      <c r="C39" s="66">
        <v>4996.7</v>
      </c>
      <c r="D39"/>
      <c r="E39"/>
      <c r="F39" s="35">
        <f t="shared" si="0"/>
        <v>0</v>
      </c>
      <c r="G39" s="29">
        <f t="shared" si="1"/>
        <v>0</v>
      </c>
      <c r="H39"/>
      <c r="I39"/>
    </row>
    <row r="40" spans="1:11" ht="15" x14ac:dyDescent="0.25">
      <c r="A40" s="3" t="s">
        <v>14</v>
      </c>
      <c r="B40" s="66">
        <v>4686.38</v>
      </c>
      <c r="C40" s="66">
        <v>4686.38</v>
      </c>
      <c r="D40"/>
      <c r="E40"/>
      <c r="F40" s="35">
        <f t="shared" si="0"/>
        <v>0</v>
      </c>
      <c r="G40" s="29">
        <f t="shared" si="1"/>
        <v>0</v>
      </c>
      <c r="H40"/>
      <c r="I40"/>
    </row>
    <row r="41" spans="1:11" ht="15" x14ac:dyDescent="0.25">
      <c r="A41" s="3" t="s">
        <v>226</v>
      </c>
      <c r="B41" s="66">
        <v>4358.22</v>
      </c>
      <c r="C41" s="66">
        <v>4358.22</v>
      </c>
      <c r="D41"/>
      <c r="E41"/>
      <c r="F41" s="35">
        <f t="shared" si="0"/>
        <v>0</v>
      </c>
      <c r="G41" s="29">
        <f t="shared" si="1"/>
        <v>0</v>
      </c>
      <c r="H41"/>
      <c r="I41"/>
    </row>
    <row r="42" spans="1:11" ht="15" x14ac:dyDescent="0.25">
      <c r="A42" s="3" t="s">
        <v>19</v>
      </c>
      <c r="B42" s="66">
        <v>4091.78</v>
      </c>
      <c r="C42" s="66">
        <v>4091.78</v>
      </c>
      <c r="D42"/>
      <c r="E42"/>
      <c r="F42" s="35">
        <f t="shared" si="0"/>
        <v>0</v>
      </c>
      <c r="G42" s="29">
        <f t="shared" si="1"/>
        <v>0</v>
      </c>
      <c r="H42"/>
      <c r="I42"/>
    </row>
    <row r="43" spans="1:11" ht="15" x14ac:dyDescent="0.25">
      <c r="A43" s="3" t="s">
        <v>130</v>
      </c>
      <c r="B43" s="66">
        <v>3799.9300000000003</v>
      </c>
      <c r="C43" s="66">
        <v>3799.9300000000003</v>
      </c>
      <c r="D43"/>
      <c r="E43"/>
      <c r="F43" s="35">
        <f t="shared" si="0"/>
        <v>0</v>
      </c>
      <c r="G43" s="29">
        <f t="shared" si="1"/>
        <v>0</v>
      </c>
      <c r="H43"/>
      <c r="I43"/>
    </row>
    <row r="44" spans="1:11" ht="15" x14ac:dyDescent="0.25">
      <c r="A44" s="3" t="s">
        <v>356</v>
      </c>
      <c r="B44" s="66">
        <v>3727.0499999999997</v>
      </c>
      <c r="C44" s="66">
        <v>3727.0499999999997</v>
      </c>
      <c r="D44"/>
      <c r="E44"/>
      <c r="F44" s="35">
        <f t="shared" si="0"/>
        <v>0</v>
      </c>
      <c r="G44" s="29">
        <f t="shared" si="1"/>
        <v>0</v>
      </c>
      <c r="H44"/>
      <c r="I44"/>
    </row>
    <row r="45" spans="1:11" ht="15" x14ac:dyDescent="0.25">
      <c r="A45" s="3" t="s">
        <v>360</v>
      </c>
      <c r="B45" s="66">
        <v>3480.2000000000003</v>
      </c>
      <c r="C45" s="66">
        <v>3480.2000000000003</v>
      </c>
      <c r="D45"/>
      <c r="E45"/>
      <c r="F45" s="35">
        <f t="shared" si="0"/>
        <v>0</v>
      </c>
      <c r="G45" s="29">
        <f t="shared" si="1"/>
        <v>0</v>
      </c>
      <c r="H45"/>
      <c r="I45"/>
    </row>
    <row r="46" spans="1:11" ht="15" x14ac:dyDescent="0.25">
      <c r="A46" s="3" t="s">
        <v>328</v>
      </c>
      <c r="B46" s="66">
        <v>3373.7799999999997</v>
      </c>
      <c r="C46" s="66">
        <v>3373.7799999999997</v>
      </c>
      <c r="D46"/>
      <c r="E46"/>
      <c r="F46" s="35">
        <f t="shared" si="0"/>
        <v>0</v>
      </c>
      <c r="G46" s="29">
        <f t="shared" si="1"/>
        <v>0</v>
      </c>
      <c r="H46"/>
      <c r="I46"/>
    </row>
    <row r="47" spans="1:11" ht="15" x14ac:dyDescent="0.25">
      <c r="A47" s="3" t="s">
        <v>370</v>
      </c>
      <c r="B47" s="66">
        <v>3345.22</v>
      </c>
      <c r="C47" s="66">
        <v>3345.22</v>
      </c>
      <c r="D47"/>
      <c r="E47"/>
      <c r="F47" s="35">
        <f t="shared" si="0"/>
        <v>0</v>
      </c>
      <c r="G47" s="29">
        <f t="shared" si="1"/>
        <v>0</v>
      </c>
      <c r="H47"/>
      <c r="I47"/>
    </row>
    <row r="48" spans="1:11" ht="15" x14ac:dyDescent="0.25">
      <c r="A48" s="3" t="s">
        <v>144</v>
      </c>
      <c r="B48" s="66">
        <v>3326.2000000000007</v>
      </c>
      <c r="C48" s="66">
        <v>3326.2000000000007</v>
      </c>
      <c r="D48"/>
      <c r="E48"/>
      <c r="F48" s="35">
        <f t="shared" si="0"/>
        <v>0</v>
      </c>
      <c r="G48" s="29">
        <f t="shared" si="1"/>
        <v>0</v>
      </c>
      <c r="H48"/>
      <c r="I48"/>
    </row>
    <row r="49" spans="1:9" ht="15" x14ac:dyDescent="0.25">
      <c r="A49" s="3" t="s">
        <v>402</v>
      </c>
      <c r="B49" s="66">
        <v>3119.13</v>
      </c>
      <c r="C49" s="66">
        <v>3119.13</v>
      </c>
      <c r="D49"/>
      <c r="E49"/>
      <c r="F49" s="35">
        <f t="shared" si="0"/>
        <v>0</v>
      </c>
      <c r="G49" s="29">
        <f t="shared" si="1"/>
        <v>0</v>
      </c>
      <c r="H49"/>
      <c r="I49"/>
    </row>
    <row r="50" spans="1:9" ht="15" x14ac:dyDescent="0.25">
      <c r="A50" s="3" t="s">
        <v>222</v>
      </c>
      <c r="B50" s="66">
        <v>3048.36</v>
      </c>
      <c r="C50" s="66">
        <v>3048.36</v>
      </c>
      <c r="D50"/>
      <c r="E50"/>
      <c r="F50" s="35">
        <f t="shared" si="0"/>
        <v>0</v>
      </c>
      <c r="G50" s="29">
        <f t="shared" si="1"/>
        <v>0</v>
      </c>
      <c r="H50"/>
      <c r="I50"/>
    </row>
    <row r="51" spans="1:9" ht="15" x14ac:dyDescent="0.25">
      <c r="A51" s="3" t="s">
        <v>307</v>
      </c>
      <c r="B51" s="66">
        <v>3037.8199999999997</v>
      </c>
      <c r="C51" s="66">
        <v>3037.8199999999997</v>
      </c>
      <c r="D51"/>
      <c r="E51"/>
      <c r="F51" s="35">
        <f t="shared" si="0"/>
        <v>0</v>
      </c>
      <c r="G51" s="29">
        <f t="shared" si="1"/>
        <v>0</v>
      </c>
      <c r="H51"/>
      <c r="I51"/>
    </row>
    <row r="52" spans="1:9" ht="15" x14ac:dyDescent="0.25">
      <c r="A52" s="3" t="s">
        <v>15</v>
      </c>
      <c r="B52" s="66">
        <v>2968.4700000000003</v>
      </c>
      <c r="C52" s="66">
        <v>2968.4700000000003</v>
      </c>
      <c r="D52"/>
      <c r="E52"/>
      <c r="F52" s="35">
        <f t="shared" si="0"/>
        <v>0</v>
      </c>
      <c r="G52" s="29">
        <f t="shared" si="1"/>
        <v>0</v>
      </c>
      <c r="H52"/>
      <c r="I52"/>
    </row>
    <row r="53" spans="1:9" ht="15" x14ac:dyDescent="0.25">
      <c r="A53" s="3" t="s">
        <v>359</v>
      </c>
      <c r="B53" s="66">
        <v>2835.44</v>
      </c>
      <c r="C53" s="66">
        <v>2835.44</v>
      </c>
      <c r="D53"/>
      <c r="E53"/>
      <c r="F53" s="35">
        <f t="shared" si="0"/>
        <v>0</v>
      </c>
      <c r="G53" s="29">
        <f t="shared" si="1"/>
        <v>0</v>
      </c>
      <c r="H53"/>
      <c r="I53"/>
    </row>
    <row r="54" spans="1:9" ht="15" x14ac:dyDescent="0.25">
      <c r="A54" s="3" t="s">
        <v>18</v>
      </c>
      <c r="B54" s="66">
        <v>2745.47</v>
      </c>
      <c r="C54" s="66">
        <v>2745.47</v>
      </c>
      <c r="D54"/>
      <c r="E54"/>
      <c r="F54" s="35">
        <f t="shared" si="0"/>
        <v>0</v>
      </c>
      <c r="G54" s="29">
        <f t="shared" si="1"/>
        <v>0</v>
      </c>
      <c r="H54"/>
      <c r="I54"/>
    </row>
    <row r="55" spans="1:9" ht="15" x14ac:dyDescent="0.25">
      <c r="A55" s="3" t="s">
        <v>213</v>
      </c>
      <c r="B55" s="66">
        <v>2733.12</v>
      </c>
      <c r="C55" s="66">
        <v>2733.12</v>
      </c>
      <c r="D55"/>
      <c r="E55"/>
      <c r="F55" s="35">
        <f t="shared" si="0"/>
        <v>0</v>
      </c>
      <c r="G55" s="29">
        <f t="shared" si="1"/>
        <v>0</v>
      </c>
      <c r="H55"/>
      <c r="I55"/>
    </row>
    <row r="56" spans="1:9" ht="15" x14ac:dyDescent="0.25">
      <c r="A56" s="3" t="s">
        <v>163</v>
      </c>
      <c r="B56" s="66">
        <v>2650.3799999999997</v>
      </c>
      <c r="C56" s="66">
        <v>2650.3799999999997</v>
      </c>
      <c r="D56"/>
      <c r="E56"/>
      <c r="F56" s="35">
        <f t="shared" si="0"/>
        <v>0</v>
      </c>
      <c r="G56" s="29">
        <f t="shared" si="1"/>
        <v>0</v>
      </c>
      <c r="H56"/>
      <c r="I56"/>
    </row>
    <row r="57" spans="1:9" ht="15" x14ac:dyDescent="0.25">
      <c r="A57" s="3" t="s">
        <v>318</v>
      </c>
      <c r="B57" s="66">
        <v>2552.2800000000002</v>
      </c>
      <c r="C57" s="66">
        <v>2552.2800000000002</v>
      </c>
      <c r="D57"/>
      <c r="E57"/>
      <c r="F57" s="35">
        <f t="shared" si="0"/>
        <v>0</v>
      </c>
      <c r="G57" s="29">
        <f t="shared" si="1"/>
        <v>0</v>
      </c>
      <c r="H57"/>
      <c r="I57"/>
    </row>
    <row r="58" spans="1:9" ht="15" x14ac:dyDescent="0.25">
      <c r="A58" s="3" t="s">
        <v>357</v>
      </c>
      <c r="B58" s="66">
        <v>2395.2999999999997</v>
      </c>
      <c r="C58" s="66">
        <v>2395.2999999999997</v>
      </c>
      <c r="D58"/>
      <c r="E58"/>
      <c r="F58" s="35">
        <f t="shared" si="0"/>
        <v>0</v>
      </c>
      <c r="G58" s="29">
        <f t="shared" si="1"/>
        <v>0</v>
      </c>
      <c r="H58"/>
      <c r="I58"/>
    </row>
    <row r="59" spans="1:9" ht="15" x14ac:dyDescent="0.25">
      <c r="A59" s="3" t="s">
        <v>311</v>
      </c>
      <c r="B59" s="66">
        <v>2336.4299999999998</v>
      </c>
      <c r="C59" s="66">
        <v>2336.4299999999998</v>
      </c>
      <c r="D59"/>
      <c r="E59"/>
      <c r="F59" s="35">
        <f t="shared" si="0"/>
        <v>0</v>
      </c>
      <c r="G59" s="29">
        <f t="shared" si="1"/>
        <v>0</v>
      </c>
      <c r="H59"/>
      <c r="I59"/>
    </row>
    <row r="60" spans="1:9" ht="15" x14ac:dyDescent="0.25">
      <c r="A60" s="3" t="s">
        <v>223</v>
      </c>
      <c r="B60" s="66">
        <v>2308.1</v>
      </c>
      <c r="C60" s="66">
        <v>2308.1</v>
      </c>
      <c r="D60"/>
      <c r="E60"/>
      <c r="F60" s="35">
        <f t="shared" si="0"/>
        <v>0</v>
      </c>
      <c r="G60" s="29">
        <f t="shared" si="1"/>
        <v>0</v>
      </c>
      <c r="H60"/>
      <c r="I60"/>
    </row>
    <row r="61" spans="1:9" ht="15" x14ac:dyDescent="0.25">
      <c r="A61" s="3" t="s">
        <v>133</v>
      </c>
      <c r="B61" s="66">
        <v>2276.62</v>
      </c>
      <c r="C61" s="66">
        <v>2276.62</v>
      </c>
      <c r="D61"/>
      <c r="E61"/>
      <c r="F61" s="35">
        <f t="shared" si="0"/>
        <v>0</v>
      </c>
      <c r="G61" s="29">
        <f t="shared" si="1"/>
        <v>0</v>
      </c>
      <c r="H61"/>
      <c r="I61"/>
    </row>
    <row r="62" spans="1:9" ht="15" x14ac:dyDescent="0.25">
      <c r="A62" s="3" t="s">
        <v>313</v>
      </c>
      <c r="B62" s="66">
        <v>2257.4299999999998</v>
      </c>
      <c r="C62" s="66">
        <v>2257.4299999999998</v>
      </c>
      <c r="D62"/>
      <c r="E62"/>
      <c r="F62" s="35">
        <f t="shared" si="0"/>
        <v>0</v>
      </c>
      <c r="G62" s="29">
        <f t="shared" si="1"/>
        <v>0</v>
      </c>
      <c r="H62"/>
      <c r="I62"/>
    </row>
    <row r="63" spans="1:9" ht="15" x14ac:dyDescent="0.25">
      <c r="A63" s="3" t="s">
        <v>375</v>
      </c>
      <c r="B63" s="66">
        <v>2225.7700000000004</v>
      </c>
      <c r="C63" s="66">
        <v>2225.7700000000004</v>
      </c>
      <c r="D63"/>
      <c r="E63"/>
      <c r="F63" s="35">
        <f t="shared" si="0"/>
        <v>0</v>
      </c>
      <c r="G63" s="29">
        <f t="shared" si="1"/>
        <v>0</v>
      </c>
      <c r="H63"/>
      <c r="I63"/>
    </row>
    <row r="64" spans="1:9" ht="15" x14ac:dyDescent="0.25">
      <c r="A64" s="3" t="s">
        <v>306</v>
      </c>
      <c r="B64" s="66">
        <v>2191.8999999999996</v>
      </c>
      <c r="C64" s="66">
        <v>2191.8999999999996</v>
      </c>
      <c r="D64"/>
      <c r="E64"/>
      <c r="F64" s="35">
        <f t="shared" si="0"/>
        <v>0</v>
      </c>
      <c r="G64" s="29">
        <f t="shared" si="1"/>
        <v>0</v>
      </c>
      <c r="H64"/>
      <c r="I64"/>
    </row>
    <row r="65" spans="1:9" ht="15" x14ac:dyDescent="0.25">
      <c r="A65" s="3" t="s">
        <v>209</v>
      </c>
      <c r="B65" s="66">
        <v>2174.79</v>
      </c>
      <c r="C65" s="66">
        <v>2174.79</v>
      </c>
      <c r="D65"/>
      <c r="E65"/>
      <c r="F65" s="35">
        <f t="shared" si="0"/>
        <v>0</v>
      </c>
      <c r="G65" s="29">
        <f t="shared" si="1"/>
        <v>0</v>
      </c>
      <c r="H65"/>
      <c r="I65"/>
    </row>
    <row r="66" spans="1:9" ht="15" x14ac:dyDescent="0.25">
      <c r="A66" s="3" t="s">
        <v>284</v>
      </c>
      <c r="B66" s="66">
        <v>2079.83</v>
      </c>
      <c r="C66" s="66">
        <v>2079.83</v>
      </c>
      <c r="D66"/>
      <c r="E66"/>
      <c r="F66" s="35">
        <f t="shared" si="0"/>
        <v>0</v>
      </c>
      <c r="G66" s="29">
        <f t="shared" si="1"/>
        <v>0</v>
      </c>
      <c r="H66"/>
      <c r="I66"/>
    </row>
    <row r="67" spans="1:9" ht="15" x14ac:dyDescent="0.25">
      <c r="A67" s="3" t="s">
        <v>304</v>
      </c>
      <c r="B67" s="66">
        <v>2010.48</v>
      </c>
      <c r="C67" s="66">
        <v>2010.48</v>
      </c>
      <c r="D67"/>
      <c r="E67"/>
      <c r="F67" s="35">
        <f t="shared" si="0"/>
        <v>0</v>
      </c>
      <c r="G67" s="29">
        <f t="shared" si="1"/>
        <v>0</v>
      </c>
      <c r="H67"/>
      <c r="I67"/>
    </row>
    <row r="68" spans="1:9" ht="15" x14ac:dyDescent="0.25">
      <c r="A68" s="3" t="s">
        <v>285</v>
      </c>
      <c r="B68" s="66">
        <v>1891.3899999999999</v>
      </c>
      <c r="C68" s="66">
        <v>1891.3899999999999</v>
      </c>
      <c r="D68"/>
      <c r="E68"/>
      <c r="F68" s="35">
        <f t="shared" si="0"/>
        <v>0</v>
      </c>
      <c r="G68" s="29">
        <f t="shared" si="1"/>
        <v>0</v>
      </c>
      <c r="H68"/>
      <c r="I68"/>
    </row>
    <row r="69" spans="1:9" ht="15" x14ac:dyDescent="0.25">
      <c r="A69" s="3" t="s">
        <v>249</v>
      </c>
      <c r="B69" s="66">
        <v>1842.99</v>
      </c>
      <c r="C69" s="66">
        <v>1842.99</v>
      </c>
      <c r="D69"/>
      <c r="E69"/>
      <c r="F69" s="35">
        <f t="shared" si="0"/>
        <v>0</v>
      </c>
      <c r="G69" s="29">
        <f t="shared" si="1"/>
        <v>0</v>
      </c>
      <c r="H69"/>
      <c r="I69"/>
    </row>
    <row r="70" spans="1:9" ht="15" x14ac:dyDescent="0.25">
      <c r="A70" s="3" t="s">
        <v>287</v>
      </c>
      <c r="B70" s="66">
        <v>1830.19</v>
      </c>
      <c r="C70" s="66">
        <v>1830.19</v>
      </c>
      <c r="D70"/>
      <c r="E70"/>
      <c r="F70" s="35">
        <f t="shared" si="0"/>
        <v>0</v>
      </c>
      <c r="G70" s="29">
        <f t="shared" si="1"/>
        <v>0</v>
      </c>
      <c r="H70"/>
      <c r="I70"/>
    </row>
    <row r="71" spans="1:9" ht="15" x14ac:dyDescent="0.25">
      <c r="A71" s="3" t="s">
        <v>204</v>
      </c>
      <c r="B71" s="66">
        <v>1726.2799999999997</v>
      </c>
      <c r="C71" s="66">
        <v>1726.2799999999997</v>
      </c>
      <c r="D71"/>
      <c r="E71"/>
      <c r="F71" s="35">
        <f t="shared" si="0"/>
        <v>0</v>
      </c>
      <c r="G71" s="29">
        <f t="shared" ref="G71:G75" si="2">F71+G70</f>
        <v>0</v>
      </c>
      <c r="H71"/>
      <c r="I71"/>
    </row>
    <row r="72" spans="1:9" ht="15" x14ac:dyDescent="0.25">
      <c r="A72" s="3" t="s">
        <v>251</v>
      </c>
      <c r="B72" s="66">
        <v>1635.27</v>
      </c>
      <c r="C72" s="66">
        <v>1635.27</v>
      </c>
      <c r="D72"/>
      <c r="E72"/>
      <c r="F72" s="35">
        <f t="shared" si="0"/>
        <v>0</v>
      </c>
      <c r="G72" s="29">
        <f t="shared" si="2"/>
        <v>0</v>
      </c>
      <c r="H72"/>
      <c r="I72"/>
    </row>
    <row r="73" spans="1:9" ht="15" x14ac:dyDescent="0.25">
      <c r="A73" s="3" t="s">
        <v>355</v>
      </c>
      <c r="B73" s="66">
        <v>1599</v>
      </c>
      <c r="C73" s="66">
        <v>1599</v>
      </c>
      <c r="D73"/>
      <c r="E73"/>
      <c r="F73" s="35">
        <f t="shared" si="0"/>
        <v>0</v>
      </c>
      <c r="G73" s="29">
        <f t="shared" si="2"/>
        <v>0</v>
      </c>
      <c r="H73"/>
      <c r="I73"/>
    </row>
    <row r="74" spans="1:9" ht="15" x14ac:dyDescent="0.25">
      <c r="A74" s="3" t="s">
        <v>362</v>
      </c>
      <c r="B74" s="66">
        <v>1513.93</v>
      </c>
      <c r="C74" s="66">
        <v>1513.93</v>
      </c>
      <c r="D74"/>
      <c r="E74"/>
      <c r="F74" s="35">
        <f t="shared" si="0"/>
        <v>0</v>
      </c>
      <c r="G74" s="29">
        <f t="shared" si="2"/>
        <v>0</v>
      </c>
      <c r="H74"/>
      <c r="I74"/>
    </row>
    <row r="75" spans="1:9" ht="15" x14ac:dyDescent="0.25">
      <c r="A75" s="3" t="s">
        <v>337</v>
      </c>
      <c r="B75" s="66">
        <v>1501.79</v>
      </c>
      <c r="C75" s="66">
        <v>1501.79</v>
      </c>
      <c r="D75"/>
      <c r="E75"/>
      <c r="F75" s="35">
        <f t="shared" si="0"/>
        <v>0</v>
      </c>
      <c r="G75" s="29">
        <f t="shared" si="2"/>
        <v>0</v>
      </c>
      <c r="H75"/>
      <c r="I75"/>
    </row>
    <row r="76" spans="1:9" ht="15" x14ac:dyDescent="0.25">
      <c r="A76" s="3" t="s">
        <v>215</v>
      </c>
      <c r="B76" s="66">
        <v>1466.7800000000002</v>
      </c>
      <c r="C76" s="66">
        <v>1466.7800000000002</v>
      </c>
      <c r="D76"/>
      <c r="E76"/>
      <c r="F76" s="35">
        <f t="shared" si="0"/>
        <v>0</v>
      </c>
      <c r="G76" s="29">
        <f t="shared" ref="G76:G88" si="3">F76+G75</f>
        <v>0</v>
      </c>
      <c r="H76"/>
      <c r="I76"/>
    </row>
    <row r="77" spans="1:9" ht="15" x14ac:dyDescent="0.25">
      <c r="A77" s="3" t="s">
        <v>252</v>
      </c>
      <c r="B77" s="66">
        <v>1459.4099999999999</v>
      </c>
      <c r="C77" s="66">
        <v>1459.4099999999999</v>
      </c>
      <c r="D77"/>
      <c r="E77"/>
      <c r="F77" s="35">
        <f t="shared" si="0"/>
        <v>0</v>
      </c>
      <c r="G77" s="29">
        <f t="shared" si="3"/>
        <v>0</v>
      </c>
      <c r="H77"/>
      <c r="I77"/>
    </row>
    <row r="78" spans="1:9" ht="15" x14ac:dyDescent="0.25">
      <c r="A78" s="3" t="s">
        <v>298</v>
      </c>
      <c r="B78" s="66">
        <v>1456.46</v>
      </c>
      <c r="C78" s="66">
        <v>1456.46</v>
      </c>
      <c r="D78"/>
      <c r="E78"/>
      <c r="F78" s="35">
        <f t="shared" si="0"/>
        <v>0</v>
      </c>
      <c r="G78" s="29">
        <f t="shared" si="3"/>
        <v>0</v>
      </c>
      <c r="H78"/>
      <c r="I78"/>
    </row>
    <row r="79" spans="1:9" ht="15" x14ac:dyDescent="0.25">
      <c r="A79" s="3" t="s">
        <v>320</v>
      </c>
      <c r="B79" s="66">
        <v>1452.43</v>
      </c>
      <c r="C79" s="66">
        <v>1452.43</v>
      </c>
      <c r="D79"/>
      <c r="E79"/>
      <c r="F79" s="35">
        <f t="shared" si="0"/>
        <v>0</v>
      </c>
      <c r="G79" s="29">
        <f t="shared" si="3"/>
        <v>0</v>
      </c>
      <c r="H79"/>
      <c r="I79"/>
    </row>
    <row r="80" spans="1:9" ht="15" x14ac:dyDescent="0.25">
      <c r="A80" s="3" t="s">
        <v>142</v>
      </c>
      <c r="B80" s="66">
        <v>1450.5099999999998</v>
      </c>
      <c r="C80" s="66">
        <v>1450.5099999999998</v>
      </c>
      <c r="D80"/>
      <c r="E80"/>
      <c r="F80" s="35">
        <f t="shared" si="0"/>
        <v>0</v>
      </c>
      <c r="G80" s="29">
        <f t="shared" si="3"/>
        <v>0</v>
      </c>
      <c r="H80"/>
      <c r="I80"/>
    </row>
    <row r="81" spans="1:9" ht="15" x14ac:dyDescent="0.25">
      <c r="A81" s="3" t="s">
        <v>246</v>
      </c>
      <c r="B81" s="66">
        <v>1416.2</v>
      </c>
      <c r="C81" s="66">
        <v>1416.2</v>
      </c>
      <c r="D81"/>
      <c r="E81"/>
      <c r="F81" s="35">
        <f t="shared" si="0"/>
        <v>0</v>
      </c>
      <c r="G81" s="29">
        <f t="shared" si="3"/>
        <v>0</v>
      </c>
      <c r="H81"/>
      <c r="I81"/>
    </row>
    <row r="82" spans="1:9" ht="15" x14ac:dyDescent="0.25">
      <c r="A82" s="3" t="s">
        <v>140</v>
      </c>
      <c r="B82" s="66">
        <v>1379.1399999999999</v>
      </c>
      <c r="C82" s="66">
        <v>1379.1399999999999</v>
      </c>
      <c r="D82"/>
      <c r="E82"/>
      <c r="F82" s="35">
        <f t="shared" si="0"/>
        <v>0</v>
      </c>
      <c r="G82" s="29">
        <f t="shared" si="3"/>
        <v>0</v>
      </c>
      <c r="H82"/>
      <c r="I82"/>
    </row>
    <row r="83" spans="1:9" ht="15" x14ac:dyDescent="0.25">
      <c r="A83" s="3" t="s">
        <v>302</v>
      </c>
      <c r="B83" s="66">
        <v>1365.27</v>
      </c>
      <c r="C83" s="66">
        <v>1365.27</v>
      </c>
      <c r="D83"/>
      <c r="E83"/>
      <c r="F83" s="35">
        <f t="shared" si="0"/>
        <v>0</v>
      </c>
      <c r="G83" s="29">
        <f t="shared" si="3"/>
        <v>0</v>
      </c>
      <c r="H83"/>
      <c r="I83"/>
    </row>
    <row r="84" spans="1:9" ht="15" x14ac:dyDescent="0.25">
      <c r="A84" s="3" t="s">
        <v>202</v>
      </c>
      <c r="B84" s="66">
        <v>1286.04</v>
      </c>
      <c r="C84" s="66">
        <v>1286.04</v>
      </c>
      <c r="D84"/>
      <c r="E84"/>
      <c r="F84" s="35">
        <f t="shared" si="0"/>
        <v>0</v>
      </c>
      <c r="G84" s="29">
        <f t="shared" si="3"/>
        <v>0</v>
      </c>
      <c r="H84"/>
      <c r="I84"/>
    </row>
    <row r="85" spans="1:9" ht="15" x14ac:dyDescent="0.25">
      <c r="A85" s="3" t="s">
        <v>310</v>
      </c>
      <c r="B85" s="66">
        <v>1275.4000000000001</v>
      </c>
      <c r="C85" s="66">
        <v>1275.4000000000001</v>
      </c>
      <c r="D85"/>
      <c r="E85"/>
      <c r="F85" s="35">
        <f t="shared" si="0"/>
        <v>0</v>
      </c>
      <c r="G85" s="29">
        <f t="shared" si="3"/>
        <v>0</v>
      </c>
      <c r="H85"/>
      <c r="I85"/>
    </row>
    <row r="86" spans="1:9" ht="15" x14ac:dyDescent="0.25">
      <c r="A86" s="3" t="s">
        <v>325</v>
      </c>
      <c r="B86" s="66">
        <v>1214.1600000000001</v>
      </c>
      <c r="C86" s="66">
        <v>1214.1600000000001</v>
      </c>
      <c r="D86"/>
      <c r="E86"/>
      <c r="F86" s="35">
        <f t="shared" si="0"/>
        <v>0</v>
      </c>
      <c r="G86" s="29">
        <f t="shared" si="3"/>
        <v>0</v>
      </c>
      <c r="H86"/>
      <c r="I86"/>
    </row>
    <row r="87" spans="1:9" ht="15" x14ac:dyDescent="0.25">
      <c r="A87" s="3" t="s">
        <v>336</v>
      </c>
      <c r="B87" s="66">
        <v>1213.3800000000001</v>
      </c>
      <c r="C87" s="66">
        <v>1213.3800000000001</v>
      </c>
      <c r="D87"/>
      <c r="E87"/>
      <c r="F87" s="35">
        <f t="shared" si="0"/>
        <v>0</v>
      </c>
      <c r="G87" s="29">
        <f t="shared" si="3"/>
        <v>0</v>
      </c>
      <c r="H87"/>
      <c r="I87"/>
    </row>
    <row r="88" spans="1:9" ht="15" x14ac:dyDescent="0.25">
      <c r="A88" s="3" t="s">
        <v>350</v>
      </c>
      <c r="B88" s="66">
        <v>1136.19</v>
      </c>
      <c r="C88" s="66">
        <v>1136.19</v>
      </c>
      <c r="D88"/>
      <c r="E88"/>
      <c r="F88" s="35">
        <f t="shared" si="0"/>
        <v>0</v>
      </c>
      <c r="G88" s="29">
        <f t="shared" si="3"/>
        <v>0</v>
      </c>
      <c r="H88"/>
      <c r="I88"/>
    </row>
    <row r="89" spans="1:9" ht="15" x14ac:dyDescent="0.25">
      <c r="A89" s="3" t="s">
        <v>339</v>
      </c>
      <c r="B89" s="66">
        <v>1118.54</v>
      </c>
      <c r="C89" s="66">
        <v>1118.54</v>
      </c>
      <c r="D89"/>
      <c r="E89"/>
      <c r="F89" s="35">
        <f t="shared" si="0"/>
        <v>0</v>
      </c>
      <c r="G89" s="29">
        <f t="shared" ref="G89:G90" si="4">F89+G88</f>
        <v>0</v>
      </c>
      <c r="H89"/>
      <c r="I89"/>
    </row>
    <row r="90" spans="1:9" ht="15" x14ac:dyDescent="0.25">
      <c r="A90" s="3" t="s">
        <v>239</v>
      </c>
      <c r="B90" s="66">
        <v>1113.25</v>
      </c>
      <c r="C90" s="66">
        <v>1113.25</v>
      </c>
      <c r="D90"/>
      <c r="E90"/>
      <c r="F90" s="35">
        <f t="shared" si="0"/>
        <v>0</v>
      </c>
      <c r="G90" s="29">
        <f t="shared" si="4"/>
        <v>0</v>
      </c>
      <c r="H90"/>
      <c r="I90"/>
    </row>
    <row r="91" spans="1:9" ht="15" x14ac:dyDescent="0.25">
      <c r="A91" s="3" t="s">
        <v>327</v>
      </c>
      <c r="B91" s="66">
        <v>1106.83</v>
      </c>
      <c r="C91" s="66">
        <v>1106.83</v>
      </c>
      <c r="D91"/>
      <c r="E91"/>
      <c r="F91" s="35">
        <f t="shared" si="0"/>
        <v>0</v>
      </c>
      <c r="G91" s="29">
        <f t="shared" ref="G91:G93" si="5">F91+G90</f>
        <v>0</v>
      </c>
      <c r="H91"/>
      <c r="I91"/>
    </row>
    <row r="92" spans="1:9" ht="15" x14ac:dyDescent="0.25">
      <c r="A92" s="3" t="s">
        <v>371</v>
      </c>
      <c r="B92" s="66">
        <v>1102.54</v>
      </c>
      <c r="C92" s="66">
        <v>1102.54</v>
      </c>
      <c r="D92"/>
      <c r="E92"/>
      <c r="F92" s="35">
        <f t="shared" ref="F92:F95" si="6">E92/GETPIVOTDATA("  Val.Bruto.",$A$25)</f>
        <v>0</v>
      </c>
      <c r="G92" s="29">
        <f t="shared" si="5"/>
        <v>0</v>
      </c>
      <c r="H92"/>
      <c r="I92"/>
    </row>
    <row r="93" spans="1:9" ht="15" x14ac:dyDescent="0.25">
      <c r="A93" s="3" t="s">
        <v>288</v>
      </c>
      <c r="B93" s="66">
        <v>1088.24</v>
      </c>
      <c r="C93" s="66">
        <v>1088.24</v>
      </c>
      <c r="D93"/>
      <c r="E93"/>
      <c r="F93" s="35">
        <f t="shared" si="6"/>
        <v>0</v>
      </c>
      <c r="G93" s="29">
        <f t="shared" si="5"/>
        <v>0</v>
      </c>
      <c r="H93"/>
      <c r="I93"/>
    </row>
    <row r="94" spans="1:9" ht="15" x14ac:dyDescent="0.25">
      <c r="A94" s="3" t="s">
        <v>152</v>
      </c>
      <c r="B94" s="66">
        <v>1077.3899999999999</v>
      </c>
      <c r="C94" s="66">
        <v>1077.3899999999999</v>
      </c>
      <c r="D94"/>
      <c r="E94"/>
      <c r="F94" s="35">
        <f t="shared" si="6"/>
        <v>0</v>
      </c>
      <c r="G94" s="29">
        <f t="shared" ref="G94" si="7">F94+G93</f>
        <v>0</v>
      </c>
      <c r="H94"/>
      <c r="I94"/>
    </row>
    <row r="95" spans="1:9" ht="15" x14ac:dyDescent="0.25">
      <c r="A95" s="3" t="s">
        <v>131</v>
      </c>
      <c r="B95" s="66">
        <v>1073.8399999999999</v>
      </c>
      <c r="C95" s="66">
        <v>1073.8399999999999</v>
      </c>
      <c r="D95"/>
      <c r="E95"/>
      <c r="F95" s="35">
        <f t="shared" si="6"/>
        <v>0</v>
      </c>
      <c r="G95" s="29">
        <f t="shared" ref="G95" si="8">F95+G94</f>
        <v>0</v>
      </c>
      <c r="H95"/>
      <c r="I95"/>
    </row>
    <row r="96" spans="1:9" ht="15" x14ac:dyDescent="0.25">
      <c r="A96" s="3" t="s">
        <v>314</v>
      </c>
      <c r="B96" s="66">
        <v>1061.1400000000001</v>
      </c>
      <c r="C96" s="66">
        <v>1061.1400000000001</v>
      </c>
      <c r="D96"/>
      <c r="E96"/>
      <c r="F96" s="35"/>
      <c r="G96" s="29"/>
      <c r="H96"/>
      <c r="I96"/>
    </row>
    <row r="97" spans="1:9" ht="15" x14ac:dyDescent="0.25">
      <c r="A97" s="3" t="s">
        <v>217</v>
      </c>
      <c r="B97" s="66">
        <v>1009.4300000000001</v>
      </c>
      <c r="C97" s="66">
        <v>1009.4300000000001</v>
      </c>
      <c r="D97"/>
      <c r="E97"/>
      <c r="F97" s="35"/>
      <c r="G97" s="29"/>
      <c r="H97"/>
      <c r="I97"/>
    </row>
    <row r="98" spans="1:9" ht="15" x14ac:dyDescent="0.25">
      <c r="A98" s="3" t="s">
        <v>384</v>
      </c>
      <c r="B98" s="66">
        <v>1008.26</v>
      </c>
      <c r="C98" s="66">
        <v>1008.26</v>
      </c>
      <c r="D98"/>
      <c r="E98"/>
      <c r="F98" s="35"/>
      <c r="G98" s="29"/>
      <c r="H98"/>
      <c r="I98"/>
    </row>
    <row r="99" spans="1:9" ht="15" x14ac:dyDescent="0.25">
      <c r="A99" s="3" t="s">
        <v>374</v>
      </c>
      <c r="B99" s="66">
        <v>988.87</v>
      </c>
      <c r="C99" s="66">
        <v>988.87</v>
      </c>
      <c r="D99"/>
      <c r="E99"/>
      <c r="F99" s="35"/>
      <c r="G99" s="29"/>
      <c r="H99"/>
      <c r="I99"/>
    </row>
    <row r="100" spans="1:9" ht="15" x14ac:dyDescent="0.25">
      <c r="A100" s="3" t="s">
        <v>305</v>
      </c>
      <c r="B100" s="66">
        <v>945.9</v>
      </c>
      <c r="C100" s="66">
        <v>945.9</v>
      </c>
      <c r="D100"/>
      <c r="E100"/>
      <c r="F100" s="35"/>
      <c r="G100" s="29"/>
      <c r="H100"/>
      <c r="I100"/>
    </row>
    <row r="101" spans="1:9" ht="15" x14ac:dyDescent="0.25">
      <c r="A101" s="3" t="s">
        <v>220</v>
      </c>
      <c r="B101" s="66">
        <v>943.67000000000007</v>
      </c>
      <c r="C101" s="66">
        <v>943.67000000000007</v>
      </c>
      <c r="D101"/>
      <c r="E101"/>
      <c r="F101" s="35"/>
      <c r="G101" s="29"/>
      <c r="H101"/>
      <c r="I101"/>
    </row>
    <row r="102" spans="1:9" ht="15" x14ac:dyDescent="0.25">
      <c r="A102" s="3" t="s">
        <v>199</v>
      </c>
      <c r="B102" s="66">
        <v>881.13000000000011</v>
      </c>
      <c r="C102" s="66">
        <v>881.13000000000011</v>
      </c>
      <c r="D102"/>
      <c r="E102"/>
      <c r="F102" s="35"/>
      <c r="G102" s="29"/>
      <c r="H102"/>
      <c r="I102"/>
    </row>
    <row r="103" spans="1:9" ht="15" x14ac:dyDescent="0.25">
      <c r="A103" s="3" t="s">
        <v>366</v>
      </c>
      <c r="B103" s="66">
        <v>872.64</v>
      </c>
      <c r="C103" s="66">
        <v>872.64</v>
      </c>
      <c r="D103"/>
      <c r="E103"/>
      <c r="F103" s="35"/>
      <c r="G103" s="29"/>
      <c r="H103"/>
      <c r="I103"/>
    </row>
    <row r="104" spans="1:9" ht="15" x14ac:dyDescent="0.25">
      <c r="A104" s="3" t="s">
        <v>207</v>
      </c>
      <c r="B104" s="66">
        <v>871.65000000000009</v>
      </c>
      <c r="C104" s="66">
        <v>871.65000000000009</v>
      </c>
      <c r="D104"/>
      <c r="E104"/>
      <c r="F104" s="35"/>
      <c r="G104" s="29"/>
      <c r="H104"/>
      <c r="I104"/>
    </row>
    <row r="105" spans="1:9" ht="15" x14ac:dyDescent="0.25">
      <c r="A105" s="3" t="s">
        <v>89</v>
      </c>
      <c r="B105" s="66">
        <v>852.39</v>
      </c>
      <c r="C105" s="66">
        <v>852.39</v>
      </c>
      <c r="D105"/>
      <c r="E105"/>
      <c r="F105" s="35"/>
      <c r="G105" s="29"/>
      <c r="H105"/>
      <c r="I105"/>
    </row>
    <row r="106" spans="1:9" ht="15" x14ac:dyDescent="0.25">
      <c r="A106" s="3" t="s">
        <v>145</v>
      </c>
      <c r="B106" s="66">
        <v>851.61</v>
      </c>
      <c r="C106" s="66">
        <v>851.61</v>
      </c>
      <c r="D106"/>
      <c r="E106"/>
      <c r="F106" s="35"/>
      <c r="G106" s="29"/>
      <c r="H106"/>
      <c r="I106"/>
    </row>
    <row r="107" spans="1:9" ht="15" x14ac:dyDescent="0.25">
      <c r="A107" s="3" t="s">
        <v>266</v>
      </c>
      <c r="B107" s="66">
        <v>841.88</v>
      </c>
      <c r="C107" s="66">
        <v>841.88</v>
      </c>
      <c r="D107"/>
      <c r="E107"/>
      <c r="F107" s="35"/>
      <c r="G107" s="29"/>
      <c r="H107"/>
      <c r="I107"/>
    </row>
    <row r="108" spans="1:9" ht="15" x14ac:dyDescent="0.25">
      <c r="A108" s="3" t="s">
        <v>392</v>
      </c>
      <c r="B108" s="66">
        <v>841.2</v>
      </c>
      <c r="C108" s="66">
        <v>841.2</v>
      </c>
      <c r="D108"/>
      <c r="E108"/>
      <c r="F108" s="35"/>
      <c r="G108" s="29"/>
      <c r="H108"/>
      <c r="I108"/>
    </row>
    <row r="109" spans="1:9" ht="15" x14ac:dyDescent="0.25">
      <c r="A109" s="3" t="s">
        <v>125</v>
      </c>
      <c r="B109" s="66">
        <v>830.97</v>
      </c>
      <c r="C109" s="66">
        <v>830.97</v>
      </c>
      <c r="D109"/>
      <c r="E109"/>
      <c r="F109" s="35"/>
      <c r="G109" s="29"/>
      <c r="H109"/>
      <c r="I109"/>
    </row>
    <row r="110" spans="1:9" ht="15" x14ac:dyDescent="0.25">
      <c r="A110" s="3" t="s">
        <v>380</v>
      </c>
      <c r="B110" s="66">
        <v>811.49</v>
      </c>
      <c r="C110" s="66">
        <v>811.49</v>
      </c>
      <c r="D110"/>
      <c r="E110"/>
      <c r="F110" s="35"/>
      <c r="G110" s="29"/>
      <c r="H110"/>
      <c r="I110"/>
    </row>
    <row r="111" spans="1:9" ht="15" x14ac:dyDescent="0.25">
      <c r="A111" s="3" t="s">
        <v>333</v>
      </c>
      <c r="B111" s="66">
        <v>799.24</v>
      </c>
      <c r="C111" s="66">
        <v>799.24</v>
      </c>
      <c r="D111"/>
      <c r="E111"/>
      <c r="F111"/>
      <c r="G111" s="29"/>
      <c r="H111"/>
      <c r="I111"/>
    </row>
    <row r="112" spans="1:9" ht="15" x14ac:dyDescent="0.25">
      <c r="A112" s="3" t="s">
        <v>373</v>
      </c>
      <c r="B112" s="66">
        <v>778.38</v>
      </c>
      <c r="C112" s="66">
        <v>778.38</v>
      </c>
      <c r="D112"/>
      <c r="E112"/>
      <c r="F112"/>
      <c r="G112" s="29"/>
      <c r="H112"/>
      <c r="I112"/>
    </row>
    <row r="113" spans="1:9" ht="15" x14ac:dyDescent="0.25">
      <c r="A113" s="3" t="s">
        <v>267</v>
      </c>
      <c r="B113" s="66">
        <v>774.21</v>
      </c>
      <c r="C113" s="66">
        <v>774.21</v>
      </c>
      <c r="D113"/>
      <c r="E113"/>
      <c r="F113"/>
      <c r="G113" s="29"/>
      <c r="H113"/>
      <c r="I113"/>
    </row>
    <row r="114" spans="1:9" ht="15" x14ac:dyDescent="0.25">
      <c r="A114" s="3" t="s">
        <v>139</v>
      </c>
      <c r="B114" s="66">
        <v>770.16</v>
      </c>
      <c r="C114" s="66">
        <v>770.16</v>
      </c>
      <c r="D114"/>
      <c r="E114"/>
      <c r="F114"/>
      <c r="G114" s="29"/>
      <c r="H114"/>
      <c r="I114"/>
    </row>
    <row r="115" spans="1:9" ht="15" x14ac:dyDescent="0.25">
      <c r="A115" s="3" t="s">
        <v>121</v>
      </c>
      <c r="B115" s="66">
        <v>745.31</v>
      </c>
      <c r="C115" s="66">
        <v>745.31</v>
      </c>
      <c r="D115"/>
      <c r="E115"/>
      <c r="F115"/>
      <c r="G115" s="29"/>
      <c r="H115"/>
      <c r="I115"/>
    </row>
    <row r="116" spans="1:9" ht="15" x14ac:dyDescent="0.25">
      <c r="A116" s="3" t="s">
        <v>260</v>
      </c>
      <c r="B116" s="66">
        <v>730.26</v>
      </c>
      <c r="C116" s="66">
        <v>730.26</v>
      </c>
      <c r="D116"/>
      <c r="E116"/>
      <c r="F116"/>
      <c r="G116" s="29"/>
      <c r="H116"/>
      <c r="I116"/>
    </row>
    <row r="117" spans="1:9" ht="15" x14ac:dyDescent="0.25">
      <c r="A117" s="3" t="s">
        <v>390</v>
      </c>
      <c r="B117" s="66">
        <v>721.06999999999994</v>
      </c>
      <c r="C117" s="66">
        <v>721.06999999999994</v>
      </c>
      <c r="D117"/>
      <c r="E117"/>
      <c r="F117"/>
      <c r="G117" s="29"/>
      <c r="H117"/>
      <c r="I117"/>
    </row>
    <row r="118" spans="1:9" ht="15" x14ac:dyDescent="0.25">
      <c r="A118" s="3" t="s">
        <v>265</v>
      </c>
      <c r="B118" s="66">
        <v>719.19</v>
      </c>
      <c r="C118" s="66">
        <v>719.19</v>
      </c>
      <c r="D118"/>
      <c r="E118"/>
      <c r="F118"/>
      <c r="G118" s="29"/>
      <c r="H118"/>
      <c r="I118"/>
    </row>
    <row r="119" spans="1:9" ht="15" x14ac:dyDescent="0.25">
      <c r="A119" s="3" t="s">
        <v>301</v>
      </c>
      <c r="B119" s="66">
        <v>717.18000000000006</v>
      </c>
      <c r="C119" s="66">
        <v>717.18000000000006</v>
      </c>
      <c r="D119"/>
      <c r="E119"/>
      <c r="F119"/>
      <c r="G119" s="29"/>
      <c r="H119"/>
      <c r="I119"/>
    </row>
    <row r="120" spans="1:9" ht="15" x14ac:dyDescent="0.25">
      <c r="A120" s="3" t="s">
        <v>240</v>
      </c>
      <c r="B120" s="66">
        <v>716.31</v>
      </c>
      <c r="C120" s="66">
        <v>716.31</v>
      </c>
      <c r="D120"/>
      <c r="E120"/>
      <c r="F120"/>
      <c r="G120" s="29"/>
      <c r="H120"/>
      <c r="I120"/>
    </row>
    <row r="121" spans="1:9" ht="15" x14ac:dyDescent="0.25">
      <c r="A121" s="3" t="s">
        <v>22</v>
      </c>
      <c r="B121" s="66">
        <v>701.23</v>
      </c>
      <c r="C121" s="66">
        <v>701.23</v>
      </c>
      <c r="D121"/>
      <c r="E121"/>
      <c r="F121"/>
      <c r="G121" s="29"/>
      <c r="H121"/>
      <c r="I121"/>
    </row>
    <row r="122" spans="1:9" ht="15" x14ac:dyDescent="0.25">
      <c r="A122" s="3" t="s">
        <v>372</v>
      </c>
      <c r="B122" s="66">
        <v>687.48</v>
      </c>
      <c r="C122" s="66">
        <v>687.48</v>
      </c>
      <c r="D122"/>
      <c r="E122"/>
      <c r="F122"/>
      <c r="G122" s="29"/>
      <c r="H122"/>
      <c r="I122"/>
    </row>
    <row r="123" spans="1:9" ht="15" x14ac:dyDescent="0.25">
      <c r="A123" s="3" t="s">
        <v>296</v>
      </c>
      <c r="B123" s="66">
        <v>680.86</v>
      </c>
      <c r="C123" s="66">
        <v>680.86</v>
      </c>
      <c r="D123"/>
      <c r="E123"/>
      <c r="F123"/>
      <c r="G123" s="29"/>
      <c r="H123"/>
      <c r="I123"/>
    </row>
    <row r="124" spans="1:9" ht="15" x14ac:dyDescent="0.25">
      <c r="A124" s="3" t="s">
        <v>128</v>
      </c>
      <c r="B124" s="66">
        <v>679.48</v>
      </c>
      <c r="C124" s="66">
        <v>679.48</v>
      </c>
      <c r="D124"/>
      <c r="E124"/>
      <c r="F124"/>
      <c r="G124" s="29"/>
      <c r="H124"/>
      <c r="I124"/>
    </row>
    <row r="125" spans="1:9" ht="15" x14ac:dyDescent="0.25">
      <c r="A125" s="3" t="s">
        <v>279</v>
      </c>
      <c r="B125" s="66">
        <v>661.01</v>
      </c>
      <c r="C125" s="66">
        <v>661.01</v>
      </c>
      <c r="D125"/>
      <c r="E125"/>
      <c r="F125"/>
      <c r="G125" s="29"/>
      <c r="H125"/>
      <c r="I125"/>
    </row>
    <row r="126" spans="1:9" ht="15" x14ac:dyDescent="0.25">
      <c r="A126" s="3" t="s">
        <v>388</v>
      </c>
      <c r="B126" s="66">
        <v>645.27</v>
      </c>
      <c r="C126" s="66">
        <v>645.27</v>
      </c>
      <c r="D126"/>
      <c r="E126"/>
      <c r="F126"/>
      <c r="G126" s="29"/>
      <c r="H126"/>
      <c r="I126"/>
    </row>
    <row r="127" spans="1:9" ht="15" x14ac:dyDescent="0.25">
      <c r="A127" s="3" t="s">
        <v>401</v>
      </c>
      <c r="B127" s="66">
        <v>641.67000000000007</v>
      </c>
      <c r="C127" s="66">
        <v>641.67000000000007</v>
      </c>
      <c r="D127"/>
      <c r="E127"/>
      <c r="F127"/>
      <c r="G127" s="29"/>
      <c r="H127"/>
      <c r="I127"/>
    </row>
    <row r="128" spans="1:9" ht="15" x14ac:dyDescent="0.25">
      <c r="A128" s="3" t="s">
        <v>203</v>
      </c>
      <c r="B128" s="66">
        <v>634.11</v>
      </c>
      <c r="C128" s="66">
        <v>634.11</v>
      </c>
      <c r="D128"/>
      <c r="E128"/>
      <c r="F128"/>
      <c r="G128" s="29"/>
      <c r="H128"/>
      <c r="I128"/>
    </row>
    <row r="129" spans="1:9" ht="15" x14ac:dyDescent="0.25">
      <c r="A129" s="3" t="s">
        <v>400</v>
      </c>
      <c r="B129" s="66">
        <v>617.81999999999994</v>
      </c>
      <c r="C129" s="66">
        <v>617.81999999999994</v>
      </c>
      <c r="D129"/>
      <c r="E129"/>
      <c r="F129"/>
      <c r="G129" s="29"/>
      <c r="H129"/>
      <c r="I129"/>
    </row>
    <row r="130" spans="1:9" ht="15" x14ac:dyDescent="0.25">
      <c r="A130" s="3" t="s">
        <v>323</v>
      </c>
      <c r="B130" s="66">
        <v>599.02</v>
      </c>
      <c r="C130" s="66">
        <v>599.02</v>
      </c>
      <c r="D130"/>
      <c r="E130"/>
      <c r="F130"/>
      <c r="G130" s="29"/>
      <c r="H130"/>
      <c r="I130"/>
    </row>
    <row r="131" spans="1:9" ht="15" x14ac:dyDescent="0.25">
      <c r="A131" s="3" t="s">
        <v>264</v>
      </c>
      <c r="B131" s="66">
        <v>596.95000000000005</v>
      </c>
      <c r="C131" s="66">
        <v>596.95000000000005</v>
      </c>
      <c r="D131"/>
      <c r="E131"/>
      <c r="F131"/>
      <c r="G131" s="29"/>
      <c r="H131"/>
      <c r="I131"/>
    </row>
    <row r="132" spans="1:9" ht="15" x14ac:dyDescent="0.25">
      <c r="A132" s="3" t="s">
        <v>398</v>
      </c>
      <c r="B132" s="66">
        <v>569.87</v>
      </c>
      <c r="C132" s="66">
        <v>569.87</v>
      </c>
      <c r="D132"/>
      <c r="E132"/>
      <c r="F132"/>
      <c r="G132" s="29"/>
      <c r="H132"/>
      <c r="I132"/>
    </row>
    <row r="133" spans="1:9" ht="15" x14ac:dyDescent="0.25">
      <c r="A133" s="3" t="s">
        <v>229</v>
      </c>
      <c r="B133" s="66">
        <v>561.15</v>
      </c>
      <c r="C133" s="66">
        <v>561.15</v>
      </c>
      <c r="D133"/>
      <c r="E133"/>
      <c r="F133"/>
      <c r="G133" s="29"/>
      <c r="H133"/>
      <c r="I133"/>
    </row>
    <row r="134" spans="1:9" ht="15" x14ac:dyDescent="0.25">
      <c r="A134" s="3" t="s">
        <v>212</v>
      </c>
      <c r="B134" s="66">
        <v>554.21</v>
      </c>
      <c r="C134" s="66">
        <v>554.21</v>
      </c>
      <c r="D134"/>
      <c r="E134"/>
      <c r="F134"/>
      <c r="G134" s="29"/>
      <c r="H134"/>
      <c r="I134"/>
    </row>
    <row r="135" spans="1:9" ht="15" x14ac:dyDescent="0.25">
      <c r="A135" s="3" t="s">
        <v>123</v>
      </c>
      <c r="B135" s="66">
        <v>550.79</v>
      </c>
      <c r="C135" s="66">
        <v>550.79</v>
      </c>
      <c r="D135"/>
      <c r="E135"/>
      <c r="F135"/>
      <c r="G135" s="29"/>
      <c r="H135"/>
      <c r="I135"/>
    </row>
    <row r="136" spans="1:9" ht="15" x14ac:dyDescent="0.25">
      <c r="A136" s="3" t="s">
        <v>322</v>
      </c>
      <c r="B136" s="66">
        <v>550.49</v>
      </c>
      <c r="C136" s="66">
        <v>550.49</v>
      </c>
      <c r="D136"/>
      <c r="E136"/>
      <c r="F136"/>
      <c r="G136" s="29"/>
      <c r="H136"/>
      <c r="I136"/>
    </row>
    <row r="137" spans="1:9" ht="15" x14ac:dyDescent="0.25">
      <c r="A137" s="3" t="s">
        <v>210</v>
      </c>
      <c r="B137" s="66">
        <v>548.51</v>
      </c>
      <c r="C137" s="66">
        <v>548.51</v>
      </c>
      <c r="D137"/>
      <c r="E137"/>
      <c r="F137"/>
      <c r="G137" s="29"/>
      <c r="H137"/>
      <c r="I137"/>
    </row>
    <row r="138" spans="1:9" ht="15" x14ac:dyDescent="0.25">
      <c r="A138" s="3" t="s">
        <v>391</v>
      </c>
      <c r="B138" s="66">
        <v>538.29999999999995</v>
      </c>
      <c r="C138" s="66">
        <v>538.29999999999995</v>
      </c>
      <c r="D138"/>
      <c r="E138"/>
      <c r="F138"/>
      <c r="G138" s="29"/>
      <c r="H138"/>
      <c r="I138"/>
    </row>
    <row r="139" spans="1:9" ht="15" x14ac:dyDescent="0.25">
      <c r="A139" s="3" t="s">
        <v>259</v>
      </c>
      <c r="B139" s="66">
        <v>526.12</v>
      </c>
      <c r="C139" s="66">
        <v>526.12</v>
      </c>
      <c r="D139"/>
      <c r="E139"/>
      <c r="F139"/>
      <c r="G139" s="29"/>
      <c r="H139"/>
      <c r="I139"/>
    </row>
    <row r="140" spans="1:9" ht="15" x14ac:dyDescent="0.25">
      <c r="A140" s="3" t="s">
        <v>379</v>
      </c>
      <c r="B140" s="66">
        <v>512.25</v>
      </c>
      <c r="C140" s="66">
        <v>512.25</v>
      </c>
      <c r="D140"/>
      <c r="E140"/>
      <c r="F140"/>
      <c r="G140" s="29"/>
      <c r="H140"/>
      <c r="I140"/>
    </row>
    <row r="141" spans="1:9" ht="15" x14ac:dyDescent="0.25">
      <c r="A141" s="3" t="s">
        <v>399</v>
      </c>
      <c r="B141" s="66">
        <v>477.07</v>
      </c>
      <c r="C141" s="66">
        <v>477.07</v>
      </c>
      <c r="D141"/>
      <c r="E141"/>
      <c r="F141"/>
      <c r="G141" s="29"/>
      <c r="H141"/>
      <c r="I141"/>
    </row>
    <row r="142" spans="1:9" ht="15" x14ac:dyDescent="0.25">
      <c r="A142" s="3" t="s">
        <v>387</v>
      </c>
      <c r="B142" s="66">
        <v>458</v>
      </c>
      <c r="C142" s="66">
        <v>458</v>
      </c>
      <c r="D142"/>
      <c r="E142"/>
      <c r="F142"/>
      <c r="G142" s="29"/>
      <c r="H142"/>
      <c r="I142"/>
    </row>
    <row r="143" spans="1:9" ht="15" x14ac:dyDescent="0.25">
      <c r="A143" s="3" t="s">
        <v>132</v>
      </c>
      <c r="B143" s="66">
        <v>457.5</v>
      </c>
      <c r="C143" s="66">
        <v>457.5</v>
      </c>
      <c r="D143"/>
      <c r="E143"/>
      <c r="F143"/>
      <c r="G143" s="29"/>
      <c r="H143"/>
      <c r="I143"/>
    </row>
    <row r="144" spans="1:9" ht="15" x14ac:dyDescent="0.25">
      <c r="A144" s="3" t="s">
        <v>134</v>
      </c>
      <c r="B144" s="66">
        <v>453.65</v>
      </c>
      <c r="C144" s="66">
        <v>453.65</v>
      </c>
      <c r="D144"/>
      <c r="E144"/>
      <c r="F144"/>
      <c r="G144" s="29"/>
      <c r="H144"/>
      <c r="I144"/>
    </row>
    <row r="145" spans="1:9" ht="15" x14ac:dyDescent="0.25">
      <c r="A145" s="3" t="s">
        <v>225</v>
      </c>
      <c r="B145" s="66">
        <v>448.33</v>
      </c>
      <c r="C145" s="66">
        <v>448.33</v>
      </c>
      <c r="D145"/>
      <c r="E145"/>
      <c r="F145"/>
      <c r="G145" s="29"/>
      <c r="H145"/>
      <c r="I145"/>
    </row>
    <row r="146" spans="1:9" ht="15" x14ac:dyDescent="0.25">
      <c r="A146" s="3" t="s">
        <v>319</v>
      </c>
      <c r="B146" s="66">
        <v>440.14</v>
      </c>
      <c r="C146" s="66">
        <v>440.14</v>
      </c>
      <c r="D146"/>
      <c r="E146"/>
      <c r="F146"/>
      <c r="G146" s="29"/>
      <c r="H146"/>
      <c r="I146"/>
    </row>
    <row r="147" spans="1:9" ht="15" x14ac:dyDescent="0.25">
      <c r="A147" s="3" t="s">
        <v>137</v>
      </c>
      <c r="B147" s="66">
        <v>438.24</v>
      </c>
      <c r="C147" s="66">
        <v>438.24</v>
      </c>
      <c r="D147"/>
      <c r="E147"/>
      <c r="F147"/>
      <c r="G147" s="29"/>
      <c r="H147"/>
      <c r="I147"/>
    </row>
    <row r="148" spans="1:9" ht="15" x14ac:dyDescent="0.25">
      <c r="A148" s="3" t="s">
        <v>385</v>
      </c>
      <c r="B148" s="66">
        <v>429.33</v>
      </c>
      <c r="C148" s="66">
        <v>429.33</v>
      </c>
      <c r="D148"/>
      <c r="E148"/>
      <c r="F148"/>
      <c r="G148" s="29"/>
      <c r="H148"/>
      <c r="I148"/>
    </row>
    <row r="149" spans="1:9" ht="15" x14ac:dyDescent="0.25">
      <c r="A149" s="3" t="s">
        <v>338</v>
      </c>
      <c r="B149" s="66">
        <v>427.55</v>
      </c>
      <c r="C149" s="66">
        <v>427.55</v>
      </c>
      <c r="D149"/>
      <c r="E149"/>
      <c r="F149"/>
      <c r="G149" s="29"/>
      <c r="H149"/>
      <c r="I149"/>
    </row>
    <row r="150" spans="1:9" ht="15" x14ac:dyDescent="0.25">
      <c r="A150" s="3" t="s">
        <v>299</v>
      </c>
      <c r="B150" s="66">
        <v>424.71</v>
      </c>
      <c r="C150" s="66">
        <v>424.71</v>
      </c>
      <c r="D150"/>
      <c r="E150"/>
      <c r="F150"/>
      <c r="G150" s="29"/>
      <c r="H150"/>
      <c r="I150"/>
    </row>
    <row r="151" spans="1:9" ht="15" x14ac:dyDescent="0.25">
      <c r="A151" s="3" t="s">
        <v>143</v>
      </c>
      <c r="B151" s="66">
        <v>422.52</v>
      </c>
      <c r="C151" s="66">
        <v>422.52</v>
      </c>
      <c r="D151"/>
      <c r="E151"/>
      <c r="F151"/>
      <c r="G151" s="29"/>
      <c r="H151"/>
      <c r="I151"/>
    </row>
    <row r="152" spans="1:9" ht="15" x14ac:dyDescent="0.25">
      <c r="A152" s="3" t="s">
        <v>369</v>
      </c>
      <c r="B152" s="66">
        <v>422.23</v>
      </c>
      <c r="C152" s="66">
        <v>422.23</v>
      </c>
      <c r="D152"/>
      <c r="E152"/>
      <c r="F152"/>
      <c r="G152" s="29"/>
      <c r="H152"/>
      <c r="I152"/>
    </row>
    <row r="153" spans="1:9" ht="15" x14ac:dyDescent="0.25">
      <c r="A153" s="3" t="s">
        <v>148</v>
      </c>
      <c r="B153" s="66">
        <v>420.44</v>
      </c>
      <c r="C153" s="66">
        <v>420.44</v>
      </c>
      <c r="D153"/>
      <c r="E153"/>
      <c r="F153"/>
      <c r="G153" s="29"/>
      <c r="H153"/>
      <c r="I153"/>
    </row>
    <row r="154" spans="1:9" ht="15" x14ac:dyDescent="0.25">
      <c r="A154" s="3" t="s">
        <v>214</v>
      </c>
      <c r="B154" s="66">
        <v>414.72</v>
      </c>
      <c r="C154" s="66">
        <v>414.72</v>
      </c>
      <c r="D154"/>
      <c r="E154"/>
      <c r="F154"/>
      <c r="G154" s="29"/>
      <c r="H154"/>
      <c r="I154"/>
    </row>
    <row r="155" spans="1:9" ht="15" x14ac:dyDescent="0.25">
      <c r="A155" s="3" t="s">
        <v>330</v>
      </c>
      <c r="B155" s="66">
        <v>396.90999999999997</v>
      </c>
      <c r="C155" s="66">
        <v>396.90999999999997</v>
      </c>
      <c r="D155"/>
      <c r="E155"/>
      <c r="F155"/>
      <c r="G155" s="29"/>
      <c r="H155"/>
      <c r="I155"/>
    </row>
    <row r="156" spans="1:9" ht="15" x14ac:dyDescent="0.25">
      <c r="A156" s="3" t="s">
        <v>257</v>
      </c>
      <c r="B156" s="66">
        <v>378.06</v>
      </c>
      <c r="C156" s="66">
        <v>378.06</v>
      </c>
      <c r="D156"/>
      <c r="E156"/>
      <c r="F156"/>
      <c r="G156" s="29"/>
      <c r="H156"/>
      <c r="I156"/>
    </row>
    <row r="157" spans="1:9" ht="15" x14ac:dyDescent="0.25">
      <c r="A157" s="3" t="s">
        <v>315</v>
      </c>
      <c r="B157" s="66">
        <v>377.08</v>
      </c>
      <c r="C157" s="66">
        <v>377.08</v>
      </c>
      <c r="D157"/>
      <c r="E157"/>
      <c r="F157"/>
      <c r="G157" s="29"/>
      <c r="H157"/>
      <c r="I157"/>
    </row>
    <row r="158" spans="1:9" ht="15" x14ac:dyDescent="0.25">
      <c r="A158" s="3" t="s">
        <v>221</v>
      </c>
      <c r="B158" s="66">
        <v>376.09999999999997</v>
      </c>
      <c r="C158" s="66">
        <v>376.09999999999997</v>
      </c>
      <c r="D158"/>
      <c r="E158"/>
      <c r="F158"/>
      <c r="G158" s="29"/>
      <c r="H158"/>
      <c r="I158"/>
    </row>
    <row r="159" spans="1:9" ht="15" x14ac:dyDescent="0.25">
      <c r="A159" s="3" t="s">
        <v>352</v>
      </c>
      <c r="B159" s="66">
        <v>367.22</v>
      </c>
      <c r="C159" s="66">
        <v>367.22</v>
      </c>
      <c r="D159"/>
      <c r="E159"/>
      <c r="F159"/>
      <c r="G159" s="29"/>
      <c r="H159"/>
      <c r="I159"/>
    </row>
    <row r="160" spans="1:9" ht="15" x14ac:dyDescent="0.25">
      <c r="A160" s="3" t="s">
        <v>17</v>
      </c>
      <c r="B160" s="66">
        <v>345.23</v>
      </c>
      <c r="C160" s="66">
        <v>345.23</v>
      </c>
      <c r="D160"/>
      <c r="E160"/>
      <c r="F160"/>
      <c r="G160" s="29"/>
      <c r="H160"/>
      <c r="I160"/>
    </row>
    <row r="161" spans="1:9" ht="15" x14ac:dyDescent="0.25">
      <c r="A161" s="3" t="s">
        <v>334</v>
      </c>
      <c r="B161" s="66">
        <v>345.11</v>
      </c>
      <c r="C161" s="66">
        <v>345.11</v>
      </c>
      <c r="D161"/>
      <c r="E161"/>
      <c r="F161"/>
      <c r="G161" s="29"/>
      <c r="H161"/>
      <c r="I161"/>
    </row>
    <row r="162" spans="1:9" ht="15" x14ac:dyDescent="0.25">
      <c r="A162" s="3" t="s">
        <v>238</v>
      </c>
      <c r="B162" s="66">
        <v>330.36</v>
      </c>
      <c r="C162" s="66">
        <v>330.36</v>
      </c>
      <c r="D162"/>
      <c r="E162"/>
      <c r="F162"/>
      <c r="G162" s="29"/>
      <c r="H162"/>
      <c r="I162"/>
    </row>
    <row r="163" spans="1:9" ht="15" x14ac:dyDescent="0.25">
      <c r="A163" s="3" t="s">
        <v>312</v>
      </c>
      <c r="B163" s="66">
        <v>320.31</v>
      </c>
      <c r="C163" s="66">
        <v>320.31</v>
      </c>
      <c r="D163"/>
      <c r="E163"/>
      <c r="F163"/>
      <c r="G163" s="29"/>
      <c r="H163"/>
      <c r="I163"/>
    </row>
    <row r="164" spans="1:9" ht="15" x14ac:dyDescent="0.25">
      <c r="A164" s="3" t="s">
        <v>166</v>
      </c>
      <c r="B164" s="66">
        <v>318.72000000000003</v>
      </c>
      <c r="C164" s="66">
        <v>318.72000000000003</v>
      </c>
      <c r="D164"/>
      <c r="E164"/>
      <c r="F164"/>
      <c r="G164" s="29"/>
      <c r="H164"/>
      <c r="I164"/>
    </row>
    <row r="165" spans="1:9" ht="15" x14ac:dyDescent="0.25">
      <c r="A165" s="3" t="s">
        <v>295</v>
      </c>
      <c r="B165" s="66">
        <v>312.77999999999997</v>
      </c>
      <c r="C165" s="66">
        <v>312.77999999999997</v>
      </c>
      <c r="D165"/>
      <c r="E165"/>
      <c r="F165"/>
      <c r="G165" s="29"/>
      <c r="H165"/>
      <c r="I165"/>
    </row>
    <row r="166" spans="1:9" ht="15" x14ac:dyDescent="0.25">
      <c r="A166" s="3" t="s">
        <v>79</v>
      </c>
      <c r="B166" s="66">
        <v>311.98</v>
      </c>
      <c r="C166" s="66">
        <v>311.98</v>
      </c>
      <c r="D166"/>
      <c r="E166"/>
      <c r="F166"/>
      <c r="G166" s="29"/>
      <c r="H166"/>
      <c r="I166"/>
    </row>
    <row r="167" spans="1:9" ht="15" x14ac:dyDescent="0.25">
      <c r="A167" s="3" t="s">
        <v>216</v>
      </c>
      <c r="B167" s="66">
        <v>283.5</v>
      </c>
      <c r="C167" s="66">
        <v>283.5</v>
      </c>
      <c r="D167"/>
      <c r="E167"/>
      <c r="F167"/>
      <c r="G167" s="29"/>
      <c r="H167"/>
      <c r="I167"/>
    </row>
    <row r="168" spans="1:9" ht="15" x14ac:dyDescent="0.25">
      <c r="A168" s="3" t="s">
        <v>254</v>
      </c>
      <c r="B168" s="66">
        <v>280.14999999999998</v>
      </c>
      <c r="C168" s="66">
        <v>280.14999999999998</v>
      </c>
      <c r="D168"/>
      <c r="E168"/>
      <c r="F168"/>
      <c r="G168" s="29"/>
      <c r="H168"/>
      <c r="I168"/>
    </row>
    <row r="169" spans="1:9" ht="15" x14ac:dyDescent="0.25">
      <c r="A169" s="3" t="s">
        <v>165</v>
      </c>
      <c r="B169" s="66">
        <v>275.08000000000004</v>
      </c>
      <c r="C169" s="66">
        <v>275.08000000000004</v>
      </c>
      <c r="D169"/>
      <c r="E169"/>
      <c r="F169"/>
      <c r="G169" s="29"/>
      <c r="H169"/>
      <c r="I169"/>
    </row>
    <row r="170" spans="1:9" ht="15" x14ac:dyDescent="0.25">
      <c r="A170" s="3" t="s">
        <v>316</v>
      </c>
      <c r="B170" s="66">
        <v>268.62</v>
      </c>
      <c r="C170" s="66">
        <v>268.62</v>
      </c>
      <c r="D170"/>
      <c r="E170"/>
      <c r="F170"/>
      <c r="G170" s="29"/>
      <c r="H170"/>
      <c r="I170"/>
    </row>
    <row r="171" spans="1:9" ht="15" x14ac:dyDescent="0.25">
      <c r="A171" s="3" t="s">
        <v>211</v>
      </c>
      <c r="B171" s="66">
        <v>256.53999999999996</v>
      </c>
      <c r="C171" s="66">
        <v>256.53999999999996</v>
      </c>
      <c r="D171"/>
      <c r="E171"/>
      <c r="F171"/>
      <c r="G171" s="29"/>
      <c r="H171"/>
      <c r="I171"/>
    </row>
    <row r="172" spans="1:9" ht="15" x14ac:dyDescent="0.25">
      <c r="A172" s="3" t="s">
        <v>208</v>
      </c>
      <c r="B172" s="66">
        <v>254.55</v>
      </c>
      <c r="C172" s="66">
        <v>254.55</v>
      </c>
      <c r="D172"/>
      <c r="E172"/>
      <c r="F172"/>
      <c r="G172" s="29"/>
      <c r="H172"/>
      <c r="I172"/>
    </row>
    <row r="173" spans="1:9" ht="15" x14ac:dyDescent="0.25">
      <c r="A173" s="3" t="s">
        <v>82</v>
      </c>
      <c r="B173" s="66">
        <v>253.76</v>
      </c>
      <c r="C173" s="66">
        <v>253.76</v>
      </c>
      <c r="D173"/>
      <c r="E173"/>
      <c r="F173"/>
      <c r="G173" s="29"/>
      <c r="H173"/>
      <c r="I173"/>
    </row>
    <row r="174" spans="1:9" ht="15" x14ac:dyDescent="0.25">
      <c r="A174" s="3" t="s">
        <v>294</v>
      </c>
      <c r="B174" s="66">
        <v>250.58999999999997</v>
      </c>
      <c r="C174" s="66">
        <v>250.58999999999997</v>
      </c>
      <c r="D174"/>
      <c r="E174"/>
      <c r="F174"/>
      <c r="G174" s="29"/>
      <c r="H174"/>
      <c r="I174"/>
    </row>
    <row r="175" spans="1:9" ht="15" x14ac:dyDescent="0.25">
      <c r="A175" s="3" t="s">
        <v>349</v>
      </c>
      <c r="B175" s="66">
        <v>239.91</v>
      </c>
      <c r="C175" s="66">
        <v>239.91</v>
      </c>
      <c r="D175"/>
      <c r="E175"/>
      <c r="F175"/>
      <c r="G175" s="29"/>
      <c r="H175"/>
      <c r="I175"/>
    </row>
    <row r="176" spans="1:9" ht="15" x14ac:dyDescent="0.25">
      <c r="A176" s="3" t="s">
        <v>348</v>
      </c>
      <c r="B176" s="66">
        <v>239.31</v>
      </c>
      <c r="C176" s="66">
        <v>239.31</v>
      </c>
      <c r="D176"/>
      <c r="E176"/>
      <c r="F176"/>
      <c r="G176" s="29"/>
      <c r="H176"/>
      <c r="I176"/>
    </row>
    <row r="177" spans="1:9" ht="15" x14ac:dyDescent="0.25">
      <c r="A177" s="3" t="s">
        <v>394</v>
      </c>
      <c r="B177" s="66">
        <v>235.77</v>
      </c>
      <c r="C177" s="66">
        <v>235.77</v>
      </c>
      <c r="D177"/>
      <c r="E177"/>
      <c r="F177"/>
      <c r="G177" s="29"/>
      <c r="H177"/>
      <c r="I177"/>
    </row>
    <row r="178" spans="1:9" ht="15" x14ac:dyDescent="0.25">
      <c r="A178" s="3" t="s">
        <v>353</v>
      </c>
      <c r="B178" s="66">
        <v>232.48</v>
      </c>
      <c r="C178" s="66">
        <v>232.48</v>
      </c>
      <c r="D178"/>
      <c r="E178"/>
      <c r="F178"/>
      <c r="G178" s="29"/>
      <c r="H178"/>
      <c r="I178"/>
    </row>
    <row r="179" spans="1:9" ht="15" x14ac:dyDescent="0.25">
      <c r="A179" s="3" t="s">
        <v>354</v>
      </c>
      <c r="B179" s="66">
        <v>225.6</v>
      </c>
      <c r="C179" s="66">
        <v>225.6</v>
      </c>
      <c r="D179"/>
      <c r="E179"/>
      <c r="F179"/>
      <c r="G179" s="29"/>
      <c r="H179"/>
      <c r="I179"/>
    </row>
    <row r="180" spans="1:9" ht="15" x14ac:dyDescent="0.25">
      <c r="A180" s="3" t="s">
        <v>297</v>
      </c>
      <c r="B180" s="66">
        <v>220.74</v>
      </c>
      <c r="C180" s="66">
        <v>220.74</v>
      </c>
      <c r="D180"/>
      <c r="E180"/>
      <c r="F180"/>
      <c r="G180" s="29"/>
      <c r="H180"/>
      <c r="I180"/>
    </row>
    <row r="181" spans="1:9" ht="15" x14ac:dyDescent="0.25">
      <c r="A181" s="3" t="s">
        <v>289</v>
      </c>
      <c r="B181" s="66">
        <v>220.1</v>
      </c>
      <c r="C181" s="66">
        <v>220.1</v>
      </c>
      <c r="D181"/>
      <c r="E181"/>
      <c r="F181"/>
      <c r="G181" s="29"/>
      <c r="H181"/>
      <c r="I181"/>
    </row>
    <row r="182" spans="1:9" ht="15" x14ac:dyDescent="0.25">
      <c r="A182" s="3" t="s">
        <v>205</v>
      </c>
      <c r="B182" s="66">
        <v>217.54000000000002</v>
      </c>
      <c r="C182" s="66">
        <v>217.54000000000002</v>
      </c>
      <c r="D182"/>
      <c r="E182"/>
      <c r="F182"/>
      <c r="G182" s="29"/>
      <c r="H182"/>
      <c r="I182"/>
    </row>
    <row r="183" spans="1:9" ht="15" x14ac:dyDescent="0.25">
      <c r="A183" s="3" t="s">
        <v>219</v>
      </c>
      <c r="B183" s="66">
        <v>211.8</v>
      </c>
      <c r="C183" s="66">
        <v>211.8</v>
      </c>
      <c r="D183"/>
      <c r="E183"/>
      <c r="F183"/>
      <c r="G183" s="29"/>
      <c r="H183"/>
      <c r="I183"/>
    </row>
    <row r="184" spans="1:9" ht="15" x14ac:dyDescent="0.25">
      <c r="A184" s="3" t="s">
        <v>397</v>
      </c>
      <c r="B184" s="66">
        <v>197.25</v>
      </c>
      <c r="C184" s="66">
        <v>197.25</v>
      </c>
      <c r="D184"/>
      <c r="E184"/>
      <c r="F184"/>
      <c r="G184" s="29"/>
      <c r="H184"/>
      <c r="I184"/>
    </row>
    <row r="185" spans="1:9" ht="15" x14ac:dyDescent="0.25">
      <c r="A185" s="3" t="s">
        <v>228</v>
      </c>
      <c r="B185" s="66">
        <v>194.15</v>
      </c>
      <c r="C185" s="66">
        <v>194.15</v>
      </c>
      <c r="D185"/>
      <c r="E185"/>
      <c r="F185"/>
      <c r="G185" s="29"/>
      <c r="H185"/>
      <c r="I185"/>
    </row>
    <row r="186" spans="1:9" ht="15" x14ac:dyDescent="0.25">
      <c r="A186" s="3" t="s">
        <v>255</v>
      </c>
      <c r="B186" s="66">
        <v>190.37</v>
      </c>
      <c r="C186" s="66">
        <v>190.37</v>
      </c>
      <c r="D186"/>
      <c r="E186"/>
      <c r="F186"/>
      <c r="G186" s="29"/>
      <c r="H186"/>
      <c r="I186"/>
    </row>
    <row r="187" spans="1:9" ht="15" x14ac:dyDescent="0.25">
      <c r="A187" s="3" t="s">
        <v>232</v>
      </c>
      <c r="B187" s="66">
        <v>181.08</v>
      </c>
      <c r="C187" s="66">
        <v>181.08</v>
      </c>
      <c r="D187"/>
      <c r="E187"/>
      <c r="F187"/>
      <c r="G187" s="29"/>
      <c r="H187"/>
      <c r="I187"/>
    </row>
    <row r="188" spans="1:9" ht="15" x14ac:dyDescent="0.25">
      <c r="A188" s="3" t="s">
        <v>389</v>
      </c>
      <c r="B188" s="66">
        <v>179.06</v>
      </c>
      <c r="C188" s="66">
        <v>179.06</v>
      </c>
      <c r="D188"/>
      <c r="E188"/>
      <c r="F188"/>
      <c r="G188" s="29"/>
      <c r="H188"/>
      <c r="I188"/>
    </row>
    <row r="189" spans="1:9" ht="15" x14ac:dyDescent="0.25">
      <c r="A189" s="3" t="s">
        <v>262</v>
      </c>
      <c r="B189" s="66">
        <v>178.09</v>
      </c>
      <c r="C189" s="66">
        <v>178.09</v>
      </c>
      <c r="D189"/>
      <c r="E189"/>
      <c r="F189"/>
      <c r="G189" s="29"/>
      <c r="H189"/>
      <c r="I189"/>
    </row>
    <row r="190" spans="1:9" ht="15" x14ac:dyDescent="0.25">
      <c r="A190" s="3" t="s">
        <v>368</v>
      </c>
      <c r="B190" s="66">
        <v>169.66</v>
      </c>
      <c r="C190" s="66">
        <v>169.66</v>
      </c>
      <c r="D190"/>
      <c r="E190"/>
      <c r="F190"/>
      <c r="G190" s="29"/>
      <c r="H190"/>
      <c r="I190"/>
    </row>
    <row r="191" spans="1:9" ht="15" x14ac:dyDescent="0.25">
      <c r="A191" s="3" t="s">
        <v>321</v>
      </c>
      <c r="B191" s="66">
        <v>168.69</v>
      </c>
      <c r="C191" s="66">
        <v>168.69</v>
      </c>
      <c r="D191"/>
      <c r="E191"/>
      <c r="F191"/>
      <c r="G191" s="29"/>
      <c r="H191"/>
      <c r="I191"/>
    </row>
    <row r="192" spans="1:9" ht="15" x14ac:dyDescent="0.25">
      <c r="A192" s="3" t="s">
        <v>242</v>
      </c>
      <c r="B192" s="66">
        <v>166.43</v>
      </c>
      <c r="C192" s="66">
        <v>166.43</v>
      </c>
      <c r="D192"/>
      <c r="E192"/>
      <c r="F192"/>
      <c r="G192" s="29"/>
      <c r="H192"/>
      <c r="I192"/>
    </row>
    <row r="193" spans="1:9" ht="15" x14ac:dyDescent="0.25">
      <c r="A193" s="3" t="s">
        <v>88</v>
      </c>
      <c r="B193" s="66">
        <v>158.49</v>
      </c>
      <c r="C193" s="66">
        <v>158.49</v>
      </c>
      <c r="D193"/>
      <c r="E193"/>
      <c r="F193"/>
      <c r="G193" s="29"/>
      <c r="H193"/>
      <c r="I193"/>
    </row>
    <row r="194" spans="1:9" ht="15" x14ac:dyDescent="0.25">
      <c r="A194" s="3" t="s">
        <v>309</v>
      </c>
      <c r="B194" s="66">
        <v>155.22</v>
      </c>
      <c r="C194" s="66">
        <v>155.22</v>
      </c>
      <c r="D194"/>
      <c r="E194"/>
      <c r="F194"/>
      <c r="G194" s="29"/>
      <c r="H194"/>
      <c r="I194"/>
    </row>
    <row r="195" spans="1:9" ht="15" x14ac:dyDescent="0.25">
      <c r="A195" s="3" t="s">
        <v>358</v>
      </c>
      <c r="B195" s="66">
        <v>148.4</v>
      </c>
      <c r="C195" s="66">
        <v>148.4</v>
      </c>
      <c r="D195"/>
      <c r="E195"/>
      <c r="F195"/>
      <c r="G195" s="29"/>
      <c r="H195"/>
      <c r="I195"/>
    </row>
    <row r="196" spans="1:9" ht="15" x14ac:dyDescent="0.25">
      <c r="A196" s="3" t="s">
        <v>386</v>
      </c>
      <c r="B196" s="66">
        <v>145.24</v>
      </c>
      <c r="C196" s="66">
        <v>145.24</v>
      </c>
      <c r="D196"/>
      <c r="E196"/>
      <c r="F196"/>
      <c r="G196" s="29"/>
      <c r="H196"/>
      <c r="I196"/>
    </row>
    <row r="197" spans="1:9" ht="15" x14ac:dyDescent="0.25">
      <c r="A197" s="3" t="s">
        <v>395</v>
      </c>
      <c r="B197" s="66">
        <v>141.31</v>
      </c>
      <c r="C197" s="66">
        <v>141.31</v>
      </c>
      <c r="D197"/>
      <c r="E197"/>
      <c r="F197"/>
      <c r="G197" s="29"/>
      <c r="H197"/>
      <c r="I197"/>
    </row>
    <row r="198" spans="1:9" ht="15" x14ac:dyDescent="0.25">
      <c r="A198" s="3" t="s">
        <v>250</v>
      </c>
      <c r="B198" s="66">
        <v>136.46</v>
      </c>
      <c r="C198" s="66">
        <v>136.46</v>
      </c>
      <c r="D198"/>
      <c r="E198"/>
      <c r="F198"/>
      <c r="G198" s="29"/>
      <c r="H198"/>
      <c r="I198"/>
    </row>
    <row r="199" spans="1:9" ht="15" x14ac:dyDescent="0.25">
      <c r="A199" s="3" t="s">
        <v>237</v>
      </c>
      <c r="B199" s="66">
        <v>134.21</v>
      </c>
      <c r="C199" s="66">
        <v>134.21</v>
      </c>
      <c r="D199"/>
      <c r="E199"/>
      <c r="F199"/>
      <c r="G199" s="29"/>
      <c r="H199"/>
      <c r="I199"/>
    </row>
    <row r="200" spans="1:9" ht="15" x14ac:dyDescent="0.25">
      <c r="A200" s="3" t="s">
        <v>169</v>
      </c>
      <c r="B200" s="66">
        <v>132.41999999999999</v>
      </c>
      <c r="C200" s="66">
        <v>132.41999999999999</v>
      </c>
      <c r="D200"/>
      <c r="E200"/>
      <c r="F200"/>
      <c r="G200" s="29"/>
      <c r="H200"/>
      <c r="I200"/>
    </row>
    <row r="201" spans="1:9" ht="15" x14ac:dyDescent="0.25">
      <c r="A201" s="3" t="s">
        <v>174</v>
      </c>
      <c r="B201" s="66">
        <v>127.22</v>
      </c>
      <c r="C201" s="66">
        <v>127.22</v>
      </c>
      <c r="D201"/>
      <c r="E201"/>
      <c r="F201"/>
      <c r="G201" s="29"/>
      <c r="H201"/>
      <c r="I201"/>
    </row>
    <row r="202" spans="1:9" ht="15" x14ac:dyDescent="0.25">
      <c r="A202" s="3" t="s">
        <v>324</v>
      </c>
      <c r="B202" s="66">
        <v>126.45</v>
      </c>
      <c r="C202" s="66">
        <v>126.45</v>
      </c>
      <c r="D202"/>
      <c r="E202"/>
      <c r="F202"/>
      <c r="G202" s="29"/>
      <c r="H202"/>
      <c r="I202"/>
    </row>
    <row r="203" spans="1:9" ht="15" x14ac:dyDescent="0.25">
      <c r="A203" s="3" t="s">
        <v>290</v>
      </c>
      <c r="B203" s="66">
        <v>122.94</v>
      </c>
      <c r="C203" s="66">
        <v>122.94</v>
      </c>
      <c r="D203"/>
      <c r="E203"/>
      <c r="F203"/>
      <c r="G203" s="29"/>
      <c r="H203"/>
      <c r="I203"/>
    </row>
    <row r="204" spans="1:9" ht="15" x14ac:dyDescent="0.25">
      <c r="A204" s="3" t="s">
        <v>326</v>
      </c>
      <c r="B204" s="66">
        <v>121.32</v>
      </c>
      <c r="C204" s="66">
        <v>121.32</v>
      </c>
      <c r="D204"/>
      <c r="E204"/>
      <c r="F204"/>
      <c r="G204" s="29"/>
      <c r="H204"/>
      <c r="I204"/>
    </row>
    <row r="205" spans="1:9" ht="15" x14ac:dyDescent="0.25">
      <c r="A205" s="3" t="s">
        <v>367</v>
      </c>
      <c r="B205" s="66">
        <v>113.2</v>
      </c>
      <c r="C205" s="66">
        <v>113.2</v>
      </c>
      <c r="D205"/>
      <c r="E205"/>
      <c r="F205"/>
      <c r="G205" s="29"/>
      <c r="H205"/>
      <c r="I205"/>
    </row>
    <row r="206" spans="1:9" ht="15" x14ac:dyDescent="0.25">
      <c r="A206" s="3" t="s">
        <v>230</v>
      </c>
      <c r="B206" s="66">
        <v>111.88</v>
      </c>
      <c r="C206" s="66">
        <v>111.88</v>
      </c>
      <c r="D206"/>
      <c r="E206"/>
      <c r="F206"/>
      <c r="G206" s="29"/>
      <c r="H206"/>
      <c r="I206"/>
    </row>
    <row r="207" spans="1:9" ht="15" x14ac:dyDescent="0.25">
      <c r="A207" s="3" t="s">
        <v>138</v>
      </c>
      <c r="B207" s="66">
        <v>105.88</v>
      </c>
      <c r="C207" s="66">
        <v>105.88</v>
      </c>
      <c r="D207"/>
      <c r="E207"/>
      <c r="F207"/>
      <c r="G207" s="29"/>
      <c r="H207"/>
      <c r="I207"/>
    </row>
    <row r="208" spans="1:9" ht="15" x14ac:dyDescent="0.25">
      <c r="A208" s="3" t="s">
        <v>129</v>
      </c>
      <c r="B208" s="66">
        <v>104.53</v>
      </c>
      <c r="C208" s="66">
        <v>104.53</v>
      </c>
      <c r="D208"/>
      <c r="E208"/>
      <c r="F208"/>
      <c r="G208" s="29"/>
      <c r="H208"/>
      <c r="I208"/>
    </row>
    <row r="209" spans="1:9" ht="15" x14ac:dyDescent="0.25">
      <c r="A209" s="3" t="s">
        <v>81</v>
      </c>
      <c r="B209" s="66">
        <v>103.13</v>
      </c>
      <c r="C209" s="66">
        <v>103.13</v>
      </c>
      <c r="D209"/>
      <c r="E209"/>
      <c r="F209"/>
      <c r="G209" s="29"/>
      <c r="H209"/>
      <c r="I209"/>
    </row>
    <row r="210" spans="1:9" ht="15" x14ac:dyDescent="0.25">
      <c r="A210" s="3" t="s">
        <v>405</v>
      </c>
      <c r="B210" s="66">
        <v>102.87</v>
      </c>
      <c r="C210" s="66">
        <v>102.87</v>
      </c>
      <c r="D210"/>
      <c r="E210"/>
      <c r="F210"/>
      <c r="G210" s="29"/>
      <c r="H210"/>
      <c r="I210"/>
    </row>
    <row r="211" spans="1:9" ht="15" x14ac:dyDescent="0.25">
      <c r="A211" s="3" t="s">
        <v>105</v>
      </c>
      <c r="B211" s="66">
        <v>102.23</v>
      </c>
      <c r="C211" s="66">
        <v>102.23</v>
      </c>
      <c r="D211"/>
      <c r="E211"/>
      <c r="F211"/>
      <c r="G211" s="29"/>
      <c r="H211"/>
      <c r="I211"/>
    </row>
    <row r="212" spans="1:9" ht="15" x14ac:dyDescent="0.25">
      <c r="A212" s="3" t="s">
        <v>383</v>
      </c>
      <c r="B212" s="66">
        <v>100.28</v>
      </c>
      <c r="C212" s="66">
        <v>100.28</v>
      </c>
      <c r="D212"/>
      <c r="E212"/>
      <c r="F212"/>
      <c r="G212" s="29"/>
      <c r="H212"/>
      <c r="I212"/>
    </row>
    <row r="213" spans="1:9" ht="15" x14ac:dyDescent="0.25">
      <c r="A213" s="3" t="s">
        <v>382</v>
      </c>
      <c r="B213" s="66">
        <v>100.07</v>
      </c>
      <c r="C213" s="66">
        <v>100.07</v>
      </c>
      <c r="D213"/>
      <c r="E213"/>
      <c r="F213"/>
      <c r="G213" s="29"/>
      <c r="H213"/>
      <c r="I213"/>
    </row>
    <row r="214" spans="1:9" ht="15" x14ac:dyDescent="0.25">
      <c r="A214" s="3" t="s">
        <v>332</v>
      </c>
      <c r="B214" s="66">
        <v>96.99</v>
      </c>
      <c r="C214" s="66">
        <v>96.99</v>
      </c>
      <c r="D214"/>
      <c r="E214"/>
      <c r="F214"/>
      <c r="G214" s="29"/>
      <c r="H214"/>
      <c r="I214"/>
    </row>
    <row r="215" spans="1:9" ht="15" x14ac:dyDescent="0.25">
      <c r="A215" s="3" t="s">
        <v>243</v>
      </c>
      <c r="B215" s="66">
        <v>95.87</v>
      </c>
      <c r="C215" s="66">
        <v>95.87</v>
      </c>
      <c r="D215"/>
      <c r="E215"/>
      <c r="F215"/>
      <c r="G215" s="29"/>
      <c r="H215"/>
      <c r="I215"/>
    </row>
    <row r="216" spans="1:9" ht="15" x14ac:dyDescent="0.25">
      <c r="A216" s="3" t="s">
        <v>241</v>
      </c>
      <c r="B216" s="66">
        <v>93.41</v>
      </c>
      <c r="C216" s="66">
        <v>93.41</v>
      </c>
      <c r="D216"/>
      <c r="E216"/>
      <c r="F216"/>
      <c r="G216" s="29"/>
      <c r="H216"/>
      <c r="I216"/>
    </row>
    <row r="217" spans="1:9" ht="15" x14ac:dyDescent="0.25">
      <c r="A217" s="3" t="s">
        <v>164</v>
      </c>
      <c r="B217" s="66">
        <v>88.91</v>
      </c>
      <c r="C217" s="66">
        <v>88.91</v>
      </c>
      <c r="D217"/>
      <c r="E217"/>
      <c r="F217"/>
      <c r="G217" s="29"/>
      <c r="H217"/>
      <c r="I217"/>
    </row>
    <row r="218" spans="1:9" ht="15" x14ac:dyDescent="0.25">
      <c r="A218" s="3" t="s">
        <v>146</v>
      </c>
      <c r="B218" s="66">
        <v>85.55</v>
      </c>
      <c r="C218" s="66">
        <v>85.55</v>
      </c>
      <c r="D218"/>
      <c r="E218"/>
      <c r="F218"/>
      <c r="G218" s="29"/>
      <c r="H218"/>
      <c r="I218"/>
    </row>
    <row r="219" spans="1:9" ht="15" x14ac:dyDescent="0.25">
      <c r="A219" s="3" t="s">
        <v>234</v>
      </c>
      <c r="B219" s="66">
        <v>85.01</v>
      </c>
      <c r="C219" s="66">
        <v>85.01</v>
      </c>
      <c r="D219"/>
      <c r="E219"/>
      <c r="F219"/>
      <c r="G219" s="29"/>
      <c r="H219"/>
      <c r="I219"/>
    </row>
    <row r="220" spans="1:9" ht="15" x14ac:dyDescent="0.25">
      <c r="A220" s="3" t="s">
        <v>378</v>
      </c>
      <c r="B220" s="66">
        <v>84.99</v>
      </c>
      <c r="C220" s="66">
        <v>84.99</v>
      </c>
      <c r="D220"/>
      <c r="E220"/>
      <c r="F220"/>
      <c r="G220" s="29"/>
      <c r="H220"/>
      <c r="I220"/>
    </row>
    <row r="221" spans="1:9" ht="15" x14ac:dyDescent="0.25">
      <c r="A221" s="3" t="s">
        <v>406</v>
      </c>
      <c r="B221" s="66">
        <v>75.39</v>
      </c>
      <c r="C221" s="66">
        <v>75.39</v>
      </c>
      <c r="D221"/>
      <c r="E221"/>
      <c r="F221"/>
      <c r="G221" s="29"/>
      <c r="H221"/>
      <c r="I221"/>
    </row>
    <row r="222" spans="1:9" ht="15" x14ac:dyDescent="0.25">
      <c r="A222" s="3" t="s">
        <v>23</v>
      </c>
      <c r="B222" s="66">
        <v>67.02</v>
      </c>
      <c r="C222" s="66">
        <v>67.02</v>
      </c>
      <c r="D222"/>
      <c r="E222"/>
      <c r="F222"/>
      <c r="G222" s="29"/>
      <c r="H222"/>
      <c r="I222"/>
    </row>
    <row r="223" spans="1:9" ht="15" x14ac:dyDescent="0.25">
      <c r="A223" s="3" t="s">
        <v>347</v>
      </c>
      <c r="B223" s="66">
        <v>66.63</v>
      </c>
      <c r="C223" s="66">
        <v>66.63</v>
      </c>
      <c r="D223"/>
      <c r="E223"/>
      <c r="F223"/>
      <c r="G223" s="29"/>
      <c r="H223"/>
      <c r="I223"/>
    </row>
    <row r="224" spans="1:9" ht="15" x14ac:dyDescent="0.25">
      <c r="A224" s="3" t="s">
        <v>110</v>
      </c>
      <c r="B224" s="66">
        <v>66.150000000000006</v>
      </c>
      <c r="C224" s="66">
        <v>66.150000000000006</v>
      </c>
      <c r="D224"/>
      <c r="E224"/>
      <c r="F224"/>
      <c r="G224" s="29"/>
      <c r="H224"/>
      <c r="I224"/>
    </row>
    <row r="225" spans="1:9" ht="15" x14ac:dyDescent="0.25">
      <c r="A225" s="3" t="s">
        <v>150</v>
      </c>
      <c r="B225" s="66">
        <v>65.44</v>
      </c>
      <c r="C225" s="66">
        <v>65.44</v>
      </c>
      <c r="D225"/>
      <c r="E225"/>
      <c r="F225"/>
      <c r="G225" s="29"/>
      <c r="H225"/>
      <c r="I225"/>
    </row>
    <row r="226" spans="1:9" ht="15" x14ac:dyDescent="0.25">
      <c r="A226" s="3" t="s">
        <v>268</v>
      </c>
      <c r="B226" s="66">
        <v>64.53</v>
      </c>
      <c r="C226" s="66">
        <v>64.53</v>
      </c>
      <c r="D226"/>
      <c r="E226"/>
      <c r="F226"/>
      <c r="G226" s="29"/>
      <c r="H226"/>
      <c r="I226"/>
    </row>
    <row r="227" spans="1:9" ht="15" x14ac:dyDescent="0.25">
      <c r="A227" s="3" t="s">
        <v>20</v>
      </c>
      <c r="B227" s="66">
        <v>64.5</v>
      </c>
      <c r="C227" s="66">
        <v>64.5</v>
      </c>
      <c r="D227"/>
      <c r="E227"/>
      <c r="F227"/>
      <c r="G227" s="29"/>
      <c r="H227"/>
      <c r="I227"/>
    </row>
    <row r="228" spans="1:9" ht="15" x14ac:dyDescent="0.25">
      <c r="A228" s="3" t="s">
        <v>407</v>
      </c>
      <c r="B228" s="66">
        <v>62.85</v>
      </c>
      <c r="C228" s="66">
        <v>62.85</v>
      </c>
      <c r="D228"/>
      <c r="E228"/>
      <c r="F228"/>
      <c r="G228" s="29"/>
      <c r="H228"/>
      <c r="I228"/>
    </row>
    <row r="229" spans="1:9" ht="15" x14ac:dyDescent="0.25">
      <c r="A229" s="3" t="s">
        <v>270</v>
      </c>
      <c r="B229" s="66">
        <v>61.02</v>
      </c>
      <c r="C229" s="66">
        <v>61.02</v>
      </c>
      <c r="D229"/>
      <c r="E229"/>
      <c r="F229"/>
      <c r="G229" s="29"/>
      <c r="H229"/>
      <c r="I229"/>
    </row>
    <row r="230" spans="1:9" ht="15" x14ac:dyDescent="0.25">
      <c r="A230" s="3" t="s">
        <v>303</v>
      </c>
      <c r="B230" s="66">
        <v>58.45</v>
      </c>
      <c r="C230" s="66">
        <v>58.45</v>
      </c>
      <c r="D230"/>
      <c r="E230"/>
      <c r="F230"/>
      <c r="G230" s="29"/>
      <c r="H230"/>
      <c r="I230"/>
    </row>
    <row r="231" spans="1:9" ht="15" x14ac:dyDescent="0.25">
      <c r="A231" s="3" t="s">
        <v>361</v>
      </c>
      <c r="B231" s="66">
        <v>55.47</v>
      </c>
      <c r="C231" s="66">
        <v>55.47</v>
      </c>
      <c r="D231"/>
      <c r="E231"/>
      <c r="F231"/>
      <c r="G231" s="29"/>
      <c r="H231"/>
      <c r="I231"/>
    </row>
    <row r="232" spans="1:9" ht="15" x14ac:dyDescent="0.25">
      <c r="A232" s="3" t="s">
        <v>149</v>
      </c>
      <c r="B232" s="66">
        <v>53.53</v>
      </c>
      <c r="C232" s="66">
        <v>53.53</v>
      </c>
      <c r="D232"/>
      <c r="E232"/>
      <c r="F232"/>
      <c r="G232" s="29"/>
      <c r="H232"/>
      <c r="I232"/>
    </row>
    <row r="233" spans="1:9" ht="15" x14ac:dyDescent="0.25">
      <c r="A233" s="3" t="s">
        <v>329</v>
      </c>
      <c r="B233" s="66">
        <v>49.01</v>
      </c>
      <c r="C233" s="66">
        <v>49.01</v>
      </c>
      <c r="D233"/>
      <c r="E233"/>
      <c r="F233"/>
      <c r="G233" s="29"/>
      <c r="H233"/>
      <c r="I233"/>
    </row>
    <row r="234" spans="1:9" ht="15" x14ac:dyDescent="0.25">
      <c r="A234" s="3" t="s">
        <v>308</v>
      </c>
      <c r="B234" s="66">
        <v>48.47</v>
      </c>
      <c r="C234" s="66">
        <v>48.47</v>
      </c>
      <c r="D234"/>
      <c r="E234"/>
      <c r="F234"/>
      <c r="G234" s="29"/>
      <c r="H234"/>
      <c r="I234"/>
    </row>
    <row r="235" spans="1:9" ht="15" x14ac:dyDescent="0.25">
      <c r="A235" s="3" t="s">
        <v>331</v>
      </c>
      <c r="B235" s="66">
        <v>47.93</v>
      </c>
      <c r="C235" s="66">
        <v>47.93</v>
      </c>
      <c r="D235"/>
      <c r="E235"/>
      <c r="F235"/>
      <c r="G235" s="29"/>
      <c r="H235"/>
      <c r="I235"/>
    </row>
    <row r="236" spans="1:9" ht="15" x14ac:dyDescent="0.25">
      <c r="A236" s="3" t="s">
        <v>136</v>
      </c>
      <c r="B236" s="66">
        <v>46.98</v>
      </c>
      <c r="C236" s="66">
        <v>46.98</v>
      </c>
      <c r="D236"/>
      <c r="E236"/>
      <c r="F236"/>
      <c r="G236" s="29"/>
      <c r="H236"/>
      <c r="I236"/>
    </row>
    <row r="237" spans="1:9" ht="15" x14ac:dyDescent="0.25">
      <c r="A237" s="3" t="s">
        <v>404</v>
      </c>
      <c r="B237" s="66">
        <v>43.33</v>
      </c>
      <c r="C237" s="66">
        <v>43.33</v>
      </c>
      <c r="D237"/>
      <c r="E237"/>
      <c r="F237"/>
      <c r="G237" s="29"/>
      <c r="H237"/>
      <c r="I237"/>
    </row>
    <row r="238" spans="1:9" ht="15" x14ac:dyDescent="0.25">
      <c r="A238" s="3" t="s">
        <v>381</v>
      </c>
      <c r="B238" s="66">
        <v>43.04</v>
      </c>
      <c r="C238" s="66">
        <v>43.04</v>
      </c>
      <c r="D238"/>
      <c r="E238"/>
      <c r="F238"/>
      <c r="G238" s="29"/>
      <c r="H238"/>
      <c r="I238"/>
    </row>
    <row r="239" spans="1:9" ht="15" x14ac:dyDescent="0.25">
      <c r="A239" s="3" t="s">
        <v>245</v>
      </c>
      <c r="B239" s="66">
        <v>36.020000000000003</v>
      </c>
      <c r="C239" s="66">
        <v>36.020000000000003</v>
      </c>
      <c r="D239"/>
      <c r="E239"/>
      <c r="F239"/>
      <c r="G239" s="29"/>
      <c r="H239"/>
      <c r="I239"/>
    </row>
    <row r="240" spans="1:9" ht="15" x14ac:dyDescent="0.25">
      <c r="A240" s="3" t="s">
        <v>335</v>
      </c>
      <c r="B240" s="66">
        <v>30.13</v>
      </c>
      <c r="C240" s="66">
        <v>30.13</v>
      </c>
      <c r="D240"/>
      <c r="E240"/>
      <c r="F240"/>
      <c r="G240" s="29"/>
      <c r="H240"/>
      <c r="I240"/>
    </row>
    <row r="241" spans="1:9" ht="15" x14ac:dyDescent="0.25">
      <c r="A241" s="3" t="s">
        <v>162</v>
      </c>
      <c r="B241" s="66">
        <v>26.34</v>
      </c>
      <c r="C241" s="66">
        <v>26.34</v>
      </c>
      <c r="D241"/>
      <c r="E241"/>
      <c r="F241"/>
      <c r="G241" s="29"/>
      <c r="H241"/>
      <c r="I241"/>
    </row>
    <row r="242" spans="1:9" ht="15" x14ac:dyDescent="0.25">
      <c r="A242" s="3" t="s">
        <v>300</v>
      </c>
      <c r="B242" s="66">
        <v>19.14</v>
      </c>
      <c r="C242" s="66">
        <v>19.14</v>
      </c>
      <c r="D242"/>
      <c r="E242"/>
      <c r="F242"/>
      <c r="G242" s="29"/>
      <c r="H242"/>
      <c r="I242"/>
    </row>
    <row r="243" spans="1:9" ht="15" x14ac:dyDescent="0.25">
      <c r="A243" s="3" t="s">
        <v>106</v>
      </c>
      <c r="B243" s="66">
        <v>11.08</v>
      </c>
      <c r="C243" s="66">
        <v>11.08</v>
      </c>
      <c r="D243"/>
      <c r="E243"/>
      <c r="F243"/>
      <c r="G243" s="29"/>
      <c r="H243"/>
      <c r="I243"/>
    </row>
    <row r="244" spans="1:9" ht="15" x14ac:dyDescent="0.25">
      <c r="A244" s="3" t="s">
        <v>231</v>
      </c>
      <c r="B244" s="66">
        <v>4.0199999999999996</v>
      </c>
      <c r="C244" s="66">
        <v>4.0199999999999996</v>
      </c>
      <c r="D244"/>
      <c r="E244"/>
      <c r="F244"/>
      <c r="G244" s="29"/>
      <c r="H244"/>
      <c r="I244"/>
    </row>
    <row r="245" spans="1:9" ht="15" x14ac:dyDescent="0.25">
      <c r="A245" s="3" t="s">
        <v>396</v>
      </c>
      <c r="B245" s="66">
        <v>2.13</v>
      </c>
      <c r="C245" s="66">
        <v>2.13</v>
      </c>
      <c r="D245"/>
      <c r="E245"/>
      <c r="F245"/>
      <c r="G245" s="29"/>
      <c r="H245"/>
      <c r="I245"/>
    </row>
    <row r="246" spans="1:9" ht="15" x14ac:dyDescent="0.25">
      <c r="A246" s="3" t="s">
        <v>33</v>
      </c>
      <c r="B246" s="66">
        <v>411412.22999999981</v>
      </c>
      <c r="C246" s="66">
        <v>411412.22999999981</v>
      </c>
      <c r="D246"/>
      <c r="E246"/>
      <c r="F246"/>
      <c r="G246" s="29"/>
      <c r="H246"/>
      <c r="I246"/>
    </row>
    <row r="247" spans="1:9" ht="15" x14ac:dyDescent="0.25">
      <c r="A247"/>
      <c r="B247"/>
      <c r="C247"/>
      <c r="D247"/>
      <c r="E247"/>
      <c r="F247"/>
      <c r="G247" s="29"/>
      <c r="H247"/>
      <c r="I247"/>
    </row>
    <row r="248" spans="1:9" ht="15" x14ac:dyDescent="0.25">
      <c r="A248"/>
      <c r="B248"/>
      <c r="C248"/>
      <c r="D248"/>
      <c r="E248"/>
      <c r="F248"/>
      <c r="G248" s="29"/>
      <c r="H248"/>
      <c r="I248"/>
    </row>
    <row r="249" spans="1:9" ht="15" x14ac:dyDescent="0.25">
      <c r="A249"/>
      <c r="B249"/>
      <c r="C249"/>
      <c r="D249"/>
      <c r="E249"/>
      <c r="F249"/>
      <c r="G249" s="29"/>
      <c r="H249"/>
      <c r="I249"/>
    </row>
    <row r="250" spans="1:9" ht="15" x14ac:dyDescent="0.25">
      <c r="A250"/>
      <c r="B250"/>
      <c r="C250"/>
      <c r="D250"/>
      <c r="E250"/>
      <c r="F250"/>
      <c r="G250" s="29"/>
      <c r="H250"/>
      <c r="I250"/>
    </row>
    <row r="251" spans="1:9" ht="15" x14ac:dyDescent="0.25">
      <c r="A251"/>
      <c r="B251"/>
      <c r="C251"/>
      <c r="D251"/>
      <c r="E251"/>
      <c r="F251"/>
      <c r="G251" s="29"/>
      <c r="H251"/>
      <c r="I251"/>
    </row>
    <row r="252" spans="1:9" ht="15" x14ac:dyDescent="0.25">
      <c r="A252"/>
      <c r="B252"/>
      <c r="C252"/>
      <c r="D252"/>
      <c r="E252"/>
      <c r="F252"/>
      <c r="G252" s="29"/>
      <c r="H252"/>
      <c r="I252"/>
    </row>
    <row r="253" spans="1:9" ht="15" x14ac:dyDescent="0.25">
      <c r="A253"/>
      <c r="B253"/>
      <c r="C253"/>
      <c r="D253"/>
      <c r="E253"/>
      <c r="F253"/>
      <c r="G253" s="29"/>
      <c r="H253"/>
      <c r="I253"/>
    </row>
    <row r="254" spans="1:9" ht="15" x14ac:dyDescent="0.25">
      <c r="A254"/>
      <c r="B254"/>
      <c r="C254"/>
      <c r="D254"/>
      <c r="E254"/>
      <c r="F254"/>
      <c r="G254" s="29"/>
      <c r="H254"/>
      <c r="I254"/>
    </row>
    <row r="255" spans="1:9" ht="15" x14ac:dyDescent="0.25">
      <c r="A255"/>
      <c r="B255"/>
      <c r="C255"/>
      <c r="D255"/>
      <c r="E255"/>
      <c r="F255"/>
      <c r="G255" s="29"/>
      <c r="H255"/>
      <c r="I255"/>
    </row>
    <row r="256" spans="1:9" ht="15" x14ac:dyDescent="0.25">
      <c r="A256"/>
      <c r="B256"/>
      <c r="C256"/>
      <c r="D256"/>
      <c r="E256"/>
      <c r="F256"/>
      <c r="G256" s="29"/>
      <c r="H256"/>
      <c r="I256"/>
    </row>
    <row r="257" spans="1:9" ht="15" x14ac:dyDescent="0.25">
      <c r="A257"/>
      <c r="B257"/>
      <c r="C257"/>
      <c r="D257"/>
      <c r="E257"/>
      <c r="F257"/>
      <c r="G257" s="29"/>
      <c r="H257"/>
      <c r="I257"/>
    </row>
    <row r="258" spans="1:9" ht="15" x14ac:dyDescent="0.25">
      <c r="A258"/>
      <c r="B258"/>
      <c r="C258"/>
      <c r="D258"/>
      <c r="E258"/>
      <c r="F258"/>
      <c r="G258" s="29"/>
      <c r="H258"/>
      <c r="I258"/>
    </row>
    <row r="259" spans="1:9" ht="15" x14ac:dyDescent="0.25">
      <c r="A259"/>
      <c r="B259"/>
      <c r="C259"/>
      <c r="D259"/>
      <c r="E259"/>
      <c r="F259"/>
      <c r="G259" s="29"/>
      <c r="H259"/>
      <c r="I259"/>
    </row>
    <row r="260" spans="1:9" ht="15" x14ac:dyDescent="0.25">
      <c r="A260"/>
      <c r="B260"/>
      <c r="C260"/>
      <c r="D260"/>
      <c r="E260"/>
      <c r="F260"/>
      <c r="G260" s="29"/>
      <c r="H260"/>
      <c r="I260"/>
    </row>
    <row r="261" spans="1:9" ht="15" x14ac:dyDescent="0.25">
      <c r="A261"/>
      <c r="B261"/>
      <c r="C261"/>
      <c r="D261"/>
      <c r="E261"/>
      <c r="F261"/>
      <c r="G261" s="29"/>
      <c r="H261"/>
      <c r="I261"/>
    </row>
    <row r="262" spans="1:9" ht="15" x14ac:dyDescent="0.25">
      <c r="A262"/>
      <c r="B262"/>
      <c r="C262"/>
      <c r="D262"/>
      <c r="E262"/>
      <c r="F262"/>
      <c r="G262" s="29"/>
      <c r="H262"/>
      <c r="I262"/>
    </row>
    <row r="263" spans="1:9" ht="15" x14ac:dyDescent="0.25">
      <c r="A263"/>
      <c r="B263"/>
      <c r="C263"/>
      <c r="D263"/>
      <c r="E263"/>
      <c r="F263"/>
      <c r="G263" s="29"/>
      <c r="H263"/>
      <c r="I263"/>
    </row>
    <row r="264" spans="1:9" ht="15" x14ac:dyDescent="0.25">
      <c r="A264"/>
      <c r="B264"/>
      <c r="C264"/>
      <c r="D264"/>
      <c r="E264"/>
      <c r="F264"/>
      <c r="G264" s="29"/>
      <c r="H264"/>
      <c r="I264"/>
    </row>
    <row r="265" spans="1:9" ht="15" x14ac:dyDescent="0.25">
      <c r="A265"/>
      <c r="B265"/>
      <c r="C265"/>
      <c r="D265"/>
      <c r="E265"/>
      <c r="F265"/>
      <c r="G265" s="29"/>
      <c r="H265"/>
      <c r="I265"/>
    </row>
    <row r="266" spans="1:9" ht="15" x14ac:dyDescent="0.25">
      <c r="A266"/>
      <c r="B266"/>
      <c r="C266"/>
      <c r="D266"/>
      <c r="E266"/>
      <c r="F266"/>
      <c r="G266" s="29"/>
      <c r="H266"/>
      <c r="I266"/>
    </row>
    <row r="267" spans="1:9" ht="15" x14ac:dyDescent="0.25">
      <c r="A267"/>
      <c r="B267"/>
      <c r="C267"/>
      <c r="D267"/>
      <c r="E267"/>
      <c r="F267"/>
      <c r="G267" s="29"/>
      <c r="H267"/>
      <c r="I267"/>
    </row>
    <row r="268" spans="1:9" ht="15" x14ac:dyDescent="0.25">
      <c r="A268"/>
      <c r="B268"/>
      <c r="C268"/>
      <c r="D268"/>
      <c r="E268"/>
      <c r="F268"/>
      <c r="G268" s="29"/>
      <c r="H268"/>
      <c r="I268"/>
    </row>
    <row r="269" spans="1:9" ht="15" x14ac:dyDescent="0.25">
      <c r="A269"/>
      <c r="B269"/>
      <c r="C269"/>
      <c r="D269"/>
      <c r="E269"/>
      <c r="F269"/>
      <c r="G269" s="29"/>
      <c r="H269"/>
      <c r="I269"/>
    </row>
    <row r="270" spans="1:9" ht="15" x14ac:dyDescent="0.25">
      <c r="A270"/>
      <c r="B270"/>
      <c r="C270"/>
      <c r="D270"/>
      <c r="E270"/>
      <c r="F270"/>
      <c r="G270" s="29"/>
      <c r="H270"/>
      <c r="I270"/>
    </row>
    <row r="271" spans="1:9" ht="15" x14ac:dyDescent="0.25">
      <c r="A271"/>
      <c r="B271"/>
      <c r="C271"/>
      <c r="D271"/>
      <c r="E271"/>
      <c r="F271"/>
      <c r="G271" s="29"/>
      <c r="H271"/>
      <c r="I271"/>
    </row>
    <row r="272" spans="1:9" ht="15" x14ac:dyDescent="0.25">
      <c r="A272"/>
      <c r="B272"/>
      <c r="C272"/>
      <c r="D272"/>
      <c r="E272"/>
      <c r="F272"/>
      <c r="G272" s="29"/>
      <c r="H272"/>
      <c r="I272"/>
    </row>
    <row r="273" spans="1:9" ht="15" x14ac:dyDescent="0.25">
      <c r="A273"/>
      <c r="B273"/>
      <c r="C273"/>
      <c r="D273"/>
      <c r="E273"/>
      <c r="F273"/>
      <c r="G273" s="29"/>
      <c r="H273"/>
      <c r="I273"/>
    </row>
    <row r="274" spans="1:9" ht="15" x14ac:dyDescent="0.25">
      <c r="A274"/>
      <c r="B274"/>
      <c r="C274"/>
      <c r="D274"/>
      <c r="E274"/>
      <c r="F274"/>
      <c r="G274" s="29"/>
      <c r="H274"/>
      <c r="I274"/>
    </row>
    <row r="275" spans="1:9" ht="15" x14ac:dyDescent="0.25">
      <c r="A275"/>
      <c r="B275"/>
      <c r="C275"/>
      <c r="D275"/>
      <c r="E275"/>
      <c r="F275"/>
      <c r="G275" s="29"/>
      <c r="H275"/>
      <c r="I275"/>
    </row>
    <row r="276" spans="1:9" ht="15" x14ac:dyDescent="0.25">
      <c r="A276"/>
      <c r="B276"/>
      <c r="C276"/>
      <c r="D276"/>
      <c r="E276"/>
      <c r="F276"/>
      <c r="G276" s="29"/>
      <c r="H276"/>
      <c r="I276"/>
    </row>
    <row r="277" spans="1:9" ht="15" x14ac:dyDescent="0.25">
      <c r="A277"/>
      <c r="B277"/>
      <c r="C277"/>
      <c r="D277"/>
      <c r="E277"/>
      <c r="F277"/>
      <c r="G277" s="29"/>
      <c r="H277"/>
      <c r="I277"/>
    </row>
    <row r="278" spans="1:9" ht="15" x14ac:dyDescent="0.25">
      <c r="A278"/>
      <c r="B278"/>
      <c r="C278"/>
      <c r="D278"/>
      <c r="E278"/>
      <c r="F278"/>
      <c r="G278" s="29"/>
      <c r="H278"/>
      <c r="I278"/>
    </row>
    <row r="279" spans="1:9" ht="15" x14ac:dyDescent="0.25">
      <c r="A279"/>
      <c r="B279"/>
      <c r="C279"/>
      <c r="D279"/>
      <c r="E279"/>
      <c r="F279"/>
      <c r="G279" s="29"/>
      <c r="H279"/>
      <c r="I279"/>
    </row>
    <row r="280" spans="1:9" ht="15" x14ac:dyDescent="0.25">
      <c r="A280"/>
      <c r="B280"/>
      <c r="C280"/>
      <c r="D280"/>
      <c r="E280"/>
      <c r="F280"/>
      <c r="G280" s="29"/>
      <c r="H280"/>
      <c r="I280"/>
    </row>
    <row r="281" spans="1:9" ht="15" x14ac:dyDescent="0.25">
      <c r="A281"/>
      <c r="B281"/>
      <c r="C281"/>
      <c r="D281"/>
      <c r="E281"/>
      <c r="F281"/>
      <c r="G281" s="29"/>
      <c r="H281"/>
      <c r="I281"/>
    </row>
    <row r="282" spans="1:9" ht="15" x14ac:dyDescent="0.25">
      <c r="A282"/>
      <c r="B282"/>
      <c r="C282"/>
      <c r="D282"/>
      <c r="E282"/>
      <c r="F282"/>
      <c r="G282" s="29"/>
      <c r="H282"/>
      <c r="I282"/>
    </row>
    <row r="283" spans="1:9" ht="15" x14ac:dyDescent="0.25">
      <c r="A283"/>
      <c r="B283"/>
      <c r="C283"/>
      <c r="D283"/>
      <c r="E283"/>
      <c r="F283"/>
      <c r="G283" s="29"/>
      <c r="H283"/>
      <c r="I283"/>
    </row>
    <row r="284" spans="1:9" ht="15" x14ac:dyDescent="0.25">
      <c r="A284"/>
      <c r="B284"/>
      <c r="C284"/>
      <c r="D284"/>
      <c r="E284"/>
      <c r="F284"/>
      <c r="G284" s="29"/>
      <c r="H284"/>
      <c r="I284"/>
    </row>
    <row r="285" spans="1:9" ht="15" x14ac:dyDescent="0.25">
      <c r="A285"/>
      <c r="B285"/>
      <c r="C285"/>
      <c r="D285"/>
      <c r="E285"/>
      <c r="F285"/>
      <c r="G285" s="29"/>
      <c r="H285"/>
      <c r="I285"/>
    </row>
    <row r="286" spans="1:9" ht="15" x14ac:dyDescent="0.25">
      <c r="A286"/>
      <c r="B286"/>
      <c r="C286"/>
      <c r="D286"/>
      <c r="E286"/>
      <c r="F286"/>
      <c r="G286" s="29"/>
      <c r="H286"/>
      <c r="I286"/>
    </row>
    <row r="287" spans="1:9" ht="15" x14ac:dyDescent="0.25">
      <c r="A287"/>
      <c r="B287"/>
      <c r="C287"/>
      <c r="D287"/>
      <c r="E287"/>
      <c r="F287"/>
      <c r="G287" s="29"/>
      <c r="H287"/>
      <c r="I287"/>
    </row>
    <row r="288" spans="1:9" ht="15" x14ac:dyDescent="0.25">
      <c r="A288"/>
      <c r="B288"/>
      <c r="C288"/>
      <c r="D288"/>
      <c r="E288"/>
      <c r="F288"/>
      <c r="G288" s="29"/>
      <c r="H288"/>
      <c r="I288"/>
    </row>
    <row r="289" spans="1:9" ht="15" x14ac:dyDescent="0.25">
      <c r="A289"/>
      <c r="B289"/>
      <c r="C289"/>
      <c r="D289"/>
      <c r="E289"/>
      <c r="F289"/>
      <c r="G289" s="29"/>
      <c r="H289"/>
      <c r="I289"/>
    </row>
    <row r="290" spans="1:9" ht="15" x14ac:dyDescent="0.25">
      <c r="A290"/>
      <c r="B290"/>
      <c r="C290"/>
      <c r="D290"/>
      <c r="E290"/>
      <c r="F290"/>
      <c r="G290" s="29"/>
      <c r="H290"/>
      <c r="I290"/>
    </row>
    <row r="291" spans="1:9" ht="15" x14ac:dyDescent="0.25">
      <c r="A291"/>
      <c r="B291"/>
      <c r="C291"/>
      <c r="D291"/>
      <c r="E291"/>
      <c r="F291"/>
      <c r="G291" s="29"/>
      <c r="H291"/>
      <c r="I291"/>
    </row>
    <row r="292" spans="1:9" ht="15" x14ac:dyDescent="0.25">
      <c r="A292"/>
      <c r="B292"/>
      <c r="C292"/>
      <c r="D292"/>
      <c r="E292"/>
      <c r="F292"/>
      <c r="G292" s="29"/>
      <c r="H292"/>
      <c r="I292"/>
    </row>
    <row r="293" spans="1:9" ht="15" x14ac:dyDescent="0.25">
      <c r="A293"/>
      <c r="B293"/>
      <c r="C293"/>
      <c r="D293"/>
      <c r="E293"/>
      <c r="F293"/>
      <c r="G293" s="29"/>
      <c r="H293"/>
      <c r="I293"/>
    </row>
    <row r="294" spans="1:9" ht="15" x14ac:dyDescent="0.25">
      <c r="A294"/>
      <c r="B294"/>
      <c r="C294"/>
      <c r="D294"/>
      <c r="E294"/>
      <c r="F294"/>
      <c r="G294" s="29"/>
      <c r="H294"/>
      <c r="I294"/>
    </row>
    <row r="295" spans="1:9" ht="15" x14ac:dyDescent="0.25">
      <c r="A295"/>
      <c r="B295"/>
      <c r="C295"/>
      <c r="D295"/>
      <c r="E295"/>
      <c r="F295"/>
      <c r="G295" s="29"/>
      <c r="H295"/>
      <c r="I295"/>
    </row>
    <row r="296" spans="1:9" ht="15" x14ac:dyDescent="0.25">
      <c r="A296"/>
      <c r="B296"/>
      <c r="C296"/>
      <c r="D296"/>
      <c r="E296"/>
      <c r="F296"/>
      <c r="G296" s="29"/>
      <c r="H296"/>
      <c r="I296"/>
    </row>
    <row r="297" spans="1:9" ht="15" x14ac:dyDescent="0.25">
      <c r="A297"/>
      <c r="B297"/>
      <c r="C297"/>
      <c r="D297"/>
      <c r="E297"/>
      <c r="F297"/>
      <c r="G297" s="29"/>
      <c r="H297"/>
      <c r="I297"/>
    </row>
    <row r="298" spans="1:9" ht="15" x14ac:dyDescent="0.25">
      <c r="A298"/>
      <c r="B298"/>
      <c r="C298"/>
      <c r="D298"/>
      <c r="E298"/>
      <c r="F298"/>
      <c r="G298" s="29"/>
      <c r="H298"/>
      <c r="I298"/>
    </row>
    <row r="299" spans="1:9" ht="15" x14ac:dyDescent="0.25">
      <c r="A299"/>
      <c r="B299"/>
      <c r="C299"/>
      <c r="D299"/>
      <c r="E299"/>
      <c r="F299"/>
      <c r="G299" s="29"/>
      <c r="H299"/>
      <c r="I299"/>
    </row>
    <row r="300" spans="1:9" ht="15" x14ac:dyDescent="0.25">
      <c r="A300"/>
      <c r="B300"/>
      <c r="C300"/>
      <c r="D300"/>
      <c r="E300"/>
      <c r="F300"/>
      <c r="G300" s="29"/>
      <c r="H300"/>
      <c r="I300"/>
    </row>
    <row r="301" spans="1:9" ht="15" x14ac:dyDescent="0.25">
      <c r="A301"/>
      <c r="B301"/>
      <c r="C301"/>
      <c r="D301"/>
      <c r="E301"/>
      <c r="F301"/>
      <c r="G301" s="29"/>
      <c r="H301"/>
      <c r="I301"/>
    </row>
    <row r="302" spans="1:9" ht="15" x14ac:dyDescent="0.25">
      <c r="A302"/>
      <c r="B302"/>
      <c r="C302"/>
      <c r="D302"/>
      <c r="E302"/>
      <c r="F302"/>
      <c r="G302" s="29"/>
      <c r="H302"/>
      <c r="I302"/>
    </row>
    <row r="303" spans="1:9" ht="15" x14ac:dyDescent="0.25">
      <c r="A303"/>
      <c r="B303"/>
      <c r="C303"/>
      <c r="D303"/>
      <c r="E303"/>
      <c r="F303"/>
      <c r="G303" s="29"/>
      <c r="H303"/>
      <c r="I303"/>
    </row>
    <row r="304" spans="1:9" ht="15" x14ac:dyDescent="0.25">
      <c r="A304"/>
      <c r="B304"/>
      <c r="C304"/>
      <c r="D304"/>
      <c r="E304"/>
      <c r="F304"/>
      <c r="G304" s="29"/>
      <c r="H304"/>
      <c r="I304"/>
    </row>
    <row r="305" spans="1:9" ht="15" x14ac:dyDescent="0.25">
      <c r="A305"/>
      <c r="B305"/>
      <c r="C305"/>
      <c r="D305"/>
      <c r="E305"/>
      <c r="F305"/>
      <c r="G305" s="29"/>
      <c r="H305"/>
      <c r="I305"/>
    </row>
    <row r="306" spans="1:9" ht="15" x14ac:dyDescent="0.25">
      <c r="A306"/>
      <c r="B306"/>
      <c r="C306"/>
      <c r="D306"/>
      <c r="E306"/>
      <c r="F306"/>
      <c r="G306" s="29"/>
      <c r="H306"/>
      <c r="I306"/>
    </row>
    <row r="307" spans="1:9" ht="15" x14ac:dyDescent="0.25">
      <c r="A307"/>
      <c r="B307"/>
      <c r="C307"/>
      <c r="D307"/>
      <c r="E307"/>
      <c r="F307"/>
      <c r="G307" s="29"/>
      <c r="H307"/>
      <c r="I307"/>
    </row>
    <row r="308" spans="1:9" ht="15" x14ac:dyDescent="0.25">
      <c r="A308"/>
      <c r="B308"/>
      <c r="C308"/>
      <c r="D308"/>
      <c r="E308"/>
      <c r="F308"/>
      <c r="G308" s="29"/>
      <c r="H308"/>
      <c r="I308"/>
    </row>
    <row r="309" spans="1:9" ht="15" x14ac:dyDescent="0.25">
      <c r="A309"/>
      <c r="B309"/>
      <c r="C309"/>
      <c r="D309"/>
      <c r="E309"/>
      <c r="F309"/>
      <c r="G309" s="29"/>
      <c r="H309"/>
      <c r="I309"/>
    </row>
    <row r="310" spans="1:9" ht="15" x14ac:dyDescent="0.25">
      <c r="A310"/>
      <c r="B310"/>
      <c r="C310"/>
      <c r="D310"/>
      <c r="E310"/>
      <c r="F310"/>
      <c r="G310" s="29"/>
      <c r="H310"/>
      <c r="I310"/>
    </row>
    <row r="311" spans="1:9" ht="15" x14ac:dyDescent="0.25">
      <c r="A311"/>
      <c r="B311"/>
      <c r="C311"/>
      <c r="D311"/>
      <c r="E311"/>
      <c r="F311"/>
      <c r="G311" s="29"/>
      <c r="H311"/>
      <c r="I311"/>
    </row>
    <row r="312" spans="1:9" ht="15" x14ac:dyDescent="0.25">
      <c r="A312"/>
      <c r="B312"/>
      <c r="C312"/>
      <c r="D312"/>
      <c r="E312"/>
      <c r="F312"/>
      <c r="G312" s="29"/>
      <c r="H312"/>
      <c r="I312"/>
    </row>
    <row r="313" spans="1:9" ht="15" x14ac:dyDescent="0.25">
      <c r="A313"/>
      <c r="B313"/>
      <c r="C313"/>
      <c r="D313"/>
      <c r="E313"/>
      <c r="F313"/>
      <c r="G313" s="29"/>
      <c r="H313"/>
      <c r="I313"/>
    </row>
    <row r="314" spans="1:9" ht="15" x14ac:dyDescent="0.25">
      <c r="A314"/>
      <c r="B314"/>
      <c r="C314"/>
      <c r="D314"/>
      <c r="E314"/>
      <c r="F314"/>
      <c r="G314" s="29"/>
      <c r="H314"/>
      <c r="I314"/>
    </row>
    <row r="315" spans="1:9" ht="15" x14ac:dyDescent="0.25">
      <c r="A315"/>
      <c r="B315"/>
      <c r="C315"/>
      <c r="D315"/>
      <c r="E315"/>
      <c r="F315"/>
      <c r="G315" s="29"/>
      <c r="H315"/>
      <c r="I315"/>
    </row>
    <row r="316" spans="1:9" ht="15" x14ac:dyDescent="0.25">
      <c r="A316"/>
      <c r="B316"/>
      <c r="C316"/>
      <c r="D316"/>
      <c r="E316"/>
      <c r="F316"/>
      <c r="G316" s="29"/>
      <c r="H316"/>
      <c r="I316"/>
    </row>
    <row r="317" spans="1:9" ht="15" x14ac:dyDescent="0.25">
      <c r="A317"/>
      <c r="B317"/>
      <c r="C317"/>
      <c r="D317"/>
      <c r="E317"/>
      <c r="F317"/>
      <c r="G317" s="29"/>
      <c r="H317"/>
      <c r="I317"/>
    </row>
    <row r="318" spans="1:9" ht="15" x14ac:dyDescent="0.25">
      <c r="A318"/>
      <c r="B318"/>
      <c r="C318"/>
      <c r="D318"/>
      <c r="E318"/>
      <c r="F318"/>
      <c r="G318" s="29"/>
      <c r="H318"/>
      <c r="I318"/>
    </row>
    <row r="319" spans="1:9" ht="15" x14ac:dyDescent="0.25">
      <c r="A319"/>
      <c r="B319"/>
      <c r="C319"/>
      <c r="D319"/>
      <c r="E319"/>
      <c r="F319"/>
      <c r="G319" s="29"/>
      <c r="H319"/>
      <c r="I319"/>
    </row>
    <row r="320" spans="1:9" ht="15" x14ac:dyDescent="0.25">
      <c r="A320"/>
      <c r="B320"/>
      <c r="C320"/>
      <c r="D320"/>
      <c r="E320"/>
      <c r="F320"/>
      <c r="G320" s="29"/>
      <c r="H320"/>
      <c r="I320"/>
    </row>
    <row r="321" spans="1:9" ht="15" x14ac:dyDescent="0.25">
      <c r="A321"/>
      <c r="B321"/>
      <c r="C321"/>
      <c r="D321"/>
      <c r="E321"/>
      <c r="F321"/>
      <c r="G321" s="29"/>
      <c r="H321"/>
      <c r="I321"/>
    </row>
    <row r="322" spans="1:9" ht="15" x14ac:dyDescent="0.25">
      <c r="A322"/>
      <c r="B322"/>
      <c r="C322"/>
      <c r="D322"/>
      <c r="E322"/>
      <c r="F322"/>
      <c r="G322" s="29"/>
      <c r="H322"/>
      <c r="I322"/>
    </row>
    <row r="323" spans="1:9" ht="15" x14ac:dyDescent="0.25">
      <c r="A323"/>
      <c r="B323"/>
      <c r="C323"/>
      <c r="D323"/>
      <c r="E323"/>
      <c r="F323"/>
      <c r="G323" s="29"/>
      <c r="H323"/>
      <c r="I323"/>
    </row>
    <row r="324" spans="1:9" ht="15" x14ac:dyDescent="0.25">
      <c r="A324"/>
      <c r="B324"/>
      <c r="C324"/>
      <c r="D324"/>
      <c r="E324"/>
      <c r="F324"/>
      <c r="G324" s="29"/>
      <c r="H324"/>
      <c r="I324"/>
    </row>
    <row r="325" spans="1:9" ht="15" x14ac:dyDescent="0.25">
      <c r="A325"/>
      <c r="B325"/>
      <c r="C325"/>
      <c r="D325"/>
      <c r="E325"/>
      <c r="F325"/>
      <c r="G325" s="29"/>
      <c r="H325"/>
      <c r="I325"/>
    </row>
    <row r="326" spans="1:9" ht="15" x14ac:dyDescent="0.25">
      <c r="A326"/>
      <c r="B326"/>
      <c r="C326"/>
      <c r="D326"/>
      <c r="E326"/>
      <c r="F326"/>
      <c r="G326" s="29"/>
      <c r="H326"/>
      <c r="I326"/>
    </row>
    <row r="327" spans="1:9" ht="15" x14ac:dyDescent="0.25">
      <c r="A327"/>
      <c r="B327"/>
      <c r="C327"/>
      <c r="D327"/>
      <c r="E327"/>
      <c r="F327"/>
      <c r="G327" s="29"/>
      <c r="H327"/>
      <c r="I327"/>
    </row>
    <row r="328" spans="1:9" ht="15" x14ac:dyDescent="0.25">
      <c r="A328"/>
      <c r="B328"/>
      <c r="C328"/>
      <c r="D328"/>
      <c r="E328"/>
      <c r="F328"/>
      <c r="G328" s="29"/>
      <c r="H328"/>
      <c r="I328"/>
    </row>
    <row r="329" spans="1:9" ht="15" x14ac:dyDescent="0.25">
      <c r="A329"/>
      <c r="B329"/>
      <c r="C329"/>
      <c r="D329"/>
      <c r="E329"/>
      <c r="F329"/>
      <c r="G329" s="29"/>
      <c r="H329"/>
      <c r="I329"/>
    </row>
    <row r="330" spans="1:9" ht="15" x14ac:dyDescent="0.25">
      <c r="A330"/>
      <c r="B330"/>
      <c r="C330"/>
      <c r="D330"/>
      <c r="E330"/>
      <c r="F330"/>
      <c r="G330" s="29"/>
      <c r="H330"/>
      <c r="I330"/>
    </row>
    <row r="331" spans="1:9" ht="15" x14ac:dyDescent="0.25">
      <c r="A331"/>
      <c r="B331"/>
      <c r="C331"/>
      <c r="D331"/>
      <c r="E331"/>
      <c r="F331"/>
      <c r="G331" s="29"/>
      <c r="H331"/>
      <c r="I331"/>
    </row>
    <row r="332" spans="1:9" ht="15" x14ac:dyDescent="0.25">
      <c r="A332"/>
      <c r="B332"/>
      <c r="C332"/>
      <c r="D332"/>
      <c r="E332"/>
      <c r="F332"/>
      <c r="G332" s="29"/>
      <c r="H332"/>
      <c r="I332"/>
    </row>
    <row r="333" spans="1:9" ht="15" x14ac:dyDescent="0.25">
      <c r="A333"/>
      <c r="B333"/>
      <c r="C333"/>
      <c r="D333"/>
      <c r="E333"/>
      <c r="F333"/>
      <c r="G333" s="29"/>
      <c r="H333"/>
      <c r="I333"/>
    </row>
    <row r="334" spans="1:9" ht="15" x14ac:dyDescent="0.25">
      <c r="A334"/>
      <c r="B334"/>
      <c r="C334"/>
      <c r="D334"/>
      <c r="E334"/>
      <c r="F334"/>
      <c r="G334" s="29"/>
      <c r="H334"/>
      <c r="I334"/>
    </row>
    <row r="335" spans="1:9" ht="15" x14ac:dyDescent="0.25">
      <c r="A335"/>
      <c r="B335"/>
      <c r="C335"/>
      <c r="D335"/>
      <c r="E335"/>
      <c r="F335"/>
      <c r="G335" s="29"/>
      <c r="H335"/>
      <c r="I335"/>
    </row>
    <row r="336" spans="1:9" ht="15" x14ac:dyDescent="0.25">
      <c r="A336"/>
      <c r="B336"/>
      <c r="C336"/>
      <c r="D336"/>
      <c r="E336"/>
      <c r="F336"/>
      <c r="G336" s="29"/>
      <c r="H336"/>
      <c r="I336"/>
    </row>
    <row r="337" spans="1:9" ht="15" x14ac:dyDescent="0.25">
      <c r="A337"/>
      <c r="B337"/>
      <c r="C337"/>
      <c r="D337"/>
      <c r="E337"/>
      <c r="F337"/>
      <c r="G337" s="29"/>
      <c r="H337"/>
      <c r="I337"/>
    </row>
    <row r="338" spans="1:9" ht="15" x14ac:dyDescent="0.25">
      <c r="A338"/>
      <c r="B338"/>
      <c r="C338"/>
      <c r="D338"/>
      <c r="E338"/>
      <c r="F338"/>
      <c r="G338" s="29"/>
      <c r="H338"/>
      <c r="I338"/>
    </row>
    <row r="339" spans="1:9" ht="15" x14ac:dyDescent="0.25">
      <c r="A339"/>
      <c r="B339"/>
      <c r="C339"/>
      <c r="D339"/>
      <c r="E339"/>
      <c r="F339"/>
      <c r="G339" s="29"/>
      <c r="H339"/>
      <c r="I339"/>
    </row>
    <row r="340" spans="1:9" ht="15" x14ac:dyDescent="0.25">
      <c r="A340"/>
      <c r="B340"/>
      <c r="C340"/>
      <c r="D340"/>
      <c r="E340"/>
      <c r="F340"/>
      <c r="G340" s="29"/>
      <c r="H340"/>
      <c r="I340"/>
    </row>
    <row r="341" spans="1:9" ht="15" x14ac:dyDescent="0.25">
      <c r="A341"/>
      <c r="B341"/>
      <c r="C341"/>
      <c r="D341"/>
      <c r="E341"/>
      <c r="F341"/>
      <c r="G341" s="29"/>
      <c r="H341"/>
      <c r="I341"/>
    </row>
    <row r="342" spans="1:9" ht="15" x14ac:dyDescent="0.25">
      <c r="A342"/>
      <c r="B342"/>
      <c r="C342"/>
      <c r="D342"/>
      <c r="E342"/>
      <c r="F342"/>
      <c r="G342" s="29"/>
      <c r="H342"/>
      <c r="I342"/>
    </row>
    <row r="343" spans="1:9" ht="15" x14ac:dyDescent="0.25">
      <c r="A343"/>
      <c r="B343"/>
      <c r="C343"/>
      <c r="D343"/>
      <c r="E343"/>
      <c r="F343"/>
      <c r="G343" s="29"/>
      <c r="H343"/>
      <c r="I343"/>
    </row>
    <row r="344" spans="1:9" ht="15" x14ac:dyDescent="0.25">
      <c r="A344"/>
      <c r="B344"/>
      <c r="C344"/>
      <c r="D344"/>
      <c r="E344"/>
      <c r="F344"/>
      <c r="G344" s="29"/>
      <c r="H344"/>
      <c r="I344"/>
    </row>
    <row r="345" spans="1:9" ht="15" x14ac:dyDescent="0.25">
      <c r="A345"/>
      <c r="B345"/>
      <c r="C345"/>
      <c r="D345"/>
      <c r="E345"/>
      <c r="F345"/>
      <c r="G345" s="29"/>
      <c r="H345"/>
      <c r="I345"/>
    </row>
    <row r="346" spans="1:9" ht="15" x14ac:dyDescent="0.25">
      <c r="A346"/>
      <c r="B346"/>
      <c r="C346"/>
      <c r="D346"/>
      <c r="E346"/>
      <c r="F346"/>
      <c r="G346" s="29"/>
      <c r="H346"/>
      <c r="I346"/>
    </row>
    <row r="347" spans="1:9" ht="15" x14ac:dyDescent="0.25">
      <c r="A347"/>
      <c r="B347"/>
      <c r="C347"/>
      <c r="D347"/>
      <c r="E347"/>
      <c r="F347"/>
      <c r="G347" s="29"/>
      <c r="H347"/>
      <c r="I347"/>
    </row>
    <row r="348" spans="1:9" ht="15" x14ac:dyDescent="0.25">
      <c r="A348"/>
      <c r="B348"/>
      <c r="C348"/>
      <c r="D348"/>
      <c r="E348"/>
      <c r="F348"/>
      <c r="G348" s="29"/>
      <c r="H348"/>
      <c r="I348"/>
    </row>
    <row r="349" spans="1:9" ht="15" x14ac:dyDescent="0.25">
      <c r="A349"/>
      <c r="B349"/>
      <c r="C349"/>
      <c r="D349"/>
      <c r="E349"/>
      <c r="F349"/>
      <c r="G349" s="29"/>
      <c r="H349"/>
      <c r="I349"/>
    </row>
    <row r="350" spans="1:9" ht="15" x14ac:dyDescent="0.25">
      <c r="A350"/>
      <c r="B350"/>
      <c r="C350"/>
      <c r="D350"/>
      <c r="E350"/>
      <c r="F350"/>
      <c r="G350" s="29"/>
      <c r="H350"/>
      <c r="I350"/>
    </row>
    <row r="351" spans="1:9" ht="15" x14ac:dyDescent="0.25">
      <c r="A351"/>
      <c r="B351"/>
      <c r="C351"/>
      <c r="D351"/>
      <c r="E351"/>
      <c r="F351"/>
      <c r="G351" s="29"/>
      <c r="H351"/>
      <c r="I351"/>
    </row>
    <row r="352" spans="1:9" ht="15" x14ac:dyDescent="0.25">
      <c r="A352"/>
      <c r="B352"/>
      <c r="C352"/>
      <c r="D352"/>
      <c r="E352"/>
      <c r="F352"/>
      <c r="G352" s="29"/>
      <c r="H352"/>
      <c r="I352"/>
    </row>
    <row r="353" spans="1:9" ht="15" x14ac:dyDescent="0.25">
      <c r="A353"/>
      <c r="B353"/>
      <c r="C353"/>
      <c r="D353"/>
      <c r="E353"/>
      <c r="F353"/>
      <c r="G353" s="29"/>
      <c r="H353"/>
      <c r="I353"/>
    </row>
    <row r="354" spans="1:9" ht="15" x14ac:dyDescent="0.25">
      <c r="A354"/>
      <c r="B354"/>
      <c r="C354"/>
      <c r="D354"/>
      <c r="E354"/>
      <c r="F354"/>
      <c r="G354" s="29"/>
      <c r="H354"/>
      <c r="I354"/>
    </row>
    <row r="355" spans="1:9" ht="15" x14ac:dyDescent="0.25">
      <c r="A355"/>
      <c r="B355"/>
      <c r="C355"/>
      <c r="D355"/>
      <c r="E355"/>
      <c r="F355"/>
      <c r="G355" s="29"/>
      <c r="H355"/>
      <c r="I355"/>
    </row>
    <row r="356" spans="1:9" ht="15" x14ac:dyDescent="0.25">
      <c r="A356"/>
      <c r="B356"/>
      <c r="C356"/>
      <c r="D356"/>
      <c r="E356"/>
      <c r="F356"/>
      <c r="G356" s="29"/>
      <c r="H356"/>
      <c r="I356"/>
    </row>
    <row r="357" spans="1:9" ht="15" x14ac:dyDescent="0.25">
      <c r="A357"/>
      <c r="B357"/>
      <c r="C357"/>
      <c r="D357"/>
      <c r="E357"/>
      <c r="F357"/>
      <c r="G357" s="29"/>
      <c r="H357"/>
      <c r="I357"/>
    </row>
    <row r="358" spans="1:9" ht="15" x14ac:dyDescent="0.25">
      <c r="A358"/>
      <c r="B358"/>
      <c r="C358"/>
      <c r="D358"/>
      <c r="E358"/>
      <c r="F358"/>
      <c r="G358" s="29"/>
      <c r="H358"/>
      <c r="I358"/>
    </row>
    <row r="359" spans="1:9" ht="15" x14ac:dyDescent="0.25">
      <c r="A359"/>
      <c r="B359"/>
      <c r="C359"/>
      <c r="D359"/>
      <c r="E359"/>
      <c r="F359"/>
      <c r="G359" s="29"/>
      <c r="H359"/>
      <c r="I359"/>
    </row>
    <row r="360" spans="1:9" ht="15" x14ac:dyDescent="0.25">
      <c r="A360"/>
      <c r="B360"/>
      <c r="C360"/>
      <c r="D360"/>
      <c r="E360"/>
      <c r="F360"/>
      <c r="G360" s="29"/>
      <c r="H360"/>
      <c r="I360"/>
    </row>
    <row r="361" spans="1:9" ht="15" x14ac:dyDescent="0.25">
      <c r="A361"/>
      <c r="B361"/>
      <c r="C361"/>
      <c r="D361"/>
      <c r="E361"/>
      <c r="F361"/>
      <c r="G361" s="29"/>
      <c r="H361"/>
      <c r="I361"/>
    </row>
    <row r="362" spans="1:9" ht="15" x14ac:dyDescent="0.25">
      <c r="A362"/>
      <c r="B362"/>
      <c r="C362"/>
      <c r="D362"/>
      <c r="E362"/>
      <c r="F362"/>
      <c r="G362" s="29"/>
      <c r="H362"/>
      <c r="I362"/>
    </row>
    <row r="363" spans="1:9" ht="15" x14ac:dyDescent="0.25">
      <c r="A363"/>
      <c r="B363"/>
      <c r="C363"/>
      <c r="D363"/>
      <c r="E363"/>
      <c r="F363"/>
      <c r="G363" s="29"/>
      <c r="H363"/>
      <c r="I363"/>
    </row>
    <row r="364" spans="1:9" ht="15" x14ac:dyDescent="0.25">
      <c r="A364"/>
      <c r="B364"/>
      <c r="C364"/>
      <c r="D364"/>
      <c r="E364"/>
      <c r="F364"/>
      <c r="G364" s="29"/>
      <c r="H364"/>
      <c r="I364"/>
    </row>
    <row r="365" spans="1:9" ht="15" x14ac:dyDescent="0.25">
      <c r="A365"/>
      <c r="B365"/>
      <c r="C365"/>
      <c r="D365"/>
      <c r="E365"/>
      <c r="F365"/>
      <c r="G365" s="29"/>
      <c r="H365"/>
      <c r="I365"/>
    </row>
    <row r="366" spans="1:9" ht="15" x14ac:dyDescent="0.25">
      <c r="A366"/>
      <c r="B366"/>
      <c r="C366"/>
      <c r="D366"/>
      <c r="E366"/>
      <c r="F366"/>
      <c r="G366" s="29"/>
      <c r="H366"/>
      <c r="I366"/>
    </row>
    <row r="367" spans="1:9" ht="15" x14ac:dyDescent="0.25">
      <c r="A367"/>
      <c r="B367"/>
      <c r="C367"/>
      <c r="D367"/>
      <c r="E367"/>
      <c r="F367"/>
      <c r="G367" s="29"/>
      <c r="H367"/>
      <c r="I367"/>
    </row>
    <row r="368" spans="1:9" ht="15" x14ac:dyDescent="0.25">
      <c r="A368"/>
      <c r="B368"/>
      <c r="C368"/>
      <c r="D368"/>
      <c r="E368"/>
      <c r="F368"/>
      <c r="G368" s="29"/>
      <c r="H368"/>
      <c r="I368"/>
    </row>
    <row r="369" spans="1:9" ht="15" x14ac:dyDescent="0.25">
      <c r="A369"/>
      <c r="B369"/>
      <c r="C369"/>
      <c r="D369"/>
      <c r="E369"/>
      <c r="F369"/>
      <c r="G369" s="29"/>
      <c r="H369"/>
      <c r="I369"/>
    </row>
    <row r="370" spans="1:9" ht="15" x14ac:dyDescent="0.25">
      <c r="A370"/>
      <c r="B370"/>
      <c r="C370"/>
      <c r="D370"/>
      <c r="E370"/>
      <c r="F370"/>
      <c r="G370" s="29"/>
      <c r="H370"/>
      <c r="I370"/>
    </row>
    <row r="371" spans="1:9" ht="15" x14ac:dyDescent="0.25">
      <c r="A371"/>
      <c r="B371"/>
      <c r="C371"/>
      <c r="D371"/>
      <c r="E371"/>
      <c r="F371"/>
      <c r="G371" s="29"/>
      <c r="H371"/>
      <c r="I371"/>
    </row>
    <row r="372" spans="1:9" ht="15" x14ac:dyDescent="0.25">
      <c r="A372"/>
      <c r="B372"/>
      <c r="C372"/>
      <c r="D372"/>
      <c r="E372"/>
      <c r="F372"/>
      <c r="G372" s="29"/>
      <c r="H372"/>
      <c r="I372"/>
    </row>
    <row r="373" spans="1:9" ht="15" x14ac:dyDescent="0.25">
      <c r="A373"/>
      <c r="B373"/>
      <c r="C373"/>
      <c r="D373"/>
      <c r="E373"/>
      <c r="F373"/>
      <c r="G373" s="29"/>
      <c r="H373"/>
      <c r="I373"/>
    </row>
    <row r="374" spans="1:9" ht="15" x14ac:dyDescent="0.25">
      <c r="A374"/>
      <c r="B374"/>
      <c r="C374"/>
      <c r="D374"/>
      <c r="E374"/>
      <c r="F374"/>
      <c r="G374" s="29"/>
      <c r="H374"/>
      <c r="I374"/>
    </row>
    <row r="375" spans="1:9" ht="15" x14ac:dyDescent="0.25">
      <c r="A375"/>
      <c r="B375"/>
      <c r="C375"/>
      <c r="D375"/>
      <c r="E375"/>
      <c r="F375"/>
      <c r="G375" s="29"/>
      <c r="H375"/>
      <c r="I375"/>
    </row>
    <row r="376" spans="1:9" ht="15" x14ac:dyDescent="0.25">
      <c r="A376"/>
      <c r="B376"/>
      <c r="C376"/>
      <c r="D376"/>
      <c r="E376"/>
      <c r="F376"/>
      <c r="G376" s="29"/>
      <c r="H376"/>
      <c r="I376"/>
    </row>
    <row r="377" spans="1:9" ht="15" x14ac:dyDescent="0.25">
      <c r="A377"/>
      <c r="B377"/>
      <c r="C377"/>
      <c r="D377"/>
      <c r="E377"/>
      <c r="F377"/>
      <c r="G377" s="29"/>
      <c r="H377"/>
      <c r="I377"/>
    </row>
    <row r="378" spans="1:9" ht="15" x14ac:dyDescent="0.25">
      <c r="A378"/>
      <c r="B378"/>
      <c r="C378"/>
      <c r="D378"/>
      <c r="E378"/>
      <c r="F378"/>
      <c r="G378" s="29"/>
      <c r="H378"/>
      <c r="I378"/>
    </row>
    <row r="379" spans="1:9" ht="15" x14ac:dyDescent="0.25">
      <c r="A379"/>
      <c r="B379"/>
      <c r="C379"/>
      <c r="D379"/>
      <c r="E379"/>
      <c r="F379"/>
      <c r="G379" s="29"/>
      <c r="H379"/>
      <c r="I379"/>
    </row>
    <row r="380" spans="1:9" ht="15" x14ac:dyDescent="0.25">
      <c r="A380"/>
      <c r="B380"/>
      <c r="C380"/>
      <c r="D380"/>
      <c r="E380"/>
      <c r="F380"/>
      <c r="G380" s="29"/>
      <c r="H380"/>
      <c r="I380"/>
    </row>
    <row r="381" spans="1:9" ht="15" x14ac:dyDescent="0.25">
      <c r="A381"/>
      <c r="B381"/>
      <c r="C381"/>
      <c r="D381"/>
      <c r="E381"/>
      <c r="F381"/>
      <c r="G381" s="29"/>
      <c r="H381"/>
      <c r="I381"/>
    </row>
    <row r="382" spans="1:9" ht="15" x14ac:dyDescent="0.25">
      <c r="A382"/>
      <c r="B382"/>
      <c r="C382"/>
      <c r="D382"/>
      <c r="E382"/>
      <c r="F382"/>
      <c r="G382" s="29"/>
      <c r="H382"/>
      <c r="I382"/>
    </row>
    <row r="383" spans="1:9" ht="15" x14ac:dyDescent="0.25">
      <c r="A383"/>
      <c r="B383"/>
      <c r="C383"/>
      <c r="D383"/>
      <c r="E383"/>
      <c r="F383"/>
      <c r="G383" s="29"/>
      <c r="H383"/>
      <c r="I383"/>
    </row>
    <row r="384" spans="1:9" ht="15" x14ac:dyDescent="0.25">
      <c r="A384"/>
      <c r="B384"/>
      <c r="C384"/>
      <c r="D384"/>
      <c r="E384"/>
      <c r="F384"/>
      <c r="G384" s="29"/>
      <c r="H384"/>
      <c r="I384"/>
    </row>
    <row r="385" spans="1:9" ht="15" x14ac:dyDescent="0.25">
      <c r="A385"/>
      <c r="B385"/>
      <c r="C385"/>
      <c r="D385"/>
      <c r="E385"/>
      <c r="F385"/>
      <c r="G385" s="29"/>
      <c r="H385"/>
      <c r="I385"/>
    </row>
    <row r="386" spans="1:9" ht="15" x14ac:dyDescent="0.25">
      <c r="A386"/>
      <c r="B386"/>
      <c r="C386"/>
      <c r="D386"/>
      <c r="E386"/>
      <c r="F386"/>
      <c r="G386" s="29"/>
      <c r="H386"/>
      <c r="I386"/>
    </row>
    <row r="387" spans="1:9" ht="15" x14ac:dyDescent="0.25">
      <c r="A387"/>
      <c r="B387"/>
      <c r="C387"/>
      <c r="D387"/>
      <c r="E387"/>
      <c r="F387"/>
      <c r="G387" s="29"/>
      <c r="H387"/>
      <c r="I387"/>
    </row>
    <row r="388" spans="1:9" ht="15" x14ac:dyDescent="0.25">
      <c r="A388"/>
      <c r="B388"/>
      <c r="C388"/>
      <c r="D388"/>
      <c r="E388"/>
      <c r="F388"/>
      <c r="G388" s="29"/>
      <c r="H388"/>
      <c r="I388"/>
    </row>
    <row r="389" spans="1:9" ht="15" x14ac:dyDescent="0.25">
      <c r="A389"/>
      <c r="B389"/>
      <c r="C389"/>
      <c r="D389"/>
      <c r="E389"/>
      <c r="F389"/>
      <c r="G389" s="29"/>
      <c r="H389"/>
      <c r="I389"/>
    </row>
    <row r="390" spans="1:9" ht="15" x14ac:dyDescent="0.25">
      <c r="A390"/>
      <c r="B390"/>
      <c r="C390"/>
      <c r="D390"/>
      <c r="E390"/>
      <c r="F390"/>
      <c r="G390" s="29"/>
      <c r="H390"/>
      <c r="I390"/>
    </row>
    <row r="391" spans="1:9" ht="15" x14ac:dyDescent="0.25">
      <c r="A391"/>
      <c r="B391"/>
      <c r="C391"/>
      <c r="D391"/>
      <c r="E391"/>
      <c r="F391"/>
      <c r="G391" s="29"/>
      <c r="H391"/>
      <c r="I391"/>
    </row>
    <row r="392" spans="1:9" ht="15" x14ac:dyDescent="0.25">
      <c r="A392"/>
      <c r="B392"/>
      <c r="C392"/>
      <c r="D392"/>
      <c r="E392"/>
      <c r="F392"/>
      <c r="G392" s="29"/>
      <c r="H392"/>
      <c r="I392"/>
    </row>
    <row r="393" spans="1:9" ht="15" x14ac:dyDescent="0.25">
      <c r="A393"/>
      <c r="B393"/>
      <c r="C393"/>
      <c r="D393"/>
      <c r="E393"/>
      <c r="F393"/>
      <c r="G393" s="29"/>
      <c r="H393"/>
      <c r="I393"/>
    </row>
    <row r="394" spans="1:9" ht="15" x14ac:dyDescent="0.25">
      <c r="A394"/>
      <c r="B394"/>
      <c r="C394"/>
      <c r="D394"/>
      <c r="E394"/>
      <c r="F394"/>
      <c r="G394" s="29"/>
      <c r="H394"/>
      <c r="I394"/>
    </row>
    <row r="395" spans="1:9" ht="15" x14ac:dyDescent="0.25">
      <c r="A395"/>
      <c r="B395"/>
      <c r="C395"/>
      <c r="D395"/>
      <c r="E395"/>
      <c r="F395"/>
      <c r="G395" s="29"/>
      <c r="H395"/>
      <c r="I395"/>
    </row>
    <row r="396" spans="1:9" ht="15" x14ac:dyDescent="0.25">
      <c r="A396"/>
      <c r="B396"/>
      <c r="C396"/>
      <c r="D396"/>
      <c r="E396"/>
      <c r="F396"/>
      <c r="G396" s="29"/>
      <c r="H396"/>
      <c r="I396"/>
    </row>
    <row r="397" spans="1:9" ht="15" x14ac:dyDescent="0.25">
      <c r="A397"/>
      <c r="B397"/>
      <c r="C397"/>
      <c r="D397"/>
      <c r="E397"/>
      <c r="F397"/>
      <c r="G397" s="29"/>
      <c r="H397"/>
      <c r="I397"/>
    </row>
    <row r="398" spans="1:9" ht="15" x14ac:dyDescent="0.25">
      <c r="A398"/>
      <c r="B398"/>
      <c r="C398"/>
      <c r="D398"/>
      <c r="E398"/>
      <c r="F398"/>
      <c r="G398" s="29"/>
      <c r="H398"/>
      <c r="I398"/>
    </row>
    <row r="399" spans="1:9" ht="15" x14ac:dyDescent="0.25">
      <c r="A399"/>
      <c r="B399"/>
      <c r="C399"/>
      <c r="D399"/>
      <c r="E399"/>
      <c r="F399"/>
      <c r="G399" s="29"/>
      <c r="H399"/>
      <c r="I399"/>
    </row>
    <row r="400" spans="1:9" ht="15" x14ac:dyDescent="0.25">
      <c r="A400"/>
      <c r="B400"/>
      <c r="C400"/>
      <c r="D400"/>
      <c r="E400"/>
      <c r="F400"/>
      <c r="G400" s="29"/>
      <c r="H400"/>
      <c r="I400"/>
    </row>
    <row r="401" spans="1:9" ht="15" x14ac:dyDescent="0.25">
      <c r="A401"/>
      <c r="B401"/>
      <c r="C401"/>
      <c r="D401"/>
      <c r="E401"/>
      <c r="F401"/>
      <c r="G401" s="29"/>
      <c r="H401"/>
      <c r="I401"/>
    </row>
    <row r="402" spans="1:9" ht="15" x14ac:dyDescent="0.25">
      <c r="A402"/>
      <c r="B402"/>
      <c r="C402"/>
      <c r="D402"/>
      <c r="E402"/>
      <c r="F402"/>
      <c r="G402" s="29"/>
      <c r="H402"/>
      <c r="I402"/>
    </row>
    <row r="403" spans="1:9" ht="15" x14ac:dyDescent="0.25">
      <c r="A403"/>
      <c r="B403"/>
      <c r="C403"/>
      <c r="D403"/>
      <c r="E403"/>
      <c r="F403"/>
      <c r="G403" s="29"/>
      <c r="H403"/>
      <c r="I403"/>
    </row>
    <row r="404" spans="1:9" ht="15" x14ac:dyDescent="0.25">
      <c r="A404"/>
      <c r="B404"/>
      <c r="C404"/>
      <c r="D404"/>
      <c r="E404"/>
      <c r="F404"/>
      <c r="G404" s="29"/>
      <c r="H404"/>
      <c r="I404"/>
    </row>
    <row r="405" spans="1:9" ht="15" x14ac:dyDescent="0.25">
      <c r="A405"/>
      <c r="B405"/>
      <c r="C405"/>
      <c r="D405"/>
      <c r="E405"/>
      <c r="F405"/>
      <c r="G405" s="29"/>
      <c r="H405"/>
      <c r="I405"/>
    </row>
    <row r="406" spans="1:9" ht="15" x14ac:dyDescent="0.25">
      <c r="A406"/>
      <c r="B406"/>
      <c r="C406"/>
      <c r="D406"/>
      <c r="E406"/>
      <c r="F406"/>
      <c r="G406" s="29"/>
      <c r="H406"/>
      <c r="I406"/>
    </row>
    <row r="407" spans="1:9" ht="15" x14ac:dyDescent="0.25">
      <c r="A407"/>
      <c r="B407"/>
      <c r="C407"/>
      <c r="D407"/>
      <c r="E407"/>
      <c r="F407"/>
      <c r="G407" s="29"/>
      <c r="H407"/>
      <c r="I407"/>
    </row>
    <row r="408" spans="1:9" ht="15" x14ac:dyDescent="0.25">
      <c r="A408"/>
      <c r="B408"/>
      <c r="C408"/>
      <c r="D408"/>
      <c r="E408"/>
      <c r="F408"/>
      <c r="G408" s="29"/>
      <c r="H408"/>
      <c r="I408"/>
    </row>
    <row r="409" spans="1:9" ht="15" x14ac:dyDescent="0.25">
      <c r="A409"/>
      <c r="B409"/>
      <c r="C409"/>
      <c r="D409"/>
      <c r="E409"/>
      <c r="F409"/>
      <c r="G409" s="29"/>
      <c r="H409"/>
      <c r="I409"/>
    </row>
    <row r="410" spans="1:9" ht="15" x14ac:dyDescent="0.25">
      <c r="A410"/>
      <c r="B410"/>
      <c r="C410"/>
      <c r="D410"/>
      <c r="E410"/>
      <c r="F410"/>
      <c r="G410" s="29"/>
      <c r="H410"/>
      <c r="I410"/>
    </row>
    <row r="411" spans="1:9" ht="15" x14ac:dyDescent="0.25">
      <c r="A411"/>
      <c r="B411"/>
      <c r="C411"/>
      <c r="D411"/>
      <c r="E411"/>
      <c r="F411"/>
      <c r="G411" s="29"/>
      <c r="H411"/>
      <c r="I411"/>
    </row>
    <row r="412" spans="1:9" ht="15" x14ac:dyDescent="0.25">
      <c r="A412"/>
      <c r="B412"/>
      <c r="C412"/>
      <c r="D412"/>
      <c r="E412"/>
      <c r="F412"/>
      <c r="G412" s="29"/>
      <c r="H412"/>
      <c r="I412"/>
    </row>
    <row r="413" spans="1:9" ht="15" x14ac:dyDescent="0.25">
      <c r="A413"/>
      <c r="B413"/>
      <c r="C413"/>
      <c r="D413"/>
      <c r="E413"/>
      <c r="F413"/>
      <c r="G413" s="29"/>
      <c r="H413"/>
      <c r="I413"/>
    </row>
    <row r="414" spans="1:9" ht="15" x14ac:dyDescent="0.25">
      <c r="A414"/>
      <c r="B414"/>
      <c r="C414"/>
      <c r="D414"/>
      <c r="E414"/>
      <c r="F414"/>
      <c r="G414" s="29"/>
      <c r="H414"/>
      <c r="I414"/>
    </row>
    <row r="415" spans="1:9" ht="15" x14ac:dyDescent="0.25">
      <c r="A415"/>
      <c r="B415"/>
      <c r="C415"/>
      <c r="D415"/>
      <c r="E415"/>
      <c r="F415"/>
      <c r="G415" s="29"/>
      <c r="H415"/>
      <c r="I415"/>
    </row>
    <row r="416" spans="1:9" ht="15" x14ac:dyDescent="0.25">
      <c r="A416"/>
      <c r="B416"/>
      <c r="C416"/>
      <c r="D416"/>
      <c r="E416"/>
      <c r="F416"/>
      <c r="G416" s="29"/>
      <c r="H416"/>
      <c r="I416"/>
    </row>
    <row r="417" spans="1:9" ht="15" x14ac:dyDescent="0.25">
      <c r="A417"/>
      <c r="B417"/>
      <c r="C417"/>
      <c r="D417"/>
      <c r="E417"/>
      <c r="F417"/>
      <c r="G417" s="29"/>
      <c r="H417"/>
      <c r="I417"/>
    </row>
    <row r="418" spans="1:9" ht="15" x14ac:dyDescent="0.25">
      <c r="A418"/>
      <c r="B418"/>
      <c r="C418"/>
      <c r="D418"/>
      <c r="E418"/>
      <c r="F418"/>
      <c r="G418" s="29"/>
      <c r="H418"/>
      <c r="I418"/>
    </row>
    <row r="419" spans="1:9" ht="15" x14ac:dyDescent="0.25">
      <c r="A419"/>
      <c r="B419"/>
      <c r="C419"/>
      <c r="D419"/>
      <c r="E419"/>
      <c r="F419"/>
      <c r="G419" s="29"/>
      <c r="H419"/>
      <c r="I419"/>
    </row>
    <row r="420" spans="1:9" ht="15" x14ac:dyDescent="0.25">
      <c r="A420"/>
      <c r="B420"/>
      <c r="C420"/>
      <c r="D420"/>
      <c r="E420"/>
      <c r="F420"/>
      <c r="G420" s="29"/>
      <c r="H420"/>
      <c r="I420"/>
    </row>
    <row r="421" spans="1:9" ht="15" x14ac:dyDescent="0.25">
      <c r="A421"/>
      <c r="B421"/>
      <c r="C421"/>
      <c r="D421"/>
      <c r="E421"/>
      <c r="F421"/>
      <c r="G421" s="29"/>
      <c r="H421"/>
      <c r="I421"/>
    </row>
    <row r="422" spans="1:9" ht="15" x14ac:dyDescent="0.25">
      <c r="A422"/>
      <c r="B422"/>
      <c r="C422"/>
      <c r="D422"/>
      <c r="E422"/>
      <c r="F422"/>
      <c r="G422" s="29"/>
      <c r="H422"/>
      <c r="I422"/>
    </row>
    <row r="423" spans="1:9" ht="15" x14ac:dyDescent="0.25">
      <c r="A423"/>
      <c r="B423"/>
      <c r="C423"/>
      <c r="D423"/>
      <c r="E423"/>
      <c r="F423"/>
      <c r="G423" s="29"/>
      <c r="H423"/>
      <c r="I423"/>
    </row>
    <row r="424" spans="1:9" ht="15" x14ac:dyDescent="0.25">
      <c r="A424"/>
      <c r="B424"/>
      <c r="C424"/>
      <c r="D424"/>
      <c r="E424"/>
      <c r="F424"/>
      <c r="G424" s="29"/>
      <c r="H424"/>
      <c r="I424"/>
    </row>
    <row r="425" spans="1:9" ht="15" x14ac:dyDescent="0.25">
      <c r="A425"/>
      <c r="B425"/>
      <c r="C425"/>
      <c r="D425"/>
      <c r="E425"/>
      <c r="F425"/>
      <c r="G425" s="29"/>
      <c r="H425"/>
      <c r="I425"/>
    </row>
    <row r="426" spans="1:9" ht="15" x14ac:dyDescent="0.25">
      <c r="A426"/>
      <c r="B426"/>
      <c r="C426"/>
      <c r="D426"/>
      <c r="E426"/>
      <c r="F426"/>
      <c r="G426" s="29"/>
      <c r="H426"/>
      <c r="I426"/>
    </row>
    <row r="427" spans="1:9" ht="15" x14ac:dyDescent="0.25">
      <c r="A427"/>
      <c r="B427"/>
      <c r="C427"/>
      <c r="D427"/>
      <c r="E427"/>
      <c r="F427"/>
      <c r="G427" s="29"/>
      <c r="H427"/>
      <c r="I427"/>
    </row>
    <row r="428" spans="1:9" ht="15" x14ac:dyDescent="0.25">
      <c r="A428"/>
      <c r="B428"/>
      <c r="C428"/>
      <c r="D428"/>
      <c r="E428"/>
      <c r="F428"/>
      <c r="G428" s="29"/>
      <c r="H428"/>
      <c r="I428"/>
    </row>
    <row r="429" spans="1:9" ht="15" x14ac:dyDescent="0.25">
      <c r="A429"/>
      <c r="B429"/>
      <c r="C429"/>
      <c r="D429"/>
      <c r="E429"/>
      <c r="F429"/>
      <c r="G429" s="29"/>
      <c r="H429"/>
      <c r="I429"/>
    </row>
    <row r="430" spans="1:9" ht="15" x14ac:dyDescent="0.25">
      <c r="A430"/>
      <c r="B430"/>
      <c r="C430"/>
      <c r="D430"/>
      <c r="E430"/>
      <c r="F430"/>
      <c r="G430" s="29"/>
      <c r="H430"/>
      <c r="I430"/>
    </row>
    <row r="431" spans="1:9" ht="15" x14ac:dyDescent="0.25">
      <c r="A431"/>
      <c r="B431"/>
      <c r="C431"/>
      <c r="D431"/>
      <c r="E431"/>
      <c r="F431"/>
      <c r="G431" s="29"/>
      <c r="H431"/>
      <c r="I431"/>
    </row>
    <row r="432" spans="1:9" ht="15" x14ac:dyDescent="0.25">
      <c r="A432"/>
      <c r="B432"/>
      <c r="C432"/>
      <c r="D432"/>
      <c r="E432"/>
      <c r="F432"/>
      <c r="G432" s="29"/>
      <c r="H432"/>
      <c r="I432"/>
    </row>
    <row r="433" spans="1:9" ht="15" x14ac:dyDescent="0.25">
      <c r="A433"/>
      <c r="B433"/>
      <c r="C433"/>
      <c r="D433"/>
      <c r="E433"/>
      <c r="F433"/>
      <c r="G433" s="29"/>
      <c r="H433"/>
      <c r="I433"/>
    </row>
    <row r="434" spans="1:9" ht="15" x14ac:dyDescent="0.25">
      <c r="A434"/>
      <c r="B434"/>
      <c r="C434"/>
      <c r="D434"/>
      <c r="E434"/>
      <c r="F434"/>
      <c r="G434" s="29"/>
      <c r="H434"/>
      <c r="I434"/>
    </row>
    <row r="435" spans="1:9" ht="15" x14ac:dyDescent="0.25">
      <c r="A435"/>
      <c r="B435"/>
      <c r="C435"/>
      <c r="D435"/>
      <c r="E435"/>
      <c r="F435"/>
      <c r="G435" s="29"/>
      <c r="H435"/>
      <c r="I435"/>
    </row>
    <row r="436" spans="1:9" ht="15" x14ac:dyDescent="0.25">
      <c r="A436"/>
      <c r="B436"/>
      <c r="C436"/>
      <c r="D436"/>
      <c r="E436"/>
      <c r="F436"/>
      <c r="G436" s="29"/>
      <c r="H436"/>
      <c r="I436"/>
    </row>
    <row r="437" spans="1:9" ht="15" x14ac:dyDescent="0.25">
      <c r="A437"/>
      <c r="B437"/>
      <c r="C437"/>
      <c r="D437"/>
      <c r="E437"/>
      <c r="F437"/>
      <c r="G437" s="29"/>
      <c r="H437"/>
      <c r="I437"/>
    </row>
    <row r="438" spans="1:9" ht="15" x14ac:dyDescent="0.25">
      <c r="A438"/>
      <c r="B438"/>
      <c r="C438"/>
      <c r="D438"/>
      <c r="E438"/>
      <c r="F438"/>
      <c r="G438" s="29"/>
      <c r="H438"/>
      <c r="I438"/>
    </row>
    <row r="439" spans="1:9" ht="15" x14ac:dyDescent="0.25">
      <c r="A439"/>
      <c r="B439"/>
      <c r="C439"/>
      <c r="D439"/>
      <c r="E439"/>
      <c r="F439"/>
      <c r="G439" s="29"/>
      <c r="H439"/>
      <c r="I439"/>
    </row>
    <row r="440" spans="1:9" ht="15" x14ac:dyDescent="0.25">
      <c r="A440"/>
      <c r="B440"/>
      <c r="C440"/>
      <c r="D440"/>
      <c r="E440"/>
      <c r="F440"/>
      <c r="G440" s="29"/>
      <c r="H440"/>
      <c r="I440"/>
    </row>
    <row r="441" spans="1:9" ht="15" x14ac:dyDescent="0.25">
      <c r="A441"/>
      <c r="B441"/>
      <c r="C441"/>
      <c r="D441"/>
      <c r="E441"/>
      <c r="F441"/>
      <c r="G441" s="29"/>
      <c r="H441"/>
      <c r="I441"/>
    </row>
    <row r="442" spans="1:9" ht="15" x14ac:dyDescent="0.25">
      <c r="A442"/>
      <c r="B442"/>
      <c r="C442"/>
      <c r="D442"/>
      <c r="E442"/>
      <c r="F442"/>
      <c r="G442" s="29"/>
      <c r="H442"/>
      <c r="I442"/>
    </row>
    <row r="443" spans="1:9" ht="15" x14ac:dyDescent="0.25">
      <c r="A443"/>
      <c r="B443"/>
      <c r="C443"/>
      <c r="D443"/>
      <c r="E443"/>
      <c r="F443"/>
      <c r="G443" s="29"/>
      <c r="H443"/>
      <c r="I443"/>
    </row>
    <row r="444" spans="1:9" ht="15" x14ac:dyDescent="0.25">
      <c r="A444"/>
      <c r="B444"/>
      <c r="C444"/>
      <c r="D444"/>
      <c r="E444"/>
      <c r="F444"/>
      <c r="G444" s="29"/>
      <c r="H444"/>
      <c r="I444"/>
    </row>
    <row r="445" spans="1:9" ht="15" x14ac:dyDescent="0.25">
      <c r="A445"/>
      <c r="B445"/>
      <c r="C445"/>
      <c r="D445"/>
      <c r="E445"/>
      <c r="F445"/>
      <c r="G445" s="29"/>
      <c r="H445"/>
      <c r="I445"/>
    </row>
    <row r="446" spans="1:9" ht="15" x14ac:dyDescent="0.25">
      <c r="A446"/>
      <c r="B446"/>
      <c r="C446"/>
      <c r="D446"/>
      <c r="E446"/>
      <c r="F446"/>
      <c r="G446" s="29"/>
      <c r="H446"/>
      <c r="I446"/>
    </row>
    <row r="447" spans="1:9" ht="15" x14ac:dyDescent="0.25">
      <c r="A447"/>
      <c r="B447"/>
      <c r="C447"/>
      <c r="D447"/>
      <c r="E447"/>
      <c r="F447"/>
      <c r="G447" s="29"/>
      <c r="H447"/>
      <c r="I447"/>
    </row>
    <row r="448" spans="1:9" ht="15" x14ac:dyDescent="0.25">
      <c r="A448"/>
      <c r="B448"/>
      <c r="C448"/>
      <c r="D448"/>
      <c r="E448"/>
      <c r="F448"/>
      <c r="G448" s="29"/>
      <c r="H448"/>
      <c r="I448"/>
    </row>
    <row r="449" spans="1:9" ht="15" x14ac:dyDescent="0.25">
      <c r="A449"/>
      <c r="B449"/>
      <c r="C449"/>
      <c r="D449"/>
      <c r="E449"/>
      <c r="F449"/>
      <c r="G449" s="29"/>
      <c r="H449"/>
      <c r="I449"/>
    </row>
    <row r="450" spans="1:9" ht="15" x14ac:dyDescent="0.25">
      <c r="A450"/>
      <c r="B450"/>
      <c r="C450"/>
      <c r="D450"/>
      <c r="E450"/>
      <c r="F450"/>
      <c r="G450" s="29"/>
      <c r="H450"/>
      <c r="I450"/>
    </row>
    <row r="451" spans="1:9" ht="15" x14ac:dyDescent="0.25">
      <c r="A451"/>
      <c r="B451"/>
      <c r="C451"/>
      <c r="D451"/>
      <c r="E451"/>
      <c r="F451"/>
      <c r="G451" s="29"/>
      <c r="H451"/>
      <c r="I451"/>
    </row>
    <row r="452" spans="1:9" ht="15" x14ac:dyDescent="0.25">
      <c r="A452"/>
      <c r="B452"/>
      <c r="C452"/>
      <c r="D452"/>
      <c r="E452"/>
      <c r="F452"/>
      <c r="G452" s="29"/>
      <c r="H452"/>
      <c r="I452"/>
    </row>
    <row r="453" spans="1:9" ht="15" x14ac:dyDescent="0.25">
      <c r="A453"/>
      <c r="B453"/>
      <c r="C453"/>
      <c r="D453"/>
      <c r="E453"/>
      <c r="F453"/>
      <c r="G453" s="29"/>
      <c r="H453"/>
      <c r="I453"/>
    </row>
    <row r="454" spans="1:9" ht="15" x14ac:dyDescent="0.25">
      <c r="A454"/>
      <c r="B454"/>
      <c r="C454"/>
      <c r="D454"/>
      <c r="E454"/>
      <c r="F454"/>
      <c r="G454" s="29"/>
      <c r="H454"/>
      <c r="I454"/>
    </row>
    <row r="455" spans="1:9" ht="15" x14ac:dyDescent="0.25">
      <c r="A455"/>
      <c r="B455"/>
      <c r="C455"/>
      <c r="D455"/>
      <c r="E455"/>
      <c r="F455"/>
      <c r="G455" s="29"/>
      <c r="H455"/>
      <c r="I455"/>
    </row>
    <row r="456" spans="1:9" ht="15" x14ac:dyDescent="0.25">
      <c r="A456"/>
      <c r="B456"/>
      <c r="C456"/>
      <c r="D456"/>
      <c r="E456"/>
      <c r="F456"/>
      <c r="G456" s="29"/>
      <c r="H456"/>
      <c r="I456"/>
    </row>
    <row r="457" spans="1:9" ht="15" x14ac:dyDescent="0.25">
      <c r="A457"/>
      <c r="B457"/>
      <c r="C457"/>
      <c r="D457"/>
      <c r="E457"/>
      <c r="F457"/>
      <c r="G457" s="29"/>
      <c r="H457"/>
      <c r="I457"/>
    </row>
    <row r="458" spans="1:9" ht="15" x14ac:dyDescent="0.25">
      <c r="A458"/>
      <c r="B458"/>
      <c r="C458"/>
      <c r="D458"/>
      <c r="E458"/>
      <c r="F458"/>
      <c r="G458" s="29"/>
      <c r="H458"/>
      <c r="I458"/>
    </row>
    <row r="459" spans="1:9" ht="15" x14ac:dyDescent="0.25">
      <c r="A459"/>
      <c r="B459"/>
      <c r="C459"/>
      <c r="D459"/>
      <c r="E459"/>
      <c r="F459"/>
      <c r="G459" s="29"/>
      <c r="H459"/>
      <c r="I459"/>
    </row>
    <row r="460" spans="1:9" ht="15" x14ac:dyDescent="0.25">
      <c r="A460"/>
      <c r="B460"/>
      <c r="C460"/>
      <c r="D460"/>
      <c r="E460"/>
      <c r="F460"/>
      <c r="G460" s="29"/>
      <c r="H460"/>
      <c r="I460"/>
    </row>
    <row r="461" spans="1:9" ht="15" x14ac:dyDescent="0.25">
      <c r="A461"/>
      <c r="B461"/>
      <c r="C461"/>
      <c r="D461"/>
      <c r="E461"/>
      <c r="F461"/>
      <c r="G461" s="29"/>
      <c r="H461"/>
      <c r="I461"/>
    </row>
    <row r="462" spans="1:9" ht="15" x14ac:dyDescent="0.25">
      <c r="A462"/>
      <c r="B462"/>
      <c r="C462"/>
      <c r="D462"/>
      <c r="E462"/>
      <c r="F462"/>
      <c r="G462" s="29"/>
      <c r="H462"/>
      <c r="I462"/>
    </row>
    <row r="463" spans="1:9" ht="15" x14ac:dyDescent="0.25">
      <c r="A463"/>
      <c r="B463"/>
      <c r="C463"/>
      <c r="D463"/>
      <c r="E463"/>
      <c r="F463"/>
      <c r="G463" s="29"/>
      <c r="H463"/>
      <c r="I463"/>
    </row>
    <row r="464" spans="1:9" ht="15" x14ac:dyDescent="0.25">
      <c r="A464"/>
      <c r="B464"/>
      <c r="C464"/>
      <c r="D464"/>
      <c r="E464"/>
      <c r="F464"/>
      <c r="G464" s="29"/>
      <c r="H464"/>
      <c r="I464"/>
    </row>
    <row r="465" spans="1:9" ht="15" x14ac:dyDescent="0.25">
      <c r="A465"/>
      <c r="B465"/>
      <c r="C465"/>
      <c r="D465"/>
      <c r="E465"/>
      <c r="F465"/>
      <c r="G465" s="29"/>
      <c r="H465"/>
      <c r="I465"/>
    </row>
    <row r="466" spans="1:9" ht="15" x14ac:dyDescent="0.25">
      <c r="A466"/>
      <c r="B466"/>
      <c r="C466"/>
      <c r="D466"/>
      <c r="E466"/>
      <c r="F466"/>
      <c r="G466" s="29"/>
      <c r="H466"/>
      <c r="I466"/>
    </row>
    <row r="467" spans="1:9" ht="15" x14ac:dyDescent="0.25">
      <c r="A467"/>
      <c r="B467"/>
      <c r="C467"/>
      <c r="D467"/>
      <c r="E467"/>
      <c r="F467"/>
      <c r="G467" s="29"/>
      <c r="H467"/>
      <c r="I467"/>
    </row>
    <row r="468" spans="1:9" ht="15" x14ac:dyDescent="0.25">
      <c r="A468"/>
      <c r="B468"/>
      <c r="C468"/>
      <c r="D468"/>
      <c r="E468"/>
      <c r="F468"/>
      <c r="G468" s="29"/>
      <c r="H468"/>
      <c r="I468"/>
    </row>
    <row r="469" spans="1:9" ht="15" x14ac:dyDescent="0.25">
      <c r="A469"/>
      <c r="B469"/>
      <c r="C469"/>
      <c r="D469"/>
      <c r="E469"/>
      <c r="F469"/>
      <c r="G469" s="29"/>
      <c r="H469"/>
      <c r="I469"/>
    </row>
    <row r="470" spans="1:9" ht="15" x14ac:dyDescent="0.25">
      <c r="A470"/>
      <c r="B470"/>
      <c r="C470"/>
      <c r="D470"/>
      <c r="E470"/>
      <c r="F470"/>
      <c r="G470" s="29"/>
      <c r="H470"/>
      <c r="I470"/>
    </row>
    <row r="471" spans="1:9" ht="15" x14ac:dyDescent="0.25">
      <c r="A471"/>
      <c r="B471"/>
      <c r="C471"/>
      <c r="D471"/>
      <c r="E471"/>
      <c r="F471"/>
      <c r="G471" s="29"/>
      <c r="H471"/>
      <c r="I471"/>
    </row>
    <row r="472" spans="1:9" ht="15" x14ac:dyDescent="0.25">
      <c r="A472"/>
      <c r="B472"/>
      <c r="C472"/>
      <c r="D472"/>
      <c r="E472"/>
      <c r="F472"/>
      <c r="G472" s="29"/>
      <c r="H472"/>
      <c r="I472"/>
    </row>
    <row r="473" spans="1:9" ht="15" x14ac:dyDescent="0.25">
      <c r="A473"/>
      <c r="B473"/>
      <c r="C473"/>
      <c r="D473"/>
      <c r="E473"/>
      <c r="F473"/>
      <c r="G473" s="29"/>
      <c r="H473"/>
      <c r="I473"/>
    </row>
    <row r="474" spans="1:9" ht="15" x14ac:dyDescent="0.25">
      <c r="A474"/>
      <c r="B474"/>
      <c r="C474"/>
      <c r="D474"/>
      <c r="E474"/>
      <c r="F474"/>
      <c r="G474" s="29"/>
      <c r="H474"/>
      <c r="I474"/>
    </row>
    <row r="475" spans="1:9" ht="15" x14ac:dyDescent="0.25">
      <c r="A475"/>
      <c r="B475"/>
      <c r="C475"/>
      <c r="D475"/>
      <c r="E475"/>
      <c r="F475"/>
      <c r="G475" s="29"/>
      <c r="H475"/>
      <c r="I475"/>
    </row>
    <row r="476" spans="1:9" ht="15" x14ac:dyDescent="0.25">
      <c r="A476"/>
      <c r="B476"/>
      <c r="C476"/>
      <c r="D476"/>
      <c r="E476"/>
      <c r="F476"/>
      <c r="G476" s="29"/>
      <c r="H476"/>
      <c r="I476"/>
    </row>
    <row r="477" spans="1:9" ht="15" x14ac:dyDescent="0.25">
      <c r="A477"/>
      <c r="B477"/>
      <c r="C477"/>
      <c r="D477"/>
      <c r="E477"/>
      <c r="F477"/>
      <c r="G477" s="29"/>
      <c r="H477"/>
      <c r="I477"/>
    </row>
    <row r="478" spans="1:9" ht="15" x14ac:dyDescent="0.25">
      <c r="A478"/>
      <c r="B478"/>
      <c r="C478"/>
      <c r="D478"/>
      <c r="E478"/>
      <c r="F478"/>
      <c r="G478" s="29"/>
      <c r="H478"/>
      <c r="I478"/>
    </row>
    <row r="479" spans="1:9" ht="15" x14ac:dyDescent="0.25">
      <c r="A479"/>
      <c r="B479"/>
      <c r="C479"/>
      <c r="D479"/>
      <c r="E479"/>
      <c r="F479"/>
      <c r="G479" s="29"/>
      <c r="H479"/>
      <c r="I479"/>
    </row>
    <row r="480" spans="1:9" ht="15" x14ac:dyDescent="0.25">
      <c r="A480"/>
      <c r="B480"/>
      <c r="C480"/>
      <c r="D480"/>
      <c r="E480"/>
      <c r="F480"/>
      <c r="G480" s="29"/>
      <c r="H480"/>
      <c r="I480"/>
    </row>
    <row r="481" spans="1:9" ht="15" x14ac:dyDescent="0.25">
      <c r="A481"/>
      <c r="B481"/>
      <c r="C481"/>
      <c r="D481"/>
      <c r="E481"/>
      <c r="F481"/>
      <c r="G481" s="29"/>
      <c r="H481"/>
      <c r="I481"/>
    </row>
    <row r="482" spans="1:9" ht="15" x14ac:dyDescent="0.25">
      <c r="A482"/>
      <c r="B482"/>
      <c r="C482"/>
      <c r="D482"/>
      <c r="E482"/>
      <c r="F482"/>
      <c r="G482" s="29"/>
      <c r="H482"/>
      <c r="I482"/>
    </row>
    <row r="483" spans="1:9" ht="15" x14ac:dyDescent="0.25">
      <c r="A483"/>
      <c r="B483"/>
      <c r="C483"/>
      <c r="D483"/>
      <c r="E483"/>
      <c r="F483"/>
      <c r="G483" s="29"/>
      <c r="H483"/>
      <c r="I483"/>
    </row>
    <row r="484" spans="1:9" ht="15" x14ac:dyDescent="0.25">
      <c r="A484"/>
      <c r="B484"/>
      <c r="C484"/>
      <c r="D484"/>
      <c r="E484"/>
      <c r="F484"/>
      <c r="G484" s="29"/>
      <c r="H484"/>
      <c r="I484"/>
    </row>
    <row r="485" spans="1:9" ht="15" x14ac:dyDescent="0.25">
      <c r="A485"/>
      <c r="B485"/>
      <c r="C485"/>
      <c r="D485"/>
      <c r="E485"/>
      <c r="F485"/>
      <c r="G485" s="29"/>
      <c r="H485"/>
      <c r="I485"/>
    </row>
    <row r="486" spans="1:9" ht="15" x14ac:dyDescent="0.25">
      <c r="A486"/>
      <c r="B486"/>
      <c r="C486"/>
      <c r="D486"/>
      <c r="E486"/>
      <c r="F486"/>
      <c r="G486" s="29"/>
      <c r="H486"/>
      <c r="I486"/>
    </row>
    <row r="487" spans="1:9" ht="15" x14ac:dyDescent="0.25">
      <c r="A487"/>
      <c r="B487"/>
      <c r="C487"/>
      <c r="D487"/>
      <c r="E487"/>
      <c r="F487"/>
      <c r="G487" s="29"/>
      <c r="H487"/>
      <c r="I487"/>
    </row>
    <row r="488" spans="1:9" ht="15" x14ac:dyDescent="0.25">
      <c r="A488"/>
      <c r="B488"/>
      <c r="C488"/>
      <c r="D488"/>
      <c r="E488"/>
      <c r="F488"/>
      <c r="G488" s="29"/>
      <c r="H488"/>
      <c r="I488"/>
    </row>
    <row r="489" spans="1:9" ht="15" x14ac:dyDescent="0.25">
      <c r="A489"/>
      <c r="B489"/>
      <c r="C489"/>
      <c r="D489"/>
      <c r="E489"/>
      <c r="F489"/>
      <c r="G489" s="29"/>
      <c r="H489"/>
      <c r="I489"/>
    </row>
    <row r="490" spans="1:9" ht="15" x14ac:dyDescent="0.25">
      <c r="A490"/>
      <c r="B490"/>
      <c r="C490"/>
      <c r="D490"/>
      <c r="E490"/>
      <c r="F490"/>
      <c r="G490" s="29"/>
      <c r="H490"/>
      <c r="I490"/>
    </row>
    <row r="491" spans="1:9" ht="15" x14ac:dyDescent="0.25">
      <c r="A491"/>
      <c r="B491"/>
      <c r="C491"/>
      <c r="D491"/>
      <c r="E491"/>
      <c r="F491"/>
      <c r="G491" s="29"/>
      <c r="H491"/>
      <c r="I491"/>
    </row>
    <row r="492" spans="1:9" ht="15" x14ac:dyDescent="0.25">
      <c r="A492"/>
      <c r="B492"/>
      <c r="C492"/>
      <c r="D492"/>
      <c r="E492"/>
      <c r="F492"/>
      <c r="G492" s="29"/>
      <c r="H492"/>
      <c r="I492"/>
    </row>
    <row r="493" spans="1:9" ht="15" x14ac:dyDescent="0.25">
      <c r="A493"/>
      <c r="B493"/>
      <c r="C493"/>
      <c r="D493"/>
      <c r="E493"/>
      <c r="F493"/>
      <c r="G493" s="29"/>
      <c r="H493"/>
      <c r="I493"/>
    </row>
    <row r="494" spans="1:9" ht="15" x14ac:dyDescent="0.25">
      <c r="A494"/>
      <c r="B494"/>
      <c r="C494"/>
      <c r="D494"/>
      <c r="E494"/>
      <c r="F494"/>
      <c r="G494" s="29"/>
      <c r="H494"/>
      <c r="I494"/>
    </row>
    <row r="495" spans="1:9" ht="15" x14ac:dyDescent="0.25">
      <c r="A495"/>
      <c r="B495"/>
      <c r="C495"/>
      <c r="D495"/>
      <c r="E495"/>
      <c r="F495"/>
      <c r="G495" s="29"/>
      <c r="H495"/>
      <c r="I495"/>
    </row>
    <row r="496" spans="1:9" ht="15" x14ac:dyDescent="0.25">
      <c r="A496"/>
      <c r="B496"/>
      <c r="C496"/>
      <c r="D496"/>
      <c r="E496"/>
      <c r="F496"/>
      <c r="G496" s="29"/>
      <c r="H496"/>
      <c r="I496"/>
    </row>
    <row r="497" spans="1:9" ht="15" x14ac:dyDescent="0.25">
      <c r="A497"/>
      <c r="B497"/>
      <c r="C497"/>
      <c r="D497"/>
      <c r="E497"/>
      <c r="F497"/>
      <c r="G497" s="29"/>
      <c r="H497"/>
      <c r="I497"/>
    </row>
    <row r="498" spans="1:9" ht="15" x14ac:dyDescent="0.25">
      <c r="A498"/>
      <c r="B498"/>
      <c r="C498"/>
      <c r="D498"/>
      <c r="E498"/>
      <c r="F498"/>
      <c r="G498" s="29"/>
      <c r="H498"/>
      <c r="I498"/>
    </row>
    <row r="499" spans="1:9" ht="15" x14ac:dyDescent="0.25">
      <c r="A499"/>
      <c r="B499"/>
      <c r="C499"/>
      <c r="D499"/>
      <c r="E499"/>
      <c r="F499"/>
      <c r="G499" s="29"/>
      <c r="H499"/>
      <c r="I499"/>
    </row>
    <row r="500" spans="1:9" ht="15" x14ac:dyDescent="0.25">
      <c r="A500"/>
      <c r="B500"/>
      <c r="C500"/>
      <c r="D500"/>
      <c r="E500"/>
      <c r="F500"/>
      <c r="G500" s="29"/>
      <c r="H500"/>
      <c r="I500"/>
    </row>
    <row r="501" spans="1:9" ht="15" x14ac:dyDescent="0.25">
      <c r="A501"/>
      <c r="B501"/>
      <c r="C501"/>
      <c r="D501"/>
      <c r="E501"/>
      <c r="F501"/>
      <c r="G501" s="29"/>
      <c r="H501"/>
      <c r="I501"/>
    </row>
    <row r="502" spans="1:9" ht="15" x14ac:dyDescent="0.25">
      <c r="A502"/>
      <c r="B502"/>
      <c r="C502"/>
      <c r="D502"/>
      <c r="E502"/>
      <c r="F502"/>
      <c r="G502" s="29"/>
      <c r="H502"/>
      <c r="I502"/>
    </row>
    <row r="503" spans="1:9" ht="15" x14ac:dyDescent="0.25">
      <c r="A503"/>
      <c r="B503"/>
      <c r="C503"/>
      <c r="D503"/>
      <c r="E503"/>
      <c r="F503"/>
      <c r="G503" s="29"/>
      <c r="H503"/>
      <c r="I503"/>
    </row>
    <row r="504" spans="1:9" ht="15" x14ac:dyDescent="0.25">
      <c r="A504"/>
      <c r="B504"/>
      <c r="C504"/>
      <c r="D504"/>
      <c r="E504"/>
      <c r="F504"/>
      <c r="G504" s="29"/>
      <c r="H504"/>
      <c r="I504"/>
    </row>
    <row r="505" spans="1:9" ht="15" x14ac:dyDescent="0.25">
      <c r="A505"/>
      <c r="B505"/>
      <c r="C505"/>
      <c r="D505"/>
      <c r="E505"/>
      <c r="F505"/>
      <c r="G505" s="29"/>
      <c r="H505"/>
      <c r="I505"/>
    </row>
    <row r="506" spans="1:9" ht="15" x14ac:dyDescent="0.25">
      <c r="A506"/>
      <c r="B506"/>
      <c r="C506"/>
      <c r="D506"/>
      <c r="E506"/>
      <c r="F506"/>
      <c r="G506" s="29"/>
      <c r="H506"/>
      <c r="I506"/>
    </row>
    <row r="507" spans="1:9" ht="15" x14ac:dyDescent="0.25">
      <c r="A507"/>
      <c r="B507"/>
      <c r="C507"/>
      <c r="D507"/>
      <c r="E507"/>
      <c r="F507"/>
      <c r="G507" s="29"/>
      <c r="H507"/>
      <c r="I507"/>
    </row>
    <row r="508" spans="1:9" ht="15" x14ac:dyDescent="0.25">
      <c r="A508"/>
      <c r="B508"/>
      <c r="C508"/>
      <c r="D508"/>
      <c r="E508"/>
      <c r="F508"/>
      <c r="G508" s="29"/>
      <c r="H508"/>
      <c r="I508"/>
    </row>
    <row r="509" spans="1:9" ht="15" x14ac:dyDescent="0.25">
      <c r="A509"/>
      <c r="B509"/>
      <c r="C509"/>
      <c r="D509"/>
      <c r="E509"/>
      <c r="F509"/>
      <c r="G509" s="29"/>
      <c r="H509"/>
      <c r="I509"/>
    </row>
    <row r="510" spans="1:9" ht="15" x14ac:dyDescent="0.25">
      <c r="A510"/>
      <c r="B510"/>
      <c r="C510"/>
      <c r="D510"/>
      <c r="E510"/>
      <c r="F510"/>
      <c r="G510" s="29"/>
      <c r="H510"/>
      <c r="I510"/>
    </row>
    <row r="511" spans="1:9" ht="15" x14ac:dyDescent="0.25">
      <c r="A511"/>
      <c r="B511"/>
      <c r="C511"/>
      <c r="D511"/>
      <c r="E511"/>
      <c r="F511"/>
      <c r="G511" s="29"/>
      <c r="H511"/>
      <c r="I511"/>
    </row>
    <row r="512" spans="1:9" ht="15" x14ac:dyDescent="0.25">
      <c r="A512"/>
      <c r="B512"/>
      <c r="C512"/>
      <c r="D512"/>
      <c r="E512"/>
      <c r="F512"/>
      <c r="G512" s="29"/>
      <c r="H512"/>
      <c r="I512"/>
    </row>
    <row r="513" spans="1:9" ht="15" x14ac:dyDescent="0.25">
      <c r="A513"/>
      <c r="B513"/>
      <c r="C513"/>
      <c r="D513"/>
      <c r="E513"/>
      <c r="F513"/>
      <c r="G513" s="29"/>
      <c r="H513"/>
      <c r="I513"/>
    </row>
    <row r="514" spans="1:9" ht="15" x14ac:dyDescent="0.25">
      <c r="A514"/>
      <c r="B514"/>
      <c r="C514"/>
      <c r="D514"/>
      <c r="E514"/>
      <c r="F514"/>
      <c r="G514" s="29"/>
      <c r="H514"/>
      <c r="I514"/>
    </row>
    <row r="515" spans="1:9" ht="15" x14ac:dyDescent="0.25">
      <c r="A515"/>
      <c r="B515"/>
      <c r="C515"/>
      <c r="D515"/>
      <c r="E515"/>
      <c r="F515"/>
      <c r="G515" s="29"/>
      <c r="H515"/>
      <c r="I515"/>
    </row>
    <row r="516" spans="1:9" ht="15" x14ac:dyDescent="0.25">
      <c r="A516"/>
      <c r="B516"/>
      <c r="C516"/>
      <c r="D516"/>
      <c r="E516"/>
      <c r="F516"/>
      <c r="G516" s="29"/>
      <c r="H516"/>
      <c r="I516"/>
    </row>
    <row r="517" spans="1:9" ht="15" x14ac:dyDescent="0.25">
      <c r="A517"/>
      <c r="B517"/>
      <c r="C517"/>
      <c r="D517"/>
      <c r="E517"/>
      <c r="F517"/>
      <c r="G517" s="29"/>
      <c r="H517"/>
      <c r="I517"/>
    </row>
    <row r="518" spans="1:9" ht="15" x14ac:dyDescent="0.25">
      <c r="A518"/>
      <c r="B518"/>
      <c r="C518"/>
      <c r="D518"/>
      <c r="E518"/>
      <c r="F518"/>
      <c r="G518" s="29"/>
      <c r="H518"/>
      <c r="I518"/>
    </row>
    <row r="519" spans="1:9" ht="15" x14ac:dyDescent="0.25">
      <c r="A519"/>
      <c r="B519"/>
      <c r="C519"/>
      <c r="D519"/>
      <c r="E519"/>
      <c r="F519"/>
      <c r="G519" s="29"/>
      <c r="H519"/>
      <c r="I519"/>
    </row>
    <row r="520" spans="1:9" ht="15" x14ac:dyDescent="0.25">
      <c r="A520"/>
      <c r="B520"/>
      <c r="C520"/>
      <c r="D520"/>
      <c r="E520"/>
      <c r="F520"/>
      <c r="G520" s="29"/>
      <c r="H520"/>
      <c r="I520"/>
    </row>
    <row r="521" spans="1:9" ht="15" x14ac:dyDescent="0.25">
      <c r="A521"/>
      <c r="B521"/>
      <c r="C521"/>
      <c r="D521"/>
      <c r="E521"/>
      <c r="F521"/>
      <c r="G521" s="29"/>
      <c r="H521"/>
      <c r="I521"/>
    </row>
    <row r="522" spans="1:9" ht="15" x14ac:dyDescent="0.25">
      <c r="A522"/>
      <c r="B522"/>
      <c r="C522"/>
      <c r="D522"/>
      <c r="E522"/>
      <c r="F522"/>
      <c r="G522" s="29"/>
      <c r="H522"/>
      <c r="I522"/>
    </row>
    <row r="523" spans="1:9" ht="15" x14ac:dyDescent="0.25">
      <c r="A523"/>
      <c r="B523"/>
      <c r="C523"/>
      <c r="D523"/>
      <c r="E523"/>
      <c r="F523"/>
      <c r="G523" s="29"/>
      <c r="H523"/>
      <c r="I523"/>
    </row>
    <row r="524" spans="1:9" ht="15" x14ac:dyDescent="0.25">
      <c r="A524"/>
      <c r="B524"/>
      <c r="C524"/>
      <c r="D524"/>
      <c r="E524"/>
      <c r="F524"/>
      <c r="G524" s="29"/>
      <c r="H524"/>
      <c r="I524"/>
    </row>
    <row r="525" spans="1:9" ht="15" x14ac:dyDescent="0.25">
      <c r="A525"/>
      <c r="B525"/>
      <c r="C525"/>
      <c r="D525"/>
      <c r="E525"/>
      <c r="F525"/>
      <c r="G525" s="29"/>
      <c r="H525"/>
      <c r="I525"/>
    </row>
    <row r="526" spans="1:9" ht="15" x14ac:dyDescent="0.25">
      <c r="A526"/>
      <c r="B526"/>
      <c r="C526"/>
      <c r="D526"/>
      <c r="E526"/>
      <c r="F526"/>
      <c r="G526" s="29"/>
      <c r="H526"/>
      <c r="I526"/>
    </row>
    <row r="527" spans="1:9" ht="15" x14ac:dyDescent="0.25">
      <c r="A527"/>
      <c r="B527"/>
      <c r="C527"/>
      <c r="D527"/>
      <c r="E527"/>
      <c r="F527"/>
      <c r="G527" s="29"/>
      <c r="H527"/>
      <c r="I527"/>
    </row>
    <row r="528" spans="1:9" ht="15" x14ac:dyDescent="0.25">
      <c r="A528"/>
      <c r="B528"/>
      <c r="C528"/>
      <c r="D528"/>
      <c r="E528"/>
      <c r="F528"/>
      <c r="G528" s="29"/>
      <c r="H528"/>
      <c r="I528"/>
    </row>
    <row r="529" spans="1:9" ht="15" x14ac:dyDescent="0.25">
      <c r="A529"/>
      <c r="B529"/>
      <c r="C529"/>
      <c r="D529"/>
      <c r="E529"/>
      <c r="F529"/>
      <c r="G529" s="29"/>
      <c r="H529"/>
      <c r="I529"/>
    </row>
    <row r="530" spans="1:9" ht="15" x14ac:dyDescent="0.25">
      <c r="A530"/>
      <c r="B530"/>
      <c r="C530"/>
      <c r="D530"/>
      <c r="E530"/>
      <c r="F530"/>
      <c r="G530" s="29"/>
      <c r="H530"/>
      <c r="I530"/>
    </row>
    <row r="531" spans="1:9" ht="15" x14ac:dyDescent="0.25">
      <c r="A531"/>
      <c r="B531"/>
      <c r="C531"/>
      <c r="D531"/>
      <c r="E531"/>
      <c r="F531"/>
      <c r="G531" s="29"/>
      <c r="H531"/>
      <c r="I531"/>
    </row>
    <row r="532" spans="1:9" ht="15" x14ac:dyDescent="0.25">
      <c r="A532"/>
      <c r="B532"/>
      <c r="C532"/>
      <c r="D532"/>
      <c r="E532"/>
      <c r="F532"/>
      <c r="G532" s="29"/>
      <c r="H532"/>
      <c r="I532"/>
    </row>
    <row r="533" spans="1:9" ht="15" x14ac:dyDescent="0.25">
      <c r="A533"/>
      <c r="B533"/>
      <c r="C533"/>
      <c r="D533"/>
      <c r="E533"/>
      <c r="F533"/>
      <c r="G533" s="29"/>
      <c r="H533"/>
      <c r="I533"/>
    </row>
    <row r="534" spans="1:9" ht="15" x14ac:dyDescent="0.25">
      <c r="A534"/>
      <c r="B534"/>
      <c r="C534"/>
      <c r="D534"/>
      <c r="E534"/>
      <c r="F534"/>
      <c r="G534" s="29"/>
      <c r="H534"/>
      <c r="I534"/>
    </row>
    <row r="535" spans="1:9" ht="15" x14ac:dyDescent="0.25">
      <c r="A535"/>
      <c r="B535"/>
      <c r="C535"/>
      <c r="D535"/>
      <c r="E535"/>
      <c r="F535"/>
      <c r="G535" s="29"/>
      <c r="H535"/>
      <c r="I535"/>
    </row>
    <row r="536" spans="1:9" ht="15" x14ac:dyDescent="0.25">
      <c r="A536"/>
      <c r="B536"/>
      <c r="C536"/>
      <c r="D536"/>
      <c r="E536"/>
      <c r="F536"/>
      <c r="G536" s="29"/>
      <c r="H536"/>
      <c r="I536"/>
    </row>
    <row r="537" spans="1:9" ht="15" x14ac:dyDescent="0.25">
      <c r="A537"/>
      <c r="B537"/>
      <c r="C537"/>
      <c r="D537"/>
      <c r="E537"/>
      <c r="F537"/>
      <c r="G537" s="29"/>
      <c r="H537"/>
      <c r="I537"/>
    </row>
    <row r="538" spans="1:9" ht="15" x14ac:dyDescent="0.25">
      <c r="A538"/>
      <c r="B538"/>
      <c r="C538"/>
      <c r="D538"/>
      <c r="E538"/>
      <c r="F538"/>
      <c r="G538" s="29"/>
      <c r="H538"/>
      <c r="I538"/>
    </row>
    <row r="539" spans="1:9" ht="15" x14ac:dyDescent="0.25">
      <c r="A539"/>
      <c r="B539"/>
      <c r="C539"/>
      <c r="D539"/>
      <c r="E539"/>
      <c r="F539"/>
      <c r="G539" s="29"/>
      <c r="H539"/>
      <c r="I539"/>
    </row>
    <row r="540" spans="1:9" ht="15" x14ac:dyDescent="0.25">
      <c r="A540"/>
      <c r="B540"/>
      <c r="C540"/>
      <c r="D540"/>
      <c r="E540"/>
      <c r="F540"/>
      <c r="G540" s="29"/>
      <c r="H540"/>
      <c r="I540"/>
    </row>
    <row r="541" spans="1:9" ht="15" x14ac:dyDescent="0.25">
      <c r="A541"/>
      <c r="B541"/>
      <c r="C541"/>
      <c r="D541"/>
      <c r="E541"/>
      <c r="F541"/>
      <c r="G541" s="29"/>
      <c r="H541"/>
      <c r="I541"/>
    </row>
    <row r="542" spans="1:9" ht="15" x14ac:dyDescent="0.25">
      <c r="A542"/>
      <c r="B542"/>
      <c r="C542"/>
      <c r="D542"/>
      <c r="E542"/>
      <c r="F542"/>
      <c r="G542" s="29"/>
      <c r="H542"/>
      <c r="I542"/>
    </row>
    <row r="543" spans="1:9" ht="15" x14ac:dyDescent="0.25">
      <c r="A543"/>
      <c r="B543"/>
      <c r="C543"/>
      <c r="D543"/>
      <c r="E543"/>
      <c r="F543"/>
      <c r="G543" s="29"/>
      <c r="H543"/>
      <c r="I543"/>
    </row>
    <row r="544" spans="1:9" ht="15" x14ac:dyDescent="0.25">
      <c r="A544"/>
      <c r="B544"/>
      <c r="C544"/>
      <c r="D544"/>
      <c r="E544"/>
      <c r="F544"/>
      <c r="G544" s="29"/>
      <c r="H544"/>
      <c r="I544"/>
    </row>
    <row r="545" spans="1:9" ht="15" x14ac:dyDescent="0.25">
      <c r="A545"/>
      <c r="B545"/>
      <c r="C545"/>
      <c r="D545"/>
      <c r="E545"/>
      <c r="F545"/>
      <c r="G545" s="29"/>
      <c r="H545"/>
      <c r="I545"/>
    </row>
    <row r="546" spans="1:9" ht="15" x14ac:dyDescent="0.25">
      <c r="A546"/>
      <c r="B546"/>
      <c r="C546"/>
      <c r="D546"/>
      <c r="E546"/>
      <c r="F546"/>
      <c r="G546" s="29"/>
      <c r="H546"/>
      <c r="I546"/>
    </row>
    <row r="547" spans="1:9" ht="15" x14ac:dyDescent="0.25">
      <c r="A547"/>
      <c r="B547"/>
      <c r="C547"/>
      <c r="D547"/>
      <c r="E547"/>
      <c r="F547"/>
      <c r="G547" s="29"/>
      <c r="H547"/>
      <c r="I547"/>
    </row>
    <row r="548" spans="1:9" ht="15" x14ac:dyDescent="0.25">
      <c r="A548"/>
      <c r="B548"/>
      <c r="C548"/>
      <c r="D548"/>
      <c r="E548"/>
      <c r="F548"/>
      <c r="G548" s="29"/>
      <c r="H548"/>
      <c r="I548"/>
    </row>
    <row r="549" spans="1:9" ht="15" x14ac:dyDescent="0.25">
      <c r="A549"/>
      <c r="B549"/>
      <c r="C549"/>
      <c r="D549"/>
      <c r="E549"/>
      <c r="F549"/>
      <c r="G549" s="29"/>
      <c r="H549"/>
      <c r="I549"/>
    </row>
    <row r="550" spans="1:9" ht="15" x14ac:dyDescent="0.25">
      <c r="A550"/>
      <c r="B550"/>
      <c r="C550"/>
      <c r="D550"/>
      <c r="E550"/>
      <c r="F550"/>
      <c r="G550" s="29"/>
      <c r="H550"/>
      <c r="I550"/>
    </row>
    <row r="551" spans="1:9" ht="15" x14ac:dyDescent="0.25">
      <c r="A551"/>
      <c r="B551"/>
      <c r="C551"/>
      <c r="D551"/>
      <c r="E551"/>
      <c r="F551"/>
      <c r="G551" s="29"/>
      <c r="H551"/>
      <c r="I551"/>
    </row>
    <row r="552" spans="1:9" ht="15" x14ac:dyDescent="0.25">
      <c r="A552"/>
      <c r="B552"/>
      <c r="C552"/>
      <c r="D552"/>
      <c r="E552"/>
      <c r="F552"/>
      <c r="G552" s="29"/>
      <c r="H552"/>
      <c r="I552"/>
    </row>
    <row r="553" spans="1:9" ht="15" x14ac:dyDescent="0.25">
      <c r="A553"/>
      <c r="B553"/>
      <c r="C553"/>
      <c r="D553"/>
      <c r="E553"/>
      <c r="F553"/>
      <c r="G553" s="29"/>
      <c r="H553"/>
      <c r="I553"/>
    </row>
    <row r="554" spans="1:9" ht="15" x14ac:dyDescent="0.25">
      <c r="A554"/>
      <c r="B554"/>
      <c r="C554"/>
      <c r="D554"/>
      <c r="E554"/>
      <c r="F554"/>
      <c r="G554" s="29"/>
      <c r="H554"/>
      <c r="I554"/>
    </row>
    <row r="555" spans="1:9" ht="15" x14ac:dyDescent="0.25">
      <c r="A555"/>
      <c r="B555"/>
      <c r="C555"/>
      <c r="D555"/>
      <c r="E555"/>
      <c r="F555"/>
      <c r="G555" s="29"/>
      <c r="H555"/>
      <c r="I555"/>
    </row>
    <row r="556" spans="1:9" ht="15" x14ac:dyDescent="0.25">
      <c r="A556"/>
      <c r="B556"/>
      <c r="C556"/>
      <c r="D556"/>
      <c r="E556"/>
      <c r="F556"/>
      <c r="G556" s="29"/>
      <c r="H556"/>
      <c r="I556"/>
    </row>
    <row r="557" spans="1:9" ht="15" x14ac:dyDescent="0.25">
      <c r="A557"/>
      <c r="B557"/>
      <c r="C557"/>
      <c r="D557"/>
      <c r="E557"/>
      <c r="F557"/>
      <c r="G557" s="29"/>
      <c r="H557"/>
      <c r="I557"/>
    </row>
    <row r="558" spans="1:9" ht="15" x14ac:dyDescent="0.25">
      <c r="A558"/>
      <c r="B558"/>
      <c r="C558"/>
      <c r="D558"/>
      <c r="E558"/>
      <c r="F558"/>
      <c r="G558" s="29"/>
      <c r="H558"/>
      <c r="I558"/>
    </row>
    <row r="559" spans="1:9" ht="15" x14ac:dyDescent="0.25">
      <c r="A559"/>
      <c r="B559"/>
      <c r="C559"/>
      <c r="D559"/>
      <c r="E559"/>
      <c r="F559"/>
      <c r="G559" s="29"/>
      <c r="H559"/>
      <c r="I559"/>
    </row>
    <row r="560" spans="1:9" ht="15" x14ac:dyDescent="0.25">
      <c r="A560"/>
      <c r="B560"/>
      <c r="C560"/>
      <c r="D560"/>
      <c r="E560"/>
      <c r="F560"/>
      <c r="G560" s="29"/>
      <c r="H560"/>
      <c r="I560"/>
    </row>
    <row r="561" spans="1:9" ht="15" x14ac:dyDescent="0.25">
      <c r="A561"/>
      <c r="B561"/>
      <c r="C561"/>
      <c r="D561"/>
      <c r="E561"/>
      <c r="F561"/>
      <c r="G561" s="29"/>
      <c r="H561"/>
      <c r="I561"/>
    </row>
    <row r="562" spans="1:9" ht="15" x14ac:dyDescent="0.25">
      <c r="A562"/>
      <c r="B562"/>
      <c r="C562"/>
      <c r="D562"/>
      <c r="E562"/>
      <c r="F562"/>
      <c r="G562" s="29"/>
      <c r="H562"/>
      <c r="I562"/>
    </row>
    <row r="563" spans="1:9" ht="15" x14ac:dyDescent="0.25">
      <c r="A563"/>
      <c r="B563"/>
      <c r="C563"/>
      <c r="D563"/>
      <c r="E563"/>
      <c r="F563"/>
      <c r="G563" s="29"/>
      <c r="H563"/>
      <c r="I563"/>
    </row>
    <row r="564" spans="1:9" ht="15" x14ac:dyDescent="0.25">
      <c r="A564"/>
      <c r="B564"/>
      <c r="C564"/>
      <c r="D564"/>
      <c r="E564"/>
      <c r="F564"/>
      <c r="G564" s="29"/>
      <c r="H564"/>
      <c r="I564"/>
    </row>
    <row r="565" spans="1:9" ht="15" x14ac:dyDescent="0.25">
      <c r="A565"/>
      <c r="B565"/>
      <c r="C565"/>
      <c r="D565"/>
      <c r="E565"/>
      <c r="F565"/>
      <c r="G565" s="29"/>
      <c r="H565"/>
      <c r="I565"/>
    </row>
    <row r="566" spans="1:9" ht="15" x14ac:dyDescent="0.25">
      <c r="A566"/>
      <c r="B566"/>
      <c r="C566"/>
      <c r="D566"/>
      <c r="E566"/>
      <c r="F566"/>
      <c r="G566" s="29"/>
      <c r="H566"/>
      <c r="I566"/>
    </row>
    <row r="567" spans="1:9" ht="15" x14ac:dyDescent="0.25">
      <c r="A567"/>
      <c r="B567"/>
      <c r="C567"/>
      <c r="D567"/>
      <c r="E567"/>
      <c r="F567"/>
      <c r="G567" s="29"/>
      <c r="H567"/>
      <c r="I567"/>
    </row>
    <row r="568" spans="1:9" ht="15" x14ac:dyDescent="0.25">
      <c r="A568"/>
      <c r="B568"/>
      <c r="C568"/>
      <c r="D568"/>
      <c r="E568"/>
      <c r="F568"/>
      <c r="G568" s="29"/>
      <c r="H568"/>
      <c r="I568"/>
    </row>
    <row r="569" spans="1:9" ht="15" x14ac:dyDescent="0.25">
      <c r="A569"/>
      <c r="B569"/>
      <c r="C569"/>
      <c r="D569"/>
      <c r="E569"/>
      <c r="F569"/>
      <c r="G569" s="29"/>
      <c r="H569"/>
      <c r="I569"/>
    </row>
    <row r="570" spans="1:9" ht="15" x14ac:dyDescent="0.25">
      <c r="A570"/>
      <c r="B570"/>
      <c r="C570"/>
      <c r="D570"/>
      <c r="E570"/>
      <c r="F570"/>
      <c r="G570" s="29"/>
      <c r="H570"/>
      <c r="I570"/>
    </row>
    <row r="571" spans="1:9" ht="15" x14ac:dyDescent="0.25">
      <c r="A571"/>
      <c r="B571"/>
      <c r="C571"/>
      <c r="D571"/>
      <c r="E571"/>
      <c r="F571"/>
      <c r="G571" s="29"/>
      <c r="H571"/>
      <c r="I571"/>
    </row>
    <row r="572" spans="1:9" ht="15" x14ac:dyDescent="0.25">
      <c r="A572"/>
      <c r="B572"/>
      <c r="C572"/>
      <c r="D572"/>
      <c r="E572"/>
      <c r="F572"/>
      <c r="G572" s="29"/>
      <c r="H572"/>
      <c r="I572"/>
    </row>
    <row r="573" spans="1:9" ht="15" x14ac:dyDescent="0.25">
      <c r="A573"/>
      <c r="B573"/>
      <c r="C573"/>
      <c r="D573"/>
      <c r="E573"/>
      <c r="F573"/>
      <c r="G573" s="29"/>
      <c r="H573"/>
      <c r="I573"/>
    </row>
    <row r="574" spans="1:9" ht="15" x14ac:dyDescent="0.25">
      <c r="A574"/>
      <c r="B574"/>
      <c r="C574"/>
      <c r="D574"/>
      <c r="E574"/>
      <c r="F574"/>
      <c r="G574" s="29"/>
      <c r="H574"/>
      <c r="I574"/>
    </row>
    <row r="575" spans="1:9" ht="15" x14ac:dyDescent="0.25">
      <c r="A575"/>
      <c r="B575"/>
      <c r="C575"/>
      <c r="D575"/>
      <c r="E575"/>
      <c r="F575"/>
      <c r="G575" s="29"/>
      <c r="H575"/>
      <c r="I575"/>
    </row>
    <row r="576" spans="1:9" ht="15" x14ac:dyDescent="0.25">
      <c r="A576"/>
      <c r="B576"/>
      <c r="C576"/>
      <c r="D576"/>
      <c r="E576"/>
      <c r="F576"/>
      <c r="G576" s="29"/>
      <c r="H576"/>
      <c r="I576"/>
    </row>
    <row r="577" spans="1:9" ht="15" x14ac:dyDescent="0.25">
      <c r="A577"/>
      <c r="B577"/>
      <c r="C577"/>
      <c r="D577"/>
      <c r="E577"/>
      <c r="F577"/>
      <c r="G577" s="29"/>
      <c r="H577"/>
      <c r="I577"/>
    </row>
    <row r="578" spans="1:9" ht="15" x14ac:dyDescent="0.25">
      <c r="A578"/>
      <c r="B578"/>
      <c r="C578"/>
      <c r="D578"/>
      <c r="E578"/>
      <c r="F578"/>
      <c r="G578" s="29"/>
      <c r="H578"/>
      <c r="I578"/>
    </row>
    <row r="579" spans="1:9" ht="15" x14ac:dyDescent="0.25">
      <c r="A579"/>
      <c r="B579"/>
      <c r="C579"/>
      <c r="D579"/>
      <c r="E579"/>
      <c r="F579"/>
      <c r="G579" s="29"/>
      <c r="H579"/>
      <c r="I579"/>
    </row>
    <row r="580" spans="1:9" ht="15" x14ac:dyDescent="0.25">
      <c r="A580"/>
      <c r="B580"/>
      <c r="C580"/>
      <c r="D580"/>
      <c r="E580"/>
      <c r="F580"/>
      <c r="G580" s="29"/>
      <c r="H580"/>
      <c r="I580"/>
    </row>
    <row r="581" spans="1:9" ht="15" x14ac:dyDescent="0.25">
      <c r="A581"/>
      <c r="B581"/>
      <c r="C581"/>
      <c r="D581"/>
      <c r="E581"/>
      <c r="F581"/>
      <c r="G581" s="29"/>
      <c r="H581"/>
      <c r="I581"/>
    </row>
    <row r="582" spans="1:9" ht="15" x14ac:dyDescent="0.25">
      <c r="A582"/>
      <c r="B582"/>
      <c r="C582"/>
      <c r="D582"/>
      <c r="E582"/>
      <c r="F582"/>
      <c r="G582" s="29"/>
      <c r="H582"/>
      <c r="I582"/>
    </row>
    <row r="583" spans="1:9" ht="15" x14ac:dyDescent="0.25">
      <c r="A583"/>
      <c r="B583"/>
      <c r="C583"/>
      <c r="D583"/>
      <c r="E583"/>
      <c r="F583"/>
      <c r="G583" s="29"/>
      <c r="H583"/>
      <c r="I583"/>
    </row>
    <row r="584" spans="1:9" ht="15" x14ac:dyDescent="0.25">
      <c r="A584"/>
      <c r="B584"/>
      <c r="C584"/>
      <c r="D584"/>
      <c r="E584"/>
      <c r="F584"/>
      <c r="G584" s="29"/>
      <c r="H584"/>
      <c r="I584"/>
    </row>
    <row r="585" spans="1:9" ht="15" x14ac:dyDescent="0.25">
      <c r="A585"/>
      <c r="B585"/>
      <c r="C585"/>
      <c r="D585"/>
      <c r="E585"/>
      <c r="F585"/>
      <c r="G585" s="29"/>
      <c r="H585"/>
      <c r="I585"/>
    </row>
    <row r="586" spans="1:9" ht="15" x14ac:dyDescent="0.25">
      <c r="A586"/>
      <c r="B586"/>
      <c r="C586"/>
      <c r="D586"/>
      <c r="E586"/>
      <c r="F586"/>
      <c r="G586" s="29"/>
      <c r="H586"/>
      <c r="I586"/>
    </row>
    <row r="587" spans="1:9" ht="15" x14ac:dyDescent="0.25">
      <c r="A587"/>
      <c r="B587"/>
      <c r="C587"/>
      <c r="D587"/>
      <c r="E587"/>
      <c r="F587"/>
      <c r="G587" s="29"/>
      <c r="H587"/>
      <c r="I587"/>
    </row>
    <row r="588" spans="1:9" ht="15" x14ac:dyDescent="0.25">
      <c r="A588"/>
      <c r="B588"/>
      <c r="C588"/>
      <c r="D588"/>
      <c r="E588"/>
      <c r="F588"/>
      <c r="G588" s="29"/>
      <c r="H588"/>
      <c r="I588"/>
    </row>
    <row r="589" spans="1:9" ht="15" x14ac:dyDescent="0.25">
      <c r="A589"/>
      <c r="B589"/>
      <c r="C589"/>
      <c r="D589"/>
      <c r="E589"/>
      <c r="F589"/>
      <c r="G589" s="29"/>
      <c r="H589"/>
      <c r="I589"/>
    </row>
    <row r="590" spans="1:9" ht="15" x14ac:dyDescent="0.25">
      <c r="A590"/>
      <c r="B590"/>
      <c r="C590"/>
      <c r="D590"/>
      <c r="E590"/>
      <c r="F590"/>
      <c r="G590" s="29"/>
      <c r="H590"/>
      <c r="I590"/>
    </row>
    <row r="591" spans="1:9" ht="15" x14ac:dyDescent="0.25">
      <c r="A591"/>
      <c r="B591"/>
      <c r="C591"/>
      <c r="D591"/>
      <c r="E591"/>
      <c r="F591"/>
      <c r="G591" s="29"/>
      <c r="H591"/>
      <c r="I591"/>
    </row>
    <row r="592" spans="1:9" ht="15" x14ac:dyDescent="0.25">
      <c r="A592"/>
      <c r="B592"/>
      <c r="C592"/>
      <c r="D592"/>
      <c r="E592"/>
      <c r="F592"/>
      <c r="G592" s="29"/>
      <c r="H592"/>
      <c r="I592"/>
    </row>
    <row r="593" spans="1:9" ht="15" x14ac:dyDescent="0.25">
      <c r="A593"/>
      <c r="B593"/>
      <c r="C593"/>
      <c r="D593"/>
      <c r="E593"/>
      <c r="F593"/>
      <c r="G593" s="29"/>
      <c r="H593"/>
      <c r="I593"/>
    </row>
    <row r="594" spans="1:9" ht="15" x14ac:dyDescent="0.25">
      <c r="A594"/>
      <c r="B594"/>
      <c r="C594"/>
      <c r="D594"/>
      <c r="E594"/>
      <c r="F594"/>
      <c r="G594" s="29"/>
      <c r="H594"/>
      <c r="I594"/>
    </row>
    <row r="595" spans="1:9" ht="15" x14ac:dyDescent="0.25">
      <c r="A595"/>
      <c r="B595"/>
      <c r="C595"/>
      <c r="D595"/>
      <c r="E595"/>
      <c r="F595"/>
      <c r="G595" s="29"/>
      <c r="H595"/>
      <c r="I595"/>
    </row>
    <row r="596" spans="1:9" ht="15" x14ac:dyDescent="0.25">
      <c r="A596"/>
      <c r="B596"/>
      <c r="C596"/>
      <c r="D596"/>
      <c r="E596"/>
      <c r="F596"/>
      <c r="G596" s="29"/>
      <c r="H596"/>
      <c r="I596"/>
    </row>
    <row r="597" spans="1:9" ht="15" x14ac:dyDescent="0.25">
      <c r="A597"/>
      <c r="B597"/>
      <c r="C597"/>
      <c r="D597"/>
      <c r="E597"/>
      <c r="F597"/>
      <c r="G597" s="29"/>
      <c r="H597"/>
      <c r="I597"/>
    </row>
    <row r="598" spans="1:9" ht="15" x14ac:dyDescent="0.25">
      <c r="A598"/>
      <c r="B598"/>
      <c r="C598"/>
      <c r="D598"/>
      <c r="E598"/>
      <c r="F598"/>
      <c r="G598" s="29"/>
      <c r="H598"/>
      <c r="I598"/>
    </row>
    <row r="599" spans="1:9" ht="15" x14ac:dyDescent="0.25">
      <c r="A599"/>
      <c r="B599"/>
      <c r="C599"/>
      <c r="D599"/>
      <c r="E599"/>
      <c r="F599"/>
      <c r="G599" s="29"/>
      <c r="H599"/>
      <c r="I599"/>
    </row>
    <row r="600" spans="1:9" ht="15" x14ac:dyDescent="0.25">
      <c r="A600"/>
      <c r="B600"/>
      <c r="C600"/>
      <c r="D600"/>
      <c r="E600"/>
      <c r="F600"/>
      <c r="G600" s="29"/>
      <c r="H600"/>
      <c r="I600"/>
    </row>
    <row r="601" spans="1:9" ht="15" x14ac:dyDescent="0.25">
      <c r="A601"/>
      <c r="B601"/>
      <c r="C601"/>
      <c r="D601"/>
      <c r="E601"/>
      <c r="F601"/>
      <c r="G601" s="29"/>
      <c r="H601"/>
      <c r="I601"/>
    </row>
    <row r="602" spans="1:9" ht="15" x14ac:dyDescent="0.25">
      <c r="A602"/>
      <c r="B602"/>
      <c r="C602"/>
      <c r="D602"/>
      <c r="E602"/>
      <c r="F602"/>
      <c r="G602" s="29"/>
      <c r="H602"/>
      <c r="I602"/>
    </row>
    <row r="603" spans="1:9" ht="15" x14ac:dyDescent="0.25">
      <c r="A603"/>
      <c r="B603"/>
      <c r="C603"/>
      <c r="D603"/>
      <c r="E603"/>
      <c r="F603"/>
      <c r="G603" s="29"/>
      <c r="H603"/>
      <c r="I603"/>
    </row>
    <row r="604" spans="1:9" ht="15" x14ac:dyDescent="0.25">
      <c r="A604"/>
      <c r="B604"/>
      <c r="C604"/>
      <c r="D604"/>
      <c r="E604"/>
      <c r="F604"/>
      <c r="G604" s="29"/>
      <c r="H604"/>
      <c r="I604"/>
    </row>
    <row r="605" spans="1:9" ht="15" x14ac:dyDescent="0.25">
      <c r="A605"/>
      <c r="B605"/>
      <c r="C605"/>
      <c r="D605"/>
      <c r="E605"/>
      <c r="F605"/>
      <c r="G605" s="29"/>
      <c r="H605"/>
      <c r="I605"/>
    </row>
    <row r="606" spans="1:9" ht="15" x14ac:dyDescent="0.25">
      <c r="A606"/>
      <c r="B606"/>
      <c r="C606"/>
      <c r="D606"/>
      <c r="E606"/>
      <c r="F606"/>
      <c r="G606" s="29"/>
      <c r="H606"/>
      <c r="I606"/>
    </row>
    <row r="607" spans="1:9" ht="15" x14ac:dyDescent="0.25">
      <c r="A607"/>
      <c r="B607"/>
      <c r="C607"/>
      <c r="D607"/>
      <c r="E607"/>
      <c r="F607"/>
      <c r="G607" s="29"/>
      <c r="H607"/>
      <c r="I607"/>
    </row>
    <row r="608" spans="1:9" ht="15" x14ac:dyDescent="0.25">
      <c r="A608"/>
      <c r="B608"/>
      <c r="C608"/>
      <c r="D608"/>
      <c r="E608"/>
      <c r="F608"/>
      <c r="G608" s="29"/>
      <c r="H608"/>
      <c r="I608"/>
    </row>
    <row r="609" spans="1:9" ht="15" x14ac:dyDescent="0.25">
      <c r="A609"/>
      <c r="B609"/>
      <c r="C609"/>
      <c r="D609"/>
      <c r="E609"/>
      <c r="F609"/>
      <c r="G609" s="29"/>
      <c r="H609"/>
      <c r="I609"/>
    </row>
    <row r="610" spans="1:9" ht="15" x14ac:dyDescent="0.25">
      <c r="A610"/>
      <c r="B610"/>
      <c r="C610"/>
      <c r="D610"/>
      <c r="E610"/>
      <c r="F610"/>
      <c r="G610" s="29"/>
      <c r="H610"/>
      <c r="I610"/>
    </row>
    <row r="611" spans="1:9" ht="15" x14ac:dyDescent="0.25">
      <c r="A611"/>
      <c r="B611"/>
      <c r="C611"/>
      <c r="D611"/>
      <c r="E611"/>
      <c r="F611"/>
      <c r="G611" s="29"/>
      <c r="H611"/>
      <c r="I611"/>
    </row>
    <row r="612" spans="1:9" ht="15" x14ac:dyDescent="0.25">
      <c r="A612"/>
      <c r="B612"/>
      <c r="C612"/>
      <c r="D612"/>
      <c r="E612"/>
      <c r="F612"/>
      <c r="G612" s="29"/>
      <c r="H612"/>
      <c r="I612"/>
    </row>
    <row r="613" spans="1:9" ht="15" x14ac:dyDescent="0.25">
      <c r="A613"/>
      <c r="B613"/>
      <c r="C613"/>
      <c r="D613"/>
      <c r="E613"/>
      <c r="F613"/>
      <c r="G613" s="29"/>
      <c r="H613"/>
      <c r="I613"/>
    </row>
    <row r="614" spans="1:9" ht="15" x14ac:dyDescent="0.25">
      <c r="A614"/>
      <c r="B614"/>
      <c r="C614"/>
      <c r="D614"/>
      <c r="E614"/>
      <c r="F614"/>
      <c r="G614" s="29"/>
      <c r="H614"/>
      <c r="I614"/>
    </row>
    <row r="615" spans="1:9" ht="15" x14ac:dyDescent="0.25">
      <c r="A615"/>
      <c r="B615"/>
      <c r="C615"/>
      <c r="D615"/>
      <c r="E615"/>
      <c r="F615"/>
      <c r="G615" s="29"/>
      <c r="H615"/>
      <c r="I615"/>
    </row>
    <row r="616" spans="1:9" ht="15" x14ac:dyDescent="0.25">
      <c r="A616"/>
      <c r="B616"/>
      <c r="C616"/>
      <c r="D616"/>
      <c r="E616"/>
      <c r="F616"/>
      <c r="G616" s="29"/>
      <c r="H616"/>
      <c r="I616"/>
    </row>
    <row r="617" spans="1:9" ht="15" x14ac:dyDescent="0.25">
      <c r="A617"/>
      <c r="B617"/>
      <c r="C617"/>
      <c r="D617"/>
      <c r="E617"/>
      <c r="F617"/>
      <c r="G617" s="29"/>
      <c r="H617"/>
      <c r="I617"/>
    </row>
    <row r="618" spans="1:9" ht="15" x14ac:dyDescent="0.25">
      <c r="A618"/>
      <c r="B618"/>
      <c r="C618"/>
      <c r="D618"/>
      <c r="E618"/>
      <c r="F618"/>
      <c r="G618" s="29"/>
      <c r="H618"/>
      <c r="I618"/>
    </row>
    <row r="619" spans="1:9" ht="15" x14ac:dyDescent="0.25">
      <c r="A619"/>
      <c r="B619"/>
      <c r="C619"/>
      <c r="D619"/>
      <c r="E619"/>
      <c r="F619"/>
      <c r="G619" s="29"/>
      <c r="H619"/>
      <c r="I619"/>
    </row>
    <row r="620" spans="1:9" ht="15" x14ac:dyDescent="0.25">
      <c r="A620"/>
      <c r="B620"/>
      <c r="C620"/>
      <c r="D620"/>
      <c r="E620"/>
      <c r="F620"/>
      <c r="G620" s="29"/>
      <c r="H620"/>
      <c r="I620"/>
    </row>
    <row r="621" spans="1:9" ht="15" x14ac:dyDescent="0.25">
      <c r="A621"/>
      <c r="B621"/>
      <c r="C621"/>
      <c r="D621"/>
      <c r="E621"/>
      <c r="F621"/>
      <c r="G621" s="29"/>
      <c r="H621"/>
      <c r="I621"/>
    </row>
    <row r="622" spans="1:9" ht="15" x14ac:dyDescent="0.25">
      <c r="A622"/>
      <c r="B622"/>
      <c r="C622"/>
      <c r="D622"/>
      <c r="E622"/>
      <c r="F622"/>
      <c r="G622" s="29"/>
      <c r="H622"/>
      <c r="I622"/>
    </row>
    <row r="623" spans="1:9" ht="15" x14ac:dyDescent="0.25">
      <c r="A623"/>
      <c r="B623"/>
      <c r="C623"/>
      <c r="D623"/>
      <c r="E623"/>
      <c r="F623"/>
      <c r="G623" s="29"/>
      <c r="H623"/>
      <c r="I623"/>
    </row>
    <row r="624" spans="1:9" ht="15" x14ac:dyDescent="0.25">
      <c r="A624"/>
      <c r="B624"/>
      <c r="C624"/>
      <c r="D624"/>
      <c r="E624"/>
      <c r="F624"/>
      <c r="G624" s="29"/>
      <c r="H624"/>
      <c r="I624"/>
    </row>
    <row r="625" spans="1:9" ht="15" x14ac:dyDescent="0.25">
      <c r="A625"/>
      <c r="B625"/>
      <c r="C625"/>
      <c r="D625"/>
      <c r="E625"/>
      <c r="F625"/>
      <c r="G625" s="29"/>
      <c r="H625"/>
      <c r="I625"/>
    </row>
    <row r="626" spans="1:9" ht="15" x14ac:dyDescent="0.25">
      <c r="A626"/>
      <c r="B626"/>
      <c r="C626"/>
      <c r="D626"/>
      <c r="E626"/>
      <c r="F626"/>
      <c r="G626" s="29"/>
      <c r="H626"/>
      <c r="I626"/>
    </row>
    <row r="627" spans="1:9" ht="15" x14ac:dyDescent="0.25">
      <c r="A627"/>
      <c r="B627"/>
      <c r="C627"/>
      <c r="D627"/>
      <c r="E627"/>
      <c r="F627"/>
      <c r="G627" s="29"/>
      <c r="H627"/>
      <c r="I627"/>
    </row>
    <row r="628" spans="1:9" ht="15" x14ac:dyDescent="0.25">
      <c r="A628"/>
      <c r="B628"/>
      <c r="C628"/>
      <c r="D628"/>
      <c r="E628"/>
      <c r="F628"/>
      <c r="G628" s="29"/>
      <c r="H628"/>
      <c r="I628"/>
    </row>
    <row r="629" spans="1:9" ht="15" x14ac:dyDescent="0.25">
      <c r="A629"/>
      <c r="B629"/>
      <c r="C629"/>
      <c r="D629"/>
      <c r="E629"/>
      <c r="F629"/>
      <c r="G629" s="29"/>
      <c r="H629"/>
      <c r="I629"/>
    </row>
    <row r="630" spans="1:9" ht="15" x14ac:dyDescent="0.25">
      <c r="A630"/>
      <c r="B630"/>
      <c r="C630"/>
      <c r="D630"/>
      <c r="E630"/>
      <c r="F630"/>
      <c r="G630" s="29"/>
      <c r="H630"/>
      <c r="I630"/>
    </row>
    <row r="631" spans="1:9" ht="15" x14ac:dyDescent="0.25">
      <c r="A631"/>
      <c r="B631"/>
      <c r="C631"/>
      <c r="D631"/>
      <c r="E631"/>
      <c r="F631"/>
      <c r="G631" s="29"/>
      <c r="H631"/>
      <c r="I631"/>
    </row>
    <row r="632" spans="1:9" ht="15" x14ac:dyDescent="0.25">
      <c r="A632"/>
      <c r="B632"/>
      <c r="C632"/>
      <c r="D632"/>
      <c r="E632"/>
      <c r="F632"/>
      <c r="G632" s="29"/>
      <c r="H632"/>
      <c r="I632"/>
    </row>
    <row r="633" spans="1:9" ht="15" x14ac:dyDescent="0.25">
      <c r="A633"/>
      <c r="B633"/>
      <c r="C633"/>
      <c r="D633"/>
      <c r="E633"/>
      <c r="F633"/>
      <c r="G633" s="29"/>
      <c r="H633"/>
      <c r="I633"/>
    </row>
    <row r="634" spans="1:9" ht="15" x14ac:dyDescent="0.25">
      <c r="A634"/>
      <c r="B634"/>
      <c r="C634"/>
      <c r="D634"/>
      <c r="E634"/>
      <c r="F634"/>
      <c r="G634" s="29"/>
      <c r="H634"/>
      <c r="I634"/>
    </row>
    <row r="635" spans="1:9" ht="15" x14ac:dyDescent="0.25">
      <c r="A635"/>
      <c r="B635"/>
      <c r="C635"/>
      <c r="D635"/>
      <c r="E635"/>
      <c r="F635"/>
      <c r="G635" s="29"/>
      <c r="H635"/>
      <c r="I635"/>
    </row>
    <row r="636" spans="1:9" ht="15" x14ac:dyDescent="0.25">
      <c r="A636"/>
      <c r="B636"/>
      <c r="C636"/>
      <c r="D636"/>
      <c r="E636"/>
      <c r="F636"/>
      <c r="G636" s="29"/>
      <c r="H636"/>
      <c r="I636"/>
    </row>
    <row r="637" spans="1:9" ht="15" x14ac:dyDescent="0.25">
      <c r="A637"/>
      <c r="B637"/>
      <c r="C637"/>
      <c r="D637"/>
      <c r="E637"/>
      <c r="F637"/>
      <c r="G637" s="29"/>
      <c r="H637"/>
      <c r="I637"/>
    </row>
    <row r="638" spans="1:9" ht="15" x14ac:dyDescent="0.25">
      <c r="A638"/>
      <c r="B638"/>
      <c r="C638"/>
      <c r="D638"/>
      <c r="E638"/>
      <c r="F638"/>
      <c r="G638" s="29"/>
      <c r="H638"/>
      <c r="I638"/>
    </row>
    <row r="639" spans="1:9" ht="15" x14ac:dyDescent="0.25">
      <c r="A639"/>
      <c r="B639"/>
      <c r="C639"/>
      <c r="D639"/>
      <c r="E639"/>
      <c r="F639"/>
      <c r="G639" s="29"/>
      <c r="H639"/>
      <c r="I639"/>
    </row>
    <row r="640" spans="1:9" ht="15" x14ac:dyDescent="0.25">
      <c r="A640"/>
      <c r="B640"/>
      <c r="C640"/>
      <c r="D640"/>
      <c r="E640"/>
      <c r="F640"/>
      <c r="G640" s="29"/>
      <c r="H640"/>
      <c r="I640"/>
    </row>
    <row r="641" spans="1:9" ht="15" x14ac:dyDescent="0.25">
      <c r="A641"/>
      <c r="B641"/>
      <c r="C641"/>
      <c r="D641"/>
      <c r="E641"/>
      <c r="F641"/>
      <c r="G641" s="29"/>
      <c r="H641"/>
      <c r="I641"/>
    </row>
    <row r="642" spans="1:9" ht="15" x14ac:dyDescent="0.25">
      <c r="A642"/>
      <c r="B642"/>
      <c r="C642"/>
      <c r="D642"/>
      <c r="E642"/>
      <c r="F642"/>
      <c r="G642" s="29"/>
      <c r="H642"/>
      <c r="I642"/>
    </row>
    <row r="643" spans="1:9" ht="15" x14ac:dyDescent="0.25">
      <c r="A643"/>
      <c r="B643"/>
      <c r="C643"/>
      <c r="D643"/>
      <c r="E643"/>
      <c r="F643"/>
      <c r="G643" s="29"/>
      <c r="H643"/>
      <c r="I643"/>
    </row>
    <row r="644" spans="1:9" ht="15" x14ac:dyDescent="0.25">
      <c r="A644"/>
      <c r="B644"/>
      <c r="C644"/>
      <c r="D644"/>
      <c r="E644"/>
      <c r="F644"/>
      <c r="G644" s="29"/>
      <c r="H644"/>
      <c r="I644"/>
    </row>
    <row r="645" spans="1:9" ht="15" x14ac:dyDescent="0.25">
      <c r="A645"/>
      <c r="B645"/>
      <c r="C645"/>
      <c r="D645"/>
      <c r="E645"/>
      <c r="F645"/>
      <c r="G645" s="29"/>
      <c r="H645"/>
      <c r="I645"/>
    </row>
    <row r="646" spans="1:9" ht="15" x14ac:dyDescent="0.25">
      <c r="A646"/>
      <c r="B646"/>
      <c r="C646"/>
      <c r="D646"/>
      <c r="E646"/>
      <c r="F646"/>
      <c r="G646" s="29"/>
      <c r="H646"/>
      <c r="I646"/>
    </row>
    <row r="647" spans="1:9" ht="15" x14ac:dyDescent="0.25">
      <c r="A647"/>
      <c r="B647"/>
      <c r="C647"/>
      <c r="D647"/>
      <c r="E647"/>
      <c r="F647"/>
      <c r="G647" s="29"/>
      <c r="H647"/>
      <c r="I647"/>
    </row>
    <row r="648" spans="1:9" ht="15" x14ac:dyDescent="0.25">
      <c r="A648"/>
      <c r="B648"/>
      <c r="C648"/>
      <c r="D648"/>
      <c r="E648"/>
      <c r="F648"/>
      <c r="G648" s="29"/>
      <c r="H648"/>
      <c r="I648"/>
    </row>
    <row r="649" spans="1:9" ht="15" x14ac:dyDescent="0.25">
      <c r="A649"/>
      <c r="B649"/>
      <c r="C649"/>
      <c r="D649"/>
      <c r="E649"/>
      <c r="F649"/>
      <c r="G649" s="29"/>
      <c r="H649"/>
      <c r="I649"/>
    </row>
    <row r="650" spans="1:9" ht="15" x14ac:dyDescent="0.25">
      <c r="A650"/>
      <c r="B650"/>
      <c r="C650"/>
      <c r="D650"/>
      <c r="E650"/>
      <c r="F650"/>
      <c r="G650" s="29"/>
      <c r="H650"/>
      <c r="I650"/>
    </row>
    <row r="651" spans="1:9" ht="15" x14ac:dyDescent="0.25">
      <c r="A651"/>
      <c r="B651"/>
      <c r="C651"/>
      <c r="D651"/>
      <c r="E651"/>
      <c r="F651"/>
      <c r="G651" s="29"/>
      <c r="H651"/>
      <c r="I651"/>
    </row>
    <row r="652" spans="1:9" ht="15" x14ac:dyDescent="0.25">
      <c r="A652"/>
      <c r="B652"/>
      <c r="C652"/>
      <c r="D652"/>
      <c r="E652"/>
      <c r="F652"/>
      <c r="G652" s="29"/>
      <c r="H652"/>
      <c r="I652"/>
    </row>
    <row r="653" spans="1:9" ht="15" x14ac:dyDescent="0.25">
      <c r="A653"/>
      <c r="B653"/>
      <c r="C653"/>
      <c r="D653"/>
      <c r="E653"/>
      <c r="F653"/>
      <c r="G653" s="29"/>
      <c r="H653"/>
      <c r="I653"/>
    </row>
    <row r="654" spans="1:9" ht="15" x14ac:dyDescent="0.25">
      <c r="A654"/>
      <c r="B654"/>
      <c r="C654"/>
      <c r="D654"/>
      <c r="E654"/>
      <c r="F654"/>
      <c r="G654" s="29"/>
      <c r="H654"/>
      <c r="I654"/>
    </row>
    <row r="655" spans="1:9" ht="15" x14ac:dyDescent="0.25">
      <c r="A655"/>
      <c r="B655"/>
      <c r="C655"/>
      <c r="D655"/>
      <c r="E655"/>
      <c r="F655"/>
      <c r="G655" s="29"/>
      <c r="H655"/>
      <c r="I655"/>
    </row>
    <row r="656" spans="1:9" ht="15" x14ac:dyDescent="0.25">
      <c r="A656"/>
      <c r="B656"/>
      <c r="C656"/>
      <c r="D656"/>
      <c r="E656"/>
      <c r="F656"/>
      <c r="G656" s="29"/>
      <c r="H656"/>
      <c r="I656"/>
    </row>
    <row r="657" spans="1:9" ht="15" x14ac:dyDescent="0.25">
      <c r="A657"/>
      <c r="B657"/>
      <c r="C657"/>
      <c r="D657"/>
      <c r="E657"/>
      <c r="F657"/>
      <c r="G657" s="29"/>
      <c r="H657"/>
      <c r="I657"/>
    </row>
    <row r="658" spans="1:9" ht="15" x14ac:dyDescent="0.25">
      <c r="A658"/>
      <c r="B658"/>
      <c r="C658"/>
      <c r="D658"/>
      <c r="E658"/>
      <c r="F658"/>
      <c r="G658" s="29"/>
      <c r="H658"/>
      <c r="I658"/>
    </row>
    <row r="659" spans="1:9" ht="15" x14ac:dyDescent="0.25">
      <c r="A659"/>
      <c r="B659"/>
      <c r="C659"/>
      <c r="D659"/>
      <c r="E659"/>
      <c r="F659"/>
      <c r="G659" s="29"/>
      <c r="H659"/>
      <c r="I659"/>
    </row>
    <row r="660" spans="1:9" ht="15" x14ac:dyDescent="0.25">
      <c r="A660"/>
      <c r="B660"/>
      <c r="C660"/>
      <c r="D660"/>
      <c r="E660"/>
      <c r="F660"/>
      <c r="G660" s="29"/>
      <c r="H660"/>
      <c r="I660"/>
    </row>
    <row r="661" spans="1:9" ht="15" x14ac:dyDescent="0.25">
      <c r="A661"/>
      <c r="B661"/>
      <c r="C661"/>
      <c r="D661"/>
      <c r="E661"/>
      <c r="F661"/>
      <c r="G661" s="29"/>
      <c r="H661"/>
      <c r="I661"/>
    </row>
    <row r="662" spans="1:9" ht="15" x14ac:dyDescent="0.25">
      <c r="A662"/>
      <c r="B662"/>
      <c r="C662"/>
      <c r="D662"/>
      <c r="E662"/>
      <c r="F662"/>
      <c r="G662" s="29"/>
      <c r="H662"/>
      <c r="I662"/>
    </row>
    <row r="663" spans="1:9" ht="15" x14ac:dyDescent="0.25">
      <c r="A663"/>
      <c r="B663"/>
      <c r="C663"/>
      <c r="D663"/>
      <c r="E663"/>
      <c r="F663"/>
      <c r="G663" s="29"/>
      <c r="H663"/>
      <c r="I663"/>
    </row>
    <row r="664" spans="1:9" ht="15" x14ac:dyDescent="0.25">
      <c r="A664"/>
      <c r="B664"/>
      <c r="C664"/>
      <c r="D664"/>
      <c r="E664"/>
      <c r="F664"/>
      <c r="G664" s="29"/>
      <c r="H664"/>
      <c r="I664"/>
    </row>
    <row r="665" spans="1:9" ht="15" x14ac:dyDescent="0.25">
      <c r="A665"/>
      <c r="B665"/>
      <c r="C665"/>
      <c r="D665"/>
      <c r="E665"/>
      <c r="F665"/>
      <c r="G665" s="29"/>
      <c r="H665"/>
      <c r="I665"/>
    </row>
    <row r="666" spans="1:9" ht="15" x14ac:dyDescent="0.25">
      <c r="A666"/>
      <c r="B666"/>
      <c r="C666"/>
      <c r="D666"/>
      <c r="E666"/>
      <c r="F666"/>
      <c r="G666" s="29"/>
      <c r="H666"/>
      <c r="I666"/>
    </row>
    <row r="667" spans="1:9" ht="15" x14ac:dyDescent="0.25">
      <c r="A667"/>
      <c r="B667"/>
      <c r="C667"/>
      <c r="D667"/>
      <c r="E667"/>
      <c r="F667"/>
      <c r="G667" s="29"/>
      <c r="H667"/>
      <c r="I667"/>
    </row>
    <row r="668" spans="1:9" ht="15" x14ac:dyDescent="0.25">
      <c r="A668"/>
      <c r="B668"/>
      <c r="C668"/>
      <c r="D668"/>
      <c r="E668"/>
      <c r="F668"/>
      <c r="G668" s="29"/>
      <c r="H668"/>
      <c r="I668"/>
    </row>
    <row r="669" spans="1:9" ht="15" x14ac:dyDescent="0.25">
      <c r="A669"/>
      <c r="B669"/>
      <c r="C669"/>
      <c r="D669"/>
      <c r="E669"/>
      <c r="F669"/>
      <c r="G669" s="29"/>
      <c r="H669"/>
      <c r="I669"/>
    </row>
    <row r="670" spans="1:9" ht="15" x14ac:dyDescent="0.25">
      <c r="A670"/>
      <c r="B670"/>
      <c r="C670"/>
      <c r="D670"/>
      <c r="E670"/>
      <c r="F670"/>
      <c r="G670" s="29"/>
      <c r="H670"/>
      <c r="I670"/>
    </row>
    <row r="671" spans="1:9" ht="15" x14ac:dyDescent="0.25">
      <c r="A671"/>
      <c r="B671"/>
      <c r="C671"/>
      <c r="D671"/>
      <c r="E671"/>
      <c r="F671"/>
      <c r="G671" s="29"/>
      <c r="H671"/>
      <c r="I671"/>
    </row>
    <row r="672" spans="1:9" ht="15" x14ac:dyDescent="0.25">
      <c r="A672"/>
      <c r="B672"/>
      <c r="C672"/>
      <c r="D672"/>
      <c r="E672"/>
      <c r="F672"/>
      <c r="G672" s="29"/>
      <c r="H672"/>
      <c r="I672"/>
    </row>
    <row r="673" spans="1:9" ht="15" x14ac:dyDescent="0.25">
      <c r="A673"/>
      <c r="B673"/>
      <c r="C673"/>
      <c r="D673"/>
      <c r="E673"/>
      <c r="F673"/>
      <c r="G673" s="29"/>
      <c r="H673"/>
      <c r="I673"/>
    </row>
    <row r="674" spans="1:9" ht="15" x14ac:dyDescent="0.25">
      <c r="A674"/>
      <c r="B674"/>
      <c r="C674"/>
      <c r="D674"/>
      <c r="E674"/>
      <c r="F674"/>
      <c r="G674" s="29"/>
      <c r="H674"/>
      <c r="I674"/>
    </row>
    <row r="675" spans="1:9" ht="15" x14ac:dyDescent="0.25">
      <c r="A675"/>
      <c r="B675"/>
      <c r="C675"/>
      <c r="D675"/>
      <c r="E675"/>
      <c r="F675"/>
      <c r="G675" s="29"/>
      <c r="H675"/>
      <c r="I675"/>
    </row>
    <row r="676" spans="1:9" ht="15" x14ac:dyDescent="0.25">
      <c r="A676"/>
      <c r="B676"/>
      <c r="C676"/>
      <c r="D676"/>
      <c r="E676"/>
      <c r="F676"/>
      <c r="G676" s="29"/>
      <c r="H676"/>
      <c r="I676"/>
    </row>
    <row r="677" spans="1:9" ht="15" x14ac:dyDescent="0.25">
      <c r="A677"/>
      <c r="B677"/>
      <c r="C677"/>
      <c r="D677"/>
      <c r="E677"/>
      <c r="F677"/>
      <c r="G677" s="29"/>
      <c r="H677"/>
      <c r="I677"/>
    </row>
    <row r="678" spans="1:9" ht="15" x14ac:dyDescent="0.25">
      <c r="A678"/>
      <c r="B678"/>
      <c r="C678"/>
      <c r="D678"/>
      <c r="E678"/>
      <c r="F678"/>
      <c r="G678" s="29"/>
      <c r="H678"/>
      <c r="I678"/>
    </row>
    <row r="679" spans="1:9" ht="15" x14ac:dyDescent="0.25">
      <c r="A679"/>
      <c r="B679"/>
      <c r="C679"/>
      <c r="D679"/>
      <c r="E679"/>
      <c r="F679"/>
      <c r="G679" s="29"/>
      <c r="H679"/>
      <c r="I679"/>
    </row>
    <row r="680" spans="1:9" ht="15" x14ac:dyDescent="0.25">
      <c r="A680"/>
      <c r="B680"/>
      <c r="C680"/>
      <c r="D680"/>
      <c r="E680"/>
      <c r="F680"/>
      <c r="G680" s="29"/>
      <c r="H680"/>
      <c r="I680"/>
    </row>
    <row r="681" spans="1:9" ht="15" x14ac:dyDescent="0.25">
      <c r="A681"/>
      <c r="B681"/>
      <c r="C681"/>
      <c r="D681"/>
      <c r="E681"/>
      <c r="F681"/>
      <c r="G681" s="29"/>
      <c r="H681"/>
      <c r="I681"/>
    </row>
    <row r="682" spans="1:9" ht="15" x14ac:dyDescent="0.25">
      <c r="A682"/>
      <c r="B682"/>
      <c r="C682"/>
      <c r="D682"/>
      <c r="E682"/>
      <c r="F682"/>
      <c r="G682" s="29"/>
      <c r="H682"/>
      <c r="I682"/>
    </row>
    <row r="683" spans="1:9" ht="15" x14ac:dyDescent="0.25">
      <c r="A683"/>
      <c r="B683"/>
      <c r="C683"/>
      <c r="D683"/>
      <c r="E683"/>
      <c r="F683"/>
      <c r="G683" s="29"/>
      <c r="H683"/>
      <c r="I683"/>
    </row>
    <row r="684" spans="1:9" ht="15" x14ac:dyDescent="0.25">
      <c r="A684"/>
      <c r="B684"/>
      <c r="C684"/>
      <c r="D684"/>
      <c r="E684"/>
      <c r="F684"/>
      <c r="G684" s="29"/>
      <c r="H684"/>
      <c r="I684"/>
    </row>
    <row r="685" spans="1:9" ht="15" x14ac:dyDescent="0.25">
      <c r="A685"/>
      <c r="B685"/>
      <c r="C685"/>
      <c r="D685"/>
      <c r="E685"/>
      <c r="F685"/>
      <c r="G685" s="29"/>
      <c r="H685"/>
      <c r="I685"/>
    </row>
    <row r="686" spans="1:9" ht="15" x14ac:dyDescent="0.25">
      <c r="A686"/>
      <c r="B686"/>
      <c r="C686"/>
      <c r="D686"/>
      <c r="E686"/>
      <c r="F686"/>
      <c r="G686" s="29"/>
      <c r="H686"/>
      <c r="I686"/>
    </row>
    <row r="687" spans="1:9" ht="15" x14ac:dyDescent="0.25">
      <c r="A687"/>
      <c r="B687"/>
      <c r="C687"/>
      <c r="D687"/>
      <c r="E687"/>
      <c r="F687"/>
      <c r="G687" s="29"/>
      <c r="H687"/>
      <c r="I687"/>
    </row>
    <row r="688" spans="1:9" ht="15" x14ac:dyDescent="0.25">
      <c r="A688"/>
      <c r="B688"/>
      <c r="C688"/>
      <c r="D688"/>
      <c r="E688"/>
      <c r="F688"/>
      <c r="G688" s="29"/>
      <c r="H688"/>
      <c r="I688"/>
    </row>
    <row r="689" spans="1:9" ht="15" x14ac:dyDescent="0.25">
      <c r="A689"/>
      <c r="B689"/>
      <c r="C689"/>
      <c r="D689"/>
      <c r="E689"/>
      <c r="F689"/>
      <c r="G689" s="29"/>
      <c r="H689"/>
      <c r="I689"/>
    </row>
    <row r="690" spans="1:9" ht="15" x14ac:dyDescent="0.25">
      <c r="A690"/>
      <c r="B690"/>
      <c r="C690"/>
      <c r="D690"/>
      <c r="E690"/>
      <c r="F690"/>
      <c r="G690" s="29"/>
      <c r="H690"/>
      <c r="I690"/>
    </row>
    <row r="691" spans="1:9" ht="15" x14ac:dyDescent="0.25">
      <c r="A691"/>
      <c r="B691"/>
      <c r="C691"/>
      <c r="D691"/>
      <c r="E691"/>
      <c r="F691"/>
      <c r="G691" s="29"/>
      <c r="H691"/>
      <c r="I691"/>
    </row>
    <row r="692" spans="1:9" ht="15" x14ac:dyDescent="0.25">
      <c r="A692"/>
      <c r="B692"/>
      <c r="C692"/>
      <c r="D692"/>
      <c r="E692"/>
      <c r="F692"/>
      <c r="G692" s="29"/>
      <c r="H692"/>
      <c r="I692"/>
    </row>
    <row r="693" spans="1:9" ht="15" x14ac:dyDescent="0.25">
      <c r="A693"/>
      <c r="B693"/>
      <c r="C693"/>
      <c r="D693"/>
      <c r="E693"/>
      <c r="F693"/>
      <c r="G693" s="29"/>
      <c r="H693"/>
      <c r="I693"/>
    </row>
    <row r="694" spans="1:9" ht="15" x14ac:dyDescent="0.25">
      <c r="A694"/>
      <c r="B694"/>
      <c r="C694"/>
      <c r="D694"/>
      <c r="E694"/>
      <c r="F694"/>
      <c r="G694" s="29"/>
      <c r="H694"/>
      <c r="I694"/>
    </row>
    <row r="695" spans="1:9" ht="15" x14ac:dyDescent="0.25">
      <c r="A695"/>
      <c r="B695"/>
      <c r="C695"/>
      <c r="D695"/>
      <c r="E695"/>
      <c r="F695"/>
      <c r="G695" s="29"/>
      <c r="H695"/>
      <c r="I695"/>
    </row>
    <row r="696" spans="1:9" ht="15" x14ac:dyDescent="0.25">
      <c r="A696"/>
      <c r="B696"/>
      <c r="C696"/>
      <c r="D696"/>
      <c r="E696"/>
      <c r="F696"/>
      <c r="G696" s="29"/>
      <c r="H696"/>
      <c r="I696"/>
    </row>
    <row r="697" spans="1:9" ht="15" x14ac:dyDescent="0.25">
      <c r="A697"/>
      <c r="B697"/>
      <c r="C697"/>
      <c r="D697"/>
      <c r="E697"/>
      <c r="F697"/>
      <c r="G697" s="29"/>
      <c r="H697"/>
      <c r="I697"/>
    </row>
    <row r="698" spans="1:9" ht="15" x14ac:dyDescent="0.25">
      <c r="A698"/>
      <c r="B698"/>
      <c r="C698"/>
      <c r="D698"/>
      <c r="E698"/>
      <c r="F698"/>
      <c r="G698" s="29"/>
      <c r="H698"/>
      <c r="I698"/>
    </row>
    <row r="699" spans="1:9" ht="15" x14ac:dyDescent="0.25">
      <c r="A699"/>
      <c r="B699"/>
      <c r="C699"/>
      <c r="D699"/>
      <c r="E699"/>
      <c r="F699"/>
      <c r="G699" s="29"/>
      <c r="H699"/>
      <c r="I699"/>
    </row>
    <row r="700" spans="1:9" ht="15" x14ac:dyDescent="0.25">
      <c r="A700"/>
      <c r="B700"/>
      <c r="C700"/>
      <c r="D700"/>
      <c r="E700"/>
      <c r="F700"/>
      <c r="G700" s="29"/>
      <c r="H700"/>
      <c r="I700"/>
    </row>
    <row r="701" spans="1:9" ht="15" x14ac:dyDescent="0.25">
      <c r="A701"/>
      <c r="B701"/>
      <c r="C701"/>
      <c r="D701"/>
      <c r="E701"/>
      <c r="F701"/>
      <c r="G701" s="29"/>
      <c r="H701"/>
      <c r="I701"/>
    </row>
    <row r="702" spans="1:9" ht="15" x14ac:dyDescent="0.25">
      <c r="A702"/>
      <c r="B702"/>
      <c r="C702"/>
      <c r="D702"/>
      <c r="E702"/>
      <c r="F702"/>
      <c r="G702" s="29"/>
      <c r="H702"/>
      <c r="I702"/>
    </row>
    <row r="703" spans="1:9" ht="15" x14ac:dyDescent="0.25">
      <c r="A703"/>
      <c r="B703"/>
      <c r="C703"/>
      <c r="D703"/>
      <c r="E703"/>
      <c r="F703"/>
      <c r="G703" s="29"/>
      <c r="H703"/>
      <c r="I703"/>
    </row>
    <row r="704" spans="1:9" ht="15" x14ac:dyDescent="0.25">
      <c r="A704"/>
      <c r="B704"/>
      <c r="C704"/>
      <c r="D704"/>
      <c r="E704"/>
      <c r="F704"/>
      <c r="G704" s="29"/>
      <c r="H704"/>
      <c r="I704"/>
    </row>
    <row r="705" spans="1:9" ht="15" x14ac:dyDescent="0.25">
      <c r="A705"/>
      <c r="B705"/>
      <c r="C705"/>
      <c r="D705"/>
      <c r="E705"/>
      <c r="F705"/>
      <c r="G705" s="29"/>
      <c r="H705"/>
      <c r="I705"/>
    </row>
    <row r="706" spans="1:9" ht="15" x14ac:dyDescent="0.25">
      <c r="A706"/>
      <c r="B706"/>
      <c r="C706"/>
      <c r="D706"/>
      <c r="E706"/>
      <c r="F706"/>
      <c r="G706" s="29"/>
      <c r="H706"/>
      <c r="I706"/>
    </row>
    <row r="707" spans="1:9" ht="15" x14ac:dyDescent="0.25">
      <c r="A707"/>
      <c r="B707"/>
      <c r="C707"/>
      <c r="D707"/>
      <c r="E707"/>
      <c r="F707"/>
      <c r="G707" s="29"/>
      <c r="H707"/>
      <c r="I707"/>
    </row>
    <row r="708" spans="1:9" ht="15" x14ac:dyDescent="0.25">
      <c r="A708"/>
      <c r="B708"/>
      <c r="C708"/>
      <c r="D708"/>
      <c r="E708"/>
      <c r="F708"/>
      <c r="G708" s="29"/>
      <c r="H708"/>
      <c r="I708"/>
    </row>
    <row r="709" spans="1:9" ht="15" x14ac:dyDescent="0.25">
      <c r="A709"/>
      <c r="B709"/>
      <c r="C709"/>
      <c r="D709"/>
      <c r="E709"/>
      <c r="F709"/>
      <c r="G709" s="29"/>
      <c r="H709"/>
      <c r="I709"/>
    </row>
    <row r="710" spans="1:9" ht="15" x14ac:dyDescent="0.25">
      <c r="A710"/>
      <c r="B710"/>
      <c r="C710"/>
      <c r="D710"/>
      <c r="E710"/>
      <c r="F710"/>
      <c r="G710" s="29"/>
      <c r="H710"/>
      <c r="I710"/>
    </row>
    <row r="711" spans="1:9" ht="15" x14ac:dyDescent="0.25">
      <c r="A711"/>
      <c r="B711"/>
      <c r="C711"/>
      <c r="D711"/>
      <c r="E711"/>
      <c r="F711"/>
      <c r="G711" s="29"/>
      <c r="H711"/>
      <c r="I711"/>
    </row>
    <row r="712" spans="1:9" ht="15" x14ac:dyDescent="0.25">
      <c r="A712"/>
      <c r="B712"/>
      <c r="C712"/>
      <c r="D712"/>
      <c r="E712"/>
      <c r="F712"/>
      <c r="G712" s="29"/>
      <c r="H712"/>
      <c r="I712"/>
    </row>
    <row r="713" spans="1:9" ht="15" x14ac:dyDescent="0.25">
      <c r="A713"/>
      <c r="B713"/>
      <c r="C713"/>
      <c r="D713"/>
      <c r="E713"/>
      <c r="F713"/>
      <c r="G713" s="29"/>
      <c r="H713"/>
      <c r="I713"/>
    </row>
    <row r="714" spans="1:9" ht="15" x14ac:dyDescent="0.25">
      <c r="A714"/>
      <c r="B714"/>
      <c r="C714"/>
      <c r="D714"/>
      <c r="E714"/>
      <c r="F714" s="28"/>
      <c r="G714" s="29"/>
      <c r="H714"/>
      <c r="I714"/>
    </row>
    <row r="715" spans="1:9" ht="15" x14ac:dyDescent="0.25">
      <c r="A715"/>
      <c r="B715"/>
      <c r="C715"/>
      <c r="D715"/>
      <c r="E715"/>
      <c r="F715" s="28"/>
      <c r="G715" s="29"/>
      <c r="H715"/>
      <c r="I715"/>
    </row>
    <row r="716" spans="1:9" ht="15" x14ac:dyDescent="0.25">
      <c r="A716"/>
      <c r="B716"/>
      <c r="C716"/>
      <c r="D716"/>
      <c r="E716"/>
      <c r="F716" s="28"/>
      <c r="G716" s="29"/>
      <c r="H716"/>
      <c r="I716"/>
    </row>
    <row r="717" spans="1:9" ht="15" x14ac:dyDescent="0.25">
      <c r="A717"/>
      <c r="B717"/>
      <c r="C717"/>
      <c r="D717"/>
      <c r="E717"/>
      <c r="F717" s="28"/>
      <c r="G717" s="29"/>
      <c r="H717"/>
      <c r="I717"/>
    </row>
    <row r="718" spans="1:9" ht="15" x14ac:dyDescent="0.25">
      <c r="A718"/>
      <c r="B718"/>
      <c r="C718"/>
      <c r="D718"/>
      <c r="E718"/>
      <c r="F718" s="28"/>
      <c r="G718" s="29"/>
      <c r="H718"/>
      <c r="I718"/>
    </row>
    <row r="719" spans="1:9" ht="15" x14ac:dyDescent="0.25">
      <c r="A719"/>
      <c r="B719"/>
      <c r="C719"/>
      <c r="D719"/>
      <c r="E719"/>
      <c r="F719" s="28"/>
      <c r="G719" s="29"/>
      <c r="H719"/>
      <c r="I719"/>
    </row>
    <row r="720" spans="1:9" ht="15" x14ac:dyDescent="0.25">
      <c r="A720"/>
      <c r="B720"/>
      <c r="C720"/>
      <c r="D720"/>
      <c r="E720"/>
      <c r="F720" s="28"/>
      <c r="G720" s="29"/>
      <c r="H720"/>
      <c r="I720"/>
    </row>
    <row r="721" spans="1:9" ht="15" x14ac:dyDescent="0.25">
      <c r="A721"/>
      <c r="B721"/>
      <c r="C721"/>
      <c r="D721"/>
      <c r="E721"/>
      <c r="F721" s="28"/>
      <c r="G721" s="29"/>
      <c r="H721"/>
      <c r="I721"/>
    </row>
    <row r="722" spans="1:9" ht="15" x14ac:dyDescent="0.25">
      <c r="A722"/>
      <c r="B722"/>
      <c r="C722"/>
      <c r="D722"/>
      <c r="E722"/>
      <c r="F722" s="28"/>
      <c r="G722" s="29"/>
      <c r="H722"/>
      <c r="I722"/>
    </row>
    <row r="723" spans="1:9" ht="15" x14ac:dyDescent="0.25">
      <c r="A723"/>
      <c r="B723"/>
      <c r="C723"/>
      <c r="D723"/>
      <c r="E723"/>
      <c r="F723" s="28"/>
      <c r="G723" s="29"/>
      <c r="H723"/>
      <c r="I723"/>
    </row>
    <row r="724" spans="1:9" ht="15" x14ac:dyDescent="0.25">
      <c r="A724"/>
      <c r="B724"/>
      <c r="C724"/>
      <c r="D724"/>
      <c r="E724"/>
      <c r="F724" s="28"/>
      <c r="G724" s="29"/>
      <c r="H724"/>
      <c r="I724"/>
    </row>
    <row r="725" spans="1:9" ht="15" x14ac:dyDescent="0.25">
      <c r="A725"/>
      <c r="B725"/>
      <c r="C725"/>
      <c r="D725"/>
      <c r="E725"/>
      <c r="F725" s="28"/>
      <c r="G725" s="29"/>
      <c r="H725"/>
      <c r="I725"/>
    </row>
    <row r="726" spans="1:9" ht="15" x14ac:dyDescent="0.25">
      <c r="A726"/>
      <c r="B726"/>
      <c r="C726"/>
      <c r="D726"/>
      <c r="E726"/>
      <c r="F726" s="28"/>
      <c r="G726" s="29"/>
      <c r="H726"/>
      <c r="I726"/>
    </row>
    <row r="727" spans="1:9" ht="15" x14ac:dyDescent="0.25">
      <c r="A727"/>
      <c r="B727"/>
      <c r="C727"/>
      <c r="D727"/>
      <c r="E727"/>
      <c r="F727" s="28"/>
      <c r="G727" s="29"/>
      <c r="H727"/>
      <c r="I727"/>
    </row>
    <row r="728" spans="1:9" ht="15" x14ac:dyDescent="0.25">
      <c r="A728"/>
      <c r="B728"/>
      <c r="C728"/>
      <c r="D728"/>
      <c r="E728"/>
      <c r="F728" s="28"/>
      <c r="G728" s="29"/>
      <c r="H728"/>
      <c r="I728"/>
    </row>
    <row r="729" spans="1:9" ht="15" x14ac:dyDescent="0.25">
      <c r="A729"/>
      <c r="B729"/>
      <c r="C729"/>
      <c r="D729"/>
      <c r="E729"/>
      <c r="F729" s="28"/>
      <c r="G729" s="29"/>
      <c r="H729"/>
      <c r="I729"/>
    </row>
    <row r="730" spans="1:9" ht="15" x14ac:dyDescent="0.25">
      <c r="A730"/>
      <c r="B730"/>
      <c r="C730"/>
      <c r="D730"/>
      <c r="E730"/>
      <c r="F730" s="28"/>
      <c r="G730" s="29"/>
      <c r="H730"/>
      <c r="I730"/>
    </row>
    <row r="731" spans="1:9" ht="15" x14ac:dyDescent="0.25">
      <c r="A731"/>
      <c r="B731"/>
      <c r="C731"/>
      <c r="D731"/>
      <c r="E731"/>
      <c r="F731" s="28"/>
      <c r="G731" s="29"/>
      <c r="H731"/>
      <c r="I731"/>
    </row>
    <row r="732" spans="1:9" ht="15" x14ac:dyDescent="0.25">
      <c r="A732"/>
      <c r="B732"/>
      <c r="C732"/>
      <c r="D732"/>
      <c r="E732"/>
      <c r="F732" s="28"/>
      <c r="G732" s="29"/>
      <c r="H732"/>
      <c r="I732"/>
    </row>
    <row r="733" spans="1:9" ht="15" x14ac:dyDescent="0.25">
      <c r="A733"/>
      <c r="B733"/>
      <c r="C733"/>
      <c r="D733"/>
      <c r="E733"/>
      <c r="F733" s="28"/>
      <c r="G733" s="29"/>
      <c r="H733"/>
      <c r="I733"/>
    </row>
    <row r="734" spans="1:9" ht="15" x14ac:dyDescent="0.25">
      <c r="A734"/>
      <c r="B734"/>
      <c r="C734"/>
      <c r="D734"/>
      <c r="E734"/>
      <c r="F734" s="28"/>
      <c r="G734" s="29"/>
      <c r="H734"/>
      <c r="I734"/>
    </row>
    <row r="735" spans="1:9" ht="15" x14ac:dyDescent="0.25">
      <c r="A735"/>
      <c r="B735"/>
      <c r="C735"/>
      <c r="D735"/>
      <c r="E735"/>
      <c r="F735" s="28"/>
      <c r="G735" s="29"/>
      <c r="H735"/>
      <c r="I735"/>
    </row>
    <row r="736" spans="1:9" ht="15" x14ac:dyDescent="0.25">
      <c r="A736"/>
      <c r="B736"/>
      <c r="C736"/>
      <c r="D736"/>
      <c r="E736"/>
      <c r="F736" s="28"/>
      <c r="G736" s="29"/>
      <c r="H736"/>
      <c r="I736"/>
    </row>
    <row r="737" spans="1:9" ht="15" x14ac:dyDescent="0.25">
      <c r="A737"/>
      <c r="B737"/>
      <c r="C737"/>
      <c r="D737"/>
      <c r="E737"/>
      <c r="F737" s="28"/>
      <c r="G737" s="29"/>
      <c r="H737"/>
      <c r="I737"/>
    </row>
    <row r="738" spans="1:9" ht="15" x14ac:dyDescent="0.25">
      <c r="A738"/>
      <c r="B738"/>
      <c r="C738"/>
      <c r="D738"/>
      <c r="E738"/>
      <c r="F738" s="28"/>
      <c r="G738" s="29"/>
      <c r="H738"/>
      <c r="I738"/>
    </row>
    <row r="739" spans="1:9" ht="15" x14ac:dyDescent="0.25">
      <c r="A739"/>
      <c r="B739"/>
      <c r="C739"/>
      <c r="D739"/>
      <c r="E739"/>
      <c r="F739" s="28"/>
      <c r="G739" s="29"/>
      <c r="H739"/>
      <c r="I739"/>
    </row>
    <row r="740" spans="1:9" ht="15" x14ac:dyDescent="0.25">
      <c r="A740"/>
      <c r="B740"/>
      <c r="C740"/>
      <c r="D740"/>
      <c r="E740"/>
      <c r="F740" s="28"/>
      <c r="G740" s="29"/>
      <c r="H740"/>
      <c r="I740"/>
    </row>
    <row r="741" spans="1:9" ht="15" x14ac:dyDescent="0.25">
      <c r="A741"/>
      <c r="B741"/>
      <c r="C741"/>
      <c r="D741"/>
      <c r="E741"/>
      <c r="F741" s="28"/>
      <c r="G741" s="29"/>
      <c r="H741"/>
      <c r="I741"/>
    </row>
    <row r="742" spans="1:9" ht="15" x14ac:dyDescent="0.25">
      <c r="A742"/>
      <c r="B742"/>
      <c r="C742"/>
      <c r="D742"/>
      <c r="E742"/>
      <c r="F742" s="28"/>
      <c r="G742" s="29"/>
      <c r="H742"/>
      <c r="I742"/>
    </row>
    <row r="743" spans="1:9" ht="15" x14ac:dyDescent="0.25">
      <c r="A743"/>
      <c r="B743"/>
      <c r="C743"/>
      <c r="D743"/>
      <c r="E743"/>
      <c r="F743" s="28"/>
      <c r="G743" s="29"/>
      <c r="H743"/>
      <c r="I743"/>
    </row>
    <row r="744" spans="1:9" ht="15" x14ac:dyDescent="0.25">
      <c r="A744"/>
      <c r="B744"/>
      <c r="C744"/>
      <c r="D744"/>
      <c r="E744"/>
      <c r="F744" s="28"/>
      <c r="G744" s="29"/>
      <c r="H744"/>
      <c r="I744"/>
    </row>
    <row r="745" spans="1:9" ht="15" x14ac:dyDescent="0.25">
      <c r="A745"/>
      <c r="B745"/>
      <c r="C745"/>
      <c r="D745"/>
      <c r="E745"/>
      <c r="F745" s="28"/>
      <c r="G745" s="29"/>
      <c r="H745"/>
      <c r="I745"/>
    </row>
    <row r="746" spans="1:9" ht="15" x14ac:dyDescent="0.25">
      <c r="A746"/>
      <c r="B746"/>
      <c r="C746"/>
      <c r="D746"/>
      <c r="E746"/>
      <c r="F746" s="28"/>
      <c r="G746" s="29"/>
      <c r="H746"/>
      <c r="I746"/>
    </row>
    <row r="747" spans="1:9" ht="15" x14ac:dyDescent="0.25">
      <c r="A747"/>
      <c r="B747"/>
      <c r="C747"/>
      <c r="D747"/>
      <c r="E747"/>
      <c r="F747" s="28"/>
      <c r="G747" s="29"/>
      <c r="H747"/>
      <c r="I747"/>
    </row>
    <row r="748" spans="1:9" ht="15" x14ac:dyDescent="0.25">
      <c r="A748"/>
      <c r="B748"/>
      <c r="C748"/>
      <c r="D748"/>
      <c r="E748"/>
      <c r="F748" s="28"/>
      <c r="G748" s="29"/>
      <c r="H748"/>
      <c r="I748"/>
    </row>
    <row r="749" spans="1:9" ht="15" x14ac:dyDescent="0.25">
      <c r="A749"/>
      <c r="B749"/>
      <c r="C749"/>
      <c r="D749"/>
      <c r="E749"/>
      <c r="F749" s="28"/>
      <c r="G749" s="29"/>
      <c r="H749"/>
      <c r="I749"/>
    </row>
    <row r="750" spans="1:9" ht="15" x14ac:dyDescent="0.25">
      <c r="A750"/>
      <c r="B750"/>
      <c r="C750"/>
      <c r="D750"/>
      <c r="E750"/>
      <c r="F750" s="28"/>
      <c r="G750" s="29"/>
      <c r="H750"/>
      <c r="I750"/>
    </row>
    <row r="751" spans="1:9" ht="15" x14ac:dyDescent="0.25">
      <c r="A751"/>
      <c r="B751"/>
      <c r="C751"/>
      <c r="D751"/>
      <c r="E751"/>
      <c r="F751" s="28"/>
      <c r="G751" s="29"/>
      <c r="H751"/>
      <c r="I751"/>
    </row>
    <row r="752" spans="1:9" ht="15" x14ac:dyDescent="0.25">
      <c r="A752"/>
      <c r="B752"/>
      <c r="C752"/>
      <c r="D752"/>
      <c r="E752"/>
      <c r="F752" s="28"/>
      <c r="G752" s="29"/>
      <c r="H752"/>
      <c r="I752"/>
    </row>
    <row r="753" spans="1:9" ht="15" x14ac:dyDescent="0.25">
      <c r="A753"/>
      <c r="B753"/>
      <c r="C753"/>
      <c r="D753"/>
      <c r="E753"/>
      <c r="F753" s="28"/>
      <c r="G753" s="29"/>
      <c r="H753"/>
      <c r="I753"/>
    </row>
    <row r="754" spans="1:9" ht="15" x14ac:dyDescent="0.25">
      <c r="A754"/>
      <c r="B754"/>
      <c r="C754"/>
      <c r="D754"/>
      <c r="E754"/>
      <c r="F754" s="28"/>
      <c r="G754" s="29"/>
      <c r="H754"/>
      <c r="I754"/>
    </row>
    <row r="755" spans="1:9" ht="15" x14ac:dyDescent="0.25">
      <c r="A755"/>
      <c r="B755"/>
      <c r="C755"/>
      <c r="D755"/>
      <c r="E755"/>
      <c r="F755" s="28"/>
      <c r="G755" s="29"/>
      <c r="H755"/>
      <c r="I755"/>
    </row>
    <row r="756" spans="1:9" ht="15" x14ac:dyDescent="0.25">
      <c r="A756"/>
      <c r="B756"/>
      <c r="C756"/>
      <c r="D756"/>
      <c r="E756"/>
      <c r="F756" s="28"/>
      <c r="G756" s="29"/>
      <c r="H756"/>
      <c r="I756"/>
    </row>
    <row r="757" spans="1:9" ht="15" x14ac:dyDescent="0.25">
      <c r="A757"/>
      <c r="B757"/>
      <c r="C757"/>
      <c r="D757"/>
      <c r="E757"/>
      <c r="F757" s="28"/>
      <c r="G757" s="29"/>
      <c r="H757"/>
      <c r="I757"/>
    </row>
    <row r="758" spans="1:9" ht="15" x14ac:dyDescent="0.25">
      <c r="A758"/>
      <c r="B758"/>
      <c r="C758"/>
      <c r="D758"/>
      <c r="E758"/>
      <c r="F758" s="28"/>
      <c r="G758" s="29"/>
      <c r="H758"/>
      <c r="I758"/>
    </row>
    <row r="759" spans="1:9" ht="15" x14ac:dyDescent="0.25">
      <c r="A759"/>
      <c r="B759"/>
      <c r="C759"/>
      <c r="D759"/>
      <c r="E759"/>
      <c r="F759" s="28"/>
      <c r="G759" s="29"/>
      <c r="H759"/>
      <c r="I759"/>
    </row>
    <row r="760" spans="1:9" ht="15" x14ac:dyDescent="0.25">
      <c r="A760"/>
      <c r="B760"/>
      <c r="C760"/>
      <c r="D760"/>
      <c r="E760"/>
      <c r="F760" s="28"/>
      <c r="G760" s="29"/>
      <c r="H760"/>
      <c r="I760"/>
    </row>
    <row r="761" spans="1:9" ht="15" x14ac:dyDescent="0.25">
      <c r="A761"/>
      <c r="B761"/>
      <c r="C761"/>
      <c r="D761"/>
      <c r="E761"/>
      <c r="F761" s="28"/>
      <c r="G761" s="29"/>
      <c r="H761"/>
      <c r="I761"/>
    </row>
    <row r="762" spans="1:9" ht="15" x14ac:dyDescent="0.25">
      <c r="A762"/>
      <c r="B762"/>
      <c r="C762"/>
      <c r="D762"/>
      <c r="E762"/>
      <c r="F762" s="28"/>
      <c r="G762" s="29"/>
      <c r="H762"/>
      <c r="I762"/>
    </row>
    <row r="763" spans="1:9" ht="15" x14ac:dyDescent="0.25">
      <c r="A763"/>
      <c r="B763"/>
      <c r="C763"/>
      <c r="D763"/>
      <c r="E763"/>
      <c r="F763" s="28"/>
      <c r="G763" s="29"/>
      <c r="H763"/>
      <c r="I763"/>
    </row>
    <row r="764" spans="1:9" ht="15" x14ac:dyDescent="0.25">
      <c r="A764"/>
      <c r="B764"/>
      <c r="C764"/>
      <c r="D764"/>
      <c r="E764"/>
      <c r="F764" s="28"/>
      <c r="G764" s="29"/>
      <c r="H764"/>
      <c r="I764"/>
    </row>
    <row r="765" spans="1:9" ht="15" x14ac:dyDescent="0.25">
      <c r="A765"/>
      <c r="B765"/>
      <c r="C765"/>
      <c r="D765"/>
      <c r="E765"/>
      <c r="F765" s="28"/>
      <c r="G765" s="29"/>
      <c r="H765"/>
      <c r="I765"/>
    </row>
    <row r="766" spans="1:9" ht="15" x14ac:dyDescent="0.25">
      <c r="A766"/>
      <c r="B766"/>
      <c r="C766"/>
      <c r="D766"/>
      <c r="E766"/>
      <c r="F766" s="28"/>
      <c r="G766" s="29"/>
      <c r="H766"/>
      <c r="I766"/>
    </row>
    <row r="767" spans="1:9" ht="15" x14ac:dyDescent="0.25">
      <c r="A767"/>
      <c r="B767"/>
      <c r="C767"/>
      <c r="D767"/>
      <c r="E767"/>
      <c r="F767" s="28"/>
      <c r="G767" s="29"/>
      <c r="H767"/>
      <c r="I767"/>
    </row>
    <row r="768" spans="1:9" ht="15" x14ac:dyDescent="0.25">
      <c r="A768"/>
      <c r="B768"/>
      <c r="C768"/>
      <c r="D768"/>
      <c r="E768"/>
      <c r="F768" s="28"/>
      <c r="G768" s="29"/>
      <c r="H768"/>
      <c r="I768"/>
    </row>
    <row r="769" spans="1:9" ht="15" x14ac:dyDescent="0.25">
      <c r="A769"/>
      <c r="B769"/>
      <c r="C769"/>
      <c r="D769"/>
      <c r="E769"/>
      <c r="F769" s="28"/>
      <c r="G769" s="29"/>
      <c r="H769"/>
      <c r="I769"/>
    </row>
    <row r="770" spans="1:9" ht="15" x14ac:dyDescent="0.25">
      <c r="A770"/>
      <c r="B770"/>
      <c r="C770"/>
      <c r="D770"/>
      <c r="E770"/>
      <c r="F770" s="28"/>
      <c r="G770" s="29"/>
      <c r="H770"/>
      <c r="I770"/>
    </row>
    <row r="771" spans="1:9" ht="15" x14ac:dyDescent="0.25">
      <c r="A771"/>
      <c r="B771"/>
      <c r="C771"/>
      <c r="D771"/>
      <c r="E771"/>
      <c r="F771" s="28"/>
      <c r="G771" s="29"/>
      <c r="H771"/>
      <c r="I771"/>
    </row>
    <row r="772" spans="1:9" ht="15" x14ac:dyDescent="0.25">
      <c r="A772"/>
      <c r="B772"/>
      <c r="C772"/>
      <c r="D772"/>
      <c r="E772"/>
      <c r="F772" s="28"/>
      <c r="G772" s="29"/>
      <c r="H772"/>
      <c r="I772"/>
    </row>
    <row r="773" spans="1:9" ht="15" x14ac:dyDescent="0.25">
      <c r="A773"/>
      <c r="B773"/>
      <c r="C773"/>
      <c r="D773"/>
      <c r="E773"/>
      <c r="F773" s="28"/>
      <c r="G773" s="29"/>
      <c r="H773"/>
      <c r="I773"/>
    </row>
    <row r="774" spans="1:9" ht="15" x14ac:dyDescent="0.25">
      <c r="A774"/>
      <c r="B774"/>
      <c r="C774"/>
      <c r="D774"/>
      <c r="E774"/>
      <c r="F774" s="28"/>
      <c r="G774" s="29"/>
      <c r="H774"/>
      <c r="I774"/>
    </row>
    <row r="775" spans="1:9" ht="15" x14ac:dyDescent="0.25">
      <c r="A775"/>
      <c r="B775"/>
      <c r="C775"/>
      <c r="D775"/>
      <c r="E775"/>
      <c r="F775" s="28"/>
      <c r="G775" s="29"/>
      <c r="H775"/>
      <c r="I775"/>
    </row>
    <row r="776" spans="1:9" ht="15" x14ac:dyDescent="0.25">
      <c r="A776"/>
      <c r="B776"/>
      <c r="C776"/>
      <c r="D776"/>
      <c r="E776"/>
      <c r="F776" s="28"/>
      <c r="G776" s="29"/>
      <c r="H776"/>
      <c r="I776"/>
    </row>
    <row r="777" spans="1:9" ht="15" x14ac:dyDescent="0.25">
      <c r="A777"/>
      <c r="B777"/>
      <c r="C777"/>
      <c r="D777"/>
      <c r="E777"/>
      <c r="F777" s="28"/>
      <c r="G777" s="29"/>
      <c r="H777"/>
      <c r="I777"/>
    </row>
    <row r="778" spans="1:9" ht="15" x14ac:dyDescent="0.25">
      <c r="A778"/>
      <c r="B778"/>
      <c r="C778"/>
      <c r="D778"/>
      <c r="E778"/>
      <c r="F778" s="28"/>
      <c r="G778" s="29"/>
      <c r="H778"/>
      <c r="I778"/>
    </row>
    <row r="779" spans="1:9" ht="15" x14ac:dyDescent="0.25">
      <c r="A779"/>
      <c r="B779"/>
      <c r="C779"/>
      <c r="D779"/>
      <c r="E779"/>
      <c r="F779" s="28"/>
      <c r="G779" s="29"/>
      <c r="H779"/>
      <c r="I779"/>
    </row>
    <row r="780" spans="1:9" ht="15" x14ac:dyDescent="0.25">
      <c r="A780"/>
      <c r="B780"/>
      <c r="C780"/>
      <c r="D780"/>
      <c r="E780"/>
      <c r="F780" s="28"/>
      <c r="G780" s="29"/>
      <c r="H780"/>
      <c r="I780"/>
    </row>
    <row r="781" spans="1:9" ht="15" x14ac:dyDescent="0.25">
      <c r="A781"/>
      <c r="B781"/>
      <c r="C781"/>
      <c r="D781"/>
      <c r="E781"/>
      <c r="F781" s="28"/>
      <c r="G781" s="29"/>
      <c r="H781"/>
      <c r="I781"/>
    </row>
    <row r="782" spans="1:9" ht="15" x14ac:dyDescent="0.25">
      <c r="A782"/>
      <c r="B782"/>
      <c r="C782"/>
      <c r="D782"/>
      <c r="E782"/>
      <c r="F782" s="28"/>
      <c r="G782" s="29"/>
      <c r="H782"/>
      <c r="I782"/>
    </row>
    <row r="783" spans="1:9" ht="15" x14ac:dyDescent="0.25">
      <c r="A783"/>
      <c r="B783"/>
      <c r="C783"/>
      <c r="D783"/>
      <c r="E783"/>
      <c r="F783" s="28"/>
      <c r="G783" s="29"/>
      <c r="H783"/>
      <c r="I783"/>
    </row>
    <row r="784" spans="1:9" ht="15" x14ac:dyDescent="0.25">
      <c r="A784"/>
      <c r="B784"/>
      <c r="C784"/>
      <c r="D784"/>
      <c r="E784"/>
      <c r="F784" s="28"/>
      <c r="G784" s="29"/>
      <c r="H784"/>
      <c r="I784"/>
    </row>
    <row r="785" spans="1:9" ht="15" x14ac:dyDescent="0.25">
      <c r="A785"/>
      <c r="B785"/>
      <c r="C785"/>
      <c r="D785"/>
      <c r="E785"/>
      <c r="F785" s="28"/>
      <c r="G785" s="29"/>
      <c r="H785"/>
      <c r="I785"/>
    </row>
    <row r="786" spans="1:9" ht="15" x14ac:dyDescent="0.25">
      <c r="A786"/>
      <c r="B786"/>
      <c r="C786"/>
      <c r="D786"/>
      <c r="E786"/>
      <c r="F786" s="28"/>
      <c r="G786" s="29"/>
      <c r="H786"/>
      <c r="I786"/>
    </row>
    <row r="787" spans="1:9" ht="15" x14ac:dyDescent="0.25">
      <c r="A787"/>
      <c r="B787"/>
      <c r="C787"/>
      <c r="D787"/>
      <c r="E787"/>
      <c r="F787" s="28"/>
      <c r="G787" s="29"/>
      <c r="H787"/>
      <c r="I787"/>
    </row>
    <row r="788" spans="1:9" ht="15" x14ac:dyDescent="0.25">
      <c r="A788"/>
      <c r="B788"/>
      <c r="C788"/>
      <c r="D788"/>
      <c r="E788"/>
      <c r="F788" s="28"/>
      <c r="G788" s="29"/>
      <c r="H788"/>
      <c r="I788"/>
    </row>
    <row r="789" spans="1:9" ht="15" x14ac:dyDescent="0.25">
      <c r="A789"/>
      <c r="B789"/>
      <c r="C789"/>
      <c r="D789"/>
      <c r="E789"/>
      <c r="F789" s="28"/>
      <c r="G789" s="29"/>
      <c r="H789"/>
      <c r="I789"/>
    </row>
    <row r="790" spans="1:9" ht="15" x14ac:dyDescent="0.25">
      <c r="A790"/>
      <c r="B790"/>
      <c r="C790"/>
      <c r="D790"/>
      <c r="E790"/>
      <c r="F790" s="28"/>
      <c r="G790" s="29"/>
      <c r="H790"/>
      <c r="I790"/>
    </row>
    <row r="791" spans="1:9" ht="15" x14ac:dyDescent="0.25">
      <c r="A791"/>
      <c r="B791"/>
      <c r="C791"/>
      <c r="D791"/>
      <c r="E791"/>
      <c r="F791" s="28"/>
      <c r="G791" s="29"/>
      <c r="H791"/>
      <c r="I791"/>
    </row>
    <row r="792" spans="1:9" ht="15" x14ac:dyDescent="0.25">
      <c r="A792"/>
      <c r="B792"/>
      <c r="C792"/>
      <c r="D792"/>
      <c r="E792"/>
      <c r="F792" s="28"/>
      <c r="G792" s="29"/>
      <c r="H792"/>
      <c r="I792"/>
    </row>
    <row r="793" spans="1:9" ht="15" x14ac:dyDescent="0.25">
      <c r="A793"/>
      <c r="B793"/>
      <c r="C793"/>
      <c r="D793"/>
      <c r="E793"/>
      <c r="F793" s="28"/>
      <c r="G793" s="29"/>
      <c r="H793"/>
      <c r="I793"/>
    </row>
    <row r="794" spans="1:9" ht="15" x14ac:dyDescent="0.25">
      <c r="A794"/>
      <c r="B794"/>
      <c r="C794"/>
      <c r="D794"/>
      <c r="E794"/>
      <c r="F794" s="28"/>
      <c r="G794"/>
      <c r="H794"/>
      <c r="I794"/>
    </row>
    <row r="795" spans="1:9" ht="15" x14ac:dyDescent="0.25">
      <c r="A795"/>
      <c r="B795"/>
      <c r="C795"/>
      <c r="D795"/>
      <c r="E795"/>
      <c r="F795"/>
      <c r="G795"/>
      <c r="H795"/>
      <c r="I795"/>
    </row>
    <row r="796" spans="1:9" ht="15" x14ac:dyDescent="0.25">
      <c r="A796"/>
      <c r="B796"/>
      <c r="C796"/>
      <c r="D796"/>
      <c r="E796"/>
      <c r="F796"/>
      <c r="G796"/>
      <c r="H796"/>
      <c r="I796"/>
    </row>
    <row r="797" spans="1:9" ht="15" x14ac:dyDescent="0.25">
      <c r="A797"/>
      <c r="B797"/>
      <c r="C797"/>
      <c r="D797"/>
      <c r="E797"/>
      <c r="F797"/>
      <c r="G797"/>
      <c r="H797"/>
      <c r="I797"/>
    </row>
    <row r="798" spans="1:9" ht="15" x14ac:dyDescent="0.25">
      <c r="A798"/>
      <c r="B798"/>
      <c r="C798"/>
      <c r="D798"/>
      <c r="E798"/>
      <c r="F798"/>
      <c r="G798"/>
      <c r="H798"/>
      <c r="I798"/>
    </row>
    <row r="799" spans="1:9" ht="15" x14ac:dyDescent="0.25">
      <c r="A799"/>
      <c r="B799"/>
      <c r="C799"/>
      <c r="D799"/>
      <c r="E799"/>
      <c r="F799"/>
      <c r="G799"/>
      <c r="H799"/>
      <c r="I799"/>
    </row>
    <row r="800" spans="1:9" ht="15" x14ac:dyDescent="0.25">
      <c r="A800"/>
      <c r="B800"/>
      <c r="C800"/>
      <c r="D800"/>
      <c r="E800"/>
      <c r="F800"/>
      <c r="G800"/>
      <c r="H800"/>
      <c r="I800"/>
    </row>
    <row r="801" spans="1:9" ht="15" x14ac:dyDescent="0.25">
      <c r="A801"/>
      <c r="B801"/>
      <c r="C801"/>
      <c r="D801"/>
      <c r="E801"/>
      <c r="F801"/>
      <c r="G801"/>
      <c r="H801"/>
      <c r="I801"/>
    </row>
    <row r="802" spans="1:9" ht="15" x14ac:dyDescent="0.25">
      <c r="A802"/>
      <c r="B802"/>
      <c r="C802"/>
      <c r="D802"/>
      <c r="E802"/>
      <c r="F802"/>
      <c r="G802"/>
      <c r="H802"/>
      <c r="I802"/>
    </row>
    <row r="803" spans="1:9" ht="15" x14ac:dyDescent="0.25">
      <c r="A803"/>
      <c r="B803"/>
      <c r="C803"/>
      <c r="D803"/>
      <c r="E803"/>
      <c r="F803"/>
      <c r="G803"/>
      <c r="H803"/>
      <c r="I803"/>
    </row>
    <row r="804" spans="1:9" ht="15" x14ac:dyDescent="0.25">
      <c r="A804"/>
      <c r="B804"/>
      <c r="C804"/>
      <c r="D804"/>
      <c r="E804"/>
      <c r="F804"/>
      <c r="G804"/>
      <c r="H804"/>
      <c r="I804"/>
    </row>
    <row r="805" spans="1:9" ht="15" x14ac:dyDescent="0.25">
      <c r="A805"/>
      <c r="B805"/>
      <c r="C805"/>
      <c r="D805"/>
      <c r="E805"/>
      <c r="F805"/>
      <c r="G805"/>
      <c r="H805"/>
      <c r="I805"/>
    </row>
    <row r="806" spans="1:9" ht="15" x14ac:dyDescent="0.25">
      <c r="A806"/>
      <c r="B806"/>
      <c r="C806"/>
      <c r="D806"/>
      <c r="E806"/>
      <c r="F806"/>
      <c r="G806"/>
      <c r="H806"/>
      <c r="I806"/>
    </row>
    <row r="807" spans="1:9" ht="15" x14ac:dyDescent="0.25">
      <c r="A807"/>
      <c r="B807"/>
      <c r="C807"/>
      <c r="D807"/>
      <c r="E807"/>
      <c r="F807"/>
      <c r="G807"/>
      <c r="H807"/>
      <c r="I807"/>
    </row>
    <row r="808" spans="1:9" ht="15" x14ac:dyDescent="0.25">
      <c r="A808"/>
      <c r="B808"/>
      <c r="C808"/>
      <c r="D808"/>
      <c r="E808"/>
      <c r="F808"/>
      <c r="G808"/>
      <c r="H808"/>
      <c r="I808"/>
    </row>
    <row r="809" spans="1:9" ht="15" x14ac:dyDescent="0.25">
      <c r="A809"/>
      <c r="B809"/>
      <c r="C809"/>
      <c r="D809"/>
      <c r="E809"/>
      <c r="F809"/>
      <c r="G809"/>
      <c r="H809"/>
      <c r="I809"/>
    </row>
    <row r="810" spans="1:9" ht="15" x14ac:dyDescent="0.25">
      <c r="A810"/>
      <c r="B810"/>
      <c r="C810"/>
      <c r="D810"/>
      <c r="E810"/>
      <c r="F810"/>
      <c r="G810"/>
      <c r="H810"/>
      <c r="I810"/>
    </row>
    <row r="811" spans="1:9" ht="15" x14ac:dyDescent="0.25">
      <c r="A811"/>
      <c r="B811"/>
      <c r="C811"/>
      <c r="D811"/>
      <c r="E811"/>
      <c r="F811"/>
      <c r="G811"/>
      <c r="H811"/>
      <c r="I811"/>
    </row>
    <row r="812" spans="1:9" ht="15" x14ac:dyDescent="0.25">
      <c r="A812"/>
      <c r="B812"/>
      <c r="C812"/>
      <c r="D812"/>
      <c r="E812"/>
      <c r="F812"/>
      <c r="G812"/>
      <c r="H812"/>
      <c r="I812"/>
    </row>
    <row r="813" spans="1:9" ht="15" x14ac:dyDescent="0.25">
      <c r="A813"/>
      <c r="B813"/>
      <c r="C813"/>
      <c r="D813"/>
      <c r="E813"/>
      <c r="F813"/>
      <c r="G813"/>
      <c r="H813"/>
      <c r="I813"/>
    </row>
    <row r="814" spans="1:9" ht="15" x14ac:dyDescent="0.25">
      <c r="A814"/>
      <c r="B814"/>
      <c r="C814"/>
      <c r="D814"/>
      <c r="E814"/>
      <c r="F814"/>
      <c r="G814"/>
      <c r="H814"/>
      <c r="I814"/>
    </row>
    <row r="815" spans="1:9" ht="15" x14ac:dyDescent="0.25">
      <c r="A815"/>
      <c r="B815"/>
      <c r="C815"/>
      <c r="D815"/>
      <c r="E815"/>
      <c r="F815"/>
      <c r="G815"/>
      <c r="H815"/>
      <c r="I815"/>
    </row>
    <row r="816" spans="1:9" ht="15" x14ac:dyDescent="0.25">
      <c r="A816"/>
      <c r="B816"/>
      <c r="C816"/>
      <c r="D816"/>
      <c r="E816"/>
      <c r="F816"/>
      <c r="G816"/>
      <c r="H816"/>
      <c r="I816"/>
    </row>
    <row r="817" spans="1:9" ht="15" x14ac:dyDescent="0.25">
      <c r="A817"/>
      <c r="B817"/>
      <c r="C817"/>
      <c r="D817"/>
      <c r="E817"/>
      <c r="F817"/>
      <c r="G817"/>
      <c r="H817"/>
      <c r="I817"/>
    </row>
    <row r="818" spans="1:9" ht="15" x14ac:dyDescent="0.25">
      <c r="A818"/>
      <c r="B818"/>
      <c r="C818"/>
      <c r="D818"/>
      <c r="E818"/>
      <c r="F818"/>
      <c r="G818"/>
      <c r="H818"/>
      <c r="I818"/>
    </row>
    <row r="819" spans="1:9" ht="15" x14ac:dyDescent="0.25">
      <c r="A819"/>
      <c r="B819"/>
      <c r="C819"/>
      <c r="D819"/>
      <c r="E819"/>
      <c r="F819"/>
      <c r="G819"/>
      <c r="H819"/>
      <c r="I819"/>
    </row>
    <row r="820" spans="1:9" ht="15" x14ac:dyDescent="0.25">
      <c r="A820"/>
      <c r="B820"/>
      <c r="C820"/>
      <c r="D820"/>
      <c r="E820"/>
      <c r="F820"/>
      <c r="G820"/>
      <c r="H820"/>
      <c r="I820"/>
    </row>
    <row r="821" spans="1:9" ht="15" x14ac:dyDescent="0.25">
      <c r="A821"/>
      <c r="B821"/>
      <c r="C821"/>
      <c r="D821"/>
      <c r="E821"/>
      <c r="F821"/>
      <c r="G821"/>
      <c r="H821"/>
      <c r="I821"/>
    </row>
    <row r="822" spans="1:9" ht="15" x14ac:dyDescent="0.25">
      <c r="A822"/>
      <c r="B822"/>
      <c r="C822"/>
      <c r="D822"/>
      <c r="E822"/>
      <c r="F822"/>
      <c r="G822"/>
      <c r="H822"/>
      <c r="I822"/>
    </row>
    <row r="823" spans="1:9" ht="15" x14ac:dyDescent="0.25">
      <c r="A823"/>
      <c r="B823"/>
      <c r="C823"/>
      <c r="D823"/>
      <c r="E823"/>
      <c r="F823"/>
      <c r="G823"/>
      <c r="H823"/>
      <c r="I823"/>
    </row>
    <row r="824" spans="1:9" ht="15" x14ac:dyDescent="0.25">
      <c r="A824"/>
      <c r="B824"/>
      <c r="C824"/>
      <c r="D824"/>
      <c r="E824"/>
      <c r="F824"/>
      <c r="G824"/>
      <c r="H824"/>
      <c r="I824"/>
    </row>
    <row r="825" spans="1:9" ht="15" x14ac:dyDescent="0.25">
      <c r="A825"/>
      <c r="B825"/>
      <c r="C825"/>
      <c r="D825"/>
      <c r="E825"/>
      <c r="F825"/>
      <c r="G825"/>
      <c r="H825"/>
      <c r="I825"/>
    </row>
    <row r="826" spans="1:9" ht="15" x14ac:dyDescent="0.25">
      <c r="A826"/>
      <c r="B826"/>
      <c r="C826"/>
      <c r="D826"/>
      <c r="E826"/>
      <c r="F826"/>
      <c r="G826"/>
      <c r="H826"/>
      <c r="I826"/>
    </row>
    <row r="827" spans="1:9" ht="15" x14ac:dyDescent="0.25">
      <c r="A827"/>
      <c r="B827"/>
      <c r="C827"/>
      <c r="D827"/>
      <c r="E827"/>
      <c r="F827"/>
      <c r="G827"/>
      <c r="H827"/>
      <c r="I827"/>
    </row>
    <row r="828" spans="1:9" ht="15" x14ac:dyDescent="0.25">
      <c r="A828"/>
      <c r="B828"/>
      <c r="C828"/>
      <c r="D828"/>
      <c r="E828"/>
      <c r="F828"/>
      <c r="G828"/>
      <c r="H828"/>
      <c r="I828"/>
    </row>
    <row r="829" spans="1:9" ht="15" x14ac:dyDescent="0.25">
      <c r="A829"/>
      <c r="B829"/>
      <c r="C829"/>
      <c r="D829"/>
      <c r="E829"/>
      <c r="F829"/>
      <c r="G829"/>
      <c r="H829"/>
      <c r="I829"/>
    </row>
    <row r="830" spans="1:9" ht="15" x14ac:dyDescent="0.25">
      <c r="A830"/>
      <c r="B830"/>
      <c r="C830"/>
      <c r="D830"/>
      <c r="E830"/>
      <c r="F830"/>
      <c r="G830"/>
      <c r="H830"/>
      <c r="I830"/>
    </row>
    <row r="831" spans="1:9" ht="15" x14ac:dyDescent="0.25">
      <c r="A831"/>
      <c r="B831"/>
      <c r="C831"/>
      <c r="D831"/>
      <c r="E831"/>
      <c r="F831"/>
      <c r="G831"/>
      <c r="H831"/>
      <c r="I831"/>
    </row>
    <row r="832" spans="1:9" ht="15" x14ac:dyDescent="0.25">
      <c r="A832"/>
      <c r="B832"/>
      <c r="C832"/>
      <c r="D832"/>
      <c r="E832"/>
      <c r="F832"/>
      <c r="G832"/>
      <c r="H832"/>
      <c r="I832"/>
    </row>
    <row r="833" spans="1:9" ht="15" x14ac:dyDescent="0.25">
      <c r="A833"/>
      <c r="B833"/>
      <c r="C833"/>
      <c r="D833"/>
      <c r="E833"/>
      <c r="F833"/>
      <c r="G833"/>
      <c r="H833"/>
      <c r="I833"/>
    </row>
    <row r="834" spans="1:9" ht="15" x14ac:dyDescent="0.25">
      <c r="A834"/>
      <c r="B834"/>
      <c r="C834"/>
      <c r="D834"/>
      <c r="E834"/>
      <c r="F834"/>
      <c r="G834"/>
      <c r="H834"/>
      <c r="I834"/>
    </row>
    <row r="835" spans="1:9" ht="15" x14ac:dyDescent="0.25">
      <c r="A835"/>
      <c r="B835"/>
      <c r="C835"/>
      <c r="D835"/>
      <c r="E835"/>
      <c r="F835"/>
      <c r="G835"/>
      <c r="H835"/>
      <c r="I835"/>
    </row>
    <row r="836" spans="1:9" ht="15" x14ac:dyDescent="0.25">
      <c r="A836"/>
      <c r="B836"/>
      <c r="C836"/>
      <c r="D836"/>
      <c r="E836"/>
      <c r="F836"/>
      <c r="G836"/>
      <c r="H836"/>
      <c r="I836"/>
    </row>
    <row r="837" spans="1:9" ht="15" x14ac:dyDescent="0.25">
      <c r="A837"/>
      <c r="B837"/>
      <c r="C837"/>
      <c r="D837"/>
      <c r="E837"/>
      <c r="F837"/>
      <c r="G837"/>
      <c r="H837"/>
      <c r="I837"/>
    </row>
    <row r="838" spans="1:9" ht="15" x14ac:dyDescent="0.25">
      <c r="A838"/>
      <c r="B838"/>
      <c r="C838"/>
      <c r="D838"/>
      <c r="E838"/>
      <c r="F838"/>
      <c r="G838"/>
      <c r="H838"/>
      <c r="I838"/>
    </row>
    <row r="839" spans="1:9" ht="15" x14ac:dyDescent="0.25">
      <c r="A839"/>
      <c r="B839"/>
      <c r="C839"/>
      <c r="D839"/>
      <c r="E839"/>
      <c r="F839"/>
      <c r="G839"/>
      <c r="H839"/>
      <c r="I839"/>
    </row>
    <row r="840" spans="1:9" ht="15" x14ac:dyDescent="0.25">
      <c r="A840"/>
      <c r="B840"/>
      <c r="C840"/>
      <c r="D840"/>
      <c r="E840"/>
      <c r="F840"/>
      <c r="G840"/>
      <c r="H840"/>
      <c r="I840"/>
    </row>
    <row r="841" spans="1:9" ht="15" x14ac:dyDescent="0.25">
      <c r="A841"/>
      <c r="B841"/>
      <c r="C841"/>
      <c r="D841"/>
      <c r="E841"/>
      <c r="F841"/>
      <c r="G841"/>
      <c r="H841"/>
      <c r="I841"/>
    </row>
    <row r="842" spans="1:9" ht="15" x14ac:dyDescent="0.25">
      <c r="A842"/>
      <c r="B842"/>
      <c r="C842"/>
      <c r="D842"/>
      <c r="E842"/>
      <c r="F842"/>
      <c r="G842"/>
      <c r="H842"/>
      <c r="I842"/>
    </row>
    <row r="843" spans="1:9" ht="15" x14ac:dyDescent="0.25">
      <c r="A843"/>
      <c r="B843"/>
      <c r="C843"/>
      <c r="D843"/>
      <c r="E843"/>
      <c r="F843"/>
      <c r="G843"/>
      <c r="H843"/>
      <c r="I843"/>
    </row>
    <row r="844" spans="1:9" ht="15" x14ac:dyDescent="0.25">
      <c r="A844"/>
      <c r="B844"/>
      <c r="C844"/>
      <c r="D844"/>
      <c r="E844"/>
      <c r="F844"/>
      <c r="G844"/>
      <c r="H844"/>
      <c r="I844"/>
    </row>
    <row r="845" spans="1:9" ht="15" x14ac:dyDescent="0.25">
      <c r="A845"/>
      <c r="B845"/>
      <c r="C845"/>
      <c r="D845"/>
      <c r="E845"/>
      <c r="F845"/>
      <c r="G845"/>
      <c r="H845"/>
      <c r="I845"/>
    </row>
    <row r="846" spans="1:9" ht="15" x14ac:dyDescent="0.25">
      <c r="A846"/>
      <c r="B846"/>
      <c r="C846"/>
      <c r="D846"/>
      <c r="E846"/>
      <c r="F846"/>
      <c r="G846"/>
      <c r="H846"/>
      <c r="I846"/>
    </row>
    <row r="847" spans="1:9" ht="15" x14ac:dyDescent="0.25">
      <c r="A847"/>
      <c r="B847"/>
      <c r="C847"/>
      <c r="D847"/>
      <c r="E847"/>
      <c r="F847"/>
      <c r="G847"/>
      <c r="H847"/>
      <c r="I847"/>
    </row>
    <row r="848" spans="1:9" ht="15" x14ac:dyDescent="0.25">
      <c r="A848"/>
      <c r="B848"/>
      <c r="C848"/>
      <c r="D848"/>
      <c r="E848"/>
      <c r="F848"/>
      <c r="G848"/>
      <c r="H848"/>
      <c r="I848"/>
    </row>
    <row r="849" spans="1:9" ht="15" x14ac:dyDescent="0.25">
      <c r="A849"/>
      <c r="B849"/>
      <c r="C849"/>
      <c r="D849"/>
      <c r="E849"/>
      <c r="F849"/>
      <c r="G849"/>
      <c r="H849"/>
      <c r="I849"/>
    </row>
    <row r="850" spans="1:9" ht="15" x14ac:dyDescent="0.25">
      <c r="A850"/>
      <c r="B850"/>
      <c r="C850"/>
      <c r="D850"/>
      <c r="E850"/>
      <c r="F850"/>
      <c r="G850"/>
      <c r="H850"/>
      <c r="I850"/>
    </row>
    <row r="851" spans="1:9" ht="15" x14ac:dyDescent="0.25">
      <c r="A851"/>
      <c r="B851"/>
      <c r="C851"/>
      <c r="D851"/>
      <c r="E851"/>
      <c r="F851"/>
      <c r="G851"/>
      <c r="H851"/>
      <c r="I851"/>
    </row>
    <row r="852" spans="1:9" ht="15" x14ac:dyDescent="0.25">
      <c r="A852"/>
      <c r="B852"/>
      <c r="C852"/>
      <c r="D852"/>
      <c r="E852"/>
      <c r="F852"/>
      <c r="G852"/>
      <c r="H852"/>
      <c r="I852"/>
    </row>
    <row r="853" spans="1:9" ht="15" x14ac:dyDescent="0.25">
      <c r="A853"/>
      <c r="B853"/>
      <c r="C853"/>
      <c r="D853"/>
      <c r="E853"/>
      <c r="F853"/>
      <c r="G853"/>
      <c r="H853"/>
      <c r="I853"/>
    </row>
    <row r="854" spans="1:9" ht="15" x14ac:dyDescent="0.25">
      <c r="A854"/>
      <c r="B854"/>
      <c r="C854"/>
      <c r="D854"/>
      <c r="E854"/>
      <c r="F854"/>
      <c r="G854"/>
      <c r="H854"/>
      <c r="I854"/>
    </row>
    <row r="855" spans="1:9" ht="15" x14ac:dyDescent="0.25">
      <c r="A855"/>
      <c r="B855"/>
      <c r="C855"/>
      <c r="D855"/>
      <c r="E855"/>
      <c r="F855"/>
      <c r="G855"/>
      <c r="H855"/>
      <c r="I855"/>
    </row>
    <row r="856" spans="1:9" ht="15" x14ac:dyDescent="0.25">
      <c r="A856"/>
      <c r="B856"/>
      <c r="C856"/>
      <c r="D856"/>
      <c r="E856"/>
      <c r="F856"/>
      <c r="G856"/>
      <c r="H856"/>
      <c r="I856"/>
    </row>
    <row r="857" spans="1:9" ht="15" x14ac:dyDescent="0.25">
      <c r="A857"/>
      <c r="B857"/>
      <c r="C857"/>
      <c r="D857"/>
      <c r="E857"/>
      <c r="F857"/>
      <c r="G857"/>
      <c r="H857"/>
      <c r="I857"/>
    </row>
    <row r="858" spans="1:9" ht="15" x14ac:dyDescent="0.25">
      <c r="A858"/>
      <c r="B858"/>
      <c r="C858"/>
      <c r="D858"/>
      <c r="E858"/>
      <c r="F858"/>
      <c r="G858"/>
      <c r="H858"/>
      <c r="I858"/>
    </row>
    <row r="859" spans="1:9" ht="15" x14ac:dyDescent="0.25">
      <c r="A859"/>
      <c r="B859"/>
      <c r="C859"/>
      <c r="D859"/>
      <c r="E859"/>
      <c r="F859"/>
      <c r="G859"/>
      <c r="H859"/>
      <c r="I859"/>
    </row>
    <row r="860" spans="1:9" ht="15" x14ac:dyDescent="0.25">
      <c r="A860"/>
      <c r="B860"/>
      <c r="C860"/>
      <c r="D860"/>
      <c r="E860"/>
      <c r="F860"/>
      <c r="G860"/>
      <c r="H860"/>
      <c r="I860"/>
    </row>
    <row r="861" spans="1:9" ht="15" x14ac:dyDescent="0.25">
      <c r="A861"/>
      <c r="B861"/>
      <c r="C861"/>
      <c r="D861"/>
      <c r="E861"/>
      <c r="F861"/>
      <c r="G861"/>
      <c r="H861"/>
      <c r="I861"/>
    </row>
    <row r="862" spans="1:9" ht="15" x14ac:dyDescent="0.25">
      <c r="A862"/>
      <c r="B862"/>
      <c r="C862"/>
      <c r="D862"/>
      <c r="E862"/>
      <c r="F862"/>
      <c r="G862"/>
      <c r="H862"/>
      <c r="I862"/>
    </row>
    <row r="863" spans="1:9" ht="15" x14ac:dyDescent="0.25">
      <c r="A863"/>
      <c r="B863"/>
      <c r="C863"/>
      <c r="D863"/>
      <c r="E863"/>
      <c r="F863"/>
      <c r="G863"/>
      <c r="H863"/>
      <c r="I863"/>
    </row>
    <row r="864" spans="1:9" ht="15" x14ac:dyDescent="0.25">
      <c r="A864"/>
      <c r="B864"/>
      <c r="C864"/>
      <c r="D864"/>
      <c r="E864"/>
      <c r="F864"/>
      <c r="G864"/>
      <c r="H864"/>
      <c r="I864"/>
    </row>
    <row r="865" spans="1:9" ht="15" x14ac:dyDescent="0.25">
      <c r="A865"/>
      <c r="B865"/>
      <c r="C865"/>
      <c r="D865"/>
      <c r="E865"/>
      <c r="F865"/>
      <c r="G865"/>
      <c r="H865"/>
      <c r="I865"/>
    </row>
    <row r="866" spans="1:9" ht="15" x14ac:dyDescent="0.25">
      <c r="A866"/>
      <c r="B866"/>
      <c r="C866"/>
      <c r="D866"/>
      <c r="E866"/>
      <c r="F866"/>
      <c r="G866"/>
      <c r="H866"/>
      <c r="I866"/>
    </row>
    <row r="867" spans="1:9" ht="15" x14ac:dyDescent="0.25">
      <c r="A867"/>
      <c r="B867"/>
      <c r="C867"/>
      <c r="D867"/>
      <c r="E867"/>
      <c r="F867"/>
      <c r="G867"/>
      <c r="H867"/>
      <c r="I867"/>
    </row>
    <row r="868" spans="1:9" ht="15" x14ac:dyDescent="0.25">
      <c r="A868"/>
      <c r="B868"/>
      <c r="C868"/>
      <c r="D868"/>
      <c r="E868"/>
      <c r="F868"/>
      <c r="G868"/>
      <c r="H868"/>
      <c r="I868"/>
    </row>
    <row r="869" spans="1:9" ht="15" x14ac:dyDescent="0.25">
      <c r="A869"/>
      <c r="B869"/>
      <c r="C869"/>
      <c r="D869"/>
      <c r="E869"/>
      <c r="F869"/>
      <c r="G869"/>
      <c r="H869"/>
      <c r="I869"/>
    </row>
    <row r="870" spans="1:9" ht="15" x14ac:dyDescent="0.25">
      <c r="A870"/>
      <c r="B870"/>
      <c r="C870"/>
      <c r="D870"/>
      <c r="E870"/>
      <c r="F870"/>
      <c r="G870"/>
      <c r="H870"/>
      <c r="I870"/>
    </row>
    <row r="871" spans="1:9" ht="15" x14ac:dyDescent="0.25">
      <c r="A871"/>
      <c r="B871"/>
      <c r="C871"/>
      <c r="D871"/>
      <c r="E871"/>
      <c r="F871"/>
      <c r="G871"/>
      <c r="H871"/>
      <c r="I871"/>
    </row>
    <row r="872" spans="1:9" ht="15" x14ac:dyDescent="0.25">
      <c r="A872"/>
      <c r="B872"/>
      <c r="C872"/>
      <c r="D872"/>
      <c r="E872"/>
      <c r="F872"/>
      <c r="G872"/>
      <c r="H872"/>
      <c r="I872"/>
    </row>
    <row r="873" spans="1:9" ht="15" x14ac:dyDescent="0.25">
      <c r="A873"/>
      <c r="B873"/>
      <c r="C873"/>
      <c r="D873"/>
      <c r="E873"/>
      <c r="F873"/>
      <c r="G873"/>
      <c r="H873"/>
      <c r="I873"/>
    </row>
    <row r="874" spans="1:9" ht="15" x14ac:dyDescent="0.25">
      <c r="A874"/>
      <c r="B874"/>
      <c r="C874"/>
      <c r="D874"/>
      <c r="E874"/>
      <c r="F874"/>
      <c r="G874"/>
      <c r="H874"/>
      <c r="I874"/>
    </row>
    <row r="875" spans="1:9" ht="15" x14ac:dyDescent="0.25">
      <c r="A875"/>
      <c r="B875"/>
      <c r="C875"/>
      <c r="D875"/>
      <c r="E875"/>
      <c r="F875"/>
      <c r="G875"/>
      <c r="H875"/>
      <c r="I875"/>
    </row>
    <row r="876" spans="1:9" ht="15" x14ac:dyDescent="0.25">
      <c r="A876"/>
      <c r="B876"/>
      <c r="C876"/>
      <c r="D876"/>
      <c r="E876"/>
      <c r="F876"/>
      <c r="G876"/>
      <c r="H876"/>
      <c r="I876"/>
    </row>
    <row r="877" spans="1:9" ht="15" x14ac:dyDescent="0.25">
      <c r="A877"/>
      <c r="B877"/>
      <c r="C877"/>
      <c r="D877"/>
      <c r="E877"/>
      <c r="F877"/>
      <c r="G877"/>
      <c r="H877"/>
      <c r="I877"/>
    </row>
    <row r="878" spans="1:9" ht="15" x14ac:dyDescent="0.25">
      <c r="A878"/>
      <c r="B878"/>
      <c r="C878"/>
      <c r="D878"/>
      <c r="E878"/>
      <c r="F878"/>
      <c r="G878"/>
      <c r="H878"/>
      <c r="I878"/>
    </row>
    <row r="879" spans="1:9" ht="15" x14ac:dyDescent="0.25">
      <c r="A879"/>
      <c r="B879"/>
      <c r="C879"/>
      <c r="D879"/>
      <c r="E879"/>
      <c r="F879"/>
      <c r="G879"/>
      <c r="H879"/>
      <c r="I879"/>
    </row>
    <row r="880" spans="1:9" ht="15" x14ac:dyDescent="0.25">
      <c r="A880"/>
      <c r="B880"/>
      <c r="C880"/>
      <c r="D880"/>
      <c r="E880"/>
      <c r="F880"/>
      <c r="G880"/>
      <c r="H880"/>
      <c r="I880"/>
    </row>
    <row r="881" spans="1:9" ht="15" x14ac:dyDescent="0.25">
      <c r="A881"/>
      <c r="B881"/>
      <c r="C881"/>
      <c r="D881"/>
      <c r="E881"/>
      <c r="F881"/>
      <c r="G881"/>
      <c r="H881"/>
      <c r="I881"/>
    </row>
    <row r="882" spans="1:9" ht="15" x14ac:dyDescent="0.25">
      <c r="A882"/>
      <c r="B882"/>
      <c r="C882"/>
      <c r="D882"/>
      <c r="E882"/>
      <c r="F882"/>
      <c r="G882"/>
      <c r="H882"/>
      <c r="I882"/>
    </row>
    <row r="883" spans="1:9" ht="15" x14ac:dyDescent="0.25">
      <c r="A883"/>
      <c r="B883"/>
      <c r="C883"/>
      <c r="D883"/>
      <c r="E883"/>
      <c r="F883"/>
      <c r="G883"/>
      <c r="H883"/>
      <c r="I883"/>
    </row>
    <row r="884" spans="1:9" ht="15" x14ac:dyDescent="0.25">
      <c r="A884"/>
      <c r="B884"/>
      <c r="C884"/>
      <c r="D884"/>
      <c r="E884"/>
      <c r="F884"/>
      <c r="G884"/>
      <c r="H884"/>
      <c r="I884"/>
    </row>
    <row r="885" spans="1:9" ht="15" x14ac:dyDescent="0.25">
      <c r="A885"/>
      <c r="B885"/>
      <c r="C885"/>
      <c r="D885"/>
      <c r="E885"/>
      <c r="F885"/>
      <c r="G885"/>
      <c r="H885"/>
      <c r="I885"/>
    </row>
    <row r="886" spans="1:9" ht="15" x14ac:dyDescent="0.25">
      <c r="A886"/>
      <c r="B886"/>
      <c r="C886"/>
      <c r="D886"/>
      <c r="E886"/>
      <c r="F886"/>
      <c r="G886"/>
      <c r="H886"/>
      <c r="I886"/>
    </row>
    <row r="887" spans="1:9" ht="15" x14ac:dyDescent="0.25">
      <c r="A887"/>
      <c r="B887"/>
      <c r="C887"/>
      <c r="D887"/>
      <c r="E887"/>
      <c r="F887"/>
      <c r="G887"/>
      <c r="H887"/>
      <c r="I887"/>
    </row>
    <row r="888" spans="1:9" ht="15" x14ac:dyDescent="0.25">
      <c r="A888"/>
      <c r="B888"/>
      <c r="C888"/>
      <c r="D888"/>
      <c r="E888"/>
      <c r="F888"/>
      <c r="G888"/>
      <c r="H888"/>
      <c r="I888"/>
    </row>
    <row r="889" spans="1:9" ht="15" x14ac:dyDescent="0.25">
      <c r="A889"/>
      <c r="B889"/>
      <c r="C889"/>
      <c r="D889"/>
      <c r="E889"/>
      <c r="F889"/>
      <c r="G889"/>
      <c r="H889"/>
      <c r="I889"/>
    </row>
    <row r="890" spans="1:9" ht="15" x14ac:dyDescent="0.25">
      <c r="A890"/>
      <c r="B890"/>
      <c r="C890"/>
      <c r="D890"/>
      <c r="E890"/>
      <c r="F890"/>
      <c r="G890"/>
      <c r="H890"/>
      <c r="I890"/>
    </row>
    <row r="891" spans="1:9" ht="15" x14ac:dyDescent="0.25">
      <c r="A891"/>
      <c r="B891"/>
      <c r="C891"/>
      <c r="D891"/>
      <c r="E891"/>
      <c r="F891"/>
      <c r="G891"/>
      <c r="H891"/>
      <c r="I891"/>
    </row>
    <row r="892" spans="1:9" ht="15" x14ac:dyDescent="0.25">
      <c r="A892"/>
      <c r="B892"/>
      <c r="C892"/>
      <c r="D892"/>
      <c r="E892"/>
      <c r="F892"/>
      <c r="G892"/>
      <c r="H892"/>
      <c r="I892"/>
    </row>
    <row r="893" spans="1:9" ht="15" x14ac:dyDescent="0.25">
      <c r="A893"/>
      <c r="B893"/>
      <c r="C893"/>
      <c r="D893"/>
      <c r="E893"/>
      <c r="F893"/>
      <c r="G893"/>
      <c r="H893"/>
      <c r="I893"/>
    </row>
    <row r="894" spans="1:9" ht="15" x14ac:dyDescent="0.25">
      <c r="A894"/>
      <c r="B894"/>
      <c r="C894"/>
      <c r="D894"/>
      <c r="E894"/>
      <c r="F894"/>
      <c r="G894"/>
      <c r="H894"/>
      <c r="I894"/>
    </row>
    <row r="895" spans="1:9" ht="15" x14ac:dyDescent="0.25">
      <c r="A895"/>
      <c r="B895"/>
      <c r="C895"/>
      <c r="D895"/>
      <c r="E895"/>
      <c r="F895"/>
      <c r="G895"/>
      <c r="H895"/>
      <c r="I895"/>
    </row>
    <row r="896" spans="1:9" ht="15" x14ac:dyDescent="0.25">
      <c r="A896"/>
      <c r="B896"/>
      <c r="C896"/>
      <c r="D896"/>
      <c r="E896"/>
      <c r="F896"/>
      <c r="G896"/>
      <c r="H896"/>
      <c r="I896"/>
    </row>
    <row r="897" spans="1:9" ht="15" x14ac:dyDescent="0.25">
      <c r="A897"/>
      <c r="B897"/>
      <c r="C897"/>
      <c r="D897"/>
      <c r="E897"/>
      <c r="F897"/>
      <c r="G897"/>
      <c r="H897"/>
      <c r="I897"/>
    </row>
    <row r="898" spans="1:9" ht="15" x14ac:dyDescent="0.25">
      <c r="A898"/>
      <c r="B898"/>
      <c r="C898"/>
      <c r="D898"/>
      <c r="E898"/>
      <c r="F898"/>
      <c r="G898"/>
      <c r="H898"/>
      <c r="I898"/>
    </row>
    <row r="899" spans="1:9" ht="15" x14ac:dyDescent="0.25">
      <c r="A899"/>
      <c r="B899"/>
      <c r="C899"/>
      <c r="D899"/>
      <c r="E899"/>
      <c r="F899"/>
      <c r="G899"/>
      <c r="H899"/>
      <c r="I899"/>
    </row>
    <row r="900" spans="1:9" ht="15" x14ac:dyDescent="0.25">
      <c r="A900"/>
      <c r="B900"/>
      <c r="C900"/>
      <c r="D900"/>
      <c r="E900"/>
      <c r="F900"/>
      <c r="G900"/>
      <c r="H900"/>
      <c r="I900"/>
    </row>
    <row r="901" spans="1:9" ht="15" x14ac:dyDescent="0.25">
      <c r="A901"/>
      <c r="B901"/>
      <c r="C901"/>
      <c r="D901"/>
      <c r="E901"/>
      <c r="F901"/>
      <c r="G901"/>
      <c r="H901"/>
      <c r="I901"/>
    </row>
    <row r="902" spans="1:9" ht="15" x14ac:dyDescent="0.25">
      <c r="A902"/>
      <c r="B902"/>
      <c r="C902"/>
      <c r="D902"/>
      <c r="E902"/>
      <c r="F902"/>
      <c r="G902"/>
      <c r="H902"/>
      <c r="I902"/>
    </row>
    <row r="903" spans="1:9" ht="15" x14ac:dyDescent="0.25">
      <c r="A903"/>
      <c r="B903"/>
      <c r="C903"/>
      <c r="D903"/>
      <c r="E903"/>
      <c r="F903"/>
      <c r="G903"/>
      <c r="H903"/>
      <c r="I903"/>
    </row>
    <row r="904" spans="1:9" ht="15" x14ac:dyDescent="0.25">
      <c r="A904"/>
      <c r="B904"/>
      <c r="C904"/>
      <c r="D904"/>
      <c r="E904"/>
      <c r="F904"/>
      <c r="G904"/>
      <c r="H904"/>
      <c r="I904"/>
    </row>
    <row r="905" spans="1:9" ht="15" x14ac:dyDescent="0.25">
      <c r="A905"/>
      <c r="B905"/>
      <c r="C905"/>
      <c r="D905"/>
      <c r="E905"/>
      <c r="F905"/>
      <c r="G905"/>
      <c r="H905"/>
      <c r="I905"/>
    </row>
    <row r="906" spans="1:9" ht="15" x14ac:dyDescent="0.25">
      <c r="A906"/>
      <c r="B906"/>
      <c r="C906"/>
      <c r="D906"/>
      <c r="E906"/>
      <c r="F906"/>
      <c r="G906"/>
      <c r="H906"/>
      <c r="I906"/>
    </row>
    <row r="907" spans="1:9" ht="15" x14ac:dyDescent="0.25">
      <c r="A907"/>
      <c r="B907"/>
      <c r="C907"/>
      <c r="D907"/>
      <c r="E907"/>
      <c r="F907"/>
      <c r="G907"/>
      <c r="H907"/>
      <c r="I907"/>
    </row>
    <row r="908" spans="1:9" ht="15" x14ac:dyDescent="0.25">
      <c r="A908"/>
      <c r="B908"/>
      <c r="C908"/>
      <c r="D908"/>
      <c r="E908"/>
      <c r="F908"/>
      <c r="G908"/>
      <c r="H908"/>
      <c r="I908"/>
    </row>
    <row r="909" spans="1:9" ht="15" x14ac:dyDescent="0.25">
      <c r="A909"/>
      <c r="B909"/>
      <c r="C909"/>
      <c r="D909"/>
      <c r="E909"/>
      <c r="F909"/>
      <c r="G909"/>
      <c r="H909"/>
      <c r="I909"/>
    </row>
    <row r="910" spans="1:9" ht="15" x14ac:dyDescent="0.25">
      <c r="A910"/>
      <c r="B910"/>
      <c r="C910"/>
      <c r="D910"/>
      <c r="E910"/>
      <c r="F910"/>
      <c r="G910"/>
      <c r="H910"/>
      <c r="I910"/>
    </row>
    <row r="911" spans="1:9" ht="15" x14ac:dyDescent="0.25">
      <c r="A911"/>
      <c r="B911"/>
      <c r="C911"/>
      <c r="D911"/>
      <c r="E911"/>
      <c r="F911"/>
      <c r="G911"/>
      <c r="H911"/>
      <c r="I911"/>
    </row>
    <row r="912" spans="1:9" ht="15" x14ac:dyDescent="0.25">
      <c r="A912"/>
      <c r="B912"/>
      <c r="C912"/>
      <c r="D912"/>
      <c r="E912"/>
      <c r="F912"/>
      <c r="G912"/>
      <c r="H912"/>
      <c r="I912"/>
    </row>
    <row r="913" spans="1:9" ht="15" x14ac:dyDescent="0.25">
      <c r="A913"/>
      <c r="B913"/>
      <c r="C913"/>
      <c r="D913"/>
      <c r="E913"/>
      <c r="F913"/>
      <c r="G913"/>
      <c r="H913"/>
      <c r="I913"/>
    </row>
    <row r="914" spans="1:9" ht="15" x14ac:dyDescent="0.25">
      <c r="A914"/>
      <c r="B914"/>
      <c r="C914"/>
      <c r="D914"/>
      <c r="E914"/>
      <c r="F914"/>
      <c r="G914"/>
      <c r="H914"/>
      <c r="I914"/>
    </row>
    <row r="915" spans="1:9" ht="15" x14ac:dyDescent="0.25">
      <c r="A915"/>
      <c r="B915"/>
      <c r="C915"/>
      <c r="D915"/>
      <c r="E915"/>
      <c r="F915"/>
      <c r="G915"/>
      <c r="H915"/>
      <c r="I915"/>
    </row>
    <row r="916" spans="1:9" ht="15" x14ac:dyDescent="0.25">
      <c r="A916"/>
      <c r="B916"/>
      <c r="C916"/>
      <c r="D916"/>
      <c r="E916"/>
      <c r="F916"/>
      <c r="G916"/>
      <c r="H916"/>
      <c r="I916"/>
    </row>
    <row r="917" spans="1:9" ht="15" x14ac:dyDescent="0.25">
      <c r="A917"/>
      <c r="B917"/>
      <c r="C917"/>
      <c r="D917"/>
      <c r="E917"/>
      <c r="F917"/>
      <c r="G917"/>
      <c r="H917"/>
      <c r="I917"/>
    </row>
    <row r="918" spans="1:9" ht="15" x14ac:dyDescent="0.25">
      <c r="A918"/>
      <c r="B918"/>
      <c r="C918"/>
      <c r="D918"/>
      <c r="E918"/>
      <c r="F918"/>
      <c r="G918"/>
      <c r="H918"/>
      <c r="I918"/>
    </row>
    <row r="919" spans="1:9" ht="15" x14ac:dyDescent="0.25">
      <c r="A919"/>
      <c r="B919"/>
      <c r="C919"/>
      <c r="D919"/>
      <c r="E919"/>
      <c r="F919"/>
      <c r="G919"/>
      <c r="H919"/>
      <c r="I919"/>
    </row>
    <row r="920" spans="1:9" ht="15" x14ac:dyDescent="0.25">
      <c r="A920"/>
      <c r="B920"/>
      <c r="C920"/>
      <c r="D920"/>
      <c r="E920"/>
      <c r="F920"/>
      <c r="G920"/>
      <c r="H920"/>
      <c r="I920"/>
    </row>
    <row r="921" spans="1:9" ht="15" x14ac:dyDescent="0.25">
      <c r="A921"/>
      <c r="B921"/>
      <c r="C921"/>
      <c r="D921"/>
      <c r="E921"/>
      <c r="F921"/>
      <c r="G921"/>
      <c r="H921"/>
      <c r="I921"/>
    </row>
    <row r="922" spans="1:9" ht="15" x14ac:dyDescent="0.25">
      <c r="A922"/>
      <c r="B922"/>
      <c r="C922"/>
      <c r="D922"/>
      <c r="E922"/>
      <c r="F922"/>
      <c r="G922"/>
      <c r="H922"/>
      <c r="I922"/>
    </row>
    <row r="923" spans="1:9" ht="15" x14ac:dyDescent="0.25">
      <c r="A923"/>
      <c r="B923"/>
      <c r="C923"/>
      <c r="D923"/>
      <c r="E923"/>
      <c r="F923"/>
      <c r="G923"/>
      <c r="H923"/>
      <c r="I923"/>
    </row>
    <row r="924" spans="1:9" ht="15" x14ac:dyDescent="0.25">
      <c r="A924"/>
      <c r="B924"/>
      <c r="C924"/>
      <c r="D924"/>
      <c r="E924"/>
      <c r="F924"/>
      <c r="G924"/>
      <c r="H924"/>
      <c r="I924"/>
    </row>
    <row r="925" spans="1:9" ht="15" x14ac:dyDescent="0.25">
      <c r="A925"/>
      <c r="B925"/>
      <c r="C925"/>
      <c r="D925"/>
      <c r="E925"/>
      <c r="F925"/>
      <c r="G925"/>
      <c r="H925"/>
      <c r="I925"/>
    </row>
    <row r="926" spans="1:9" ht="15" x14ac:dyDescent="0.25">
      <c r="A926"/>
      <c r="B926"/>
      <c r="C926"/>
      <c r="D926"/>
      <c r="E926"/>
      <c r="F926"/>
      <c r="G926"/>
      <c r="H926"/>
      <c r="I926"/>
    </row>
    <row r="927" spans="1:9" ht="15" x14ac:dyDescent="0.25">
      <c r="A927"/>
      <c r="B927"/>
      <c r="C927"/>
      <c r="D927"/>
      <c r="E927"/>
      <c r="F927"/>
      <c r="G927"/>
      <c r="H927"/>
      <c r="I927"/>
    </row>
    <row r="928" spans="1:9" ht="15" x14ac:dyDescent="0.25">
      <c r="A928"/>
      <c r="B928"/>
      <c r="C928"/>
      <c r="D928"/>
      <c r="E928"/>
      <c r="F928"/>
      <c r="G928"/>
      <c r="H928"/>
      <c r="I928"/>
    </row>
    <row r="929" spans="1:9" ht="15" x14ac:dyDescent="0.25">
      <c r="A929"/>
      <c r="B929"/>
      <c r="C929"/>
      <c r="D929"/>
      <c r="E929"/>
      <c r="F929"/>
      <c r="G929"/>
      <c r="H929"/>
      <c r="I929"/>
    </row>
    <row r="930" spans="1:9" ht="15" x14ac:dyDescent="0.25">
      <c r="A930"/>
      <c r="B930"/>
      <c r="C930"/>
      <c r="D930"/>
      <c r="E930"/>
      <c r="F930"/>
      <c r="G930"/>
      <c r="H930"/>
      <c r="I930"/>
    </row>
    <row r="931" spans="1:9" ht="15" x14ac:dyDescent="0.25">
      <c r="A931"/>
      <c r="B931"/>
      <c r="C931"/>
      <c r="D931"/>
      <c r="E931"/>
      <c r="F931"/>
      <c r="G931"/>
      <c r="H931"/>
      <c r="I931"/>
    </row>
    <row r="932" spans="1:9" ht="15" x14ac:dyDescent="0.25">
      <c r="A932"/>
      <c r="B932"/>
      <c r="C932"/>
      <c r="D932"/>
      <c r="E932"/>
      <c r="F932"/>
      <c r="G932"/>
      <c r="H932"/>
      <c r="I932"/>
    </row>
    <row r="933" spans="1:9" ht="15" x14ac:dyDescent="0.25">
      <c r="A933"/>
      <c r="B933"/>
      <c r="C933"/>
      <c r="D933"/>
      <c r="E933"/>
      <c r="F933"/>
      <c r="G933"/>
      <c r="H933"/>
      <c r="I933"/>
    </row>
    <row r="934" spans="1:9" ht="15" x14ac:dyDescent="0.25">
      <c r="A934"/>
      <c r="B934"/>
      <c r="C934"/>
      <c r="D934"/>
      <c r="E934"/>
      <c r="F934"/>
      <c r="G934"/>
      <c r="H934"/>
      <c r="I934"/>
    </row>
    <row r="935" spans="1:9" ht="15" x14ac:dyDescent="0.25">
      <c r="A935"/>
      <c r="B935"/>
      <c r="C935"/>
      <c r="D935"/>
      <c r="E935"/>
      <c r="F935"/>
      <c r="G935"/>
      <c r="H935"/>
      <c r="I935"/>
    </row>
    <row r="936" spans="1:9" ht="15" x14ac:dyDescent="0.25">
      <c r="A936"/>
      <c r="B936"/>
      <c r="C936"/>
      <c r="D936"/>
      <c r="E936"/>
      <c r="F936"/>
      <c r="G936"/>
      <c r="H936"/>
      <c r="I936"/>
    </row>
    <row r="937" spans="1:9" ht="15" x14ac:dyDescent="0.25">
      <c r="A937"/>
      <c r="B937"/>
      <c r="C937"/>
      <c r="D937"/>
      <c r="E937"/>
      <c r="F937"/>
      <c r="G937"/>
      <c r="H937"/>
      <c r="I937"/>
    </row>
    <row r="938" spans="1:9" ht="15" x14ac:dyDescent="0.25">
      <c r="A938"/>
      <c r="B938"/>
      <c r="C938"/>
      <c r="D938"/>
      <c r="E938"/>
      <c r="F938"/>
      <c r="G938"/>
      <c r="H938"/>
      <c r="I938"/>
    </row>
    <row r="939" spans="1:9" ht="15" x14ac:dyDescent="0.25">
      <c r="A939"/>
      <c r="B939"/>
      <c r="C939"/>
      <c r="D939"/>
      <c r="E939"/>
      <c r="F939"/>
      <c r="G939"/>
      <c r="H939"/>
      <c r="I939"/>
    </row>
    <row r="940" spans="1:9" ht="15" x14ac:dyDescent="0.25">
      <c r="A940"/>
      <c r="B940"/>
      <c r="C940"/>
      <c r="D940"/>
      <c r="E940"/>
      <c r="F940"/>
      <c r="G940"/>
      <c r="H940"/>
      <c r="I940"/>
    </row>
    <row r="941" spans="1:9" ht="15" x14ac:dyDescent="0.25">
      <c r="A941"/>
      <c r="B941"/>
      <c r="C941"/>
      <c r="D941"/>
      <c r="E941"/>
      <c r="F941"/>
      <c r="G941"/>
      <c r="H941"/>
      <c r="I941"/>
    </row>
    <row r="942" spans="1:9" ht="15" x14ac:dyDescent="0.25">
      <c r="A942"/>
      <c r="B942"/>
      <c r="C942"/>
      <c r="D942"/>
      <c r="E942"/>
      <c r="F942"/>
      <c r="G942"/>
      <c r="H942"/>
      <c r="I942"/>
    </row>
    <row r="943" spans="1:9" ht="15" x14ac:dyDescent="0.25">
      <c r="A943"/>
      <c r="B943"/>
      <c r="C943"/>
      <c r="D943"/>
      <c r="E943"/>
      <c r="F943"/>
      <c r="G943"/>
      <c r="H943"/>
      <c r="I943"/>
    </row>
    <row r="944" spans="1:9" ht="15" x14ac:dyDescent="0.25">
      <c r="A944"/>
      <c r="B944"/>
      <c r="C944"/>
      <c r="D944"/>
      <c r="E944"/>
      <c r="F944"/>
      <c r="G944"/>
      <c r="H944"/>
      <c r="I944"/>
    </row>
    <row r="945" spans="1:9" ht="15" x14ac:dyDescent="0.25">
      <c r="A945"/>
      <c r="B945"/>
      <c r="C945"/>
      <c r="D945"/>
      <c r="E945"/>
      <c r="F945"/>
      <c r="G945"/>
      <c r="H945"/>
      <c r="I945"/>
    </row>
    <row r="946" spans="1:9" ht="15" x14ac:dyDescent="0.25">
      <c r="A946"/>
      <c r="B946"/>
      <c r="C946"/>
      <c r="D946"/>
      <c r="E946"/>
      <c r="F946"/>
      <c r="G946"/>
      <c r="H946"/>
      <c r="I946"/>
    </row>
    <row r="947" spans="1:9" ht="15" x14ac:dyDescent="0.25">
      <c r="A947"/>
      <c r="B947"/>
      <c r="C947"/>
      <c r="D947"/>
      <c r="E947"/>
      <c r="F947"/>
      <c r="G947"/>
      <c r="H947"/>
      <c r="I947"/>
    </row>
    <row r="948" spans="1:9" ht="15" x14ac:dyDescent="0.25">
      <c r="A948"/>
      <c r="B948"/>
      <c r="C948"/>
      <c r="D948"/>
      <c r="E948"/>
      <c r="F948"/>
      <c r="G948"/>
      <c r="H948"/>
      <c r="I948"/>
    </row>
    <row r="949" spans="1:9" ht="15" x14ac:dyDescent="0.25">
      <c r="A949"/>
      <c r="B949"/>
      <c r="C949"/>
      <c r="D949"/>
      <c r="E949"/>
      <c r="F949"/>
      <c r="G949"/>
      <c r="H949"/>
      <c r="I949"/>
    </row>
    <row r="950" spans="1:9" ht="15" x14ac:dyDescent="0.25">
      <c r="A950"/>
      <c r="B950"/>
      <c r="C950"/>
      <c r="D950"/>
      <c r="E950"/>
      <c r="F950"/>
      <c r="G950"/>
      <c r="H950"/>
      <c r="I950"/>
    </row>
    <row r="951" spans="1:9" ht="15" x14ac:dyDescent="0.25">
      <c r="A951"/>
      <c r="B951"/>
      <c r="C951"/>
      <c r="D951"/>
      <c r="E951"/>
      <c r="F951"/>
      <c r="G951"/>
      <c r="H951"/>
      <c r="I951"/>
    </row>
    <row r="952" spans="1:9" ht="15" x14ac:dyDescent="0.25">
      <c r="A952"/>
      <c r="B952"/>
      <c r="C952"/>
      <c r="D952"/>
      <c r="E952"/>
      <c r="F952"/>
      <c r="G952"/>
      <c r="H952"/>
      <c r="I952"/>
    </row>
    <row r="953" spans="1:9" ht="15" x14ac:dyDescent="0.25">
      <c r="A953"/>
      <c r="B953"/>
      <c r="C953"/>
      <c r="D953"/>
      <c r="E953"/>
      <c r="F953"/>
      <c r="G953"/>
      <c r="H953"/>
      <c r="I953"/>
    </row>
    <row r="954" spans="1:9" ht="15" x14ac:dyDescent="0.25">
      <c r="A954"/>
      <c r="B954"/>
      <c r="C954"/>
      <c r="D954"/>
      <c r="E954"/>
      <c r="F954"/>
      <c r="G954"/>
      <c r="H954"/>
      <c r="I954"/>
    </row>
    <row r="955" spans="1:9" ht="15" x14ac:dyDescent="0.25">
      <c r="A955"/>
      <c r="B955"/>
      <c r="C955"/>
      <c r="D955"/>
      <c r="E955"/>
      <c r="F955"/>
      <c r="G955"/>
      <c r="H955"/>
      <c r="I955"/>
    </row>
    <row r="956" spans="1:9" ht="15" x14ac:dyDescent="0.25">
      <c r="A956"/>
      <c r="B956"/>
      <c r="C956"/>
      <c r="D956"/>
      <c r="E956"/>
      <c r="F956"/>
      <c r="G956"/>
      <c r="H956"/>
      <c r="I956"/>
    </row>
    <row r="957" spans="1:9" ht="15" x14ac:dyDescent="0.25">
      <c r="A957"/>
      <c r="B957"/>
      <c r="C957"/>
      <c r="D957"/>
      <c r="E957"/>
      <c r="F957"/>
      <c r="G957"/>
      <c r="H957"/>
      <c r="I957"/>
    </row>
    <row r="958" spans="1:9" ht="15" x14ac:dyDescent="0.25">
      <c r="A958"/>
      <c r="B958"/>
      <c r="C958"/>
      <c r="D958"/>
      <c r="E958"/>
      <c r="F958"/>
      <c r="G958"/>
      <c r="H958"/>
      <c r="I958"/>
    </row>
    <row r="959" spans="1:9" ht="15" x14ac:dyDescent="0.25">
      <c r="A959"/>
      <c r="B959"/>
      <c r="C959"/>
      <c r="D959"/>
      <c r="E959"/>
      <c r="F959"/>
      <c r="G959"/>
      <c r="H959"/>
      <c r="I959"/>
    </row>
    <row r="960" spans="1:9" ht="15" x14ac:dyDescent="0.25">
      <c r="A960"/>
      <c r="B960"/>
      <c r="C960"/>
      <c r="D960"/>
      <c r="E960"/>
      <c r="F960"/>
      <c r="G960"/>
      <c r="H960"/>
      <c r="I960"/>
    </row>
    <row r="961" spans="1:9" ht="15" x14ac:dyDescent="0.25">
      <c r="A961"/>
      <c r="B961"/>
      <c r="C961"/>
      <c r="D961"/>
      <c r="E961"/>
      <c r="F961"/>
      <c r="G961"/>
      <c r="H961"/>
      <c r="I961"/>
    </row>
    <row r="962" spans="1:9" ht="15" x14ac:dyDescent="0.25">
      <c r="A962"/>
      <c r="B962"/>
      <c r="C962"/>
      <c r="D962"/>
      <c r="E962"/>
      <c r="F962"/>
      <c r="G962"/>
      <c r="H962"/>
      <c r="I962"/>
    </row>
    <row r="963" spans="1:9" ht="15" x14ac:dyDescent="0.25">
      <c r="A963"/>
      <c r="B963"/>
      <c r="C963"/>
      <c r="D963"/>
      <c r="E963"/>
      <c r="F963"/>
      <c r="G963"/>
      <c r="H963"/>
      <c r="I963"/>
    </row>
    <row r="964" spans="1:9" ht="15" x14ac:dyDescent="0.25">
      <c r="A964"/>
      <c r="B964"/>
      <c r="C964"/>
      <c r="D964"/>
      <c r="E964"/>
      <c r="F964"/>
      <c r="G964"/>
      <c r="H964"/>
      <c r="I964"/>
    </row>
    <row r="965" spans="1:9" ht="15" x14ac:dyDescent="0.25">
      <c r="A965"/>
      <c r="B965"/>
      <c r="C965"/>
      <c r="D965"/>
      <c r="E965"/>
      <c r="F965"/>
      <c r="G965"/>
      <c r="H965"/>
      <c r="I965"/>
    </row>
    <row r="966" spans="1:9" ht="15" x14ac:dyDescent="0.25">
      <c r="A966"/>
      <c r="B966"/>
      <c r="C966"/>
      <c r="D966"/>
      <c r="E966"/>
      <c r="F966"/>
      <c r="G966"/>
      <c r="H966"/>
      <c r="I966"/>
    </row>
    <row r="967" spans="1:9" ht="15" x14ac:dyDescent="0.25">
      <c r="A967"/>
      <c r="B967"/>
      <c r="C967"/>
      <c r="D967"/>
      <c r="E967"/>
      <c r="F967"/>
      <c r="G967"/>
      <c r="H967"/>
      <c r="I967"/>
    </row>
    <row r="968" spans="1:9" ht="15" x14ac:dyDescent="0.25">
      <c r="A968"/>
      <c r="B968"/>
      <c r="C968"/>
      <c r="D968"/>
      <c r="E968"/>
      <c r="F968"/>
      <c r="G968"/>
      <c r="H968"/>
      <c r="I968"/>
    </row>
    <row r="969" spans="1:9" ht="15" x14ac:dyDescent="0.25">
      <c r="A969"/>
      <c r="B969"/>
      <c r="C969"/>
      <c r="D969"/>
      <c r="E969"/>
      <c r="F969"/>
      <c r="G969"/>
      <c r="H969"/>
      <c r="I969"/>
    </row>
    <row r="970" spans="1:9" ht="15" x14ac:dyDescent="0.25">
      <c r="A970"/>
      <c r="B970"/>
      <c r="C970"/>
      <c r="D970"/>
      <c r="E970"/>
      <c r="F970"/>
      <c r="G970"/>
      <c r="H970"/>
      <c r="I970"/>
    </row>
    <row r="971" spans="1:9" ht="15" x14ac:dyDescent="0.25">
      <c r="A971"/>
      <c r="B971"/>
      <c r="C971"/>
      <c r="D971"/>
      <c r="E971"/>
      <c r="F971"/>
      <c r="G971"/>
      <c r="H971"/>
      <c r="I971"/>
    </row>
    <row r="972" spans="1:9" ht="15" x14ac:dyDescent="0.25">
      <c r="A972"/>
      <c r="B972"/>
      <c r="C972"/>
      <c r="D972"/>
      <c r="E972"/>
      <c r="F972"/>
      <c r="G972"/>
      <c r="H972"/>
      <c r="I972"/>
    </row>
    <row r="973" spans="1:9" ht="15" x14ac:dyDescent="0.25">
      <c r="A973"/>
      <c r="B973"/>
      <c r="C973"/>
      <c r="D973"/>
      <c r="E973"/>
      <c r="F973"/>
      <c r="G973"/>
      <c r="H973"/>
      <c r="I973"/>
    </row>
    <row r="974" spans="1:9" ht="15" x14ac:dyDescent="0.25">
      <c r="A974"/>
      <c r="B974"/>
      <c r="C974"/>
      <c r="D974"/>
      <c r="E974"/>
      <c r="F974"/>
      <c r="G974"/>
      <c r="H974"/>
      <c r="I974"/>
    </row>
    <row r="975" spans="1:9" ht="15" x14ac:dyDescent="0.25">
      <c r="A975"/>
      <c r="B975"/>
      <c r="C975"/>
      <c r="D975"/>
      <c r="E975"/>
      <c r="F975"/>
      <c r="G975"/>
      <c r="H975"/>
      <c r="I975"/>
    </row>
    <row r="976" spans="1:9" ht="15" x14ac:dyDescent="0.25">
      <c r="A976"/>
      <c r="B976"/>
      <c r="C976"/>
      <c r="D976"/>
      <c r="E976"/>
      <c r="F976"/>
      <c r="G976"/>
      <c r="H976"/>
      <c r="I976"/>
    </row>
    <row r="977" spans="1:9" ht="15" x14ac:dyDescent="0.25">
      <c r="A977"/>
      <c r="B977"/>
      <c r="C977"/>
      <c r="D977"/>
      <c r="E977"/>
      <c r="F977"/>
      <c r="G977"/>
      <c r="H977"/>
      <c r="I977"/>
    </row>
    <row r="978" spans="1:9" ht="15" x14ac:dyDescent="0.25">
      <c r="A978"/>
      <c r="B978"/>
      <c r="C978"/>
      <c r="D978"/>
      <c r="E978"/>
      <c r="F978"/>
      <c r="G978"/>
      <c r="H978"/>
      <c r="I978"/>
    </row>
    <row r="979" spans="1:9" ht="15" x14ac:dyDescent="0.25">
      <c r="A979"/>
      <c r="B979"/>
      <c r="C979"/>
      <c r="D979"/>
      <c r="E979"/>
      <c r="F979"/>
      <c r="G979"/>
      <c r="H979"/>
      <c r="I979"/>
    </row>
    <row r="980" spans="1:9" ht="15" x14ac:dyDescent="0.25">
      <c r="A980"/>
      <c r="B980"/>
      <c r="C980"/>
      <c r="D980"/>
      <c r="E980"/>
      <c r="F980"/>
      <c r="G980"/>
      <c r="H980"/>
      <c r="I980"/>
    </row>
    <row r="981" spans="1:9" ht="15" x14ac:dyDescent="0.25">
      <c r="A981"/>
      <c r="B981"/>
      <c r="C981"/>
      <c r="D981"/>
      <c r="E981"/>
      <c r="F981"/>
      <c r="G981"/>
      <c r="H981"/>
      <c r="I981"/>
    </row>
    <row r="982" spans="1:9" ht="15" x14ac:dyDescent="0.25">
      <c r="A982"/>
      <c r="B982"/>
      <c r="C982"/>
      <c r="D982"/>
      <c r="E982"/>
      <c r="F982"/>
      <c r="G982"/>
      <c r="H982"/>
      <c r="I982"/>
    </row>
    <row r="983" spans="1:9" ht="15" x14ac:dyDescent="0.25">
      <c r="A983"/>
      <c r="B983"/>
      <c r="C983"/>
      <c r="D983"/>
      <c r="E983"/>
      <c r="F983"/>
      <c r="G983"/>
      <c r="H983"/>
      <c r="I983"/>
    </row>
    <row r="984" spans="1:9" ht="15" x14ac:dyDescent="0.25">
      <c r="A984"/>
      <c r="B984"/>
      <c r="C984"/>
      <c r="D984"/>
      <c r="E984"/>
      <c r="F984"/>
      <c r="G984"/>
      <c r="H984"/>
      <c r="I984"/>
    </row>
    <row r="985" spans="1:9" ht="15" x14ac:dyDescent="0.25">
      <c r="A985"/>
      <c r="B985"/>
      <c r="C985"/>
      <c r="D985"/>
      <c r="E985"/>
      <c r="F985"/>
      <c r="G985"/>
      <c r="H985"/>
      <c r="I985"/>
    </row>
    <row r="986" spans="1:9" ht="15" x14ac:dyDescent="0.25">
      <c r="A986"/>
      <c r="B986"/>
      <c r="C986"/>
      <c r="D986"/>
      <c r="E986"/>
      <c r="F986"/>
      <c r="G986"/>
      <c r="H986"/>
      <c r="I986"/>
    </row>
    <row r="987" spans="1:9" ht="15" x14ac:dyDescent="0.25">
      <c r="A987"/>
      <c r="B987"/>
      <c r="C987"/>
      <c r="D987"/>
      <c r="E987"/>
      <c r="F987"/>
      <c r="G987"/>
      <c r="H987"/>
      <c r="I987"/>
    </row>
    <row r="988" spans="1:9" ht="15" x14ac:dyDescent="0.25">
      <c r="A988"/>
      <c r="B988"/>
      <c r="C988"/>
      <c r="D988"/>
      <c r="E988"/>
      <c r="F988"/>
      <c r="G988"/>
      <c r="H988"/>
      <c r="I988"/>
    </row>
    <row r="989" spans="1:9" ht="15" x14ac:dyDescent="0.25">
      <c r="A989"/>
      <c r="B989"/>
      <c r="C989"/>
      <c r="D989"/>
      <c r="E989"/>
      <c r="F989"/>
      <c r="G989"/>
      <c r="H989"/>
      <c r="I989"/>
    </row>
    <row r="990" spans="1:9" ht="15" x14ac:dyDescent="0.25">
      <c r="A990"/>
      <c r="B990"/>
      <c r="C990"/>
      <c r="D990"/>
      <c r="E990"/>
      <c r="F990"/>
      <c r="G990"/>
      <c r="H990"/>
      <c r="I990"/>
    </row>
    <row r="991" spans="1:9" ht="15" x14ac:dyDescent="0.25">
      <c r="A991"/>
      <c r="B991"/>
      <c r="C991"/>
      <c r="D991"/>
      <c r="E991"/>
      <c r="F991"/>
      <c r="G991"/>
      <c r="H991"/>
      <c r="I991"/>
    </row>
    <row r="992" spans="1:9" ht="15" x14ac:dyDescent="0.25">
      <c r="A992"/>
      <c r="B992"/>
      <c r="C992"/>
      <c r="D992"/>
      <c r="E992"/>
      <c r="F992"/>
      <c r="G992"/>
      <c r="H992"/>
      <c r="I992"/>
    </row>
    <row r="993" spans="1:9" ht="15" x14ac:dyDescent="0.25">
      <c r="A993"/>
      <c r="B993"/>
      <c r="C993"/>
      <c r="D993"/>
      <c r="E993"/>
      <c r="F993"/>
      <c r="G993"/>
      <c r="H993"/>
      <c r="I993"/>
    </row>
    <row r="994" spans="1:9" ht="15" x14ac:dyDescent="0.25">
      <c r="A994"/>
      <c r="B994"/>
      <c r="C994"/>
      <c r="D994"/>
      <c r="E994"/>
      <c r="F994"/>
      <c r="G994"/>
      <c r="H994"/>
      <c r="I994"/>
    </row>
    <row r="995" spans="1:9" ht="15" x14ac:dyDescent="0.25">
      <c r="A995"/>
      <c r="B995"/>
      <c r="C995"/>
      <c r="D995"/>
      <c r="E995"/>
      <c r="F995"/>
      <c r="G995"/>
      <c r="H995"/>
      <c r="I995"/>
    </row>
    <row r="996" spans="1:9" ht="15" x14ac:dyDescent="0.25">
      <c r="A996"/>
      <c r="B996"/>
      <c r="C996"/>
      <c r="D996"/>
      <c r="E996"/>
      <c r="F996"/>
      <c r="G996"/>
      <c r="H996"/>
      <c r="I996"/>
    </row>
    <row r="997" spans="1:9" ht="15" x14ac:dyDescent="0.25">
      <c r="A997"/>
      <c r="B997"/>
      <c r="C997"/>
      <c r="D997"/>
      <c r="E997"/>
      <c r="F997"/>
      <c r="G997"/>
      <c r="H997"/>
      <c r="I997"/>
    </row>
    <row r="998" spans="1:9" ht="15" x14ac:dyDescent="0.25">
      <c r="A998"/>
      <c r="B998"/>
      <c r="C998"/>
      <c r="D998"/>
      <c r="E998"/>
      <c r="F998"/>
      <c r="G998"/>
      <c r="H998"/>
      <c r="I998"/>
    </row>
    <row r="999" spans="1:9" ht="15" x14ac:dyDescent="0.25">
      <c r="A999"/>
      <c r="B999"/>
      <c r="C999"/>
      <c r="D999"/>
      <c r="E999"/>
      <c r="F999"/>
      <c r="G999"/>
      <c r="H999"/>
      <c r="I999"/>
    </row>
    <row r="1000" spans="1:9" ht="15" x14ac:dyDescent="0.25">
      <c r="A1000"/>
      <c r="B1000"/>
      <c r="C1000"/>
      <c r="D1000"/>
      <c r="E1000"/>
      <c r="F1000"/>
      <c r="G1000"/>
      <c r="H1000"/>
      <c r="I1000"/>
    </row>
    <row r="1001" spans="1:9" ht="15" x14ac:dyDescent="0.25">
      <c r="A1001"/>
      <c r="B1001"/>
      <c r="C1001"/>
      <c r="D1001"/>
      <c r="E1001"/>
      <c r="F1001"/>
      <c r="G1001"/>
      <c r="H1001"/>
      <c r="I1001"/>
    </row>
    <row r="1002" spans="1:9" ht="15" x14ac:dyDescent="0.25">
      <c r="A1002"/>
      <c r="B1002"/>
      <c r="C1002"/>
      <c r="D1002"/>
      <c r="E1002"/>
      <c r="F1002"/>
      <c r="G1002"/>
      <c r="H1002"/>
      <c r="I1002"/>
    </row>
    <row r="1003" spans="1:9" ht="15" x14ac:dyDescent="0.25">
      <c r="A1003"/>
      <c r="B1003"/>
      <c r="C1003"/>
      <c r="D1003"/>
      <c r="E1003"/>
      <c r="F1003"/>
      <c r="G1003"/>
      <c r="H1003"/>
      <c r="I1003"/>
    </row>
    <row r="1004" spans="1:9" ht="15" x14ac:dyDescent="0.25">
      <c r="A1004"/>
      <c r="B1004"/>
      <c r="C1004"/>
      <c r="D1004"/>
      <c r="E1004"/>
      <c r="F1004"/>
      <c r="G1004"/>
      <c r="H1004"/>
      <c r="I1004"/>
    </row>
    <row r="1005" spans="1:9" ht="15" x14ac:dyDescent="0.25">
      <c r="A1005"/>
      <c r="B1005"/>
      <c r="C1005"/>
      <c r="D1005"/>
      <c r="E1005"/>
      <c r="F1005"/>
      <c r="G1005"/>
      <c r="H1005"/>
      <c r="I1005"/>
    </row>
    <row r="1006" spans="1:9" ht="15" x14ac:dyDescent="0.25">
      <c r="A1006"/>
      <c r="B1006"/>
      <c r="C1006"/>
      <c r="D1006"/>
      <c r="E1006"/>
      <c r="F1006"/>
      <c r="G1006"/>
      <c r="H1006"/>
      <c r="I1006"/>
    </row>
    <row r="1007" spans="1:9" ht="15" x14ac:dyDescent="0.25">
      <c r="A1007"/>
      <c r="B1007"/>
      <c r="C1007"/>
      <c r="D1007"/>
      <c r="E1007"/>
      <c r="F1007"/>
      <c r="G1007"/>
      <c r="H1007"/>
      <c r="I1007"/>
    </row>
    <row r="1008" spans="1:9" ht="15" x14ac:dyDescent="0.25">
      <c r="A1008"/>
      <c r="B1008"/>
      <c r="C1008"/>
      <c r="D1008"/>
      <c r="E1008"/>
      <c r="F1008"/>
      <c r="G1008"/>
      <c r="H1008"/>
      <c r="I1008"/>
    </row>
    <row r="1009" spans="1:9" ht="15" x14ac:dyDescent="0.25">
      <c r="A1009"/>
      <c r="B1009"/>
      <c r="C1009"/>
      <c r="D1009"/>
      <c r="E1009"/>
      <c r="F1009"/>
      <c r="G1009"/>
      <c r="H1009"/>
      <c r="I1009"/>
    </row>
    <row r="1010" spans="1:9" ht="15" x14ac:dyDescent="0.25">
      <c r="A1010"/>
      <c r="B1010"/>
      <c r="C1010"/>
      <c r="D1010"/>
      <c r="E1010"/>
      <c r="F1010"/>
      <c r="G1010"/>
      <c r="H1010"/>
      <c r="I1010"/>
    </row>
    <row r="1011" spans="1:9" ht="15" x14ac:dyDescent="0.25">
      <c r="A1011"/>
      <c r="B1011"/>
      <c r="C1011"/>
      <c r="D1011"/>
      <c r="E1011"/>
      <c r="F1011"/>
      <c r="G1011"/>
      <c r="H1011"/>
      <c r="I1011"/>
    </row>
    <row r="1012" spans="1:9" ht="15" x14ac:dyDescent="0.25">
      <c r="A1012"/>
      <c r="B1012"/>
      <c r="C1012"/>
      <c r="D1012"/>
      <c r="E1012"/>
      <c r="F1012"/>
      <c r="G1012"/>
      <c r="H1012"/>
      <c r="I1012"/>
    </row>
    <row r="1013" spans="1:9" ht="15" x14ac:dyDescent="0.25">
      <c r="A1013"/>
      <c r="B1013"/>
      <c r="C1013"/>
      <c r="D1013"/>
      <c r="E1013"/>
      <c r="F1013"/>
      <c r="G1013"/>
      <c r="H1013"/>
      <c r="I1013"/>
    </row>
    <row r="1014" spans="1:9" ht="15" x14ac:dyDescent="0.25">
      <c r="A1014"/>
      <c r="B1014"/>
      <c r="C1014"/>
      <c r="D1014"/>
      <c r="E1014"/>
      <c r="F1014"/>
      <c r="G1014"/>
      <c r="H1014"/>
      <c r="I1014"/>
    </row>
    <row r="1015" spans="1:9" ht="15" x14ac:dyDescent="0.25">
      <c r="A1015"/>
      <c r="B1015"/>
      <c r="C1015"/>
      <c r="D1015"/>
      <c r="E1015"/>
      <c r="F1015"/>
      <c r="G1015"/>
      <c r="H1015"/>
      <c r="I1015"/>
    </row>
    <row r="1016" spans="1:9" ht="15" x14ac:dyDescent="0.25">
      <c r="A1016"/>
      <c r="B1016"/>
      <c r="C1016"/>
      <c r="D1016"/>
      <c r="E1016"/>
      <c r="F1016"/>
      <c r="G1016"/>
      <c r="H1016"/>
      <c r="I1016"/>
    </row>
    <row r="1017" spans="1:9" ht="15" x14ac:dyDescent="0.25">
      <c r="A1017"/>
      <c r="B1017"/>
      <c r="C1017"/>
      <c r="D1017"/>
      <c r="E1017"/>
      <c r="F1017"/>
      <c r="G1017"/>
      <c r="H1017"/>
      <c r="I1017"/>
    </row>
    <row r="1018" spans="1:9" ht="15" x14ac:dyDescent="0.25">
      <c r="A1018"/>
      <c r="B1018"/>
      <c r="C1018"/>
      <c r="D1018"/>
      <c r="E1018"/>
      <c r="F1018"/>
      <c r="G1018"/>
      <c r="H1018"/>
      <c r="I1018"/>
    </row>
    <row r="1019" spans="1:9" ht="15" x14ac:dyDescent="0.25">
      <c r="A1019"/>
      <c r="B1019"/>
      <c r="C1019"/>
      <c r="D1019"/>
      <c r="E1019"/>
      <c r="F1019"/>
      <c r="G1019"/>
      <c r="H1019"/>
      <c r="I1019"/>
    </row>
    <row r="1020" spans="1:9" ht="15" x14ac:dyDescent="0.25">
      <c r="A1020"/>
      <c r="B1020"/>
      <c r="C1020"/>
      <c r="D1020"/>
      <c r="E1020"/>
      <c r="F1020"/>
      <c r="G1020"/>
      <c r="H1020"/>
      <c r="I1020"/>
    </row>
    <row r="1021" spans="1:9" ht="15" x14ac:dyDescent="0.25">
      <c r="A1021"/>
      <c r="B1021"/>
      <c r="C1021"/>
      <c r="D1021"/>
      <c r="E1021"/>
      <c r="F1021"/>
      <c r="G1021"/>
      <c r="H1021"/>
      <c r="I1021"/>
    </row>
    <row r="1022" spans="1:9" ht="15" x14ac:dyDescent="0.25">
      <c r="A1022"/>
      <c r="B1022"/>
      <c r="C1022"/>
      <c r="D1022"/>
      <c r="E1022"/>
      <c r="F1022"/>
      <c r="G1022"/>
      <c r="H1022"/>
      <c r="I1022"/>
    </row>
    <row r="1023" spans="1:9" ht="15" x14ac:dyDescent="0.25">
      <c r="A1023"/>
      <c r="B1023"/>
      <c r="C1023"/>
      <c r="D1023"/>
      <c r="E1023"/>
      <c r="F1023"/>
      <c r="G1023"/>
      <c r="H1023"/>
      <c r="I1023"/>
    </row>
    <row r="1024" spans="1:9" ht="15" x14ac:dyDescent="0.25">
      <c r="A1024"/>
      <c r="B1024"/>
      <c r="C1024"/>
      <c r="D1024"/>
      <c r="E1024"/>
      <c r="F1024"/>
      <c r="G1024"/>
      <c r="H1024"/>
      <c r="I1024"/>
    </row>
    <row r="1025" spans="1:9" ht="15" x14ac:dyDescent="0.25">
      <c r="A1025"/>
      <c r="B1025"/>
      <c r="C1025"/>
      <c r="D1025"/>
      <c r="E1025"/>
      <c r="F1025"/>
      <c r="G1025"/>
      <c r="H1025"/>
      <c r="I1025"/>
    </row>
    <row r="1026" spans="1:9" ht="15" x14ac:dyDescent="0.25">
      <c r="A1026"/>
      <c r="B1026"/>
      <c r="C1026"/>
      <c r="D1026"/>
      <c r="E1026"/>
      <c r="F1026"/>
      <c r="G1026"/>
      <c r="H1026"/>
      <c r="I1026"/>
    </row>
    <row r="1027" spans="1:9" ht="15" x14ac:dyDescent="0.25">
      <c r="A1027"/>
      <c r="B1027"/>
      <c r="C1027"/>
      <c r="D1027"/>
      <c r="E1027"/>
      <c r="F1027"/>
      <c r="G1027"/>
      <c r="H1027"/>
      <c r="I1027"/>
    </row>
    <row r="1028" spans="1:9" ht="15" x14ac:dyDescent="0.25">
      <c r="A1028"/>
      <c r="B1028"/>
      <c r="C1028"/>
      <c r="D1028"/>
      <c r="E1028"/>
      <c r="F1028"/>
      <c r="G1028"/>
      <c r="H1028"/>
      <c r="I1028"/>
    </row>
    <row r="1029" spans="1:9" ht="15" x14ac:dyDescent="0.25">
      <c r="A1029"/>
      <c r="B1029"/>
      <c r="C1029"/>
      <c r="D1029"/>
      <c r="E1029"/>
      <c r="I1029"/>
    </row>
    <row r="1030" spans="1:9" ht="15" x14ac:dyDescent="0.25">
      <c r="A1030"/>
      <c r="B1030"/>
      <c r="C1030"/>
      <c r="D1030"/>
      <c r="E1030"/>
      <c r="I1030"/>
    </row>
    <row r="1031" spans="1:9" ht="15" x14ac:dyDescent="0.25">
      <c r="A1031"/>
      <c r="B1031"/>
      <c r="C1031"/>
      <c r="D1031"/>
      <c r="E1031"/>
    </row>
    <row r="1032" spans="1:9" ht="15" x14ac:dyDescent="0.25">
      <c r="A1032"/>
      <c r="B1032"/>
      <c r="C1032"/>
      <c r="D1032"/>
      <c r="E1032"/>
    </row>
    <row r="1033" spans="1:9" ht="15" x14ac:dyDescent="0.25">
      <c r="A1033"/>
      <c r="B1033"/>
      <c r="C1033"/>
      <c r="D1033"/>
      <c r="E1033"/>
    </row>
    <row r="1034" spans="1:9" ht="15" x14ac:dyDescent="0.25">
      <c r="A1034"/>
      <c r="B1034"/>
      <c r="C1034"/>
      <c r="D1034"/>
      <c r="E1034"/>
    </row>
    <row r="1035" spans="1:9" ht="15" x14ac:dyDescent="0.25">
      <c r="A1035"/>
      <c r="B1035"/>
      <c r="C1035"/>
      <c r="D1035"/>
      <c r="E1035"/>
    </row>
    <row r="1036" spans="1:9" ht="15" x14ac:dyDescent="0.25">
      <c r="A1036"/>
      <c r="B1036"/>
      <c r="C1036"/>
      <c r="D1036"/>
      <c r="E1036"/>
    </row>
    <row r="1037" spans="1:9" ht="15" x14ac:dyDescent="0.25">
      <c r="A1037"/>
      <c r="B1037"/>
      <c r="C1037"/>
      <c r="D1037"/>
      <c r="E1037"/>
    </row>
    <row r="1038" spans="1:9" ht="15" x14ac:dyDescent="0.25">
      <c r="A1038"/>
      <c r="B1038"/>
      <c r="C1038"/>
      <c r="D1038"/>
      <c r="E1038"/>
    </row>
    <row r="1039" spans="1:9" ht="15" x14ac:dyDescent="0.25">
      <c r="A1039"/>
      <c r="B1039"/>
      <c r="C1039"/>
      <c r="D1039"/>
      <c r="E1039"/>
    </row>
    <row r="1040" spans="1:9" ht="15" x14ac:dyDescent="0.25">
      <c r="A1040"/>
      <c r="B1040"/>
      <c r="C1040"/>
      <c r="D1040"/>
      <c r="E1040"/>
    </row>
    <row r="1041" spans="1:5" ht="15" x14ac:dyDescent="0.25">
      <c r="A1041"/>
      <c r="B1041"/>
      <c r="C1041"/>
      <c r="D1041"/>
      <c r="E1041"/>
    </row>
    <row r="1042" spans="1:5" ht="15" x14ac:dyDescent="0.25">
      <c r="A1042"/>
      <c r="B1042"/>
      <c r="C1042"/>
      <c r="D1042"/>
      <c r="E1042"/>
    </row>
    <row r="1043" spans="1:5" ht="15" x14ac:dyDescent="0.25">
      <c r="A1043"/>
      <c r="B1043"/>
      <c r="C1043"/>
      <c r="D1043"/>
      <c r="E1043"/>
    </row>
    <row r="1044" spans="1:5" ht="15" x14ac:dyDescent="0.25">
      <c r="A1044"/>
      <c r="B1044"/>
      <c r="C1044"/>
      <c r="D1044"/>
      <c r="E1044"/>
    </row>
    <row r="1045" spans="1:5" ht="15" x14ac:dyDescent="0.25">
      <c r="A1045"/>
      <c r="B1045"/>
      <c r="C1045"/>
      <c r="D1045"/>
      <c r="E1045"/>
    </row>
    <row r="1046" spans="1:5" ht="15" x14ac:dyDescent="0.25">
      <c r="A1046"/>
      <c r="B1046"/>
      <c r="C1046"/>
      <c r="D1046"/>
      <c r="E1046"/>
    </row>
    <row r="1047" spans="1:5" ht="15" x14ac:dyDescent="0.25">
      <c r="A1047"/>
      <c r="B1047"/>
      <c r="C1047"/>
      <c r="D1047"/>
      <c r="E1047"/>
    </row>
    <row r="1048" spans="1:5" ht="15" x14ac:dyDescent="0.25">
      <c r="A1048"/>
      <c r="B1048"/>
      <c r="C1048"/>
      <c r="D1048"/>
      <c r="E1048"/>
    </row>
    <row r="1049" spans="1:5" ht="15" x14ac:dyDescent="0.25">
      <c r="A1049"/>
      <c r="B1049"/>
      <c r="C1049"/>
      <c r="D1049"/>
      <c r="E1049"/>
    </row>
    <row r="1050" spans="1:5" ht="15" x14ac:dyDescent="0.25">
      <c r="A1050"/>
      <c r="B1050"/>
      <c r="C1050"/>
      <c r="D1050"/>
      <c r="E1050"/>
    </row>
    <row r="1051" spans="1:5" ht="15" x14ac:dyDescent="0.25">
      <c r="A1051"/>
      <c r="B1051"/>
      <c r="C1051"/>
      <c r="D1051"/>
      <c r="E1051"/>
    </row>
    <row r="1052" spans="1:5" ht="15" x14ac:dyDescent="0.25">
      <c r="A1052"/>
      <c r="B1052"/>
      <c r="C1052"/>
      <c r="D1052"/>
      <c r="E1052"/>
    </row>
    <row r="1053" spans="1:5" ht="15" x14ac:dyDescent="0.25">
      <c r="A1053"/>
      <c r="B1053"/>
      <c r="C1053"/>
      <c r="D1053"/>
      <c r="E1053"/>
    </row>
    <row r="1054" spans="1:5" ht="15" x14ac:dyDescent="0.25">
      <c r="A1054"/>
      <c r="B1054"/>
      <c r="C1054"/>
      <c r="D1054"/>
      <c r="E1054"/>
    </row>
    <row r="1055" spans="1:5" ht="15" x14ac:dyDescent="0.25">
      <c r="A1055"/>
      <c r="B1055"/>
      <c r="C1055"/>
      <c r="D1055"/>
      <c r="E1055"/>
    </row>
    <row r="1056" spans="1:5" ht="15" x14ac:dyDescent="0.25">
      <c r="A1056"/>
      <c r="B1056"/>
      <c r="C1056"/>
      <c r="D1056"/>
      <c r="E1056"/>
    </row>
    <row r="1057" spans="1:5" ht="15" x14ac:dyDescent="0.25">
      <c r="A1057"/>
      <c r="B1057"/>
      <c r="C1057"/>
      <c r="D1057"/>
      <c r="E1057"/>
    </row>
    <row r="1058" spans="1:5" ht="15" x14ac:dyDescent="0.25">
      <c r="A1058"/>
      <c r="B1058"/>
      <c r="C1058"/>
      <c r="D1058"/>
      <c r="E1058"/>
    </row>
    <row r="1059" spans="1:5" ht="15" x14ac:dyDescent="0.25">
      <c r="A1059"/>
      <c r="B1059"/>
      <c r="C1059"/>
      <c r="D1059"/>
      <c r="E1059"/>
    </row>
    <row r="1060" spans="1:5" ht="15" x14ac:dyDescent="0.25">
      <c r="A1060"/>
      <c r="B1060"/>
      <c r="C1060"/>
      <c r="D1060"/>
      <c r="E1060"/>
    </row>
    <row r="1061" spans="1:5" ht="15" x14ac:dyDescent="0.25">
      <c r="A1061"/>
      <c r="B1061"/>
      <c r="C1061"/>
      <c r="D1061"/>
      <c r="E1061"/>
    </row>
    <row r="1062" spans="1:5" ht="15" x14ac:dyDescent="0.25">
      <c r="A1062"/>
      <c r="B1062"/>
      <c r="C1062"/>
      <c r="D1062"/>
      <c r="E1062"/>
    </row>
    <row r="1063" spans="1:5" ht="15" x14ac:dyDescent="0.25">
      <c r="A1063"/>
      <c r="B1063"/>
      <c r="C1063"/>
      <c r="D1063"/>
      <c r="E1063"/>
    </row>
    <row r="1064" spans="1:5" ht="15" x14ac:dyDescent="0.25">
      <c r="A1064"/>
      <c r="B1064"/>
      <c r="C1064"/>
      <c r="D1064"/>
      <c r="E1064"/>
    </row>
    <row r="1065" spans="1:5" ht="15" x14ac:dyDescent="0.25">
      <c r="A1065"/>
      <c r="B1065"/>
      <c r="C1065"/>
      <c r="D1065"/>
      <c r="E1065"/>
    </row>
    <row r="1066" spans="1:5" ht="15" x14ac:dyDescent="0.25">
      <c r="A1066"/>
      <c r="B1066"/>
      <c r="C1066"/>
      <c r="D1066"/>
      <c r="E1066"/>
    </row>
    <row r="1067" spans="1:5" ht="15" x14ac:dyDescent="0.25">
      <c r="A1067"/>
      <c r="B1067"/>
      <c r="C1067"/>
      <c r="D1067"/>
      <c r="E1067"/>
    </row>
    <row r="1068" spans="1:5" ht="15" x14ac:dyDescent="0.25">
      <c r="A1068"/>
      <c r="B1068"/>
      <c r="C1068"/>
      <c r="D1068"/>
      <c r="E1068"/>
    </row>
    <row r="1069" spans="1:5" ht="15" x14ac:dyDescent="0.25">
      <c r="A1069"/>
      <c r="B1069"/>
      <c r="C1069"/>
      <c r="D1069"/>
      <c r="E1069"/>
    </row>
    <row r="1070" spans="1:5" ht="15" x14ac:dyDescent="0.25">
      <c r="A1070"/>
      <c r="B1070"/>
      <c r="C1070"/>
      <c r="D1070"/>
      <c r="E1070"/>
    </row>
    <row r="1071" spans="1:5" ht="15" x14ac:dyDescent="0.25">
      <c r="A1071"/>
      <c r="B1071"/>
      <c r="C1071"/>
      <c r="D1071"/>
      <c r="E1071"/>
    </row>
    <row r="1072" spans="1:5" ht="15" x14ac:dyDescent="0.25">
      <c r="A1072"/>
      <c r="B1072"/>
      <c r="C1072"/>
      <c r="D1072"/>
      <c r="E1072"/>
    </row>
    <row r="1073" spans="1:5" ht="15" x14ac:dyDescent="0.25">
      <c r="A1073"/>
      <c r="B1073"/>
      <c r="C1073"/>
      <c r="D1073"/>
      <c r="E1073"/>
    </row>
    <row r="1074" spans="1:5" ht="15" x14ac:dyDescent="0.25">
      <c r="A1074"/>
      <c r="B1074"/>
      <c r="C1074"/>
      <c r="D1074"/>
      <c r="E1074"/>
    </row>
    <row r="1075" spans="1:5" ht="15" x14ac:dyDescent="0.25">
      <c r="A1075"/>
      <c r="B1075"/>
      <c r="C1075"/>
      <c r="D1075"/>
      <c r="E1075"/>
    </row>
    <row r="1076" spans="1:5" ht="15" x14ac:dyDescent="0.25">
      <c r="A1076"/>
      <c r="B1076"/>
      <c r="C1076"/>
      <c r="D1076"/>
      <c r="E1076"/>
    </row>
    <row r="1077" spans="1:5" ht="15" x14ac:dyDescent="0.25">
      <c r="A1077"/>
      <c r="B1077"/>
      <c r="C1077"/>
      <c r="D1077"/>
      <c r="E1077"/>
    </row>
    <row r="1078" spans="1:5" ht="15" x14ac:dyDescent="0.25">
      <c r="A1078"/>
      <c r="B1078"/>
      <c r="C1078"/>
      <c r="D1078"/>
      <c r="E1078"/>
    </row>
    <row r="1079" spans="1:5" ht="15" x14ac:dyDescent="0.25">
      <c r="A1079"/>
      <c r="B1079"/>
      <c r="C1079"/>
      <c r="D1079"/>
      <c r="E1079"/>
    </row>
    <row r="1080" spans="1:5" ht="15" x14ac:dyDescent="0.25">
      <c r="A1080"/>
      <c r="B1080"/>
      <c r="C1080"/>
      <c r="D1080"/>
      <c r="E1080"/>
    </row>
    <row r="1081" spans="1:5" ht="15" x14ac:dyDescent="0.25">
      <c r="A1081"/>
      <c r="B1081"/>
      <c r="C1081"/>
      <c r="D1081"/>
      <c r="E1081"/>
    </row>
    <row r="1082" spans="1:5" ht="15" x14ac:dyDescent="0.25">
      <c r="A1082"/>
      <c r="B1082"/>
      <c r="C1082"/>
      <c r="D1082"/>
      <c r="E1082"/>
    </row>
    <row r="1083" spans="1:5" ht="15" x14ac:dyDescent="0.25">
      <c r="A1083"/>
      <c r="B1083"/>
      <c r="C1083"/>
      <c r="D1083"/>
      <c r="E1083"/>
    </row>
    <row r="1084" spans="1:5" ht="15" x14ac:dyDescent="0.25">
      <c r="A1084"/>
      <c r="B1084"/>
      <c r="C1084"/>
      <c r="D1084"/>
      <c r="E1084"/>
    </row>
    <row r="1085" spans="1:5" ht="15" x14ac:dyDescent="0.25">
      <c r="A1085"/>
      <c r="B1085"/>
      <c r="C1085"/>
      <c r="D1085"/>
      <c r="E1085"/>
    </row>
    <row r="1086" spans="1:5" ht="15" x14ac:dyDescent="0.25">
      <c r="A1086"/>
      <c r="B1086"/>
      <c r="C1086"/>
      <c r="D1086"/>
      <c r="E1086"/>
    </row>
    <row r="1087" spans="1:5" ht="15" x14ac:dyDescent="0.25">
      <c r="A1087"/>
      <c r="B1087"/>
      <c r="C1087"/>
      <c r="D1087"/>
      <c r="E1087"/>
    </row>
    <row r="1088" spans="1:5" ht="15" x14ac:dyDescent="0.25">
      <c r="A1088"/>
      <c r="B1088"/>
      <c r="C1088"/>
      <c r="D1088"/>
      <c r="E1088"/>
    </row>
    <row r="1089" spans="1:5" ht="15" x14ac:dyDescent="0.25">
      <c r="A1089"/>
      <c r="B1089"/>
      <c r="C1089"/>
      <c r="D1089"/>
      <c r="E1089"/>
    </row>
    <row r="1090" spans="1:5" ht="15" x14ac:dyDescent="0.25">
      <c r="A1090"/>
      <c r="B1090"/>
      <c r="C1090"/>
      <c r="D1090"/>
      <c r="E1090"/>
    </row>
    <row r="1091" spans="1:5" ht="15" x14ac:dyDescent="0.25">
      <c r="A1091"/>
      <c r="B1091"/>
      <c r="C1091"/>
      <c r="D1091"/>
      <c r="E1091"/>
    </row>
    <row r="1092" spans="1:5" ht="15" x14ac:dyDescent="0.25">
      <c r="A1092"/>
      <c r="B1092"/>
      <c r="C1092"/>
      <c r="D1092"/>
      <c r="E1092"/>
    </row>
    <row r="1093" spans="1:5" ht="15" x14ac:dyDescent="0.25">
      <c r="A1093"/>
      <c r="B1093"/>
      <c r="C1093"/>
      <c r="D1093"/>
      <c r="E1093"/>
    </row>
    <row r="1094" spans="1:5" ht="15" x14ac:dyDescent="0.25">
      <c r="A1094"/>
      <c r="B1094"/>
      <c r="C1094"/>
      <c r="D1094"/>
      <c r="E1094"/>
    </row>
    <row r="1095" spans="1:5" ht="15" x14ac:dyDescent="0.25">
      <c r="A1095"/>
      <c r="B1095"/>
      <c r="C1095"/>
      <c r="D1095"/>
      <c r="E1095"/>
    </row>
    <row r="1096" spans="1:5" ht="15" x14ac:dyDescent="0.25">
      <c r="A1096"/>
      <c r="B1096"/>
      <c r="C1096"/>
      <c r="D1096"/>
      <c r="E1096"/>
    </row>
    <row r="1097" spans="1:5" ht="15" x14ac:dyDescent="0.25">
      <c r="A1097"/>
      <c r="B1097"/>
      <c r="C1097"/>
      <c r="D1097"/>
      <c r="E1097"/>
    </row>
    <row r="1098" spans="1:5" ht="15" x14ac:dyDescent="0.25">
      <c r="A1098"/>
      <c r="B1098"/>
      <c r="C1098"/>
      <c r="D1098"/>
      <c r="E1098"/>
    </row>
    <row r="1099" spans="1:5" ht="15" x14ac:dyDescent="0.25">
      <c r="A1099"/>
      <c r="B1099"/>
      <c r="C1099"/>
      <c r="D1099"/>
      <c r="E1099"/>
    </row>
    <row r="1100" spans="1:5" ht="15" x14ac:dyDescent="0.25">
      <c r="A1100"/>
      <c r="B1100"/>
      <c r="C1100"/>
      <c r="D1100"/>
      <c r="E1100"/>
    </row>
    <row r="1101" spans="1:5" ht="15" x14ac:dyDescent="0.25">
      <c r="A1101"/>
      <c r="B1101"/>
      <c r="C1101"/>
      <c r="D1101"/>
      <c r="E1101"/>
    </row>
    <row r="1102" spans="1:5" ht="15" x14ac:dyDescent="0.25">
      <c r="A1102"/>
      <c r="B1102"/>
      <c r="C1102"/>
      <c r="D1102"/>
      <c r="E1102"/>
    </row>
    <row r="1103" spans="1:5" ht="15" x14ac:dyDescent="0.25">
      <c r="A1103"/>
      <c r="B1103"/>
      <c r="C1103"/>
      <c r="D1103"/>
      <c r="E1103"/>
    </row>
    <row r="1104" spans="1:5" ht="15" x14ac:dyDescent="0.25">
      <c r="A1104"/>
      <c r="B1104"/>
      <c r="C1104"/>
      <c r="D1104"/>
      <c r="E1104"/>
    </row>
    <row r="1105" spans="1:5" ht="15" x14ac:dyDescent="0.25">
      <c r="A1105"/>
      <c r="B1105"/>
      <c r="C1105"/>
      <c r="D1105"/>
      <c r="E1105"/>
    </row>
    <row r="1106" spans="1:5" ht="15" x14ac:dyDescent="0.25">
      <c r="A1106"/>
      <c r="B1106"/>
      <c r="C1106"/>
      <c r="D1106"/>
      <c r="E1106"/>
    </row>
    <row r="1107" spans="1:5" ht="15" x14ac:dyDescent="0.25">
      <c r="A1107"/>
      <c r="B1107"/>
      <c r="C1107"/>
      <c r="D1107"/>
      <c r="E1107"/>
    </row>
    <row r="1108" spans="1:5" ht="15" x14ac:dyDescent="0.25">
      <c r="A1108"/>
      <c r="B1108"/>
      <c r="C1108"/>
      <c r="D1108"/>
      <c r="E1108"/>
    </row>
    <row r="1109" spans="1:5" ht="15" x14ac:dyDescent="0.25">
      <c r="A1109"/>
      <c r="B1109"/>
      <c r="C1109"/>
      <c r="D1109"/>
      <c r="E1109"/>
    </row>
    <row r="1110" spans="1:5" ht="15" x14ac:dyDescent="0.25">
      <c r="A1110"/>
      <c r="B1110"/>
      <c r="C1110"/>
      <c r="D1110"/>
      <c r="E1110"/>
    </row>
    <row r="1111" spans="1:5" ht="15" x14ac:dyDescent="0.25">
      <c r="A1111"/>
      <c r="B1111"/>
      <c r="C1111"/>
      <c r="D1111"/>
      <c r="E1111"/>
    </row>
    <row r="1112" spans="1:5" ht="15" x14ac:dyDescent="0.25">
      <c r="A1112"/>
      <c r="B1112"/>
      <c r="C1112"/>
      <c r="D1112"/>
      <c r="E1112"/>
    </row>
    <row r="1113" spans="1:5" ht="15" x14ac:dyDescent="0.25">
      <c r="A1113"/>
      <c r="B1113"/>
      <c r="C1113"/>
      <c r="D1113"/>
      <c r="E1113"/>
    </row>
    <row r="1114" spans="1:5" ht="15" x14ac:dyDescent="0.25">
      <c r="A1114"/>
      <c r="B1114"/>
      <c r="C1114"/>
      <c r="D1114"/>
      <c r="E1114"/>
    </row>
    <row r="1115" spans="1:5" ht="15" x14ac:dyDescent="0.25">
      <c r="A1115"/>
      <c r="B1115"/>
      <c r="C1115"/>
      <c r="D1115"/>
      <c r="E1115"/>
    </row>
    <row r="1116" spans="1:5" ht="15" x14ac:dyDescent="0.25">
      <c r="A1116"/>
      <c r="B1116"/>
      <c r="C1116"/>
      <c r="D1116"/>
      <c r="E1116"/>
    </row>
    <row r="1117" spans="1:5" ht="15" x14ac:dyDescent="0.25">
      <c r="A1117"/>
      <c r="B1117"/>
      <c r="C1117"/>
      <c r="D1117"/>
      <c r="E1117"/>
    </row>
    <row r="1118" spans="1:5" ht="15" x14ac:dyDescent="0.25">
      <c r="A1118"/>
      <c r="B1118"/>
      <c r="C1118"/>
      <c r="D1118"/>
      <c r="E1118"/>
    </row>
    <row r="1119" spans="1:5" ht="15" x14ac:dyDescent="0.25">
      <c r="A1119"/>
      <c r="B1119"/>
      <c r="C1119"/>
      <c r="D1119"/>
      <c r="E1119"/>
    </row>
    <row r="1120" spans="1:5" ht="15" x14ac:dyDescent="0.25">
      <c r="A1120"/>
      <c r="B1120"/>
      <c r="C1120"/>
      <c r="D1120"/>
      <c r="E1120"/>
    </row>
    <row r="1121" spans="1:5" ht="15" x14ac:dyDescent="0.25">
      <c r="A1121"/>
      <c r="B1121"/>
      <c r="C1121"/>
      <c r="D1121"/>
      <c r="E1121"/>
    </row>
    <row r="1122" spans="1:5" ht="15" x14ac:dyDescent="0.25">
      <c r="A1122"/>
      <c r="B1122"/>
      <c r="C1122"/>
      <c r="D1122"/>
      <c r="E1122"/>
    </row>
    <row r="1123" spans="1:5" ht="15" x14ac:dyDescent="0.25">
      <c r="A1123"/>
      <c r="B1123"/>
      <c r="C1123"/>
      <c r="D1123"/>
      <c r="E1123"/>
    </row>
    <row r="1124" spans="1:5" ht="15" x14ac:dyDescent="0.25">
      <c r="A1124"/>
      <c r="B1124"/>
      <c r="C1124"/>
      <c r="D1124"/>
      <c r="E1124"/>
    </row>
    <row r="1125" spans="1:5" ht="15" x14ac:dyDescent="0.25">
      <c r="A1125"/>
      <c r="B1125"/>
      <c r="C1125"/>
      <c r="D1125"/>
      <c r="E1125"/>
    </row>
    <row r="1126" spans="1:5" ht="15" x14ac:dyDescent="0.25">
      <c r="A1126"/>
      <c r="B1126"/>
      <c r="C1126"/>
      <c r="D1126"/>
      <c r="E1126"/>
    </row>
    <row r="1127" spans="1:5" ht="15" x14ac:dyDescent="0.25">
      <c r="A1127"/>
      <c r="B1127"/>
      <c r="C1127"/>
      <c r="D1127"/>
      <c r="E1127"/>
    </row>
    <row r="1128" spans="1:5" ht="15" x14ac:dyDescent="0.25">
      <c r="A1128"/>
      <c r="B1128"/>
      <c r="C1128"/>
      <c r="D1128"/>
      <c r="E1128"/>
    </row>
    <row r="1129" spans="1:5" ht="15" x14ac:dyDescent="0.25">
      <c r="A1129"/>
      <c r="B1129"/>
      <c r="C1129"/>
      <c r="D1129"/>
      <c r="E1129"/>
    </row>
    <row r="1130" spans="1:5" ht="15" x14ac:dyDescent="0.25">
      <c r="A1130"/>
      <c r="B1130"/>
      <c r="C1130"/>
      <c r="D1130"/>
      <c r="E1130"/>
    </row>
    <row r="1131" spans="1:5" ht="15" x14ac:dyDescent="0.25">
      <c r="A1131"/>
      <c r="B1131"/>
      <c r="C1131"/>
      <c r="D1131"/>
      <c r="E1131"/>
    </row>
    <row r="1132" spans="1:5" ht="15" x14ac:dyDescent="0.25">
      <c r="A1132"/>
      <c r="B1132"/>
      <c r="C1132"/>
      <c r="D1132"/>
      <c r="E1132"/>
    </row>
    <row r="1133" spans="1:5" ht="15" x14ac:dyDescent="0.25">
      <c r="A1133"/>
      <c r="B1133"/>
      <c r="C1133"/>
      <c r="D1133"/>
      <c r="E1133"/>
    </row>
    <row r="1134" spans="1:5" ht="15" x14ac:dyDescent="0.25">
      <c r="A1134"/>
      <c r="B1134"/>
      <c r="C1134"/>
      <c r="D1134"/>
      <c r="E1134"/>
    </row>
    <row r="1135" spans="1:5" ht="15" x14ac:dyDescent="0.25">
      <c r="A1135"/>
      <c r="B1135"/>
      <c r="C1135"/>
      <c r="D1135"/>
      <c r="E1135"/>
    </row>
    <row r="1136" spans="1:5" ht="15" x14ac:dyDescent="0.25">
      <c r="A1136"/>
      <c r="B1136"/>
      <c r="C1136"/>
      <c r="D1136"/>
      <c r="E1136"/>
    </row>
    <row r="1137" spans="1:5" ht="15" x14ac:dyDescent="0.25">
      <c r="A1137"/>
      <c r="B1137"/>
      <c r="C1137"/>
      <c r="D1137"/>
      <c r="E1137"/>
    </row>
    <row r="1138" spans="1:5" ht="15" x14ac:dyDescent="0.25">
      <c r="A1138"/>
      <c r="B1138"/>
      <c r="C1138"/>
      <c r="D1138"/>
      <c r="E1138"/>
    </row>
    <row r="1139" spans="1:5" ht="15" x14ac:dyDescent="0.25">
      <c r="A1139"/>
      <c r="B1139"/>
      <c r="C1139"/>
      <c r="D1139"/>
      <c r="E1139"/>
    </row>
    <row r="1140" spans="1:5" ht="15" x14ac:dyDescent="0.25">
      <c r="A1140"/>
      <c r="B1140"/>
      <c r="C1140"/>
      <c r="D1140"/>
      <c r="E1140"/>
    </row>
    <row r="1141" spans="1:5" ht="15" x14ac:dyDescent="0.25">
      <c r="A1141"/>
      <c r="B1141"/>
      <c r="C1141"/>
      <c r="D1141"/>
      <c r="E1141"/>
    </row>
    <row r="1142" spans="1:5" ht="15" x14ac:dyDescent="0.25">
      <c r="A1142"/>
      <c r="B1142"/>
      <c r="C1142"/>
      <c r="D1142"/>
      <c r="E1142"/>
    </row>
    <row r="1143" spans="1:5" ht="15" x14ac:dyDescent="0.25">
      <c r="A1143"/>
      <c r="B1143"/>
      <c r="C1143"/>
      <c r="D1143"/>
      <c r="E1143"/>
    </row>
    <row r="1144" spans="1:5" ht="15" x14ac:dyDescent="0.25">
      <c r="A1144"/>
      <c r="B1144"/>
      <c r="C1144"/>
      <c r="D1144"/>
      <c r="E1144"/>
    </row>
    <row r="1145" spans="1:5" ht="15" x14ac:dyDescent="0.25">
      <c r="A1145"/>
      <c r="B1145"/>
      <c r="C1145"/>
      <c r="D1145"/>
      <c r="E1145"/>
    </row>
    <row r="1146" spans="1:5" ht="15" x14ac:dyDescent="0.25">
      <c r="A1146"/>
      <c r="B1146"/>
      <c r="C1146"/>
      <c r="D1146"/>
      <c r="E1146"/>
    </row>
    <row r="1147" spans="1:5" ht="15" x14ac:dyDescent="0.25">
      <c r="A1147"/>
      <c r="B1147"/>
      <c r="C1147"/>
      <c r="D1147"/>
      <c r="E1147"/>
    </row>
    <row r="1148" spans="1:5" ht="15" x14ac:dyDescent="0.25">
      <c r="A1148"/>
      <c r="B1148"/>
      <c r="C1148"/>
      <c r="D1148"/>
      <c r="E1148"/>
    </row>
    <row r="1149" spans="1:5" ht="15" x14ac:dyDescent="0.25">
      <c r="A1149"/>
      <c r="B1149"/>
      <c r="C1149"/>
      <c r="D1149"/>
      <c r="E1149"/>
    </row>
    <row r="1150" spans="1:5" ht="15" x14ac:dyDescent="0.25">
      <c r="A1150"/>
      <c r="B1150"/>
      <c r="C1150"/>
      <c r="D1150"/>
      <c r="E1150"/>
    </row>
    <row r="1151" spans="1:5" ht="15" x14ac:dyDescent="0.25">
      <c r="A1151"/>
      <c r="B1151"/>
      <c r="C1151"/>
      <c r="D1151"/>
      <c r="E1151"/>
    </row>
    <row r="1152" spans="1:5" ht="15" x14ac:dyDescent="0.25">
      <c r="A1152"/>
      <c r="B1152"/>
      <c r="C1152"/>
      <c r="D1152"/>
      <c r="E1152"/>
    </row>
    <row r="1153" spans="1:5" ht="15" x14ac:dyDescent="0.25">
      <c r="A1153"/>
      <c r="B1153"/>
      <c r="C1153"/>
      <c r="D1153"/>
      <c r="E1153"/>
    </row>
    <row r="1154" spans="1:5" ht="15" x14ac:dyDescent="0.25">
      <c r="A1154"/>
      <c r="B1154"/>
      <c r="C1154"/>
      <c r="D1154"/>
      <c r="E1154"/>
    </row>
    <row r="1155" spans="1:5" ht="15" x14ac:dyDescent="0.25">
      <c r="A1155"/>
      <c r="B1155"/>
      <c r="C1155"/>
      <c r="D1155"/>
      <c r="E1155"/>
    </row>
    <row r="1156" spans="1:5" ht="15" x14ac:dyDescent="0.25">
      <c r="A1156"/>
      <c r="B1156"/>
      <c r="C1156"/>
      <c r="D1156"/>
      <c r="E1156"/>
    </row>
    <row r="1157" spans="1:5" ht="15" x14ac:dyDescent="0.25">
      <c r="A1157"/>
      <c r="B1157"/>
      <c r="C1157"/>
      <c r="D1157"/>
      <c r="E1157"/>
    </row>
    <row r="1158" spans="1:5" ht="15" x14ac:dyDescent="0.25">
      <c r="A1158"/>
      <c r="B1158"/>
      <c r="C1158"/>
      <c r="D1158"/>
      <c r="E1158"/>
    </row>
    <row r="1159" spans="1:5" ht="15" x14ac:dyDescent="0.25">
      <c r="A1159"/>
      <c r="B1159"/>
      <c r="C1159"/>
      <c r="D1159"/>
      <c r="E1159"/>
    </row>
    <row r="1160" spans="1:5" ht="15" x14ac:dyDescent="0.25">
      <c r="A1160"/>
      <c r="B1160"/>
      <c r="C1160"/>
      <c r="D1160"/>
      <c r="E1160"/>
    </row>
    <row r="1161" spans="1:5" ht="15" x14ac:dyDescent="0.25">
      <c r="A1161"/>
      <c r="B1161"/>
      <c r="C1161"/>
      <c r="D1161"/>
      <c r="E1161"/>
    </row>
    <row r="1162" spans="1:5" ht="15" x14ac:dyDescent="0.25">
      <c r="A1162"/>
      <c r="B1162"/>
      <c r="C1162"/>
      <c r="D1162"/>
      <c r="E1162"/>
    </row>
    <row r="1163" spans="1:5" ht="15" x14ac:dyDescent="0.25">
      <c r="A1163"/>
      <c r="B1163"/>
      <c r="C1163"/>
      <c r="D1163"/>
      <c r="E1163"/>
    </row>
    <row r="1164" spans="1:5" ht="15" x14ac:dyDescent="0.25">
      <c r="A1164"/>
      <c r="B1164"/>
      <c r="C1164"/>
      <c r="D1164"/>
      <c r="E1164"/>
    </row>
    <row r="1165" spans="1:5" ht="15" x14ac:dyDescent="0.25">
      <c r="A1165"/>
      <c r="B1165"/>
      <c r="C1165"/>
      <c r="D1165"/>
      <c r="E1165"/>
    </row>
    <row r="1166" spans="1:5" ht="15" x14ac:dyDescent="0.25">
      <c r="A1166"/>
      <c r="B1166"/>
      <c r="C1166"/>
      <c r="D1166"/>
      <c r="E1166"/>
    </row>
    <row r="1167" spans="1:5" ht="15" x14ac:dyDescent="0.25">
      <c r="A1167"/>
      <c r="B1167"/>
      <c r="C1167"/>
      <c r="D1167"/>
      <c r="E1167"/>
    </row>
    <row r="1168" spans="1:5" ht="15" x14ac:dyDescent="0.25">
      <c r="A1168"/>
      <c r="B1168"/>
      <c r="C1168"/>
      <c r="D1168"/>
      <c r="E1168"/>
    </row>
    <row r="1169" spans="1:5" ht="15" x14ac:dyDescent="0.25">
      <c r="A1169"/>
      <c r="B1169"/>
      <c r="C1169"/>
      <c r="D1169"/>
      <c r="E1169"/>
    </row>
    <row r="1170" spans="1:5" ht="15" x14ac:dyDescent="0.25">
      <c r="A1170"/>
      <c r="B1170"/>
      <c r="C1170"/>
      <c r="D1170"/>
      <c r="E1170"/>
    </row>
    <row r="1171" spans="1:5" ht="15" x14ac:dyDescent="0.25">
      <c r="A1171"/>
      <c r="B1171"/>
      <c r="C1171"/>
      <c r="D1171"/>
      <c r="E1171"/>
    </row>
    <row r="1172" spans="1:5" ht="15" x14ac:dyDescent="0.25">
      <c r="A1172"/>
      <c r="B1172"/>
      <c r="C1172"/>
      <c r="D1172"/>
      <c r="E1172"/>
    </row>
    <row r="1173" spans="1:5" ht="15" x14ac:dyDescent="0.25">
      <c r="A1173"/>
      <c r="B1173"/>
      <c r="C1173"/>
      <c r="D1173"/>
      <c r="E1173"/>
    </row>
    <row r="1174" spans="1:5" ht="15" x14ac:dyDescent="0.25">
      <c r="A1174"/>
      <c r="B1174"/>
      <c r="C1174"/>
      <c r="D1174"/>
      <c r="E1174"/>
    </row>
    <row r="1175" spans="1:5" ht="15" x14ac:dyDescent="0.25">
      <c r="A1175"/>
      <c r="B1175"/>
      <c r="C1175"/>
      <c r="D1175"/>
      <c r="E1175"/>
    </row>
    <row r="1176" spans="1:5" ht="15" x14ac:dyDescent="0.25">
      <c r="A1176"/>
      <c r="B1176"/>
      <c r="C1176"/>
      <c r="D1176"/>
      <c r="E1176"/>
    </row>
    <row r="1177" spans="1:5" ht="15" x14ac:dyDescent="0.25">
      <c r="A1177"/>
      <c r="B1177"/>
      <c r="C1177"/>
      <c r="D1177"/>
      <c r="E1177"/>
    </row>
    <row r="1178" spans="1:5" ht="15" x14ac:dyDescent="0.25">
      <c r="A1178"/>
      <c r="B1178"/>
      <c r="C1178"/>
      <c r="D1178"/>
      <c r="E1178"/>
    </row>
    <row r="1179" spans="1:5" ht="15" x14ac:dyDescent="0.25">
      <c r="A1179"/>
      <c r="B1179"/>
      <c r="C1179"/>
      <c r="D1179"/>
      <c r="E1179"/>
    </row>
    <row r="1180" spans="1:5" ht="15" x14ac:dyDescent="0.25">
      <c r="A1180"/>
      <c r="B1180"/>
      <c r="C1180"/>
      <c r="D1180"/>
      <c r="E1180"/>
    </row>
    <row r="1181" spans="1:5" ht="15" x14ac:dyDescent="0.25">
      <c r="A1181"/>
      <c r="B1181"/>
      <c r="C1181"/>
      <c r="D1181"/>
      <c r="E1181"/>
    </row>
    <row r="1182" spans="1:5" ht="15" x14ac:dyDescent="0.25">
      <c r="A1182"/>
      <c r="B1182"/>
      <c r="C1182"/>
      <c r="D1182"/>
      <c r="E1182"/>
    </row>
    <row r="1183" spans="1:5" ht="15" x14ac:dyDescent="0.25">
      <c r="A1183"/>
      <c r="B1183"/>
      <c r="C1183"/>
      <c r="D1183"/>
      <c r="E1183"/>
    </row>
    <row r="1184" spans="1:5" ht="15" x14ac:dyDescent="0.25">
      <c r="A1184"/>
      <c r="B1184"/>
      <c r="C1184"/>
      <c r="D1184"/>
      <c r="E1184"/>
    </row>
    <row r="1185" spans="1:5" ht="15" x14ac:dyDescent="0.25">
      <c r="A1185"/>
      <c r="B1185"/>
      <c r="C1185"/>
      <c r="D1185"/>
      <c r="E1185"/>
    </row>
    <row r="1186" spans="1:5" ht="15" x14ac:dyDescent="0.25">
      <c r="A1186"/>
      <c r="B1186"/>
      <c r="C1186"/>
      <c r="D1186"/>
      <c r="E1186"/>
    </row>
    <row r="1187" spans="1:5" ht="15" x14ac:dyDescent="0.25">
      <c r="A1187"/>
      <c r="B1187"/>
      <c r="C1187"/>
      <c r="D1187"/>
      <c r="E1187"/>
    </row>
    <row r="1188" spans="1:5" ht="15" x14ac:dyDescent="0.25">
      <c r="A1188"/>
      <c r="B1188"/>
      <c r="C1188"/>
      <c r="D1188"/>
      <c r="E1188"/>
    </row>
    <row r="1189" spans="1:5" ht="15" x14ac:dyDescent="0.25">
      <c r="A1189"/>
      <c r="B1189"/>
      <c r="C1189"/>
      <c r="D1189"/>
      <c r="E1189"/>
    </row>
    <row r="1190" spans="1:5" ht="15" x14ac:dyDescent="0.25">
      <c r="A1190"/>
      <c r="B1190"/>
      <c r="C1190"/>
      <c r="D1190"/>
      <c r="E1190"/>
    </row>
    <row r="1191" spans="1:5" ht="15" x14ac:dyDescent="0.25">
      <c r="A1191"/>
      <c r="B1191"/>
      <c r="C1191"/>
      <c r="D1191"/>
      <c r="E1191"/>
    </row>
    <row r="1192" spans="1:5" ht="15" x14ac:dyDescent="0.25">
      <c r="A1192"/>
      <c r="B1192"/>
      <c r="C1192"/>
      <c r="D1192"/>
      <c r="E1192"/>
    </row>
    <row r="1193" spans="1:5" ht="15" x14ac:dyDescent="0.25">
      <c r="A1193"/>
      <c r="B1193"/>
      <c r="C1193"/>
      <c r="D1193"/>
      <c r="E1193"/>
    </row>
    <row r="1194" spans="1:5" ht="15" x14ac:dyDescent="0.25">
      <c r="A1194"/>
      <c r="B1194"/>
      <c r="C1194"/>
      <c r="D1194"/>
      <c r="E1194"/>
    </row>
    <row r="1195" spans="1:5" ht="15" x14ac:dyDescent="0.25">
      <c r="A1195"/>
      <c r="B1195"/>
      <c r="C1195"/>
      <c r="D1195"/>
      <c r="E1195"/>
    </row>
    <row r="1196" spans="1:5" ht="15" x14ac:dyDescent="0.25">
      <c r="A1196"/>
      <c r="B1196"/>
      <c r="C1196"/>
      <c r="D1196"/>
      <c r="E1196"/>
    </row>
    <row r="1197" spans="1:5" ht="15" x14ac:dyDescent="0.25">
      <c r="A1197"/>
      <c r="B1197"/>
      <c r="C1197"/>
      <c r="D1197"/>
      <c r="E1197"/>
    </row>
    <row r="1198" spans="1:5" ht="15" x14ac:dyDescent="0.25">
      <c r="A1198"/>
      <c r="B1198"/>
      <c r="C1198"/>
      <c r="D1198"/>
      <c r="E1198"/>
    </row>
    <row r="1199" spans="1:5" ht="15" x14ac:dyDescent="0.25">
      <c r="A1199"/>
      <c r="B1199"/>
      <c r="C1199"/>
      <c r="D1199"/>
      <c r="E1199"/>
    </row>
    <row r="1200" spans="1:5" ht="15" x14ac:dyDescent="0.25">
      <c r="A1200"/>
      <c r="B1200"/>
      <c r="C1200"/>
      <c r="D1200"/>
      <c r="E1200"/>
    </row>
    <row r="1201" spans="1:5" ht="15" x14ac:dyDescent="0.25">
      <c r="A1201"/>
      <c r="B1201"/>
      <c r="C1201"/>
      <c r="D1201"/>
      <c r="E1201"/>
    </row>
    <row r="1202" spans="1:5" ht="15" x14ac:dyDescent="0.25">
      <c r="A1202"/>
      <c r="B1202"/>
      <c r="C1202"/>
      <c r="D1202"/>
      <c r="E1202"/>
    </row>
    <row r="1203" spans="1:5" ht="15" x14ac:dyDescent="0.25">
      <c r="A1203"/>
      <c r="B1203"/>
      <c r="C1203"/>
      <c r="D1203"/>
      <c r="E1203"/>
    </row>
    <row r="1204" spans="1:5" ht="15" x14ac:dyDescent="0.25">
      <c r="A1204"/>
      <c r="B1204"/>
      <c r="C1204"/>
      <c r="D1204"/>
      <c r="E1204"/>
    </row>
    <row r="1205" spans="1:5" ht="15" x14ac:dyDescent="0.25">
      <c r="A1205"/>
      <c r="B1205"/>
      <c r="C1205"/>
      <c r="D1205"/>
      <c r="E1205"/>
    </row>
    <row r="1206" spans="1:5" ht="15" x14ac:dyDescent="0.25">
      <c r="A1206"/>
      <c r="B1206"/>
      <c r="C1206"/>
      <c r="D1206"/>
      <c r="E1206"/>
    </row>
    <row r="1207" spans="1:5" ht="15" x14ac:dyDescent="0.25">
      <c r="A1207"/>
      <c r="B1207"/>
      <c r="C1207"/>
      <c r="D1207"/>
      <c r="E1207"/>
    </row>
    <row r="1208" spans="1:5" ht="15" x14ac:dyDescent="0.25">
      <c r="A1208"/>
      <c r="B1208"/>
      <c r="C1208"/>
      <c r="D1208"/>
      <c r="E1208"/>
    </row>
    <row r="1209" spans="1:5" ht="15" x14ac:dyDescent="0.25">
      <c r="A1209"/>
      <c r="B1209"/>
      <c r="C1209"/>
      <c r="D1209"/>
      <c r="E1209"/>
    </row>
    <row r="1210" spans="1:5" ht="15" x14ac:dyDescent="0.25">
      <c r="A1210"/>
      <c r="B1210"/>
      <c r="C1210"/>
      <c r="D1210"/>
      <c r="E1210"/>
    </row>
    <row r="1211" spans="1:5" ht="15" x14ac:dyDescent="0.25">
      <c r="A1211"/>
      <c r="B1211"/>
      <c r="C1211"/>
      <c r="D1211"/>
      <c r="E1211"/>
    </row>
    <row r="1212" spans="1:5" ht="15" x14ac:dyDescent="0.25">
      <c r="A1212"/>
      <c r="B1212"/>
      <c r="C1212"/>
      <c r="D1212"/>
      <c r="E1212"/>
    </row>
    <row r="1213" spans="1:5" ht="15" x14ac:dyDescent="0.25">
      <c r="A1213"/>
      <c r="B1213"/>
      <c r="C1213"/>
      <c r="D1213"/>
      <c r="E1213"/>
    </row>
    <row r="1214" spans="1:5" ht="15" x14ac:dyDescent="0.25">
      <c r="A1214"/>
      <c r="B1214"/>
      <c r="C1214"/>
      <c r="D1214"/>
      <c r="E1214"/>
    </row>
    <row r="1215" spans="1:5" ht="15" x14ac:dyDescent="0.25">
      <c r="A1215"/>
      <c r="B1215"/>
      <c r="C1215"/>
      <c r="D1215"/>
      <c r="E1215"/>
    </row>
    <row r="1216" spans="1:5" ht="15" x14ac:dyDescent="0.25">
      <c r="A1216"/>
      <c r="B1216"/>
      <c r="C1216"/>
      <c r="D1216"/>
      <c r="E1216"/>
    </row>
    <row r="1217" spans="1:5" ht="15" x14ac:dyDescent="0.25">
      <c r="A1217"/>
      <c r="B1217"/>
      <c r="C1217"/>
      <c r="D1217"/>
      <c r="E1217"/>
    </row>
    <row r="1218" spans="1:5" ht="15" x14ac:dyDescent="0.25">
      <c r="A1218"/>
      <c r="B1218"/>
      <c r="C1218"/>
      <c r="D1218"/>
      <c r="E1218"/>
    </row>
    <row r="1219" spans="1:5" ht="15" x14ac:dyDescent="0.25">
      <c r="A1219"/>
      <c r="B1219"/>
      <c r="C1219"/>
      <c r="D1219"/>
      <c r="E1219"/>
    </row>
    <row r="1220" spans="1:5" ht="15" x14ac:dyDescent="0.25">
      <c r="A1220"/>
      <c r="B1220"/>
      <c r="C1220"/>
      <c r="D1220"/>
      <c r="E1220"/>
    </row>
    <row r="1221" spans="1:5" ht="15" x14ac:dyDescent="0.25">
      <c r="A1221"/>
      <c r="B1221"/>
      <c r="C1221"/>
      <c r="D1221"/>
      <c r="E1221"/>
    </row>
    <row r="1222" spans="1:5" ht="15" x14ac:dyDescent="0.25">
      <c r="A1222"/>
      <c r="B1222"/>
      <c r="C1222"/>
      <c r="D1222"/>
      <c r="E1222"/>
    </row>
    <row r="1223" spans="1:5" ht="15" x14ac:dyDescent="0.25">
      <c r="A1223"/>
      <c r="B1223"/>
      <c r="C1223"/>
      <c r="D1223"/>
      <c r="E1223"/>
    </row>
    <row r="1224" spans="1:5" ht="15" x14ac:dyDescent="0.25">
      <c r="A1224"/>
      <c r="B1224"/>
      <c r="C1224"/>
      <c r="D1224"/>
      <c r="E1224"/>
    </row>
    <row r="1225" spans="1:5" ht="15" x14ac:dyDescent="0.25">
      <c r="A1225"/>
      <c r="B1225"/>
      <c r="C1225"/>
      <c r="D1225"/>
      <c r="E1225"/>
    </row>
    <row r="1226" spans="1:5" ht="15" x14ac:dyDescent="0.25">
      <c r="A1226"/>
      <c r="B1226"/>
      <c r="C1226"/>
      <c r="D1226"/>
      <c r="E1226"/>
    </row>
    <row r="1227" spans="1:5" ht="15" x14ac:dyDescent="0.25">
      <c r="A1227"/>
      <c r="B1227"/>
      <c r="C1227"/>
      <c r="D1227"/>
      <c r="E1227"/>
    </row>
    <row r="1228" spans="1:5" ht="15" x14ac:dyDescent="0.25">
      <c r="A1228"/>
      <c r="B1228"/>
      <c r="C1228"/>
      <c r="D1228"/>
      <c r="E1228"/>
    </row>
    <row r="1229" spans="1:5" ht="15" x14ac:dyDescent="0.25">
      <c r="A1229"/>
      <c r="B1229"/>
      <c r="C1229"/>
      <c r="D1229"/>
      <c r="E1229"/>
    </row>
    <row r="1230" spans="1:5" ht="15" x14ac:dyDescent="0.25">
      <c r="A1230"/>
      <c r="B1230"/>
      <c r="C1230"/>
      <c r="D1230"/>
      <c r="E1230"/>
    </row>
    <row r="1231" spans="1:5" ht="15" x14ac:dyDescent="0.25">
      <c r="A1231"/>
      <c r="B1231"/>
      <c r="C1231"/>
      <c r="D1231"/>
      <c r="E1231"/>
    </row>
    <row r="1232" spans="1:5" ht="15" x14ac:dyDescent="0.25">
      <c r="A1232"/>
      <c r="B1232"/>
      <c r="C1232"/>
      <c r="D1232"/>
      <c r="E1232"/>
    </row>
    <row r="1233" spans="1:5" ht="15" x14ac:dyDescent="0.25">
      <c r="A1233"/>
      <c r="B1233"/>
      <c r="C1233"/>
      <c r="D1233"/>
      <c r="E1233"/>
    </row>
    <row r="1234" spans="1:5" ht="15" x14ac:dyDescent="0.25">
      <c r="A1234"/>
      <c r="B1234"/>
      <c r="C1234"/>
      <c r="D1234"/>
      <c r="E1234"/>
    </row>
    <row r="1235" spans="1:5" ht="15" x14ac:dyDescent="0.25">
      <c r="A1235"/>
      <c r="B1235"/>
      <c r="C1235"/>
      <c r="D1235"/>
      <c r="E1235"/>
    </row>
    <row r="1236" spans="1:5" ht="15" x14ac:dyDescent="0.25">
      <c r="A1236"/>
      <c r="B1236"/>
      <c r="C1236"/>
      <c r="D1236"/>
      <c r="E1236"/>
    </row>
    <row r="1237" spans="1:5" ht="15" x14ac:dyDescent="0.25">
      <c r="A1237"/>
      <c r="B1237"/>
      <c r="C1237"/>
      <c r="D1237"/>
      <c r="E1237"/>
    </row>
    <row r="1238" spans="1:5" ht="15" x14ac:dyDescent="0.25">
      <c r="A1238"/>
      <c r="B1238"/>
      <c r="C1238"/>
      <c r="D1238"/>
      <c r="E1238"/>
    </row>
    <row r="1239" spans="1:5" ht="15" x14ac:dyDescent="0.25">
      <c r="A1239"/>
      <c r="B1239"/>
      <c r="C1239"/>
      <c r="D1239"/>
      <c r="E1239"/>
    </row>
    <row r="1240" spans="1:5" ht="15" x14ac:dyDescent="0.25">
      <c r="A1240"/>
      <c r="B1240"/>
      <c r="C1240"/>
      <c r="D1240"/>
      <c r="E1240"/>
    </row>
    <row r="1241" spans="1:5" ht="15" x14ac:dyDescent="0.25">
      <c r="A1241"/>
      <c r="B1241"/>
      <c r="C1241"/>
      <c r="D1241"/>
      <c r="E1241"/>
    </row>
    <row r="1242" spans="1:5" ht="15" x14ac:dyDescent="0.25">
      <c r="A1242"/>
      <c r="B1242"/>
      <c r="C1242"/>
      <c r="D1242"/>
      <c r="E1242"/>
    </row>
    <row r="1243" spans="1:5" ht="15" x14ac:dyDescent="0.25">
      <c r="A1243"/>
      <c r="B1243"/>
      <c r="C1243"/>
      <c r="D1243"/>
      <c r="E1243"/>
    </row>
    <row r="1244" spans="1:5" ht="15" x14ac:dyDescent="0.25">
      <c r="A1244"/>
      <c r="B1244"/>
      <c r="C1244"/>
      <c r="D1244"/>
      <c r="E1244"/>
    </row>
    <row r="1245" spans="1:5" ht="15" x14ac:dyDescent="0.25">
      <c r="A1245"/>
      <c r="B1245"/>
      <c r="C1245"/>
      <c r="D1245"/>
      <c r="E1245"/>
    </row>
    <row r="1246" spans="1:5" ht="15" x14ac:dyDescent="0.25">
      <c r="A1246"/>
      <c r="B1246"/>
      <c r="C1246"/>
      <c r="D1246"/>
      <c r="E1246"/>
    </row>
    <row r="1247" spans="1:5" ht="15" x14ac:dyDescent="0.25">
      <c r="A1247"/>
      <c r="B1247"/>
      <c r="C1247"/>
      <c r="D1247"/>
      <c r="E1247"/>
    </row>
    <row r="1248" spans="1:5" ht="15" x14ac:dyDescent="0.25">
      <c r="A1248"/>
      <c r="B1248"/>
      <c r="C1248"/>
      <c r="D1248"/>
      <c r="E1248"/>
    </row>
    <row r="1249" spans="1:5" ht="15" x14ac:dyDescent="0.25">
      <c r="A1249"/>
      <c r="B1249"/>
      <c r="C1249"/>
      <c r="D1249"/>
      <c r="E1249"/>
    </row>
    <row r="1250" spans="1:5" ht="15" x14ac:dyDescent="0.25">
      <c r="A1250"/>
      <c r="B1250"/>
      <c r="C1250"/>
      <c r="D1250"/>
      <c r="E1250"/>
    </row>
    <row r="1251" spans="1:5" ht="15" x14ac:dyDescent="0.25">
      <c r="A1251"/>
      <c r="B1251"/>
      <c r="C1251"/>
      <c r="D1251"/>
      <c r="E1251"/>
    </row>
    <row r="1252" spans="1:5" ht="15" x14ac:dyDescent="0.25">
      <c r="A1252"/>
      <c r="B1252"/>
      <c r="C1252"/>
      <c r="D1252"/>
      <c r="E1252"/>
    </row>
    <row r="1253" spans="1:5" ht="15" x14ac:dyDescent="0.25">
      <c r="A1253"/>
      <c r="B1253"/>
      <c r="C1253"/>
      <c r="D1253"/>
      <c r="E1253"/>
    </row>
    <row r="1254" spans="1:5" ht="15" x14ac:dyDescent="0.25">
      <c r="A1254"/>
      <c r="B1254"/>
      <c r="C1254"/>
      <c r="D1254"/>
      <c r="E1254"/>
    </row>
    <row r="1255" spans="1:5" ht="15" x14ac:dyDescent="0.25">
      <c r="A1255"/>
      <c r="B1255"/>
      <c r="C1255"/>
      <c r="D1255"/>
      <c r="E1255"/>
    </row>
    <row r="1256" spans="1:5" ht="15" x14ac:dyDescent="0.25">
      <c r="A1256"/>
      <c r="B1256"/>
      <c r="C1256"/>
      <c r="D1256"/>
      <c r="E1256"/>
    </row>
    <row r="1257" spans="1:5" ht="15" x14ac:dyDescent="0.25">
      <c r="A1257"/>
      <c r="B1257"/>
      <c r="C1257"/>
      <c r="D1257"/>
      <c r="E1257"/>
    </row>
    <row r="1258" spans="1:5" ht="15" x14ac:dyDescent="0.25">
      <c r="A1258"/>
      <c r="B1258"/>
      <c r="C1258"/>
      <c r="D1258"/>
      <c r="E1258"/>
    </row>
    <row r="1259" spans="1:5" ht="15" x14ac:dyDescent="0.25">
      <c r="A1259"/>
      <c r="B1259"/>
      <c r="C1259"/>
      <c r="D1259"/>
      <c r="E1259"/>
    </row>
    <row r="1260" spans="1:5" ht="15" x14ac:dyDescent="0.25">
      <c r="A1260"/>
      <c r="B1260"/>
      <c r="C1260"/>
      <c r="D1260"/>
      <c r="E1260"/>
    </row>
    <row r="1261" spans="1:5" ht="15" x14ac:dyDescent="0.25">
      <c r="A1261"/>
      <c r="B1261"/>
      <c r="C1261"/>
      <c r="D1261"/>
      <c r="E1261"/>
    </row>
    <row r="1262" spans="1:5" ht="15" x14ac:dyDescent="0.25">
      <c r="A1262"/>
      <c r="B1262"/>
      <c r="C1262"/>
      <c r="D1262"/>
      <c r="E1262"/>
    </row>
    <row r="1263" spans="1:5" ht="15" x14ac:dyDescent="0.25">
      <c r="A1263"/>
      <c r="B1263"/>
      <c r="C1263"/>
      <c r="D1263"/>
      <c r="E1263"/>
    </row>
    <row r="1264" spans="1:5" ht="15" x14ac:dyDescent="0.25">
      <c r="A1264"/>
      <c r="B1264"/>
      <c r="C1264"/>
      <c r="D1264"/>
      <c r="E1264"/>
    </row>
    <row r="1265" spans="1:5" ht="15" x14ac:dyDescent="0.25">
      <c r="A1265"/>
      <c r="B1265"/>
      <c r="C1265"/>
      <c r="D1265"/>
      <c r="E1265"/>
    </row>
    <row r="1266" spans="1:5" ht="15" x14ac:dyDescent="0.25">
      <c r="A1266"/>
      <c r="B1266"/>
      <c r="C1266"/>
      <c r="D1266"/>
      <c r="E1266"/>
    </row>
    <row r="1267" spans="1:5" ht="15" x14ac:dyDescent="0.25">
      <c r="A1267"/>
      <c r="B1267"/>
      <c r="C1267"/>
      <c r="D1267"/>
      <c r="E1267"/>
    </row>
    <row r="1268" spans="1:5" ht="15" x14ac:dyDescent="0.25">
      <c r="A1268"/>
      <c r="B1268"/>
      <c r="C1268"/>
      <c r="D1268"/>
      <c r="E1268"/>
    </row>
    <row r="1269" spans="1:5" ht="15" x14ac:dyDescent="0.25">
      <c r="A1269"/>
      <c r="B1269"/>
      <c r="C1269"/>
      <c r="D1269"/>
      <c r="E1269"/>
    </row>
    <row r="1270" spans="1:5" ht="15" x14ac:dyDescent="0.25">
      <c r="A1270"/>
      <c r="B1270"/>
      <c r="C1270"/>
      <c r="D1270"/>
      <c r="E1270"/>
    </row>
    <row r="1271" spans="1:5" ht="15" x14ac:dyDescent="0.25">
      <c r="A1271"/>
      <c r="B1271"/>
      <c r="C1271"/>
      <c r="D1271"/>
      <c r="E1271"/>
    </row>
    <row r="1272" spans="1:5" ht="15" x14ac:dyDescent="0.25">
      <c r="A1272"/>
      <c r="B1272"/>
      <c r="C1272"/>
      <c r="D1272"/>
      <c r="E1272"/>
    </row>
    <row r="1273" spans="1:5" ht="15" x14ac:dyDescent="0.25">
      <c r="A1273"/>
      <c r="B1273"/>
      <c r="C1273"/>
      <c r="D1273"/>
      <c r="E1273"/>
    </row>
    <row r="1274" spans="1:5" ht="15" x14ac:dyDescent="0.25">
      <c r="A1274"/>
      <c r="B1274"/>
      <c r="C1274"/>
      <c r="D1274"/>
      <c r="E1274"/>
    </row>
    <row r="1275" spans="1:5" ht="15" x14ac:dyDescent="0.25">
      <c r="A1275"/>
      <c r="B1275"/>
      <c r="C1275"/>
      <c r="D1275"/>
      <c r="E1275"/>
    </row>
    <row r="1276" spans="1:5" ht="15" x14ac:dyDescent="0.25">
      <c r="A1276"/>
      <c r="B1276"/>
      <c r="C1276"/>
      <c r="D1276"/>
      <c r="E1276"/>
    </row>
    <row r="1277" spans="1:5" ht="15" x14ac:dyDescent="0.25">
      <c r="A1277"/>
      <c r="B1277"/>
      <c r="C1277"/>
      <c r="D1277"/>
      <c r="E1277"/>
    </row>
    <row r="1278" spans="1:5" ht="15" x14ac:dyDescent="0.25">
      <c r="A1278"/>
      <c r="B1278"/>
      <c r="C1278"/>
      <c r="D1278"/>
      <c r="E1278"/>
    </row>
    <row r="1279" spans="1:5" ht="15" x14ac:dyDescent="0.25">
      <c r="A1279"/>
      <c r="B1279"/>
      <c r="C1279"/>
      <c r="D1279"/>
      <c r="E1279"/>
    </row>
    <row r="1280" spans="1:5" ht="15" x14ac:dyDescent="0.25">
      <c r="A1280"/>
      <c r="B1280"/>
      <c r="C1280"/>
      <c r="D1280"/>
      <c r="E1280"/>
    </row>
    <row r="1281" spans="1:5" ht="15" x14ac:dyDescent="0.25">
      <c r="A1281"/>
      <c r="B1281"/>
      <c r="C1281"/>
      <c r="D1281"/>
      <c r="E1281"/>
    </row>
    <row r="1282" spans="1:5" ht="15" x14ac:dyDescent="0.25">
      <c r="A1282"/>
      <c r="B1282"/>
      <c r="C1282"/>
      <c r="D1282"/>
      <c r="E1282"/>
    </row>
    <row r="1283" spans="1:5" ht="15" x14ac:dyDescent="0.25">
      <c r="A1283"/>
      <c r="B1283"/>
      <c r="C1283"/>
      <c r="D1283"/>
      <c r="E1283"/>
    </row>
    <row r="1284" spans="1:5" ht="15" x14ac:dyDescent="0.25">
      <c r="A1284"/>
      <c r="B1284"/>
      <c r="C1284"/>
      <c r="D1284"/>
      <c r="E1284"/>
    </row>
    <row r="1285" spans="1:5" ht="15" x14ac:dyDescent="0.25">
      <c r="A1285"/>
      <c r="B1285"/>
      <c r="C1285"/>
      <c r="D1285"/>
      <c r="E1285"/>
    </row>
    <row r="1286" spans="1:5" ht="15" x14ac:dyDescent="0.25">
      <c r="A1286"/>
      <c r="B1286"/>
      <c r="C1286"/>
      <c r="D1286"/>
      <c r="E1286"/>
    </row>
    <row r="1287" spans="1:5" ht="15" x14ac:dyDescent="0.25">
      <c r="A1287"/>
      <c r="B1287"/>
      <c r="C1287"/>
      <c r="D1287"/>
      <c r="E1287"/>
    </row>
    <row r="1288" spans="1:5" ht="15" x14ac:dyDescent="0.25">
      <c r="A1288"/>
      <c r="B1288"/>
      <c r="C1288"/>
      <c r="D1288"/>
      <c r="E1288"/>
    </row>
    <row r="1289" spans="1:5" ht="15" x14ac:dyDescent="0.25">
      <c r="A1289"/>
      <c r="B1289"/>
      <c r="C1289"/>
      <c r="D1289"/>
      <c r="E1289"/>
    </row>
    <row r="1290" spans="1:5" ht="15" x14ac:dyDescent="0.25">
      <c r="A1290"/>
      <c r="B1290"/>
      <c r="C1290"/>
      <c r="D1290"/>
      <c r="E1290"/>
    </row>
    <row r="1291" spans="1:5" ht="15" x14ac:dyDescent="0.25">
      <c r="A1291"/>
      <c r="B1291"/>
      <c r="C1291"/>
      <c r="D1291"/>
      <c r="E1291"/>
    </row>
    <row r="1292" spans="1:5" ht="15" x14ac:dyDescent="0.25">
      <c r="A1292"/>
      <c r="B1292"/>
      <c r="C1292"/>
      <c r="D1292"/>
      <c r="E1292"/>
    </row>
    <row r="1293" spans="1:5" ht="15" x14ac:dyDescent="0.25">
      <c r="A1293"/>
      <c r="B1293"/>
      <c r="C1293"/>
      <c r="D1293"/>
      <c r="E1293"/>
    </row>
    <row r="1294" spans="1:5" ht="15" x14ac:dyDescent="0.25">
      <c r="A1294"/>
      <c r="B1294"/>
      <c r="C1294"/>
      <c r="D1294"/>
      <c r="E1294"/>
    </row>
    <row r="1295" spans="1:5" ht="15" x14ac:dyDescent="0.25">
      <c r="A1295"/>
      <c r="B1295"/>
      <c r="C1295"/>
      <c r="D1295"/>
      <c r="E1295"/>
    </row>
    <row r="1296" spans="1:5" ht="15" x14ac:dyDescent="0.25">
      <c r="A1296"/>
      <c r="B1296"/>
      <c r="C1296"/>
      <c r="D1296"/>
      <c r="E1296"/>
    </row>
    <row r="1297" spans="1:5" ht="15" x14ac:dyDescent="0.25">
      <c r="A1297"/>
      <c r="B1297"/>
      <c r="C1297"/>
      <c r="D1297"/>
      <c r="E1297"/>
    </row>
    <row r="1298" spans="1:5" ht="15" x14ac:dyDescent="0.25">
      <c r="A1298"/>
      <c r="B1298"/>
      <c r="C1298"/>
      <c r="D1298"/>
      <c r="E1298"/>
    </row>
    <row r="1299" spans="1:5" ht="15" x14ac:dyDescent="0.25">
      <c r="A1299"/>
      <c r="B1299"/>
      <c r="C1299"/>
      <c r="D1299"/>
      <c r="E1299"/>
    </row>
    <row r="1300" spans="1:5" ht="15" x14ac:dyDescent="0.25">
      <c r="A1300"/>
      <c r="B1300"/>
      <c r="C1300"/>
      <c r="D1300"/>
      <c r="E1300"/>
    </row>
    <row r="1301" spans="1:5" ht="15" x14ac:dyDescent="0.25">
      <c r="A1301"/>
      <c r="B1301"/>
      <c r="C1301"/>
      <c r="D1301"/>
      <c r="E1301"/>
    </row>
    <row r="1302" spans="1:5" ht="15" x14ac:dyDescent="0.25">
      <c r="A1302"/>
      <c r="B1302"/>
      <c r="C1302"/>
      <c r="D1302"/>
      <c r="E1302"/>
    </row>
    <row r="1303" spans="1:5" ht="15" x14ac:dyDescent="0.25">
      <c r="A1303"/>
      <c r="B1303"/>
      <c r="C1303"/>
      <c r="D1303"/>
      <c r="E1303"/>
    </row>
    <row r="1304" spans="1:5" ht="15" x14ac:dyDescent="0.25">
      <c r="A1304"/>
      <c r="B1304"/>
      <c r="C1304"/>
      <c r="D1304"/>
      <c r="E1304"/>
    </row>
    <row r="1305" spans="1:5" ht="15" x14ac:dyDescent="0.25">
      <c r="A1305"/>
      <c r="B1305"/>
      <c r="C1305"/>
      <c r="D1305"/>
      <c r="E1305"/>
    </row>
    <row r="1306" spans="1:5" ht="15" x14ac:dyDescent="0.25">
      <c r="A1306"/>
      <c r="B1306"/>
      <c r="C1306"/>
      <c r="D1306"/>
      <c r="E1306"/>
    </row>
    <row r="1307" spans="1:5" ht="15" x14ac:dyDescent="0.25">
      <c r="A1307"/>
      <c r="B1307"/>
      <c r="C1307"/>
      <c r="D1307"/>
      <c r="E1307"/>
    </row>
    <row r="1308" spans="1:5" ht="15" x14ac:dyDescent="0.25">
      <c r="A1308"/>
      <c r="B1308"/>
      <c r="C1308"/>
      <c r="D1308"/>
      <c r="E1308"/>
    </row>
    <row r="1309" spans="1:5" ht="15" x14ac:dyDescent="0.25">
      <c r="A1309"/>
      <c r="B1309"/>
      <c r="C1309"/>
      <c r="D1309"/>
      <c r="E1309"/>
    </row>
    <row r="1310" spans="1:5" ht="15" x14ac:dyDescent="0.25">
      <c r="A1310"/>
      <c r="B1310"/>
      <c r="C1310"/>
      <c r="D1310"/>
      <c r="E1310"/>
    </row>
    <row r="1311" spans="1:5" ht="15" x14ac:dyDescent="0.25">
      <c r="A1311"/>
      <c r="B1311"/>
      <c r="C1311"/>
      <c r="D1311"/>
      <c r="E1311"/>
    </row>
    <row r="1312" spans="1:5" ht="15" x14ac:dyDescent="0.25">
      <c r="A1312"/>
      <c r="B1312"/>
      <c r="C1312"/>
      <c r="D1312"/>
      <c r="E1312"/>
    </row>
    <row r="1313" spans="1:5" ht="15" x14ac:dyDescent="0.25">
      <c r="A1313"/>
      <c r="B1313"/>
      <c r="C1313"/>
      <c r="D1313"/>
      <c r="E1313"/>
    </row>
    <row r="1314" spans="1:5" ht="15" x14ac:dyDescent="0.25">
      <c r="A1314"/>
      <c r="B1314"/>
      <c r="C1314"/>
      <c r="D1314"/>
      <c r="E1314"/>
    </row>
    <row r="1315" spans="1:5" ht="15" x14ac:dyDescent="0.25">
      <c r="A1315"/>
      <c r="B1315"/>
      <c r="C1315"/>
      <c r="D1315"/>
      <c r="E1315"/>
    </row>
    <row r="1316" spans="1:5" ht="15" x14ac:dyDescent="0.25">
      <c r="A1316"/>
      <c r="B1316"/>
      <c r="C1316"/>
      <c r="D1316"/>
      <c r="E1316"/>
    </row>
    <row r="1317" spans="1:5" ht="15" x14ac:dyDescent="0.25">
      <c r="A1317"/>
      <c r="B1317"/>
      <c r="C1317"/>
      <c r="D1317"/>
      <c r="E1317"/>
    </row>
    <row r="1318" spans="1:5" ht="15" x14ac:dyDescent="0.25">
      <c r="A1318"/>
      <c r="B1318"/>
      <c r="C1318"/>
      <c r="D1318"/>
      <c r="E1318"/>
    </row>
    <row r="1319" spans="1:5" ht="15" x14ac:dyDescent="0.25">
      <c r="A1319"/>
      <c r="B1319"/>
      <c r="C1319"/>
      <c r="D1319"/>
      <c r="E1319"/>
    </row>
    <row r="1320" spans="1:5" ht="15" x14ac:dyDescent="0.25">
      <c r="A1320"/>
      <c r="B1320"/>
      <c r="C1320"/>
      <c r="D1320"/>
      <c r="E1320"/>
    </row>
    <row r="1321" spans="1:5" ht="15" x14ac:dyDescent="0.25">
      <c r="A1321"/>
      <c r="B1321"/>
      <c r="C1321"/>
      <c r="D1321"/>
      <c r="E1321"/>
    </row>
    <row r="1322" spans="1:5" ht="15" x14ac:dyDescent="0.25">
      <c r="A1322"/>
      <c r="B1322"/>
      <c r="C1322"/>
      <c r="D1322"/>
      <c r="E1322"/>
    </row>
    <row r="1323" spans="1:5" ht="15" x14ac:dyDescent="0.25">
      <c r="A1323"/>
      <c r="B1323"/>
      <c r="C1323"/>
      <c r="D1323"/>
      <c r="E1323"/>
    </row>
    <row r="1324" spans="1:5" ht="15" x14ac:dyDescent="0.25">
      <c r="A1324"/>
      <c r="B1324"/>
      <c r="C1324"/>
      <c r="D1324"/>
      <c r="E1324"/>
    </row>
    <row r="1325" spans="1:5" ht="15" x14ac:dyDescent="0.25">
      <c r="A1325"/>
      <c r="B1325"/>
      <c r="C1325"/>
      <c r="D1325"/>
      <c r="E1325"/>
    </row>
    <row r="1326" spans="1:5" ht="15" x14ac:dyDescent="0.25">
      <c r="A1326"/>
      <c r="B1326"/>
      <c r="C1326"/>
      <c r="D1326"/>
      <c r="E1326"/>
    </row>
    <row r="1327" spans="1:5" ht="15" x14ac:dyDescent="0.25">
      <c r="A1327"/>
      <c r="B1327"/>
      <c r="C1327"/>
      <c r="D1327"/>
      <c r="E1327"/>
    </row>
    <row r="1328" spans="1:5" ht="15" x14ac:dyDescent="0.25">
      <c r="A1328"/>
      <c r="B1328"/>
      <c r="C1328"/>
      <c r="D1328"/>
      <c r="E1328"/>
    </row>
    <row r="1329" spans="1:5" ht="15" x14ac:dyDescent="0.25">
      <c r="A1329"/>
      <c r="B1329"/>
      <c r="C1329"/>
      <c r="D1329"/>
      <c r="E1329"/>
    </row>
    <row r="1330" spans="1:5" ht="15" x14ac:dyDescent="0.25">
      <c r="A1330"/>
      <c r="B1330"/>
      <c r="C1330"/>
      <c r="D1330"/>
      <c r="E1330"/>
    </row>
    <row r="1331" spans="1:5" ht="15" x14ac:dyDescent="0.25">
      <c r="A1331"/>
      <c r="B1331"/>
      <c r="C1331"/>
      <c r="D1331"/>
      <c r="E1331"/>
    </row>
    <row r="1332" spans="1:5" ht="15" x14ac:dyDescent="0.25">
      <c r="A1332"/>
      <c r="B1332"/>
      <c r="C1332"/>
      <c r="D1332"/>
      <c r="E1332"/>
    </row>
    <row r="1333" spans="1:5" ht="15" x14ac:dyDescent="0.25">
      <c r="A1333"/>
      <c r="B1333"/>
      <c r="C1333"/>
      <c r="D1333"/>
      <c r="E1333"/>
    </row>
    <row r="1334" spans="1:5" ht="15" x14ac:dyDescent="0.25">
      <c r="A1334"/>
      <c r="B1334"/>
      <c r="C1334"/>
      <c r="D1334"/>
      <c r="E1334"/>
    </row>
    <row r="1335" spans="1:5" ht="15" x14ac:dyDescent="0.25">
      <c r="A1335"/>
      <c r="B1335"/>
      <c r="C1335"/>
      <c r="D1335"/>
      <c r="E1335"/>
    </row>
    <row r="1336" spans="1:5" ht="15" x14ac:dyDescent="0.25">
      <c r="A1336"/>
      <c r="B1336"/>
      <c r="C1336"/>
      <c r="D1336"/>
      <c r="E1336"/>
    </row>
    <row r="1337" spans="1:5" ht="15" x14ac:dyDescent="0.25">
      <c r="A1337"/>
      <c r="B1337"/>
      <c r="C1337"/>
      <c r="D1337"/>
      <c r="E1337"/>
    </row>
    <row r="1338" spans="1:5" ht="15" x14ac:dyDescent="0.25">
      <c r="A1338"/>
      <c r="B1338"/>
      <c r="C1338"/>
      <c r="D1338"/>
      <c r="E1338"/>
    </row>
    <row r="1339" spans="1:5" ht="15" x14ac:dyDescent="0.25">
      <c r="A1339"/>
      <c r="B1339"/>
      <c r="C1339"/>
      <c r="D1339"/>
      <c r="E1339"/>
    </row>
    <row r="1340" spans="1:5" ht="15" x14ac:dyDescent="0.25">
      <c r="A1340"/>
      <c r="B1340"/>
      <c r="C1340"/>
      <c r="D1340"/>
      <c r="E1340"/>
    </row>
    <row r="1341" spans="1:5" ht="15" x14ac:dyDescent="0.25">
      <c r="A1341"/>
      <c r="B1341"/>
      <c r="C1341"/>
      <c r="D1341"/>
      <c r="E1341"/>
    </row>
    <row r="1342" spans="1:5" ht="15" x14ac:dyDescent="0.25">
      <c r="A1342"/>
      <c r="B1342"/>
      <c r="C1342"/>
      <c r="D1342"/>
      <c r="E1342"/>
    </row>
    <row r="1343" spans="1:5" ht="15" x14ac:dyDescent="0.25">
      <c r="A1343"/>
      <c r="B1343"/>
      <c r="C1343"/>
      <c r="D1343"/>
      <c r="E1343"/>
    </row>
    <row r="1344" spans="1:5" ht="15" x14ac:dyDescent="0.25">
      <c r="A1344"/>
      <c r="B1344"/>
      <c r="C1344"/>
      <c r="D1344"/>
      <c r="E1344"/>
    </row>
    <row r="1345" spans="1:5" ht="15" x14ac:dyDescent="0.25">
      <c r="A1345"/>
      <c r="B1345"/>
      <c r="C1345"/>
      <c r="D1345"/>
      <c r="E1345"/>
    </row>
    <row r="1346" spans="1:5" ht="15" x14ac:dyDescent="0.25">
      <c r="A1346"/>
      <c r="B1346"/>
      <c r="C1346"/>
      <c r="D1346"/>
      <c r="E1346"/>
    </row>
    <row r="1347" spans="1:5" ht="15" x14ac:dyDescent="0.25">
      <c r="A1347"/>
      <c r="B1347"/>
      <c r="C1347"/>
      <c r="D1347"/>
      <c r="E1347"/>
    </row>
    <row r="1348" spans="1:5" ht="15" x14ac:dyDescent="0.25">
      <c r="A1348"/>
      <c r="B1348"/>
      <c r="C1348"/>
      <c r="D1348"/>
      <c r="E1348"/>
    </row>
    <row r="1349" spans="1:5" ht="15" x14ac:dyDescent="0.25">
      <c r="A1349"/>
      <c r="B1349"/>
      <c r="C1349"/>
      <c r="D1349"/>
      <c r="E1349"/>
    </row>
    <row r="1350" spans="1:5" ht="15" x14ac:dyDescent="0.25">
      <c r="A1350"/>
      <c r="B1350"/>
      <c r="C1350"/>
      <c r="D1350"/>
      <c r="E1350"/>
    </row>
    <row r="1351" spans="1:5" ht="15" x14ac:dyDescent="0.25">
      <c r="A1351"/>
      <c r="B1351"/>
      <c r="C1351"/>
      <c r="D1351"/>
      <c r="E1351"/>
    </row>
    <row r="1352" spans="1:5" ht="15" x14ac:dyDescent="0.25">
      <c r="A1352"/>
      <c r="B1352"/>
      <c r="C1352"/>
      <c r="D1352"/>
      <c r="E1352"/>
    </row>
    <row r="1353" spans="1:5" ht="15" x14ac:dyDescent="0.25">
      <c r="A1353"/>
      <c r="B1353"/>
      <c r="C1353"/>
      <c r="D1353"/>
      <c r="E1353"/>
    </row>
    <row r="1354" spans="1:5" ht="15" x14ac:dyDescent="0.25">
      <c r="A1354"/>
      <c r="B1354"/>
      <c r="C1354"/>
      <c r="D1354"/>
      <c r="E1354"/>
    </row>
    <row r="1355" spans="1:5" ht="15" x14ac:dyDescent="0.25">
      <c r="A1355"/>
      <c r="B1355"/>
      <c r="C1355"/>
      <c r="D1355"/>
      <c r="E1355"/>
    </row>
    <row r="1356" spans="1:5" ht="15" x14ac:dyDescent="0.25">
      <c r="A1356"/>
      <c r="B1356"/>
      <c r="C1356"/>
      <c r="D1356"/>
      <c r="E1356"/>
    </row>
    <row r="1357" spans="1:5" ht="15" x14ac:dyDescent="0.25">
      <c r="A1357"/>
      <c r="B1357"/>
      <c r="C1357"/>
      <c r="D1357"/>
      <c r="E1357"/>
    </row>
    <row r="1358" spans="1:5" ht="15" x14ac:dyDescent="0.25">
      <c r="A1358"/>
      <c r="B1358"/>
      <c r="C1358"/>
      <c r="D1358"/>
      <c r="E1358"/>
    </row>
    <row r="1359" spans="1:5" ht="15" x14ac:dyDescent="0.25">
      <c r="A1359"/>
      <c r="B1359"/>
      <c r="C1359"/>
      <c r="D1359"/>
      <c r="E1359"/>
    </row>
    <row r="1360" spans="1:5" ht="15" x14ac:dyDescent="0.25">
      <c r="A1360"/>
      <c r="B1360"/>
      <c r="C1360"/>
      <c r="D1360"/>
      <c r="E1360"/>
    </row>
    <row r="1361" spans="1:5" ht="15" x14ac:dyDescent="0.25">
      <c r="A1361"/>
      <c r="B1361"/>
      <c r="C1361"/>
      <c r="D1361"/>
      <c r="E1361"/>
    </row>
    <row r="1362" spans="1:5" ht="15" x14ac:dyDescent="0.25">
      <c r="A1362"/>
      <c r="B1362"/>
      <c r="C1362"/>
      <c r="D1362"/>
      <c r="E1362"/>
    </row>
    <row r="1363" spans="1:5" ht="15" x14ac:dyDescent="0.25">
      <c r="A1363"/>
      <c r="B1363"/>
      <c r="C1363"/>
      <c r="D1363"/>
      <c r="E1363"/>
    </row>
    <row r="1364" spans="1:5" ht="15" x14ac:dyDescent="0.25">
      <c r="A1364"/>
      <c r="B1364"/>
      <c r="C1364"/>
      <c r="D1364"/>
      <c r="E1364"/>
    </row>
    <row r="1365" spans="1:5" ht="15" x14ac:dyDescent="0.25">
      <c r="A1365"/>
      <c r="B1365"/>
      <c r="C1365"/>
      <c r="D1365"/>
      <c r="E1365"/>
    </row>
    <row r="1366" spans="1:5" ht="15" x14ac:dyDescent="0.25">
      <c r="A1366"/>
      <c r="B1366"/>
      <c r="C1366"/>
      <c r="D1366"/>
      <c r="E1366"/>
    </row>
    <row r="1367" spans="1:5" ht="15" x14ac:dyDescent="0.25">
      <c r="A1367"/>
      <c r="B1367"/>
      <c r="C1367"/>
      <c r="D1367"/>
      <c r="E1367"/>
    </row>
    <row r="1368" spans="1:5" ht="15" x14ac:dyDescent="0.25">
      <c r="A1368"/>
      <c r="B1368"/>
      <c r="C1368"/>
      <c r="D1368"/>
      <c r="E1368"/>
    </row>
    <row r="1369" spans="1:5" ht="15" x14ac:dyDescent="0.25">
      <c r="A1369"/>
      <c r="B1369"/>
      <c r="C1369"/>
      <c r="D1369"/>
      <c r="E1369"/>
    </row>
    <row r="1370" spans="1:5" ht="15" x14ac:dyDescent="0.25">
      <c r="A1370"/>
      <c r="B1370"/>
      <c r="C1370"/>
      <c r="D1370"/>
      <c r="E1370"/>
    </row>
    <row r="1371" spans="1:5" ht="15" x14ac:dyDescent="0.25">
      <c r="A1371"/>
      <c r="B1371"/>
      <c r="C1371"/>
      <c r="D1371"/>
      <c r="E1371"/>
    </row>
    <row r="1372" spans="1:5" ht="15" x14ac:dyDescent="0.25">
      <c r="A1372"/>
      <c r="B1372"/>
      <c r="C1372"/>
      <c r="D1372"/>
      <c r="E1372"/>
    </row>
    <row r="1373" spans="1:5" ht="15" x14ac:dyDescent="0.25">
      <c r="A1373"/>
      <c r="B1373"/>
      <c r="C1373"/>
      <c r="D1373"/>
      <c r="E1373"/>
    </row>
    <row r="1374" spans="1:5" ht="15" x14ac:dyDescent="0.25">
      <c r="A1374"/>
      <c r="B1374"/>
      <c r="C1374"/>
      <c r="D1374"/>
      <c r="E1374"/>
    </row>
    <row r="1375" spans="1:5" ht="15" x14ac:dyDescent="0.25">
      <c r="A1375"/>
      <c r="B1375"/>
      <c r="C1375"/>
      <c r="D1375"/>
      <c r="E1375"/>
    </row>
    <row r="1376" spans="1:5" ht="15" x14ac:dyDescent="0.25">
      <c r="A1376"/>
      <c r="B1376"/>
      <c r="C1376"/>
      <c r="D1376"/>
      <c r="E1376"/>
    </row>
    <row r="1377" spans="1:5" ht="15" x14ac:dyDescent="0.25">
      <c r="A1377"/>
      <c r="B1377"/>
      <c r="C1377"/>
      <c r="D1377"/>
      <c r="E1377"/>
    </row>
    <row r="1378" spans="1:5" ht="15" x14ac:dyDescent="0.25">
      <c r="A1378"/>
      <c r="B1378"/>
      <c r="C1378"/>
      <c r="D1378"/>
      <c r="E1378"/>
    </row>
    <row r="1379" spans="1:5" ht="15" x14ac:dyDescent="0.25">
      <c r="A1379"/>
      <c r="B1379"/>
      <c r="C1379"/>
      <c r="D1379"/>
      <c r="E1379"/>
    </row>
    <row r="1380" spans="1:5" ht="15" x14ac:dyDescent="0.25">
      <c r="A1380"/>
      <c r="B1380"/>
      <c r="C1380"/>
      <c r="D1380"/>
      <c r="E1380"/>
    </row>
    <row r="1381" spans="1:5" ht="15" x14ac:dyDescent="0.25">
      <c r="A1381"/>
      <c r="B1381"/>
      <c r="C1381"/>
      <c r="D1381"/>
      <c r="E1381"/>
    </row>
    <row r="1382" spans="1:5" ht="15" x14ac:dyDescent="0.25">
      <c r="A1382"/>
      <c r="B1382"/>
      <c r="C1382"/>
      <c r="D1382"/>
      <c r="E1382"/>
    </row>
    <row r="1383" spans="1:5" ht="15" x14ac:dyDescent="0.25">
      <c r="A1383"/>
      <c r="B1383"/>
      <c r="C1383"/>
      <c r="D1383"/>
      <c r="E1383"/>
    </row>
    <row r="1384" spans="1:5" ht="15" x14ac:dyDescent="0.25">
      <c r="A1384"/>
      <c r="B1384"/>
      <c r="C1384"/>
      <c r="D1384"/>
      <c r="E1384"/>
    </row>
    <row r="1385" spans="1:5" ht="15" x14ac:dyDescent="0.25">
      <c r="A1385"/>
      <c r="B1385"/>
      <c r="C1385"/>
      <c r="D1385"/>
      <c r="E1385"/>
    </row>
    <row r="1386" spans="1:5" ht="15" x14ac:dyDescent="0.25">
      <c r="A1386"/>
      <c r="B1386"/>
      <c r="C1386"/>
      <c r="D1386"/>
      <c r="E1386"/>
    </row>
    <row r="1387" spans="1:5" ht="15" x14ac:dyDescent="0.25">
      <c r="A1387"/>
      <c r="B1387"/>
      <c r="C1387"/>
      <c r="D1387"/>
      <c r="E1387"/>
    </row>
    <row r="1388" spans="1:5" ht="15" x14ac:dyDescent="0.25">
      <c r="A1388"/>
      <c r="B1388"/>
      <c r="C1388"/>
      <c r="D1388"/>
      <c r="E1388"/>
    </row>
    <row r="1389" spans="1:5" ht="15" x14ac:dyDescent="0.25">
      <c r="A1389"/>
      <c r="B1389"/>
      <c r="C1389"/>
      <c r="D1389"/>
      <c r="E1389"/>
    </row>
    <row r="1390" spans="1:5" ht="15" x14ac:dyDescent="0.25">
      <c r="A1390"/>
      <c r="B1390"/>
      <c r="C1390"/>
      <c r="D1390"/>
      <c r="E1390"/>
    </row>
    <row r="1391" spans="1:5" ht="15" x14ac:dyDescent="0.25">
      <c r="A1391"/>
      <c r="B1391"/>
      <c r="C1391"/>
      <c r="D1391"/>
      <c r="E1391"/>
    </row>
    <row r="1392" spans="1:5" ht="15" x14ac:dyDescent="0.25">
      <c r="A1392"/>
      <c r="B1392"/>
      <c r="C1392"/>
      <c r="D1392"/>
      <c r="E1392"/>
    </row>
    <row r="1393" spans="1:5" ht="15" x14ac:dyDescent="0.25">
      <c r="A1393"/>
      <c r="B1393"/>
      <c r="C1393"/>
      <c r="D1393"/>
      <c r="E1393"/>
    </row>
    <row r="1394" spans="1:5" ht="15" x14ac:dyDescent="0.25">
      <c r="A1394"/>
      <c r="B1394"/>
      <c r="C1394"/>
      <c r="D1394"/>
      <c r="E1394"/>
    </row>
    <row r="1395" spans="1:5" ht="15" x14ac:dyDescent="0.25">
      <c r="A1395"/>
      <c r="B1395"/>
      <c r="C1395"/>
      <c r="D1395"/>
      <c r="E1395"/>
    </row>
    <row r="1396" spans="1:5" ht="15" x14ac:dyDescent="0.25">
      <c r="A1396"/>
      <c r="B1396"/>
      <c r="C1396"/>
      <c r="D1396"/>
      <c r="E1396"/>
    </row>
    <row r="1397" spans="1:5" ht="15" x14ac:dyDescent="0.25">
      <c r="A1397"/>
      <c r="B1397"/>
      <c r="C1397"/>
      <c r="D1397"/>
      <c r="E1397"/>
    </row>
    <row r="1398" spans="1:5" ht="15" x14ac:dyDescent="0.25">
      <c r="A1398"/>
      <c r="B1398"/>
      <c r="C1398"/>
      <c r="D1398"/>
      <c r="E1398"/>
    </row>
    <row r="1399" spans="1:5" ht="15" x14ac:dyDescent="0.25">
      <c r="A1399"/>
      <c r="B1399"/>
      <c r="C1399"/>
      <c r="D1399"/>
      <c r="E1399"/>
    </row>
    <row r="1400" spans="1:5" ht="15" x14ac:dyDescent="0.25">
      <c r="A1400"/>
      <c r="B1400"/>
      <c r="C1400"/>
      <c r="D1400"/>
      <c r="E1400"/>
    </row>
    <row r="1401" spans="1:5" ht="15" x14ac:dyDescent="0.25">
      <c r="A1401"/>
      <c r="B1401"/>
      <c r="C1401"/>
      <c r="D1401"/>
      <c r="E1401"/>
    </row>
    <row r="1402" spans="1:5" ht="15" x14ac:dyDescent="0.25">
      <c r="A1402"/>
      <c r="B1402"/>
      <c r="C1402"/>
      <c r="D1402"/>
      <c r="E1402"/>
    </row>
    <row r="1403" spans="1:5" ht="15" x14ac:dyDescent="0.25">
      <c r="A1403"/>
      <c r="B1403"/>
      <c r="C1403"/>
      <c r="D1403"/>
      <c r="E1403"/>
    </row>
    <row r="1404" spans="1:5" ht="15" x14ac:dyDescent="0.25">
      <c r="A1404"/>
      <c r="B1404"/>
      <c r="C1404"/>
      <c r="D1404"/>
      <c r="E1404"/>
    </row>
    <row r="1405" spans="1:5" ht="15" x14ac:dyDescent="0.25">
      <c r="A1405"/>
      <c r="B1405"/>
      <c r="C1405"/>
      <c r="D1405"/>
      <c r="E1405"/>
    </row>
    <row r="1406" spans="1:5" ht="15" x14ac:dyDescent="0.25">
      <c r="A1406"/>
      <c r="B1406"/>
      <c r="C1406"/>
      <c r="D1406"/>
      <c r="E1406"/>
    </row>
    <row r="1407" spans="1:5" ht="15" x14ac:dyDescent="0.25">
      <c r="A1407"/>
      <c r="B1407"/>
      <c r="C1407"/>
      <c r="D1407"/>
      <c r="E1407"/>
    </row>
    <row r="1408" spans="1:5" ht="15" x14ac:dyDescent="0.25">
      <c r="A1408"/>
      <c r="B1408"/>
      <c r="C1408"/>
      <c r="D1408"/>
      <c r="E1408"/>
    </row>
    <row r="1409" spans="1:5" ht="15" x14ac:dyDescent="0.25">
      <c r="A1409"/>
      <c r="B1409"/>
      <c r="C1409"/>
      <c r="D1409"/>
      <c r="E1409"/>
    </row>
    <row r="1410" spans="1:5" ht="15" x14ac:dyDescent="0.25">
      <c r="A1410"/>
      <c r="B1410"/>
      <c r="C1410"/>
      <c r="D1410"/>
      <c r="E1410"/>
    </row>
    <row r="1411" spans="1:5" ht="15" x14ac:dyDescent="0.25">
      <c r="A1411"/>
      <c r="B1411"/>
      <c r="C1411"/>
      <c r="D1411"/>
      <c r="E1411"/>
    </row>
    <row r="1412" spans="1:5" ht="15" x14ac:dyDescent="0.25">
      <c r="A1412"/>
      <c r="B1412"/>
      <c r="C1412"/>
      <c r="D1412"/>
      <c r="E1412"/>
    </row>
    <row r="1413" spans="1:5" ht="15" x14ac:dyDescent="0.25">
      <c r="A1413"/>
      <c r="B1413"/>
      <c r="C1413"/>
      <c r="D1413"/>
      <c r="E1413"/>
    </row>
    <row r="1414" spans="1:5" ht="15" x14ac:dyDescent="0.25">
      <c r="A1414"/>
      <c r="B1414"/>
      <c r="C1414"/>
      <c r="D1414"/>
      <c r="E1414"/>
    </row>
    <row r="1415" spans="1:5" ht="15" x14ac:dyDescent="0.25">
      <c r="A1415"/>
      <c r="B1415"/>
      <c r="C1415"/>
      <c r="D1415"/>
      <c r="E1415"/>
    </row>
    <row r="1416" spans="1:5" ht="15" x14ac:dyDescent="0.25">
      <c r="A1416"/>
      <c r="B1416"/>
      <c r="C1416"/>
      <c r="D1416"/>
      <c r="E1416"/>
    </row>
    <row r="1417" spans="1:5" ht="15" x14ac:dyDescent="0.25">
      <c r="A1417"/>
      <c r="B1417"/>
      <c r="C1417"/>
      <c r="D1417"/>
      <c r="E1417"/>
    </row>
    <row r="1418" spans="1:5" ht="15" x14ac:dyDescent="0.25">
      <c r="A1418"/>
      <c r="B1418"/>
      <c r="C1418"/>
      <c r="D1418"/>
      <c r="E1418"/>
    </row>
    <row r="1419" spans="1:5" ht="15" x14ac:dyDescent="0.25">
      <c r="A1419"/>
      <c r="B1419"/>
      <c r="C1419"/>
      <c r="D1419"/>
      <c r="E1419"/>
    </row>
    <row r="1420" spans="1:5" ht="15" x14ac:dyDescent="0.25">
      <c r="A1420"/>
      <c r="B1420"/>
      <c r="C1420"/>
      <c r="D1420"/>
      <c r="E1420"/>
    </row>
    <row r="1421" spans="1:5" ht="15" x14ac:dyDescent="0.25">
      <c r="A1421"/>
      <c r="B1421"/>
      <c r="C1421"/>
      <c r="D1421"/>
      <c r="E1421"/>
    </row>
    <row r="1422" spans="1:5" ht="15" x14ac:dyDescent="0.25">
      <c r="A1422"/>
      <c r="B1422"/>
      <c r="C1422"/>
      <c r="D1422"/>
      <c r="E1422"/>
    </row>
    <row r="1423" spans="1:5" ht="15" x14ac:dyDescent="0.25">
      <c r="A1423"/>
      <c r="B1423"/>
      <c r="C1423"/>
      <c r="D1423"/>
      <c r="E1423"/>
    </row>
    <row r="1424" spans="1:5" ht="15" x14ac:dyDescent="0.25">
      <c r="A1424"/>
      <c r="B1424"/>
      <c r="C1424"/>
      <c r="D1424"/>
      <c r="E1424"/>
    </row>
    <row r="1425" spans="1:5" ht="15" x14ac:dyDescent="0.25">
      <c r="A1425"/>
      <c r="B1425"/>
      <c r="C1425"/>
      <c r="D1425"/>
      <c r="E1425"/>
    </row>
    <row r="1426" spans="1:5" ht="15" x14ac:dyDescent="0.25">
      <c r="A1426"/>
      <c r="B1426"/>
      <c r="C1426"/>
      <c r="D1426"/>
      <c r="E1426"/>
    </row>
    <row r="1427" spans="1:5" ht="15" x14ac:dyDescent="0.25">
      <c r="A1427"/>
      <c r="B1427"/>
      <c r="C1427"/>
      <c r="D1427"/>
      <c r="E1427"/>
    </row>
    <row r="1428" spans="1:5" ht="15" x14ac:dyDescent="0.25">
      <c r="A1428"/>
      <c r="B1428"/>
      <c r="C1428"/>
      <c r="D1428"/>
      <c r="E1428"/>
    </row>
    <row r="1429" spans="1:5" ht="15" x14ac:dyDescent="0.25">
      <c r="A1429"/>
      <c r="B1429"/>
      <c r="C1429"/>
      <c r="D1429"/>
      <c r="E1429"/>
    </row>
    <row r="1430" spans="1:5" ht="15" x14ac:dyDescent="0.25">
      <c r="A1430"/>
      <c r="B1430"/>
      <c r="C1430"/>
      <c r="D1430"/>
      <c r="E1430"/>
    </row>
    <row r="1431" spans="1:5" ht="15" x14ac:dyDescent="0.25">
      <c r="A1431"/>
      <c r="B1431"/>
      <c r="C1431"/>
      <c r="D1431"/>
      <c r="E1431"/>
    </row>
    <row r="1432" spans="1:5" ht="15" x14ac:dyDescent="0.25">
      <c r="A1432"/>
      <c r="B1432"/>
      <c r="C1432"/>
      <c r="D1432"/>
      <c r="E1432"/>
    </row>
    <row r="1433" spans="1:5" ht="15" x14ac:dyDescent="0.25">
      <c r="A1433"/>
      <c r="B1433"/>
      <c r="C1433"/>
      <c r="D1433"/>
      <c r="E1433"/>
    </row>
    <row r="1434" spans="1:5" ht="15" x14ac:dyDescent="0.25">
      <c r="A1434"/>
      <c r="B1434"/>
      <c r="C1434"/>
      <c r="D1434"/>
      <c r="E1434"/>
    </row>
    <row r="1435" spans="1:5" ht="15" x14ac:dyDescent="0.25">
      <c r="A1435"/>
      <c r="B1435"/>
      <c r="C1435"/>
      <c r="D1435"/>
      <c r="E1435"/>
    </row>
    <row r="1436" spans="1:5" ht="15" x14ac:dyDescent="0.25">
      <c r="A1436"/>
      <c r="B1436"/>
      <c r="C1436"/>
      <c r="D1436"/>
      <c r="E1436"/>
    </row>
    <row r="1437" spans="1:5" ht="15" x14ac:dyDescent="0.25">
      <c r="A1437"/>
      <c r="B1437"/>
      <c r="C1437"/>
      <c r="D1437"/>
      <c r="E1437"/>
    </row>
    <row r="1438" spans="1:5" ht="15" x14ac:dyDescent="0.25">
      <c r="A1438"/>
      <c r="B1438"/>
      <c r="C1438"/>
      <c r="D1438"/>
      <c r="E1438"/>
    </row>
    <row r="1439" spans="1:5" ht="15" x14ac:dyDescent="0.25">
      <c r="A1439"/>
      <c r="B1439"/>
      <c r="C1439"/>
      <c r="D1439"/>
      <c r="E1439"/>
    </row>
    <row r="1440" spans="1:5" ht="15" x14ac:dyDescent="0.25">
      <c r="A1440"/>
      <c r="B1440"/>
      <c r="C1440"/>
      <c r="D1440"/>
      <c r="E1440"/>
    </row>
    <row r="1441" spans="1:5" ht="15" x14ac:dyDescent="0.25">
      <c r="A1441"/>
      <c r="B1441"/>
      <c r="C1441"/>
      <c r="D1441"/>
      <c r="E1441"/>
    </row>
    <row r="1442" spans="1:5" ht="15" x14ac:dyDescent="0.25">
      <c r="A1442"/>
      <c r="B1442"/>
      <c r="C1442"/>
      <c r="D1442"/>
      <c r="E1442"/>
    </row>
    <row r="1443" spans="1:5" ht="15" x14ac:dyDescent="0.25">
      <c r="A1443"/>
      <c r="B1443"/>
      <c r="C1443"/>
      <c r="D1443"/>
      <c r="E1443"/>
    </row>
    <row r="1444" spans="1:5" ht="15" x14ac:dyDescent="0.25">
      <c r="A1444"/>
      <c r="B1444"/>
      <c r="C1444"/>
      <c r="D1444"/>
      <c r="E1444"/>
    </row>
    <row r="1445" spans="1:5" ht="15" x14ac:dyDescent="0.25">
      <c r="A1445"/>
      <c r="B1445"/>
      <c r="C1445"/>
      <c r="D1445"/>
      <c r="E1445"/>
    </row>
    <row r="1446" spans="1:5" ht="15" x14ac:dyDescent="0.25">
      <c r="A1446"/>
      <c r="B1446"/>
      <c r="C1446"/>
      <c r="D1446"/>
      <c r="E1446"/>
    </row>
    <row r="1447" spans="1:5" ht="15" x14ac:dyDescent="0.25">
      <c r="A1447"/>
      <c r="B1447"/>
      <c r="C1447"/>
      <c r="D1447"/>
      <c r="E1447"/>
    </row>
    <row r="1448" spans="1:5" ht="15" x14ac:dyDescent="0.25">
      <c r="A1448"/>
      <c r="B1448"/>
      <c r="C1448"/>
      <c r="D1448"/>
      <c r="E1448"/>
    </row>
    <row r="1449" spans="1:5" ht="15" x14ac:dyDescent="0.25">
      <c r="A1449"/>
      <c r="B1449"/>
      <c r="C1449"/>
      <c r="D1449"/>
      <c r="E1449"/>
    </row>
    <row r="1450" spans="1:5" ht="15" x14ac:dyDescent="0.25">
      <c r="A1450"/>
      <c r="B1450"/>
      <c r="C1450"/>
      <c r="D1450"/>
      <c r="E1450"/>
    </row>
    <row r="1451" spans="1:5" ht="15" x14ac:dyDescent="0.25">
      <c r="A1451"/>
      <c r="B1451"/>
      <c r="C1451"/>
      <c r="D1451"/>
      <c r="E1451"/>
    </row>
    <row r="1452" spans="1:5" ht="15" x14ac:dyDescent="0.25">
      <c r="A1452"/>
      <c r="B1452"/>
      <c r="C1452"/>
      <c r="D1452"/>
      <c r="E1452"/>
    </row>
    <row r="1453" spans="1:5" ht="15" x14ac:dyDescent="0.25">
      <c r="A1453"/>
      <c r="B1453"/>
      <c r="C1453"/>
      <c r="D1453"/>
      <c r="E1453"/>
    </row>
    <row r="1454" spans="1:5" ht="15" x14ac:dyDescent="0.25">
      <c r="A1454"/>
      <c r="B1454"/>
      <c r="C1454"/>
      <c r="D1454"/>
      <c r="E1454"/>
    </row>
    <row r="1455" spans="1:5" ht="15" x14ac:dyDescent="0.25">
      <c r="A1455"/>
      <c r="B1455"/>
      <c r="C1455"/>
      <c r="D1455"/>
      <c r="E1455"/>
    </row>
    <row r="1456" spans="1:5" ht="15" x14ac:dyDescent="0.25">
      <c r="A1456"/>
      <c r="B1456"/>
      <c r="C1456"/>
      <c r="D1456"/>
      <c r="E1456"/>
    </row>
    <row r="1457" spans="1:5" ht="15" x14ac:dyDescent="0.25">
      <c r="A1457"/>
      <c r="B1457"/>
      <c r="C1457"/>
      <c r="D1457"/>
      <c r="E1457"/>
    </row>
    <row r="1458" spans="1:5" ht="15" x14ac:dyDescent="0.25">
      <c r="A1458"/>
      <c r="B1458"/>
      <c r="C1458"/>
      <c r="D1458"/>
      <c r="E1458"/>
    </row>
    <row r="1459" spans="1:5" ht="15" x14ac:dyDescent="0.25">
      <c r="A1459"/>
      <c r="B1459"/>
      <c r="C1459"/>
      <c r="D1459"/>
      <c r="E1459"/>
    </row>
    <row r="1460" spans="1:5" ht="15" x14ac:dyDescent="0.25">
      <c r="A1460"/>
      <c r="B1460"/>
      <c r="C1460"/>
      <c r="D1460"/>
      <c r="E1460"/>
    </row>
    <row r="1461" spans="1:5" ht="15" x14ac:dyDescent="0.25">
      <c r="A1461"/>
      <c r="B1461"/>
      <c r="C1461"/>
      <c r="D1461"/>
      <c r="E1461"/>
    </row>
    <row r="1462" spans="1:5" ht="15" x14ac:dyDescent="0.25">
      <c r="A1462"/>
      <c r="B1462"/>
      <c r="C1462"/>
      <c r="D1462"/>
      <c r="E1462"/>
    </row>
    <row r="1463" spans="1:5" ht="15" x14ac:dyDescent="0.25">
      <c r="A1463"/>
      <c r="B1463"/>
      <c r="C1463"/>
      <c r="D1463"/>
      <c r="E1463"/>
    </row>
    <row r="1464" spans="1:5" ht="15" x14ac:dyDescent="0.25">
      <c r="A1464"/>
      <c r="B1464"/>
      <c r="C1464"/>
      <c r="D1464"/>
      <c r="E1464"/>
    </row>
    <row r="1465" spans="1:5" ht="15" x14ac:dyDescent="0.25">
      <c r="A1465"/>
      <c r="B1465"/>
      <c r="C1465"/>
      <c r="D1465"/>
      <c r="E1465"/>
    </row>
    <row r="1466" spans="1:5" ht="15" x14ac:dyDescent="0.25">
      <c r="A1466"/>
      <c r="B1466"/>
      <c r="C1466"/>
      <c r="D1466"/>
      <c r="E1466"/>
    </row>
    <row r="1467" spans="1:5" ht="15" x14ac:dyDescent="0.25">
      <c r="A1467"/>
      <c r="B1467"/>
      <c r="C1467"/>
      <c r="D1467"/>
      <c r="E1467"/>
    </row>
    <row r="1468" spans="1:5" ht="15" x14ac:dyDescent="0.25">
      <c r="A1468"/>
      <c r="B1468"/>
      <c r="C1468"/>
      <c r="D1468"/>
      <c r="E1468"/>
    </row>
    <row r="1469" spans="1:5" ht="15" x14ac:dyDescent="0.25">
      <c r="A1469"/>
      <c r="B1469"/>
      <c r="C1469"/>
      <c r="D1469"/>
      <c r="E1469"/>
    </row>
    <row r="1470" spans="1:5" ht="15" x14ac:dyDescent="0.25">
      <c r="A1470"/>
      <c r="B1470"/>
      <c r="C1470"/>
      <c r="D1470"/>
      <c r="E1470"/>
    </row>
    <row r="1471" spans="1:5" ht="15" x14ac:dyDescent="0.25">
      <c r="A1471"/>
      <c r="B1471"/>
      <c r="C1471"/>
      <c r="D1471"/>
      <c r="E1471"/>
    </row>
    <row r="1472" spans="1:5" ht="15" x14ac:dyDescent="0.25">
      <c r="A1472"/>
      <c r="B1472"/>
      <c r="C1472"/>
      <c r="D1472"/>
      <c r="E1472"/>
    </row>
    <row r="1473" spans="1:5" ht="15" x14ac:dyDescent="0.25">
      <c r="A1473"/>
      <c r="B1473"/>
      <c r="C1473"/>
      <c r="D1473"/>
      <c r="E1473"/>
    </row>
    <row r="1474" spans="1:5" ht="15" x14ac:dyDescent="0.25">
      <c r="A1474"/>
      <c r="B1474"/>
      <c r="C1474"/>
      <c r="D1474"/>
      <c r="E1474"/>
    </row>
    <row r="1475" spans="1:5" ht="15" x14ac:dyDescent="0.25">
      <c r="A1475"/>
      <c r="B1475"/>
      <c r="C1475"/>
      <c r="D1475"/>
      <c r="E1475"/>
    </row>
    <row r="1476" spans="1:5" ht="15" x14ac:dyDescent="0.25">
      <c r="A1476"/>
      <c r="B1476"/>
      <c r="C1476"/>
      <c r="D1476"/>
      <c r="E1476"/>
    </row>
    <row r="1477" spans="1:5" ht="15" x14ac:dyDescent="0.25">
      <c r="A1477"/>
      <c r="B1477"/>
      <c r="C1477"/>
      <c r="D1477"/>
      <c r="E1477"/>
    </row>
    <row r="1478" spans="1:5" ht="15" x14ac:dyDescent="0.25">
      <c r="A1478"/>
      <c r="B1478"/>
      <c r="C1478"/>
      <c r="D1478"/>
      <c r="E1478"/>
    </row>
    <row r="1479" spans="1:5" ht="15" x14ac:dyDescent="0.25">
      <c r="A1479"/>
      <c r="B1479"/>
      <c r="C1479"/>
      <c r="D1479"/>
      <c r="E1479"/>
    </row>
    <row r="1480" spans="1:5" ht="15" x14ac:dyDescent="0.25">
      <c r="A1480"/>
      <c r="B1480"/>
      <c r="C1480"/>
      <c r="D1480"/>
      <c r="E1480"/>
    </row>
    <row r="1481" spans="1:5" ht="15" x14ac:dyDescent="0.25">
      <c r="A1481"/>
      <c r="B1481"/>
      <c r="C1481"/>
      <c r="D1481"/>
      <c r="E1481"/>
    </row>
    <row r="1482" spans="1:5" ht="15" x14ac:dyDescent="0.25">
      <c r="A1482"/>
      <c r="B1482"/>
      <c r="C1482"/>
      <c r="D1482"/>
      <c r="E1482"/>
    </row>
    <row r="1483" spans="1:5" ht="15" x14ac:dyDescent="0.25">
      <c r="A1483"/>
      <c r="B1483"/>
      <c r="C1483"/>
      <c r="D1483"/>
      <c r="E1483"/>
    </row>
    <row r="1484" spans="1:5" ht="15" x14ac:dyDescent="0.25">
      <c r="A1484"/>
      <c r="B1484"/>
      <c r="C1484"/>
      <c r="D1484"/>
      <c r="E1484"/>
    </row>
    <row r="1485" spans="1:5" ht="15" x14ac:dyDescent="0.25">
      <c r="A1485"/>
      <c r="B1485"/>
      <c r="C1485"/>
      <c r="D1485"/>
      <c r="E1485"/>
    </row>
    <row r="1486" spans="1:5" ht="15" x14ac:dyDescent="0.25">
      <c r="A1486"/>
      <c r="B1486"/>
      <c r="C1486"/>
      <c r="D1486"/>
      <c r="E1486"/>
    </row>
    <row r="1487" spans="1:5" ht="15" x14ac:dyDescent="0.25">
      <c r="A1487"/>
      <c r="B1487"/>
      <c r="C1487"/>
      <c r="D1487"/>
      <c r="E1487"/>
    </row>
    <row r="1488" spans="1:5" ht="15" x14ac:dyDescent="0.25">
      <c r="A1488"/>
      <c r="B1488"/>
      <c r="C1488"/>
      <c r="D1488"/>
      <c r="E1488"/>
    </row>
    <row r="1489" spans="1:5" ht="15" x14ac:dyDescent="0.25">
      <c r="A1489"/>
      <c r="B1489"/>
      <c r="C1489"/>
      <c r="D1489"/>
      <c r="E1489"/>
    </row>
    <row r="1490" spans="1:5" ht="15" x14ac:dyDescent="0.25">
      <c r="A1490"/>
      <c r="B1490"/>
      <c r="C1490"/>
      <c r="D1490"/>
      <c r="E1490"/>
    </row>
    <row r="1491" spans="1:5" ht="15" x14ac:dyDescent="0.25">
      <c r="A1491"/>
      <c r="B1491"/>
      <c r="C1491"/>
      <c r="D1491"/>
      <c r="E1491"/>
    </row>
    <row r="1492" spans="1:5" ht="15" x14ac:dyDescent="0.25">
      <c r="A1492"/>
      <c r="B1492"/>
      <c r="C1492"/>
      <c r="D1492"/>
      <c r="E1492"/>
    </row>
    <row r="1493" spans="1:5" ht="15" x14ac:dyDescent="0.25">
      <c r="A1493"/>
      <c r="B1493"/>
      <c r="C1493"/>
      <c r="D1493"/>
      <c r="E1493"/>
    </row>
    <row r="1494" spans="1:5" ht="15" x14ac:dyDescent="0.25">
      <c r="A1494"/>
      <c r="B1494"/>
      <c r="C1494"/>
      <c r="D1494"/>
      <c r="E1494"/>
    </row>
    <row r="1495" spans="1:5" ht="15" x14ac:dyDescent="0.25">
      <c r="A1495"/>
      <c r="B1495"/>
      <c r="C1495"/>
      <c r="D1495"/>
      <c r="E1495"/>
    </row>
    <row r="1496" spans="1:5" ht="15" x14ac:dyDescent="0.25">
      <c r="A1496"/>
      <c r="B1496"/>
      <c r="C1496"/>
      <c r="D1496"/>
      <c r="E1496"/>
    </row>
    <row r="1497" spans="1:5" ht="15" x14ac:dyDescent="0.25">
      <c r="A1497"/>
      <c r="B1497"/>
      <c r="C1497"/>
      <c r="D1497"/>
      <c r="E1497"/>
    </row>
    <row r="1498" spans="1:5" ht="15" x14ac:dyDescent="0.25">
      <c r="A1498"/>
      <c r="B1498"/>
      <c r="C1498"/>
      <c r="D1498"/>
      <c r="E1498"/>
    </row>
    <row r="1499" spans="1:5" ht="15" x14ac:dyDescent="0.25">
      <c r="A1499"/>
      <c r="B1499"/>
      <c r="C1499"/>
      <c r="D1499"/>
      <c r="E1499"/>
    </row>
    <row r="1500" spans="1:5" ht="15" x14ac:dyDescent="0.25">
      <c r="A1500"/>
      <c r="B1500"/>
      <c r="C1500"/>
      <c r="D1500"/>
      <c r="E1500"/>
    </row>
    <row r="1501" spans="1:5" ht="15" x14ac:dyDescent="0.25">
      <c r="A1501"/>
      <c r="B1501"/>
      <c r="C1501"/>
      <c r="D1501"/>
      <c r="E1501"/>
    </row>
    <row r="1502" spans="1:5" ht="15" x14ac:dyDescent="0.25">
      <c r="A1502"/>
      <c r="B1502"/>
      <c r="C1502"/>
      <c r="D1502"/>
      <c r="E1502"/>
    </row>
    <row r="1503" spans="1:5" ht="15" x14ac:dyDescent="0.25">
      <c r="A1503"/>
      <c r="B1503"/>
      <c r="C1503"/>
      <c r="D1503"/>
      <c r="E1503"/>
    </row>
    <row r="1504" spans="1:5" ht="15" x14ac:dyDescent="0.25">
      <c r="A1504"/>
      <c r="B1504"/>
      <c r="C1504"/>
      <c r="D1504"/>
      <c r="E1504"/>
    </row>
    <row r="1505" spans="1:5" ht="15" x14ac:dyDescent="0.25">
      <c r="A1505"/>
      <c r="B1505"/>
      <c r="C1505"/>
      <c r="D1505"/>
      <c r="E1505"/>
    </row>
    <row r="1506" spans="1:5" ht="15" x14ac:dyDescent="0.25">
      <c r="A1506"/>
      <c r="B1506"/>
      <c r="C1506"/>
      <c r="D1506"/>
      <c r="E1506"/>
    </row>
    <row r="1507" spans="1:5" ht="15" x14ac:dyDescent="0.25">
      <c r="A1507"/>
      <c r="B1507"/>
      <c r="C1507"/>
      <c r="D1507"/>
      <c r="E1507"/>
    </row>
    <row r="1508" spans="1:5" ht="15" x14ac:dyDescent="0.25">
      <c r="A1508"/>
      <c r="B1508"/>
      <c r="C1508"/>
      <c r="D1508"/>
      <c r="E1508"/>
    </row>
    <row r="1509" spans="1:5" ht="15" x14ac:dyDescent="0.25">
      <c r="A1509"/>
      <c r="B1509"/>
      <c r="C1509"/>
      <c r="D1509"/>
      <c r="E1509"/>
    </row>
    <row r="1510" spans="1:5" ht="15" x14ac:dyDescent="0.25">
      <c r="A1510"/>
      <c r="B1510"/>
      <c r="C1510"/>
      <c r="D1510"/>
      <c r="E1510"/>
    </row>
    <row r="1511" spans="1:5" ht="15" x14ac:dyDescent="0.25">
      <c r="A1511"/>
      <c r="B1511"/>
      <c r="C1511"/>
      <c r="D1511"/>
      <c r="E1511"/>
    </row>
    <row r="1512" spans="1:5" ht="15" x14ac:dyDescent="0.25">
      <c r="A1512"/>
      <c r="B1512"/>
      <c r="C1512"/>
      <c r="D1512"/>
      <c r="E1512"/>
    </row>
    <row r="1513" spans="1:5" ht="15" x14ac:dyDescent="0.25">
      <c r="A1513"/>
      <c r="B1513"/>
      <c r="C1513"/>
      <c r="D1513"/>
      <c r="E1513"/>
    </row>
    <row r="1514" spans="1:5" ht="15" x14ac:dyDescent="0.25">
      <c r="A1514"/>
      <c r="B1514"/>
      <c r="C1514"/>
      <c r="D1514"/>
      <c r="E1514"/>
    </row>
    <row r="1515" spans="1:5" ht="15" x14ac:dyDescent="0.25">
      <c r="A1515"/>
      <c r="B1515"/>
      <c r="C1515"/>
      <c r="D1515"/>
      <c r="E1515"/>
    </row>
    <row r="1516" spans="1:5" ht="15" x14ac:dyDescent="0.25">
      <c r="A1516"/>
      <c r="B1516"/>
      <c r="C1516"/>
      <c r="D1516"/>
      <c r="E1516"/>
    </row>
    <row r="1517" spans="1:5" ht="15" x14ac:dyDescent="0.25">
      <c r="A1517"/>
      <c r="B1517"/>
      <c r="C1517"/>
      <c r="D1517"/>
      <c r="E1517"/>
    </row>
    <row r="1518" spans="1:5" ht="15" x14ac:dyDescent="0.25">
      <c r="A1518"/>
      <c r="B1518"/>
      <c r="C1518"/>
      <c r="D1518"/>
      <c r="E1518"/>
    </row>
    <row r="1519" spans="1:5" ht="15" x14ac:dyDescent="0.25">
      <c r="A1519"/>
      <c r="B1519"/>
      <c r="C1519"/>
      <c r="D1519"/>
      <c r="E1519"/>
    </row>
    <row r="1520" spans="1:5" ht="15" x14ac:dyDescent="0.25">
      <c r="A1520"/>
      <c r="B1520"/>
      <c r="C1520"/>
      <c r="D1520"/>
      <c r="E1520"/>
    </row>
    <row r="1521" spans="1:5" ht="15" x14ac:dyDescent="0.25">
      <c r="A1521"/>
      <c r="B1521"/>
      <c r="C1521"/>
      <c r="D1521"/>
      <c r="E1521"/>
    </row>
    <row r="1522" spans="1:5" ht="15" x14ac:dyDescent="0.25">
      <c r="A1522"/>
      <c r="B1522"/>
      <c r="C1522"/>
      <c r="D1522"/>
      <c r="E1522"/>
    </row>
    <row r="1523" spans="1:5" ht="15" x14ac:dyDescent="0.25">
      <c r="A1523"/>
      <c r="B1523"/>
      <c r="C1523"/>
      <c r="D1523"/>
      <c r="E1523"/>
    </row>
    <row r="1524" spans="1:5" ht="15" x14ac:dyDescent="0.25">
      <c r="A1524"/>
      <c r="B1524"/>
      <c r="C1524"/>
      <c r="D1524"/>
      <c r="E1524"/>
    </row>
    <row r="1525" spans="1:5" ht="15" x14ac:dyDescent="0.25">
      <c r="A1525"/>
      <c r="B1525"/>
      <c r="C1525"/>
      <c r="D1525"/>
      <c r="E1525"/>
    </row>
    <row r="1526" spans="1:5" ht="15" x14ac:dyDescent="0.25">
      <c r="A1526"/>
      <c r="B1526"/>
      <c r="C1526"/>
      <c r="D1526"/>
      <c r="E1526"/>
    </row>
    <row r="1527" spans="1:5" ht="15" x14ac:dyDescent="0.25">
      <c r="A1527"/>
      <c r="B1527"/>
      <c r="C1527"/>
      <c r="D1527"/>
      <c r="E1527"/>
    </row>
    <row r="1528" spans="1:5" ht="15" x14ac:dyDescent="0.25">
      <c r="A1528"/>
      <c r="B1528"/>
      <c r="C1528"/>
      <c r="D1528"/>
      <c r="E1528"/>
    </row>
    <row r="1529" spans="1:5" ht="15" x14ac:dyDescent="0.25">
      <c r="A1529"/>
      <c r="B1529"/>
      <c r="C1529"/>
      <c r="D1529"/>
      <c r="E1529"/>
    </row>
    <row r="1530" spans="1:5" ht="15" x14ac:dyDescent="0.25">
      <c r="A1530"/>
      <c r="B1530"/>
      <c r="C1530"/>
      <c r="D1530"/>
      <c r="E1530"/>
    </row>
    <row r="1531" spans="1:5" ht="15" x14ac:dyDescent="0.25">
      <c r="A1531"/>
      <c r="B1531"/>
      <c r="C1531"/>
      <c r="D1531"/>
      <c r="E1531"/>
    </row>
    <row r="1532" spans="1:5" ht="15" x14ac:dyDescent="0.25">
      <c r="A1532"/>
      <c r="B1532"/>
      <c r="C1532"/>
      <c r="D1532"/>
      <c r="E1532"/>
    </row>
    <row r="1533" spans="1:5" ht="15" x14ac:dyDescent="0.25">
      <c r="A1533"/>
      <c r="B1533"/>
      <c r="C1533"/>
      <c r="D1533"/>
      <c r="E1533"/>
    </row>
    <row r="1534" spans="1:5" ht="15" x14ac:dyDescent="0.25">
      <c r="A1534"/>
      <c r="B1534"/>
      <c r="C1534"/>
      <c r="D1534"/>
      <c r="E1534"/>
    </row>
    <row r="1535" spans="1:5" ht="15" x14ac:dyDescent="0.25">
      <c r="A1535"/>
      <c r="B1535"/>
      <c r="C1535"/>
      <c r="D1535"/>
      <c r="E1535"/>
    </row>
    <row r="1536" spans="1:5" ht="15" x14ac:dyDescent="0.25">
      <c r="A1536"/>
      <c r="B1536"/>
      <c r="C1536"/>
      <c r="D1536"/>
      <c r="E1536"/>
    </row>
    <row r="1537" spans="1:5" ht="15" x14ac:dyDescent="0.25">
      <c r="A1537"/>
      <c r="B1537"/>
      <c r="C1537"/>
      <c r="D1537"/>
      <c r="E1537"/>
    </row>
    <row r="1538" spans="1:5" ht="15" x14ac:dyDescent="0.25">
      <c r="A1538"/>
      <c r="B1538"/>
      <c r="C1538"/>
      <c r="D1538"/>
      <c r="E1538"/>
    </row>
    <row r="1539" spans="1:5" ht="15" x14ac:dyDescent="0.25">
      <c r="A1539"/>
      <c r="B1539"/>
      <c r="C1539"/>
      <c r="D1539"/>
      <c r="E1539"/>
    </row>
    <row r="1540" spans="1:5" ht="15" x14ac:dyDescent="0.25">
      <c r="A1540"/>
      <c r="B1540"/>
      <c r="C1540"/>
      <c r="D1540"/>
      <c r="E1540"/>
    </row>
    <row r="1541" spans="1:5" ht="15" x14ac:dyDescent="0.25">
      <c r="A1541"/>
      <c r="B1541"/>
      <c r="C1541"/>
      <c r="D1541"/>
      <c r="E1541"/>
    </row>
    <row r="1542" spans="1:5" ht="15" x14ac:dyDescent="0.25">
      <c r="A1542"/>
      <c r="B1542"/>
      <c r="C1542"/>
      <c r="D1542"/>
      <c r="E1542"/>
    </row>
    <row r="1543" spans="1:5" ht="15" x14ac:dyDescent="0.25">
      <c r="A1543"/>
      <c r="B1543"/>
      <c r="C1543"/>
      <c r="D1543"/>
      <c r="E1543"/>
    </row>
    <row r="1544" spans="1:5" ht="15" x14ac:dyDescent="0.25">
      <c r="A1544"/>
      <c r="B1544"/>
      <c r="C1544"/>
      <c r="D1544"/>
      <c r="E1544"/>
    </row>
    <row r="1545" spans="1:5" ht="15" x14ac:dyDescent="0.25">
      <c r="A1545"/>
      <c r="B1545"/>
      <c r="C1545"/>
      <c r="D1545"/>
      <c r="E1545"/>
    </row>
    <row r="1546" spans="1:5" ht="15" x14ac:dyDescent="0.25">
      <c r="A1546"/>
      <c r="B1546"/>
      <c r="C1546"/>
      <c r="D1546"/>
      <c r="E1546"/>
    </row>
    <row r="1547" spans="1:5" ht="15" x14ac:dyDescent="0.25">
      <c r="A1547"/>
      <c r="B1547"/>
      <c r="C1547"/>
      <c r="D1547"/>
      <c r="E1547"/>
    </row>
    <row r="1548" spans="1:5" ht="15" x14ac:dyDescent="0.25">
      <c r="A1548"/>
      <c r="B1548"/>
      <c r="C1548"/>
      <c r="D1548"/>
      <c r="E1548"/>
    </row>
    <row r="1549" spans="1:5" ht="15" x14ac:dyDescent="0.25">
      <c r="A1549"/>
      <c r="B1549"/>
      <c r="C1549"/>
      <c r="D1549"/>
      <c r="E1549"/>
    </row>
    <row r="1550" spans="1:5" ht="15" x14ac:dyDescent="0.25">
      <c r="A1550"/>
      <c r="B1550"/>
      <c r="C1550"/>
      <c r="D1550"/>
      <c r="E1550"/>
    </row>
    <row r="1551" spans="1:5" ht="15" x14ac:dyDescent="0.25">
      <c r="A1551"/>
      <c r="B1551"/>
      <c r="C1551"/>
      <c r="D1551"/>
      <c r="E1551"/>
    </row>
    <row r="1552" spans="1:5" ht="15" x14ac:dyDescent="0.25">
      <c r="A1552"/>
      <c r="B1552"/>
      <c r="C1552"/>
      <c r="D1552"/>
      <c r="E1552"/>
    </row>
    <row r="1553" spans="1:5" ht="15" x14ac:dyDescent="0.25">
      <c r="A1553"/>
      <c r="B1553"/>
      <c r="C1553"/>
      <c r="D1553"/>
      <c r="E1553"/>
    </row>
    <row r="1554" spans="1:5" ht="15" x14ac:dyDescent="0.25">
      <c r="A1554"/>
      <c r="B1554"/>
      <c r="C1554"/>
      <c r="D1554"/>
      <c r="E1554"/>
    </row>
    <row r="1555" spans="1:5" ht="15" x14ac:dyDescent="0.25">
      <c r="A1555"/>
      <c r="B1555"/>
      <c r="C1555"/>
      <c r="D1555"/>
      <c r="E1555"/>
    </row>
    <row r="1556" spans="1:5" ht="15" x14ac:dyDescent="0.25">
      <c r="A1556"/>
      <c r="B1556"/>
      <c r="C1556"/>
      <c r="D1556"/>
      <c r="E1556"/>
    </row>
    <row r="1557" spans="1:5" ht="15" x14ac:dyDescent="0.25">
      <c r="A1557"/>
      <c r="B1557"/>
      <c r="C1557"/>
      <c r="D1557"/>
      <c r="E1557"/>
    </row>
    <row r="1558" spans="1:5" ht="15" x14ac:dyDescent="0.25">
      <c r="A1558"/>
      <c r="B1558"/>
      <c r="C1558"/>
      <c r="D1558"/>
      <c r="E1558"/>
    </row>
    <row r="1559" spans="1:5" ht="15" x14ac:dyDescent="0.25">
      <c r="A1559"/>
      <c r="B1559"/>
      <c r="C1559"/>
      <c r="D1559"/>
      <c r="E1559"/>
    </row>
    <row r="1560" spans="1:5" ht="15" x14ac:dyDescent="0.25">
      <c r="A1560"/>
      <c r="B1560"/>
      <c r="C1560"/>
      <c r="D1560"/>
      <c r="E1560"/>
    </row>
    <row r="1561" spans="1:5" ht="15" x14ac:dyDescent="0.25">
      <c r="A1561"/>
      <c r="B1561"/>
      <c r="C1561"/>
      <c r="D1561"/>
      <c r="E1561"/>
    </row>
    <row r="1562" spans="1:5" ht="15" x14ac:dyDescent="0.25">
      <c r="A1562"/>
      <c r="B1562"/>
      <c r="C1562"/>
      <c r="D1562"/>
      <c r="E1562"/>
    </row>
    <row r="1563" spans="1:5" ht="15" x14ac:dyDescent="0.25">
      <c r="A1563"/>
      <c r="B1563"/>
      <c r="C1563"/>
      <c r="D1563"/>
      <c r="E1563"/>
    </row>
    <row r="1564" spans="1:5" ht="15" x14ac:dyDescent="0.25">
      <c r="A1564"/>
      <c r="B1564"/>
      <c r="C1564"/>
      <c r="D1564"/>
      <c r="E1564"/>
    </row>
    <row r="1565" spans="1:5" ht="15" x14ac:dyDescent="0.25">
      <c r="A1565"/>
      <c r="B1565"/>
      <c r="C1565"/>
      <c r="D1565"/>
      <c r="E1565"/>
    </row>
    <row r="1566" spans="1:5" ht="15" x14ac:dyDescent="0.25">
      <c r="A1566"/>
      <c r="B1566"/>
      <c r="C1566"/>
      <c r="D1566"/>
      <c r="E1566"/>
    </row>
    <row r="1567" spans="1:5" ht="15" x14ac:dyDescent="0.25">
      <c r="A1567"/>
      <c r="B1567"/>
      <c r="C1567"/>
      <c r="D1567"/>
      <c r="E1567"/>
    </row>
    <row r="1568" spans="1:5" ht="15" x14ac:dyDescent="0.25">
      <c r="A1568"/>
      <c r="B1568"/>
      <c r="C1568"/>
      <c r="D1568"/>
      <c r="E1568"/>
    </row>
    <row r="1569" spans="1:5" ht="15" x14ac:dyDescent="0.25">
      <c r="A1569"/>
      <c r="B1569"/>
      <c r="C1569"/>
      <c r="D1569"/>
      <c r="E1569"/>
    </row>
    <row r="1570" spans="1:5" ht="15" x14ac:dyDescent="0.25">
      <c r="A1570"/>
      <c r="B1570"/>
      <c r="C1570"/>
      <c r="D1570"/>
      <c r="E1570"/>
    </row>
    <row r="1571" spans="1:5" ht="15" x14ac:dyDescent="0.25">
      <c r="A1571"/>
      <c r="B1571"/>
      <c r="C1571"/>
      <c r="D1571"/>
      <c r="E1571"/>
    </row>
    <row r="1572" spans="1:5" ht="15" x14ac:dyDescent="0.25">
      <c r="A1572"/>
      <c r="B1572"/>
      <c r="C1572"/>
      <c r="D1572"/>
      <c r="E1572"/>
    </row>
    <row r="1573" spans="1:5" ht="15" x14ac:dyDescent="0.25">
      <c r="A1573"/>
      <c r="B1573"/>
      <c r="C1573"/>
      <c r="D1573"/>
      <c r="E1573"/>
    </row>
    <row r="1574" spans="1:5" ht="15" x14ac:dyDescent="0.25">
      <c r="A1574"/>
      <c r="B1574"/>
      <c r="C1574"/>
      <c r="D1574"/>
      <c r="E1574"/>
    </row>
    <row r="1575" spans="1:5" ht="15" x14ac:dyDescent="0.25">
      <c r="A1575"/>
      <c r="B1575"/>
      <c r="C1575"/>
      <c r="D1575"/>
      <c r="E1575"/>
    </row>
    <row r="1576" spans="1:5" ht="15" x14ac:dyDescent="0.25">
      <c r="A1576"/>
      <c r="B1576"/>
      <c r="C1576"/>
      <c r="D1576"/>
      <c r="E1576"/>
    </row>
    <row r="1577" spans="1:5" ht="15" x14ac:dyDescent="0.25">
      <c r="A1577"/>
      <c r="B1577"/>
      <c r="C1577"/>
      <c r="D1577"/>
      <c r="E1577"/>
    </row>
    <row r="1578" spans="1:5" ht="15" x14ac:dyDescent="0.25">
      <c r="A1578"/>
      <c r="B1578"/>
      <c r="C1578"/>
      <c r="D1578"/>
      <c r="E1578"/>
    </row>
    <row r="1579" spans="1:5" ht="15" x14ac:dyDescent="0.25">
      <c r="A1579"/>
      <c r="B1579"/>
      <c r="C1579"/>
      <c r="D1579"/>
      <c r="E1579"/>
    </row>
    <row r="1580" spans="1:5" ht="15" x14ac:dyDescent="0.25">
      <c r="A1580"/>
      <c r="B1580"/>
      <c r="C1580"/>
      <c r="D1580"/>
      <c r="E1580"/>
    </row>
    <row r="1581" spans="1:5" ht="15" x14ac:dyDescent="0.25">
      <c r="A1581"/>
      <c r="B1581"/>
      <c r="C1581"/>
      <c r="D1581"/>
      <c r="E1581"/>
    </row>
    <row r="1582" spans="1:5" ht="15" x14ac:dyDescent="0.25">
      <c r="A1582"/>
      <c r="B1582"/>
      <c r="C1582"/>
      <c r="D1582"/>
      <c r="E1582"/>
    </row>
    <row r="1583" spans="1:5" ht="15" x14ac:dyDescent="0.25">
      <c r="A1583"/>
      <c r="B1583"/>
      <c r="C1583"/>
      <c r="D1583"/>
      <c r="E1583"/>
    </row>
    <row r="1584" spans="1:5" ht="15" x14ac:dyDescent="0.25">
      <c r="A1584"/>
      <c r="B1584"/>
      <c r="C1584"/>
      <c r="D1584"/>
      <c r="E1584"/>
    </row>
    <row r="1585" spans="1:5" ht="15" x14ac:dyDescent="0.25">
      <c r="A1585"/>
      <c r="B1585"/>
      <c r="C1585"/>
      <c r="D1585"/>
      <c r="E1585"/>
    </row>
    <row r="1586" spans="1:5" ht="15" x14ac:dyDescent="0.25">
      <c r="A1586"/>
      <c r="B1586"/>
      <c r="C1586"/>
      <c r="D1586"/>
      <c r="E1586"/>
    </row>
    <row r="1587" spans="1:5" ht="15" x14ac:dyDescent="0.25">
      <c r="A1587"/>
      <c r="B1587"/>
      <c r="C1587"/>
      <c r="D1587"/>
      <c r="E1587"/>
    </row>
    <row r="1588" spans="1:5" ht="15" x14ac:dyDescent="0.25">
      <c r="A1588"/>
      <c r="B1588"/>
      <c r="C1588"/>
      <c r="D1588"/>
      <c r="E1588"/>
    </row>
    <row r="1589" spans="1:5" ht="15" x14ac:dyDescent="0.25">
      <c r="A1589"/>
      <c r="B1589"/>
      <c r="C1589"/>
      <c r="D1589"/>
      <c r="E1589"/>
    </row>
    <row r="1590" spans="1:5" ht="15" x14ac:dyDescent="0.25">
      <c r="A1590"/>
      <c r="B1590"/>
      <c r="C1590"/>
      <c r="D1590"/>
      <c r="E1590"/>
    </row>
    <row r="1591" spans="1:5" ht="15" x14ac:dyDescent="0.25">
      <c r="A1591"/>
      <c r="B1591"/>
      <c r="C1591"/>
      <c r="D1591"/>
      <c r="E1591"/>
    </row>
    <row r="1592" spans="1:5" ht="15" x14ac:dyDescent="0.25">
      <c r="A1592"/>
      <c r="B1592"/>
      <c r="C1592"/>
      <c r="D1592"/>
      <c r="E1592"/>
    </row>
    <row r="1593" spans="1:5" ht="15" x14ac:dyDescent="0.25">
      <c r="A1593"/>
      <c r="B1593"/>
      <c r="C1593"/>
      <c r="D1593"/>
      <c r="E1593"/>
    </row>
    <row r="1594" spans="1:5" ht="15" x14ac:dyDescent="0.25">
      <c r="A1594"/>
      <c r="B1594"/>
      <c r="C1594"/>
      <c r="D1594"/>
      <c r="E1594"/>
    </row>
    <row r="1595" spans="1:5" ht="15" x14ac:dyDescent="0.25">
      <c r="A1595"/>
      <c r="B1595"/>
      <c r="C1595"/>
      <c r="D1595"/>
      <c r="E1595"/>
    </row>
    <row r="1596" spans="1:5" ht="15" x14ac:dyDescent="0.25">
      <c r="A1596"/>
      <c r="B1596"/>
      <c r="C1596"/>
      <c r="D1596"/>
      <c r="E1596"/>
    </row>
    <row r="1597" spans="1:5" ht="15" x14ac:dyDescent="0.25">
      <c r="A1597"/>
      <c r="B1597"/>
      <c r="C1597"/>
      <c r="D1597"/>
      <c r="E1597"/>
    </row>
    <row r="1598" spans="1:5" ht="15" x14ac:dyDescent="0.25">
      <c r="A1598"/>
      <c r="B1598"/>
      <c r="C1598"/>
      <c r="D1598"/>
      <c r="E1598"/>
    </row>
    <row r="1599" spans="1:5" ht="15" x14ac:dyDescent="0.25">
      <c r="A1599"/>
      <c r="B1599"/>
      <c r="C1599"/>
      <c r="D1599"/>
      <c r="E1599"/>
    </row>
    <row r="1600" spans="1:5" ht="15" x14ac:dyDescent="0.25">
      <c r="A1600"/>
      <c r="B1600"/>
      <c r="C1600"/>
      <c r="D1600"/>
      <c r="E1600"/>
    </row>
    <row r="1601" spans="1:5" ht="15" x14ac:dyDescent="0.25">
      <c r="A1601"/>
      <c r="B1601"/>
      <c r="C1601"/>
      <c r="D1601"/>
      <c r="E1601"/>
    </row>
    <row r="1602" spans="1:5" ht="15" x14ac:dyDescent="0.25">
      <c r="A1602"/>
      <c r="B1602"/>
      <c r="C1602"/>
      <c r="D1602"/>
      <c r="E1602"/>
    </row>
    <row r="1603" spans="1:5" ht="15" x14ac:dyDescent="0.25">
      <c r="A1603"/>
      <c r="B1603"/>
      <c r="C1603"/>
      <c r="D1603"/>
      <c r="E1603"/>
    </row>
    <row r="1604" spans="1:5" ht="15" x14ac:dyDescent="0.25">
      <c r="A1604"/>
      <c r="B1604"/>
      <c r="C1604"/>
      <c r="D1604"/>
      <c r="E1604"/>
    </row>
    <row r="1605" spans="1:5" ht="15" x14ac:dyDescent="0.25">
      <c r="A1605"/>
      <c r="B1605"/>
      <c r="C1605"/>
      <c r="D1605"/>
      <c r="E1605"/>
    </row>
    <row r="1606" spans="1:5" ht="15" x14ac:dyDescent="0.25">
      <c r="A1606"/>
      <c r="B1606"/>
      <c r="C1606"/>
      <c r="D1606"/>
      <c r="E1606"/>
    </row>
    <row r="1607" spans="1:5" ht="15" x14ac:dyDescent="0.25">
      <c r="A1607"/>
      <c r="B1607"/>
      <c r="C1607"/>
      <c r="D1607"/>
      <c r="E1607"/>
    </row>
    <row r="1608" spans="1:5" ht="15" x14ac:dyDescent="0.25">
      <c r="A1608"/>
      <c r="B1608"/>
      <c r="C1608"/>
      <c r="D1608"/>
      <c r="E1608"/>
    </row>
    <row r="1609" spans="1:5" ht="15" x14ac:dyDescent="0.25">
      <c r="A1609"/>
      <c r="B1609"/>
      <c r="C1609"/>
      <c r="D1609"/>
      <c r="E1609"/>
    </row>
    <row r="1610" spans="1:5" ht="15" x14ac:dyDescent="0.25">
      <c r="A1610"/>
      <c r="B1610"/>
      <c r="C1610"/>
      <c r="D1610"/>
      <c r="E1610"/>
    </row>
    <row r="1611" spans="1:5" ht="15" x14ac:dyDescent="0.25">
      <c r="A1611"/>
      <c r="B1611"/>
      <c r="C1611"/>
      <c r="D1611"/>
      <c r="E1611"/>
    </row>
    <row r="1612" spans="1:5" ht="15" x14ac:dyDescent="0.25">
      <c r="A1612"/>
      <c r="B1612"/>
      <c r="C1612"/>
      <c r="D1612"/>
      <c r="E1612"/>
    </row>
    <row r="1613" spans="1:5" ht="15" x14ac:dyDescent="0.25">
      <c r="A1613"/>
      <c r="B1613"/>
      <c r="C1613"/>
      <c r="D1613"/>
      <c r="E1613"/>
    </row>
    <row r="1614" spans="1:5" ht="15" x14ac:dyDescent="0.25">
      <c r="A1614"/>
      <c r="B1614"/>
      <c r="C1614"/>
      <c r="D1614"/>
      <c r="E1614"/>
    </row>
    <row r="1615" spans="1:5" ht="15" x14ac:dyDescent="0.25">
      <c r="A1615"/>
      <c r="B1615"/>
      <c r="C1615"/>
      <c r="D1615"/>
      <c r="E1615"/>
    </row>
    <row r="1616" spans="1:5" ht="15" x14ac:dyDescent="0.25">
      <c r="A1616"/>
      <c r="B1616"/>
      <c r="C1616"/>
      <c r="D1616"/>
      <c r="E1616"/>
    </row>
    <row r="1617" spans="1:5" ht="15" x14ac:dyDescent="0.25">
      <c r="A1617"/>
      <c r="B1617"/>
      <c r="C1617"/>
      <c r="D1617"/>
      <c r="E1617"/>
    </row>
    <row r="1618" spans="1:5" ht="15" x14ac:dyDescent="0.25">
      <c r="A1618"/>
      <c r="B1618"/>
      <c r="C1618"/>
      <c r="D1618"/>
      <c r="E1618"/>
    </row>
    <row r="1619" spans="1:5" ht="15" x14ac:dyDescent="0.25">
      <c r="A1619"/>
      <c r="B1619"/>
      <c r="C1619"/>
      <c r="D1619"/>
      <c r="E1619"/>
    </row>
    <row r="1620" spans="1:5" ht="15" x14ac:dyDescent="0.25">
      <c r="A1620"/>
      <c r="B1620"/>
      <c r="C1620"/>
      <c r="D1620"/>
      <c r="E1620"/>
    </row>
    <row r="1621" spans="1:5" ht="15" x14ac:dyDescent="0.25">
      <c r="A1621"/>
      <c r="B1621"/>
      <c r="C1621"/>
      <c r="D1621"/>
      <c r="E1621"/>
    </row>
    <row r="1622" spans="1:5" ht="15" x14ac:dyDescent="0.25">
      <c r="A1622"/>
      <c r="B1622"/>
      <c r="C1622"/>
      <c r="D1622"/>
      <c r="E1622"/>
    </row>
    <row r="1623" spans="1:5" ht="15" x14ac:dyDescent="0.25">
      <c r="A1623"/>
      <c r="B1623"/>
      <c r="C1623"/>
      <c r="D1623"/>
      <c r="E1623"/>
    </row>
    <row r="1624" spans="1:5" ht="15" x14ac:dyDescent="0.25">
      <c r="A1624"/>
      <c r="B1624"/>
      <c r="C1624"/>
      <c r="D1624"/>
      <c r="E1624"/>
    </row>
    <row r="1625" spans="1:5" ht="15" x14ac:dyDescent="0.25">
      <c r="A1625"/>
      <c r="B1625"/>
      <c r="C1625"/>
      <c r="D1625"/>
      <c r="E1625"/>
    </row>
    <row r="1626" spans="1:5" ht="15" x14ac:dyDescent="0.25">
      <c r="A1626"/>
      <c r="B1626"/>
      <c r="C1626"/>
      <c r="D1626"/>
      <c r="E1626"/>
    </row>
    <row r="1627" spans="1:5" ht="15" x14ac:dyDescent="0.25">
      <c r="A1627"/>
      <c r="B1627"/>
      <c r="C1627"/>
      <c r="D1627"/>
      <c r="E1627"/>
    </row>
    <row r="1628" spans="1:5" ht="15" x14ac:dyDescent="0.25">
      <c r="A1628"/>
      <c r="B1628"/>
      <c r="C1628"/>
      <c r="D1628"/>
      <c r="E1628"/>
    </row>
    <row r="1629" spans="1:5" ht="15" x14ac:dyDescent="0.25">
      <c r="A1629"/>
      <c r="B1629"/>
      <c r="C1629"/>
      <c r="D1629"/>
      <c r="E1629"/>
    </row>
    <row r="1630" spans="1:5" ht="15" x14ac:dyDescent="0.25">
      <c r="A1630"/>
      <c r="B1630"/>
      <c r="C1630"/>
      <c r="D1630"/>
      <c r="E1630"/>
    </row>
    <row r="1631" spans="1:5" ht="15" x14ac:dyDescent="0.25">
      <c r="A1631"/>
      <c r="B1631"/>
      <c r="C1631"/>
      <c r="D1631"/>
      <c r="E1631"/>
    </row>
    <row r="1632" spans="1:5" ht="15" x14ac:dyDescent="0.25">
      <c r="A1632"/>
      <c r="B1632"/>
      <c r="C1632"/>
      <c r="D1632"/>
      <c r="E1632"/>
    </row>
    <row r="1633" spans="1:5" ht="15" x14ac:dyDescent="0.25">
      <c r="A1633"/>
      <c r="B1633"/>
      <c r="C1633"/>
      <c r="D1633"/>
      <c r="E1633"/>
    </row>
    <row r="1634" spans="1:5" ht="15" x14ac:dyDescent="0.25">
      <c r="A1634"/>
      <c r="B1634"/>
      <c r="C1634"/>
      <c r="D1634"/>
      <c r="E1634"/>
    </row>
    <row r="1635" spans="1:5" ht="15" x14ac:dyDescent="0.25">
      <c r="A1635"/>
      <c r="B1635"/>
      <c r="C1635"/>
      <c r="D1635"/>
      <c r="E1635"/>
    </row>
    <row r="1636" spans="1:5" ht="15" x14ac:dyDescent="0.25">
      <c r="A1636"/>
      <c r="B1636"/>
      <c r="C1636"/>
      <c r="D1636"/>
      <c r="E1636"/>
    </row>
    <row r="1637" spans="1:5" ht="15" x14ac:dyDescent="0.25">
      <c r="A1637"/>
      <c r="B1637"/>
      <c r="C1637"/>
      <c r="D1637"/>
      <c r="E1637"/>
    </row>
    <row r="1638" spans="1:5" ht="15" x14ac:dyDescent="0.25">
      <c r="A1638"/>
      <c r="B1638"/>
      <c r="C1638"/>
      <c r="D1638"/>
      <c r="E1638"/>
    </row>
    <row r="1639" spans="1:5" ht="15" x14ac:dyDescent="0.25">
      <c r="A1639"/>
      <c r="B1639"/>
      <c r="C1639"/>
      <c r="D1639"/>
      <c r="E1639"/>
    </row>
    <row r="1640" spans="1:5" ht="15" x14ac:dyDescent="0.25">
      <c r="A1640"/>
      <c r="B1640"/>
      <c r="C1640"/>
      <c r="D1640"/>
      <c r="E1640"/>
    </row>
    <row r="1641" spans="1:5" ht="15" x14ac:dyDescent="0.25">
      <c r="A1641"/>
      <c r="B1641"/>
      <c r="C1641"/>
      <c r="D1641"/>
      <c r="E1641"/>
    </row>
    <row r="1642" spans="1:5" ht="15" x14ac:dyDescent="0.25">
      <c r="A1642"/>
      <c r="B1642"/>
      <c r="C1642"/>
      <c r="D1642"/>
      <c r="E1642"/>
    </row>
    <row r="1643" spans="1:5" ht="15" x14ac:dyDescent="0.25">
      <c r="A1643"/>
      <c r="B1643"/>
      <c r="C1643"/>
      <c r="D1643"/>
      <c r="E1643"/>
    </row>
    <row r="1644" spans="1:5" ht="15" x14ac:dyDescent="0.25">
      <c r="A1644"/>
      <c r="B1644"/>
      <c r="C1644"/>
      <c r="D1644"/>
      <c r="E1644"/>
    </row>
    <row r="1645" spans="1:5" ht="15" x14ac:dyDescent="0.25">
      <c r="A1645"/>
      <c r="B1645"/>
      <c r="C1645"/>
      <c r="D1645"/>
      <c r="E1645"/>
    </row>
    <row r="1646" spans="1:5" ht="15" x14ac:dyDescent="0.25">
      <c r="A1646"/>
      <c r="B1646"/>
      <c r="C1646"/>
      <c r="D1646"/>
      <c r="E1646"/>
    </row>
    <row r="1647" spans="1:5" ht="15" x14ac:dyDescent="0.25">
      <c r="A1647"/>
      <c r="B1647"/>
      <c r="C1647"/>
      <c r="D1647"/>
      <c r="E1647"/>
    </row>
    <row r="1648" spans="1:5" ht="15" x14ac:dyDescent="0.25">
      <c r="A1648"/>
      <c r="B1648"/>
      <c r="C1648"/>
      <c r="D1648"/>
      <c r="E1648"/>
    </row>
    <row r="1649" spans="1:5" ht="15" x14ac:dyDescent="0.25">
      <c r="A1649"/>
      <c r="B1649"/>
      <c r="C1649"/>
      <c r="D1649"/>
      <c r="E1649"/>
    </row>
    <row r="1650" spans="1:5" ht="15" x14ac:dyDescent="0.25">
      <c r="A1650"/>
      <c r="B1650"/>
      <c r="C1650"/>
      <c r="D1650"/>
      <c r="E1650"/>
    </row>
    <row r="1651" spans="1:5" ht="15" x14ac:dyDescent="0.25">
      <c r="A1651"/>
      <c r="B1651"/>
      <c r="C1651"/>
      <c r="D1651"/>
      <c r="E1651"/>
    </row>
    <row r="1652" spans="1:5" ht="15" x14ac:dyDescent="0.25">
      <c r="A1652"/>
      <c r="B1652"/>
      <c r="C1652"/>
      <c r="D1652"/>
      <c r="E1652"/>
    </row>
    <row r="1653" spans="1:5" ht="15" x14ac:dyDescent="0.25">
      <c r="A1653"/>
      <c r="B1653"/>
      <c r="C1653"/>
      <c r="D1653"/>
      <c r="E1653"/>
    </row>
    <row r="1654" spans="1:5" ht="15" x14ac:dyDescent="0.25">
      <c r="A1654"/>
      <c r="B1654"/>
      <c r="C1654"/>
      <c r="D1654"/>
      <c r="E1654"/>
    </row>
    <row r="1655" spans="1:5" ht="15" x14ac:dyDescent="0.25">
      <c r="A1655"/>
      <c r="B1655"/>
      <c r="C1655"/>
      <c r="D1655"/>
      <c r="E1655"/>
    </row>
    <row r="1656" spans="1:5" ht="15" x14ac:dyDescent="0.25">
      <c r="A1656"/>
      <c r="B1656"/>
      <c r="C1656"/>
      <c r="D1656"/>
      <c r="E1656"/>
    </row>
    <row r="1657" spans="1:5" ht="15" x14ac:dyDescent="0.25">
      <c r="A1657"/>
      <c r="B1657"/>
      <c r="C1657"/>
      <c r="D1657"/>
      <c r="E1657"/>
    </row>
    <row r="1658" spans="1:5" ht="15" x14ac:dyDescent="0.25">
      <c r="A1658"/>
      <c r="B1658"/>
      <c r="C1658"/>
      <c r="D1658"/>
      <c r="E1658"/>
    </row>
    <row r="1659" spans="1:5" ht="15" x14ac:dyDescent="0.25">
      <c r="A1659"/>
      <c r="B1659"/>
      <c r="C1659"/>
      <c r="D1659"/>
      <c r="E1659"/>
    </row>
    <row r="1660" spans="1:5" ht="15" x14ac:dyDescent="0.25">
      <c r="A1660"/>
      <c r="B1660"/>
      <c r="C1660"/>
      <c r="D1660"/>
      <c r="E1660"/>
    </row>
    <row r="1661" spans="1:5" ht="15" x14ac:dyDescent="0.25">
      <c r="A1661"/>
      <c r="B1661"/>
      <c r="C1661"/>
      <c r="D1661"/>
      <c r="E1661"/>
    </row>
    <row r="1662" spans="1:5" ht="15" x14ac:dyDescent="0.25">
      <c r="A1662"/>
      <c r="B1662"/>
      <c r="C1662"/>
      <c r="D1662"/>
      <c r="E1662"/>
    </row>
    <row r="1663" spans="1:5" ht="15" x14ac:dyDescent="0.25">
      <c r="A1663"/>
      <c r="B1663"/>
      <c r="C1663"/>
      <c r="D1663"/>
      <c r="E1663"/>
    </row>
    <row r="1664" spans="1:5" ht="15" x14ac:dyDescent="0.25">
      <c r="A1664"/>
      <c r="B1664"/>
      <c r="C1664"/>
      <c r="D1664"/>
      <c r="E1664"/>
    </row>
    <row r="1665" spans="1:5" ht="15" x14ac:dyDescent="0.25">
      <c r="A1665"/>
      <c r="B1665"/>
      <c r="C1665"/>
      <c r="D1665"/>
      <c r="E1665"/>
    </row>
    <row r="1666" spans="1:5" ht="15" x14ac:dyDescent="0.25">
      <c r="A1666"/>
      <c r="B1666"/>
      <c r="C1666"/>
      <c r="D1666"/>
      <c r="E1666"/>
    </row>
    <row r="1667" spans="1:5" ht="15" x14ac:dyDescent="0.25">
      <c r="A1667"/>
      <c r="B1667"/>
      <c r="C1667"/>
      <c r="D1667"/>
      <c r="E1667"/>
    </row>
    <row r="1668" spans="1:5" ht="15" x14ac:dyDescent="0.25">
      <c r="A1668"/>
      <c r="B1668"/>
      <c r="C1668"/>
      <c r="D1668"/>
      <c r="E1668"/>
    </row>
    <row r="1669" spans="1:5" ht="15" x14ac:dyDescent="0.25">
      <c r="A1669"/>
      <c r="B1669"/>
      <c r="C1669"/>
      <c r="D1669"/>
      <c r="E1669"/>
    </row>
    <row r="1670" spans="1:5" ht="15" x14ac:dyDescent="0.25">
      <c r="A1670"/>
      <c r="B1670"/>
      <c r="C1670"/>
      <c r="D1670"/>
      <c r="E1670"/>
    </row>
    <row r="1671" spans="1:5" ht="15" x14ac:dyDescent="0.25">
      <c r="A1671"/>
      <c r="B1671"/>
      <c r="C1671"/>
      <c r="D1671"/>
      <c r="E1671"/>
    </row>
    <row r="1672" spans="1:5" ht="15" x14ac:dyDescent="0.25">
      <c r="A1672"/>
      <c r="B1672"/>
      <c r="C1672"/>
      <c r="D1672"/>
      <c r="E1672"/>
    </row>
    <row r="1673" spans="1:5" ht="15" x14ac:dyDescent="0.25">
      <c r="A1673"/>
      <c r="B1673"/>
      <c r="C1673"/>
      <c r="D1673"/>
      <c r="E1673"/>
    </row>
    <row r="1674" spans="1:5" ht="15" x14ac:dyDescent="0.25">
      <c r="A1674"/>
      <c r="B1674"/>
      <c r="C1674"/>
      <c r="D1674"/>
      <c r="E1674"/>
    </row>
    <row r="1675" spans="1:5" ht="15" x14ac:dyDescent="0.25">
      <c r="A1675"/>
      <c r="B1675"/>
      <c r="C1675"/>
      <c r="D1675"/>
      <c r="E1675"/>
    </row>
    <row r="1676" spans="1:5" ht="15" x14ac:dyDescent="0.25">
      <c r="A1676"/>
      <c r="B1676"/>
      <c r="C1676"/>
      <c r="D1676"/>
      <c r="E1676"/>
    </row>
    <row r="1677" spans="1:5" ht="15" x14ac:dyDescent="0.25">
      <c r="A1677"/>
      <c r="B1677"/>
      <c r="C1677"/>
      <c r="D1677"/>
      <c r="E1677"/>
    </row>
    <row r="1678" spans="1:5" ht="15" x14ac:dyDescent="0.25">
      <c r="A1678"/>
      <c r="B1678"/>
      <c r="C1678"/>
      <c r="D1678"/>
      <c r="E1678"/>
    </row>
    <row r="1679" spans="1:5" ht="15" x14ac:dyDescent="0.25">
      <c r="A1679"/>
      <c r="B1679"/>
      <c r="C1679"/>
      <c r="D1679"/>
      <c r="E1679"/>
    </row>
    <row r="1680" spans="1:5" ht="15" x14ac:dyDescent="0.25">
      <c r="A1680"/>
      <c r="B1680"/>
      <c r="C1680"/>
      <c r="D1680"/>
      <c r="E1680"/>
    </row>
    <row r="1681" spans="1:5" ht="15" x14ac:dyDescent="0.25">
      <c r="A1681"/>
      <c r="B1681"/>
      <c r="C1681"/>
      <c r="D1681"/>
      <c r="E1681"/>
    </row>
    <row r="1682" spans="1:5" ht="15" x14ac:dyDescent="0.25">
      <c r="A1682"/>
      <c r="B1682"/>
      <c r="C1682"/>
      <c r="D1682"/>
      <c r="E1682"/>
    </row>
    <row r="1683" spans="1:5" ht="15" x14ac:dyDescent="0.25">
      <c r="A1683"/>
      <c r="B1683"/>
      <c r="C1683"/>
      <c r="D1683"/>
      <c r="E1683"/>
    </row>
    <row r="1684" spans="1:5" ht="15" x14ac:dyDescent="0.25">
      <c r="A1684"/>
      <c r="B1684"/>
      <c r="C1684"/>
      <c r="D1684"/>
      <c r="E1684"/>
    </row>
    <row r="1685" spans="1:5" ht="15" x14ac:dyDescent="0.25">
      <c r="A1685"/>
      <c r="B1685"/>
      <c r="C1685"/>
      <c r="D1685"/>
      <c r="E1685"/>
    </row>
    <row r="1686" spans="1:5" ht="15" x14ac:dyDescent="0.25">
      <c r="A1686"/>
      <c r="B1686"/>
      <c r="C1686"/>
      <c r="D1686"/>
      <c r="E1686"/>
    </row>
    <row r="1687" spans="1:5" ht="15" x14ac:dyDescent="0.25">
      <c r="A1687"/>
      <c r="B1687"/>
      <c r="C1687"/>
      <c r="D1687"/>
      <c r="E1687"/>
    </row>
    <row r="1688" spans="1:5" ht="15" x14ac:dyDescent="0.25">
      <c r="A1688"/>
      <c r="B1688"/>
      <c r="C1688"/>
      <c r="D1688"/>
      <c r="E1688"/>
    </row>
    <row r="1689" spans="1:5" ht="15" x14ac:dyDescent="0.25">
      <c r="A1689"/>
      <c r="B1689"/>
      <c r="C1689"/>
      <c r="D1689"/>
      <c r="E1689"/>
    </row>
    <row r="1690" spans="1:5" ht="15" x14ac:dyDescent="0.25">
      <c r="A1690"/>
      <c r="B1690"/>
      <c r="C1690"/>
      <c r="D1690"/>
      <c r="E1690"/>
    </row>
    <row r="1691" spans="1:5" ht="15" x14ac:dyDescent="0.25">
      <c r="A1691"/>
      <c r="B1691"/>
      <c r="C1691"/>
      <c r="D1691"/>
      <c r="E1691"/>
    </row>
    <row r="1692" spans="1:5" ht="15" x14ac:dyDescent="0.25">
      <c r="A1692"/>
      <c r="B1692"/>
      <c r="C1692"/>
      <c r="D1692"/>
      <c r="E1692"/>
    </row>
    <row r="1693" spans="1:5" ht="15" x14ac:dyDescent="0.25">
      <c r="A1693"/>
      <c r="B1693"/>
      <c r="C1693"/>
      <c r="D1693"/>
      <c r="E1693"/>
    </row>
    <row r="1694" spans="1:5" ht="15" x14ac:dyDescent="0.25">
      <c r="A1694"/>
      <c r="B1694"/>
      <c r="C1694"/>
      <c r="D1694"/>
      <c r="E1694"/>
    </row>
    <row r="1695" spans="1:5" ht="15" x14ac:dyDescent="0.25">
      <c r="A1695"/>
      <c r="B1695"/>
      <c r="C1695"/>
      <c r="D1695"/>
      <c r="E1695"/>
    </row>
    <row r="1696" spans="1:5" ht="15" x14ac:dyDescent="0.25">
      <c r="A1696"/>
      <c r="B1696"/>
      <c r="C1696"/>
      <c r="D1696"/>
      <c r="E1696"/>
    </row>
    <row r="1697" spans="1:5" ht="15" x14ac:dyDescent="0.25">
      <c r="A1697"/>
      <c r="B1697"/>
      <c r="C1697"/>
      <c r="D1697"/>
      <c r="E1697"/>
    </row>
    <row r="1698" spans="1:5" ht="15" x14ac:dyDescent="0.25">
      <c r="A1698"/>
      <c r="B1698"/>
      <c r="C1698"/>
      <c r="D1698"/>
      <c r="E1698"/>
    </row>
    <row r="1699" spans="1:5" ht="15" x14ac:dyDescent="0.25">
      <c r="A1699"/>
      <c r="B1699"/>
      <c r="C1699"/>
      <c r="D1699"/>
      <c r="E1699"/>
    </row>
    <row r="1700" spans="1:5" ht="15" x14ac:dyDescent="0.25">
      <c r="A1700"/>
      <c r="B1700"/>
      <c r="C1700"/>
      <c r="D1700"/>
      <c r="E1700"/>
    </row>
    <row r="1701" spans="1:5" ht="15" x14ac:dyDescent="0.25">
      <c r="A1701"/>
      <c r="B1701"/>
      <c r="C1701"/>
      <c r="D1701"/>
      <c r="E1701"/>
    </row>
    <row r="1702" spans="1:5" ht="15" x14ac:dyDescent="0.25">
      <c r="A1702"/>
      <c r="B1702"/>
      <c r="C1702"/>
      <c r="D1702"/>
      <c r="E1702"/>
    </row>
    <row r="1703" spans="1:5" ht="15" x14ac:dyDescent="0.25">
      <c r="A1703"/>
      <c r="B1703"/>
      <c r="C1703"/>
      <c r="D1703"/>
      <c r="E1703"/>
    </row>
    <row r="1704" spans="1:5" ht="15" x14ac:dyDescent="0.25">
      <c r="A1704"/>
      <c r="B1704"/>
      <c r="C1704"/>
      <c r="D1704"/>
      <c r="E1704"/>
    </row>
    <row r="1705" spans="1:5" ht="15" x14ac:dyDescent="0.25">
      <c r="A1705"/>
      <c r="B1705"/>
      <c r="C1705"/>
      <c r="D1705"/>
      <c r="E1705"/>
    </row>
    <row r="1706" spans="1:5" ht="15" x14ac:dyDescent="0.25">
      <c r="A1706"/>
      <c r="B1706"/>
      <c r="C1706"/>
      <c r="D1706"/>
      <c r="E1706"/>
    </row>
    <row r="1707" spans="1:5" ht="15" x14ac:dyDescent="0.25">
      <c r="A1707"/>
      <c r="B1707"/>
      <c r="C1707"/>
      <c r="D1707"/>
      <c r="E1707"/>
    </row>
    <row r="1708" spans="1:5" ht="15" x14ac:dyDescent="0.25">
      <c r="A1708"/>
      <c r="B1708"/>
      <c r="C1708"/>
      <c r="D1708"/>
      <c r="E1708"/>
    </row>
    <row r="1709" spans="1:5" ht="15" x14ac:dyDescent="0.25">
      <c r="A1709"/>
      <c r="B1709"/>
      <c r="C1709"/>
      <c r="D1709"/>
      <c r="E1709"/>
    </row>
    <row r="1710" spans="1:5" ht="15" x14ac:dyDescent="0.25">
      <c r="A1710"/>
      <c r="B1710"/>
      <c r="C1710"/>
      <c r="D1710"/>
      <c r="E1710"/>
    </row>
    <row r="1711" spans="1:5" ht="15" x14ac:dyDescent="0.25">
      <c r="A1711"/>
      <c r="B1711"/>
      <c r="C1711"/>
      <c r="D1711"/>
      <c r="E1711"/>
    </row>
    <row r="1712" spans="1:5" ht="15" x14ac:dyDescent="0.25">
      <c r="A1712"/>
      <c r="B1712"/>
      <c r="C1712"/>
      <c r="D1712"/>
      <c r="E1712"/>
    </row>
    <row r="1713" spans="1:5" ht="15" x14ac:dyDescent="0.25">
      <c r="A1713"/>
      <c r="B1713"/>
      <c r="C1713"/>
      <c r="D1713"/>
      <c r="E1713"/>
    </row>
    <row r="1714" spans="1:5" ht="15" x14ac:dyDescent="0.25">
      <c r="A1714"/>
      <c r="B1714"/>
      <c r="C1714"/>
      <c r="D1714"/>
      <c r="E1714"/>
    </row>
    <row r="1715" spans="1:5" ht="15" x14ac:dyDescent="0.25">
      <c r="A1715"/>
      <c r="B1715"/>
      <c r="C1715"/>
      <c r="D1715"/>
      <c r="E1715"/>
    </row>
    <row r="1716" spans="1:5" ht="15" x14ac:dyDescent="0.25">
      <c r="A1716"/>
      <c r="B1716"/>
      <c r="C1716"/>
      <c r="D1716"/>
      <c r="E1716"/>
    </row>
    <row r="1717" spans="1:5" ht="15" x14ac:dyDescent="0.25">
      <c r="A1717"/>
      <c r="B1717"/>
      <c r="C1717"/>
      <c r="D1717"/>
      <c r="E1717"/>
    </row>
    <row r="1718" spans="1:5" ht="15" x14ac:dyDescent="0.25">
      <c r="A1718"/>
      <c r="B1718"/>
      <c r="C1718"/>
      <c r="D1718"/>
      <c r="E1718"/>
    </row>
    <row r="1719" spans="1:5" ht="15" x14ac:dyDescent="0.25">
      <c r="A1719"/>
      <c r="B1719"/>
      <c r="C1719"/>
      <c r="D1719"/>
      <c r="E1719"/>
    </row>
    <row r="1720" spans="1:5" ht="15" x14ac:dyDescent="0.25">
      <c r="A1720"/>
      <c r="B1720"/>
      <c r="C1720"/>
      <c r="D1720"/>
      <c r="E1720"/>
    </row>
    <row r="1721" spans="1:5" ht="15" x14ac:dyDescent="0.25">
      <c r="A1721"/>
      <c r="B1721"/>
      <c r="C1721"/>
      <c r="D1721"/>
      <c r="E1721"/>
    </row>
    <row r="1722" spans="1:5" ht="15" x14ac:dyDescent="0.25">
      <c r="A1722"/>
      <c r="B1722"/>
      <c r="C1722"/>
      <c r="D1722"/>
      <c r="E1722"/>
    </row>
    <row r="1723" spans="1:5" ht="15" x14ac:dyDescent="0.25">
      <c r="A1723"/>
      <c r="B1723"/>
      <c r="C1723"/>
      <c r="D1723"/>
      <c r="E1723"/>
    </row>
    <row r="1724" spans="1:5" ht="15" x14ac:dyDescent="0.25">
      <c r="A1724"/>
      <c r="B1724"/>
      <c r="C1724"/>
      <c r="D1724"/>
      <c r="E1724"/>
    </row>
    <row r="1725" spans="1:5" ht="15" x14ac:dyDescent="0.25">
      <c r="A1725"/>
      <c r="B1725"/>
      <c r="C1725"/>
      <c r="D1725"/>
      <c r="E1725"/>
    </row>
    <row r="1726" spans="1:5" ht="15" x14ac:dyDescent="0.25">
      <c r="A1726"/>
      <c r="B1726"/>
      <c r="C1726"/>
      <c r="D1726"/>
      <c r="E1726"/>
    </row>
    <row r="1727" spans="1:5" ht="15" x14ac:dyDescent="0.25">
      <c r="A1727"/>
      <c r="B1727"/>
      <c r="C1727"/>
      <c r="D1727"/>
      <c r="E1727"/>
    </row>
    <row r="1728" spans="1:5" ht="15" x14ac:dyDescent="0.25">
      <c r="A1728"/>
      <c r="B1728"/>
      <c r="C1728"/>
      <c r="D1728"/>
      <c r="E1728"/>
    </row>
    <row r="1729" spans="1:5" ht="15" x14ac:dyDescent="0.25">
      <c r="A1729"/>
      <c r="B1729"/>
      <c r="C1729"/>
      <c r="D1729"/>
      <c r="E1729"/>
    </row>
    <row r="1730" spans="1:5" ht="15" x14ac:dyDescent="0.25">
      <c r="A1730"/>
      <c r="B1730"/>
      <c r="C1730"/>
      <c r="D1730"/>
      <c r="E1730"/>
    </row>
    <row r="1731" spans="1:5" ht="15" x14ac:dyDescent="0.25">
      <c r="A1731"/>
      <c r="B1731"/>
      <c r="C1731"/>
      <c r="D1731"/>
      <c r="E1731"/>
    </row>
    <row r="1732" spans="1:5" ht="15" x14ac:dyDescent="0.25">
      <c r="A1732"/>
      <c r="B1732"/>
      <c r="C1732"/>
      <c r="D1732"/>
      <c r="E1732"/>
    </row>
    <row r="1733" spans="1:5" ht="15" x14ac:dyDescent="0.25">
      <c r="A1733"/>
      <c r="B1733"/>
      <c r="C1733"/>
      <c r="D1733"/>
      <c r="E1733"/>
    </row>
    <row r="1734" spans="1:5" ht="15" x14ac:dyDescent="0.25">
      <c r="A1734"/>
      <c r="B1734"/>
      <c r="C1734"/>
      <c r="D1734"/>
      <c r="E1734"/>
    </row>
    <row r="1735" spans="1:5" ht="15" x14ac:dyDescent="0.25">
      <c r="A1735"/>
      <c r="B1735"/>
      <c r="C1735"/>
      <c r="D1735"/>
      <c r="E1735"/>
    </row>
    <row r="1736" spans="1:5" ht="15" x14ac:dyDescent="0.25">
      <c r="A1736"/>
      <c r="B1736"/>
      <c r="C1736"/>
      <c r="D1736"/>
      <c r="E1736"/>
    </row>
    <row r="1737" spans="1:5" ht="15" x14ac:dyDescent="0.25">
      <c r="A1737"/>
      <c r="B1737"/>
      <c r="C1737"/>
      <c r="D1737"/>
      <c r="E1737"/>
    </row>
    <row r="1738" spans="1:5" ht="15" x14ac:dyDescent="0.25">
      <c r="A1738"/>
      <c r="B1738"/>
      <c r="C1738"/>
      <c r="D1738"/>
      <c r="E1738"/>
    </row>
    <row r="1739" spans="1:5" ht="15" x14ac:dyDescent="0.25">
      <c r="A1739"/>
      <c r="B1739"/>
      <c r="C1739"/>
      <c r="D1739"/>
      <c r="E1739"/>
    </row>
    <row r="1740" spans="1:5" ht="15" x14ac:dyDescent="0.25">
      <c r="A1740"/>
      <c r="B1740"/>
      <c r="C1740"/>
      <c r="D1740"/>
      <c r="E1740"/>
    </row>
    <row r="1741" spans="1:5" ht="15" x14ac:dyDescent="0.25">
      <c r="A1741"/>
      <c r="B1741"/>
      <c r="C1741"/>
      <c r="D1741"/>
      <c r="E1741"/>
    </row>
    <row r="1742" spans="1:5" ht="15" x14ac:dyDescent="0.25">
      <c r="A1742"/>
      <c r="B1742"/>
      <c r="C1742"/>
      <c r="D1742"/>
      <c r="E1742"/>
    </row>
    <row r="1743" spans="1:5" ht="15" x14ac:dyDescent="0.25">
      <c r="A1743"/>
      <c r="B1743"/>
      <c r="C1743"/>
      <c r="D1743"/>
      <c r="E1743"/>
    </row>
    <row r="1744" spans="1:5" ht="15" x14ac:dyDescent="0.25">
      <c r="A1744"/>
      <c r="B1744"/>
      <c r="C1744"/>
      <c r="D1744"/>
      <c r="E1744"/>
    </row>
    <row r="1745" spans="1:5" ht="15" x14ac:dyDescent="0.25">
      <c r="A1745"/>
      <c r="B1745"/>
      <c r="C1745"/>
      <c r="D1745"/>
      <c r="E1745"/>
    </row>
    <row r="1746" spans="1:5" ht="15" x14ac:dyDescent="0.25">
      <c r="A1746"/>
      <c r="B1746"/>
      <c r="C1746"/>
      <c r="D1746"/>
      <c r="E1746"/>
    </row>
    <row r="1747" spans="1:5" ht="15" x14ac:dyDescent="0.25">
      <c r="A1747"/>
      <c r="B1747"/>
      <c r="C1747"/>
      <c r="D1747"/>
      <c r="E1747"/>
    </row>
    <row r="1748" spans="1:5" ht="15" x14ac:dyDescent="0.25">
      <c r="A1748"/>
      <c r="B1748"/>
      <c r="C1748"/>
      <c r="D1748"/>
      <c r="E1748"/>
    </row>
    <row r="1749" spans="1:5" ht="15" x14ac:dyDescent="0.25">
      <c r="A1749"/>
      <c r="B1749"/>
      <c r="C1749"/>
      <c r="D1749"/>
      <c r="E1749"/>
    </row>
    <row r="1750" spans="1:5" ht="15" x14ac:dyDescent="0.25">
      <c r="A1750"/>
      <c r="B1750"/>
      <c r="C1750"/>
      <c r="D1750"/>
      <c r="E1750"/>
    </row>
    <row r="1751" spans="1:5" ht="15" x14ac:dyDescent="0.25">
      <c r="A1751"/>
      <c r="B1751"/>
      <c r="C1751"/>
      <c r="D1751"/>
      <c r="E1751"/>
    </row>
    <row r="1752" spans="1:5" ht="15" x14ac:dyDescent="0.25">
      <c r="A1752"/>
      <c r="B1752"/>
      <c r="C1752"/>
      <c r="D1752"/>
      <c r="E1752"/>
    </row>
    <row r="1753" spans="1:5" ht="15" x14ac:dyDescent="0.25">
      <c r="A1753"/>
      <c r="B1753"/>
      <c r="C1753"/>
      <c r="D1753"/>
      <c r="E1753"/>
    </row>
    <row r="1754" spans="1:5" ht="15" x14ac:dyDescent="0.25">
      <c r="A1754"/>
      <c r="B1754"/>
      <c r="C1754"/>
      <c r="D1754"/>
      <c r="E1754"/>
    </row>
    <row r="1755" spans="1:5" ht="15" x14ac:dyDescent="0.25">
      <c r="A1755"/>
      <c r="B1755"/>
      <c r="C1755"/>
      <c r="D1755"/>
      <c r="E1755"/>
    </row>
    <row r="1756" spans="1:5" ht="15" x14ac:dyDescent="0.25">
      <c r="A1756"/>
      <c r="B1756"/>
      <c r="C1756"/>
      <c r="D1756"/>
      <c r="E1756"/>
    </row>
    <row r="1757" spans="1:5" ht="15" x14ac:dyDescent="0.25">
      <c r="A1757"/>
      <c r="B1757"/>
      <c r="C1757"/>
      <c r="D1757"/>
      <c r="E1757"/>
    </row>
    <row r="1758" spans="1:5" ht="15" x14ac:dyDescent="0.25">
      <c r="A1758"/>
      <c r="B1758"/>
      <c r="C1758"/>
      <c r="D1758"/>
      <c r="E1758"/>
    </row>
    <row r="1759" spans="1:5" ht="15" x14ac:dyDescent="0.25">
      <c r="A1759"/>
      <c r="B1759"/>
      <c r="C1759"/>
      <c r="D1759"/>
      <c r="E1759"/>
    </row>
    <row r="1760" spans="1:5" ht="15" x14ac:dyDescent="0.25">
      <c r="A1760"/>
      <c r="B1760"/>
      <c r="C1760"/>
      <c r="D1760"/>
      <c r="E1760"/>
    </row>
    <row r="1761" spans="1:5" ht="15" x14ac:dyDescent="0.25">
      <c r="A1761"/>
      <c r="B1761"/>
      <c r="C1761"/>
      <c r="D1761"/>
      <c r="E1761"/>
    </row>
    <row r="1762" spans="1:5" ht="15" x14ac:dyDescent="0.25">
      <c r="A1762"/>
      <c r="B1762"/>
      <c r="C1762"/>
      <c r="D1762"/>
      <c r="E1762"/>
    </row>
    <row r="1763" spans="1:5" ht="15" x14ac:dyDescent="0.25">
      <c r="A1763"/>
      <c r="B1763"/>
      <c r="C1763"/>
      <c r="D1763"/>
      <c r="E1763"/>
    </row>
    <row r="1764" spans="1:5" ht="15" x14ac:dyDescent="0.25">
      <c r="A1764"/>
      <c r="B1764"/>
      <c r="C1764"/>
      <c r="D1764"/>
      <c r="E1764"/>
    </row>
    <row r="1765" spans="1:5" ht="15" x14ac:dyDescent="0.25">
      <c r="A1765"/>
      <c r="B1765"/>
      <c r="C1765"/>
      <c r="D1765"/>
      <c r="E1765"/>
    </row>
    <row r="1766" spans="1:5" ht="15" x14ac:dyDescent="0.25">
      <c r="A1766"/>
      <c r="B1766"/>
      <c r="C1766"/>
      <c r="D1766"/>
      <c r="E1766"/>
    </row>
    <row r="1767" spans="1:5" ht="15" x14ac:dyDescent="0.25">
      <c r="A1767"/>
      <c r="B1767"/>
      <c r="C1767"/>
      <c r="D1767"/>
      <c r="E1767"/>
    </row>
    <row r="1768" spans="1:5" ht="15" x14ac:dyDescent="0.25">
      <c r="A1768"/>
      <c r="B1768"/>
      <c r="C1768"/>
      <c r="D1768"/>
      <c r="E1768"/>
    </row>
    <row r="1769" spans="1:5" ht="15" x14ac:dyDescent="0.25">
      <c r="A1769"/>
      <c r="B1769"/>
      <c r="C1769"/>
      <c r="D1769"/>
      <c r="E1769"/>
    </row>
    <row r="1770" spans="1:5" ht="15" x14ac:dyDescent="0.25">
      <c r="A1770"/>
      <c r="B1770"/>
      <c r="C1770"/>
      <c r="D1770"/>
      <c r="E1770"/>
    </row>
    <row r="1771" spans="1:5" ht="15" x14ac:dyDescent="0.25">
      <c r="A1771"/>
      <c r="B1771"/>
      <c r="C1771"/>
      <c r="D1771"/>
      <c r="E1771"/>
    </row>
    <row r="1772" spans="1:5" ht="15" x14ac:dyDescent="0.25">
      <c r="A1772"/>
      <c r="B1772"/>
      <c r="C1772"/>
      <c r="D1772"/>
      <c r="E1772"/>
    </row>
    <row r="1773" spans="1:5" ht="15" x14ac:dyDescent="0.25">
      <c r="A1773"/>
      <c r="B1773"/>
      <c r="C1773"/>
      <c r="D1773"/>
      <c r="E1773"/>
    </row>
    <row r="1774" spans="1:5" ht="15" x14ac:dyDescent="0.25">
      <c r="A1774"/>
      <c r="B1774"/>
      <c r="C1774"/>
      <c r="D1774"/>
      <c r="E1774"/>
    </row>
    <row r="1775" spans="1:5" ht="15" x14ac:dyDescent="0.25">
      <c r="A1775"/>
      <c r="B1775"/>
      <c r="C1775"/>
      <c r="D1775"/>
      <c r="E1775"/>
    </row>
    <row r="1776" spans="1:5" ht="15" x14ac:dyDescent="0.25">
      <c r="A1776"/>
      <c r="B1776"/>
      <c r="C1776"/>
      <c r="D1776"/>
      <c r="E1776"/>
    </row>
    <row r="1777" spans="1:5" ht="15" x14ac:dyDescent="0.25">
      <c r="A1777"/>
      <c r="B1777"/>
      <c r="C1777"/>
      <c r="D1777"/>
      <c r="E1777"/>
    </row>
    <row r="1778" spans="1:5" ht="15" x14ac:dyDescent="0.25">
      <c r="A1778"/>
      <c r="B1778"/>
      <c r="C1778"/>
      <c r="D1778"/>
      <c r="E1778"/>
    </row>
    <row r="1779" spans="1:5" ht="15" x14ac:dyDescent="0.25">
      <c r="A1779"/>
      <c r="B1779"/>
      <c r="C1779"/>
      <c r="D1779"/>
      <c r="E1779"/>
    </row>
    <row r="1780" spans="1:5" ht="15" x14ac:dyDescent="0.25">
      <c r="A1780"/>
      <c r="B1780"/>
      <c r="C1780"/>
      <c r="D1780"/>
      <c r="E1780"/>
    </row>
    <row r="1781" spans="1:5" ht="15" x14ac:dyDescent="0.25">
      <c r="A1781"/>
      <c r="B1781"/>
      <c r="C1781"/>
      <c r="D1781"/>
      <c r="E1781"/>
    </row>
    <row r="1782" spans="1:5" ht="15" x14ac:dyDescent="0.25">
      <c r="A1782"/>
      <c r="B1782"/>
      <c r="C1782"/>
      <c r="D1782"/>
      <c r="E1782"/>
    </row>
    <row r="1783" spans="1:5" ht="15" x14ac:dyDescent="0.25">
      <c r="A1783"/>
      <c r="B1783"/>
      <c r="C1783"/>
      <c r="D1783"/>
      <c r="E1783"/>
    </row>
    <row r="1784" spans="1:5" ht="15" x14ac:dyDescent="0.25">
      <c r="A1784"/>
      <c r="B1784"/>
      <c r="C1784"/>
      <c r="D1784"/>
      <c r="E1784"/>
    </row>
    <row r="1785" spans="1:5" ht="15" x14ac:dyDescent="0.25">
      <c r="A1785"/>
      <c r="B1785"/>
      <c r="C1785"/>
      <c r="D1785"/>
      <c r="E1785"/>
    </row>
    <row r="1786" spans="1:5" ht="15" x14ac:dyDescent="0.25">
      <c r="A1786"/>
      <c r="B1786"/>
      <c r="C1786"/>
      <c r="D1786"/>
      <c r="E1786"/>
    </row>
    <row r="1787" spans="1:5" ht="15" x14ac:dyDescent="0.25">
      <c r="A1787"/>
      <c r="B1787"/>
      <c r="C1787"/>
      <c r="D1787"/>
      <c r="E1787"/>
    </row>
    <row r="1788" spans="1:5" ht="15" x14ac:dyDescent="0.25">
      <c r="A1788"/>
      <c r="B1788"/>
      <c r="C1788"/>
      <c r="D1788"/>
      <c r="E1788"/>
    </row>
    <row r="1789" spans="1:5" ht="15" x14ac:dyDescent="0.25">
      <c r="A1789"/>
      <c r="B1789"/>
      <c r="C1789"/>
      <c r="D1789"/>
      <c r="E1789"/>
    </row>
    <row r="1790" spans="1:5" ht="15" x14ac:dyDescent="0.25">
      <c r="A1790"/>
      <c r="B1790"/>
      <c r="C1790"/>
      <c r="D1790"/>
      <c r="E1790"/>
    </row>
    <row r="1791" spans="1:5" ht="15" x14ac:dyDescent="0.25">
      <c r="A1791"/>
      <c r="B1791"/>
      <c r="C1791"/>
      <c r="D1791"/>
      <c r="E1791"/>
    </row>
    <row r="1792" spans="1:5" ht="15" x14ac:dyDescent="0.25">
      <c r="A1792"/>
      <c r="B1792"/>
      <c r="C1792"/>
      <c r="D1792"/>
      <c r="E1792"/>
    </row>
    <row r="1793" spans="1:5" ht="15" x14ac:dyDescent="0.25">
      <c r="A1793"/>
      <c r="B1793"/>
      <c r="C1793"/>
      <c r="D1793"/>
      <c r="E1793"/>
    </row>
    <row r="1794" spans="1:5" ht="15" x14ac:dyDescent="0.25">
      <c r="A1794"/>
      <c r="B1794"/>
      <c r="C1794"/>
      <c r="D1794"/>
      <c r="E1794"/>
    </row>
    <row r="1795" spans="1:5" ht="15" x14ac:dyDescent="0.25">
      <c r="A1795"/>
      <c r="B1795"/>
      <c r="C1795"/>
      <c r="D1795"/>
      <c r="E1795"/>
    </row>
    <row r="1796" spans="1:5" ht="15" x14ac:dyDescent="0.25">
      <c r="A1796"/>
      <c r="B1796"/>
      <c r="C1796"/>
      <c r="D1796"/>
      <c r="E1796"/>
    </row>
    <row r="1797" spans="1:5" ht="15" x14ac:dyDescent="0.25">
      <c r="A1797"/>
      <c r="B1797"/>
      <c r="C1797"/>
      <c r="D1797"/>
      <c r="E1797"/>
    </row>
    <row r="1798" spans="1:5" ht="15" x14ac:dyDescent="0.25">
      <c r="A1798"/>
      <c r="B1798"/>
      <c r="C1798"/>
      <c r="D1798"/>
      <c r="E1798"/>
    </row>
    <row r="1799" spans="1:5" ht="15" x14ac:dyDescent="0.25">
      <c r="A1799"/>
      <c r="B1799"/>
      <c r="C1799"/>
      <c r="D1799"/>
      <c r="E1799"/>
    </row>
    <row r="1800" spans="1:5" ht="15" x14ac:dyDescent="0.25">
      <c r="A1800"/>
      <c r="B1800"/>
      <c r="C1800"/>
      <c r="D1800"/>
      <c r="E1800"/>
    </row>
    <row r="1801" spans="1:5" ht="15" x14ac:dyDescent="0.25">
      <c r="A1801"/>
      <c r="B1801"/>
      <c r="C1801"/>
      <c r="D1801"/>
      <c r="E1801"/>
    </row>
    <row r="1802" spans="1:5" ht="15" x14ac:dyDescent="0.25">
      <c r="A1802"/>
      <c r="B1802"/>
      <c r="C1802"/>
      <c r="D1802"/>
      <c r="E1802"/>
    </row>
    <row r="1803" spans="1:5" ht="15" x14ac:dyDescent="0.25">
      <c r="A1803"/>
      <c r="B1803"/>
      <c r="C1803"/>
      <c r="D1803"/>
      <c r="E1803"/>
    </row>
    <row r="1804" spans="1:5" ht="15" x14ac:dyDescent="0.25">
      <c r="A1804"/>
      <c r="B1804"/>
      <c r="C1804"/>
      <c r="D1804"/>
      <c r="E1804"/>
    </row>
    <row r="1805" spans="1:5" ht="15" x14ac:dyDescent="0.25">
      <c r="A1805"/>
      <c r="B1805"/>
      <c r="C1805"/>
      <c r="D1805"/>
      <c r="E1805"/>
    </row>
    <row r="1806" spans="1:5" ht="15" x14ac:dyDescent="0.25">
      <c r="A1806"/>
      <c r="B1806"/>
      <c r="C1806"/>
      <c r="D1806"/>
      <c r="E1806"/>
    </row>
    <row r="1807" spans="1:5" ht="15" x14ac:dyDescent="0.25">
      <c r="A1807"/>
      <c r="B1807"/>
      <c r="C1807"/>
      <c r="D1807"/>
      <c r="E1807"/>
    </row>
    <row r="1808" spans="1:5" ht="15" x14ac:dyDescent="0.25">
      <c r="A1808"/>
      <c r="B1808"/>
      <c r="C1808"/>
      <c r="D1808"/>
      <c r="E1808"/>
    </row>
    <row r="1809" spans="1:5" ht="15" x14ac:dyDescent="0.25">
      <c r="A1809"/>
      <c r="B1809"/>
      <c r="C1809"/>
      <c r="D1809"/>
      <c r="E1809"/>
    </row>
    <row r="1810" spans="1:5" ht="15" x14ac:dyDescent="0.25">
      <c r="A1810"/>
      <c r="B1810"/>
      <c r="C1810"/>
      <c r="D1810"/>
      <c r="E1810"/>
    </row>
    <row r="1811" spans="1:5" ht="15" x14ac:dyDescent="0.25">
      <c r="A1811"/>
      <c r="B1811"/>
      <c r="C1811"/>
      <c r="D1811"/>
      <c r="E1811"/>
    </row>
    <row r="1812" spans="1:5" ht="15" x14ac:dyDescent="0.25">
      <c r="A1812"/>
      <c r="B1812"/>
      <c r="C1812"/>
      <c r="D1812"/>
      <c r="E1812"/>
    </row>
    <row r="1813" spans="1:5" ht="15" x14ac:dyDescent="0.25">
      <c r="A1813"/>
      <c r="B1813"/>
      <c r="C1813"/>
      <c r="D1813"/>
      <c r="E1813"/>
    </row>
    <row r="1814" spans="1:5" ht="15" x14ac:dyDescent="0.25">
      <c r="A1814"/>
      <c r="B1814"/>
      <c r="C1814"/>
      <c r="D1814"/>
      <c r="E1814"/>
    </row>
    <row r="1815" spans="1:5" ht="15" x14ac:dyDescent="0.25">
      <c r="A1815"/>
      <c r="B1815"/>
      <c r="C1815"/>
      <c r="D1815"/>
      <c r="E1815"/>
    </row>
    <row r="1816" spans="1:5" ht="15" x14ac:dyDescent="0.25">
      <c r="A1816"/>
      <c r="B1816"/>
      <c r="C1816"/>
      <c r="D1816"/>
      <c r="E1816"/>
    </row>
    <row r="1817" spans="1:5" ht="15" x14ac:dyDescent="0.25">
      <c r="A1817"/>
      <c r="B1817"/>
      <c r="C1817"/>
      <c r="D1817"/>
      <c r="E1817"/>
    </row>
    <row r="1818" spans="1:5" ht="15" x14ac:dyDescent="0.25">
      <c r="A1818"/>
      <c r="B1818"/>
      <c r="C1818"/>
      <c r="D1818"/>
      <c r="E1818"/>
    </row>
    <row r="1819" spans="1:5" ht="15" x14ac:dyDescent="0.25">
      <c r="A1819"/>
      <c r="B1819"/>
      <c r="C1819"/>
      <c r="D1819"/>
      <c r="E1819"/>
    </row>
    <row r="1820" spans="1:5" ht="15" x14ac:dyDescent="0.25">
      <c r="A1820"/>
      <c r="B1820"/>
      <c r="C1820"/>
      <c r="D1820"/>
      <c r="E1820"/>
    </row>
    <row r="1821" spans="1:5" ht="15" x14ac:dyDescent="0.25">
      <c r="A1821"/>
      <c r="B1821"/>
      <c r="C1821"/>
      <c r="D1821"/>
      <c r="E1821"/>
    </row>
    <row r="1822" spans="1:5" ht="15" x14ac:dyDescent="0.25">
      <c r="A1822"/>
      <c r="B1822"/>
      <c r="C1822"/>
      <c r="D1822"/>
      <c r="E1822"/>
    </row>
    <row r="1823" spans="1:5" ht="15" x14ac:dyDescent="0.25">
      <c r="A1823"/>
      <c r="B1823"/>
      <c r="C1823"/>
      <c r="D1823"/>
      <c r="E1823"/>
    </row>
    <row r="1824" spans="1:5" ht="15" x14ac:dyDescent="0.25">
      <c r="A1824"/>
      <c r="B1824"/>
      <c r="C1824"/>
      <c r="D1824"/>
      <c r="E1824"/>
    </row>
    <row r="1825" spans="1:5" ht="15" x14ac:dyDescent="0.25">
      <c r="A1825"/>
      <c r="B1825"/>
      <c r="C1825"/>
      <c r="D1825"/>
      <c r="E1825"/>
    </row>
    <row r="1826" spans="1:5" ht="15" x14ac:dyDescent="0.25">
      <c r="A1826"/>
      <c r="B1826"/>
      <c r="C1826"/>
      <c r="D1826"/>
      <c r="E1826"/>
    </row>
    <row r="1827" spans="1:5" ht="15" x14ac:dyDescent="0.25">
      <c r="A1827"/>
      <c r="B1827"/>
      <c r="C1827"/>
      <c r="D1827"/>
      <c r="E1827"/>
    </row>
    <row r="1828" spans="1:5" ht="15" x14ac:dyDescent="0.25">
      <c r="A1828"/>
      <c r="B1828"/>
      <c r="C1828"/>
      <c r="D1828"/>
      <c r="E1828"/>
    </row>
    <row r="1829" spans="1:5" ht="15" x14ac:dyDescent="0.25">
      <c r="A1829"/>
      <c r="B1829"/>
      <c r="C1829"/>
      <c r="D1829"/>
      <c r="E1829"/>
    </row>
    <row r="1830" spans="1:5" ht="15" x14ac:dyDescent="0.25">
      <c r="A1830"/>
      <c r="B1830"/>
      <c r="C1830"/>
      <c r="D1830"/>
      <c r="E1830"/>
    </row>
    <row r="1831" spans="1:5" ht="15" x14ac:dyDescent="0.25">
      <c r="A1831"/>
      <c r="B1831"/>
      <c r="C1831"/>
      <c r="D1831"/>
      <c r="E1831"/>
    </row>
    <row r="1832" spans="1:5" ht="15" x14ac:dyDescent="0.25">
      <c r="A1832"/>
      <c r="B1832"/>
      <c r="C1832"/>
      <c r="D1832"/>
      <c r="E1832"/>
    </row>
    <row r="1833" spans="1:5" ht="15" x14ac:dyDescent="0.25">
      <c r="A1833"/>
      <c r="B1833"/>
      <c r="C1833"/>
      <c r="D1833"/>
      <c r="E1833"/>
    </row>
    <row r="1834" spans="1:5" ht="15" x14ac:dyDescent="0.25">
      <c r="A1834"/>
      <c r="B1834"/>
      <c r="C1834"/>
      <c r="D1834"/>
      <c r="E1834"/>
    </row>
    <row r="1835" spans="1:5" ht="15" x14ac:dyDescent="0.25">
      <c r="A1835"/>
      <c r="B1835"/>
      <c r="C1835"/>
      <c r="D1835"/>
      <c r="E1835"/>
    </row>
    <row r="1836" spans="1:5" ht="15" x14ac:dyDescent="0.25">
      <c r="A1836"/>
      <c r="B1836"/>
      <c r="C1836"/>
      <c r="D1836"/>
      <c r="E1836"/>
    </row>
    <row r="1837" spans="1:5" ht="15" x14ac:dyDescent="0.25">
      <c r="A1837"/>
      <c r="B1837"/>
      <c r="C1837"/>
      <c r="D1837"/>
      <c r="E1837"/>
    </row>
    <row r="1838" spans="1:5" ht="15" x14ac:dyDescent="0.25">
      <c r="A1838"/>
      <c r="B1838"/>
      <c r="C1838"/>
      <c r="D1838"/>
      <c r="E1838"/>
    </row>
    <row r="1839" spans="1:5" ht="15" x14ac:dyDescent="0.25">
      <c r="A1839"/>
      <c r="B1839"/>
      <c r="C1839"/>
      <c r="D1839"/>
      <c r="E1839"/>
    </row>
    <row r="1840" spans="1:5" ht="15" x14ac:dyDescent="0.25">
      <c r="A1840"/>
      <c r="B1840"/>
      <c r="C1840"/>
      <c r="D1840"/>
      <c r="E1840"/>
    </row>
    <row r="1841" spans="1:5" ht="15" x14ac:dyDescent="0.25">
      <c r="A1841"/>
      <c r="B1841"/>
      <c r="C1841"/>
      <c r="D1841"/>
      <c r="E1841"/>
    </row>
    <row r="1842" spans="1:5" ht="15" x14ac:dyDescent="0.25">
      <c r="A1842"/>
      <c r="B1842"/>
      <c r="C1842"/>
      <c r="D1842"/>
      <c r="E1842"/>
    </row>
    <row r="1843" spans="1:5" ht="15" x14ac:dyDescent="0.25">
      <c r="A1843"/>
      <c r="B1843"/>
      <c r="C1843"/>
      <c r="D1843"/>
      <c r="E1843"/>
    </row>
    <row r="1844" spans="1:5" ht="15" x14ac:dyDescent="0.25">
      <c r="A1844"/>
      <c r="B1844"/>
      <c r="C1844"/>
      <c r="D1844"/>
      <c r="E1844"/>
    </row>
    <row r="1845" spans="1:5" ht="15" x14ac:dyDescent="0.25">
      <c r="A1845"/>
      <c r="B1845"/>
      <c r="C1845"/>
      <c r="D1845"/>
      <c r="E1845"/>
    </row>
    <row r="1846" spans="1:5" ht="15" x14ac:dyDescent="0.25">
      <c r="A1846"/>
      <c r="B1846"/>
      <c r="C1846"/>
      <c r="D1846"/>
      <c r="E1846"/>
    </row>
    <row r="1847" spans="1:5" ht="15" x14ac:dyDescent="0.25">
      <c r="A1847"/>
      <c r="B1847"/>
      <c r="C1847"/>
      <c r="D1847"/>
      <c r="E1847"/>
    </row>
    <row r="1848" spans="1:5" ht="15" x14ac:dyDescent="0.25">
      <c r="A1848"/>
      <c r="B1848"/>
      <c r="C1848"/>
      <c r="D1848"/>
      <c r="E1848"/>
    </row>
    <row r="1849" spans="1:5" ht="15" x14ac:dyDescent="0.25">
      <c r="A1849"/>
      <c r="B1849"/>
      <c r="C1849"/>
      <c r="D1849"/>
      <c r="E1849"/>
    </row>
    <row r="1850" spans="1:5" ht="15" x14ac:dyDescent="0.25">
      <c r="A1850"/>
      <c r="B1850"/>
      <c r="C1850"/>
      <c r="D1850"/>
      <c r="E1850"/>
    </row>
    <row r="1851" spans="1:5" ht="15" x14ac:dyDescent="0.25">
      <c r="A1851"/>
      <c r="B1851"/>
      <c r="C1851"/>
      <c r="D1851"/>
      <c r="E1851"/>
    </row>
    <row r="1852" spans="1:5" ht="15" x14ac:dyDescent="0.25">
      <c r="A1852"/>
      <c r="B1852"/>
      <c r="C1852"/>
      <c r="D1852"/>
      <c r="E1852"/>
    </row>
    <row r="1853" spans="1:5" ht="15" x14ac:dyDescent="0.25">
      <c r="A1853"/>
      <c r="B1853"/>
      <c r="C1853"/>
      <c r="D1853"/>
      <c r="E1853"/>
    </row>
    <row r="1854" spans="1:5" ht="15" x14ac:dyDescent="0.25">
      <c r="A1854"/>
      <c r="B1854"/>
      <c r="C1854"/>
      <c r="D1854"/>
      <c r="E1854"/>
    </row>
    <row r="1855" spans="1:5" ht="15" x14ac:dyDescent="0.25">
      <c r="A1855"/>
      <c r="B1855"/>
      <c r="C1855"/>
      <c r="D1855"/>
      <c r="E1855"/>
    </row>
    <row r="1856" spans="1:5" ht="15" x14ac:dyDescent="0.25">
      <c r="A1856"/>
      <c r="B1856"/>
      <c r="C1856"/>
      <c r="D1856"/>
      <c r="E1856"/>
    </row>
    <row r="1857" spans="1:5" ht="15" x14ac:dyDescent="0.25">
      <c r="A1857"/>
      <c r="B1857"/>
      <c r="C1857"/>
      <c r="D1857"/>
      <c r="E1857"/>
    </row>
    <row r="1858" spans="1:5" ht="15" x14ac:dyDescent="0.25">
      <c r="A1858"/>
      <c r="B1858"/>
      <c r="C1858"/>
      <c r="D1858"/>
      <c r="E1858"/>
    </row>
    <row r="1859" spans="1:5" ht="15" x14ac:dyDescent="0.25">
      <c r="A1859"/>
      <c r="B1859"/>
      <c r="C1859"/>
      <c r="D1859"/>
      <c r="E1859"/>
    </row>
    <row r="1860" spans="1:5" ht="15" x14ac:dyDescent="0.25">
      <c r="A1860"/>
      <c r="B1860"/>
      <c r="C1860"/>
      <c r="D1860"/>
      <c r="E1860"/>
    </row>
    <row r="1861" spans="1:5" ht="15" x14ac:dyDescent="0.25">
      <c r="A1861"/>
      <c r="B1861"/>
      <c r="C1861"/>
      <c r="D1861"/>
      <c r="E1861"/>
    </row>
    <row r="1862" spans="1:5" ht="15" x14ac:dyDescent="0.25">
      <c r="A1862"/>
      <c r="B1862"/>
      <c r="C1862"/>
      <c r="D1862"/>
      <c r="E1862"/>
    </row>
    <row r="1863" spans="1:5" ht="15" x14ac:dyDescent="0.25">
      <c r="A1863"/>
      <c r="B1863"/>
      <c r="C1863"/>
      <c r="D1863"/>
      <c r="E1863"/>
    </row>
    <row r="1864" spans="1:5" ht="15" x14ac:dyDescent="0.25">
      <c r="A1864"/>
      <c r="B1864"/>
      <c r="C1864"/>
      <c r="D1864"/>
      <c r="E1864"/>
    </row>
    <row r="1865" spans="1:5" ht="15" x14ac:dyDescent="0.25">
      <c r="A1865"/>
      <c r="B1865"/>
      <c r="C1865"/>
      <c r="D1865"/>
      <c r="E1865"/>
    </row>
    <row r="1866" spans="1:5" ht="15" x14ac:dyDescent="0.25">
      <c r="A1866"/>
      <c r="B1866"/>
      <c r="C1866"/>
      <c r="D1866"/>
      <c r="E1866"/>
    </row>
    <row r="1867" spans="1:5" ht="15" x14ac:dyDescent="0.25">
      <c r="A1867"/>
      <c r="B1867"/>
      <c r="C1867"/>
      <c r="D1867"/>
      <c r="E1867"/>
    </row>
    <row r="1868" spans="1:5" ht="15" x14ac:dyDescent="0.25">
      <c r="A1868"/>
      <c r="B1868"/>
      <c r="C1868"/>
      <c r="D1868"/>
      <c r="E1868"/>
    </row>
    <row r="1869" spans="1:5" ht="15" x14ac:dyDescent="0.25">
      <c r="A1869"/>
      <c r="B1869"/>
      <c r="C1869"/>
      <c r="D1869"/>
      <c r="E1869"/>
    </row>
    <row r="1870" spans="1:5" ht="15" x14ac:dyDescent="0.25">
      <c r="A1870"/>
      <c r="B1870"/>
      <c r="C1870"/>
      <c r="D1870"/>
      <c r="E1870"/>
    </row>
    <row r="1871" spans="1:5" ht="15" x14ac:dyDescent="0.25">
      <c r="A1871"/>
      <c r="B1871"/>
      <c r="C1871"/>
      <c r="D1871"/>
      <c r="E1871"/>
    </row>
    <row r="1872" spans="1:5" ht="15" x14ac:dyDescent="0.25">
      <c r="A1872"/>
      <c r="B1872"/>
      <c r="C1872"/>
      <c r="D1872"/>
      <c r="E1872"/>
    </row>
    <row r="1873" spans="1:5" ht="15" x14ac:dyDescent="0.25">
      <c r="A1873"/>
      <c r="B1873"/>
      <c r="C1873"/>
      <c r="D1873"/>
      <c r="E1873"/>
    </row>
    <row r="1874" spans="1:5" ht="15" x14ac:dyDescent="0.25">
      <c r="A1874"/>
      <c r="B1874"/>
      <c r="C1874"/>
      <c r="D1874"/>
      <c r="E1874"/>
    </row>
    <row r="1875" spans="1:5" ht="15" x14ac:dyDescent="0.25">
      <c r="A1875"/>
      <c r="B1875"/>
      <c r="C1875"/>
      <c r="D1875"/>
      <c r="E1875"/>
    </row>
    <row r="1876" spans="1:5" ht="15" x14ac:dyDescent="0.25">
      <c r="A1876"/>
      <c r="B1876"/>
      <c r="C1876"/>
      <c r="D1876"/>
      <c r="E1876"/>
    </row>
    <row r="1877" spans="1:5" ht="15" x14ac:dyDescent="0.25">
      <c r="A1877"/>
      <c r="B1877"/>
      <c r="C1877"/>
      <c r="D1877"/>
      <c r="E1877"/>
    </row>
    <row r="1878" spans="1:5" ht="15" x14ac:dyDescent="0.25">
      <c r="A1878"/>
      <c r="B1878"/>
      <c r="C1878"/>
      <c r="D1878"/>
      <c r="E1878"/>
    </row>
    <row r="1879" spans="1:5" ht="15" x14ac:dyDescent="0.25">
      <c r="A1879"/>
      <c r="B1879"/>
      <c r="C1879"/>
      <c r="D1879"/>
      <c r="E1879"/>
    </row>
    <row r="1880" spans="1:5" ht="15" x14ac:dyDescent="0.25">
      <c r="A1880"/>
      <c r="B1880"/>
      <c r="C1880"/>
      <c r="D1880"/>
      <c r="E1880"/>
    </row>
    <row r="1881" spans="1:5" ht="15" x14ac:dyDescent="0.25">
      <c r="A1881"/>
      <c r="B1881"/>
      <c r="C1881"/>
      <c r="D1881"/>
      <c r="E1881"/>
    </row>
    <row r="1882" spans="1:5" ht="15" x14ac:dyDescent="0.25">
      <c r="A1882"/>
      <c r="B1882"/>
      <c r="C1882"/>
      <c r="D1882"/>
      <c r="E1882"/>
    </row>
    <row r="1883" spans="1:5" ht="15" x14ac:dyDescent="0.25">
      <c r="A1883"/>
      <c r="B1883"/>
      <c r="C1883"/>
      <c r="D1883"/>
      <c r="E1883"/>
    </row>
    <row r="1884" spans="1:5" ht="15" x14ac:dyDescent="0.25">
      <c r="A1884"/>
      <c r="B1884"/>
      <c r="C1884"/>
      <c r="D1884"/>
      <c r="E1884"/>
    </row>
    <row r="1885" spans="1:5" ht="15" x14ac:dyDescent="0.25">
      <c r="A1885"/>
      <c r="B1885"/>
      <c r="C1885"/>
      <c r="D1885"/>
      <c r="E1885"/>
    </row>
    <row r="1886" spans="1:5" ht="15" x14ac:dyDescent="0.25">
      <c r="A1886"/>
      <c r="B1886"/>
      <c r="C1886"/>
      <c r="D1886"/>
      <c r="E1886"/>
    </row>
    <row r="1887" spans="1:5" ht="15" x14ac:dyDescent="0.25">
      <c r="A1887"/>
      <c r="B1887"/>
      <c r="C1887"/>
      <c r="D1887"/>
      <c r="E1887"/>
    </row>
    <row r="1888" spans="1:5" ht="15" x14ac:dyDescent="0.25">
      <c r="A1888"/>
      <c r="B1888"/>
      <c r="C1888"/>
      <c r="D1888"/>
      <c r="E1888"/>
    </row>
    <row r="1889" spans="1:5" ht="15" x14ac:dyDescent="0.25">
      <c r="A1889"/>
      <c r="B1889"/>
      <c r="C1889"/>
      <c r="D1889"/>
      <c r="E1889"/>
    </row>
    <row r="1890" spans="1:5" ht="15" x14ac:dyDescent="0.25">
      <c r="A1890"/>
      <c r="B1890"/>
      <c r="C1890"/>
      <c r="D1890"/>
      <c r="E1890"/>
    </row>
    <row r="1891" spans="1:5" ht="15" x14ac:dyDescent="0.25">
      <c r="A1891"/>
      <c r="B1891"/>
      <c r="C1891"/>
      <c r="D1891"/>
      <c r="E1891"/>
    </row>
    <row r="1892" spans="1:5" ht="15" x14ac:dyDescent="0.25">
      <c r="A1892"/>
      <c r="B1892"/>
      <c r="C1892"/>
      <c r="D1892"/>
      <c r="E1892"/>
    </row>
    <row r="1893" spans="1:5" ht="15" x14ac:dyDescent="0.25">
      <c r="A1893"/>
      <c r="B1893"/>
      <c r="C1893"/>
      <c r="D1893"/>
      <c r="E1893"/>
    </row>
    <row r="1894" spans="1:5" ht="15" x14ac:dyDescent="0.25">
      <c r="A1894"/>
      <c r="B1894"/>
      <c r="C1894"/>
      <c r="D1894"/>
      <c r="E1894"/>
    </row>
    <row r="1895" spans="1:5" ht="15" x14ac:dyDescent="0.25">
      <c r="A1895"/>
      <c r="B1895"/>
      <c r="C1895"/>
      <c r="D1895"/>
      <c r="E1895"/>
    </row>
    <row r="1896" spans="1:5" ht="15" x14ac:dyDescent="0.25">
      <c r="A1896"/>
      <c r="B1896"/>
      <c r="C1896"/>
      <c r="D1896"/>
      <c r="E1896"/>
    </row>
    <row r="1897" spans="1:5" ht="15" x14ac:dyDescent="0.25">
      <c r="A1897"/>
      <c r="B1897"/>
      <c r="C1897"/>
      <c r="D1897"/>
      <c r="E1897"/>
    </row>
    <row r="1898" spans="1:5" ht="15" x14ac:dyDescent="0.25">
      <c r="A1898"/>
      <c r="B1898"/>
      <c r="C1898"/>
      <c r="D1898"/>
      <c r="E1898"/>
    </row>
    <row r="1899" spans="1:5" ht="15" x14ac:dyDescent="0.25">
      <c r="A1899"/>
      <c r="B1899"/>
      <c r="C1899"/>
      <c r="D1899"/>
      <c r="E1899"/>
    </row>
    <row r="1900" spans="1:5" ht="15" x14ac:dyDescent="0.25">
      <c r="A1900"/>
      <c r="B1900"/>
      <c r="C1900"/>
      <c r="D1900"/>
      <c r="E1900"/>
    </row>
    <row r="1901" spans="1:5" ht="15" x14ac:dyDescent="0.25">
      <c r="A1901"/>
      <c r="B1901"/>
      <c r="C1901"/>
      <c r="D1901"/>
      <c r="E1901"/>
    </row>
    <row r="1902" spans="1:5" ht="15" x14ac:dyDescent="0.25">
      <c r="A1902"/>
      <c r="B1902"/>
      <c r="C1902"/>
      <c r="D1902"/>
      <c r="E1902"/>
    </row>
    <row r="1903" spans="1:5" ht="15" x14ac:dyDescent="0.25">
      <c r="A1903"/>
      <c r="B1903"/>
      <c r="C1903"/>
      <c r="D1903"/>
      <c r="E1903"/>
    </row>
    <row r="1904" spans="1:5" ht="15" x14ac:dyDescent="0.25">
      <c r="A1904"/>
      <c r="B1904"/>
      <c r="C1904"/>
      <c r="D1904"/>
      <c r="E1904"/>
    </row>
    <row r="1905" spans="1:5" ht="15" x14ac:dyDescent="0.25">
      <c r="A1905"/>
      <c r="B1905"/>
      <c r="C1905"/>
      <c r="D1905"/>
      <c r="E1905"/>
    </row>
    <row r="1906" spans="1:5" ht="15" x14ac:dyDescent="0.25">
      <c r="A1906"/>
      <c r="B1906"/>
      <c r="C1906"/>
      <c r="D1906"/>
      <c r="E1906"/>
    </row>
    <row r="1907" spans="1:5" ht="15" x14ac:dyDescent="0.25">
      <c r="A1907"/>
      <c r="B1907"/>
      <c r="C1907"/>
      <c r="D1907"/>
      <c r="E1907"/>
    </row>
    <row r="1908" spans="1:5" ht="15" x14ac:dyDescent="0.25">
      <c r="A1908"/>
      <c r="B1908"/>
      <c r="C1908"/>
      <c r="D1908"/>
      <c r="E1908"/>
    </row>
    <row r="1909" spans="1:5" ht="15" x14ac:dyDescent="0.25">
      <c r="A1909"/>
      <c r="B1909"/>
      <c r="C1909"/>
      <c r="D1909"/>
      <c r="E1909"/>
    </row>
    <row r="1910" spans="1:5" ht="15" x14ac:dyDescent="0.25">
      <c r="A1910"/>
      <c r="B1910"/>
      <c r="C1910"/>
      <c r="D1910"/>
      <c r="E1910"/>
    </row>
    <row r="1911" spans="1:5" ht="15" x14ac:dyDescent="0.25">
      <c r="A1911"/>
      <c r="B1911"/>
      <c r="C1911"/>
      <c r="D1911"/>
      <c r="E1911"/>
    </row>
    <row r="1912" spans="1:5" ht="15" x14ac:dyDescent="0.25">
      <c r="A1912"/>
      <c r="B1912"/>
      <c r="C1912"/>
      <c r="D1912"/>
      <c r="E1912"/>
    </row>
    <row r="1913" spans="1:5" ht="15" x14ac:dyDescent="0.25">
      <c r="A1913"/>
      <c r="B1913"/>
      <c r="C1913"/>
      <c r="D1913"/>
      <c r="E1913"/>
    </row>
    <row r="1914" spans="1:5" ht="15" x14ac:dyDescent="0.25">
      <c r="A1914"/>
      <c r="B1914"/>
      <c r="C1914"/>
      <c r="D1914"/>
      <c r="E1914"/>
    </row>
    <row r="1915" spans="1:5" ht="15" x14ac:dyDescent="0.25">
      <c r="A1915"/>
      <c r="B1915"/>
      <c r="C1915"/>
      <c r="D1915"/>
      <c r="E1915"/>
    </row>
    <row r="1916" spans="1:5" ht="15" x14ac:dyDescent="0.25">
      <c r="A1916"/>
      <c r="B1916"/>
      <c r="C1916"/>
      <c r="D1916"/>
      <c r="E1916"/>
    </row>
    <row r="1917" spans="1:5" ht="15" x14ac:dyDescent="0.25">
      <c r="A1917"/>
      <c r="B1917"/>
      <c r="C1917"/>
      <c r="D1917"/>
      <c r="E1917"/>
    </row>
    <row r="1918" spans="1:5" ht="15" x14ac:dyDescent="0.25">
      <c r="A1918"/>
      <c r="B1918"/>
      <c r="C1918"/>
      <c r="D1918"/>
      <c r="E1918"/>
    </row>
    <row r="1919" spans="1:5" ht="15" x14ac:dyDescent="0.25">
      <c r="A1919"/>
      <c r="B1919"/>
      <c r="C1919"/>
      <c r="D1919"/>
      <c r="E1919"/>
    </row>
    <row r="1920" spans="1:5" ht="15" x14ac:dyDescent="0.25">
      <c r="A1920"/>
      <c r="B1920"/>
      <c r="C1920"/>
      <c r="D1920"/>
      <c r="E1920"/>
    </row>
    <row r="1921" spans="1:5" ht="15" x14ac:dyDescent="0.25">
      <c r="A1921"/>
      <c r="B1921"/>
      <c r="C1921"/>
      <c r="D1921"/>
      <c r="E1921"/>
    </row>
    <row r="1922" spans="1:5" ht="15" x14ac:dyDescent="0.25">
      <c r="A1922"/>
      <c r="B1922"/>
      <c r="C1922"/>
      <c r="D1922"/>
      <c r="E1922"/>
    </row>
    <row r="1923" spans="1:5" ht="15" x14ac:dyDescent="0.25">
      <c r="A1923"/>
      <c r="B1923"/>
      <c r="C1923"/>
      <c r="D1923"/>
      <c r="E1923"/>
    </row>
    <row r="1924" spans="1:5" ht="15" x14ac:dyDescent="0.25">
      <c r="A1924"/>
      <c r="B1924"/>
      <c r="C1924"/>
      <c r="D1924"/>
      <c r="E1924"/>
    </row>
    <row r="1925" spans="1:5" ht="15" x14ac:dyDescent="0.25">
      <c r="A1925"/>
      <c r="B1925"/>
      <c r="C1925"/>
      <c r="D1925"/>
      <c r="E1925"/>
    </row>
    <row r="1926" spans="1:5" ht="15" x14ac:dyDescent="0.25">
      <c r="A1926"/>
      <c r="B1926"/>
      <c r="C1926"/>
      <c r="D1926"/>
      <c r="E1926"/>
    </row>
    <row r="1927" spans="1:5" ht="15" x14ac:dyDescent="0.25">
      <c r="A1927"/>
      <c r="B1927"/>
      <c r="C1927"/>
      <c r="D1927"/>
      <c r="E1927"/>
    </row>
    <row r="1928" spans="1:5" ht="15" x14ac:dyDescent="0.25">
      <c r="A1928"/>
      <c r="B1928"/>
      <c r="C1928"/>
      <c r="D1928"/>
      <c r="E1928"/>
    </row>
    <row r="1929" spans="1:5" ht="15" x14ac:dyDescent="0.25">
      <c r="A1929"/>
      <c r="B1929"/>
      <c r="C1929"/>
      <c r="D1929"/>
      <c r="E1929"/>
    </row>
    <row r="1930" spans="1:5" ht="15" x14ac:dyDescent="0.25">
      <c r="A1930"/>
      <c r="B1930"/>
      <c r="C1930"/>
      <c r="D1930"/>
      <c r="E1930"/>
    </row>
    <row r="1931" spans="1:5" ht="15" x14ac:dyDescent="0.25">
      <c r="A1931"/>
      <c r="B1931"/>
      <c r="C1931"/>
      <c r="D1931"/>
      <c r="E1931"/>
    </row>
    <row r="1932" spans="1:5" ht="15" x14ac:dyDescent="0.25">
      <c r="A1932"/>
      <c r="B1932"/>
      <c r="C1932"/>
      <c r="D1932"/>
      <c r="E1932"/>
    </row>
    <row r="1933" spans="1:5" ht="15" x14ac:dyDescent="0.25">
      <c r="A1933"/>
      <c r="B1933"/>
      <c r="C1933"/>
      <c r="D1933"/>
      <c r="E1933"/>
    </row>
    <row r="1934" spans="1:5" ht="15" x14ac:dyDescent="0.25">
      <c r="A1934"/>
      <c r="B1934"/>
      <c r="C1934"/>
      <c r="D1934"/>
      <c r="E1934"/>
    </row>
    <row r="1935" spans="1:5" ht="15" x14ac:dyDescent="0.25">
      <c r="A1935"/>
      <c r="B1935"/>
      <c r="C1935"/>
      <c r="D1935"/>
      <c r="E1935"/>
    </row>
    <row r="1936" spans="1:5" ht="15" x14ac:dyDescent="0.25">
      <c r="A1936"/>
      <c r="B1936"/>
      <c r="C1936"/>
      <c r="D1936"/>
      <c r="E1936"/>
    </row>
    <row r="1937" spans="1:5" ht="15" x14ac:dyDescent="0.25">
      <c r="A1937"/>
      <c r="B1937"/>
      <c r="C1937"/>
      <c r="D1937"/>
      <c r="E1937"/>
    </row>
    <row r="1938" spans="1:5" ht="15" x14ac:dyDescent="0.25">
      <c r="A1938"/>
      <c r="B1938"/>
      <c r="C1938"/>
      <c r="D1938"/>
      <c r="E1938"/>
    </row>
    <row r="1939" spans="1:5" ht="15" x14ac:dyDescent="0.25">
      <c r="A1939"/>
      <c r="B1939"/>
      <c r="C1939"/>
      <c r="D1939"/>
      <c r="E1939"/>
    </row>
    <row r="1940" spans="1:5" ht="15" x14ac:dyDescent="0.25">
      <c r="A1940"/>
      <c r="B1940"/>
      <c r="C1940"/>
      <c r="D1940"/>
      <c r="E1940"/>
    </row>
    <row r="1941" spans="1:5" ht="15" x14ac:dyDescent="0.25">
      <c r="A1941"/>
      <c r="B1941"/>
      <c r="C1941"/>
      <c r="D1941"/>
      <c r="E1941"/>
    </row>
    <row r="1942" spans="1:5" ht="15" x14ac:dyDescent="0.25">
      <c r="A1942"/>
      <c r="B1942"/>
      <c r="C1942"/>
      <c r="D1942"/>
      <c r="E1942"/>
    </row>
    <row r="1943" spans="1:5" ht="15" x14ac:dyDescent="0.25">
      <c r="A1943"/>
      <c r="B1943"/>
      <c r="C1943"/>
      <c r="D1943"/>
      <c r="E1943"/>
    </row>
    <row r="1944" spans="1:5" ht="15" x14ac:dyDescent="0.25">
      <c r="A1944"/>
      <c r="B1944"/>
      <c r="C1944"/>
      <c r="D1944"/>
      <c r="E1944"/>
    </row>
    <row r="1945" spans="1:5" ht="15" x14ac:dyDescent="0.25">
      <c r="A1945"/>
      <c r="B1945"/>
      <c r="C1945"/>
      <c r="D1945"/>
      <c r="E1945"/>
    </row>
    <row r="1946" spans="1:5" ht="15" x14ac:dyDescent="0.25">
      <c r="A1946"/>
      <c r="B1946"/>
      <c r="C1946"/>
      <c r="D1946"/>
      <c r="E1946"/>
    </row>
    <row r="1947" spans="1:5" ht="15" x14ac:dyDescent="0.25">
      <c r="A1947"/>
      <c r="B1947"/>
      <c r="C1947"/>
      <c r="D1947"/>
      <c r="E1947"/>
    </row>
    <row r="1948" spans="1:5" ht="15" x14ac:dyDescent="0.25">
      <c r="A1948"/>
      <c r="B1948"/>
      <c r="C1948"/>
      <c r="D1948"/>
      <c r="E1948"/>
    </row>
    <row r="1949" spans="1:5" ht="15" x14ac:dyDescent="0.25">
      <c r="A1949"/>
      <c r="B1949"/>
      <c r="C1949"/>
      <c r="D1949"/>
      <c r="E1949"/>
    </row>
    <row r="1950" spans="1:5" ht="15" x14ac:dyDescent="0.25">
      <c r="A1950"/>
      <c r="B1950"/>
      <c r="C1950"/>
      <c r="D1950"/>
      <c r="E1950"/>
    </row>
    <row r="1951" spans="1:5" ht="15" x14ac:dyDescent="0.25">
      <c r="A1951"/>
      <c r="B1951"/>
      <c r="C1951"/>
      <c r="D1951"/>
      <c r="E1951"/>
    </row>
    <row r="1952" spans="1:5" ht="15" x14ac:dyDescent="0.25">
      <c r="A1952"/>
      <c r="B1952"/>
      <c r="C1952"/>
      <c r="D1952"/>
      <c r="E1952"/>
    </row>
    <row r="1953" spans="1:5" ht="15" x14ac:dyDescent="0.25">
      <c r="A1953"/>
      <c r="B1953"/>
      <c r="C1953"/>
      <c r="D1953"/>
      <c r="E1953"/>
    </row>
    <row r="1954" spans="1:5" ht="15" x14ac:dyDescent="0.25">
      <c r="A1954"/>
      <c r="B1954"/>
      <c r="C1954"/>
      <c r="D1954"/>
      <c r="E1954"/>
    </row>
    <row r="1955" spans="1:5" ht="15" x14ac:dyDescent="0.25">
      <c r="A1955"/>
      <c r="B1955"/>
      <c r="C1955"/>
      <c r="D1955"/>
      <c r="E1955"/>
    </row>
    <row r="1956" spans="1:5" ht="15" x14ac:dyDescent="0.25">
      <c r="A1956"/>
      <c r="B1956"/>
      <c r="C1956"/>
      <c r="D1956"/>
      <c r="E1956"/>
    </row>
    <row r="1957" spans="1:5" ht="15" x14ac:dyDescent="0.25">
      <c r="A1957"/>
      <c r="B1957"/>
      <c r="C1957"/>
      <c r="D1957"/>
      <c r="E1957"/>
    </row>
    <row r="1958" spans="1:5" ht="15" x14ac:dyDescent="0.25">
      <c r="A1958"/>
      <c r="B1958"/>
      <c r="C1958"/>
      <c r="D1958"/>
      <c r="E1958"/>
    </row>
    <row r="1959" spans="1:5" ht="15" x14ac:dyDescent="0.25">
      <c r="A1959"/>
      <c r="B1959"/>
      <c r="C1959"/>
      <c r="D1959"/>
      <c r="E1959"/>
    </row>
    <row r="1960" spans="1:5" ht="15" x14ac:dyDescent="0.25">
      <c r="A1960"/>
      <c r="B1960"/>
      <c r="C1960"/>
      <c r="D1960"/>
      <c r="E1960"/>
    </row>
    <row r="1961" spans="1:5" ht="15" x14ac:dyDescent="0.25">
      <c r="A1961"/>
      <c r="B1961"/>
      <c r="C1961"/>
      <c r="D1961"/>
      <c r="E1961"/>
    </row>
    <row r="1962" spans="1:5" ht="15" x14ac:dyDescent="0.25">
      <c r="A1962"/>
      <c r="B1962"/>
      <c r="C1962"/>
      <c r="D1962"/>
      <c r="E1962"/>
    </row>
    <row r="1963" spans="1:5" ht="15" x14ac:dyDescent="0.25">
      <c r="A1963"/>
      <c r="B1963"/>
      <c r="C1963"/>
      <c r="D1963"/>
      <c r="E1963"/>
    </row>
    <row r="1964" spans="1:5" ht="15" x14ac:dyDescent="0.25">
      <c r="A1964"/>
      <c r="B1964"/>
      <c r="C1964"/>
      <c r="D1964"/>
      <c r="E1964"/>
    </row>
    <row r="1965" spans="1:5" ht="15" x14ac:dyDescent="0.25">
      <c r="A1965"/>
      <c r="B1965"/>
      <c r="C1965"/>
      <c r="D1965"/>
      <c r="E1965"/>
    </row>
    <row r="1966" spans="1:5" ht="15" x14ac:dyDescent="0.25">
      <c r="A1966"/>
      <c r="B1966"/>
      <c r="C1966"/>
      <c r="D1966"/>
      <c r="E1966"/>
    </row>
    <row r="1967" spans="1:5" ht="15" x14ac:dyDescent="0.25">
      <c r="A1967"/>
      <c r="B1967"/>
      <c r="C1967"/>
      <c r="D1967"/>
      <c r="E1967"/>
    </row>
    <row r="1968" spans="1:5" ht="15" x14ac:dyDescent="0.25">
      <c r="A1968"/>
      <c r="B1968"/>
      <c r="C1968"/>
      <c r="D1968"/>
      <c r="E1968"/>
    </row>
    <row r="1969" spans="1:5" ht="15" x14ac:dyDescent="0.25">
      <c r="A1969"/>
      <c r="B1969"/>
      <c r="C1969"/>
      <c r="D1969"/>
      <c r="E1969"/>
    </row>
    <row r="1970" spans="1:5" ht="15" x14ac:dyDescent="0.25">
      <c r="A1970"/>
      <c r="B1970"/>
      <c r="C1970"/>
      <c r="D1970"/>
      <c r="E1970"/>
    </row>
    <row r="1971" spans="1:5" ht="15" x14ac:dyDescent="0.25">
      <c r="A1971"/>
      <c r="B1971"/>
      <c r="C1971"/>
      <c r="D1971"/>
      <c r="E1971"/>
    </row>
    <row r="1972" spans="1:5" ht="15" x14ac:dyDescent="0.25">
      <c r="A1972"/>
      <c r="B1972"/>
      <c r="C1972"/>
      <c r="D1972"/>
      <c r="E1972"/>
    </row>
    <row r="1973" spans="1:5" ht="15" x14ac:dyDescent="0.25">
      <c r="A1973"/>
      <c r="B1973"/>
      <c r="C1973"/>
      <c r="D1973"/>
      <c r="E1973"/>
    </row>
    <row r="1974" spans="1:5" ht="15" x14ac:dyDescent="0.25">
      <c r="A1974"/>
      <c r="B1974"/>
      <c r="C1974"/>
      <c r="D1974"/>
      <c r="E1974"/>
    </row>
    <row r="1975" spans="1:5" ht="15" x14ac:dyDescent="0.25">
      <c r="A1975"/>
      <c r="B1975"/>
      <c r="C1975"/>
      <c r="D1975"/>
      <c r="E1975"/>
    </row>
    <row r="1976" spans="1:5" ht="15" x14ac:dyDescent="0.25">
      <c r="A1976"/>
      <c r="B1976"/>
      <c r="C1976"/>
      <c r="D1976"/>
      <c r="E1976"/>
    </row>
    <row r="1977" spans="1:5" ht="15" x14ac:dyDescent="0.25">
      <c r="A1977"/>
      <c r="B1977"/>
      <c r="C1977"/>
      <c r="D1977"/>
      <c r="E1977"/>
    </row>
    <row r="1978" spans="1:5" ht="15" x14ac:dyDescent="0.25">
      <c r="A1978"/>
      <c r="B1978"/>
      <c r="C1978"/>
      <c r="D1978"/>
      <c r="E1978"/>
    </row>
    <row r="1979" spans="1:5" ht="15" x14ac:dyDescent="0.25">
      <c r="A1979"/>
      <c r="B1979"/>
      <c r="C1979"/>
      <c r="D1979"/>
      <c r="E1979"/>
    </row>
    <row r="1980" spans="1:5" ht="15" x14ac:dyDescent="0.25">
      <c r="A1980"/>
      <c r="B1980"/>
      <c r="C1980"/>
      <c r="D1980"/>
      <c r="E1980"/>
    </row>
    <row r="1981" spans="1:5" ht="15" x14ac:dyDescent="0.25">
      <c r="A1981"/>
      <c r="B1981"/>
      <c r="C1981"/>
      <c r="D1981"/>
      <c r="E1981"/>
    </row>
    <row r="1982" spans="1:5" ht="15" x14ac:dyDescent="0.25">
      <c r="A1982"/>
      <c r="B1982"/>
      <c r="C1982"/>
      <c r="D1982"/>
      <c r="E1982"/>
    </row>
    <row r="1983" spans="1:5" ht="15" x14ac:dyDescent="0.25">
      <c r="A1983"/>
      <c r="B1983"/>
      <c r="C1983"/>
      <c r="D1983"/>
      <c r="E1983"/>
    </row>
    <row r="1984" spans="1:5" ht="15" x14ac:dyDescent="0.25">
      <c r="A1984"/>
      <c r="B1984"/>
      <c r="C1984"/>
      <c r="D1984"/>
      <c r="E1984"/>
    </row>
    <row r="1985" spans="1:5" ht="15" x14ac:dyDescent="0.25">
      <c r="A1985"/>
      <c r="B1985"/>
      <c r="C1985"/>
      <c r="D1985"/>
      <c r="E1985"/>
    </row>
    <row r="1986" spans="1:5" ht="15" x14ac:dyDescent="0.25">
      <c r="A1986"/>
      <c r="B1986"/>
      <c r="C1986"/>
      <c r="D1986"/>
      <c r="E1986"/>
    </row>
    <row r="1987" spans="1:5" ht="15" x14ac:dyDescent="0.25">
      <c r="A1987"/>
      <c r="B1987"/>
      <c r="C1987"/>
      <c r="D1987"/>
      <c r="E1987"/>
    </row>
    <row r="1988" spans="1:5" ht="15" x14ac:dyDescent="0.25">
      <c r="A1988"/>
      <c r="B1988"/>
      <c r="C1988"/>
      <c r="D1988"/>
      <c r="E1988"/>
    </row>
    <row r="1989" spans="1:5" ht="15" x14ac:dyDescent="0.25">
      <c r="A1989"/>
      <c r="B1989"/>
      <c r="C1989"/>
      <c r="D1989"/>
      <c r="E1989"/>
    </row>
    <row r="1990" spans="1:5" ht="15" x14ac:dyDescent="0.25">
      <c r="A1990"/>
      <c r="B1990"/>
      <c r="C1990"/>
      <c r="D1990"/>
      <c r="E1990"/>
    </row>
    <row r="1991" spans="1:5" ht="15" x14ac:dyDescent="0.25">
      <c r="A1991"/>
      <c r="B1991"/>
      <c r="C1991"/>
      <c r="D1991"/>
      <c r="E1991"/>
    </row>
    <row r="1992" spans="1:5" ht="15" x14ac:dyDescent="0.25">
      <c r="A1992"/>
      <c r="B1992"/>
      <c r="C1992"/>
      <c r="D1992"/>
      <c r="E1992"/>
    </row>
    <row r="1993" spans="1:5" ht="15" x14ac:dyDescent="0.25">
      <c r="A1993"/>
      <c r="B1993"/>
      <c r="C1993"/>
      <c r="D1993"/>
      <c r="E1993"/>
    </row>
    <row r="1994" spans="1:5" ht="15" x14ac:dyDescent="0.25">
      <c r="A1994"/>
      <c r="B1994"/>
      <c r="C1994"/>
      <c r="D1994"/>
      <c r="E1994"/>
    </row>
    <row r="1995" spans="1:5" ht="15" x14ac:dyDescent="0.25">
      <c r="A1995"/>
      <c r="B1995"/>
      <c r="C1995"/>
      <c r="D1995"/>
      <c r="E1995"/>
    </row>
    <row r="1996" spans="1:5" ht="15" x14ac:dyDescent="0.25">
      <c r="A1996"/>
      <c r="B1996"/>
      <c r="C1996"/>
      <c r="D1996"/>
      <c r="E1996"/>
    </row>
    <row r="1997" spans="1:5" ht="15" x14ac:dyDescent="0.25">
      <c r="A1997"/>
      <c r="B1997"/>
      <c r="C1997"/>
      <c r="D1997"/>
      <c r="E1997"/>
    </row>
    <row r="1998" spans="1:5" ht="15" x14ac:dyDescent="0.25">
      <c r="A1998"/>
      <c r="B1998"/>
      <c r="C1998"/>
      <c r="D1998"/>
      <c r="E1998"/>
    </row>
    <row r="1999" spans="1:5" ht="15" x14ac:dyDescent="0.25">
      <c r="A1999"/>
      <c r="B1999"/>
      <c r="C1999"/>
      <c r="D1999"/>
      <c r="E1999"/>
    </row>
    <row r="2000" spans="1:5" ht="15" x14ac:dyDescent="0.25">
      <c r="A2000"/>
      <c r="B2000"/>
      <c r="C2000"/>
      <c r="D2000"/>
      <c r="E2000"/>
    </row>
    <row r="2001" spans="1:5" ht="15" x14ac:dyDescent="0.25">
      <c r="A2001"/>
      <c r="B2001"/>
      <c r="C2001"/>
      <c r="D2001"/>
      <c r="E2001"/>
    </row>
    <row r="2002" spans="1:5" ht="15" x14ac:dyDescent="0.25">
      <c r="A2002"/>
      <c r="B2002"/>
      <c r="C2002"/>
      <c r="D2002"/>
      <c r="E2002"/>
    </row>
    <row r="2003" spans="1:5" ht="15" x14ac:dyDescent="0.25">
      <c r="A2003"/>
      <c r="B2003"/>
      <c r="C2003"/>
      <c r="D2003"/>
      <c r="E2003"/>
    </row>
    <row r="2004" spans="1:5" ht="15" x14ac:dyDescent="0.25">
      <c r="A2004"/>
      <c r="B2004"/>
      <c r="C2004"/>
      <c r="D2004"/>
      <c r="E2004"/>
    </row>
    <row r="2005" spans="1:5" ht="15" x14ac:dyDescent="0.25">
      <c r="A2005"/>
      <c r="B2005"/>
      <c r="C2005"/>
      <c r="D2005"/>
      <c r="E2005"/>
    </row>
    <row r="2006" spans="1:5" ht="15" x14ac:dyDescent="0.25">
      <c r="A2006"/>
      <c r="B2006"/>
      <c r="C2006"/>
      <c r="D2006"/>
      <c r="E2006"/>
    </row>
    <row r="2007" spans="1:5" ht="15" x14ac:dyDescent="0.25">
      <c r="A2007"/>
      <c r="B2007"/>
      <c r="C2007"/>
      <c r="D2007"/>
      <c r="E2007"/>
    </row>
    <row r="2008" spans="1:5" ht="15" x14ac:dyDescent="0.25">
      <c r="A2008"/>
      <c r="B2008"/>
      <c r="C2008"/>
      <c r="D2008"/>
      <c r="E2008"/>
    </row>
    <row r="2009" spans="1:5" ht="15" x14ac:dyDescent="0.25">
      <c r="A2009"/>
      <c r="B2009"/>
      <c r="C2009"/>
      <c r="D2009"/>
      <c r="E2009"/>
    </row>
    <row r="2010" spans="1:5" ht="15" x14ac:dyDescent="0.25">
      <c r="A2010"/>
      <c r="B2010"/>
      <c r="C2010"/>
      <c r="D2010"/>
      <c r="E2010"/>
    </row>
    <row r="2011" spans="1:5" ht="15" x14ac:dyDescent="0.25">
      <c r="A2011"/>
      <c r="B2011"/>
      <c r="C2011"/>
      <c r="D2011"/>
      <c r="E2011"/>
    </row>
    <row r="2012" spans="1:5" ht="15" x14ac:dyDescent="0.25">
      <c r="A2012"/>
      <c r="B2012"/>
      <c r="C2012"/>
      <c r="D2012"/>
      <c r="E2012"/>
    </row>
    <row r="2013" spans="1:5" ht="15" x14ac:dyDescent="0.25">
      <c r="A2013"/>
      <c r="B2013"/>
      <c r="C2013"/>
      <c r="D2013"/>
      <c r="E2013"/>
    </row>
    <row r="2014" spans="1:5" ht="15" x14ac:dyDescent="0.25">
      <c r="A2014"/>
      <c r="B2014"/>
      <c r="C2014"/>
      <c r="D2014"/>
      <c r="E2014"/>
    </row>
    <row r="2015" spans="1:5" ht="15" x14ac:dyDescent="0.25">
      <c r="A2015"/>
      <c r="B2015"/>
      <c r="C2015"/>
      <c r="D2015"/>
      <c r="E2015"/>
    </row>
    <row r="2016" spans="1:5" ht="15" x14ac:dyDescent="0.25">
      <c r="A2016"/>
      <c r="B2016"/>
      <c r="C2016"/>
      <c r="D2016"/>
      <c r="E2016"/>
    </row>
    <row r="2017" spans="1:5" ht="15" x14ac:dyDescent="0.25">
      <c r="A2017"/>
      <c r="B2017"/>
      <c r="C2017"/>
      <c r="D2017"/>
      <c r="E2017"/>
    </row>
    <row r="2018" spans="1:5" ht="15" x14ac:dyDescent="0.25">
      <c r="A2018"/>
      <c r="B2018"/>
      <c r="C2018"/>
      <c r="D2018"/>
      <c r="E2018"/>
    </row>
    <row r="2019" spans="1:5" ht="15" x14ac:dyDescent="0.25">
      <c r="A2019"/>
      <c r="B2019"/>
      <c r="C2019"/>
      <c r="D2019"/>
      <c r="E2019"/>
    </row>
    <row r="2020" spans="1:5" ht="15" x14ac:dyDescent="0.25">
      <c r="A2020"/>
      <c r="B2020"/>
      <c r="C2020"/>
      <c r="D2020"/>
      <c r="E2020"/>
    </row>
    <row r="2021" spans="1:5" ht="15" x14ac:dyDescent="0.25">
      <c r="A2021"/>
      <c r="B2021"/>
      <c r="C2021"/>
      <c r="D2021"/>
      <c r="E2021"/>
    </row>
    <row r="2022" spans="1:5" ht="15" x14ac:dyDescent="0.25">
      <c r="A2022"/>
      <c r="B2022"/>
      <c r="C2022"/>
      <c r="D2022"/>
      <c r="E2022"/>
    </row>
    <row r="2023" spans="1:5" ht="15" x14ac:dyDescent="0.25">
      <c r="A2023"/>
      <c r="B2023"/>
      <c r="C2023"/>
      <c r="D2023"/>
      <c r="E2023"/>
    </row>
    <row r="2024" spans="1:5" ht="15" x14ac:dyDescent="0.25">
      <c r="A2024"/>
      <c r="B2024"/>
      <c r="C2024"/>
      <c r="D2024"/>
      <c r="E2024"/>
    </row>
    <row r="2025" spans="1:5" ht="15" x14ac:dyDescent="0.25">
      <c r="A2025"/>
      <c r="B2025"/>
      <c r="C2025"/>
      <c r="D2025"/>
      <c r="E2025"/>
    </row>
    <row r="2026" spans="1:5" ht="15" x14ac:dyDescent="0.25">
      <c r="A2026"/>
      <c r="B2026"/>
      <c r="C2026"/>
      <c r="D2026"/>
      <c r="E2026"/>
    </row>
    <row r="2027" spans="1:5" ht="15" x14ac:dyDescent="0.25">
      <c r="A2027"/>
      <c r="B2027"/>
      <c r="C2027"/>
      <c r="D2027"/>
      <c r="E2027"/>
    </row>
    <row r="2028" spans="1:5" ht="15" x14ac:dyDescent="0.25">
      <c r="A2028"/>
      <c r="B2028"/>
      <c r="C2028"/>
      <c r="D2028"/>
      <c r="E2028"/>
    </row>
    <row r="2029" spans="1:5" ht="15" x14ac:dyDescent="0.25">
      <c r="A2029"/>
      <c r="B2029"/>
      <c r="C2029"/>
      <c r="D2029"/>
      <c r="E2029"/>
    </row>
    <row r="2030" spans="1:5" ht="15" x14ac:dyDescent="0.25">
      <c r="A2030"/>
      <c r="B2030"/>
      <c r="C2030"/>
      <c r="D2030"/>
      <c r="E2030"/>
    </row>
    <row r="2031" spans="1:5" ht="15" x14ac:dyDescent="0.25">
      <c r="A2031"/>
      <c r="B2031"/>
      <c r="C2031"/>
      <c r="D2031"/>
      <c r="E2031"/>
    </row>
    <row r="2032" spans="1:5" ht="15" x14ac:dyDescent="0.25">
      <c r="A2032"/>
      <c r="B2032"/>
      <c r="C2032"/>
      <c r="D2032"/>
      <c r="E2032"/>
    </row>
    <row r="2033" spans="1:5" ht="15" x14ac:dyDescent="0.25">
      <c r="A2033"/>
      <c r="B2033"/>
      <c r="C2033"/>
      <c r="D2033"/>
      <c r="E2033"/>
    </row>
    <row r="2034" spans="1:5" ht="15" x14ac:dyDescent="0.25">
      <c r="A2034"/>
      <c r="B2034"/>
      <c r="C2034"/>
      <c r="D2034"/>
      <c r="E2034"/>
    </row>
    <row r="2035" spans="1:5" ht="15" x14ac:dyDescent="0.25">
      <c r="A2035"/>
      <c r="B2035"/>
      <c r="C2035"/>
      <c r="D2035"/>
      <c r="E2035"/>
    </row>
    <row r="2036" spans="1:5" ht="15" x14ac:dyDescent="0.25">
      <c r="A2036"/>
      <c r="B2036"/>
      <c r="C2036"/>
      <c r="D2036"/>
      <c r="E2036"/>
    </row>
    <row r="2037" spans="1:5" ht="15" x14ac:dyDescent="0.25">
      <c r="A2037"/>
      <c r="B2037"/>
      <c r="C2037"/>
      <c r="D2037"/>
      <c r="E2037"/>
    </row>
    <row r="2038" spans="1:5" ht="15" x14ac:dyDescent="0.25">
      <c r="A2038"/>
      <c r="B2038"/>
      <c r="C2038"/>
      <c r="D2038"/>
      <c r="E2038"/>
    </row>
    <row r="2039" spans="1:5" ht="15" x14ac:dyDescent="0.25">
      <c r="A2039"/>
      <c r="B2039"/>
      <c r="C2039"/>
      <c r="D2039"/>
      <c r="E2039"/>
    </row>
    <row r="2040" spans="1:5" ht="15" x14ac:dyDescent="0.25">
      <c r="A2040"/>
      <c r="B2040"/>
      <c r="C2040"/>
      <c r="D2040"/>
      <c r="E2040"/>
    </row>
    <row r="2041" spans="1:5" ht="15" x14ac:dyDescent="0.25">
      <c r="A2041"/>
      <c r="B2041"/>
      <c r="C2041"/>
      <c r="D2041"/>
      <c r="E2041"/>
    </row>
    <row r="2042" spans="1:5" ht="15" x14ac:dyDescent="0.25">
      <c r="A2042"/>
      <c r="B2042"/>
      <c r="C2042"/>
      <c r="D2042"/>
      <c r="E2042"/>
    </row>
    <row r="2043" spans="1:5" ht="15" x14ac:dyDescent="0.25">
      <c r="A2043"/>
      <c r="B2043"/>
      <c r="C2043"/>
      <c r="D2043"/>
      <c r="E2043"/>
    </row>
    <row r="2044" spans="1:5" ht="15" x14ac:dyDescent="0.25">
      <c r="A2044"/>
      <c r="B2044"/>
      <c r="C2044"/>
      <c r="D2044"/>
      <c r="E2044"/>
    </row>
    <row r="2045" spans="1:5" ht="15" x14ac:dyDescent="0.25">
      <c r="A2045"/>
      <c r="B2045"/>
      <c r="C2045"/>
      <c r="D2045"/>
      <c r="E2045"/>
    </row>
    <row r="2046" spans="1:5" ht="15" x14ac:dyDescent="0.25">
      <c r="A2046"/>
      <c r="B2046"/>
      <c r="C2046"/>
      <c r="D2046"/>
      <c r="E2046"/>
    </row>
    <row r="2047" spans="1:5" ht="15" x14ac:dyDescent="0.25">
      <c r="A2047"/>
      <c r="B2047"/>
      <c r="C2047"/>
      <c r="D2047"/>
      <c r="E2047"/>
    </row>
    <row r="2048" spans="1:5" ht="15" x14ac:dyDescent="0.25">
      <c r="A2048"/>
      <c r="B2048"/>
      <c r="C2048"/>
      <c r="D2048"/>
      <c r="E2048"/>
    </row>
    <row r="2049" spans="1:5" ht="15" x14ac:dyDescent="0.25">
      <c r="A2049"/>
      <c r="B2049"/>
      <c r="C2049"/>
      <c r="D2049"/>
      <c r="E2049"/>
    </row>
    <row r="2050" spans="1:5" ht="15" x14ac:dyDescent="0.25">
      <c r="A2050"/>
      <c r="B2050"/>
      <c r="C2050"/>
      <c r="D2050"/>
      <c r="E2050"/>
    </row>
    <row r="2051" spans="1:5" ht="15" x14ac:dyDescent="0.25">
      <c r="A2051"/>
      <c r="B2051"/>
      <c r="C2051"/>
      <c r="D2051"/>
      <c r="E2051"/>
    </row>
    <row r="2052" spans="1:5" ht="15" x14ac:dyDescent="0.25">
      <c r="A2052"/>
      <c r="B2052"/>
      <c r="C2052"/>
      <c r="D2052"/>
      <c r="E2052"/>
    </row>
    <row r="2053" spans="1:5" ht="15" x14ac:dyDescent="0.25">
      <c r="A2053"/>
      <c r="B2053"/>
      <c r="C2053"/>
      <c r="D2053"/>
      <c r="E2053"/>
    </row>
    <row r="2054" spans="1:5" ht="15" x14ac:dyDescent="0.25">
      <c r="A2054"/>
      <c r="B2054"/>
      <c r="C2054"/>
      <c r="D2054"/>
      <c r="E2054"/>
    </row>
    <row r="2055" spans="1:5" ht="15" x14ac:dyDescent="0.25">
      <c r="A2055"/>
      <c r="B2055"/>
      <c r="C2055"/>
      <c r="D2055"/>
      <c r="E2055"/>
    </row>
    <row r="2056" spans="1:5" ht="15" x14ac:dyDescent="0.25">
      <c r="A2056"/>
      <c r="B2056"/>
      <c r="C2056"/>
      <c r="D2056"/>
      <c r="E2056"/>
    </row>
    <row r="2057" spans="1:5" ht="15" x14ac:dyDescent="0.25">
      <c r="A2057"/>
      <c r="B2057"/>
      <c r="C2057"/>
      <c r="D2057"/>
      <c r="E2057"/>
    </row>
    <row r="2058" spans="1:5" ht="15" x14ac:dyDescent="0.25">
      <c r="A2058"/>
      <c r="B2058"/>
      <c r="C2058"/>
      <c r="D2058"/>
      <c r="E2058"/>
    </row>
    <row r="2059" spans="1:5" ht="15" x14ac:dyDescent="0.25">
      <c r="A2059"/>
      <c r="B2059"/>
      <c r="C2059"/>
      <c r="D2059"/>
      <c r="E2059"/>
    </row>
    <row r="2060" spans="1:5" ht="15" x14ac:dyDescent="0.25">
      <c r="A2060"/>
      <c r="B2060"/>
      <c r="C2060"/>
      <c r="D2060"/>
      <c r="E2060"/>
    </row>
    <row r="2061" spans="1:5" ht="15" x14ac:dyDescent="0.25">
      <c r="A2061"/>
      <c r="B2061"/>
      <c r="C2061"/>
      <c r="D2061"/>
      <c r="E2061"/>
    </row>
    <row r="2062" spans="1:5" ht="15" x14ac:dyDescent="0.25">
      <c r="A2062"/>
      <c r="B2062"/>
      <c r="C2062"/>
      <c r="D2062"/>
      <c r="E2062"/>
    </row>
    <row r="2063" spans="1:5" ht="15" x14ac:dyDescent="0.25">
      <c r="A2063"/>
      <c r="B2063"/>
      <c r="C2063"/>
      <c r="D2063"/>
      <c r="E2063"/>
    </row>
    <row r="2064" spans="1:5" ht="15" x14ac:dyDescent="0.25">
      <c r="A2064"/>
      <c r="B2064"/>
      <c r="C2064"/>
      <c r="D2064"/>
      <c r="E2064"/>
    </row>
    <row r="2065" spans="1:5" ht="15" x14ac:dyDescent="0.25">
      <c r="A2065"/>
      <c r="B2065"/>
      <c r="C2065"/>
      <c r="D2065"/>
      <c r="E2065"/>
    </row>
    <row r="2066" spans="1:5" ht="15" x14ac:dyDescent="0.25">
      <c r="A2066"/>
      <c r="B2066"/>
      <c r="C2066"/>
      <c r="D2066"/>
      <c r="E2066"/>
    </row>
    <row r="2067" spans="1:5" ht="15" x14ac:dyDescent="0.25">
      <c r="A2067"/>
      <c r="B2067"/>
      <c r="C2067"/>
      <c r="D2067"/>
      <c r="E2067"/>
    </row>
    <row r="2068" spans="1:5" ht="15" x14ac:dyDescent="0.25">
      <c r="A2068"/>
      <c r="B2068"/>
      <c r="C2068"/>
      <c r="D2068"/>
      <c r="E2068"/>
    </row>
    <row r="2069" spans="1:5" ht="15" x14ac:dyDescent="0.25">
      <c r="A2069"/>
      <c r="B2069"/>
      <c r="C2069"/>
      <c r="D2069"/>
      <c r="E2069"/>
    </row>
    <row r="2070" spans="1:5" ht="15" x14ac:dyDescent="0.25">
      <c r="A2070"/>
      <c r="B2070"/>
      <c r="C2070"/>
      <c r="D2070"/>
      <c r="E2070"/>
    </row>
    <row r="2071" spans="1:5" ht="15" x14ac:dyDescent="0.25">
      <c r="A2071"/>
      <c r="B2071"/>
      <c r="C2071"/>
      <c r="D2071"/>
      <c r="E2071"/>
    </row>
    <row r="2072" spans="1:5" ht="15" x14ac:dyDescent="0.25">
      <c r="A2072"/>
      <c r="B2072"/>
      <c r="C2072"/>
      <c r="D2072"/>
      <c r="E2072"/>
    </row>
    <row r="2073" spans="1:5" ht="15" x14ac:dyDescent="0.25">
      <c r="A2073"/>
      <c r="B2073"/>
      <c r="C2073"/>
      <c r="D2073"/>
      <c r="E2073"/>
    </row>
    <row r="2074" spans="1:5" ht="15" x14ac:dyDescent="0.25">
      <c r="A2074"/>
      <c r="B2074"/>
      <c r="C2074"/>
      <c r="D2074"/>
      <c r="E2074"/>
    </row>
    <row r="2075" spans="1:5" ht="15" x14ac:dyDescent="0.25">
      <c r="A2075"/>
      <c r="B2075"/>
      <c r="C2075"/>
      <c r="D2075"/>
      <c r="E2075"/>
    </row>
    <row r="2076" spans="1:5" ht="15" x14ac:dyDescent="0.25">
      <c r="A2076"/>
      <c r="B2076"/>
      <c r="C2076"/>
      <c r="D2076"/>
      <c r="E2076"/>
    </row>
    <row r="2077" spans="1:5" ht="15" x14ac:dyDescent="0.25">
      <c r="A2077"/>
      <c r="B2077"/>
      <c r="C2077"/>
      <c r="D2077"/>
      <c r="E2077"/>
    </row>
    <row r="2078" spans="1:5" ht="15" x14ac:dyDescent="0.25">
      <c r="A2078"/>
      <c r="B2078"/>
      <c r="C2078"/>
      <c r="D2078"/>
      <c r="E2078"/>
    </row>
    <row r="2079" spans="1:5" ht="15" x14ac:dyDescent="0.25">
      <c r="A2079"/>
      <c r="B2079"/>
      <c r="C2079"/>
      <c r="D2079"/>
      <c r="E2079"/>
    </row>
    <row r="2080" spans="1:5" ht="15" x14ac:dyDescent="0.25">
      <c r="A2080"/>
      <c r="B2080"/>
      <c r="C2080"/>
      <c r="D2080"/>
      <c r="E2080"/>
    </row>
    <row r="2081" spans="1:5" ht="15" x14ac:dyDescent="0.25">
      <c r="A2081"/>
      <c r="B2081"/>
      <c r="C2081"/>
      <c r="D2081"/>
      <c r="E2081"/>
    </row>
    <row r="2082" spans="1:5" ht="15" x14ac:dyDescent="0.25">
      <c r="A2082"/>
      <c r="B2082"/>
      <c r="C2082"/>
      <c r="D2082"/>
      <c r="E2082"/>
    </row>
    <row r="2083" spans="1:5" ht="15" x14ac:dyDescent="0.25">
      <c r="A2083"/>
      <c r="B2083"/>
      <c r="C2083"/>
      <c r="D2083"/>
      <c r="E2083"/>
    </row>
    <row r="2084" spans="1:5" ht="15" x14ac:dyDescent="0.25">
      <c r="A2084"/>
      <c r="B2084"/>
      <c r="C2084"/>
      <c r="D2084"/>
      <c r="E2084"/>
    </row>
    <row r="2085" spans="1:5" ht="15" x14ac:dyDescent="0.25">
      <c r="A2085"/>
      <c r="B2085"/>
      <c r="C2085"/>
      <c r="D2085"/>
      <c r="E2085"/>
    </row>
    <row r="2086" spans="1:5" ht="15" x14ac:dyDescent="0.25">
      <c r="A2086"/>
      <c r="B2086"/>
      <c r="C2086"/>
      <c r="D2086"/>
      <c r="E2086"/>
    </row>
    <row r="2087" spans="1:5" ht="15" x14ac:dyDescent="0.25">
      <c r="A2087"/>
      <c r="B2087"/>
      <c r="C2087"/>
      <c r="D2087"/>
      <c r="E2087"/>
    </row>
    <row r="2088" spans="1:5" ht="15" x14ac:dyDescent="0.25">
      <c r="A2088"/>
      <c r="B2088"/>
      <c r="C2088"/>
      <c r="D2088"/>
      <c r="E2088"/>
    </row>
    <row r="2089" spans="1:5" ht="15" x14ac:dyDescent="0.25">
      <c r="A2089"/>
      <c r="B2089"/>
      <c r="C2089"/>
      <c r="D2089"/>
      <c r="E2089"/>
    </row>
    <row r="2090" spans="1:5" ht="15" x14ac:dyDescent="0.25">
      <c r="A2090"/>
      <c r="B2090"/>
      <c r="C2090"/>
      <c r="D2090"/>
      <c r="E2090"/>
    </row>
    <row r="2091" spans="1:5" ht="15" x14ac:dyDescent="0.25">
      <c r="A2091"/>
      <c r="B2091"/>
      <c r="C2091"/>
      <c r="D2091"/>
      <c r="E2091"/>
    </row>
    <row r="2092" spans="1:5" ht="15" x14ac:dyDescent="0.25">
      <c r="A2092"/>
      <c r="B2092"/>
      <c r="C2092"/>
      <c r="D2092"/>
      <c r="E2092"/>
    </row>
    <row r="2093" spans="1:5" ht="15" x14ac:dyDescent="0.25">
      <c r="A2093"/>
      <c r="B2093"/>
      <c r="C2093"/>
      <c r="D2093"/>
      <c r="E2093"/>
    </row>
    <row r="2094" spans="1:5" ht="15" x14ac:dyDescent="0.25">
      <c r="A2094"/>
      <c r="B2094"/>
      <c r="C2094"/>
      <c r="D2094"/>
      <c r="E2094"/>
    </row>
    <row r="2095" spans="1:5" ht="15" x14ac:dyDescent="0.25">
      <c r="A2095"/>
      <c r="B2095"/>
      <c r="C2095"/>
      <c r="D2095"/>
      <c r="E2095"/>
    </row>
    <row r="2096" spans="1:5" ht="15" x14ac:dyDescent="0.25">
      <c r="A2096"/>
      <c r="B2096"/>
      <c r="C2096"/>
      <c r="D2096"/>
      <c r="E2096"/>
    </row>
    <row r="2097" spans="1:5" ht="15" x14ac:dyDescent="0.25">
      <c r="A2097"/>
      <c r="B2097"/>
      <c r="C2097"/>
      <c r="D2097"/>
      <c r="E2097"/>
    </row>
    <row r="2098" spans="1:5" ht="15" x14ac:dyDescent="0.25">
      <c r="A2098"/>
      <c r="B2098"/>
      <c r="C2098"/>
      <c r="D2098"/>
      <c r="E2098"/>
    </row>
    <row r="2099" spans="1:5" ht="15" x14ac:dyDescent="0.25">
      <c r="A2099"/>
      <c r="B2099"/>
      <c r="C2099"/>
      <c r="D2099"/>
      <c r="E2099"/>
    </row>
    <row r="2100" spans="1:5" ht="15" x14ac:dyDescent="0.25">
      <c r="A2100"/>
      <c r="B2100"/>
      <c r="C2100"/>
      <c r="D2100"/>
      <c r="E2100"/>
    </row>
    <row r="2101" spans="1:5" ht="15" x14ac:dyDescent="0.25">
      <c r="A2101"/>
      <c r="B2101"/>
      <c r="C2101"/>
      <c r="D2101"/>
      <c r="E2101"/>
    </row>
    <row r="2102" spans="1:5" ht="15" x14ac:dyDescent="0.25">
      <c r="A2102"/>
      <c r="B2102"/>
      <c r="C2102"/>
      <c r="D2102"/>
      <c r="E2102"/>
    </row>
    <row r="2103" spans="1:5" ht="15" x14ac:dyDescent="0.25">
      <c r="A2103"/>
      <c r="B2103"/>
      <c r="C2103"/>
      <c r="D2103"/>
      <c r="E2103"/>
    </row>
    <row r="2104" spans="1:5" ht="15" x14ac:dyDescent="0.25">
      <c r="A2104"/>
      <c r="B2104"/>
      <c r="C2104"/>
      <c r="D2104"/>
      <c r="E2104"/>
    </row>
    <row r="2105" spans="1:5" ht="15" x14ac:dyDescent="0.25">
      <c r="A2105"/>
      <c r="B2105"/>
      <c r="C2105"/>
      <c r="D2105"/>
      <c r="E2105"/>
    </row>
    <row r="2106" spans="1:5" ht="15" x14ac:dyDescent="0.25">
      <c r="A2106"/>
      <c r="B2106"/>
      <c r="C2106"/>
      <c r="D2106"/>
      <c r="E2106"/>
    </row>
    <row r="2107" spans="1:5" ht="15" x14ac:dyDescent="0.25">
      <c r="A2107"/>
      <c r="B2107"/>
      <c r="C2107"/>
      <c r="D2107"/>
      <c r="E2107"/>
    </row>
    <row r="2108" spans="1:5" ht="15" x14ac:dyDescent="0.25">
      <c r="A2108"/>
      <c r="B2108"/>
      <c r="C2108"/>
      <c r="D2108"/>
      <c r="E2108"/>
    </row>
    <row r="2109" spans="1:5" ht="15" x14ac:dyDescent="0.25">
      <c r="A2109"/>
      <c r="B2109"/>
      <c r="C2109"/>
      <c r="D2109"/>
      <c r="E2109"/>
    </row>
    <row r="2110" spans="1:5" ht="15" x14ac:dyDescent="0.25">
      <c r="A2110"/>
      <c r="B2110"/>
      <c r="C2110"/>
      <c r="D2110"/>
      <c r="E2110"/>
    </row>
    <row r="2111" spans="1:5" ht="15" x14ac:dyDescent="0.25">
      <c r="A2111"/>
      <c r="B2111"/>
      <c r="C2111"/>
      <c r="D2111"/>
      <c r="E2111"/>
    </row>
    <row r="2112" spans="1:5" ht="15" x14ac:dyDescent="0.25">
      <c r="A2112"/>
      <c r="B2112"/>
      <c r="C2112"/>
      <c r="D2112"/>
      <c r="E2112"/>
    </row>
    <row r="2113" spans="1:5" ht="15" x14ac:dyDescent="0.25">
      <c r="A2113"/>
      <c r="B2113"/>
      <c r="C2113"/>
      <c r="D2113"/>
      <c r="E2113"/>
    </row>
    <row r="2114" spans="1:5" ht="15" x14ac:dyDescent="0.25">
      <c r="A2114"/>
      <c r="B2114"/>
      <c r="C2114"/>
      <c r="D2114"/>
      <c r="E2114"/>
    </row>
    <row r="2115" spans="1:5" ht="15" x14ac:dyDescent="0.25">
      <c r="A2115"/>
      <c r="B2115"/>
      <c r="C2115"/>
      <c r="D2115"/>
      <c r="E2115"/>
    </row>
    <row r="2116" spans="1:5" ht="15" x14ac:dyDescent="0.25">
      <c r="A2116"/>
      <c r="B2116"/>
      <c r="C2116"/>
      <c r="D2116"/>
      <c r="E2116"/>
    </row>
    <row r="2117" spans="1:5" ht="15" x14ac:dyDescent="0.25">
      <c r="A2117"/>
      <c r="B2117"/>
      <c r="C2117"/>
      <c r="D2117"/>
      <c r="E2117"/>
    </row>
    <row r="2118" spans="1:5" ht="15" x14ac:dyDescent="0.25">
      <c r="A2118"/>
      <c r="B2118"/>
      <c r="C2118"/>
      <c r="D2118"/>
      <c r="E2118"/>
    </row>
    <row r="2119" spans="1:5" ht="15" x14ac:dyDescent="0.25">
      <c r="A2119"/>
      <c r="B2119"/>
      <c r="C2119"/>
      <c r="D2119"/>
      <c r="E2119"/>
    </row>
    <row r="2120" spans="1:5" ht="15" x14ac:dyDescent="0.25">
      <c r="A2120"/>
      <c r="B2120"/>
      <c r="C2120"/>
      <c r="D2120"/>
      <c r="E2120"/>
    </row>
    <row r="2121" spans="1:5" ht="15" x14ac:dyDescent="0.25">
      <c r="A2121"/>
      <c r="B2121"/>
      <c r="C2121"/>
      <c r="D2121"/>
      <c r="E2121"/>
    </row>
    <row r="2122" spans="1:5" ht="15" x14ac:dyDescent="0.25">
      <c r="A2122"/>
      <c r="B2122"/>
      <c r="C2122"/>
      <c r="D2122"/>
      <c r="E2122"/>
    </row>
    <row r="2123" spans="1:5" ht="15" x14ac:dyDescent="0.25">
      <c r="A2123"/>
      <c r="B2123"/>
      <c r="C2123"/>
      <c r="D2123"/>
      <c r="E2123"/>
    </row>
    <row r="2124" spans="1:5" ht="15" x14ac:dyDescent="0.25">
      <c r="A2124"/>
      <c r="B2124"/>
      <c r="C2124"/>
      <c r="D2124"/>
      <c r="E2124"/>
    </row>
    <row r="2125" spans="1:5" ht="15" x14ac:dyDescent="0.25">
      <c r="A2125"/>
      <c r="B2125"/>
      <c r="C2125"/>
      <c r="D2125"/>
      <c r="E2125"/>
    </row>
    <row r="2126" spans="1:5" ht="15" x14ac:dyDescent="0.25">
      <c r="A2126"/>
      <c r="B2126"/>
      <c r="C2126"/>
      <c r="D2126"/>
      <c r="E2126"/>
    </row>
    <row r="2127" spans="1:5" ht="15" x14ac:dyDescent="0.25">
      <c r="A2127"/>
      <c r="B2127"/>
      <c r="C2127"/>
      <c r="D2127"/>
      <c r="E2127"/>
    </row>
    <row r="2128" spans="1:5" ht="15" x14ac:dyDescent="0.25">
      <c r="A2128"/>
      <c r="B2128"/>
      <c r="C2128"/>
      <c r="D2128"/>
      <c r="E2128"/>
    </row>
    <row r="2129" spans="1:5" ht="15" x14ac:dyDescent="0.25">
      <c r="A2129"/>
      <c r="B2129"/>
      <c r="C2129"/>
      <c r="D2129"/>
      <c r="E2129"/>
    </row>
    <row r="2130" spans="1:5" ht="15" x14ac:dyDescent="0.25">
      <c r="A2130"/>
      <c r="B2130"/>
      <c r="C2130"/>
      <c r="D2130"/>
      <c r="E2130"/>
    </row>
    <row r="2131" spans="1:5" ht="15" x14ac:dyDescent="0.25">
      <c r="A2131"/>
      <c r="B2131"/>
      <c r="C2131"/>
      <c r="D2131"/>
      <c r="E2131"/>
    </row>
    <row r="2132" spans="1:5" ht="15" x14ac:dyDescent="0.25">
      <c r="A2132"/>
      <c r="B2132"/>
      <c r="C2132"/>
      <c r="D2132"/>
      <c r="E2132"/>
    </row>
    <row r="2133" spans="1:5" ht="15" x14ac:dyDescent="0.25">
      <c r="A2133"/>
      <c r="B2133"/>
      <c r="C2133"/>
      <c r="D2133"/>
      <c r="E2133"/>
    </row>
    <row r="2134" spans="1:5" ht="15" x14ac:dyDescent="0.25">
      <c r="A2134"/>
      <c r="B2134"/>
      <c r="C2134"/>
      <c r="D2134"/>
      <c r="E2134"/>
    </row>
    <row r="2135" spans="1:5" ht="15" x14ac:dyDescent="0.25">
      <c r="A2135"/>
      <c r="B2135"/>
      <c r="C2135"/>
      <c r="D2135"/>
      <c r="E2135"/>
    </row>
    <row r="2136" spans="1:5" ht="15" x14ac:dyDescent="0.25">
      <c r="A2136"/>
      <c r="B2136"/>
      <c r="C2136"/>
      <c r="D2136"/>
      <c r="E2136"/>
    </row>
    <row r="2137" spans="1:5" ht="15" x14ac:dyDescent="0.25">
      <c r="A2137"/>
      <c r="B2137"/>
      <c r="C2137"/>
      <c r="D2137"/>
      <c r="E2137"/>
    </row>
    <row r="2138" spans="1:5" ht="15" x14ac:dyDescent="0.25">
      <c r="A2138"/>
      <c r="B2138"/>
      <c r="C2138"/>
      <c r="D2138"/>
      <c r="E2138"/>
    </row>
    <row r="2139" spans="1:5" ht="15" x14ac:dyDescent="0.25">
      <c r="A2139"/>
      <c r="B2139"/>
      <c r="C2139"/>
      <c r="D2139"/>
      <c r="E2139"/>
    </row>
    <row r="2140" spans="1:5" ht="15" x14ac:dyDescent="0.25">
      <c r="A2140"/>
      <c r="B2140"/>
      <c r="C2140"/>
      <c r="D2140"/>
      <c r="E2140"/>
    </row>
    <row r="2141" spans="1:5" ht="15" x14ac:dyDescent="0.25">
      <c r="A2141"/>
      <c r="B2141"/>
      <c r="C2141"/>
      <c r="D2141"/>
      <c r="E2141"/>
    </row>
    <row r="2142" spans="1:5" ht="15" x14ac:dyDescent="0.25">
      <c r="A2142"/>
      <c r="B2142"/>
      <c r="C2142"/>
      <c r="D2142"/>
      <c r="E2142"/>
    </row>
    <row r="2143" spans="1:5" ht="15" x14ac:dyDescent="0.25">
      <c r="A2143"/>
      <c r="B2143"/>
      <c r="C2143"/>
      <c r="D2143"/>
      <c r="E2143"/>
    </row>
    <row r="2144" spans="1:5" ht="15" x14ac:dyDescent="0.25">
      <c r="A2144"/>
      <c r="B2144"/>
      <c r="C2144"/>
      <c r="D2144"/>
      <c r="E2144"/>
    </row>
    <row r="2145" spans="1:5" ht="15" x14ac:dyDescent="0.25">
      <c r="A2145"/>
      <c r="B2145"/>
      <c r="C2145"/>
      <c r="D2145"/>
      <c r="E2145"/>
    </row>
    <row r="2146" spans="1:5" ht="15" x14ac:dyDescent="0.25">
      <c r="A2146"/>
      <c r="B2146"/>
      <c r="C2146"/>
      <c r="D2146"/>
      <c r="E2146"/>
    </row>
    <row r="2147" spans="1:5" ht="15" x14ac:dyDescent="0.25">
      <c r="A2147"/>
      <c r="B2147"/>
      <c r="C2147"/>
      <c r="D2147"/>
      <c r="E2147"/>
    </row>
    <row r="2148" spans="1:5" ht="15" x14ac:dyDescent="0.25">
      <c r="A2148"/>
      <c r="B2148"/>
      <c r="C2148"/>
      <c r="D2148"/>
      <c r="E2148"/>
    </row>
    <row r="2149" spans="1:5" ht="15" x14ac:dyDescent="0.25">
      <c r="A2149"/>
      <c r="B2149"/>
      <c r="C2149"/>
      <c r="D2149"/>
      <c r="E2149"/>
    </row>
    <row r="2150" spans="1:5" ht="15" x14ac:dyDescent="0.25">
      <c r="A2150"/>
      <c r="B2150"/>
      <c r="C2150"/>
      <c r="D2150"/>
      <c r="E2150"/>
    </row>
    <row r="2151" spans="1:5" ht="15" x14ac:dyDescent="0.25">
      <c r="A2151"/>
      <c r="B2151"/>
      <c r="C2151"/>
      <c r="D2151"/>
      <c r="E2151"/>
    </row>
    <row r="2152" spans="1:5" ht="15" x14ac:dyDescent="0.25">
      <c r="A2152"/>
      <c r="B2152"/>
      <c r="C2152"/>
      <c r="D2152"/>
      <c r="E2152"/>
    </row>
    <row r="2153" spans="1:5" ht="15" x14ac:dyDescent="0.25">
      <c r="A2153"/>
      <c r="B2153"/>
      <c r="C2153"/>
      <c r="D2153"/>
      <c r="E2153"/>
    </row>
    <row r="2154" spans="1:5" ht="15" x14ac:dyDescent="0.25">
      <c r="A2154"/>
      <c r="B2154"/>
      <c r="C2154"/>
      <c r="D2154"/>
      <c r="E2154"/>
    </row>
    <row r="2155" spans="1:5" ht="15" x14ac:dyDescent="0.25">
      <c r="A2155"/>
      <c r="B2155"/>
      <c r="C2155"/>
      <c r="D2155"/>
      <c r="E2155"/>
    </row>
    <row r="2156" spans="1:5" ht="15" x14ac:dyDescent="0.25">
      <c r="A2156"/>
      <c r="B2156"/>
      <c r="C2156"/>
      <c r="D2156"/>
      <c r="E2156"/>
    </row>
    <row r="2157" spans="1:5" ht="15" x14ac:dyDescent="0.25">
      <c r="A2157"/>
      <c r="B2157"/>
      <c r="C2157"/>
      <c r="D2157"/>
      <c r="E2157"/>
    </row>
    <row r="2158" spans="1:5" ht="15" x14ac:dyDescent="0.25">
      <c r="A2158"/>
      <c r="B2158"/>
      <c r="C2158"/>
      <c r="D2158"/>
      <c r="E2158"/>
    </row>
    <row r="2159" spans="1:5" ht="15" x14ac:dyDescent="0.25">
      <c r="A2159"/>
      <c r="B2159"/>
      <c r="C2159"/>
      <c r="D2159"/>
      <c r="E2159"/>
    </row>
    <row r="2160" spans="1:5" ht="15" x14ac:dyDescent="0.25">
      <c r="A2160"/>
      <c r="B2160"/>
      <c r="C2160"/>
      <c r="D2160"/>
      <c r="E2160"/>
    </row>
    <row r="2161" spans="1:5" ht="15" x14ac:dyDescent="0.25">
      <c r="A2161"/>
      <c r="B2161"/>
      <c r="C2161"/>
      <c r="D2161"/>
      <c r="E2161"/>
    </row>
    <row r="2162" spans="1:5" ht="15" x14ac:dyDescent="0.25">
      <c r="A2162"/>
      <c r="B2162"/>
      <c r="C2162"/>
      <c r="D2162"/>
      <c r="E2162"/>
    </row>
    <row r="2163" spans="1:5" ht="15" x14ac:dyDescent="0.25">
      <c r="A2163"/>
      <c r="B2163"/>
      <c r="C2163"/>
      <c r="D2163"/>
      <c r="E2163"/>
    </row>
    <row r="2164" spans="1:5" ht="15" x14ac:dyDescent="0.25">
      <c r="A2164"/>
      <c r="B2164"/>
      <c r="C2164"/>
      <c r="D2164"/>
      <c r="E2164"/>
    </row>
    <row r="2165" spans="1:5" ht="15" x14ac:dyDescent="0.25">
      <c r="A2165"/>
      <c r="B2165"/>
      <c r="C2165"/>
      <c r="D2165"/>
      <c r="E2165"/>
    </row>
    <row r="2166" spans="1:5" ht="15" x14ac:dyDescent="0.25">
      <c r="A2166"/>
      <c r="B2166"/>
      <c r="C2166"/>
      <c r="D2166"/>
      <c r="E2166"/>
    </row>
    <row r="2167" spans="1:5" ht="15" x14ac:dyDescent="0.25">
      <c r="A2167"/>
      <c r="B2167"/>
      <c r="C2167"/>
      <c r="D2167"/>
      <c r="E2167"/>
    </row>
    <row r="2168" spans="1:5" ht="15" x14ac:dyDescent="0.25">
      <c r="A2168"/>
      <c r="B2168"/>
      <c r="C2168"/>
      <c r="D2168"/>
      <c r="E2168"/>
    </row>
    <row r="2169" spans="1:5" ht="15" x14ac:dyDescent="0.25">
      <c r="A2169"/>
      <c r="B2169"/>
      <c r="C2169"/>
      <c r="D2169"/>
      <c r="E2169"/>
    </row>
    <row r="2170" spans="1:5" ht="15" x14ac:dyDescent="0.25">
      <c r="A2170"/>
      <c r="B2170"/>
      <c r="C2170"/>
      <c r="D2170"/>
      <c r="E2170"/>
    </row>
    <row r="2171" spans="1:5" ht="15" x14ac:dyDescent="0.25">
      <c r="A2171"/>
      <c r="B2171"/>
      <c r="C2171"/>
      <c r="D2171"/>
      <c r="E2171"/>
    </row>
    <row r="2172" spans="1:5" ht="15" x14ac:dyDescent="0.25">
      <c r="A2172"/>
      <c r="B2172"/>
      <c r="C2172"/>
      <c r="D2172"/>
      <c r="E2172"/>
    </row>
    <row r="2173" spans="1:5" ht="15" x14ac:dyDescent="0.25">
      <c r="A2173"/>
      <c r="B2173"/>
      <c r="C2173"/>
      <c r="D2173"/>
      <c r="E2173"/>
    </row>
    <row r="2174" spans="1:5" ht="15" x14ac:dyDescent="0.25">
      <c r="A2174"/>
      <c r="B2174"/>
      <c r="C2174"/>
      <c r="D2174"/>
      <c r="E2174"/>
    </row>
    <row r="2175" spans="1:5" ht="15" x14ac:dyDescent="0.25">
      <c r="A2175"/>
      <c r="B2175"/>
      <c r="C2175"/>
      <c r="D2175"/>
      <c r="E2175"/>
    </row>
    <row r="2176" spans="1:5" ht="15" x14ac:dyDescent="0.25">
      <c r="A2176"/>
      <c r="B2176"/>
      <c r="C2176"/>
      <c r="D2176"/>
      <c r="E2176"/>
    </row>
    <row r="2177" spans="1:5" ht="15" x14ac:dyDescent="0.25">
      <c r="A2177"/>
      <c r="B2177"/>
      <c r="C2177"/>
      <c r="D2177"/>
      <c r="E2177"/>
    </row>
    <row r="2178" spans="1:5" ht="15" x14ac:dyDescent="0.25">
      <c r="A2178"/>
      <c r="B2178"/>
      <c r="C2178"/>
      <c r="D2178"/>
      <c r="E2178"/>
    </row>
    <row r="2179" spans="1:5" ht="15" x14ac:dyDescent="0.25">
      <c r="A2179"/>
      <c r="B2179"/>
      <c r="C2179"/>
      <c r="D2179"/>
      <c r="E2179"/>
    </row>
    <row r="2180" spans="1:5" ht="15" x14ac:dyDescent="0.25">
      <c r="A2180"/>
      <c r="B2180"/>
      <c r="C2180"/>
      <c r="D2180"/>
      <c r="E2180"/>
    </row>
    <row r="2181" spans="1:5" ht="15" x14ac:dyDescent="0.25">
      <c r="A2181"/>
      <c r="B2181"/>
      <c r="C2181"/>
      <c r="D2181"/>
      <c r="E2181"/>
    </row>
    <row r="2182" spans="1:5" ht="15" x14ac:dyDescent="0.25">
      <c r="A2182"/>
      <c r="B2182"/>
      <c r="C2182"/>
      <c r="D2182"/>
      <c r="E2182"/>
    </row>
    <row r="2183" spans="1:5" ht="15" x14ac:dyDescent="0.25">
      <c r="A2183"/>
      <c r="B2183"/>
      <c r="C2183"/>
      <c r="D2183"/>
      <c r="E2183"/>
    </row>
    <row r="2184" spans="1:5" ht="15" x14ac:dyDescent="0.25">
      <c r="A2184"/>
      <c r="B2184"/>
      <c r="C2184"/>
      <c r="D2184"/>
      <c r="E2184"/>
    </row>
    <row r="2185" spans="1:5" ht="15" x14ac:dyDescent="0.25">
      <c r="A2185"/>
      <c r="B2185"/>
      <c r="C2185"/>
      <c r="D2185"/>
      <c r="E2185"/>
    </row>
    <row r="2186" spans="1:5" ht="15" x14ac:dyDescent="0.25">
      <c r="A2186"/>
      <c r="B2186"/>
      <c r="C2186"/>
      <c r="D2186"/>
      <c r="E2186"/>
    </row>
    <row r="2187" spans="1:5" ht="15" x14ac:dyDescent="0.25">
      <c r="A2187"/>
      <c r="B2187"/>
      <c r="C2187"/>
      <c r="D2187"/>
      <c r="E2187"/>
    </row>
    <row r="2188" spans="1:5" ht="15" x14ac:dyDescent="0.25">
      <c r="A2188"/>
      <c r="B2188"/>
      <c r="C2188"/>
      <c r="D2188"/>
      <c r="E2188"/>
    </row>
    <row r="2189" spans="1:5" ht="15" x14ac:dyDescent="0.25">
      <c r="A2189"/>
      <c r="B2189"/>
      <c r="C2189"/>
      <c r="D2189"/>
      <c r="E2189"/>
    </row>
    <row r="2190" spans="1:5" ht="15" x14ac:dyDescent="0.25">
      <c r="A2190"/>
      <c r="B2190"/>
      <c r="C2190"/>
      <c r="D2190"/>
      <c r="E2190"/>
    </row>
    <row r="2191" spans="1:5" ht="15" x14ac:dyDescent="0.25">
      <c r="A2191"/>
      <c r="B2191"/>
      <c r="C2191"/>
      <c r="D2191"/>
      <c r="E2191"/>
    </row>
    <row r="2192" spans="1:5" ht="15" x14ac:dyDescent="0.25">
      <c r="A2192"/>
      <c r="B2192"/>
      <c r="C2192"/>
      <c r="D2192"/>
      <c r="E2192"/>
    </row>
    <row r="2193" spans="1:5" ht="15" x14ac:dyDescent="0.25">
      <c r="A2193"/>
      <c r="B2193"/>
      <c r="C2193"/>
      <c r="D2193"/>
      <c r="E2193"/>
    </row>
    <row r="2194" spans="1:5" ht="15" x14ac:dyDescent="0.25">
      <c r="A2194"/>
      <c r="B2194"/>
      <c r="C2194"/>
      <c r="D2194"/>
      <c r="E2194"/>
    </row>
    <row r="2195" spans="1:5" ht="15" x14ac:dyDescent="0.25">
      <c r="A2195"/>
      <c r="B2195"/>
      <c r="C2195"/>
      <c r="D2195"/>
      <c r="E2195"/>
    </row>
    <row r="2196" spans="1:5" ht="15" x14ac:dyDescent="0.25">
      <c r="A2196"/>
      <c r="B2196"/>
      <c r="C2196"/>
      <c r="D2196"/>
      <c r="E2196"/>
    </row>
    <row r="2197" spans="1:5" ht="15" x14ac:dyDescent="0.25">
      <c r="A2197"/>
      <c r="B2197"/>
      <c r="C2197"/>
      <c r="D2197"/>
      <c r="E2197"/>
    </row>
    <row r="2198" spans="1:5" ht="15" x14ac:dyDescent="0.25">
      <c r="A2198"/>
      <c r="B2198"/>
      <c r="C2198"/>
      <c r="D2198"/>
      <c r="E2198"/>
    </row>
    <row r="2199" spans="1:5" ht="15" x14ac:dyDescent="0.25">
      <c r="A2199"/>
      <c r="B2199"/>
      <c r="C2199"/>
      <c r="D2199"/>
      <c r="E2199"/>
    </row>
    <row r="2200" spans="1:5" ht="15" x14ac:dyDescent="0.25">
      <c r="A2200"/>
      <c r="B2200"/>
      <c r="C2200"/>
      <c r="D2200"/>
      <c r="E2200"/>
    </row>
    <row r="2201" spans="1:5" ht="15" x14ac:dyDescent="0.25">
      <c r="A2201"/>
      <c r="B2201"/>
      <c r="C2201"/>
      <c r="D2201"/>
      <c r="E2201"/>
    </row>
    <row r="2202" spans="1:5" ht="15" x14ac:dyDescent="0.25">
      <c r="A2202"/>
      <c r="B2202"/>
      <c r="C2202"/>
      <c r="D2202"/>
      <c r="E2202"/>
    </row>
    <row r="2203" spans="1:5" ht="15" x14ac:dyDescent="0.25">
      <c r="A2203"/>
      <c r="B2203"/>
      <c r="C2203"/>
      <c r="D2203"/>
      <c r="E2203"/>
    </row>
    <row r="2204" spans="1:5" ht="15" x14ac:dyDescent="0.25">
      <c r="A2204"/>
      <c r="B2204"/>
      <c r="C2204"/>
      <c r="D2204"/>
      <c r="E2204"/>
    </row>
    <row r="2205" spans="1:5" ht="15" x14ac:dyDescent="0.25">
      <c r="A2205"/>
      <c r="B2205"/>
      <c r="C2205"/>
      <c r="D2205"/>
      <c r="E2205"/>
    </row>
    <row r="2206" spans="1:5" ht="15" x14ac:dyDescent="0.25">
      <c r="A2206"/>
      <c r="B2206"/>
      <c r="C2206"/>
      <c r="D2206"/>
      <c r="E2206"/>
    </row>
    <row r="2207" spans="1:5" ht="15" x14ac:dyDescent="0.25">
      <c r="A2207"/>
      <c r="B2207"/>
      <c r="C2207"/>
      <c r="D2207"/>
      <c r="E2207"/>
    </row>
    <row r="2208" spans="1:5" ht="15" x14ac:dyDescent="0.25">
      <c r="A2208"/>
      <c r="B2208"/>
      <c r="C2208"/>
      <c r="D2208"/>
      <c r="E2208"/>
    </row>
    <row r="2209" spans="1:5" ht="15" x14ac:dyDescent="0.25">
      <c r="A2209"/>
      <c r="B2209"/>
      <c r="C2209"/>
      <c r="D2209"/>
      <c r="E2209"/>
    </row>
    <row r="2210" spans="1:5" ht="15" x14ac:dyDescent="0.25">
      <c r="A2210"/>
      <c r="B2210"/>
      <c r="C2210"/>
      <c r="D2210"/>
      <c r="E2210"/>
    </row>
    <row r="2211" spans="1:5" ht="15" x14ac:dyDescent="0.25">
      <c r="A2211"/>
      <c r="B2211"/>
      <c r="C2211"/>
      <c r="D2211"/>
      <c r="E2211"/>
    </row>
    <row r="2212" spans="1:5" ht="15" x14ac:dyDescent="0.25">
      <c r="A2212"/>
      <c r="B2212"/>
      <c r="C2212"/>
      <c r="D2212"/>
      <c r="E2212"/>
    </row>
    <row r="2213" spans="1:5" ht="15" x14ac:dyDescent="0.25">
      <c r="A2213"/>
      <c r="B2213"/>
      <c r="C2213"/>
      <c r="D2213"/>
      <c r="E2213"/>
    </row>
    <row r="2214" spans="1:5" ht="15" x14ac:dyDescent="0.25">
      <c r="A2214"/>
      <c r="B2214"/>
      <c r="C2214"/>
      <c r="D2214"/>
      <c r="E2214"/>
    </row>
    <row r="2215" spans="1:5" ht="15" x14ac:dyDescent="0.25">
      <c r="A2215"/>
      <c r="B2215"/>
      <c r="C2215"/>
      <c r="D2215"/>
      <c r="E2215"/>
    </row>
    <row r="2216" spans="1:5" ht="15" x14ac:dyDescent="0.25">
      <c r="A2216"/>
      <c r="B2216"/>
      <c r="C2216"/>
      <c r="D2216"/>
      <c r="E2216"/>
    </row>
    <row r="2217" spans="1:5" ht="15" x14ac:dyDescent="0.25">
      <c r="A2217"/>
      <c r="B2217"/>
      <c r="C2217"/>
      <c r="D2217"/>
      <c r="E2217"/>
    </row>
    <row r="2218" spans="1:5" ht="15" x14ac:dyDescent="0.25">
      <c r="A2218"/>
      <c r="B2218"/>
      <c r="C2218"/>
      <c r="D2218"/>
      <c r="E2218"/>
    </row>
    <row r="2219" spans="1:5" ht="15" x14ac:dyDescent="0.25">
      <c r="A2219"/>
      <c r="B2219"/>
      <c r="C2219"/>
      <c r="D2219"/>
      <c r="E2219"/>
    </row>
    <row r="2220" spans="1:5" ht="15" x14ac:dyDescent="0.25">
      <c r="A2220"/>
      <c r="B2220"/>
      <c r="C2220"/>
      <c r="D2220"/>
      <c r="E2220"/>
    </row>
    <row r="2221" spans="1:5" ht="15" x14ac:dyDescent="0.25">
      <c r="A2221"/>
      <c r="B2221"/>
      <c r="C2221"/>
      <c r="D2221"/>
      <c r="E2221"/>
    </row>
    <row r="2222" spans="1:5" ht="15" x14ac:dyDescent="0.25">
      <c r="A2222"/>
      <c r="B2222"/>
      <c r="C2222"/>
      <c r="D2222"/>
      <c r="E2222"/>
    </row>
    <row r="2223" spans="1:5" ht="15" x14ac:dyDescent="0.25">
      <c r="A2223"/>
      <c r="B2223"/>
      <c r="C2223"/>
      <c r="D2223"/>
      <c r="E2223"/>
    </row>
    <row r="2224" spans="1:5" ht="15" x14ac:dyDescent="0.25">
      <c r="A2224"/>
      <c r="B2224"/>
      <c r="C2224"/>
      <c r="D2224"/>
      <c r="E2224"/>
    </row>
    <row r="2225" spans="1:5" ht="15" x14ac:dyDescent="0.25">
      <c r="A2225"/>
      <c r="B2225"/>
      <c r="C2225"/>
      <c r="D2225"/>
      <c r="E2225"/>
    </row>
    <row r="2226" spans="1:5" ht="15" x14ac:dyDescent="0.25">
      <c r="A2226"/>
      <c r="B2226"/>
      <c r="C2226"/>
      <c r="D2226"/>
      <c r="E2226"/>
    </row>
    <row r="2227" spans="1:5" ht="15" x14ac:dyDescent="0.25">
      <c r="A2227"/>
      <c r="B2227"/>
      <c r="C2227"/>
      <c r="D2227"/>
      <c r="E2227"/>
    </row>
    <row r="2228" spans="1:5" ht="15" x14ac:dyDescent="0.25">
      <c r="A2228"/>
      <c r="B2228"/>
      <c r="C2228"/>
      <c r="D2228"/>
      <c r="E2228"/>
    </row>
    <row r="2229" spans="1:5" ht="15" x14ac:dyDescent="0.25">
      <c r="A2229"/>
      <c r="B2229"/>
      <c r="C2229"/>
      <c r="D2229"/>
      <c r="E2229"/>
    </row>
    <row r="2230" spans="1:5" ht="15" x14ac:dyDescent="0.25">
      <c r="A2230"/>
      <c r="B2230"/>
      <c r="C2230"/>
      <c r="D2230"/>
      <c r="E2230"/>
    </row>
    <row r="2231" spans="1:5" ht="15" x14ac:dyDescent="0.25">
      <c r="A2231"/>
      <c r="B2231"/>
      <c r="C2231"/>
      <c r="D2231"/>
      <c r="E2231"/>
    </row>
    <row r="2232" spans="1:5" ht="15" x14ac:dyDescent="0.25">
      <c r="A2232"/>
      <c r="B2232"/>
      <c r="C2232"/>
      <c r="D2232"/>
      <c r="E2232"/>
    </row>
    <row r="2233" spans="1:5" ht="15" x14ac:dyDescent="0.25">
      <c r="A2233"/>
      <c r="B2233"/>
      <c r="C2233"/>
      <c r="D2233"/>
      <c r="E2233"/>
    </row>
    <row r="2234" spans="1:5" ht="15" x14ac:dyDescent="0.25">
      <c r="A2234"/>
      <c r="B2234"/>
      <c r="C2234"/>
      <c r="D2234"/>
      <c r="E2234"/>
    </row>
    <row r="2235" spans="1:5" ht="15" x14ac:dyDescent="0.25">
      <c r="A2235"/>
      <c r="B2235"/>
      <c r="C2235"/>
      <c r="D2235"/>
      <c r="E2235"/>
    </row>
    <row r="2236" spans="1:5" ht="15" x14ac:dyDescent="0.25">
      <c r="A2236"/>
      <c r="B2236"/>
      <c r="C2236"/>
      <c r="D2236"/>
      <c r="E2236"/>
    </row>
    <row r="2237" spans="1:5" ht="15" x14ac:dyDescent="0.25">
      <c r="A2237"/>
      <c r="B2237"/>
      <c r="C2237"/>
      <c r="D2237"/>
      <c r="E2237"/>
    </row>
    <row r="2238" spans="1:5" ht="15" x14ac:dyDescent="0.25">
      <c r="A2238"/>
      <c r="B2238"/>
      <c r="C2238"/>
      <c r="D2238"/>
      <c r="E2238"/>
    </row>
    <row r="2239" spans="1:5" ht="15" x14ac:dyDescent="0.25">
      <c r="A2239"/>
      <c r="B2239"/>
      <c r="C2239"/>
      <c r="D2239"/>
      <c r="E2239"/>
    </row>
    <row r="2240" spans="1:5" ht="15" x14ac:dyDescent="0.25">
      <c r="A2240"/>
      <c r="B2240"/>
      <c r="C2240"/>
      <c r="D2240"/>
      <c r="E2240"/>
    </row>
    <row r="2241" spans="1:5" ht="15" x14ac:dyDescent="0.25">
      <c r="A2241"/>
      <c r="B2241"/>
      <c r="C2241"/>
      <c r="D2241"/>
      <c r="E2241"/>
    </row>
    <row r="2242" spans="1:5" ht="15" x14ac:dyDescent="0.25">
      <c r="A2242"/>
      <c r="B2242"/>
      <c r="C2242"/>
      <c r="D2242"/>
      <c r="E2242"/>
    </row>
    <row r="2243" spans="1:5" ht="15" x14ac:dyDescent="0.25">
      <c r="A2243"/>
      <c r="B2243"/>
      <c r="C2243"/>
      <c r="D2243"/>
      <c r="E2243"/>
    </row>
    <row r="2244" spans="1:5" ht="15" x14ac:dyDescent="0.25">
      <c r="A2244"/>
      <c r="B2244"/>
      <c r="C2244"/>
      <c r="D2244"/>
      <c r="E2244"/>
    </row>
    <row r="2245" spans="1:5" ht="15" x14ac:dyDescent="0.25">
      <c r="A2245"/>
      <c r="B2245"/>
      <c r="C2245"/>
      <c r="D2245"/>
      <c r="E2245"/>
    </row>
    <row r="2246" spans="1:5" ht="15" x14ac:dyDescent="0.25">
      <c r="A2246"/>
      <c r="B2246"/>
      <c r="C2246"/>
      <c r="D2246"/>
      <c r="E2246"/>
    </row>
    <row r="2247" spans="1:5" ht="15" x14ac:dyDescent="0.25">
      <c r="A2247"/>
      <c r="B2247"/>
      <c r="C2247"/>
      <c r="D2247"/>
      <c r="E2247"/>
    </row>
    <row r="2248" spans="1:5" ht="15" x14ac:dyDescent="0.25">
      <c r="A2248"/>
      <c r="B2248"/>
      <c r="C2248"/>
      <c r="D2248"/>
      <c r="E2248"/>
    </row>
    <row r="2249" spans="1:5" ht="15" x14ac:dyDescent="0.25">
      <c r="A2249"/>
      <c r="B2249"/>
      <c r="C2249"/>
      <c r="D2249"/>
      <c r="E2249"/>
    </row>
    <row r="2250" spans="1:5" ht="15" x14ac:dyDescent="0.25">
      <c r="A2250"/>
      <c r="B2250"/>
      <c r="C2250"/>
      <c r="D2250"/>
      <c r="E2250"/>
    </row>
    <row r="2251" spans="1:5" ht="15" x14ac:dyDescent="0.25">
      <c r="A2251"/>
      <c r="B2251"/>
      <c r="C2251"/>
      <c r="D2251"/>
      <c r="E2251"/>
    </row>
    <row r="2252" spans="1:5" ht="15" x14ac:dyDescent="0.25">
      <c r="A2252"/>
      <c r="B2252"/>
      <c r="C2252"/>
      <c r="D2252"/>
      <c r="E2252"/>
    </row>
    <row r="2253" spans="1:5" ht="15" x14ac:dyDescent="0.25">
      <c r="A2253"/>
      <c r="B2253"/>
      <c r="C2253"/>
      <c r="D2253"/>
      <c r="E2253"/>
    </row>
    <row r="2254" spans="1:5" ht="15" x14ac:dyDescent="0.25">
      <c r="A2254"/>
      <c r="B2254"/>
      <c r="C2254"/>
      <c r="D2254"/>
      <c r="E2254"/>
    </row>
    <row r="2255" spans="1:5" ht="15" x14ac:dyDescent="0.25">
      <c r="A2255"/>
      <c r="B2255"/>
      <c r="C2255"/>
      <c r="D2255"/>
      <c r="E2255"/>
    </row>
    <row r="2256" spans="1:5" ht="15" x14ac:dyDescent="0.25">
      <c r="A2256"/>
      <c r="B2256"/>
      <c r="C2256"/>
      <c r="D2256"/>
      <c r="E2256"/>
    </row>
    <row r="2257" spans="1:5" ht="15" x14ac:dyDescent="0.25">
      <c r="A2257"/>
      <c r="B2257"/>
      <c r="C2257"/>
      <c r="D2257"/>
      <c r="E2257"/>
    </row>
    <row r="2258" spans="1:5" ht="15" x14ac:dyDescent="0.25">
      <c r="A2258"/>
      <c r="B2258"/>
      <c r="C2258"/>
      <c r="D2258"/>
      <c r="E2258"/>
    </row>
    <row r="2259" spans="1:5" ht="15" x14ac:dyDescent="0.25">
      <c r="A2259"/>
      <c r="B2259"/>
      <c r="C2259"/>
      <c r="D2259"/>
      <c r="E2259"/>
    </row>
    <row r="2260" spans="1:5" ht="15" x14ac:dyDescent="0.25">
      <c r="A2260"/>
      <c r="B2260"/>
      <c r="C2260"/>
      <c r="D2260"/>
      <c r="E2260"/>
    </row>
    <row r="2261" spans="1:5" ht="15" x14ac:dyDescent="0.25">
      <c r="A2261"/>
      <c r="B2261"/>
      <c r="C2261"/>
      <c r="D2261"/>
      <c r="E2261"/>
    </row>
    <row r="2262" spans="1:5" ht="15" x14ac:dyDescent="0.25">
      <c r="A2262"/>
      <c r="B2262"/>
      <c r="C2262"/>
      <c r="D2262"/>
      <c r="E2262"/>
    </row>
    <row r="2263" spans="1:5" ht="15" x14ac:dyDescent="0.25">
      <c r="A2263"/>
      <c r="B2263"/>
      <c r="C2263"/>
      <c r="D2263"/>
      <c r="E2263"/>
    </row>
    <row r="2264" spans="1:5" ht="15" x14ac:dyDescent="0.25">
      <c r="A2264"/>
      <c r="B2264"/>
      <c r="C2264"/>
      <c r="D2264"/>
      <c r="E2264"/>
    </row>
    <row r="2265" spans="1:5" ht="15" x14ac:dyDescent="0.25">
      <c r="A2265"/>
      <c r="B2265"/>
      <c r="C2265"/>
      <c r="D2265"/>
      <c r="E2265"/>
    </row>
    <row r="2266" spans="1:5" ht="15" x14ac:dyDescent="0.25">
      <c r="A2266"/>
      <c r="B2266"/>
      <c r="C2266"/>
      <c r="D2266"/>
      <c r="E2266"/>
    </row>
    <row r="2267" spans="1:5" ht="15" x14ac:dyDescent="0.25">
      <c r="A2267"/>
      <c r="B2267"/>
      <c r="C2267"/>
      <c r="D2267"/>
      <c r="E2267"/>
    </row>
    <row r="2268" spans="1:5" ht="15" x14ac:dyDescent="0.25">
      <c r="A2268"/>
      <c r="B2268"/>
      <c r="C2268"/>
      <c r="D2268"/>
      <c r="E2268"/>
    </row>
    <row r="2269" spans="1:5" ht="15" x14ac:dyDescent="0.25">
      <c r="A2269"/>
      <c r="B2269"/>
      <c r="C2269"/>
      <c r="D2269"/>
      <c r="E2269"/>
    </row>
    <row r="2270" spans="1:5" ht="15" x14ac:dyDescent="0.25">
      <c r="A2270"/>
      <c r="B2270"/>
      <c r="C2270"/>
      <c r="D2270"/>
      <c r="E2270"/>
    </row>
    <row r="2271" spans="1:5" ht="15" x14ac:dyDescent="0.25">
      <c r="A2271"/>
      <c r="B2271"/>
      <c r="C2271"/>
      <c r="D2271"/>
      <c r="E2271"/>
    </row>
    <row r="2272" spans="1:5" ht="15" x14ac:dyDescent="0.25">
      <c r="A2272"/>
      <c r="B2272"/>
      <c r="C2272"/>
      <c r="D2272"/>
      <c r="E2272"/>
    </row>
    <row r="2273" spans="1:5" ht="15" x14ac:dyDescent="0.25">
      <c r="A2273"/>
      <c r="B2273"/>
      <c r="C2273"/>
      <c r="D2273"/>
      <c r="E2273"/>
    </row>
    <row r="2274" spans="1:5" ht="15" x14ac:dyDescent="0.25">
      <c r="A2274"/>
      <c r="B2274"/>
      <c r="C2274"/>
      <c r="D2274"/>
      <c r="E2274"/>
    </row>
    <row r="2275" spans="1:5" ht="15" x14ac:dyDescent="0.25">
      <c r="A2275"/>
      <c r="B2275"/>
      <c r="C2275"/>
      <c r="D2275"/>
      <c r="E2275"/>
    </row>
    <row r="2276" spans="1:5" ht="15" x14ac:dyDescent="0.25">
      <c r="A2276"/>
      <c r="B2276"/>
      <c r="C2276"/>
      <c r="D2276"/>
      <c r="E2276"/>
    </row>
    <row r="2277" spans="1:5" ht="15" x14ac:dyDescent="0.25">
      <c r="A2277"/>
      <c r="B2277"/>
      <c r="C2277"/>
      <c r="D2277"/>
      <c r="E2277"/>
    </row>
    <row r="2278" spans="1:5" ht="15" x14ac:dyDescent="0.25">
      <c r="A2278"/>
      <c r="B2278"/>
      <c r="C2278"/>
      <c r="D2278"/>
      <c r="E2278"/>
    </row>
    <row r="2279" spans="1:5" ht="15" x14ac:dyDescent="0.25">
      <c r="A2279"/>
      <c r="B2279"/>
      <c r="C2279"/>
      <c r="D2279"/>
      <c r="E2279"/>
    </row>
    <row r="2280" spans="1:5" ht="15" x14ac:dyDescent="0.25">
      <c r="A2280"/>
      <c r="B2280"/>
      <c r="C2280"/>
      <c r="D2280"/>
      <c r="E2280"/>
    </row>
    <row r="2281" spans="1:5" ht="15" x14ac:dyDescent="0.25">
      <c r="A2281"/>
      <c r="B2281"/>
      <c r="C2281"/>
      <c r="D2281"/>
      <c r="E2281"/>
    </row>
    <row r="2282" spans="1:5" ht="15" x14ac:dyDescent="0.25">
      <c r="A2282"/>
      <c r="B2282"/>
      <c r="C2282"/>
      <c r="D2282"/>
      <c r="E2282"/>
    </row>
    <row r="2283" spans="1:5" ht="15" x14ac:dyDescent="0.25">
      <c r="A2283"/>
      <c r="B2283"/>
      <c r="C2283"/>
      <c r="D2283"/>
      <c r="E2283"/>
    </row>
    <row r="2284" spans="1:5" ht="15" x14ac:dyDescent="0.25">
      <c r="A2284"/>
      <c r="B2284"/>
      <c r="C2284"/>
      <c r="D2284"/>
      <c r="E2284"/>
    </row>
    <row r="2285" spans="1:5" ht="15" x14ac:dyDescent="0.25">
      <c r="A2285"/>
      <c r="B2285"/>
      <c r="C2285"/>
      <c r="D2285"/>
      <c r="E2285"/>
    </row>
    <row r="2286" spans="1:5" ht="15" x14ac:dyDescent="0.25">
      <c r="A2286"/>
      <c r="B2286"/>
      <c r="C2286"/>
      <c r="D2286"/>
      <c r="E2286"/>
    </row>
    <row r="2287" spans="1:5" ht="15" x14ac:dyDescent="0.25">
      <c r="A2287"/>
      <c r="B2287"/>
      <c r="C2287"/>
      <c r="D2287"/>
      <c r="E2287"/>
    </row>
    <row r="2288" spans="1:5" ht="15" x14ac:dyDescent="0.25">
      <c r="A2288"/>
      <c r="B2288"/>
      <c r="C2288"/>
      <c r="D2288"/>
      <c r="E2288"/>
    </row>
    <row r="2289" spans="1:5" ht="15" x14ac:dyDescent="0.25">
      <c r="A2289"/>
      <c r="B2289"/>
      <c r="C2289"/>
      <c r="D2289"/>
      <c r="E2289"/>
    </row>
    <row r="2290" spans="1:5" ht="15" x14ac:dyDescent="0.25">
      <c r="A2290"/>
      <c r="B2290"/>
      <c r="C2290"/>
      <c r="D2290"/>
      <c r="E2290"/>
    </row>
    <row r="2291" spans="1:5" ht="15" x14ac:dyDescent="0.25">
      <c r="A2291"/>
      <c r="B2291"/>
      <c r="C2291"/>
      <c r="D2291"/>
      <c r="E2291"/>
    </row>
    <row r="2292" spans="1:5" ht="15" x14ac:dyDescent="0.25">
      <c r="A2292"/>
      <c r="B2292"/>
      <c r="C2292"/>
      <c r="D2292"/>
      <c r="E2292"/>
    </row>
    <row r="2293" spans="1:5" ht="15" x14ac:dyDescent="0.25">
      <c r="A2293"/>
      <c r="B2293"/>
      <c r="C2293"/>
      <c r="D2293"/>
      <c r="E2293"/>
    </row>
    <row r="2294" spans="1:5" ht="15" x14ac:dyDescent="0.25">
      <c r="A2294"/>
      <c r="B2294"/>
      <c r="C2294"/>
      <c r="D2294"/>
      <c r="E2294"/>
    </row>
    <row r="2295" spans="1:5" ht="15" x14ac:dyDescent="0.25">
      <c r="A2295"/>
      <c r="B2295"/>
      <c r="C2295"/>
      <c r="D2295"/>
      <c r="E2295"/>
    </row>
    <row r="2296" spans="1:5" ht="15" x14ac:dyDescent="0.25">
      <c r="A2296"/>
      <c r="B2296"/>
      <c r="C2296"/>
      <c r="D2296"/>
      <c r="E2296"/>
    </row>
    <row r="2297" spans="1:5" ht="15" x14ac:dyDescent="0.25">
      <c r="A2297"/>
      <c r="B2297"/>
      <c r="C2297"/>
      <c r="D2297"/>
      <c r="E2297"/>
    </row>
    <row r="2298" spans="1:5" ht="15" x14ac:dyDescent="0.25">
      <c r="A2298"/>
      <c r="B2298"/>
      <c r="C2298"/>
      <c r="D2298"/>
      <c r="E2298"/>
    </row>
    <row r="2299" spans="1:5" ht="15" x14ac:dyDescent="0.25">
      <c r="A2299"/>
      <c r="B2299"/>
      <c r="C2299"/>
      <c r="D2299"/>
      <c r="E2299"/>
    </row>
    <row r="2300" spans="1:5" ht="15" x14ac:dyDescent="0.25">
      <c r="A2300"/>
      <c r="B2300"/>
      <c r="C2300"/>
      <c r="D2300"/>
      <c r="E2300"/>
    </row>
    <row r="2301" spans="1:5" ht="15" x14ac:dyDescent="0.25">
      <c r="A2301"/>
      <c r="B2301"/>
      <c r="C2301"/>
      <c r="D2301"/>
      <c r="E2301"/>
    </row>
    <row r="2302" spans="1:5" ht="15" x14ac:dyDescent="0.25">
      <c r="A2302"/>
      <c r="B2302"/>
      <c r="C2302"/>
      <c r="D2302"/>
      <c r="E2302"/>
    </row>
    <row r="2303" spans="1:5" ht="15" x14ac:dyDescent="0.25">
      <c r="A2303"/>
      <c r="B2303"/>
      <c r="C2303"/>
      <c r="D2303"/>
      <c r="E2303"/>
    </row>
    <row r="2304" spans="1:5" ht="15" x14ac:dyDescent="0.25">
      <c r="A2304"/>
      <c r="B2304"/>
      <c r="C2304"/>
      <c r="D2304"/>
      <c r="E2304"/>
    </row>
    <row r="2305" spans="1:5" ht="15" x14ac:dyDescent="0.25">
      <c r="A2305"/>
      <c r="B2305"/>
      <c r="C2305"/>
      <c r="D2305"/>
      <c r="E2305"/>
    </row>
    <row r="2306" spans="1:5" ht="15" x14ac:dyDescent="0.25">
      <c r="A2306"/>
      <c r="B2306"/>
      <c r="C2306"/>
      <c r="D2306"/>
      <c r="E2306"/>
    </row>
    <row r="2307" spans="1:5" ht="15" x14ac:dyDescent="0.25">
      <c r="A2307"/>
      <c r="B2307"/>
      <c r="C2307"/>
      <c r="D2307"/>
      <c r="E2307"/>
    </row>
    <row r="2308" spans="1:5" ht="15" x14ac:dyDescent="0.25">
      <c r="A2308"/>
      <c r="B2308"/>
      <c r="C2308"/>
      <c r="D2308"/>
      <c r="E2308"/>
    </row>
    <row r="2309" spans="1:5" ht="15" x14ac:dyDescent="0.25">
      <c r="A2309"/>
      <c r="B2309"/>
      <c r="C2309"/>
      <c r="D2309"/>
      <c r="E2309"/>
    </row>
    <row r="2310" spans="1:5" ht="15" x14ac:dyDescent="0.25">
      <c r="A2310"/>
      <c r="B2310"/>
      <c r="C2310"/>
      <c r="D2310"/>
      <c r="E2310"/>
    </row>
    <row r="2311" spans="1:5" ht="15" x14ac:dyDescent="0.25">
      <c r="A2311"/>
      <c r="B2311"/>
      <c r="C2311"/>
      <c r="D2311"/>
      <c r="E2311"/>
    </row>
    <row r="2312" spans="1:5" ht="15" x14ac:dyDescent="0.25">
      <c r="A2312"/>
      <c r="B2312"/>
      <c r="C2312"/>
      <c r="D2312"/>
      <c r="E2312"/>
    </row>
    <row r="2313" spans="1:5" ht="15" x14ac:dyDescent="0.25">
      <c r="A2313"/>
      <c r="B2313"/>
      <c r="C2313"/>
      <c r="D2313"/>
      <c r="E2313"/>
    </row>
    <row r="2314" spans="1:5" ht="15" x14ac:dyDescent="0.25">
      <c r="A2314"/>
      <c r="B2314"/>
      <c r="C2314"/>
      <c r="D2314"/>
      <c r="E2314"/>
    </row>
    <row r="2315" spans="1:5" ht="15" x14ac:dyDescent="0.25">
      <c r="A2315"/>
      <c r="B2315"/>
      <c r="C2315"/>
      <c r="D2315"/>
      <c r="E2315"/>
    </row>
    <row r="2316" spans="1:5" ht="15" x14ac:dyDescent="0.25">
      <c r="A2316"/>
      <c r="B2316"/>
      <c r="C2316"/>
      <c r="D2316"/>
      <c r="E2316"/>
    </row>
    <row r="2317" spans="1:5" ht="15" x14ac:dyDescent="0.25">
      <c r="A2317"/>
      <c r="B2317"/>
      <c r="C2317"/>
      <c r="D2317"/>
      <c r="E2317"/>
    </row>
    <row r="2318" spans="1:5" ht="15" x14ac:dyDescent="0.25">
      <c r="A2318"/>
      <c r="B2318"/>
      <c r="C2318"/>
      <c r="D2318"/>
      <c r="E2318"/>
    </row>
    <row r="2319" spans="1:5" ht="15" x14ac:dyDescent="0.25">
      <c r="A2319"/>
      <c r="B2319"/>
      <c r="C2319"/>
      <c r="D2319"/>
      <c r="E2319"/>
    </row>
    <row r="2320" spans="1:5" ht="15" x14ac:dyDescent="0.25">
      <c r="A2320"/>
      <c r="B2320"/>
      <c r="C2320"/>
      <c r="D2320"/>
      <c r="E2320"/>
    </row>
    <row r="2321" spans="1:5" ht="15" x14ac:dyDescent="0.25">
      <c r="A2321"/>
      <c r="B2321"/>
      <c r="C2321"/>
      <c r="D2321"/>
      <c r="E2321"/>
    </row>
    <row r="2322" spans="1:5" ht="15" x14ac:dyDescent="0.25">
      <c r="A2322"/>
      <c r="B2322"/>
      <c r="C2322"/>
      <c r="D2322"/>
      <c r="E2322"/>
    </row>
    <row r="2323" spans="1:5" ht="15" x14ac:dyDescent="0.25">
      <c r="A2323"/>
      <c r="B2323"/>
      <c r="C2323"/>
      <c r="D2323"/>
      <c r="E2323"/>
    </row>
    <row r="2324" spans="1:5" ht="15" x14ac:dyDescent="0.25">
      <c r="A2324"/>
      <c r="B2324"/>
      <c r="C2324"/>
      <c r="D2324"/>
      <c r="E2324"/>
    </row>
    <row r="2325" spans="1:5" ht="15" x14ac:dyDescent="0.25">
      <c r="A2325"/>
      <c r="B2325"/>
      <c r="C2325"/>
      <c r="D2325"/>
      <c r="E2325"/>
    </row>
    <row r="2326" spans="1:5" ht="15" x14ac:dyDescent="0.25">
      <c r="A2326"/>
      <c r="B2326"/>
      <c r="C2326"/>
      <c r="D2326"/>
      <c r="E2326"/>
    </row>
    <row r="2327" spans="1:5" ht="15" x14ac:dyDescent="0.25">
      <c r="A2327"/>
      <c r="B2327"/>
      <c r="C2327"/>
      <c r="D2327"/>
      <c r="E2327"/>
    </row>
    <row r="2328" spans="1:5" ht="15" x14ac:dyDescent="0.25">
      <c r="A2328"/>
      <c r="B2328"/>
      <c r="C2328"/>
      <c r="D2328"/>
      <c r="E2328"/>
    </row>
    <row r="2329" spans="1:5" ht="15" x14ac:dyDescent="0.25">
      <c r="A2329"/>
      <c r="B2329"/>
      <c r="C2329"/>
      <c r="D2329"/>
      <c r="E2329"/>
    </row>
    <row r="2330" spans="1:5" ht="15" x14ac:dyDescent="0.25">
      <c r="A2330"/>
      <c r="B2330"/>
      <c r="C2330"/>
      <c r="D2330"/>
      <c r="E2330"/>
    </row>
    <row r="2331" spans="1:5" ht="15" x14ac:dyDescent="0.25">
      <c r="A2331"/>
      <c r="B2331"/>
      <c r="C2331"/>
      <c r="D2331"/>
      <c r="E2331"/>
    </row>
    <row r="2332" spans="1:5" ht="15" x14ac:dyDescent="0.25">
      <c r="A2332"/>
      <c r="B2332"/>
      <c r="C2332"/>
      <c r="D2332"/>
      <c r="E2332"/>
    </row>
    <row r="2333" spans="1:5" ht="15" x14ac:dyDescent="0.25">
      <c r="A2333"/>
      <c r="B2333"/>
      <c r="C2333"/>
      <c r="D2333"/>
      <c r="E2333"/>
    </row>
    <row r="2334" spans="1:5" ht="15" x14ac:dyDescent="0.25">
      <c r="A2334"/>
      <c r="B2334"/>
      <c r="C2334"/>
      <c r="D2334"/>
      <c r="E2334"/>
    </row>
    <row r="2335" spans="1:5" ht="15" x14ac:dyDescent="0.25">
      <c r="A2335"/>
      <c r="B2335"/>
      <c r="C2335"/>
      <c r="D2335"/>
      <c r="E2335"/>
    </row>
    <row r="2336" spans="1:5" ht="15" x14ac:dyDescent="0.25">
      <c r="A2336"/>
      <c r="B2336"/>
      <c r="C2336"/>
      <c r="D2336"/>
      <c r="E2336"/>
    </row>
    <row r="2337" spans="1:5" ht="15" x14ac:dyDescent="0.25">
      <c r="A2337"/>
      <c r="B2337"/>
      <c r="C2337"/>
      <c r="D2337"/>
      <c r="E2337"/>
    </row>
    <row r="2338" spans="1:5" ht="15" x14ac:dyDescent="0.25">
      <c r="A2338"/>
      <c r="B2338"/>
      <c r="C2338"/>
      <c r="D2338"/>
      <c r="E2338"/>
    </row>
    <row r="2339" spans="1:5" ht="15" x14ac:dyDescent="0.25">
      <c r="A2339"/>
      <c r="B2339"/>
      <c r="C2339"/>
      <c r="D2339"/>
      <c r="E2339"/>
    </row>
    <row r="2340" spans="1:5" ht="15" x14ac:dyDescent="0.25">
      <c r="A2340"/>
      <c r="B2340"/>
      <c r="C2340"/>
      <c r="D2340"/>
      <c r="E2340"/>
    </row>
    <row r="2341" spans="1:5" ht="15" x14ac:dyDescent="0.25">
      <c r="A2341"/>
      <c r="B2341"/>
      <c r="C2341"/>
      <c r="D2341"/>
      <c r="E2341"/>
    </row>
    <row r="2342" spans="1:5" ht="15" x14ac:dyDescent="0.25">
      <c r="A2342"/>
      <c r="B2342"/>
      <c r="C2342"/>
      <c r="D2342"/>
      <c r="E2342"/>
    </row>
    <row r="2343" spans="1:5" ht="15" x14ac:dyDescent="0.25">
      <c r="A2343"/>
      <c r="B2343"/>
      <c r="C2343"/>
      <c r="D2343"/>
      <c r="E2343"/>
    </row>
    <row r="2344" spans="1:5" ht="15" x14ac:dyDescent="0.25">
      <c r="A2344"/>
      <c r="B2344"/>
      <c r="C2344"/>
      <c r="D2344"/>
      <c r="E2344"/>
    </row>
    <row r="2345" spans="1:5" ht="15" x14ac:dyDescent="0.25">
      <c r="A2345"/>
      <c r="B2345"/>
      <c r="C2345"/>
      <c r="D2345"/>
      <c r="E2345"/>
    </row>
    <row r="2346" spans="1:5" ht="15" x14ac:dyDescent="0.25">
      <c r="A2346"/>
      <c r="B2346"/>
      <c r="C2346"/>
      <c r="D2346"/>
      <c r="E2346"/>
    </row>
    <row r="2347" spans="1:5" ht="15" x14ac:dyDescent="0.25">
      <c r="A2347"/>
      <c r="B2347"/>
      <c r="C2347"/>
      <c r="D2347"/>
      <c r="E2347"/>
    </row>
    <row r="2348" spans="1:5" ht="15" x14ac:dyDescent="0.25">
      <c r="A2348"/>
      <c r="B2348"/>
      <c r="C2348"/>
      <c r="D2348"/>
      <c r="E2348"/>
    </row>
    <row r="2349" spans="1:5" ht="15" x14ac:dyDescent="0.25">
      <c r="A2349"/>
      <c r="B2349"/>
      <c r="C2349"/>
      <c r="D2349"/>
      <c r="E2349"/>
    </row>
    <row r="2350" spans="1:5" ht="15" x14ac:dyDescent="0.25">
      <c r="A2350"/>
      <c r="B2350"/>
      <c r="C2350"/>
      <c r="D2350"/>
      <c r="E2350"/>
    </row>
    <row r="2351" spans="1:5" ht="15" x14ac:dyDescent="0.25">
      <c r="A2351"/>
      <c r="B2351"/>
      <c r="C2351"/>
      <c r="D2351"/>
      <c r="E2351"/>
    </row>
    <row r="2352" spans="1:5" ht="15" x14ac:dyDescent="0.25">
      <c r="A2352"/>
      <c r="B2352"/>
      <c r="C2352"/>
      <c r="D2352"/>
      <c r="E2352"/>
    </row>
    <row r="2353" spans="1:5" ht="15" x14ac:dyDescent="0.25">
      <c r="A2353"/>
      <c r="B2353"/>
      <c r="C2353"/>
      <c r="D2353"/>
      <c r="E2353"/>
    </row>
    <row r="2354" spans="1:5" ht="15" x14ac:dyDescent="0.25">
      <c r="A2354"/>
      <c r="B2354"/>
      <c r="C2354"/>
      <c r="D2354"/>
      <c r="E2354"/>
    </row>
    <row r="2355" spans="1:5" ht="15" x14ac:dyDescent="0.25">
      <c r="A2355"/>
      <c r="B2355"/>
      <c r="C2355"/>
      <c r="D2355"/>
      <c r="E2355"/>
    </row>
    <row r="2356" spans="1:5" ht="15" x14ac:dyDescent="0.25">
      <c r="A2356"/>
      <c r="B2356"/>
      <c r="C2356"/>
      <c r="D2356"/>
      <c r="E2356"/>
    </row>
    <row r="2357" spans="1:5" ht="15" x14ac:dyDescent="0.25">
      <c r="A2357"/>
      <c r="B2357"/>
      <c r="C2357"/>
      <c r="D2357"/>
      <c r="E2357"/>
    </row>
    <row r="2358" spans="1:5" ht="15" x14ac:dyDescent="0.25">
      <c r="A2358"/>
      <c r="B2358"/>
      <c r="C2358"/>
      <c r="D2358"/>
      <c r="E2358"/>
    </row>
    <row r="2359" spans="1:5" ht="15" x14ac:dyDescent="0.25">
      <c r="A2359"/>
      <c r="B2359"/>
      <c r="C2359"/>
      <c r="D2359"/>
      <c r="E2359"/>
    </row>
    <row r="2360" spans="1:5" ht="15" x14ac:dyDescent="0.25">
      <c r="A2360"/>
      <c r="B2360"/>
      <c r="C2360"/>
      <c r="D2360"/>
      <c r="E2360"/>
    </row>
    <row r="2361" spans="1:5" ht="15" x14ac:dyDescent="0.25">
      <c r="A2361"/>
      <c r="B2361"/>
      <c r="C2361"/>
      <c r="D2361"/>
      <c r="E2361"/>
    </row>
    <row r="2362" spans="1:5" ht="15" x14ac:dyDescent="0.25">
      <c r="A2362"/>
      <c r="B2362"/>
      <c r="C2362"/>
      <c r="D2362"/>
      <c r="E2362"/>
    </row>
    <row r="2363" spans="1:5" ht="15" x14ac:dyDescent="0.25">
      <c r="A2363"/>
      <c r="B2363"/>
      <c r="C2363"/>
      <c r="D2363"/>
      <c r="E2363"/>
    </row>
    <row r="2364" spans="1:5" ht="15" x14ac:dyDescent="0.25">
      <c r="A2364"/>
      <c r="B2364"/>
      <c r="C2364"/>
      <c r="D2364"/>
      <c r="E2364"/>
    </row>
    <row r="2365" spans="1:5" ht="15" x14ac:dyDescent="0.25">
      <c r="A2365"/>
      <c r="B2365"/>
      <c r="C2365"/>
      <c r="D2365"/>
      <c r="E2365"/>
    </row>
    <row r="2366" spans="1:5" ht="15" x14ac:dyDescent="0.25">
      <c r="A2366"/>
      <c r="B2366"/>
      <c r="C2366"/>
      <c r="D2366"/>
      <c r="E2366"/>
    </row>
    <row r="2367" spans="1:5" ht="15" x14ac:dyDescent="0.25">
      <c r="A2367"/>
      <c r="B2367"/>
      <c r="C2367"/>
      <c r="D2367"/>
      <c r="E2367"/>
    </row>
    <row r="2368" spans="1:5" ht="15" x14ac:dyDescent="0.25">
      <c r="A2368"/>
      <c r="B2368"/>
      <c r="C2368"/>
      <c r="D2368"/>
      <c r="E2368"/>
    </row>
    <row r="2369" spans="1:5" ht="15" x14ac:dyDescent="0.25">
      <c r="A2369"/>
      <c r="B2369"/>
      <c r="C2369"/>
      <c r="D2369"/>
      <c r="E2369"/>
    </row>
    <row r="2370" spans="1:5" ht="15" x14ac:dyDescent="0.25">
      <c r="A2370"/>
      <c r="B2370"/>
      <c r="C2370"/>
      <c r="D2370"/>
      <c r="E2370"/>
    </row>
    <row r="2371" spans="1:5" ht="15" x14ac:dyDescent="0.25">
      <c r="A2371"/>
      <c r="B2371"/>
      <c r="C2371"/>
      <c r="D2371"/>
      <c r="E2371"/>
    </row>
    <row r="2372" spans="1:5" ht="15" x14ac:dyDescent="0.25">
      <c r="A2372"/>
      <c r="B2372"/>
      <c r="C2372"/>
      <c r="D2372"/>
      <c r="E2372"/>
    </row>
    <row r="2373" spans="1:5" ht="15" x14ac:dyDescent="0.25">
      <c r="A2373"/>
      <c r="B2373"/>
      <c r="C2373"/>
      <c r="D2373"/>
      <c r="E2373"/>
    </row>
    <row r="2374" spans="1:5" ht="15" x14ac:dyDescent="0.25">
      <c r="A2374"/>
      <c r="B2374"/>
      <c r="C2374"/>
      <c r="D2374"/>
      <c r="E2374"/>
    </row>
    <row r="2375" spans="1:5" ht="15" x14ac:dyDescent="0.25">
      <c r="A2375"/>
      <c r="B2375"/>
      <c r="C2375"/>
      <c r="D2375"/>
      <c r="E2375"/>
    </row>
    <row r="2376" spans="1:5" ht="15" x14ac:dyDescent="0.25">
      <c r="A2376"/>
      <c r="B2376"/>
      <c r="C2376"/>
      <c r="D2376"/>
      <c r="E2376"/>
    </row>
    <row r="2377" spans="1:5" ht="15" x14ac:dyDescent="0.25">
      <c r="A2377"/>
      <c r="B2377"/>
      <c r="C2377"/>
      <c r="D2377"/>
      <c r="E2377"/>
    </row>
    <row r="2378" spans="1:5" ht="15" x14ac:dyDescent="0.25">
      <c r="A2378"/>
      <c r="B2378"/>
      <c r="C2378"/>
      <c r="D2378"/>
      <c r="E2378"/>
    </row>
    <row r="2379" spans="1:5" ht="15" x14ac:dyDescent="0.25">
      <c r="A2379"/>
      <c r="B2379"/>
      <c r="C2379"/>
      <c r="D2379"/>
      <c r="E2379"/>
    </row>
    <row r="2380" spans="1:5" ht="15" x14ac:dyDescent="0.25">
      <c r="A2380"/>
      <c r="B2380"/>
      <c r="C2380"/>
      <c r="D2380"/>
      <c r="E2380"/>
    </row>
    <row r="2381" spans="1:5" ht="15" x14ac:dyDescent="0.25">
      <c r="A2381"/>
      <c r="B2381"/>
      <c r="C2381"/>
      <c r="D2381"/>
      <c r="E2381"/>
    </row>
    <row r="2382" spans="1:5" ht="15" x14ac:dyDescent="0.25">
      <c r="A2382"/>
      <c r="B2382"/>
      <c r="C2382"/>
      <c r="D2382"/>
      <c r="E2382"/>
    </row>
    <row r="2383" spans="1:5" ht="15" x14ac:dyDescent="0.25">
      <c r="A2383"/>
      <c r="B2383"/>
      <c r="C2383"/>
      <c r="D2383"/>
      <c r="E2383"/>
    </row>
    <row r="2384" spans="1:5" ht="15" x14ac:dyDescent="0.25">
      <c r="A2384"/>
      <c r="B2384"/>
      <c r="C2384"/>
      <c r="D2384"/>
      <c r="E2384"/>
    </row>
    <row r="2385" spans="1:5" ht="15" x14ac:dyDescent="0.25">
      <c r="A2385"/>
      <c r="B2385"/>
      <c r="C2385"/>
      <c r="D2385"/>
      <c r="E2385"/>
    </row>
    <row r="2386" spans="1:5" ht="15" x14ac:dyDescent="0.25">
      <c r="A2386"/>
      <c r="B2386"/>
      <c r="C2386"/>
      <c r="D2386"/>
      <c r="E2386"/>
    </row>
    <row r="2387" spans="1:5" ht="15" x14ac:dyDescent="0.25">
      <c r="A2387"/>
      <c r="B2387"/>
      <c r="C2387"/>
      <c r="D2387"/>
      <c r="E2387"/>
    </row>
    <row r="2388" spans="1:5" ht="15" x14ac:dyDescent="0.25">
      <c r="A2388"/>
      <c r="B2388"/>
      <c r="C2388"/>
      <c r="D2388"/>
      <c r="E2388"/>
    </row>
    <row r="2389" spans="1:5" ht="15" x14ac:dyDescent="0.25">
      <c r="A2389"/>
      <c r="B2389"/>
      <c r="C2389"/>
      <c r="D2389"/>
      <c r="E2389"/>
    </row>
    <row r="2390" spans="1:5" ht="15" x14ac:dyDescent="0.25">
      <c r="A2390"/>
      <c r="B2390"/>
      <c r="C2390"/>
      <c r="D2390"/>
      <c r="E2390"/>
    </row>
    <row r="2391" spans="1:5" ht="15" x14ac:dyDescent="0.25">
      <c r="A2391"/>
      <c r="B2391"/>
      <c r="C2391"/>
      <c r="D2391"/>
      <c r="E2391"/>
    </row>
    <row r="2392" spans="1:5" ht="15" x14ac:dyDescent="0.25">
      <c r="A2392"/>
      <c r="B2392"/>
      <c r="C2392"/>
      <c r="D2392"/>
      <c r="E2392"/>
    </row>
    <row r="2393" spans="1:5" ht="15" x14ac:dyDescent="0.25">
      <c r="A2393"/>
      <c r="B2393"/>
      <c r="C2393"/>
      <c r="D2393"/>
      <c r="E2393"/>
    </row>
    <row r="2394" spans="1:5" ht="15" x14ac:dyDescent="0.25">
      <c r="A2394"/>
      <c r="B2394"/>
      <c r="C2394"/>
      <c r="D2394"/>
      <c r="E2394"/>
    </row>
    <row r="2395" spans="1:5" ht="15" x14ac:dyDescent="0.25">
      <c r="A2395"/>
      <c r="B2395"/>
      <c r="C2395"/>
      <c r="D2395"/>
      <c r="E2395"/>
    </row>
    <row r="2396" spans="1:5" ht="15" x14ac:dyDescent="0.25">
      <c r="A2396"/>
      <c r="B2396"/>
      <c r="C2396"/>
      <c r="D2396"/>
      <c r="E2396"/>
    </row>
    <row r="2397" spans="1:5" ht="15" x14ac:dyDescent="0.25">
      <c r="A2397"/>
      <c r="B2397"/>
      <c r="C2397"/>
      <c r="D2397"/>
      <c r="E2397"/>
    </row>
    <row r="2398" spans="1:5" ht="15" x14ac:dyDescent="0.25">
      <c r="A2398"/>
      <c r="B2398"/>
      <c r="C2398"/>
      <c r="D2398"/>
      <c r="E2398"/>
    </row>
    <row r="2399" spans="1:5" ht="15" x14ac:dyDescent="0.25">
      <c r="A2399"/>
      <c r="B2399"/>
      <c r="C2399"/>
      <c r="D2399"/>
      <c r="E2399"/>
    </row>
    <row r="2400" spans="1:5" ht="15" x14ac:dyDescent="0.25">
      <c r="A2400"/>
      <c r="B2400"/>
      <c r="C2400"/>
      <c r="D2400"/>
      <c r="E2400"/>
    </row>
    <row r="2401" spans="1:5" ht="15" x14ac:dyDescent="0.25">
      <c r="A2401"/>
      <c r="B2401"/>
      <c r="C2401"/>
      <c r="D2401"/>
      <c r="E2401"/>
    </row>
    <row r="2402" spans="1:5" ht="15" x14ac:dyDescent="0.25">
      <c r="A2402"/>
      <c r="B2402"/>
      <c r="C2402"/>
      <c r="D2402"/>
      <c r="E2402"/>
    </row>
    <row r="2403" spans="1:5" ht="15" x14ac:dyDescent="0.25">
      <c r="A2403"/>
      <c r="B2403"/>
      <c r="C2403"/>
      <c r="D2403"/>
      <c r="E2403"/>
    </row>
    <row r="2404" spans="1:5" ht="15" x14ac:dyDescent="0.25">
      <c r="A2404"/>
      <c r="B2404"/>
      <c r="C2404"/>
      <c r="D2404"/>
      <c r="E2404"/>
    </row>
    <row r="2405" spans="1:5" ht="15" x14ac:dyDescent="0.25">
      <c r="A2405"/>
      <c r="B2405"/>
      <c r="C2405"/>
      <c r="D2405"/>
      <c r="E2405"/>
    </row>
    <row r="2406" spans="1:5" ht="15" x14ac:dyDescent="0.25">
      <c r="A2406"/>
      <c r="B2406"/>
      <c r="C2406"/>
      <c r="D2406"/>
      <c r="E2406"/>
    </row>
    <row r="2407" spans="1:5" ht="15" x14ac:dyDescent="0.25">
      <c r="A2407"/>
      <c r="B2407"/>
      <c r="C2407"/>
      <c r="D2407"/>
      <c r="E2407"/>
    </row>
    <row r="2408" spans="1:5" ht="15" x14ac:dyDescent="0.25">
      <c r="A2408"/>
      <c r="B2408"/>
      <c r="C2408"/>
      <c r="D2408"/>
      <c r="E2408"/>
    </row>
    <row r="2409" spans="1:5" ht="15" x14ac:dyDescent="0.25">
      <c r="A2409"/>
      <c r="B2409"/>
      <c r="C2409"/>
      <c r="D2409"/>
      <c r="E2409"/>
    </row>
    <row r="2410" spans="1:5" ht="15" x14ac:dyDescent="0.25">
      <c r="A2410"/>
      <c r="B2410"/>
      <c r="C2410"/>
      <c r="D2410"/>
      <c r="E2410"/>
    </row>
    <row r="2411" spans="1:5" ht="15" x14ac:dyDescent="0.25">
      <c r="A2411"/>
      <c r="B2411"/>
      <c r="C2411"/>
      <c r="D2411"/>
      <c r="E2411"/>
    </row>
    <row r="2412" spans="1:5" ht="15" x14ac:dyDescent="0.25">
      <c r="A2412"/>
      <c r="B2412"/>
      <c r="C2412"/>
      <c r="D2412"/>
      <c r="E2412"/>
    </row>
    <row r="2413" spans="1:5" ht="15" x14ac:dyDescent="0.25">
      <c r="A2413"/>
      <c r="B2413"/>
      <c r="C2413"/>
      <c r="D2413"/>
      <c r="E2413"/>
    </row>
    <row r="2414" spans="1:5" ht="15" x14ac:dyDescent="0.25">
      <c r="A2414"/>
      <c r="B2414"/>
      <c r="C2414"/>
      <c r="D2414"/>
      <c r="E2414"/>
    </row>
    <row r="2415" spans="1:5" ht="15" x14ac:dyDescent="0.25">
      <c r="A2415"/>
      <c r="B2415"/>
      <c r="C2415"/>
      <c r="D2415"/>
      <c r="E2415"/>
    </row>
    <row r="2416" spans="1:5" ht="15" x14ac:dyDescent="0.25">
      <c r="A2416"/>
      <c r="B2416"/>
      <c r="C2416"/>
      <c r="D2416"/>
      <c r="E2416"/>
    </row>
    <row r="2417" spans="1:5" ht="15" x14ac:dyDescent="0.25">
      <c r="A2417"/>
      <c r="B2417"/>
      <c r="C2417"/>
      <c r="D2417"/>
      <c r="E2417"/>
    </row>
    <row r="2418" spans="1:5" ht="15" x14ac:dyDescent="0.25">
      <c r="A2418"/>
      <c r="B2418"/>
      <c r="C2418"/>
      <c r="D2418"/>
      <c r="E2418"/>
    </row>
    <row r="2419" spans="1:5" ht="15" x14ac:dyDescent="0.25">
      <c r="A2419"/>
      <c r="B2419"/>
      <c r="C2419"/>
      <c r="D2419"/>
      <c r="E2419"/>
    </row>
    <row r="2420" spans="1:5" ht="15" x14ac:dyDescent="0.25">
      <c r="A2420"/>
      <c r="B2420"/>
      <c r="C2420"/>
      <c r="D2420"/>
      <c r="E2420"/>
    </row>
    <row r="2421" spans="1:5" ht="15" x14ac:dyDescent="0.25">
      <c r="A2421"/>
      <c r="B2421"/>
      <c r="C2421"/>
      <c r="D2421"/>
      <c r="E2421"/>
    </row>
    <row r="2422" spans="1:5" ht="15" x14ac:dyDescent="0.25">
      <c r="A2422"/>
      <c r="B2422"/>
      <c r="C2422"/>
      <c r="D2422"/>
      <c r="E2422"/>
    </row>
    <row r="2423" spans="1:5" ht="15" x14ac:dyDescent="0.25">
      <c r="A2423"/>
      <c r="B2423"/>
      <c r="C2423"/>
      <c r="D2423"/>
      <c r="E2423"/>
    </row>
    <row r="2424" spans="1:5" ht="15" x14ac:dyDescent="0.25">
      <c r="A2424"/>
      <c r="B2424"/>
      <c r="C2424"/>
      <c r="D2424"/>
      <c r="E2424"/>
    </row>
    <row r="2425" spans="1:5" ht="15" x14ac:dyDescent="0.25">
      <c r="A2425"/>
      <c r="B2425"/>
      <c r="C2425"/>
      <c r="D2425"/>
      <c r="E2425"/>
    </row>
    <row r="2426" spans="1:5" ht="15" x14ac:dyDescent="0.25">
      <c r="A2426"/>
      <c r="B2426"/>
      <c r="C2426"/>
      <c r="D2426"/>
      <c r="E2426"/>
    </row>
    <row r="2427" spans="1:5" ht="15" x14ac:dyDescent="0.25">
      <c r="A2427"/>
      <c r="B2427"/>
      <c r="C2427"/>
      <c r="D2427"/>
      <c r="E2427"/>
    </row>
    <row r="2428" spans="1:5" ht="15" x14ac:dyDescent="0.25">
      <c r="A2428"/>
      <c r="B2428"/>
      <c r="C2428"/>
      <c r="D2428"/>
      <c r="E2428"/>
    </row>
    <row r="2429" spans="1:5" ht="15" x14ac:dyDescent="0.25">
      <c r="A2429"/>
      <c r="B2429"/>
      <c r="C2429"/>
      <c r="D2429"/>
      <c r="E2429"/>
    </row>
    <row r="2430" spans="1:5" ht="15" x14ac:dyDescent="0.25">
      <c r="A2430"/>
      <c r="B2430"/>
      <c r="C2430"/>
      <c r="D2430"/>
      <c r="E2430"/>
    </row>
    <row r="2431" spans="1:5" ht="15" x14ac:dyDescent="0.25">
      <c r="A2431"/>
      <c r="B2431"/>
      <c r="C2431"/>
      <c r="D2431"/>
      <c r="E2431"/>
    </row>
    <row r="2432" spans="1:5" ht="15" x14ac:dyDescent="0.25">
      <c r="A2432"/>
      <c r="B2432"/>
      <c r="C2432"/>
      <c r="D2432"/>
      <c r="E2432"/>
    </row>
    <row r="2433" spans="1:5" ht="15" x14ac:dyDescent="0.25">
      <c r="A2433"/>
      <c r="B2433"/>
      <c r="C2433"/>
      <c r="D2433"/>
      <c r="E2433"/>
    </row>
    <row r="2434" spans="1:5" ht="15" x14ac:dyDescent="0.25">
      <c r="A2434"/>
      <c r="B2434"/>
      <c r="C2434"/>
      <c r="D2434"/>
      <c r="E2434"/>
    </row>
    <row r="2435" spans="1:5" ht="15" x14ac:dyDescent="0.25">
      <c r="A2435"/>
      <c r="B2435"/>
      <c r="C2435"/>
      <c r="D2435"/>
      <c r="E2435"/>
    </row>
    <row r="2436" spans="1:5" ht="15" x14ac:dyDescent="0.25">
      <c r="A2436"/>
      <c r="B2436"/>
      <c r="C2436"/>
      <c r="D2436"/>
      <c r="E2436"/>
    </row>
    <row r="2437" spans="1:5" ht="15" x14ac:dyDescent="0.25">
      <c r="A2437"/>
      <c r="B2437"/>
      <c r="C2437"/>
      <c r="D2437"/>
      <c r="E2437"/>
    </row>
    <row r="2438" spans="1:5" ht="15" x14ac:dyDescent="0.25">
      <c r="A2438"/>
      <c r="B2438"/>
      <c r="C2438"/>
      <c r="D2438"/>
      <c r="E2438"/>
    </row>
    <row r="2439" spans="1:5" ht="15" x14ac:dyDescent="0.25">
      <c r="A2439"/>
      <c r="B2439"/>
      <c r="C2439"/>
      <c r="D2439"/>
      <c r="E2439"/>
    </row>
    <row r="2440" spans="1:5" ht="15" x14ac:dyDescent="0.25">
      <c r="A2440"/>
      <c r="B2440"/>
      <c r="C2440"/>
      <c r="D2440"/>
      <c r="E2440"/>
    </row>
    <row r="2441" spans="1:5" ht="15" x14ac:dyDescent="0.25">
      <c r="A2441"/>
      <c r="B2441"/>
      <c r="C2441"/>
      <c r="D2441"/>
      <c r="E2441"/>
    </row>
    <row r="2442" spans="1:5" ht="15" x14ac:dyDescent="0.25">
      <c r="A2442"/>
      <c r="B2442"/>
      <c r="C2442"/>
      <c r="D2442"/>
      <c r="E2442"/>
    </row>
    <row r="2443" spans="1:5" ht="15" x14ac:dyDescent="0.25">
      <c r="A2443"/>
      <c r="B2443"/>
      <c r="C2443"/>
      <c r="D2443"/>
    </row>
    <row r="2444" spans="1:5" ht="15" x14ac:dyDescent="0.25">
      <c r="A2444"/>
      <c r="B2444"/>
      <c r="C2444"/>
      <c r="D2444"/>
    </row>
    <row r="2445" spans="1:5" ht="15" x14ac:dyDescent="0.25">
      <c r="A2445"/>
      <c r="B2445"/>
      <c r="C2445"/>
      <c r="D2445"/>
    </row>
    <row r="2446" spans="1:5" ht="15" x14ac:dyDescent="0.25">
      <c r="A2446"/>
      <c r="B2446"/>
      <c r="C2446"/>
      <c r="D2446"/>
    </row>
    <row r="2447" spans="1:5" ht="15" x14ac:dyDescent="0.25">
      <c r="A2447"/>
      <c r="B2447"/>
      <c r="C2447"/>
      <c r="D2447"/>
    </row>
    <row r="2448" spans="1:5" ht="15" x14ac:dyDescent="0.25">
      <c r="A2448"/>
      <c r="B2448"/>
      <c r="C2448"/>
      <c r="D2448"/>
    </row>
    <row r="2449" spans="1:4" ht="15" x14ac:dyDescent="0.25">
      <c r="A2449"/>
      <c r="B2449"/>
      <c r="C2449"/>
      <c r="D2449"/>
    </row>
    <row r="2450" spans="1:4" ht="15" x14ac:dyDescent="0.25">
      <c r="A2450"/>
      <c r="B2450"/>
      <c r="C2450"/>
      <c r="D2450"/>
    </row>
    <row r="2451" spans="1:4" ht="15" x14ac:dyDescent="0.25">
      <c r="A2451"/>
      <c r="B2451"/>
      <c r="C2451"/>
      <c r="D2451"/>
    </row>
    <row r="2452" spans="1:4" ht="15" x14ac:dyDescent="0.25">
      <c r="A2452"/>
      <c r="B2452"/>
      <c r="C2452"/>
      <c r="D2452"/>
    </row>
    <row r="2453" spans="1:4" ht="15" x14ac:dyDescent="0.25">
      <c r="A2453"/>
      <c r="B2453"/>
      <c r="C2453"/>
      <c r="D2453"/>
    </row>
    <row r="2454" spans="1:4" ht="15" x14ac:dyDescent="0.25">
      <c r="A2454"/>
      <c r="B2454"/>
      <c r="C2454"/>
      <c r="D2454"/>
    </row>
    <row r="2455" spans="1:4" ht="15" x14ac:dyDescent="0.25">
      <c r="A2455"/>
      <c r="B2455"/>
      <c r="C2455"/>
      <c r="D2455"/>
    </row>
    <row r="2456" spans="1:4" ht="15" x14ac:dyDescent="0.25">
      <c r="A2456"/>
      <c r="B2456"/>
      <c r="C2456"/>
      <c r="D2456"/>
    </row>
    <row r="2457" spans="1:4" ht="15" x14ac:dyDescent="0.25">
      <c r="A2457"/>
      <c r="B2457"/>
      <c r="C2457"/>
      <c r="D2457"/>
    </row>
    <row r="2458" spans="1:4" ht="15" x14ac:dyDescent="0.25">
      <c r="A2458"/>
      <c r="B2458"/>
      <c r="C2458"/>
      <c r="D2458"/>
    </row>
    <row r="2459" spans="1:4" ht="15" x14ac:dyDescent="0.25">
      <c r="A2459"/>
      <c r="B2459"/>
      <c r="C2459"/>
      <c r="D2459"/>
    </row>
    <row r="2460" spans="1:4" ht="15" x14ac:dyDescent="0.25">
      <c r="A2460"/>
      <c r="B2460"/>
      <c r="C2460"/>
      <c r="D2460"/>
    </row>
    <row r="2461" spans="1:4" ht="15" x14ac:dyDescent="0.25">
      <c r="A2461"/>
      <c r="B2461"/>
      <c r="C2461"/>
      <c r="D2461"/>
    </row>
    <row r="2462" spans="1:4" ht="15" x14ac:dyDescent="0.25">
      <c r="A2462"/>
      <c r="B2462"/>
      <c r="C2462"/>
      <c r="D2462"/>
    </row>
    <row r="2463" spans="1:4" ht="15" x14ac:dyDescent="0.25">
      <c r="A2463"/>
      <c r="B2463"/>
      <c r="C2463"/>
      <c r="D2463"/>
    </row>
    <row r="2464" spans="1:4" ht="15" x14ac:dyDescent="0.25">
      <c r="A2464"/>
      <c r="B2464"/>
      <c r="C2464"/>
      <c r="D2464"/>
    </row>
    <row r="2465" spans="1:4" ht="15" x14ac:dyDescent="0.25">
      <c r="A2465"/>
      <c r="B2465"/>
      <c r="C2465"/>
      <c r="D2465"/>
    </row>
    <row r="2466" spans="1:4" ht="15" x14ac:dyDescent="0.25">
      <c r="A2466"/>
      <c r="B2466"/>
      <c r="C2466"/>
      <c r="D2466"/>
    </row>
    <row r="2467" spans="1:4" ht="15" x14ac:dyDescent="0.25">
      <c r="A2467"/>
      <c r="B2467"/>
      <c r="C2467"/>
      <c r="D2467"/>
    </row>
    <row r="2468" spans="1:4" ht="15" x14ac:dyDescent="0.25">
      <c r="A2468"/>
      <c r="B2468"/>
      <c r="C2468"/>
      <c r="D2468"/>
    </row>
    <row r="2469" spans="1:4" ht="15" x14ac:dyDescent="0.25">
      <c r="A2469"/>
      <c r="B2469"/>
      <c r="C2469"/>
      <c r="D2469"/>
    </row>
    <row r="2470" spans="1:4" ht="15" x14ac:dyDescent="0.25">
      <c r="A2470"/>
      <c r="B2470"/>
      <c r="C2470"/>
      <c r="D2470"/>
    </row>
    <row r="2471" spans="1:4" ht="15" x14ac:dyDescent="0.25">
      <c r="A2471"/>
      <c r="B2471"/>
      <c r="C2471"/>
      <c r="D2471"/>
    </row>
    <row r="2472" spans="1:4" ht="15" x14ac:dyDescent="0.25">
      <c r="A2472"/>
      <c r="B2472"/>
      <c r="C2472"/>
      <c r="D2472"/>
    </row>
    <row r="2473" spans="1:4" ht="15" x14ac:dyDescent="0.25">
      <c r="A2473"/>
      <c r="B2473"/>
      <c r="C2473"/>
      <c r="D2473"/>
    </row>
    <row r="2474" spans="1:4" ht="15" x14ac:dyDescent="0.25">
      <c r="A2474"/>
      <c r="B2474"/>
      <c r="C2474"/>
      <c r="D2474"/>
    </row>
    <row r="2475" spans="1:4" ht="15" x14ac:dyDescent="0.25">
      <c r="A2475"/>
      <c r="B2475"/>
      <c r="C2475"/>
      <c r="D2475"/>
    </row>
    <row r="2476" spans="1:4" ht="15" x14ac:dyDescent="0.25">
      <c r="A2476"/>
      <c r="B2476"/>
      <c r="C2476"/>
      <c r="D2476"/>
    </row>
    <row r="2477" spans="1:4" ht="15" x14ac:dyDescent="0.25">
      <c r="A2477"/>
      <c r="B2477"/>
      <c r="C2477"/>
      <c r="D2477"/>
    </row>
    <row r="2478" spans="1:4" ht="15" x14ac:dyDescent="0.25">
      <c r="A2478"/>
      <c r="B2478"/>
      <c r="C2478"/>
      <c r="D2478"/>
    </row>
    <row r="2479" spans="1:4" ht="15" x14ac:dyDescent="0.25">
      <c r="A2479"/>
      <c r="B2479"/>
      <c r="C2479"/>
      <c r="D2479"/>
    </row>
    <row r="2480" spans="1:4" ht="15" x14ac:dyDescent="0.25">
      <c r="A2480"/>
      <c r="B2480"/>
      <c r="C2480"/>
      <c r="D2480"/>
    </row>
    <row r="2481" spans="1:4" ht="15" x14ac:dyDescent="0.25">
      <c r="A2481"/>
      <c r="B2481"/>
      <c r="C2481"/>
      <c r="D2481"/>
    </row>
    <row r="2482" spans="1:4" ht="15" x14ac:dyDescent="0.25">
      <c r="A2482"/>
      <c r="B2482"/>
      <c r="C2482"/>
      <c r="D2482"/>
    </row>
    <row r="2483" spans="1:4" ht="15" x14ac:dyDescent="0.25">
      <c r="A2483"/>
      <c r="B2483"/>
      <c r="C2483"/>
      <c r="D2483"/>
    </row>
    <row r="2484" spans="1:4" ht="15" x14ac:dyDescent="0.25">
      <c r="A2484"/>
      <c r="B2484"/>
      <c r="C2484"/>
      <c r="D2484"/>
    </row>
    <row r="2485" spans="1:4" ht="15" x14ac:dyDescent="0.25">
      <c r="A2485"/>
      <c r="B2485"/>
      <c r="C2485"/>
      <c r="D2485"/>
    </row>
    <row r="2486" spans="1:4" ht="15" x14ac:dyDescent="0.25">
      <c r="A2486"/>
      <c r="B2486"/>
      <c r="C2486"/>
      <c r="D2486"/>
    </row>
    <row r="2487" spans="1:4" ht="15" x14ac:dyDescent="0.25">
      <c r="A2487"/>
      <c r="B2487"/>
      <c r="C2487"/>
      <c r="D2487"/>
    </row>
    <row r="2488" spans="1:4" ht="15" x14ac:dyDescent="0.25">
      <c r="A2488"/>
      <c r="B2488"/>
      <c r="C2488"/>
      <c r="D2488"/>
    </row>
    <row r="2489" spans="1:4" ht="15" x14ac:dyDescent="0.25">
      <c r="A2489"/>
      <c r="B2489"/>
      <c r="C2489"/>
      <c r="D2489"/>
    </row>
    <row r="2490" spans="1:4" ht="15" x14ac:dyDescent="0.25">
      <c r="A2490"/>
      <c r="B2490"/>
      <c r="C2490"/>
      <c r="D2490"/>
    </row>
    <row r="2491" spans="1:4" ht="15" x14ac:dyDescent="0.25">
      <c r="A2491"/>
      <c r="B2491"/>
      <c r="C2491"/>
      <c r="D2491"/>
    </row>
    <row r="2492" spans="1:4" ht="15" x14ac:dyDescent="0.25">
      <c r="A2492"/>
      <c r="B2492"/>
      <c r="C2492"/>
      <c r="D2492"/>
    </row>
    <row r="2493" spans="1:4" ht="15" x14ac:dyDescent="0.25">
      <c r="A2493"/>
      <c r="B2493"/>
      <c r="C2493"/>
      <c r="D2493"/>
    </row>
    <row r="2494" spans="1:4" ht="15" x14ac:dyDescent="0.25">
      <c r="A2494"/>
      <c r="B2494"/>
      <c r="C2494"/>
      <c r="D2494"/>
    </row>
    <row r="2495" spans="1:4" ht="15" x14ac:dyDescent="0.25">
      <c r="A2495"/>
      <c r="B2495"/>
      <c r="C2495"/>
      <c r="D2495"/>
    </row>
    <row r="2496" spans="1:4" ht="15" x14ac:dyDescent="0.25">
      <c r="A2496"/>
      <c r="B2496"/>
      <c r="C2496"/>
      <c r="D2496"/>
    </row>
    <row r="2497" spans="1:4" ht="15" x14ac:dyDescent="0.25">
      <c r="A2497"/>
      <c r="B2497"/>
      <c r="C2497"/>
      <c r="D2497"/>
    </row>
    <row r="2498" spans="1:4" ht="15" x14ac:dyDescent="0.25">
      <c r="A2498"/>
      <c r="B2498"/>
      <c r="C2498"/>
      <c r="D2498"/>
    </row>
    <row r="2499" spans="1:4" ht="15" x14ac:dyDescent="0.25">
      <c r="A2499"/>
      <c r="B2499"/>
      <c r="C2499"/>
      <c r="D2499"/>
    </row>
    <row r="2500" spans="1:4" ht="15" x14ac:dyDescent="0.25">
      <c r="A2500"/>
      <c r="B2500"/>
      <c r="C2500"/>
      <c r="D2500"/>
    </row>
    <row r="2501" spans="1:4" ht="15" x14ac:dyDescent="0.25">
      <c r="A2501"/>
      <c r="B2501"/>
      <c r="C2501"/>
      <c r="D2501"/>
    </row>
    <row r="2502" spans="1:4" ht="15" x14ac:dyDescent="0.25">
      <c r="A2502"/>
      <c r="B2502"/>
      <c r="C2502"/>
      <c r="D2502"/>
    </row>
    <row r="2503" spans="1:4" ht="15" x14ac:dyDescent="0.25">
      <c r="A2503"/>
      <c r="B2503"/>
      <c r="C2503"/>
      <c r="D2503"/>
    </row>
    <row r="2504" spans="1:4" ht="15" x14ac:dyDescent="0.25">
      <c r="A2504"/>
      <c r="B2504"/>
      <c r="C2504"/>
      <c r="D2504"/>
    </row>
    <row r="2505" spans="1:4" ht="15" x14ac:dyDescent="0.25">
      <c r="A2505"/>
      <c r="B2505"/>
      <c r="C2505"/>
      <c r="D2505"/>
    </row>
    <row r="2506" spans="1:4" ht="15" x14ac:dyDescent="0.25">
      <c r="A2506"/>
      <c r="B2506"/>
      <c r="C2506"/>
      <c r="D2506"/>
    </row>
    <row r="2507" spans="1:4" ht="15" x14ac:dyDescent="0.25">
      <c r="A2507"/>
      <c r="B2507"/>
      <c r="C2507"/>
      <c r="D2507"/>
    </row>
    <row r="2508" spans="1:4" ht="15" x14ac:dyDescent="0.25">
      <c r="A2508"/>
      <c r="B2508"/>
      <c r="C2508"/>
      <c r="D2508"/>
    </row>
    <row r="2509" spans="1:4" ht="15" x14ac:dyDescent="0.25">
      <c r="A2509"/>
      <c r="B2509"/>
      <c r="C2509"/>
      <c r="D2509"/>
    </row>
    <row r="2510" spans="1:4" ht="15" x14ac:dyDescent="0.25">
      <c r="A2510"/>
      <c r="B2510"/>
      <c r="C2510"/>
      <c r="D2510"/>
    </row>
    <row r="2511" spans="1:4" ht="15" x14ac:dyDescent="0.25">
      <c r="A2511"/>
      <c r="B2511"/>
      <c r="C2511"/>
      <c r="D2511"/>
    </row>
    <row r="2512" spans="1:4" ht="15" x14ac:dyDescent="0.25">
      <c r="A2512"/>
      <c r="B2512"/>
      <c r="C2512"/>
      <c r="D2512"/>
    </row>
    <row r="2513" spans="1:4" ht="15" x14ac:dyDescent="0.25">
      <c r="A2513"/>
      <c r="B2513"/>
      <c r="C2513"/>
      <c r="D2513"/>
    </row>
    <row r="2514" spans="1:4" ht="15" x14ac:dyDescent="0.25">
      <c r="A2514"/>
      <c r="B2514"/>
      <c r="C2514"/>
      <c r="D2514"/>
    </row>
    <row r="2515" spans="1:4" ht="15" x14ac:dyDescent="0.25">
      <c r="A2515"/>
      <c r="B2515"/>
      <c r="C2515"/>
      <c r="D2515"/>
    </row>
    <row r="2516" spans="1:4" ht="15" x14ac:dyDescent="0.25">
      <c r="A2516"/>
      <c r="B2516"/>
      <c r="C2516"/>
      <c r="D2516"/>
    </row>
    <row r="2517" spans="1:4" ht="15" x14ac:dyDescent="0.25">
      <c r="A2517"/>
      <c r="B2517"/>
      <c r="C2517"/>
      <c r="D2517"/>
    </row>
    <row r="2518" spans="1:4" ht="15" x14ac:dyDescent="0.25">
      <c r="A2518"/>
      <c r="B2518"/>
      <c r="C2518"/>
      <c r="D2518"/>
    </row>
    <row r="2519" spans="1:4" ht="15" x14ac:dyDescent="0.25">
      <c r="A2519"/>
      <c r="B2519"/>
      <c r="C2519"/>
      <c r="D2519"/>
    </row>
    <row r="2520" spans="1:4" ht="15" x14ac:dyDescent="0.25">
      <c r="A2520"/>
      <c r="B2520"/>
      <c r="C2520"/>
      <c r="D2520"/>
    </row>
    <row r="2521" spans="1:4" ht="15" x14ac:dyDescent="0.25">
      <c r="A2521"/>
      <c r="B2521"/>
      <c r="C2521"/>
      <c r="D2521"/>
    </row>
    <row r="2522" spans="1:4" ht="15" x14ac:dyDescent="0.25">
      <c r="A2522"/>
      <c r="B2522"/>
      <c r="C2522"/>
      <c r="D2522"/>
    </row>
    <row r="2523" spans="1:4" ht="15" x14ac:dyDescent="0.25">
      <c r="A2523"/>
      <c r="B2523"/>
      <c r="C2523"/>
      <c r="D2523"/>
    </row>
    <row r="2524" spans="1:4" ht="15" x14ac:dyDescent="0.25">
      <c r="A2524"/>
      <c r="B2524"/>
      <c r="C2524"/>
      <c r="D2524"/>
    </row>
    <row r="2525" spans="1:4" ht="15" x14ac:dyDescent="0.25">
      <c r="A2525"/>
      <c r="B2525"/>
      <c r="C2525"/>
      <c r="D2525"/>
    </row>
    <row r="2526" spans="1:4" ht="15" x14ac:dyDescent="0.25">
      <c r="A2526"/>
      <c r="B2526"/>
      <c r="C2526"/>
      <c r="D2526"/>
    </row>
    <row r="2527" spans="1:4" ht="15" x14ac:dyDescent="0.25">
      <c r="A2527"/>
      <c r="B2527"/>
      <c r="C2527"/>
      <c r="D2527"/>
    </row>
    <row r="2528" spans="1:4" ht="15" x14ac:dyDescent="0.25">
      <c r="A2528"/>
      <c r="B2528"/>
      <c r="C2528"/>
      <c r="D2528"/>
    </row>
    <row r="2529" spans="1:4" ht="15" x14ac:dyDescent="0.25">
      <c r="A2529"/>
      <c r="B2529"/>
      <c r="C2529"/>
      <c r="D2529"/>
    </row>
    <row r="2530" spans="1:4" ht="15" x14ac:dyDescent="0.25">
      <c r="A2530"/>
      <c r="B2530"/>
      <c r="C2530"/>
      <c r="D2530"/>
    </row>
    <row r="2531" spans="1:4" ht="15" x14ac:dyDescent="0.25">
      <c r="A2531"/>
      <c r="B2531"/>
      <c r="C2531"/>
      <c r="D2531"/>
    </row>
    <row r="2532" spans="1:4" ht="15" x14ac:dyDescent="0.25">
      <c r="A2532"/>
      <c r="B2532"/>
      <c r="C2532"/>
      <c r="D2532"/>
    </row>
    <row r="2533" spans="1:4" ht="15" x14ac:dyDescent="0.25">
      <c r="A2533"/>
      <c r="B2533"/>
      <c r="C2533"/>
      <c r="D2533"/>
    </row>
    <row r="2534" spans="1:4" ht="15" x14ac:dyDescent="0.25">
      <c r="A2534"/>
      <c r="B2534"/>
      <c r="C2534"/>
      <c r="D2534"/>
    </row>
    <row r="2535" spans="1:4" ht="15" x14ac:dyDescent="0.25">
      <c r="A2535"/>
      <c r="B2535"/>
      <c r="C2535"/>
      <c r="D2535"/>
    </row>
    <row r="2536" spans="1:4" ht="15" x14ac:dyDescent="0.25">
      <c r="A2536"/>
      <c r="B2536"/>
      <c r="C2536"/>
      <c r="D2536"/>
    </row>
    <row r="2537" spans="1:4" ht="15" x14ac:dyDescent="0.25">
      <c r="A2537"/>
      <c r="B2537"/>
      <c r="C2537"/>
      <c r="D2537"/>
    </row>
    <row r="2538" spans="1:4" ht="15" x14ac:dyDescent="0.25">
      <c r="A2538"/>
      <c r="B2538"/>
      <c r="C2538"/>
      <c r="D2538"/>
    </row>
    <row r="2539" spans="1:4" ht="15" x14ac:dyDescent="0.25">
      <c r="A2539"/>
      <c r="B2539"/>
      <c r="C2539"/>
      <c r="D2539"/>
    </row>
    <row r="2540" spans="1:4" ht="15" x14ac:dyDescent="0.25">
      <c r="A2540"/>
      <c r="B2540"/>
      <c r="C2540"/>
      <c r="D2540"/>
    </row>
    <row r="2541" spans="1:4" ht="15" x14ac:dyDescent="0.25">
      <c r="A2541"/>
      <c r="B2541"/>
      <c r="C2541"/>
      <c r="D2541"/>
    </row>
    <row r="2542" spans="1:4" ht="15" x14ac:dyDescent="0.25">
      <c r="A2542"/>
      <c r="B2542"/>
      <c r="C2542"/>
      <c r="D2542"/>
    </row>
    <row r="2543" spans="1:4" ht="15" x14ac:dyDescent="0.25">
      <c r="A2543"/>
      <c r="B2543"/>
      <c r="C2543"/>
      <c r="D2543"/>
    </row>
    <row r="2544" spans="1:4" ht="15" x14ac:dyDescent="0.25">
      <c r="A2544"/>
      <c r="B2544"/>
      <c r="C2544"/>
      <c r="D2544"/>
    </row>
    <row r="2545" spans="1:4" ht="15" x14ac:dyDescent="0.25">
      <c r="A2545"/>
      <c r="B2545"/>
      <c r="C2545"/>
      <c r="D2545"/>
    </row>
    <row r="2546" spans="1:4" ht="15" x14ac:dyDescent="0.25">
      <c r="A2546"/>
      <c r="B2546"/>
      <c r="C2546"/>
      <c r="D2546"/>
    </row>
    <row r="2547" spans="1:4" ht="15" x14ac:dyDescent="0.25">
      <c r="A2547"/>
      <c r="B2547"/>
      <c r="C2547"/>
      <c r="D2547"/>
    </row>
    <row r="2548" spans="1:4" ht="15" x14ac:dyDescent="0.25">
      <c r="A2548"/>
      <c r="B2548"/>
      <c r="C2548"/>
      <c r="D2548"/>
    </row>
    <row r="2549" spans="1:4" ht="15" x14ac:dyDescent="0.25">
      <c r="A2549"/>
      <c r="B2549"/>
      <c r="C2549"/>
      <c r="D2549"/>
    </row>
    <row r="2550" spans="1:4" ht="15" x14ac:dyDescent="0.25">
      <c r="A2550"/>
      <c r="B2550"/>
      <c r="C2550"/>
      <c r="D2550"/>
    </row>
    <row r="2551" spans="1:4" ht="15" x14ac:dyDescent="0.25">
      <c r="A2551"/>
      <c r="B2551"/>
      <c r="C2551"/>
      <c r="D2551"/>
    </row>
    <row r="2552" spans="1:4" ht="15" x14ac:dyDescent="0.25">
      <c r="A2552"/>
      <c r="B2552"/>
      <c r="C2552"/>
      <c r="D2552"/>
    </row>
    <row r="2553" spans="1:4" ht="15" x14ac:dyDescent="0.25">
      <c r="A2553"/>
      <c r="B2553"/>
      <c r="C2553"/>
      <c r="D2553"/>
    </row>
    <row r="2554" spans="1:4" ht="15" x14ac:dyDescent="0.25">
      <c r="A2554"/>
      <c r="B2554"/>
      <c r="C2554"/>
      <c r="D2554"/>
    </row>
    <row r="2555" spans="1:4" ht="15" x14ac:dyDescent="0.25">
      <c r="A2555"/>
      <c r="B2555"/>
      <c r="C2555"/>
      <c r="D2555"/>
    </row>
    <row r="2556" spans="1:4" ht="15" x14ac:dyDescent="0.25">
      <c r="A2556"/>
      <c r="B2556"/>
      <c r="C2556"/>
      <c r="D2556"/>
    </row>
    <row r="2557" spans="1:4" ht="15" x14ac:dyDescent="0.25">
      <c r="A2557"/>
      <c r="B2557"/>
      <c r="C2557"/>
      <c r="D2557"/>
    </row>
    <row r="2558" spans="1:4" ht="15" x14ac:dyDescent="0.25">
      <c r="A2558"/>
      <c r="B2558"/>
      <c r="C2558"/>
      <c r="D2558"/>
    </row>
    <row r="2559" spans="1:4" ht="15" x14ac:dyDescent="0.25">
      <c r="A2559"/>
      <c r="B2559"/>
      <c r="C2559"/>
      <c r="D2559"/>
    </row>
    <row r="2560" spans="1:4" ht="15" x14ac:dyDescent="0.25">
      <c r="A2560"/>
      <c r="B2560"/>
      <c r="C2560"/>
      <c r="D2560"/>
    </row>
    <row r="2561" spans="1:4" ht="15" x14ac:dyDescent="0.25">
      <c r="A2561"/>
      <c r="B2561"/>
      <c r="C2561"/>
      <c r="D2561"/>
    </row>
    <row r="2562" spans="1:4" ht="15" x14ac:dyDescent="0.25">
      <c r="A2562"/>
      <c r="B2562"/>
      <c r="C2562"/>
      <c r="D2562"/>
    </row>
    <row r="2563" spans="1:4" ht="15" x14ac:dyDescent="0.25">
      <c r="A2563"/>
      <c r="B2563"/>
      <c r="C2563"/>
      <c r="D2563"/>
    </row>
    <row r="2564" spans="1:4" ht="15" x14ac:dyDescent="0.25">
      <c r="A2564"/>
      <c r="B2564"/>
      <c r="C2564"/>
      <c r="D2564"/>
    </row>
    <row r="2565" spans="1:4" ht="15" x14ac:dyDescent="0.25">
      <c r="A2565"/>
      <c r="B2565"/>
      <c r="C2565"/>
      <c r="D2565"/>
    </row>
    <row r="2566" spans="1:4" ht="15" x14ac:dyDescent="0.25">
      <c r="A2566"/>
      <c r="B2566"/>
      <c r="C2566"/>
      <c r="D2566"/>
    </row>
    <row r="2567" spans="1:4" ht="15" x14ac:dyDescent="0.25">
      <c r="A2567"/>
      <c r="B2567"/>
      <c r="C2567"/>
      <c r="D2567"/>
    </row>
    <row r="2568" spans="1:4" ht="15" x14ac:dyDescent="0.25">
      <c r="A2568"/>
      <c r="B2568"/>
      <c r="C2568"/>
      <c r="D2568"/>
    </row>
    <row r="2569" spans="1:4" ht="15" x14ac:dyDescent="0.25">
      <c r="A2569"/>
      <c r="B2569"/>
      <c r="C2569"/>
      <c r="D2569"/>
    </row>
    <row r="2570" spans="1:4" ht="15" x14ac:dyDescent="0.25">
      <c r="A2570"/>
      <c r="B2570"/>
      <c r="C2570"/>
      <c r="D2570"/>
    </row>
    <row r="2571" spans="1:4" ht="15" x14ac:dyDescent="0.25">
      <c r="A2571"/>
      <c r="B2571"/>
      <c r="C2571"/>
      <c r="D2571"/>
    </row>
    <row r="2572" spans="1:4" ht="15" x14ac:dyDescent="0.25">
      <c r="A2572"/>
      <c r="B2572"/>
      <c r="C2572"/>
      <c r="D2572"/>
    </row>
    <row r="2573" spans="1:4" ht="15" x14ac:dyDescent="0.25">
      <c r="A2573"/>
      <c r="B2573"/>
      <c r="C2573"/>
      <c r="D2573"/>
    </row>
    <row r="2574" spans="1:4" ht="15" x14ac:dyDescent="0.25">
      <c r="A2574"/>
      <c r="B2574"/>
      <c r="C2574"/>
      <c r="D2574"/>
    </row>
    <row r="2575" spans="1:4" ht="15" x14ac:dyDescent="0.25">
      <c r="A2575"/>
      <c r="B2575"/>
      <c r="C2575"/>
      <c r="D2575"/>
    </row>
    <row r="2576" spans="1:4" ht="15" x14ac:dyDescent="0.25">
      <c r="A2576"/>
      <c r="B2576"/>
      <c r="C2576"/>
      <c r="D2576"/>
    </row>
    <row r="2577" spans="1:4" ht="15" x14ac:dyDescent="0.25">
      <c r="A2577"/>
      <c r="B2577"/>
      <c r="C2577"/>
      <c r="D2577"/>
    </row>
    <row r="2578" spans="1:4" ht="15" x14ac:dyDescent="0.25">
      <c r="A2578"/>
      <c r="B2578"/>
      <c r="C2578"/>
      <c r="D2578"/>
    </row>
    <row r="2579" spans="1:4" ht="15" x14ac:dyDescent="0.25">
      <c r="A2579"/>
      <c r="B2579"/>
      <c r="C2579"/>
      <c r="D2579"/>
    </row>
    <row r="2580" spans="1:4" ht="15" x14ac:dyDescent="0.25">
      <c r="A2580"/>
      <c r="B2580"/>
      <c r="C2580"/>
      <c r="D2580"/>
    </row>
    <row r="2581" spans="1:4" ht="15" x14ac:dyDescent="0.25">
      <c r="A2581"/>
      <c r="B2581"/>
      <c r="C2581"/>
      <c r="D2581"/>
    </row>
    <row r="2582" spans="1:4" ht="15" x14ac:dyDescent="0.25">
      <c r="A2582"/>
      <c r="B2582"/>
      <c r="C2582"/>
      <c r="D2582"/>
    </row>
    <row r="2583" spans="1:4" ht="15" x14ac:dyDescent="0.25">
      <c r="A2583"/>
      <c r="B2583"/>
      <c r="C2583"/>
      <c r="D2583"/>
    </row>
    <row r="2584" spans="1:4" ht="15" x14ac:dyDescent="0.25">
      <c r="A2584"/>
      <c r="B2584"/>
      <c r="C2584"/>
      <c r="D2584"/>
    </row>
    <row r="2585" spans="1:4" ht="15" x14ac:dyDescent="0.25">
      <c r="A2585"/>
      <c r="B2585"/>
      <c r="C2585"/>
      <c r="D2585"/>
    </row>
    <row r="2586" spans="1:4" ht="15" x14ac:dyDescent="0.25">
      <c r="A2586"/>
      <c r="B2586"/>
      <c r="C2586"/>
      <c r="D2586"/>
    </row>
    <row r="2587" spans="1:4" ht="15" x14ac:dyDescent="0.25">
      <c r="A2587"/>
      <c r="B2587"/>
      <c r="C2587"/>
      <c r="D2587"/>
    </row>
    <row r="2588" spans="1:4" ht="15" x14ac:dyDescent="0.25">
      <c r="A2588"/>
      <c r="B2588"/>
      <c r="C2588"/>
      <c r="D2588"/>
    </row>
    <row r="2589" spans="1:4" ht="15" x14ac:dyDescent="0.25">
      <c r="A2589"/>
      <c r="B2589"/>
      <c r="C2589"/>
      <c r="D2589"/>
    </row>
    <row r="2590" spans="1:4" ht="15" x14ac:dyDescent="0.25">
      <c r="A2590"/>
      <c r="B2590"/>
      <c r="C2590"/>
      <c r="D2590"/>
    </row>
    <row r="2591" spans="1:4" ht="15" x14ac:dyDescent="0.25">
      <c r="A2591"/>
      <c r="B2591"/>
      <c r="C2591"/>
      <c r="D2591"/>
    </row>
    <row r="2592" spans="1:4" ht="15" x14ac:dyDescent="0.25">
      <c r="A2592"/>
      <c r="B2592"/>
      <c r="C2592"/>
      <c r="D2592"/>
    </row>
    <row r="2593" spans="1:4" ht="15" x14ac:dyDescent="0.25">
      <c r="A2593"/>
      <c r="B2593"/>
      <c r="C2593"/>
      <c r="D2593"/>
    </row>
    <row r="2594" spans="1:4" ht="15" x14ac:dyDescent="0.25">
      <c r="A2594"/>
      <c r="B2594"/>
      <c r="C2594"/>
      <c r="D2594"/>
    </row>
    <row r="2595" spans="1:4" ht="15" x14ac:dyDescent="0.25">
      <c r="A2595"/>
      <c r="B2595"/>
      <c r="C2595"/>
      <c r="D2595"/>
    </row>
    <row r="2596" spans="1:4" ht="15" x14ac:dyDescent="0.25">
      <c r="A2596"/>
      <c r="B2596"/>
      <c r="C2596"/>
      <c r="D2596"/>
    </row>
    <row r="2597" spans="1:4" ht="15" x14ac:dyDescent="0.25">
      <c r="A2597"/>
      <c r="B2597"/>
      <c r="C2597"/>
      <c r="D2597"/>
    </row>
    <row r="2598" spans="1:4" ht="15" x14ac:dyDescent="0.25">
      <c r="A2598"/>
      <c r="B2598"/>
      <c r="C2598"/>
      <c r="D2598"/>
    </row>
    <row r="2599" spans="1:4" ht="15" x14ac:dyDescent="0.25">
      <c r="A2599"/>
      <c r="B2599"/>
      <c r="C2599"/>
      <c r="D2599"/>
    </row>
    <row r="2600" spans="1:4" ht="15" x14ac:dyDescent="0.25">
      <c r="A2600"/>
      <c r="B2600"/>
      <c r="C2600"/>
      <c r="D2600"/>
    </row>
    <row r="2601" spans="1:4" ht="15" x14ac:dyDescent="0.25">
      <c r="A2601"/>
      <c r="B2601"/>
      <c r="C2601"/>
      <c r="D2601"/>
    </row>
    <row r="2602" spans="1:4" ht="15" x14ac:dyDescent="0.25">
      <c r="A2602"/>
      <c r="B2602"/>
      <c r="C2602"/>
      <c r="D2602"/>
    </row>
    <row r="2603" spans="1:4" ht="15" x14ac:dyDescent="0.25">
      <c r="A2603"/>
      <c r="B2603"/>
      <c r="C2603"/>
      <c r="D2603"/>
    </row>
    <row r="2604" spans="1:4" ht="15" x14ac:dyDescent="0.25">
      <c r="A2604"/>
      <c r="B2604"/>
      <c r="C2604"/>
      <c r="D2604"/>
    </row>
    <row r="2605" spans="1:4" ht="15" x14ac:dyDescent="0.25">
      <c r="A2605"/>
      <c r="B2605"/>
      <c r="C2605"/>
      <c r="D2605"/>
    </row>
    <row r="2606" spans="1:4" ht="15" x14ac:dyDescent="0.25">
      <c r="A2606"/>
      <c r="B2606"/>
      <c r="C2606"/>
      <c r="D2606"/>
    </row>
    <row r="2607" spans="1:4" ht="15" x14ac:dyDescent="0.25">
      <c r="A2607"/>
      <c r="B2607"/>
      <c r="C2607"/>
      <c r="D2607"/>
    </row>
    <row r="2608" spans="1:4" ht="15" x14ac:dyDescent="0.25">
      <c r="A2608"/>
      <c r="B2608"/>
      <c r="C2608"/>
      <c r="D2608"/>
    </row>
    <row r="2609" spans="1:4" ht="15" x14ac:dyDescent="0.25">
      <c r="A2609"/>
      <c r="B2609"/>
      <c r="C2609"/>
      <c r="D2609"/>
    </row>
    <row r="2610" spans="1:4" ht="15" x14ac:dyDescent="0.25">
      <c r="A2610"/>
      <c r="B2610"/>
      <c r="C2610"/>
      <c r="D2610"/>
    </row>
    <row r="2611" spans="1:4" ht="15" x14ac:dyDescent="0.25">
      <c r="A2611"/>
      <c r="B2611"/>
      <c r="C2611"/>
      <c r="D2611"/>
    </row>
    <row r="2612" spans="1:4" ht="15" x14ac:dyDescent="0.25">
      <c r="A2612"/>
      <c r="B2612"/>
      <c r="C2612"/>
      <c r="D2612"/>
    </row>
    <row r="2613" spans="1:4" ht="15" x14ac:dyDescent="0.25">
      <c r="A2613"/>
      <c r="B2613"/>
      <c r="C2613"/>
      <c r="D2613"/>
    </row>
    <row r="2614" spans="1:4" ht="15" x14ac:dyDescent="0.25">
      <c r="A2614"/>
      <c r="B2614"/>
      <c r="C2614"/>
      <c r="D2614"/>
    </row>
    <row r="2615" spans="1:4" ht="15" x14ac:dyDescent="0.25">
      <c r="A2615"/>
      <c r="B2615"/>
      <c r="C2615"/>
      <c r="D2615"/>
    </row>
    <row r="2616" spans="1:4" ht="15" x14ac:dyDescent="0.25">
      <c r="A2616"/>
      <c r="B2616"/>
      <c r="C2616"/>
      <c r="D2616"/>
    </row>
    <row r="2617" spans="1:4" ht="15" x14ac:dyDescent="0.25">
      <c r="A2617"/>
      <c r="B2617"/>
      <c r="C2617"/>
      <c r="D2617"/>
    </row>
    <row r="2618" spans="1:4" ht="15" x14ac:dyDescent="0.25">
      <c r="A2618"/>
      <c r="B2618"/>
      <c r="C2618"/>
      <c r="D2618"/>
    </row>
    <row r="2619" spans="1:4" ht="15" x14ac:dyDescent="0.25">
      <c r="A2619"/>
      <c r="B2619"/>
      <c r="C2619"/>
      <c r="D2619"/>
    </row>
    <row r="2620" spans="1:4" ht="15" x14ac:dyDescent="0.25">
      <c r="A2620"/>
      <c r="B2620"/>
      <c r="C2620"/>
      <c r="D2620"/>
    </row>
    <row r="2621" spans="1:4" ht="15" x14ac:dyDescent="0.25">
      <c r="A2621"/>
      <c r="B2621"/>
      <c r="C2621"/>
      <c r="D2621"/>
    </row>
    <row r="2622" spans="1:4" ht="15" x14ac:dyDescent="0.25">
      <c r="A2622"/>
      <c r="B2622"/>
      <c r="C2622"/>
      <c r="D2622"/>
    </row>
    <row r="2623" spans="1:4" ht="15" x14ac:dyDescent="0.25">
      <c r="A2623"/>
      <c r="B2623"/>
      <c r="C2623"/>
      <c r="D2623"/>
    </row>
    <row r="2624" spans="1:4" ht="15" x14ac:dyDescent="0.25">
      <c r="A2624"/>
      <c r="B2624"/>
      <c r="C2624"/>
      <c r="D2624"/>
    </row>
    <row r="2625" spans="1:4" ht="15" x14ac:dyDescent="0.25">
      <c r="A2625"/>
      <c r="B2625"/>
      <c r="C2625"/>
      <c r="D2625"/>
    </row>
    <row r="2626" spans="1:4" ht="15" x14ac:dyDescent="0.25">
      <c r="A2626"/>
      <c r="B2626"/>
      <c r="C2626"/>
      <c r="D2626"/>
    </row>
    <row r="2627" spans="1:4" ht="15" x14ac:dyDescent="0.25">
      <c r="A2627"/>
      <c r="B2627"/>
      <c r="C2627"/>
      <c r="D2627"/>
    </row>
    <row r="2628" spans="1:4" ht="15" x14ac:dyDescent="0.25">
      <c r="A2628"/>
      <c r="B2628"/>
      <c r="C2628"/>
      <c r="D2628"/>
    </row>
    <row r="2629" spans="1:4" ht="15" x14ac:dyDescent="0.25">
      <c r="A2629"/>
      <c r="B2629"/>
      <c r="C2629"/>
      <c r="D2629"/>
    </row>
    <row r="2630" spans="1:4" ht="15" x14ac:dyDescent="0.25">
      <c r="A2630"/>
      <c r="B2630"/>
      <c r="C2630"/>
      <c r="D2630"/>
    </row>
    <row r="2631" spans="1:4" ht="15" x14ac:dyDescent="0.25">
      <c r="A2631"/>
      <c r="B2631"/>
      <c r="C2631"/>
      <c r="D2631"/>
    </row>
    <row r="2632" spans="1:4" ht="15" x14ac:dyDescent="0.25">
      <c r="A2632"/>
      <c r="B2632"/>
      <c r="C2632"/>
      <c r="D2632"/>
    </row>
    <row r="2633" spans="1:4" ht="15" x14ac:dyDescent="0.25">
      <c r="A2633"/>
      <c r="B2633"/>
      <c r="C2633"/>
      <c r="D2633"/>
    </row>
    <row r="2634" spans="1:4" ht="15" x14ac:dyDescent="0.25">
      <c r="A2634"/>
      <c r="B2634"/>
      <c r="C2634"/>
      <c r="D2634"/>
    </row>
    <row r="2635" spans="1:4" ht="15" x14ac:dyDescent="0.25">
      <c r="A2635"/>
      <c r="B2635"/>
      <c r="C2635"/>
      <c r="D2635"/>
    </row>
    <row r="2636" spans="1:4" ht="15" x14ac:dyDescent="0.25">
      <c r="A2636"/>
      <c r="B2636"/>
      <c r="C2636"/>
      <c r="D2636"/>
    </row>
    <row r="2637" spans="1:4" ht="15" x14ac:dyDescent="0.25">
      <c r="A2637"/>
      <c r="B2637"/>
      <c r="C2637"/>
      <c r="D2637"/>
    </row>
    <row r="2638" spans="1:4" ht="15" x14ac:dyDescent="0.25">
      <c r="A2638"/>
      <c r="B2638"/>
      <c r="C2638"/>
      <c r="D2638"/>
    </row>
    <row r="2639" spans="1:4" ht="15" x14ac:dyDescent="0.25">
      <c r="A2639"/>
      <c r="B2639"/>
      <c r="C2639"/>
      <c r="D2639"/>
    </row>
    <row r="2640" spans="1:4" ht="15" x14ac:dyDescent="0.25">
      <c r="A2640"/>
      <c r="B2640"/>
      <c r="C2640"/>
      <c r="D2640"/>
    </row>
    <row r="2641" spans="1:4" ht="15" x14ac:dyDescent="0.25">
      <c r="A2641"/>
      <c r="B2641"/>
      <c r="C2641"/>
      <c r="D2641"/>
    </row>
    <row r="2642" spans="1:4" ht="15" x14ac:dyDescent="0.25">
      <c r="A2642"/>
      <c r="B2642"/>
      <c r="C2642"/>
      <c r="D2642"/>
    </row>
    <row r="2643" spans="1:4" ht="15" x14ac:dyDescent="0.25">
      <c r="A2643"/>
      <c r="B2643"/>
      <c r="C2643"/>
      <c r="D2643"/>
    </row>
    <row r="2644" spans="1:4" ht="15" x14ac:dyDescent="0.25">
      <c r="A2644"/>
      <c r="B2644"/>
      <c r="C2644"/>
      <c r="D2644"/>
    </row>
    <row r="2645" spans="1:4" ht="15" x14ac:dyDescent="0.25">
      <c r="A2645"/>
      <c r="B2645"/>
      <c r="C2645"/>
      <c r="D2645"/>
    </row>
    <row r="2646" spans="1:4" ht="15" x14ac:dyDescent="0.25">
      <c r="A2646"/>
      <c r="B2646"/>
      <c r="C2646"/>
      <c r="D2646"/>
    </row>
    <row r="2647" spans="1:4" ht="15" x14ac:dyDescent="0.25">
      <c r="A2647"/>
      <c r="B2647"/>
      <c r="C2647"/>
      <c r="D2647"/>
    </row>
    <row r="2648" spans="1:4" ht="15" x14ac:dyDescent="0.25">
      <c r="A2648"/>
      <c r="B2648"/>
      <c r="C2648"/>
      <c r="D2648"/>
    </row>
    <row r="2649" spans="1:4" ht="15" x14ac:dyDescent="0.25">
      <c r="A2649"/>
      <c r="B2649"/>
      <c r="C2649"/>
      <c r="D2649"/>
    </row>
    <row r="2650" spans="1:4" ht="15" x14ac:dyDescent="0.25">
      <c r="A2650"/>
      <c r="B2650"/>
      <c r="C2650"/>
      <c r="D2650"/>
    </row>
    <row r="2651" spans="1:4" ht="15" x14ac:dyDescent="0.25">
      <c r="A2651"/>
      <c r="B2651"/>
      <c r="C2651"/>
      <c r="D2651"/>
    </row>
    <row r="2652" spans="1:4" ht="15" x14ac:dyDescent="0.25">
      <c r="A2652"/>
      <c r="B2652"/>
      <c r="C2652"/>
      <c r="D2652"/>
    </row>
    <row r="2653" spans="1:4" ht="15" x14ac:dyDescent="0.25">
      <c r="A2653"/>
      <c r="B2653"/>
      <c r="C2653"/>
      <c r="D2653"/>
    </row>
    <row r="2654" spans="1:4" ht="15" x14ac:dyDescent="0.25">
      <c r="A2654"/>
      <c r="B2654"/>
      <c r="C2654"/>
      <c r="D2654"/>
    </row>
    <row r="2655" spans="1:4" ht="15" x14ac:dyDescent="0.25">
      <c r="A2655"/>
      <c r="B2655"/>
      <c r="C2655"/>
      <c r="D2655"/>
    </row>
    <row r="2656" spans="1:4" ht="15" x14ac:dyDescent="0.25">
      <c r="A2656"/>
      <c r="B2656"/>
      <c r="C2656"/>
      <c r="D2656"/>
    </row>
    <row r="2657" spans="1:4" ht="15" x14ac:dyDescent="0.25">
      <c r="A2657"/>
      <c r="B2657"/>
      <c r="C2657"/>
      <c r="D2657"/>
    </row>
    <row r="2658" spans="1:4" ht="15" x14ac:dyDescent="0.25">
      <c r="A2658"/>
      <c r="B2658"/>
      <c r="C2658"/>
      <c r="D2658"/>
    </row>
    <row r="2659" spans="1:4" ht="15" x14ac:dyDescent="0.25">
      <c r="A2659"/>
      <c r="B2659"/>
      <c r="C2659"/>
      <c r="D2659"/>
    </row>
    <row r="2660" spans="1:4" ht="15" x14ac:dyDescent="0.25">
      <c r="A2660"/>
      <c r="B2660"/>
      <c r="C2660"/>
      <c r="D2660"/>
    </row>
    <row r="2661" spans="1:4" ht="15" x14ac:dyDescent="0.25">
      <c r="A2661"/>
      <c r="B2661"/>
      <c r="C2661"/>
      <c r="D2661"/>
    </row>
    <row r="2662" spans="1:4" ht="15" x14ac:dyDescent="0.25">
      <c r="A2662"/>
      <c r="B2662"/>
      <c r="C2662"/>
      <c r="D2662"/>
    </row>
    <row r="2663" spans="1:4" ht="15" x14ac:dyDescent="0.25">
      <c r="A2663"/>
      <c r="B2663"/>
      <c r="C2663"/>
      <c r="D2663"/>
    </row>
    <row r="2664" spans="1:4" ht="15" x14ac:dyDescent="0.25">
      <c r="A2664"/>
      <c r="B2664"/>
      <c r="C2664"/>
      <c r="D2664"/>
    </row>
    <row r="2665" spans="1:4" ht="15" x14ac:dyDescent="0.25">
      <c r="A2665"/>
      <c r="B2665"/>
      <c r="C2665"/>
      <c r="D2665"/>
    </row>
    <row r="2666" spans="1:4" ht="15" x14ac:dyDescent="0.25">
      <c r="A2666"/>
      <c r="B2666"/>
      <c r="C2666"/>
      <c r="D2666"/>
    </row>
    <row r="2667" spans="1:4" ht="15" x14ac:dyDescent="0.25">
      <c r="A2667"/>
      <c r="B2667"/>
      <c r="C2667"/>
      <c r="D2667"/>
    </row>
    <row r="2668" spans="1:4" ht="15" x14ac:dyDescent="0.25">
      <c r="A2668"/>
      <c r="B2668"/>
      <c r="C2668"/>
      <c r="D2668"/>
    </row>
    <row r="2669" spans="1:4" ht="15" x14ac:dyDescent="0.25">
      <c r="A2669"/>
      <c r="B2669"/>
      <c r="C2669"/>
      <c r="D2669"/>
    </row>
    <row r="2670" spans="1:4" ht="15" x14ac:dyDescent="0.25">
      <c r="A2670"/>
      <c r="B2670"/>
      <c r="C2670"/>
      <c r="D2670"/>
    </row>
    <row r="2671" spans="1:4" ht="15" x14ac:dyDescent="0.25">
      <c r="A2671"/>
      <c r="B2671"/>
      <c r="C2671"/>
      <c r="D2671"/>
    </row>
    <row r="2672" spans="1:4" ht="15" x14ac:dyDescent="0.25">
      <c r="A2672"/>
      <c r="B2672"/>
      <c r="C2672"/>
      <c r="D2672"/>
    </row>
    <row r="2673" spans="1:4" ht="15" x14ac:dyDescent="0.25">
      <c r="A2673"/>
      <c r="B2673"/>
      <c r="C2673"/>
      <c r="D2673"/>
    </row>
    <row r="2674" spans="1:4" ht="15" x14ac:dyDescent="0.25">
      <c r="A2674"/>
      <c r="B2674"/>
      <c r="C2674"/>
      <c r="D2674"/>
    </row>
    <row r="2675" spans="1:4" ht="15" x14ac:dyDescent="0.25">
      <c r="A2675"/>
      <c r="B2675"/>
      <c r="C2675"/>
      <c r="D2675"/>
    </row>
    <row r="2676" spans="1:4" ht="15" x14ac:dyDescent="0.25">
      <c r="A2676"/>
      <c r="B2676"/>
      <c r="C2676"/>
      <c r="D2676"/>
    </row>
    <row r="2677" spans="1:4" ht="15" x14ac:dyDescent="0.25">
      <c r="A2677"/>
      <c r="B2677"/>
      <c r="C2677"/>
      <c r="D2677"/>
    </row>
    <row r="2678" spans="1:4" ht="15" x14ac:dyDescent="0.25">
      <c r="A2678"/>
      <c r="B2678"/>
      <c r="C2678"/>
      <c r="D2678"/>
    </row>
    <row r="2679" spans="1:4" ht="15" x14ac:dyDescent="0.25">
      <c r="A2679"/>
      <c r="B2679"/>
      <c r="C2679"/>
      <c r="D2679"/>
    </row>
    <row r="2680" spans="1:4" ht="15" x14ac:dyDescent="0.25">
      <c r="A2680"/>
      <c r="B2680"/>
      <c r="C2680"/>
      <c r="D2680"/>
    </row>
    <row r="2681" spans="1:4" ht="15" x14ac:dyDescent="0.25">
      <c r="A2681"/>
      <c r="B2681"/>
      <c r="C2681"/>
      <c r="D2681"/>
    </row>
    <row r="2682" spans="1:4" ht="15" x14ac:dyDescent="0.25">
      <c r="A2682"/>
      <c r="B2682"/>
      <c r="C2682"/>
      <c r="D2682"/>
    </row>
    <row r="2683" spans="1:4" ht="15" x14ac:dyDescent="0.25">
      <c r="A2683"/>
      <c r="B2683"/>
      <c r="C2683"/>
      <c r="D2683"/>
    </row>
    <row r="2684" spans="1:4" ht="15" x14ac:dyDescent="0.25">
      <c r="A2684"/>
      <c r="B2684"/>
      <c r="C2684"/>
      <c r="D2684"/>
    </row>
    <row r="2685" spans="1:4" ht="15" x14ac:dyDescent="0.25">
      <c r="A2685"/>
      <c r="B2685"/>
      <c r="C2685"/>
      <c r="D2685"/>
    </row>
    <row r="2686" spans="1:4" ht="15" x14ac:dyDescent="0.25">
      <c r="A2686"/>
      <c r="B2686"/>
      <c r="C2686"/>
      <c r="D2686"/>
    </row>
    <row r="2687" spans="1:4" ht="15" x14ac:dyDescent="0.25">
      <c r="A2687"/>
      <c r="B2687"/>
      <c r="C2687"/>
      <c r="D2687"/>
    </row>
    <row r="2688" spans="1:4" ht="15" x14ac:dyDescent="0.25">
      <c r="A2688"/>
      <c r="B2688"/>
      <c r="C2688"/>
      <c r="D2688"/>
    </row>
    <row r="2689" spans="1:4" ht="15" x14ac:dyDescent="0.25">
      <c r="A2689"/>
      <c r="B2689"/>
      <c r="C2689"/>
      <c r="D2689"/>
    </row>
    <row r="2690" spans="1:4" ht="15" x14ac:dyDescent="0.25">
      <c r="A2690"/>
      <c r="B2690"/>
      <c r="C2690"/>
      <c r="D2690"/>
    </row>
    <row r="2691" spans="1:4" ht="15" x14ac:dyDescent="0.25">
      <c r="A2691"/>
      <c r="B2691"/>
      <c r="C2691"/>
      <c r="D2691"/>
    </row>
    <row r="2692" spans="1:4" ht="15" x14ac:dyDescent="0.25">
      <c r="A2692"/>
      <c r="B2692"/>
      <c r="C2692"/>
      <c r="D2692"/>
    </row>
    <row r="2693" spans="1:4" ht="15" x14ac:dyDescent="0.25">
      <c r="A2693"/>
      <c r="B2693"/>
      <c r="C2693"/>
      <c r="D2693"/>
    </row>
    <row r="2694" spans="1:4" ht="15" x14ac:dyDescent="0.25">
      <c r="A2694"/>
      <c r="B2694"/>
      <c r="C2694"/>
      <c r="D2694"/>
    </row>
    <row r="2695" spans="1:4" ht="15" x14ac:dyDescent="0.25">
      <c r="A2695"/>
      <c r="B2695"/>
      <c r="C2695"/>
      <c r="D2695"/>
    </row>
    <row r="2696" spans="1:4" ht="15" x14ac:dyDescent="0.25">
      <c r="A2696"/>
      <c r="B2696"/>
      <c r="C2696"/>
      <c r="D2696"/>
    </row>
    <row r="2697" spans="1:4" ht="15" x14ac:dyDescent="0.25">
      <c r="A2697"/>
      <c r="B2697"/>
      <c r="C2697"/>
      <c r="D2697"/>
    </row>
    <row r="2698" spans="1:4" ht="15" x14ac:dyDescent="0.25">
      <c r="A2698"/>
      <c r="B2698"/>
      <c r="C2698"/>
      <c r="D2698"/>
    </row>
    <row r="2699" spans="1:4" ht="15" x14ac:dyDescent="0.25">
      <c r="A2699"/>
      <c r="B2699"/>
      <c r="C2699"/>
      <c r="D2699"/>
    </row>
    <row r="2700" spans="1:4" ht="15" x14ac:dyDescent="0.25">
      <c r="A2700"/>
      <c r="B2700"/>
      <c r="C2700"/>
      <c r="D2700"/>
    </row>
    <row r="2701" spans="1:4" ht="15" x14ac:dyDescent="0.25">
      <c r="A2701"/>
      <c r="B2701"/>
      <c r="C2701"/>
      <c r="D2701"/>
    </row>
    <row r="2702" spans="1:4" ht="15" x14ac:dyDescent="0.25">
      <c r="A2702"/>
      <c r="B2702"/>
      <c r="C2702"/>
      <c r="D2702"/>
    </row>
    <row r="2703" spans="1:4" ht="15" x14ac:dyDescent="0.25">
      <c r="A2703"/>
      <c r="B2703"/>
      <c r="C2703"/>
      <c r="D2703"/>
    </row>
    <row r="2704" spans="1:4" ht="15" x14ac:dyDescent="0.25">
      <c r="A2704"/>
      <c r="B2704"/>
      <c r="C2704"/>
      <c r="D2704"/>
    </row>
    <row r="2705" spans="1:4" ht="15" x14ac:dyDescent="0.25">
      <c r="A2705"/>
      <c r="B2705"/>
      <c r="C2705"/>
      <c r="D2705"/>
    </row>
    <row r="2706" spans="1:4" ht="15" x14ac:dyDescent="0.25">
      <c r="A2706"/>
      <c r="B2706"/>
      <c r="C2706"/>
      <c r="D2706"/>
    </row>
    <row r="2707" spans="1:4" ht="15" x14ac:dyDescent="0.25">
      <c r="A2707"/>
      <c r="B2707"/>
      <c r="C2707"/>
      <c r="D2707"/>
    </row>
    <row r="2708" spans="1:4" ht="15" x14ac:dyDescent="0.25">
      <c r="A2708"/>
      <c r="B2708"/>
      <c r="C2708"/>
      <c r="D2708"/>
    </row>
    <row r="2709" spans="1:4" ht="15" x14ac:dyDescent="0.25">
      <c r="A2709"/>
      <c r="B2709"/>
      <c r="C2709"/>
      <c r="D2709"/>
    </row>
    <row r="2710" spans="1:4" ht="15" x14ac:dyDescent="0.25">
      <c r="A2710"/>
      <c r="B2710"/>
      <c r="C2710"/>
      <c r="D2710"/>
    </row>
    <row r="2711" spans="1:4" ht="15" x14ac:dyDescent="0.25">
      <c r="A2711"/>
      <c r="B2711"/>
      <c r="C2711"/>
      <c r="D2711"/>
    </row>
    <row r="2712" spans="1:4" ht="15" x14ac:dyDescent="0.25">
      <c r="A2712"/>
      <c r="B2712"/>
      <c r="C2712"/>
      <c r="D2712"/>
    </row>
    <row r="2713" spans="1:4" ht="15" x14ac:dyDescent="0.25">
      <c r="A2713"/>
      <c r="B2713"/>
      <c r="C2713"/>
      <c r="D2713"/>
    </row>
    <row r="2714" spans="1:4" ht="15" x14ac:dyDescent="0.25">
      <c r="A2714"/>
      <c r="B2714"/>
      <c r="C2714"/>
      <c r="D2714"/>
    </row>
    <row r="2715" spans="1:4" ht="15" x14ac:dyDescent="0.25">
      <c r="A2715"/>
      <c r="B2715"/>
      <c r="C2715"/>
      <c r="D2715"/>
    </row>
    <row r="2716" spans="1:4" ht="15" x14ac:dyDescent="0.25">
      <c r="A2716"/>
      <c r="B2716"/>
      <c r="C2716"/>
      <c r="D2716"/>
    </row>
    <row r="2717" spans="1:4" ht="15" x14ac:dyDescent="0.25">
      <c r="A2717"/>
      <c r="B2717"/>
      <c r="C2717"/>
      <c r="D2717"/>
    </row>
    <row r="2718" spans="1:4" ht="15" x14ac:dyDescent="0.25">
      <c r="A2718"/>
      <c r="B2718"/>
      <c r="C2718"/>
      <c r="D2718"/>
    </row>
    <row r="2719" spans="1:4" ht="15" x14ac:dyDescent="0.25">
      <c r="A2719"/>
      <c r="B2719"/>
      <c r="C2719"/>
      <c r="D2719"/>
    </row>
    <row r="2720" spans="1:4" ht="15" x14ac:dyDescent="0.25">
      <c r="A2720"/>
      <c r="B2720"/>
      <c r="C2720"/>
      <c r="D2720"/>
    </row>
    <row r="2721" spans="1:4" ht="15" x14ac:dyDescent="0.25">
      <c r="A2721"/>
      <c r="B2721"/>
      <c r="C2721"/>
      <c r="D2721"/>
    </row>
    <row r="2722" spans="1:4" ht="15" x14ac:dyDescent="0.25">
      <c r="A2722"/>
      <c r="B2722"/>
      <c r="C2722"/>
      <c r="D2722"/>
    </row>
    <row r="2723" spans="1:4" ht="15" x14ac:dyDescent="0.25">
      <c r="A2723"/>
      <c r="B2723"/>
      <c r="C2723"/>
      <c r="D2723"/>
    </row>
    <row r="2724" spans="1:4" ht="15" x14ac:dyDescent="0.25">
      <c r="A2724"/>
      <c r="B2724"/>
      <c r="C2724"/>
      <c r="D2724"/>
    </row>
    <row r="2725" spans="1:4" ht="15" x14ac:dyDescent="0.25">
      <c r="A2725"/>
      <c r="B2725"/>
      <c r="C2725"/>
      <c r="D2725"/>
    </row>
    <row r="2726" spans="1:4" ht="15" x14ac:dyDescent="0.25">
      <c r="A2726"/>
      <c r="B2726"/>
      <c r="C2726"/>
      <c r="D2726"/>
    </row>
    <row r="2727" spans="1:4" ht="15" x14ac:dyDescent="0.25">
      <c r="A2727"/>
      <c r="B2727"/>
      <c r="C2727"/>
      <c r="D2727"/>
    </row>
    <row r="2728" spans="1:4" ht="15" x14ac:dyDescent="0.25">
      <c r="A2728"/>
      <c r="B2728"/>
      <c r="C2728"/>
      <c r="D2728"/>
    </row>
    <row r="2729" spans="1:4" ht="15" x14ac:dyDescent="0.25">
      <c r="A2729"/>
      <c r="B2729"/>
      <c r="C2729"/>
      <c r="D2729"/>
    </row>
    <row r="2730" spans="1:4" ht="15" x14ac:dyDescent="0.25">
      <c r="A2730"/>
      <c r="B2730"/>
      <c r="C2730"/>
      <c r="D2730"/>
    </row>
    <row r="2731" spans="1:4" ht="15" x14ac:dyDescent="0.25">
      <c r="A2731"/>
      <c r="B2731"/>
      <c r="C2731"/>
      <c r="D2731"/>
    </row>
    <row r="2732" spans="1:4" ht="15" x14ac:dyDescent="0.25">
      <c r="A2732"/>
      <c r="B2732"/>
      <c r="C2732"/>
      <c r="D2732"/>
    </row>
    <row r="2733" spans="1:4" ht="15" x14ac:dyDescent="0.25">
      <c r="A2733"/>
      <c r="B2733"/>
      <c r="C2733"/>
      <c r="D2733"/>
    </row>
    <row r="2734" spans="1:4" ht="15" x14ac:dyDescent="0.25">
      <c r="A2734"/>
      <c r="B2734"/>
      <c r="C2734"/>
      <c r="D2734"/>
    </row>
    <row r="2735" spans="1:4" ht="15" x14ac:dyDescent="0.25">
      <c r="A2735"/>
      <c r="B2735"/>
      <c r="C2735"/>
      <c r="D2735"/>
    </row>
    <row r="2736" spans="1:4" ht="15" x14ac:dyDescent="0.25">
      <c r="A2736"/>
      <c r="B2736"/>
      <c r="C2736"/>
      <c r="D2736"/>
    </row>
    <row r="2737" spans="1:4" ht="15" x14ac:dyDescent="0.25">
      <c r="A2737"/>
      <c r="B2737"/>
      <c r="C2737"/>
      <c r="D2737"/>
    </row>
    <row r="2738" spans="1:4" ht="15" x14ac:dyDescent="0.25">
      <c r="A2738"/>
      <c r="B2738"/>
      <c r="C2738"/>
      <c r="D2738"/>
    </row>
    <row r="2739" spans="1:4" ht="15" x14ac:dyDescent="0.25">
      <c r="A2739"/>
      <c r="B2739"/>
      <c r="C2739"/>
      <c r="D2739"/>
    </row>
    <row r="2740" spans="1:4" ht="15" x14ac:dyDescent="0.25">
      <c r="A2740"/>
      <c r="B2740"/>
      <c r="C2740"/>
      <c r="D2740"/>
    </row>
    <row r="2741" spans="1:4" ht="15" x14ac:dyDescent="0.25">
      <c r="A2741"/>
      <c r="B2741"/>
      <c r="C2741"/>
      <c r="D2741"/>
    </row>
    <row r="2742" spans="1:4" ht="15" x14ac:dyDescent="0.25">
      <c r="A2742"/>
      <c r="B2742"/>
      <c r="C2742"/>
      <c r="D2742"/>
    </row>
    <row r="2743" spans="1:4" ht="15" x14ac:dyDescent="0.25">
      <c r="A2743"/>
      <c r="B2743"/>
      <c r="C2743"/>
      <c r="D2743"/>
    </row>
    <row r="2744" spans="1:4" ht="15" x14ac:dyDescent="0.25">
      <c r="A2744"/>
      <c r="B2744"/>
      <c r="C2744"/>
      <c r="D2744"/>
    </row>
    <row r="2745" spans="1:4" ht="15" x14ac:dyDescent="0.25">
      <c r="A2745"/>
      <c r="B2745"/>
      <c r="C2745"/>
      <c r="D2745"/>
    </row>
    <row r="2746" spans="1:4" ht="15" x14ac:dyDescent="0.25">
      <c r="A2746"/>
      <c r="B2746"/>
      <c r="C2746"/>
      <c r="D2746"/>
    </row>
    <row r="2747" spans="1:4" ht="15" x14ac:dyDescent="0.25">
      <c r="A2747"/>
      <c r="B2747"/>
      <c r="C2747"/>
      <c r="D2747"/>
    </row>
    <row r="2748" spans="1:4" ht="15" x14ac:dyDescent="0.25">
      <c r="A2748"/>
      <c r="B2748"/>
      <c r="C2748"/>
      <c r="D2748"/>
    </row>
    <row r="2749" spans="1:4" ht="15" x14ac:dyDescent="0.25">
      <c r="A2749"/>
      <c r="B2749"/>
      <c r="C2749"/>
      <c r="D2749"/>
    </row>
    <row r="2750" spans="1:4" ht="15" x14ac:dyDescent="0.25">
      <c r="A2750"/>
      <c r="B2750"/>
      <c r="C2750"/>
      <c r="D2750"/>
    </row>
    <row r="2751" spans="1:4" ht="15" x14ac:dyDescent="0.25">
      <c r="A2751"/>
      <c r="B2751"/>
      <c r="C2751"/>
      <c r="D2751"/>
    </row>
    <row r="2752" spans="1:4" ht="15" x14ac:dyDescent="0.25">
      <c r="A2752"/>
      <c r="B2752"/>
      <c r="C2752"/>
      <c r="D2752"/>
    </row>
    <row r="2753" spans="1:4" ht="15" x14ac:dyDescent="0.25">
      <c r="A2753"/>
      <c r="B2753"/>
      <c r="C2753"/>
      <c r="D2753"/>
    </row>
    <row r="2754" spans="1:4" ht="15" x14ac:dyDescent="0.25">
      <c r="A2754"/>
      <c r="B2754"/>
      <c r="C2754"/>
      <c r="D2754"/>
    </row>
    <row r="2755" spans="1:4" ht="15" x14ac:dyDescent="0.25">
      <c r="A2755"/>
      <c r="B2755"/>
      <c r="C2755"/>
      <c r="D2755"/>
    </row>
    <row r="2756" spans="1:4" ht="15" x14ac:dyDescent="0.25">
      <c r="A2756"/>
      <c r="B2756"/>
      <c r="C2756"/>
      <c r="D2756"/>
    </row>
    <row r="2757" spans="1:4" ht="15" x14ac:dyDescent="0.25">
      <c r="A2757"/>
      <c r="B2757"/>
      <c r="C2757"/>
      <c r="D2757"/>
    </row>
    <row r="2758" spans="1:4" ht="15" x14ac:dyDescent="0.25">
      <c r="A2758"/>
      <c r="B2758"/>
      <c r="C2758"/>
      <c r="D2758"/>
    </row>
    <row r="2759" spans="1:4" ht="15" x14ac:dyDescent="0.25">
      <c r="A2759"/>
      <c r="B2759"/>
      <c r="C2759"/>
      <c r="D2759"/>
    </row>
    <row r="2760" spans="1:4" ht="15" x14ac:dyDescent="0.25">
      <c r="A2760"/>
      <c r="B2760"/>
      <c r="C2760"/>
      <c r="D2760"/>
    </row>
    <row r="2761" spans="1:4" ht="15" x14ac:dyDescent="0.25">
      <c r="A2761"/>
      <c r="B2761"/>
      <c r="C2761"/>
      <c r="D2761"/>
    </row>
    <row r="2762" spans="1:4" ht="15" x14ac:dyDescent="0.25">
      <c r="A2762"/>
      <c r="B2762"/>
      <c r="C2762"/>
      <c r="D2762"/>
    </row>
    <row r="2763" spans="1:4" ht="15" x14ac:dyDescent="0.25">
      <c r="A2763"/>
      <c r="B2763"/>
      <c r="C2763"/>
      <c r="D2763"/>
    </row>
    <row r="2764" spans="1:4" ht="15" x14ac:dyDescent="0.25">
      <c r="A2764"/>
      <c r="B2764"/>
      <c r="C2764"/>
      <c r="D2764"/>
    </row>
    <row r="2765" spans="1:4" ht="15" x14ac:dyDescent="0.25">
      <c r="A2765"/>
      <c r="B2765"/>
      <c r="C2765"/>
      <c r="D2765"/>
    </row>
    <row r="2766" spans="1:4" ht="15" x14ac:dyDescent="0.25">
      <c r="A2766"/>
      <c r="B2766"/>
      <c r="C2766"/>
      <c r="D2766"/>
    </row>
    <row r="2767" spans="1:4" ht="15" x14ac:dyDescent="0.25">
      <c r="A2767"/>
      <c r="B2767"/>
      <c r="C2767"/>
      <c r="D2767"/>
    </row>
    <row r="2768" spans="1:4" ht="15" x14ac:dyDescent="0.25">
      <c r="A2768"/>
      <c r="B2768"/>
      <c r="C2768"/>
      <c r="D2768"/>
    </row>
    <row r="2769" spans="1:4" ht="15" x14ac:dyDescent="0.25">
      <c r="A2769"/>
      <c r="B2769"/>
      <c r="C2769"/>
      <c r="D2769"/>
    </row>
    <row r="2770" spans="1:4" ht="15" x14ac:dyDescent="0.25">
      <c r="A2770"/>
      <c r="B2770"/>
      <c r="C2770"/>
      <c r="D2770"/>
    </row>
    <row r="2771" spans="1:4" ht="15" x14ac:dyDescent="0.25">
      <c r="A2771"/>
      <c r="B2771"/>
      <c r="C2771"/>
      <c r="D2771"/>
    </row>
    <row r="2772" spans="1:4" ht="15" x14ac:dyDescent="0.25">
      <c r="A2772"/>
      <c r="B2772"/>
      <c r="C2772"/>
      <c r="D2772"/>
    </row>
    <row r="2773" spans="1:4" ht="15" x14ac:dyDescent="0.25">
      <c r="A2773"/>
      <c r="B2773"/>
      <c r="C2773"/>
      <c r="D2773"/>
    </row>
    <row r="2774" spans="1:4" ht="15" x14ac:dyDescent="0.25">
      <c r="A2774"/>
      <c r="B2774"/>
      <c r="C2774"/>
      <c r="D2774"/>
    </row>
    <row r="2775" spans="1:4" ht="15" x14ac:dyDescent="0.25">
      <c r="A2775"/>
      <c r="B2775"/>
      <c r="C2775"/>
      <c r="D2775"/>
    </row>
    <row r="2776" spans="1:4" ht="15" x14ac:dyDescent="0.25">
      <c r="A2776"/>
      <c r="B2776"/>
      <c r="C2776"/>
      <c r="D2776"/>
    </row>
    <row r="2777" spans="1:4" ht="15" x14ac:dyDescent="0.25">
      <c r="A2777"/>
      <c r="B2777"/>
      <c r="C2777"/>
      <c r="D2777"/>
    </row>
    <row r="2778" spans="1:4" ht="15" x14ac:dyDescent="0.25">
      <c r="A2778"/>
      <c r="B2778"/>
      <c r="C2778"/>
      <c r="D2778"/>
    </row>
    <row r="2779" spans="1:4" ht="15" x14ac:dyDescent="0.25">
      <c r="A2779"/>
      <c r="B2779"/>
      <c r="C2779"/>
      <c r="D2779"/>
    </row>
    <row r="2780" spans="1:4" ht="15" x14ac:dyDescent="0.25">
      <c r="A2780"/>
      <c r="B2780"/>
      <c r="C2780"/>
      <c r="D2780"/>
    </row>
    <row r="2781" spans="1:4" ht="15" x14ac:dyDescent="0.25">
      <c r="A2781"/>
      <c r="B2781"/>
      <c r="C2781"/>
      <c r="D2781"/>
    </row>
    <row r="2782" spans="1:4" ht="15" x14ac:dyDescent="0.25">
      <c r="A2782"/>
      <c r="B2782"/>
      <c r="C2782"/>
      <c r="D2782"/>
    </row>
    <row r="2783" spans="1:4" ht="15" x14ac:dyDescent="0.25">
      <c r="A2783"/>
      <c r="B2783"/>
      <c r="C2783"/>
      <c r="D2783"/>
    </row>
    <row r="2784" spans="1:4" ht="15" x14ac:dyDescent="0.25">
      <c r="A2784"/>
      <c r="B2784"/>
      <c r="C2784"/>
      <c r="D2784"/>
    </row>
    <row r="2785" spans="1:4" ht="15" x14ac:dyDescent="0.25">
      <c r="A2785"/>
      <c r="B2785"/>
      <c r="C2785"/>
      <c r="D2785"/>
    </row>
    <row r="2786" spans="1:4" ht="15" x14ac:dyDescent="0.25">
      <c r="A2786"/>
      <c r="B2786"/>
      <c r="C2786"/>
      <c r="D2786"/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L4238"/>
  <sheetViews>
    <sheetView showGridLines="0" tabSelected="1" topLeftCell="B22" zoomScale="90" zoomScaleNormal="90" workbookViewId="0"/>
  </sheetViews>
  <sheetFormatPr defaultRowHeight="15" x14ac:dyDescent="0.25"/>
  <cols>
    <col min="1" max="1" width="16.28515625" bestFit="1" customWidth="1"/>
    <col min="2" max="2" width="1.28515625" customWidth="1"/>
    <col min="3" max="3" width="0.7109375" customWidth="1"/>
    <col min="4" max="4" width="32.42578125" bestFit="1" customWidth="1"/>
    <col min="5" max="5" width="15.28515625" bestFit="1" customWidth="1"/>
    <col min="6" max="6" width="16.5703125" bestFit="1" customWidth="1"/>
    <col min="7" max="7" width="17.42578125" customWidth="1"/>
    <col min="8" max="8" width="16.7109375" bestFit="1" customWidth="1"/>
    <col min="9" max="9" width="15.28515625" customWidth="1"/>
    <col min="10" max="10" width="20" bestFit="1" customWidth="1"/>
    <col min="11" max="11" width="19.28515625" bestFit="1" customWidth="1"/>
    <col min="12" max="12" width="19.7109375" bestFit="1" customWidth="1"/>
  </cols>
  <sheetData>
    <row r="1" spans="1:12" x14ac:dyDescent="0.25">
      <c r="A1" s="47"/>
    </row>
    <row r="2" spans="1:12" x14ac:dyDescent="0.25">
      <c r="A2" s="2"/>
      <c r="C2" s="2"/>
      <c r="E2" s="94" t="s">
        <v>44</v>
      </c>
      <c r="F2" s="95"/>
      <c r="G2" s="94" t="s">
        <v>26</v>
      </c>
      <c r="H2" s="95"/>
      <c r="I2" s="94" t="s">
        <v>27</v>
      </c>
      <c r="J2" s="95"/>
      <c r="K2" s="92" t="s">
        <v>28</v>
      </c>
      <c r="L2" s="92" t="s">
        <v>29</v>
      </c>
    </row>
    <row r="3" spans="1:12" x14ac:dyDescent="0.25">
      <c r="A3" s="2"/>
      <c r="C3" s="2"/>
      <c r="D3" s="13" t="s">
        <v>103</v>
      </c>
      <c r="E3" s="13" t="s">
        <v>31</v>
      </c>
      <c r="F3" s="13" t="s">
        <v>32</v>
      </c>
      <c r="G3" s="13" t="s">
        <v>31</v>
      </c>
      <c r="H3" s="13" t="s">
        <v>32</v>
      </c>
      <c r="I3" s="13" t="s">
        <v>31</v>
      </c>
      <c r="J3" s="13" t="s">
        <v>32</v>
      </c>
      <c r="K3" s="93"/>
      <c r="L3" s="93"/>
    </row>
    <row r="4" spans="1:12" x14ac:dyDescent="0.25">
      <c r="A4" s="2"/>
      <c r="C4" s="2"/>
      <c r="D4" s="16" t="s">
        <v>92</v>
      </c>
      <c r="E4" s="4">
        <v>414</v>
      </c>
      <c r="F4" s="14">
        <v>150361.80000000008</v>
      </c>
      <c r="G4" s="6">
        <v>292</v>
      </c>
      <c r="H4" s="14">
        <v>96654.430000000022</v>
      </c>
      <c r="I4" s="6">
        <v>850</v>
      </c>
      <c r="J4" s="14">
        <v>276738.01999999984</v>
      </c>
      <c r="K4" s="4">
        <v>1556</v>
      </c>
      <c r="L4" s="14">
        <v>523754.24999999994</v>
      </c>
    </row>
    <row r="5" spans="1:12" x14ac:dyDescent="0.25">
      <c r="A5" s="2"/>
      <c r="C5" s="2"/>
      <c r="D5" s="16" t="s">
        <v>90</v>
      </c>
      <c r="E5" s="4">
        <v>345</v>
      </c>
      <c r="F5" s="14">
        <v>66205.309999999954</v>
      </c>
      <c r="G5" s="6">
        <v>368</v>
      </c>
      <c r="H5" s="14">
        <v>46172.899999999994</v>
      </c>
      <c r="I5" s="6">
        <v>3137</v>
      </c>
      <c r="J5" s="14">
        <v>214034.63999999969</v>
      </c>
      <c r="K5" s="4">
        <v>3850</v>
      </c>
      <c r="L5" s="14">
        <v>326412.84999999963</v>
      </c>
    </row>
    <row r="6" spans="1:12" x14ac:dyDescent="0.25">
      <c r="A6" s="2"/>
      <c r="C6" s="2"/>
      <c r="D6" s="16" t="s">
        <v>93</v>
      </c>
      <c r="E6" s="4">
        <v>270</v>
      </c>
      <c r="F6" s="14">
        <v>19915.229999999996</v>
      </c>
      <c r="G6" s="6">
        <v>251</v>
      </c>
      <c r="H6" s="14">
        <v>14510.289999999997</v>
      </c>
      <c r="I6" s="6">
        <v>2531</v>
      </c>
      <c r="J6" s="14">
        <v>84458.670000000013</v>
      </c>
      <c r="K6" s="4">
        <v>3052</v>
      </c>
      <c r="L6" s="14">
        <v>118884.19</v>
      </c>
    </row>
    <row r="7" spans="1:12" x14ac:dyDescent="0.25">
      <c r="A7" s="2"/>
      <c r="C7" s="2"/>
      <c r="D7" s="16" t="s">
        <v>96</v>
      </c>
      <c r="E7" s="4">
        <v>639</v>
      </c>
      <c r="F7" s="14">
        <v>57027.280000000035</v>
      </c>
      <c r="G7" s="6">
        <v>197</v>
      </c>
      <c r="H7" s="14">
        <v>7441.7399999999989</v>
      </c>
      <c r="I7" s="6">
        <v>1105</v>
      </c>
      <c r="J7" s="14">
        <v>34636.570000000014</v>
      </c>
      <c r="K7" s="4">
        <v>1941</v>
      </c>
      <c r="L7" s="14">
        <v>99105.590000000055</v>
      </c>
    </row>
    <row r="8" spans="1:12" x14ac:dyDescent="0.25">
      <c r="A8" s="2"/>
      <c r="C8" s="2"/>
      <c r="D8" s="16" t="s">
        <v>95</v>
      </c>
      <c r="E8" s="4">
        <v>462</v>
      </c>
      <c r="F8" s="14">
        <v>44328.600000000006</v>
      </c>
      <c r="G8" s="6">
        <v>70</v>
      </c>
      <c r="H8" s="14">
        <v>6588.4200000000019</v>
      </c>
      <c r="I8" s="6">
        <v>522</v>
      </c>
      <c r="J8" s="14">
        <v>27350.079999999998</v>
      </c>
      <c r="K8" s="4">
        <v>1054</v>
      </c>
      <c r="L8" s="14">
        <v>78267.100000000006</v>
      </c>
    </row>
    <row r="9" spans="1:12" x14ac:dyDescent="0.25">
      <c r="A9" s="2"/>
      <c r="C9" s="2"/>
      <c r="D9" s="16" t="s">
        <v>91</v>
      </c>
      <c r="E9" s="4">
        <v>217</v>
      </c>
      <c r="F9" s="14">
        <v>23751.310000000012</v>
      </c>
      <c r="G9" s="6">
        <v>85</v>
      </c>
      <c r="H9" s="14">
        <v>9074.01</v>
      </c>
      <c r="I9" s="6">
        <v>760</v>
      </c>
      <c r="J9" s="14">
        <v>29741.440000000002</v>
      </c>
      <c r="K9" s="4">
        <v>1062</v>
      </c>
      <c r="L9" s="14">
        <v>62566.760000000017</v>
      </c>
    </row>
    <row r="10" spans="1:12" x14ac:dyDescent="0.25">
      <c r="A10" s="2"/>
      <c r="C10" s="2"/>
      <c r="D10" s="16" t="s">
        <v>94</v>
      </c>
      <c r="E10" s="4">
        <v>391</v>
      </c>
      <c r="F10" s="14">
        <v>7387.05</v>
      </c>
      <c r="G10" s="6">
        <v>310</v>
      </c>
      <c r="H10" s="14">
        <v>4951.18</v>
      </c>
      <c r="I10" s="6">
        <v>4835</v>
      </c>
      <c r="J10" s="14">
        <v>46891.239999999976</v>
      </c>
      <c r="K10" s="4">
        <v>5536</v>
      </c>
      <c r="L10" s="14">
        <v>59229.469999999972</v>
      </c>
    </row>
    <row r="11" spans="1:12" x14ac:dyDescent="0.25">
      <c r="A11" s="2"/>
      <c r="C11" s="2"/>
      <c r="D11" s="16" t="s">
        <v>97</v>
      </c>
      <c r="E11" s="4">
        <v>391</v>
      </c>
      <c r="F11" s="14">
        <v>40009.95000000007</v>
      </c>
      <c r="G11" s="6">
        <v>30</v>
      </c>
      <c r="H11" s="14">
        <v>3331.9900000000002</v>
      </c>
      <c r="I11" s="6">
        <v>47</v>
      </c>
      <c r="J11" s="14">
        <v>7285.7999999999993</v>
      </c>
      <c r="K11" s="4">
        <v>468</v>
      </c>
      <c r="L11" s="14">
        <v>50627.740000000063</v>
      </c>
    </row>
    <row r="12" spans="1:12" x14ac:dyDescent="0.25">
      <c r="A12" s="2"/>
      <c r="C12" s="2"/>
      <c r="D12" s="16" t="s">
        <v>98</v>
      </c>
      <c r="E12" s="4">
        <v>287</v>
      </c>
      <c r="F12" s="14">
        <v>6104.7600000000011</v>
      </c>
      <c r="G12" s="6">
        <v>21</v>
      </c>
      <c r="H12" s="14">
        <v>397.71</v>
      </c>
      <c r="I12" s="6">
        <v>810</v>
      </c>
      <c r="J12" s="14">
        <v>10838.130000000003</v>
      </c>
      <c r="K12" s="4">
        <v>1118</v>
      </c>
      <c r="L12" s="14">
        <v>17340.600000000006</v>
      </c>
    </row>
    <row r="13" spans="1:12" x14ac:dyDescent="0.25">
      <c r="A13" s="2"/>
      <c r="C13" s="2"/>
      <c r="D13" s="16" t="s">
        <v>101</v>
      </c>
      <c r="E13" s="4">
        <v>37</v>
      </c>
      <c r="F13" s="14">
        <v>604.96999999999991</v>
      </c>
      <c r="G13" s="6">
        <v>24</v>
      </c>
      <c r="H13" s="14">
        <v>827.94</v>
      </c>
      <c r="I13" s="6">
        <v>424</v>
      </c>
      <c r="J13" s="14">
        <v>10119.870000000004</v>
      </c>
      <c r="K13" s="4">
        <v>485</v>
      </c>
      <c r="L13" s="14">
        <v>11552.780000000004</v>
      </c>
    </row>
    <row r="14" spans="1:12" x14ac:dyDescent="0.25">
      <c r="A14" s="2"/>
      <c r="C14" s="2"/>
      <c r="D14" s="16" t="s">
        <v>100</v>
      </c>
      <c r="E14" s="4">
        <v>3</v>
      </c>
      <c r="F14" s="14">
        <v>234.62</v>
      </c>
      <c r="G14" s="6">
        <v>15</v>
      </c>
      <c r="H14" s="14">
        <v>652.81999999999994</v>
      </c>
      <c r="I14" s="6">
        <v>2635</v>
      </c>
      <c r="J14" s="14">
        <v>5931.29</v>
      </c>
      <c r="K14" s="4">
        <v>2653</v>
      </c>
      <c r="L14" s="14">
        <v>6818.73</v>
      </c>
    </row>
    <row r="15" spans="1:12" x14ac:dyDescent="0.25">
      <c r="A15" s="2"/>
      <c r="C15" s="2"/>
      <c r="D15" s="16" t="s">
        <v>99</v>
      </c>
      <c r="E15" s="4">
        <v>49</v>
      </c>
      <c r="F15" s="14">
        <v>2991.6700000000005</v>
      </c>
      <c r="G15" s="6">
        <v>31</v>
      </c>
      <c r="H15" s="14">
        <v>981.83</v>
      </c>
      <c r="I15" s="6">
        <v>70</v>
      </c>
      <c r="J15" s="14">
        <v>704.40000000000009</v>
      </c>
      <c r="K15" s="4">
        <v>150</v>
      </c>
      <c r="L15" s="14">
        <v>4677.9000000000005</v>
      </c>
    </row>
    <row r="16" spans="1:12" x14ac:dyDescent="0.25">
      <c r="A16" s="2"/>
      <c r="C16" s="2"/>
      <c r="D16" s="16" t="s">
        <v>102</v>
      </c>
      <c r="E16" s="4">
        <v>3</v>
      </c>
      <c r="F16" s="14">
        <v>67.180000000000007</v>
      </c>
      <c r="G16" s="6">
        <v>1</v>
      </c>
      <c r="H16" s="14">
        <v>193.3</v>
      </c>
      <c r="I16" s="6">
        <v>4</v>
      </c>
      <c r="J16" s="14">
        <v>41.78</v>
      </c>
      <c r="K16" s="4">
        <v>8</v>
      </c>
      <c r="L16" s="14">
        <v>302.26</v>
      </c>
    </row>
    <row r="17" spans="1:12" x14ac:dyDescent="0.25">
      <c r="A17" s="2"/>
      <c r="C17" s="2"/>
      <c r="D17" s="9" t="s">
        <v>33</v>
      </c>
      <c r="E17" s="25">
        <v>607</v>
      </c>
      <c r="F17" s="9">
        <f>SUM(F4:F16)</f>
        <v>418989.7300000001</v>
      </c>
      <c r="G17" s="38">
        <v>5121</v>
      </c>
      <c r="H17" s="9">
        <f>SUM(H4:H16)</f>
        <v>191778.56</v>
      </c>
      <c r="I17" s="25">
        <v>14574</v>
      </c>
      <c r="J17" s="9">
        <f>SUM(J4:J16)</f>
        <v>748771.92999999982</v>
      </c>
      <c r="K17" s="25">
        <v>20302</v>
      </c>
      <c r="L17" s="46">
        <f>SUM(L4:L16)</f>
        <v>1359540.2199999997</v>
      </c>
    </row>
    <row r="18" spans="1:12" x14ac:dyDescent="0.25">
      <c r="A18" s="2"/>
      <c r="C18" s="2"/>
      <c r="D18" s="9" t="s">
        <v>269</v>
      </c>
      <c r="E18" s="25">
        <f>E17</f>
        <v>607</v>
      </c>
      <c r="F18" s="9">
        <f>F17*0.73</f>
        <v>305862.50290000008</v>
      </c>
      <c r="G18" s="25">
        <f>G17</f>
        <v>5121</v>
      </c>
      <c r="H18" s="9">
        <f>H17*0.73</f>
        <v>139998.34880000001</v>
      </c>
      <c r="I18" s="25">
        <f>I17</f>
        <v>14574</v>
      </c>
      <c r="J18" s="9">
        <f>J17*0.73</f>
        <v>546603.5088999999</v>
      </c>
      <c r="K18" s="25">
        <f>K17</f>
        <v>20302</v>
      </c>
      <c r="L18" s="46">
        <f>L17*0.73</f>
        <v>992464.36059999978</v>
      </c>
    </row>
    <row r="19" spans="1:12" x14ac:dyDescent="0.25">
      <c r="A19" s="2"/>
      <c r="C19" s="2"/>
      <c r="H19" s="7">
        <f>H18+F18</f>
        <v>445860.85170000012</v>
      </c>
      <c r="K19" s="48"/>
      <c r="L19" s="48"/>
    </row>
    <row r="20" spans="1:12" x14ac:dyDescent="0.25">
      <c r="A20" s="2"/>
      <c r="C20" s="2"/>
      <c r="K20" s="48"/>
      <c r="L20" s="49"/>
    </row>
    <row r="21" spans="1:12" x14ac:dyDescent="0.25">
      <c r="A21" s="2"/>
      <c r="C21" s="2"/>
      <c r="K21" s="50"/>
      <c r="L21" s="49"/>
    </row>
    <row r="22" spans="1:12" x14ac:dyDescent="0.25">
      <c r="A22" s="2"/>
      <c r="C22" s="2"/>
    </row>
    <row r="23" spans="1:12" x14ac:dyDescent="0.25">
      <c r="A23" s="2"/>
      <c r="C23" s="2"/>
      <c r="D23" s="13" t="s">
        <v>30</v>
      </c>
      <c r="E23" s="13" t="s">
        <v>44</v>
      </c>
      <c r="F23" s="13" t="s">
        <v>26</v>
      </c>
      <c r="G23" s="13" t="s">
        <v>27</v>
      </c>
      <c r="H23" s="13" t="s">
        <v>33</v>
      </c>
      <c r="I23" s="13" t="s">
        <v>43</v>
      </c>
    </row>
    <row r="24" spans="1:12" x14ac:dyDescent="0.25">
      <c r="A24" s="2"/>
      <c r="C24" s="2"/>
      <c r="D24" s="39" t="s">
        <v>153</v>
      </c>
      <c r="E24" s="42">
        <v>29029.230000000003</v>
      </c>
      <c r="F24" s="21">
        <v>31112.23</v>
      </c>
      <c r="G24" s="42">
        <v>89392.680000000008</v>
      </c>
      <c r="H24" s="42">
        <v>149534.14000000001</v>
      </c>
      <c r="I24" s="37">
        <v>0.10998875781696277</v>
      </c>
    </row>
    <row r="25" spans="1:12" x14ac:dyDescent="0.25">
      <c r="A25" s="2"/>
      <c r="C25" s="2"/>
      <c r="D25" s="39" t="s">
        <v>131</v>
      </c>
      <c r="E25" s="42">
        <v>2342.23</v>
      </c>
      <c r="F25" s="21">
        <v>1138.5000000000002</v>
      </c>
      <c r="G25" s="42">
        <v>134084.95000000004</v>
      </c>
      <c r="H25" s="42">
        <v>137565.68000000005</v>
      </c>
      <c r="I25" s="37">
        <v>0.10118544341409796</v>
      </c>
    </row>
    <row r="26" spans="1:12" x14ac:dyDescent="0.25">
      <c r="A26" s="2"/>
      <c r="C26" s="2"/>
      <c r="D26" s="39" t="s">
        <v>261</v>
      </c>
      <c r="E26" s="42">
        <v>30958.81</v>
      </c>
      <c r="F26" s="21"/>
      <c r="G26" s="42">
        <v>276.73</v>
      </c>
      <c r="H26" s="42">
        <v>31235.54</v>
      </c>
      <c r="I26" s="37">
        <v>2.2975076088591225E-2</v>
      </c>
    </row>
    <row r="27" spans="1:12" x14ac:dyDescent="0.25">
      <c r="A27" s="2"/>
      <c r="C27" s="2"/>
      <c r="D27" s="39" t="s">
        <v>236</v>
      </c>
      <c r="E27" s="42">
        <v>18851.68</v>
      </c>
      <c r="F27" s="21"/>
      <c r="G27" s="42">
        <v>10118.85</v>
      </c>
      <c r="H27" s="42">
        <v>28970.53</v>
      </c>
      <c r="I27" s="37">
        <v>2.1309064324702396E-2</v>
      </c>
    </row>
    <row r="28" spans="1:12" x14ac:dyDescent="0.25">
      <c r="A28" s="2"/>
      <c r="C28" s="2"/>
      <c r="D28" s="39" t="s">
        <v>202</v>
      </c>
      <c r="E28" s="42">
        <v>4341.41</v>
      </c>
      <c r="F28" s="21">
        <v>12439.24</v>
      </c>
      <c r="G28" s="42">
        <v>6442.9299999999994</v>
      </c>
      <c r="H28" s="42">
        <v>23223.58</v>
      </c>
      <c r="I28" s="37">
        <v>1.7081936715340456E-2</v>
      </c>
    </row>
    <row r="29" spans="1:12" x14ac:dyDescent="0.25">
      <c r="A29" s="2"/>
      <c r="C29" s="2"/>
      <c r="D29" s="39" t="s">
        <v>19</v>
      </c>
      <c r="E29" s="42">
        <v>6712.7699999999986</v>
      </c>
      <c r="F29" s="21">
        <v>8314.9700000000012</v>
      </c>
      <c r="G29" s="42">
        <v>6884.579999999999</v>
      </c>
      <c r="H29" s="42">
        <v>21912.32</v>
      </c>
      <c r="I29" s="37">
        <v>1.6117448882828959E-2</v>
      </c>
    </row>
    <row r="30" spans="1:12" x14ac:dyDescent="0.25">
      <c r="A30" s="2"/>
      <c r="C30" s="2"/>
      <c r="D30" s="39" t="s">
        <v>244</v>
      </c>
      <c r="E30" s="42"/>
      <c r="F30" s="21"/>
      <c r="G30" s="42">
        <v>20215.399999999998</v>
      </c>
      <c r="H30" s="42">
        <v>20215.399999999998</v>
      </c>
      <c r="I30" s="37">
        <v>1.486929161978013E-2</v>
      </c>
    </row>
    <row r="31" spans="1:12" x14ac:dyDescent="0.25">
      <c r="A31" s="2"/>
      <c r="C31" s="2"/>
      <c r="D31" s="39" t="s">
        <v>125</v>
      </c>
      <c r="E31" s="42"/>
      <c r="F31" s="21">
        <v>19843.30999999999</v>
      </c>
      <c r="G31" s="42"/>
      <c r="H31" s="42">
        <v>19843.30999999999</v>
      </c>
      <c r="I31" s="37">
        <v>1.4595603504837852E-2</v>
      </c>
    </row>
    <row r="32" spans="1:12" x14ac:dyDescent="0.25">
      <c r="A32" s="2"/>
      <c r="C32" s="2"/>
      <c r="D32" s="39" t="s">
        <v>200</v>
      </c>
      <c r="E32" s="42">
        <v>9704.7899999999991</v>
      </c>
      <c r="F32" s="21"/>
      <c r="G32" s="42">
        <v>10017.039999999999</v>
      </c>
      <c r="H32" s="42">
        <v>19721.829999999998</v>
      </c>
      <c r="I32" s="37">
        <v>1.4506249767292674E-2</v>
      </c>
    </row>
    <row r="33" spans="1:9" x14ac:dyDescent="0.25">
      <c r="A33" s="2"/>
      <c r="C33" s="2"/>
      <c r="D33" s="39" t="s">
        <v>253</v>
      </c>
      <c r="E33" s="42">
        <v>16956.82</v>
      </c>
      <c r="F33" s="21"/>
      <c r="G33" s="42">
        <v>2325.5</v>
      </c>
      <c r="H33" s="42">
        <v>19282.32</v>
      </c>
      <c r="I33" s="37">
        <v>1.4182971357772727E-2</v>
      </c>
    </row>
    <row r="34" spans="1:9" x14ac:dyDescent="0.25">
      <c r="A34" s="2"/>
      <c r="C34" s="2"/>
      <c r="D34" s="39" t="s">
        <v>258</v>
      </c>
      <c r="E34" s="42">
        <v>10012.519999999999</v>
      </c>
      <c r="F34" s="21"/>
      <c r="G34" s="42">
        <v>7495.5899999999992</v>
      </c>
      <c r="H34" s="42">
        <v>17508.109999999997</v>
      </c>
      <c r="I34" s="37">
        <v>1.2877963992856369E-2</v>
      </c>
    </row>
    <row r="35" spans="1:9" x14ac:dyDescent="0.25">
      <c r="A35" s="2"/>
      <c r="C35" s="2"/>
      <c r="D35" s="39" t="s">
        <v>76</v>
      </c>
      <c r="E35" s="42">
        <v>4128.22</v>
      </c>
      <c r="F35" s="21">
        <v>6278.05</v>
      </c>
      <c r="G35" s="42">
        <v>6993.4699999999993</v>
      </c>
      <c r="H35" s="42">
        <v>17399.739999999998</v>
      </c>
      <c r="I35" s="37">
        <v>1.2798253221225062E-2</v>
      </c>
    </row>
    <row r="36" spans="1:9" x14ac:dyDescent="0.25">
      <c r="A36" s="2"/>
      <c r="C36" s="2"/>
      <c r="D36" s="39" t="s">
        <v>233</v>
      </c>
      <c r="E36" s="42">
        <v>717.81</v>
      </c>
      <c r="F36" s="21"/>
      <c r="G36" s="42">
        <v>16509.669999999998</v>
      </c>
      <c r="H36" s="42">
        <v>17227.48</v>
      </c>
      <c r="I36" s="37">
        <v>1.2671548621047805E-2</v>
      </c>
    </row>
    <row r="37" spans="1:9" x14ac:dyDescent="0.25">
      <c r="A37" s="2"/>
      <c r="C37" s="2"/>
      <c r="D37" s="39" t="s">
        <v>15</v>
      </c>
      <c r="E37" s="42">
        <v>9595.7199999999975</v>
      </c>
      <c r="F37" s="21">
        <v>1116.98</v>
      </c>
      <c r="G37" s="42">
        <v>5704.5</v>
      </c>
      <c r="H37" s="42">
        <v>16417.199999999997</v>
      </c>
      <c r="I37" s="37">
        <v>1.2075553013062037E-2</v>
      </c>
    </row>
    <row r="38" spans="1:9" x14ac:dyDescent="0.25">
      <c r="A38" s="2"/>
      <c r="C38" s="2"/>
      <c r="D38" s="39" t="s">
        <v>227</v>
      </c>
      <c r="E38" s="42">
        <v>2244.19</v>
      </c>
      <c r="F38" s="21"/>
      <c r="G38" s="42">
        <v>14033.61</v>
      </c>
      <c r="H38" s="42">
        <v>16277.800000000001</v>
      </c>
      <c r="I38" s="37">
        <v>1.1973018348806208E-2</v>
      </c>
    </row>
    <row r="39" spans="1:9" x14ac:dyDescent="0.25">
      <c r="A39" s="2"/>
      <c r="C39" s="2"/>
      <c r="D39" s="39" t="s">
        <v>293</v>
      </c>
      <c r="E39" s="42"/>
      <c r="F39" s="21"/>
      <c r="G39" s="42">
        <v>15499.050000000001</v>
      </c>
      <c r="H39" s="42">
        <v>15499.050000000001</v>
      </c>
      <c r="I39" s="37">
        <v>1.1400214404837562E-2</v>
      </c>
    </row>
    <row r="40" spans="1:9" x14ac:dyDescent="0.25">
      <c r="A40" s="2"/>
      <c r="C40" s="2"/>
      <c r="D40" s="39" t="s">
        <v>17</v>
      </c>
      <c r="E40" s="42"/>
      <c r="F40" s="21">
        <v>667.17</v>
      </c>
      <c r="G40" s="42">
        <v>14686.329999999998</v>
      </c>
      <c r="H40" s="42">
        <v>15353.499999999998</v>
      </c>
      <c r="I40" s="37">
        <v>1.1293156152452794E-2</v>
      </c>
    </row>
    <row r="41" spans="1:9" x14ac:dyDescent="0.25">
      <c r="A41" s="2"/>
      <c r="C41" s="2"/>
      <c r="D41" s="39" t="s">
        <v>126</v>
      </c>
      <c r="E41" s="42"/>
      <c r="F41" s="21"/>
      <c r="G41" s="42">
        <v>14993.679999999998</v>
      </c>
      <c r="H41" s="42">
        <v>14993.679999999998</v>
      </c>
      <c r="I41" s="37">
        <v>1.1028493147484835E-2</v>
      </c>
    </row>
    <row r="42" spans="1:9" x14ac:dyDescent="0.25">
      <c r="A42" s="2"/>
      <c r="C42" s="2"/>
      <c r="D42" s="39" t="s">
        <v>130</v>
      </c>
      <c r="E42" s="42">
        <v>1417.0500000000002</v>
      </c>
      <c r="F42" s="21">
        <v>1651.1599999999999</v>
      </c>
      <c r="G42" s="42">
        <v>10788.07</v>
      </c>
      <c r="H42" s="42">
        <v>13856.279999999999</v>
      </c>
      <c r="I42" s="37">
        <v>1.0191886783606904E-2</v>
      </c>
    </row>
    <row r="43" spans="1:9" x14ac:dyDescent="0.25">
      <c r="A43" s="2"/>
      <c r="C43" s="2"/>
      <c r="D43" s="39" t="s">
        <v>167</v>
      </c>
      <c r="E43" s="42">
        <v>1643.31</v>
      </c>
      <c r="F43" s="21">
        <v>264.2</v>
      </c>
      <c r="G43" s="42">
        <v>11272.920000000002</v>
      </c>
      <c r="H43" s="42">
        <v>13180.430000000002</v>
      </c>
      <c r="I43" s="37">
        <v>9.6947701922345669E-3</v>
      </c>
    </row>
    <row r="44" spans="1:9" x14ac:dyDescent="0.25">
      <c r="A44" s="2"/>
      <c r="C44" s="2"/>
      <c r="D44" s="39" t="s">
        <v>14</v>
      </c>
      <c r="E44" s="42"/>
      <c r="F44" s="21">
        <v>2916.5600000000004</v>
      </c>
      <c r="G44" s="42">
        <v>9592.8100000000013</v>
      </c>
      <c r="H44" s="42">
        <v>12509.370000000003</v>
      </c>
      <c r="I44" s="37">
        <v>9.2011768508032995E-3</v>
      </c>
    </row>
    <row r="45" spans="1:9" x14ac:dyDescent="0.25">
      <c r="A45" s="2"/>
      <c r="C45" s="2"/>
      <c r="D45" s="39" t="s">
        <v>151</v>
      </c>
      <c r="E45" s="42">
        <v>682.61</v>
      </c>
      <c r="F45" s="21">
        <v>2784.53</v>
      </c>
      <c r="G45" s="42">
        <v>8582.08</v>
      </c>
      <c r="H45" s="42">
        <v>12049.220000000001</v>
      </c>
      <c r="I45" s="37">
        <v>8.8627168381969768E-3</v>
      </c>
    </row>
    <row r="46" spans="1:9" x14ac:dyDescent="0.25">
      <c r="A46" s="2"/>
      <c r="C46" s="2"/>
      <c r="D46" s="39" t="s">
        <v>80</v>
      </c>
      <c r="E46" s="42">
        <v>3022.21</v>
      </c>
      <c r="F46" s="21">
        <v>5674.6100000000006</v>
      </c>
      <c r="G46" s="42">
        <v>3208.81</v>
      </c>
      <c r="H46" s="42">
        <v>11905.63</v>
      </c>
      <c r="I46" s="37">
        <v>8.7571002496711868E-3</v>
      </c>
    </row>
    <row r="47" spans="1:9" x14ac:dyDescent="0.25">
      <c r="A47" s="2"/>
      <c r="C47" s="2"/>
      <c r="D47" s="39" t="s">
        <v>235</v>
      </c>
      <c r="E47" s="42"/>
      <c r="F47" s="21"/>
      <c r="G47" s="42">
        <v>11380.960000000001</v>
      </c>
      <c r="H47" s="42">
        <v>11380.960000000001</v>
      </c>
      <c r="I47" s="37">
        <v>8.3711830165642473E-3</v>
      </c>
    </row>
    <row r="48" spans="1:9" x14ac:dyDescent="0.25">
      <c r="A48" s="2"/>
      <c r="C48" s="2"/>
      <c r="D48" s="39" t="s">
        <v>292</v>
      </c>
      <c r="E48" s="42"/>
      <c r="F48" s="21"/>
      <c r="G48" s="42">
        <v>11296.769999999997</v>
      </c>
      <c r="H48" s="42">
        <v>11296.769999999997</v>
      </c>
      <c r="I48" s="37">
        <v>8.3092576694788894E-3</v>
      </c>
    </row>
    <row r="49" spans="1:9" x14ac:dyDescent="0.25">
      <c r="A49" s="2"/>
      <c r="C49" s="2"/>
      <c r="D49" s="39" t="s">
        <v>228</v>
      </c>
      <c r="E49" s="42"/>
      <c r="F49" s="21"/>
      <c r="G49" s="42">
        <v>10491.39</v>
      </c>
      <c r="H49" s="42">
        <v>10491.39</v>
      </c>
      <c r="I49" s="37">
        <v>7.7168662211405687E-3</v>
      </c>
    </row>
    <row r="50" spans="1:9" x14ac:dyDescent="0.25">
      <c r="A50" s="2"/>
      <c r="C50" s="2"/>
      <c r="D50" s="39" t="s">
        <v>136</v>
      </c>
      <c r="E50" s="42">
        <v>840.12999999999988</v>
      </c>
      <c r="F50" s="21">
        <v>1168.29</v>
      </c>
      <c r="G50" s="42">
        <v>7719.68</v>
      </c>
      <c r="H50" s="42">
        <v>9728.1</v>
      </c>
      <c r="I50" s="37">
        <v>7.1554337686309992E-3</v>
      </c>
    </row>
    <row r="51" spans="1:9" x14ac:dyDescent="0.25">
      <c r="A51" s="2"/>
      <c r="C51" s="2"/>
      <c r="D51" s="39" t="s">
        <v>281</v>
      </c>
      <c r="E51" s="42"/>
      <c r="F51" s="21"/>
      <c r="G51" s="42">
        <v>9289.8700000000008</v>
      </c>
      <c r="H51" s="42">
        <v>9289.8700000000008</v>
      </c>
      <c r="I51" s="37">
        <v>6.8330968538760969E-3</v>
      </c>
    </row>
    <row r="52" spans="1:9" x14ac:dyDescent="0.25">
      <c r="A52" s="2"/>
      <c r="C52" s="2"/>
      <c r="D52" s="39" t="s">
        <v>82</v>
      </c>
      <c r="E52" s="42">
        <v>6360.1</v>
      </c>
      <c r="F52" s="21"/>
      <c r="G52" s="42">
        <v>2470.1699999999996</v>
      </c>
      <c r="H52" s="42">
        <v>8830.27</v>
      </c>
      <c r="I52" s="37">
        <v>6.4950413898016311E-3</v>
      </c>
    </row>
    <row r="53" spans="1:9" x14ac:dyDescent="0.25">
      <c r="A53" s="2"/>
      <c r="C53" s="2"/>
      <c r="D53" s="39" t="s">
        <v>286</v>
      </c>
      <c r="E53" s="42"/>
      <c r="F53" s="21"/>
      <c r="G53" s="42">
        <v>8826.08</v>
      </c>
      <c r="H53" s="42">
        <v>8826.08</v>
      </c>
      <c r="I53" s="37">
        <v>6.4919594655316742E-3</v>
      </c>
    </row>
    <row r="54" spans="1:9" x14ac:dyDescent="0.25">
      <c r="A54" s="2"/>
      <c r="C54" s="2"/>
      <c r="D54" s="39" t="s">
        <v>224</v>
      </c>
      <c r="E54" s="42">
        <v>7169.56</v>
      </c>
      <c r="F54" s="21"/>
      <c r="G54" s="42">
        <v>1216.31</v>
      </c>
      <c r="H54" s="42">
        <v>8385.8700000000008</v>
      </c>
      <c r="I54" s="37">
        <v>6.1681661760620921E-3</v>
      </c>
    </row>
    <row r="55" spans="1:9" x14ac:dyDescent="0.25">
      <c r="A55" s="2"/>
      <c r="C55" s="2"/>
      <c r="D55" s="39" t="s">
        <v>218</v>
      </c>
      <c r="E55" s="42"/>
      <c r="F55" s="21"/>
      <c r="G55" s="42">
        <v>7800.85</v>
      </c>
      <c r="H55" s="42">
        <v>7800.85</v>
      </c>
      <c r="I55" s="37">
        <v>5.7378589358687854E-3</v>
      </c>
    </row>
    <row r="56" spans="1:9" x14ac:dyDescent="0.25">
      <c r="A56" s="2"/>
      <c r="C56" s="2"/>
      <c r="D56" s="39" t="s">
        <v>144</v>
      </c>
      <c r="E56" s="42"/>
      <c r="F56" s="21">
        <v>2093.9</v>
      </c>
      <c r="G56" s="42">
        <v>5143.05</v>
      </c>
      <c r="H56" s="42">
        <v>7236.9500000000007</v>
      </c>
      <c r="I56" s="37">
        <v>5.3230863592987438E-3</v>
      </c>
    </row>
    <row r="57" spans="1:9" x14ac:dyDescent="0.25">
      <c r="A57" s="2"/>
      <c r="C57" s="2"/>
      <c r="D57" s="39" t="s">
        <v>124</v>
      </c>
      <c r="E57" s="42"/>
      <c r="F57" s="21"/>
      <c r="G57" s="42">
        <v>7018.99</v>
      </c>
      <c r="H57" s="42">
        <v>7018.99</v>
      </c>
      <c r="I57" s="37">
        <v>5.1627674538381896E-3</v>
      </c>
    </row>
    <row r="58" spans="1:9" x14ac:dyDescent="0.25">
      <c r="A58" s="2"/>
      <c r="C58" s="2"/>
      <c r="D58" s="39" t="s">
        <v>229</v>
      </c>
      <c r="E58" s="42">
        <v>3100.7699999999995</v>
      </c>
      <c r="F58" s="21">
        <v>1410.52</v>
      </c>
      <c r="G58" s="42">
        <v>2473.12</v>
      </c>
      <c r="H58" s="42">
        <v>6984.4099999999989</v>
      </c>
      <c r="I58" s="37">
        <v>5.1373323843262328E-3</v>
      </c>
    </row>
    <row r="59" spans="1:9" x14ac:dyDescent="0.25">
      <c r="A59" s="2"/>
      <c r="C59" s="2"/>
      <c r="D59" s="39" t="s">
        <v>20</v>
      </c>
      <c r="E59" s="42"/>
      <c r="F59" s="21">
        <v>6391.84</v>
      </c>
      <c r="G59" s="42">
        <v>551.23</v>
      </c>
      <c r="H59" s="42">
        <v>6943.07</v>
      </c>
      <c r="I59" s="37">
        <v>5.1069250455863758E-3</v>
      </c>
    </row>
    <row r="60" spans="1:9" x14ac:dyDescent="0.25">
      <c r="A60" s="2"/>
      <c r="C60" s="2"/>
      <c r="D60" s="39" t="s">
        <v>271</v>
      </c>
      <c r="E60" s="42">
        <v>4928.74</v>
      </c>
      <c r="F60" s="21"/>
      <c r="G60" s="42">
        <v>1971.5</v>
      </c>
      <c r="H60" s="42">
        <v>6900.24</v>
      </c>
      <c r="I60" s="37">
        <v>5.0754217480965822E-3</v>
      </c>
    </row>
    <row r="61" spans="1:9" x14ac:dyDescent="0.25">
      <c r="A61" s="2"/>
      <c r="C61" s="2"/>
      <c r="D61" s="39" t="s">
        <v>141</v>
      </c>
      <c r="E61" s="42"/>
      <c r="F61" s="21"/>
      <c r="G61" s="42">
        <v>6665.4100000000008</v>
      </c>
      <c r="H61" s="42">
        <v>6665.4100000000008</v>
      </c>
      <c r="I61" s="37">
        <v>4.9026942358498318E-3</v>
      </c>
    </row>
    <row r="62" spans="1:9" x14ac:dyDescent="0.25">
      <c r="A62" s="2"/>
      <c r="C62" s="2"/>
      <c r="D62" s="39" t="s">
        <v>152</v>
      </c>
      <c r="E62" s="42">
        <v>573.76</v>
      </c>
      <c r="F62" s="21"/>
      <c r="G62" s="42">
        <v>6042.9600000000009</v>
      </c>
      <c r="H62" s="42">
        <v>6616.7200000000012</v>
      </c>
      <c r="I62" s="37">
        <v>4.8668806576388102E-3</v>
      </c>
    </row>
    <row r="63" spans="1:9" x14ac:dyDescent="0.25">
      <c r="A63" s="2"/>
      <c r="C63" s="2"/>
      <c r="D63" s="39" t="s">
        <v>263</v>
      </c>
      <c r="E63" s="42"/>
      <c r="F63" s="21"/>
      <c r="G63" s="42">
        <v>6488.4400000000005</v>
      </c>
      <c r="H63" s="42">
        <v>6488.4400000000005</v>
      </c>
      <c r="I63" s="37">
        <v>4.7725252291543176E-3</v>
      </c>
    </row>
    <row r="64" spans="1:9" x14ac:dyDescent="0.25">
      <c r="A64" s="2"/>
      <c r="C64" s="2"/>
      <c r="D64" s="39" t="s">
        <v>18</v>
      </c>
      <c r="E64" s="42">
        <v>1292.76</v>
      </c>
      <c r="F64" s="21">
        <v>22.23</v>
      </c>
      <c r="G64" s="42">
        <v>4972.079999999999</v>
      </c>
      <c r="H64" s="42">
        <v>6287.0699999999988</v>
      </c>
      <c r="I64" s="37">
        <v>4.6244089785001065E-3</v>
      </c>
    </row>
    <row r="65" spans="1:9" x14ac:dyDescent="0.25">
      <c r="A65" s="2"/>
      <c r="C65" s="2"/>
      <c r="D65" s="39" t="s">
        <v>140</v>
      </c>
      <c r="E65" s="42">
        <v>162.06</v>
      </c>
      <c r="F65" s="21">
        <v>1147.1199999999999</v>
      </c>
      <c r="G65" s="42">
        <v>4693.6400000000003</v>
      </c>
      <c r="H65" s="42">
        <v>6002.82</v>
      </c>
      <c r="I65" s="37">
        <v>4.4153309418091431E-3</v>
      </c>
    </row>
    <row r="66" spans="1:9" x14ac:dyDescent="0.25">
      <c r="A66" s="2"/>
      <c r="C66" s="2"/>
      <c r="D66" s="39" t="s">
        <v>127</v>
      </c>
      <c r="E66" s="42"/>
      <c r="F66" s="21"/>
      <c r="G66" s="42">
        <v>5927.3799999999983</v>
      </c>
      <c r="H66" s="42">
        <v>5927.3799999999983</v>
      </c>
      <c r="I66" s="37">
        <v>4.3598415940942215E-3</v>
      </c>
    </row>
    <row r="67" spans="1:9" x14ac:dyDescent="0.25">
      <c r="A67" s="2"/>
      <c r="C67" s="2"/>
      <c r="D67" s="39" t="s">
        <v>89</v>
      </c>
      <c r="E67" s="42">
        <v>22.34</v>
      </c>
      <c r="F67" s="21">
        <v>610.39</v>
      </c>
      <c r="G67" s="42">
        <v>5047.34</v>
      </c>
      <c r="H67" s="42">
        <v>5680.07</v>
      </c>
      <c r="I67" s="37">
        <v>4.1779345078882691E-3</v>
      </c>
    </row>
    <row r="68" spans="1:9" x14ac:dyDescent="0.25">
      <c r="A68" s="2"/>
      <c r="C68" s="2"/>
      <c r="D68" s="39" t="s">
        <v>280</v>
      </c>
      <c r="E68" s="42">
        <v>3665.21</v>
      </c>
      <c r="F68" s="21"/>
      <c r="G68" s="42">
        <v>1946.35</v>
      </c>
      <c r="H68" s="42">
        <v>5611.5599999999995</v>
      </c>
      <c r="I68" s="37">
        <v>4.1275424716747319E-3</v>
      </c>
    </row>
    <row r="69" spans="1:9" x14ac:dyDescent="0.25">
      <c r="A69" s="2"/>
      <c r="C69" s="2"/>
      <c r="D69" s="39" t="s">
        <v>145</v>
      </c>
      <c r="E69" s="42">
        <v>1628.9900000000002</v>
      </c>
      <c r="F69" s="21">
        <v>1299.45</v>
      </c>
      <c r="G69" s="42">
        <v>2669.19</v>
      </c>
      <c r="H69" s="42">
        <v>5597.630000000001</v>
      </c>
      <c r="I69" s="37">
        <v>4.1172963606770025E-3</v>
      </c>
    </row>
    <row r="70" spans="1:9" x14ac:dyDescent="0.25">
      <c r="A70" s="2"/>
      <c r="C70" s="2"/>
      <c r="D70" s="39" t="s">
        <v>206</v>
      </c>
      <c r="E70" s="42">
        <v>4891.0199999999995</v>
      </c>
      <c r="F70" s="21">
        <v>494.13</v>
      </c>
      <c r="G70" s="42"/>
      <c r="H70" s="42">
        <v>5385.15</v>
      </c>
      <c r="I70" s="37">
        <v>3.9610082296793019E-3</v>
      </c>
    </row>
    <row r="71" spans="1:9" x14ac:dyDescent="0.25">
      <c r="A71" s="2"/>
      <c r="C71" s="2"/>
      <c r="D71" s="39" t="s">
        <v>201</v>
      </c>
      <c r="E71" s="42"/>
      <c r="F71" s="21">
        <v>239.22</v>
      </c>
      <c r="G71" s="42">
        <v>5133.66</v>
      </c>
      <c r="H71" s="42">
        <v>5372.88</v>
      </c>
      <c r="I71" s="37">
        <v>3.9519831197049908E-3</v>
      </c>
    </row>
    <row r="72" spans="1:9" x14ac:dyDescent="0.25">
      <c r="A72" s="2"/>
      <c r="C72" s="2"/>
      <c r="D72" s="39" t="s">
        <v>256</v>
      </c>
      <c r="E72" s="42">
        <v>3987.04</v>
      </c>
      <c r="F72" s="21"/>
      <c r="G72" s="42">
        <v>912.04</v>
      </c>
      <c r="H72" s="42">
        <v>4899.08</v>
      </c>
      <c r="I72" s="37">
        <v>3.6034829480807921E-3</v>
      </c>
    </row>
    <row r="73" spans="1:9" x14ac:dyDescent="0.25">
      <c r="A73" s="2"/>
      <c r="C73" s="2"/>
      <c r="D73" s="39" t="s">
        <v>219</v>
      </c>
      <c r="E73" s="42">
        <v>103.51</v>
      </c>
      <c r="F73" s="21">
        <v>56.81</v>
      </c>
      <c r="G73" s="42">
        <v>4525.32</v>
      </c>
      <c r="H73" s="42">
        <v>4685.6399999999994</v>
      </c>
      <c r="I73" s="37">
        <v>3.4464886960093081E-3</v>
      </c>
    </row>
    <row r="74" spans="1:9" x14ac:dyDescent="0.25">
      <c r="A74" s="2"/>
      <c r="C74" s="2"/>
      <c r="D74" s="13" t="s">
        <v>122</v>
      </c>
      <c r="E74" s="24">
        <f>SUM(E24:E73)</f>
        <v>191087.36999999997</v>
      </c>
      <c r="F74" s="24">
        <f>SUM(F24:F73)</f>
        <v>109135.40999999997</v>
      </c>
      <c r="G74" s="24">
        <f>SUM(G24:G73)</f>
        <v>561793.0299999998</v>
      </c>
      <c r="H74" s="24">
        <f>SUM(H24:H73)</f>
        <v>862015.80999999994</v>
      </c>
      <c r="I74" s="23">
        <f>H74/$H$75</f>
        <v>2.095260537101681</v>
      </c>
    </row>
    <row r="75" spans="1:9" x14ac:dyDescent="0.25">
      <c r="A75" s="2"/>
      <c r="C75" s="2"/>
      <c r="D75" s="40" t="s">
        <v>33</v>
      </c>
      <c r="E75" s="9" t="e">
        <f>GETPIVOTDATA("  Val.Bruto.",Din!$A$25,"Status Reversa","Já faturadas")</f>
        <v>#REF!</v>
      </c>
      <c r="F75" s="9" t="e">
        <f>GETPIVOTDATA("  Val.Bruto.",Din!$A$25,"Status Reversa","Previsão fat no mês")</f>
        <v>#REF!</v>
      </c>
      <c r="G75" s="9">
        <f>GETPIVOTDATA("  Val.Bruto.",Din!$A$25,"Status Reversa","Previsão fat prox.mês")</f>
        <v>411412.22999999981</v>
      </c>
      <c r="H75" s="9">
        <f>GETPIVOTDATA("  Val.Bruto.",Din!$A$25)</f>
        <v>411412.22999999981</v>
      </c>
      <c r="I75" s="41">
        <f t="shared" ref="I75" si="0">H75/$H$75</f>
        <v>1</v>
      </c>
    </row>
    <row r="76" spans="1:9" x14ac:dyDescent="0.25">
      <c r="A76" s="2"/>
      <c r="C76" s="2"/>
    </row>
    <row r="77" spans="1:9" x14ac:dyDescent="0.25">
      <c r="A77" s="2"/>
      <c r="C77" s="2"/>
    </row>
    <row r="78" spans="1:9" x14ac:dyDescent="0.25">
      <c r="A78" s="2"/>
      <c r="C78" s="2"/>
    </row>
    <row r="79" spans="1:9" x14ac:dyDescent="0.25">
      <c r="A79" s="2"/>
      <c r="C79" s="2"/>
    </row>
    <row r="80" spans="1:9" x14ac:dyDescent="0.25">
      <c r="A80" s="2"/>
      <c r="C80" s="2"/>
    </row>
    <row r="81" spans="1:10" hidden="1" x14ac:dyDescent="0.25">
      <c r="A81" s="2"/>
      <c r="C81" s="2"/>
    </row>
    <row r="82" spans="1:10" hidden="1" x14ac:dyDescent="0.25">
      <c r="A82" s="2"/>
      <c r="C82" s="2"/>
      <c r="E82" s="94" t="s">
        <v>44</v>
      </c>
      <c r="F82" s="95"/>
      <c r="G82" s="94" t="s">
        <v>27</v>
      </c>
      <c r="H82" s="95"/>
      <c r="I82" s="92" t="s">
        <v>28</v>
      </c>
      <c r="J82" s="92" t="s">
        <v>29</v>
      </c>
    </row>
    <row r="83" spans="1:10" hidden="1" x14ac:dyDescent="0.25">
      <c r="A83" s="2"/>
      <c r="C83" s="2"/>
      <c r="D83" s="13" t="s">
        <v>103</v>
      </c>
      <c r="E83" s="13" t="s">
        <v>31</v>
      </c>
      <c r="F83" s="13" t="s">
        <v>32</v>
      </c>
      <c r="G83" s="13" t="s">
        <v>31</v>
      </c>
      <c r="H83" s="13" t="s">
        <v>32</v>
      </c>
      <c r="I83" s="93"/>
      <c r="J83" s="93"/>
    </row>
    <row r="84" spans="1:10" hidden="1" x14ac:dyDescent="0.25">
      <c r="A84" s="2"/>
      <c r="C84" s="2"/>
      <c r="D84" s="10" t="s">
        <v>92</v>
      </c>
      <c r="E84" s="17">
        <v>385</v>
      </c>
      <c r="F84" s="12">
        <v>93185.649999999936</v>
      </c>
      <c r="G84" s="11">
        <v>1148</v>
      </c>
      <c r="H84" s="12">
        <v>258345.97000000012</v>
      </c>
      <c r="I84" s="17">
        <v>1047</v>
      </c>
      <c r="J84" s="12">
        <v>228196.03000000003</v>
      </c>
    </row>
    <row r="85" spans="1:10" hidden="1" x14ac:dyDescent="0.25">
      <c r="A85" s="2"/>
      <c r="C85" s="2"/>
      <c r="D85" s="16" t="s">
        <v>90</v>
      </c>
      <c r="E85" s="4">
        <v>250</v>
      </c>
      <c r="F85" s="14">
        <v>28809.71999999999</v>
      </c>
      <c r="G85" s="6">
        <v>732</v>
      </c>
      <c r="H85" s="14">
        <v>70827.219999999972</v>
      </c>
      <c r="I85" s="4">
        <v>501</v>
      </c>
      <c r="J85" s="14">
        <v>53992.670000000006</v>
      </c>
    </row>
    <row r="86" spans="1:10" hidden="1" x14ac:dyDescent="0.25">
      <c r="A86" s="2"/>
      <c r="C86" s="2"/>
      <c r="D86" s="16" t="s">
        <v>93</v>
      </c>
      <c r="E86" s="4">
        <v>44</v>
      </c>
      <c r="F86" s="14">
        <v>2999.400000000001</v>
      </c>
      <c r="G86" s="6">
        <v>1757</v>
      </c>
      <c r="H86" s="14">
        <v>110393.17000000001</v>
      </c>
      <c r="I86" s="4">
        <v>402</v>
      </c>
      <c r="J86" s="14">
        <v>10478.230000000001</v>
      </c>
    </row>
    <row r="87" spans="1:10" hidden="1" x14ac:dyDescent="0.25">
      <c r="A87" s="2"/>
      <c r="C87" s="2"/>
      <c r="D87" s="16"/>
      <c r="E87" s="4"/>
      <c r="F87" s="14"/>
      <c r="G87" s="6"/>
      <c r="H87" s="14"/>
      <c r="I87" s="4"/>
      <c r="J87" s="14"/>
    </row>
    <row r="88" spans="1:10" hidden="1" x14ac:dyDescent="0.25">
      <c r="A88" s="2"/>
      <c r="C88" s="2"/>
      <c r="D88" s="16" t="s">
        <v>91</v>
      </c>
      <c r="E88" s="4">
        <v>110</v>
      </c>
      <c r="F88" s="14">
        <v>8001.0399999999991</v>
      </c>
      <c r="G88" s="6">
        <v>208</v>
      </c>
      <c r="H88" s="14">
        <v>11443.66</v>
      </c>
      <c r="I88" s="4">
        <v>128</v>
      </c>
      <c r="J88" s="14">
        <v>7506.6700000000019</v>
      </c>
    </row>
    <row r="89" spans="1:10" hidden="1" x14ac:dyDescent="0.25">
      <c r="A89" s="2"/>
      <c r="C89" s="2"/>
      <c r="D89" s="16" t="s">
        <v>95</v>
      </c>
      <c r="E89" s="4">
        <v>82</v>
      </c>
      <c r="F89" s="14">
        <v>4263.7700000000004</v>
      </c>
      <c r="G89" s="6">
        <v>245</v>
      </c>
      <c r="H89" s="14">
        <v>8651.9900000000016</v>
      </c>
      <c r="I89" s="4">
        <v>125</v>
      </c>
      <c r="J89" s="14">
        <v>2909.4900000000007</v>
      </c>
    </row>
    <row r="90" spans="1:10" hidden="1" x14ac:dyDescent="0.25">
      <c r="A90" s="2"/>
      <c r="C90" s="2"/>
      <c r="D90" s="16" t="s">
        <v>94</v>
      </c>
      <c r="E90" s="4">
        <v>68</v>
      </c>
      <c r="F90" s="14">
        <v>3130.58</v>
      </c>
      <c r="G90" s="6">
        <v>213</v>
      </c>
      <c r="H90" s="14">
        <v>7671.3799999999992</v>
      </c>
      <c r="I90" s="4">
        <v>62</v>
      </c>
      <c r="J90" s="14">
        <v>2712.4300000000003</v>
      </c>
    </row>
    <row r="91" spans="1:10" hidden="1" x14ac:dyDescent="0.25">
      <c r="A91" s="2"/>
      <c r="C91" s="2"/>
      <c r="D91" s="16" t="s">
        <v>96</v>
      </c>
      <c r="E91" s="4">
        <v>32</v>
      </c>
      <c r="F91" s="14">
        <v>2693.0300000000007</v>
      </c>
      <c r="G91" s="6">
        <v>163</v>
      </c>
      <c r="H91" s="14">
        <v>6161.28</v>
      </c>
      <c r="I91" s="4">
        <v>140</v>
      </c>
      <c r="J91" s="14">
        <v>3674.85</v>
      </c>
    </row>
    <row r="92" spans="1:10" hidden="1" x14ac:dyDescent="0.25">
      <c r="A92" s="2"/>
      <c r="C92" s="2"/>
      <c r="D92" s="16" t="s">
        <v>97</v>
      </c>
      <c r="E92" s="4">
        <v>15</v>
      </c>
      <c r="F92" s="14">
        <v>1313.89</v>
      </c>
      <c r="G92" s="6">
        <v>32</v>
      </c>
      <c r="H92" s="14">
        <v>3148.3399999999997</v>
      </c>
      <c r="I92" s="4">
        <v>328</v>
      </c>
      <c r="J92" s="14">
        <v>3035.4100000000012</v>
      </c>
    </row>
    <row r="93" spans="1:10" hidden="1" x14ac:dyDescent="0.25">
      <c r="A93" s="2"/>
      <c r="C93" s="2"/>
      <c r="D93" s="16" t="s">
        <v>98</v>
      </c>
      <c r="E93" s="4">
        <v>19</v>
      </c>
      <c r="F93" s="14">
        <v>383.91999999999996</v>
      </c>
      <c r="G93" s="6">
        <v>57</v>
      </c>
      <c r="H93" s="14">
        <v>1180.2500000000002</v>
      </c>
      <c r="I93" s="4">
        <v>12</v>
      </c>
      <c r="J93" s="14">
        <v>220.26</v>
      </c>
    </row>
    <row r="94" spans="1:10" hidden="1" x14ac:dyDescent="0.25">
      <c r="A94" s="2"/>
      <c r="C94" s="2"/>
      <c r="D94" s="16" t="s">
        <v>101</v>
      </c>
      <c r="E94" s="4">
        <v>9</v>
      </c>
      <c r="F94" s="14">
        <v>207.4</v>
      </c>
      <c r="G94" s="6">
        <v>70</v>
      </c>
      <c r="H94" s="14">
        <v>740.21999999999991</v>
      </c>
      <c r="I94" s="4">
        <v>15</v>
      </c>
      <c r="J94" s="14">
        <v>233.07000000000002</v>
      </c>
    </row>
    <row r="95" spans="1:10" hidden="1" x14ac:dyDescent="0.25">
      <c r="A95" s="2"/>
      <c r="C95" s="2"/>
      <c r="D95" s="16" t="s">
        <v>100</v>
      </c>
      <c r="E95" s="4">
        <v>8</v>
      </c>
      <c r="F95" s="14">
        <v>372.11</v>
      </c>
      <c r="G95" s="6">
        <v>18</v>
      </c>
      <c r="H95" s="14">
        <v>750.20999999999992</v>
      </c>
      <c r="I95" s="4">
        <v>7</v>
      </c>
      <c r="J95" s="14">
        <v>54.53</v>
      </c>
    </row>
    <row r="96" spans="1:10" hidden="1" x14ac:dyDescent="0.25">
      <c r="A96" s="2"/>
      <c r="C96" s="2"/>
      <c r="D96" s="16" t="s">
        <v>99</v>
      </c>
      <c r="E96" s="4">
        <v>14</v>
      </c>
      <c r="F96" s="14">
        <v>522.29</v>
      </c>
      <c r="G96" s="6">
        <v>3</v>
      </c>
      <c r="H96" s="14">
        <v>99.83</v>
      </c>
      <c r="I96" s="4">
        <v>9</v>
      </c>
      <c r="J96" s="14">
        <v>319.62</v>
      </c>
    </row>
    <row r="97" spans="1:10" hidden="1" x14ac:dyDescent="0.25">
      <c r="A97" s="2"/>
      <c r="C97" s="2"/>
      <c r="D97" s="16" t="s">
        <v>102</v>
      </c>
      <c r="E97" s="4">
        <v>1</v>
      </c>
      <c r="F97" s="14">
        <v>9.89</v>
      </c>
      <c r="G97" s="6">
        <v>1</v>
      </c>
      <c r="H97" s="14">
        <v>10.06</v>
      </c>
      <c r="I97" s="4">
        <v>9</v>
      </c>
      <c r="J97" s="14">
        <v>98.04</v>
      </c>
    </row>
    <row r="98" spans="1:10" hidden="1" x14ac:dyDescent="0.25">
      <c r="A98" s="2"/>
      <c r="C98" s="2"/>
      <c r="D98" s="9" t="s">
        <v>33</v>
      </c>
      <c r="E98" s="25">
        <v>1037</v>
      </c>
      <c r="F98" s="9">
        <v>145892.68999999994</v>
      </c>
      <c r="G98" s="25">
        <v>4647</v>
      </c>
      <c r="H98" s="9">
        <v>479423.58000000013</v>
      </c>
      <c r="I98" s="25">
        <v>2785</v>
      </c>
      <c r="J98" s="9">
        <v>313431.3</v>
      </c>
    </row>
    <row r="99" spans="1:10" hidden="1" x14ac:dyDescent="0.25">
      <c r="A99" s="2"/>
      <c r="C99" s="2"/>
    </row>
    <row r="100" spans="1:10" hidden="1" x14ac:dyDescent="0.25">
      <c r="A100" s="2"/>
      <c r="C100" s="2"/>
    </row>
    <row r="101" spans="1:10" hidden="1" x14ac:dyDescent="0.25">
      <c r="A101" s="2"/>
      <c r="C101" s="2"/>
    </row>
    <row r="102" spans="1:10" hidden="1" x14ac:dyDescent="0.25">
      <c r="A102" s="2"/>
      <c r="C102" s="2"/>
    </row>
    <row r="103" spans="1:10" hidden="1" x14ac:dyDescent="0.25">
      <c r="A103" s="2"/>
      <c r="C103" s="2"/>
      <c r="D103" s="13" t="s">
        <v>30</v>
      </c>
      <c r="E103" s="13" t="s">
        <v>44</v>
      </c>
      <c r="F103" s="13" t="s">
        <v>27</v>
      </c>
      <c r="G103" s="13" t="s">
        <v>33</v>
      </c>
      <c r="H103" s="13" t="s">
        <v>43</v>
      </c>
    </row>
    <row r="104" spans="1:10" hidden="1" x14ac:dyDescent="0.25">
      <c r="A104" s="2"/>
      <c r="C104" s="2"/>
      <c r="D104" s="10" t="s">
        <v>15</v>
      </c>
      <c r="E104" s="21">
        <v>163534.56</v>
      </c>
      <c r="F104" s="22">
        <v>11892.129999999997</v>
      </c>
      <c r="G104" s="18">
        <v>175426.69</v>
      </c>
      <c r="H104" s="15">
        <f t="shared" ref="H104:H114" si="1">G104/$G$116</f>
        <v>0.1098579476056576</v>
      </c>
    </row>
    <row r="105" spans="1:10" hidden="1" x14ac:dyDescent="0.25">
      <c r="A105" s="2"/>
      <c r="C105" s="2"/>
      <c r="D105" s="16" t="s">
        <v>14</v>
      </c>
      <c r="E105" s="21">
        <v>23326.160000000007</v>
      </c>
      <c r="F105" s="22">
        <v>139115.72000000009</v>
      </c>
      <c r="G105" s="14">
        <v>162441.88000000009</v>
      </c>
      <c r="H105" s="15">
        <f t="shared" si="1"/>
        <v>0.10172643365729883</v>
      </c>
    </row>
    <row r="106" spans="1:10" hidden="1" x14ac:dyDescent="0.25">
      <c r="A106" s="2"/>
      <c r="C106" s="2"/>
      <c r="D106" s="16" t="s">
        <v>20</v>
      </c>
      <c r="E106" s="21">
        <v>4354.63</v>
      </c>
      <c r="F106" s="22">
        <v>78316.330000000031</v>
      </c>
      <c r="G106" s="14">
        <v>82670.960000000036</v>
      </c>
      <c r="H106" s="15">
        <f t="shared" si="1"/>
        <v>5.1771266916051481E-2</v>
      </c>
    </row>
    <row r="107" spans="1:10" hidden="1" x14ac:dyDescent="0.25">
      <c r="A107" s="2"/>
      <c r="C107" s="2"/>
      <c r="D107" s="16" t="s">
        <v>13</v>
      </c>
      <c r="E107" s="21">
        <v>28916.60999999999</v>
      </c>
      <c r="F107" s="22">
        <v>29557.35</v>
      </c>
      <c r="G107" s="14">
        <v>58473.959999999992</v>
      </c>
      <c r="H107" s="15">
        <f t="shared" si="1"/>
        <v>3.6618311808626826E-2</v>
      </c>
    </row>
    <row r="108" spans="1:10" hidden="1" x14ac:dyDescent="0.25">
      <c r="A108" s="2"/>
      <c r="C108" s="2"/>
      <c r="D108" s="16" t="s">
        <v>21</v>
      </c>
      <c r="E108" s="21">
        <v>45210.409999999989</v>
      </c>
      <c r="F108" s="22">
        <v>9855.25</v>
      </c>
      <c r="G108" s="14">
        <v>55065.659999999989</v>
      </c>
      <c r="H108" s="15">
        <f t="shared" si="1"/>
        <v>3.4483922549932135E-2</v>
      </c>
    </row>
    <row r="109" spans="1:10" hidden="1" x14ac:dyDescent="0.25">
      <c r="A109" s="2"/>
      <c r="C109" s="2"/>
      <c r="D109" s="16" t="s">
        <v>108</v>
      </c>
      <c r="E109" s="21">
        <v>39979.449999999968</v>
      </c>
      <c r="F109" s="22">
        <v>13800.300000000008</v>
      </c>
      <c r="G109" s="14">
        <v>53779.749999999978</v>
      </c>
      <c r="H109" s="15">
        <f t="shared" si="1"/>
        <v>3.3678643527648856E-2</v>
      </c>
    </row>
    <row r="110" spans="1:10" hidden="1" x14ac:dyDescent="0.25">
      <c r="A110" s="2"/>
      <c r="C110" s="2"/>
      <c r="D110" s="16" t="s">
        <v>109</v>
      </c>
      <c r="E110" s="21">
        <v>567</v>
      </c>
      <c r="F110" s="22">
        <v>50310.509999999995</v>
      </c>
      <c r="G110" s="14">
        <v>50877.509999999995</v>
      </c>
      <c r="H110" s="15">
        <f t="shared" si="1"/>
        <v>3.1861165640680561E-2</v>
      </c>
    </row>
    <row r="111" spans="1:10" hidden="1" x14ac:dyDescent="0.25">
      <c r="A111" s="2"/>
      <c r="C111" s="2"/>
      <c r="D111" s="16" t="s">
        <v>124</v>
      </c>
      <c r="E111" s="21">
        <v>41933.18</v>
      </c>
      <c r="F111" s="22">
        <v>381.24</v>
      </c>
      <c r="G111" s="14">
        <v>42314.42</v>
      </c>
      <c r="H111" s="15">
        <f t="shared" si="1"/>
        <v>2.649867779711166E-2</v>
      </c>
    </row>
    <row r="112" spans="1:10" hidden="1" x14ac:dyDescent="0.25">
      <c r="A112" s="2"/>
      <c r="C112" s="2"/>
      <c r="D112" s="16" t="s">
        <v>12</v>
      </c>
      <c r="E112" s="21">
        <v>7824.5399999999991</v>
      </c>
      <c r="F112" s="22">
        <v>32779.409999999996</v>
      </c>
      <c r="G112" s="14">
        <v>40603.949999999997</v>
      </c>
      <c r="H112" s="15">
        <f t="shared" si="1"/>
        <v>2.5427525376456345E-2</v>
      </c>
    </row>
    <row r="113" spans="1:8" hidden="1" x14ac:dyDescent="0.25">
      <c r="A113" s="2"/>
      <c r="C113" s="2"/>
      <c r="D113" s="16" t="s">
        <v>16</v>
      </c>
      <c r="E113" s="21">
        <v>23890.35</v>
      </c>
      <c r="F113" s="22">
        <v>11642.809999999998</v>
      </c>
      <c r="G113" s="14">
        <v>35533.159999999996</v>
      </c>
      <c r="H113" s="15">
        <f t="shared" si="1"/>
        <v>2.2252030346941211E-2</v>
      </c>
    </row>
    <row r="114" spans="1:8" hidden="1" x14ac:dyDescent="0.25">
      <c r="A114" s="2"/>
      <c r="C114" s="2"/>
      <c r="D114" s="16" t="s">
        <v>24</v>
      </c>
      <c r="E114" s="21">
        <v>16459.340000000004</v>
      </c>
      <c r="F114" s="22">
        <v>17045.960000000003</v>
      </c>
      <c r="G114" s="14">
        <v>33505.300000000003</v>
      </c>
      <c r="H114" s="15">
        <f t="shared" si="1"/>
        <v>2.0982117897292825E-2</v>
      </c>
    </row>
    <row r="115" spans="1:8" hidden="1" x14ac:dyDescent="0.25">
      <c r="A115" s="2"/>
      <c r="C115" s="2"/>
      <c r="D115" s="13" t="s">
        <v>112</v>
      </c>
      <c r="E115" s="24">
        <f>SUM(E104:E114)</f>
        <v>395996.22999999992</v>
      </c>
      <c r="F115" s="24">
        <f>SUM(F104:F114)</f>
        <v>394697.01000000013</v>
      </c>
      <c r="G115" s="24">
        <f>SUM(G104:G114)</f>
        <v>790693.24000000022</v>
      </c>
      <c r="H115" s="23">
        <f>SUM(H104:H114)</f>
        <v>0.49515804312369843</v>
      </c>
    </row>
    <row r="116" spans="1:8" hidden="1" x14ac:dyDescent="0.25">
      <c r="A116" s="2"/>
      <c r="C116" s="2"/>
      <c r="D116" s="13" t="s">
        <v>33</v>
      </c>
      <c r="E116" s="24">
        <v>834471.93000000343</v>
      </c>
      <c r="F116" s="24">
        <v>762378.31000000075</v>
      </c>
      <c r="G116" s="24">
        <v>1596850.2399999839</v>
      </c>
      <c r="H116" s="23">
        <f>G116/G116</f>
        <v>1</v>
      </c>
    </row>
    <row r="117" spans="1:8" hidden="1" x14ac:dyDescent="0.25">
      <c r="A117" s="2"/>
      <c r="C117" s="2"/>
    </row>
    <row r="118" spans="1:8" hidden="1" x14ac:dyDescent="0.25">
      <c r="A118" s="2"/>
      <c r="C118" s="2"/>
    </row>
    <row r="119" spans="1:8" hidden="1" x14ac:dyDescent="0.25">
      <c r="A119" s="2"/>
      <c r="C119" s="2"/>
    </row>
    <row r="120" spans="1:8" hidden="1" x14ac:dyDescent="0.25">
      <c r="A120" s="2"/>
      <c r="C120" s="2"/>
    </row>
    <row r="121" spans="1:8" hidden="1" x14ac:dyDescent="0.25">
      <c r="A121" s="2"/>
      <c r="C121" s="2"/>
    </row>
    <row r="122" spans="1:8" hidden="1" x14ac:dyDescent="0.25">
      <c r="A122" s="2"/>
      <c r="C122" s="2"/>
    </row>
    <row r="123" spans="1:8" hidden="1" x14ac:dyDescent="0.25">
      <c r="A123" s="2"/>
      <c r="C123" s="2"/>
    </row>
    <row r="124" spans="1:8" x14ac:dyDescent="0.25">
      <c r="A124" s="2"/>
      <c r="C124" s="2"/>
    </row>
    <row r="125" spans="1:8" x14ac:dyDescent="0.25">
      <c r="A125" s="2"/>
      <c r="C125" s="2"/>
    </row>
    <row r="126" spans="1:8" x14ac:dyDescent="0.25">
      <c r="A126" s="2"/>
      <c r="C126" s="2"/>
    </row>
    <row r="127" spans="1:8" x14ac:dyDescent="0.25">
      <c r="A127" s="2"/>
      <c r="C127" s="2"/>
    </row>
    <row r="128" spans="1:8" x14ac:dyDescent="0.25">
      <c r="A128" s="2"/>
      <c r="C128" s="2"/>
    </row>
    <row r="129" spans="1:3" x14ac:dyDescent="0.25">
      <c r="A129" s="2"/>
      <c r="C129" s="2"/>
    </row>
    <row r="130" spans="1:3" x14ac:dyDescent="0.25">
      <c r="A130" s="2"/>
      <c r="C130" s="2"/>
    </row>
    <row r="131" spans="1:3" x14ac:dyDescent="0.25">
      <c r="A131" s="2"/>
      <c r="C131" s="2"/>
    </row>
    <row r="132" spans="1:3" x14ac:dyDescent="0.25">
      <c r="A132" s="2"/>
      <c r="C132" s="2"/>
    </row>
    <row r="133" spans="1:3" x14ac:dyDescent="0.25">
      <c r="A133" s="2"/>
      <c r="C133" s="2"/>
    </row>
    <row r="134" spans="1:3" x14ac:dyDescent="0.25">
      <c r="A134" s="2"/>
      <c r="C134" s="2"/>
    </row>
    <row r="135" spans="1:3" x14ac:dyDescent="0.25">
      <c r="A135" s="2"/>
      <c r="C135" s="2"/>
    </row>
    <row r="136" spans="1:3" x14ac:dyDescent="0.25">
      <c r="A136" s="2"/>
      <c r="C136" s="2"/>
    </row>
    <row r="137" spans="1:3" x14ac:dyDescent="0.25">
      <c r="A137" s="2"/>
      <c r="C137" s="2"/>
    </row>
    <row r="138" spans="1:3" x14ac:dyDescent="0.25">
      <c r="A138" s="2"/>
      <c r="C138" s="2"/>
    </row>
    <row r="139" spans="1:3" x14ac:dyDescent="0.25">
      <c r="A139" s="2"/>
      <c r="C139" s="2"/>
    </row>
    <row r="140" spans="1:3" x14ac:dyDescent="0.25">
      <c r="A140" s="2"/>
      <c r="C140" s="2"/>
    </row>
    <row r="141" spans="1:3" x14ac:dyDescent="0.25">
      <c r="A141" s="2"/>
      <c r="C141" s="2"/>
    </row>
    <row r="142" spans="1:3" x14ac:dyDescent="0.25">
      <c r="A142" s="2"/>
      <c r="C142" s="2"/>
    </row>
    <row r="143" spans="1:3" x14ac:dyDescent="0.25">
      <c r="A143" s="2"/>
      <c r="C143" s="2"/>
    </row>
    <row r="144" spans="1:3" x14ac:dyDescent="0.25">
      <c r="A144" s="2"/>
      <c r="C144" s="2"/>
    </row>
    <row r="145" spans="1:3" x14ac:dyDescent="0.25">
      <c r="A145" s="2"/>
      <c r="C145" s="2"/>
    </row>
    <row r="146" spans="1:3" x14ac:dyDescent="0.25">
      <c r="A146" s="2"/>
      <c r="C146" s="2"/>
    </row>
    <row r="147" spans="1:3" x14ac:dyDescent="0.25">
      <c r="A147" s="2"/>
      <c r="C147" s="2"/>
    </row>
    <row r="148" spans="1:3" x14ac:dyDescent="0.25">
      <c r="A148" s="2"/>
      <c r="C148" s="2"/>
    </row>
    <row r="149" spans="1:3" x14ac:dyDescent="0.25">
      <c r="A149" s="2"/>
      <c r="C149" s="2"/>
    </row>
    <row r="150" spans="1:3" x14ac:dyDescent="0.25">
      <c r="A150" s="2"/>
      <c r="C150" s="2"/>
    </row>
    <row r="151" spans="1:3" x14ac:dyDescent="0.25">
      <c r="A151" s="2"/>
      <c r="C151" s="2"/>
    </row>
    <row r="152" spans="1:3" x14ac:dyDescent="0.25">
      <c r="A152" s="2"/>
      <c r="C152" s="2"/>
    </row>
    <row r="153" spans="1:3" x14ac:dyDescent="0.25">
      <c r="A153" s="2"/>
      <c r="C153" s="2"/>
    </row>
    <row r="154" spans="1:3" x14ac:dyDescent="0.25">
      <c r="A154" s="2"/>
      <c r="C154" s="2"/>
    </row>
    <row r="155" spans="1:3" x14ac:dyDescent="0.25">
      <c r="A155" s="2"/>
      <c r="C155" s="2"/>
    </row>
    <row r="156" spans="1:3" x14ac:dyDescent="0.25">
      <c r="A156" s="2"/>
      <c r="C156" s="2"/>
    </row>
    <row r="157" spans="1:3" x14ac:dyDescent="0.25">
      <c r="A157" s="2"/>
      <c r="C157" s="2"/>
    </row>
    <row r="158" spans="1:3" x14ac:dyDescent="0.25">
      <c r="A158" s="2"/>
      <c r="C158" s="2"/>
    </row>
    <row r="159" spans="1:3" x14ac:dyDescent="0.25">
      <c r="A159" s="2"/>
      <c r="C159" s="2"/>
    </row>
    <row r="160" spans="1:3" x14ac:dyDescent="0.25">
      <c r="A160" s="2"/>
      <c r="C160" s="2"/>
    </row>
    <row r="161" spans="1:3" x14ac:dyDescent="0.25">
      <c r="A161" s="2"/>
      <c r="C161" s="2"/>
    </row>
    <row r="162" spans="1:3" x14ac:dyDescent="0.25">
      <c r="A162" s="2"/>
      <c r="C162" s="2"/>
    </row>
    <row r="163" spans="1:3" x14ac:dyDescent="0.25">
      <c r="A163" s="2"/>
      <c r="C163" s="2"/>
    </row>
    <row r="164" spans="1:3" x14ac:dyDescent="0.25">
      <c r="A164" s="2"/>
      <c r="C164" s="2"/>
    </row>
    <row r="165" spans="1:3" x14ac:dyDescent="0.25">
      <c r="A165" s="2"/>
      <c r="C165" s="2"/>
    </row>
    <row r="166" spans="1:3" x14ac:dyDescent="0.25">
      <c r="A166" s="2"/>
      <c r="C166" s="2"/>
    </row>
    <row r="167" spans="1:3" x14ac:dyDescent="0.25">
      <c r="A167" s="2"/>
      <c r="C167" s="2"/>
    </row>
    <row r="168" spans="1:3" x14ac:dyDescent="0.25">
      <c r="A168" s="2"/>
      <c r="C168" s="2"/>
    </row>
    <row r="169" spans="1:3" x14ac:dyDescent="0.25">
      <c r="A169" s="2"/>
      <c r="C169" s="2"/>
    </row>
    <row r="170" spans="1:3" x14ac:dyDescent="0.25">
      <c r="A170" s="2"/>
      <c r="C170" s="2"/>
    </row>
    <row r="171" spans="1:3" x14ac:dyDescent="0.25">
      <c r="A171" s="2"/>
      <c r="C171" s="2"/>
    </row>
    <row r="172" spans="1:3" x14ac:dyDescent="0.25">
      <c r="A172" s="2"/>
      <c r="C172" s="2"/>
    </row>
    <row r="173" spans="1:3" x14ac:dyDescent="0.25">
      <c r="A173" s="2"/>
      <c r="C173" s="2"/>
    </row>
    <row r="174" spans="1:3" x14ac:dyDescent="0.25">
      <c r="A174" s="2"/>
      <c r="C174" s="2"/>
    </row>
    <row r="175" spans="1:3" x14ac:dyDescent="0.25">
      <c r="A175" s="2"/>
      <c r="C175" s="2"/>
    </row>
    <row r="176" spans="1:3" x14ac:dyDescent="0.25">
      <c r="A176" s="2"/>
      <c r="C176" s="2"/>
    </row>
    <row r="177" spans="1:3" x14ac:dyDescent="0.25">
      <c r="A177" s="2"/>
      <c r="C177" s="2"/>
    </row>
    <row r="178" spans="1:3" x14ac:dyDescent="0.25">
      <c r="A178" s="2"/>
      <c r="C178" s="2"/>
    </row>
    <row r="179" spans="1:3" x14ac:dyDescent="0.25">
      <c r="A179" s="2"/>
      <c r="C179" s="2"/>
    </row>
    <row r="180" spans="1:3" x14ac:dyDescent="0.25">
      <c r="A180" s="2"/>
      <c r="C180" s="2"/>
    </row>
    <row r="181" spans="1:3" x14ac:dyDescent="0.25">
      <c r="A181" s="2"/>
      <c r="C181" s="2"/>
    </row>
    <row r="182" spans="1:3" x14ac:dyDescent="0.25">
      <c r="A182" s="2"/>
      <c r="C182" s="2"/>
    </row>
    <row r="183" spans="1:3" x14ac:dyDescent="0.25">
      <c r="A183" s="2"/>
      <c r="C183" s="2"/>
    </row>
    <row r="184" spans="1:3" x14ac:dyDescent="0.25">
      <c r="A184" s="2"/>
      <c r="C184" s="2"/>
    </row>
    <row r="185" spans="1:3" x14ac:dyDescent="0.25">
      <c r="A185" s="2"/>
      <c r="C185" s="2"/>
    </row>
    <row r="186" spans="1:3" x14ac:dyDescent="0.25">
      <c r="A186" s="2"/>
      <c r="C186" s="2"/>
    </row>
    <row r="187" spans="1:3" x14ac:dyDescent="0.25">
      <c r="A187" s="2"/>
      <c r="C187" s="2"/>
    </row>
    <row r="188" spans="1:3" x14ac:dyDescent="0.25">
      <c r="A188" s="2"/>
      <c r="C188" s="2"/>
    </row>
    <row r="189" spans="1:3" x14ac:dyDescent="0.25">
      <c r="A189" s="2"/>
      <c r="C189" s="2"/>
    </row>
    <row r="190" spans="1:3" x14ac:dyDescent="0.25">
      <c r="A190" s="2"/>
      <c r="C190" s="2"/>
    </row>
    <row r="191" spans="1:3" x14ac:dyDescent="0.25">
      <c r="A191" s="2"/>
      <c r="C191" s="2"/>
    </row>
    <row r="192" spans="1:3" x14ac:dyDescent="0.25">
      <c r="A192" s="2"/>
      <c r="C192" s="2"/>
    </row>
    <row r="193" spans="1:3" x14ac:dyDescent="0.25">
      <c r="A193" s="2"/>
      <c r="C193" s="2"/>
    </row>
    <row r="194" spans="1:3" x14ac:dyDescent="0.25">
      <c r="A194" s="2"/>
      <c r="C194" s="2"/>
    </row>
    <row r="195" spans="1:3" x14ac:dyDescent="0.25">
      <c r="A195" s="2"/>
      <c r="C195" s="2"/>
    </row>
    <row r="196" spans="1:3" x14ac:dyDescent="0.25">
      <c r="A196" s="2"/>
      <c r="C196" s="2"/>
    </row>
    <row r="197" spans="1:3" x14ac:dyDescent="0.25">
      <c r="A197" s="2"/>
      <c r="C197" s="2"/>
    </row>
    <row r="198" spans="1:3" x14ac:dyDescent="0.25">
      <c r="A198" s="2"/>
      <c r="C198" s="2"/>
    </row>
    <row r="199" spans="1:3" x14ac:dyDescent="0.25">
      <c r="A199" s="2"/>
      <c r="C199" s="2"/>
    </row>
    <row r="200" spans="1:3" x14ac:dyDescent="0.25">
      <c r="A200" s="2"/>
      <c r="C200" s="2"/>
    </row>
    <row r="201" spans="1:3" x14ac:dyDescent="0.25">
      <c r="A201" s="2"/>
      <c r="C201" s="2"/>
    </row>
    <row r="202" spans="1:3" x14ac:dyDescent="0.25">
      <c r="A202" s="2"/>
      <c r="C202" s="2"/>
    </row>
    <row r="203" spans="1:3" x14ac:dyDescent="0.25">
      <c r="A203" s="2"/>
      <c r="C203" s="2"/>
    </row>
    <row r="204" spans="1:3" x14ac:dyDescent="0.25">
      <c r="A204" s="2"/>
      <c r="C204" s="2"/>
    </row>
    <row r="205" spans="1:3" x14ac:dyDescent="0.25">
      <c r="A205" s="2"/>
      <c r="C205" s="2"/>
    </row>
    <row r="206" spans="1:3" x14ac:dyDescent="0.25">
      <c r="A206" s="2"/>
      <c r="C206" s="2"/>
    </row>
    <row r="207" spans="1:3" x14ac:dyDescent="0.25">
      <c r="A207" s="2"/>
      <c r="C207" s="2"/>
    </row>
    <row r="208" spans="1:3" x14ac:dyDescent="0.25">
      <c r="A208" s="2"/>
      <c r="C208" s="2"/>
    </row>
    <row r="209" spans="1:3" x14ac:dyDescent="0.25">
      <c r="A209" s="2"/>
      <c r="C209" s="2"/>
    </row>
    <row r="210" spans="1:3" x14ac:dyDescent="0.25">
      <c r="A210" s="2"/>
      <c r="C210" s="2"/>
    </row>
    <row r="211" spans="1:3" x14ac:dyDescent="0.25">
      <c r="A211" s="2"/>
      <c r="C211" s="2"/>
    </row>
    <row r="212" spans="1:3" x14ac:dyDescent="0.25">
      <c r="A212" s="2"/>
      <c r="C212" s="2"/>
    </row>
    <row r="213" spans="1:3" x14ac:dyDescent="0.25">
      <c r="A213" s="2"/>
      <c r="C213" s="2"/>
    </row>
    <row r="214" spans="1:3" x14ac:dyDescent="0.25">
      <c r="A214" s="2"/>
      <c r="C214" s="2"/>
    </row>
    <row r="215" spans="1:3" x14ac:dyDescent="0.25">
      <c r="A215" s="2"/>
      <c r="C215" s="2"/>
    </row>
    <row r="216" spans="1:3" x14ac:dyDescent="0.25">
      <c r="A216" s="2"/>
      <c r="C216" s="2"/>
    </row>
    <row r="217" spans="1:3" x14ac:dyDescent="0.25">
      <c r="A217" s="2"/>
      <c r="C217" s="2"/>
    </row>
    <row r="218" spans="1:3" x14ac:dyDescent="0.25">
      <c r="A218" s="2"/>
      <c r="C218" s="2"/>
    </row>
    <row r="219" spans="1:3" x14ac:dyDescent="0.25">
      <c r="A219" s="2"/>
      <c r="C219" s="2"/>
    </row>
    <row r="220" spans="1:3" x14ac:dyDescent="0.25">
      <c r="A220" s="2"/>
      <c r="C220" s="2"/>
    </row>
    <row r="221" spans="1:3" x14ac:dyDescent="0.25">
      <c r="A221" s="2"/>
      <c r="C221" s="2"/>
    </row>
    <row r="222" spans="1:3" x14ac:dyDescent="0.25">
      <c r="A222" s="2"/>
      <c r="C222" s="2"/>
    </row>
    <row r="223" spans="1:3" x14ac:dyDescent="0.25">
      <c r="A223" s="2"/>
      <c r="C223" s="2"/>
    </row>
    <row r="224" spans="1:3" x14ac:dyDescent="0.25">
      <c r="A224" s="2"/>
      <c r="C224" s="2"/>
    </row>
    <row r="225" spans="1:3" x14ac:dyDescent="0.25">
      <c r="A225" s="2"/>
      <c r="C225" s="2"/>
    </row>
    <row r="226" spans="1:3" x14ac:dyDescent="0.25">
      <c r="A226" s="2"/>
      <c r="C226" s="2"/>
    </row>
    <row r="227" spans="1:3" x14ac:dyDescent="0.25">
      <c r="A227" s="2"/>
      <c r="C227" s="2"/>
    </row>
    <row r="228" spans="1:3" x14ac:dyDescent="0.25">
      <c r="A228" s="2"/>
      <c r="C228" s="2"/>
    </row>
    <row r="229" spans="1:3" x14ac:dyDescent="0.25">
      <c r="A229" s="2"/>
      <c r="C229" s="2"/>
    </row>
    <row r="230" spans="1:3" x14ac:dyDescent="0.25">
      <c r="A230" s="2"/>
      <c r="C230" s="2"/>
    </row>
    <row r="231" spans="1:3" x14ac:dyDescent="0.25">
      <c r="A231" s="2"/>
      <c r="C231" s="2"/>
    </row>
    <row r="232" spans="1:3" x14ac:dyDescent="0.25">
      <c r="A232" s="2"/>
      <c r="C232" s="2"/>
    </row>
    <row r="233" spans="1:3" x14ac:dyDescent="0.25">
      <c r="A233" s="2"/>
      <c r="C233" s="2"/>
    </row>
    <row r="234" spans="1:3" x14ac:dyDescent="0.25">
      <c r="A234" s="2"/>
      <c r="C234" s="2"/>
    </row>
    <row r="235" spans="1:3" x14ac:dyDescent="0.25">
      <c r="A235" s="2"/>
      <c r="C235" s="2"/>
    </row>
    <row r="236" spans="1:3" x14ac:dyDescent="0.25">
      <c r="A236" s="2"/>
      <c r="C236" s="2"/>
    </row>
    <row r="237" spans="1:3" x14ac:dyDescent="0.25">
      <c r="A237" s="2"/>
      <c r="C237" s="2"/>
    </row>
    <row r="238" spans="1:3" x14ac:dyDescent="0.25">
      <c r="A238" s="2"/>
      <c r="C238" s="2"/>
    </row>
    <row r="239" spans="1:3" x14ac:dyDescent="0.25">
      <c r="A239" s="2"/>
      <c r="C239" s="2"/>
    </row>
    <row r="240" spans="1:3" x14ac:dyDescent="0.25">
      <c r="A240" s="2"/>
      <c r="C240" s="2"/>
    </row>
    <row r="241" spans="1:3" x14ac:dyDescent="0.25">
      <c r="A241" s="2"/>
      <c r="C241" s="2"/>
    </row>
    <row r="242" spans="1:3" x14ac:dyDescent="0.25">
      <c r="A242" s="2"/>
      <c r="C242" s="2"/>
    </row>
    <row r="243" spans="1:3" x14ac:dyDescent="0.25">
      <c r="A243" s="2"/>
      <c r="C243" s="2"/>
    </row>
    <row r="244" spans="1:3" x14ac:dyDescent="0.25">
      <c r="A244" s="2"/>
      <c r="C244" s="2"/>
    </row>
    <row r="245" spans="1:3" x14ac:dyDescent="0.25">
      <c r="A245" s="2"/>
      <c r="C245" s="2"/>
    </row>
    <row r="246" spans="1:3" x14ac:dyDescent="0.25">
      <c r="A246" s="2"/>
      <c r="C246" s="2"/>
    </row>
    <row r="247" spans="1:3" x14ac:dyDescent="0.25">
      <c r="A247" s="2"/>
      <c r="C247" s="2"/>
    </row>
    <row r="248" spans="1:3" x14ac:dyDescent="0.25">
      <c r="A248" s="2"/>
      <c r="C248" s="2"/>
    </row>
    <row r="249" spans="1:3" x14ac:dyDescent="0.25">
      <c r="A249" s="2"/>
      <c r="C249" s="2"/>
    </row>
    <row r="250" spans="1:3" x14ac:dyDescent="0.25">
      <c r="A250" s="2"/>
      <c r="C250" s="2"/>
    </row>
    <row r="251" spans="1:3" x14ac:dyDescent="0.25">
      <c r="A251" s="2"/>
      <c r="C251" s="2"/>
    </row>
    <row r="252" spans="1:3" x14ac:dyDescent="0.25">
      <c r="A252" s="2"/>
      <c r="C252" s="2"/>
    </row>
    <row r="253" spans="1:3" x14ac:dyDescent="0.25">
      <c r="A253" s="2"/>
      <c r="C253" s="2"/>
    </row>
    <row r="254" spans="1:3" x14ac:dyDescent="0.25">
      <c r="A254" s="2"/>
      <c r="C254" s="2"/>
    </row>
    <row r="255" spans="1:3" x14ac:dyDescent="0.25">
      <c r="A255" s="2"/>
      <c r="C255" s="2"/>
    </row>
    <row r="256" spans="1:3" x14ac:dyDescent="0.25">
      <c r="A256" s="2"/>
      <c r="C256" s="2"/>
    </row>
    <row r="257" spans="1:3" x14ac:dyDescent="0.25">
      <c r="A257" s="2"/>
      <c r="C257" s="2"/>
    </row>
    <row r="258" spans="1:3" x14ac:dyDescent="0.25">
      <c r="A258" s="2"/>
      <c r="C258" s="2"/>
    </row>
    <row r="259" spans="1:3" x14ac:dyDescent="0.25">
      <c r="A259" s="2"/>
      <c r="C259" s="2"/>
    </row>
    <row r="260" spans="1:3" x14ac:dyDescent="0.25">
      <c r="A260" s="2"/>
      <c r="C260" s="2"/>
    </row>
    <row r="261" spans="1:3" x14ac:dyDescent="0.25">
      <c r="A261" s="2"/>
      <c r="C261" s="2"/>
    </row>
    <row r="262" spans="1:3" x14ac:dyDescent="0.25">
      <c r="A262" s="2"/>
      <c r="C262" s="2"/>
    </row>
    <row r="263" spans="1:3" x14ac:dyDescent="0.25">
      <c r="A263" s="2"/>
      <c r="C263" s="2"/>
    </row>
    <row r="264" spans="1:3" x14ac:dyDescent="0.25">
      <c r="A264" s="2"/>
      <c r="C264" s="2"/>
    </row>
    <row r="265" spans="1:3" x14ac:dyDescent="0.25">
      <c r="A265" s="2"/>
      <c r="C265" s="2"/>
    </row>
    <row r="266" spans="1:3" x14ac:dyDescent="0.25">
      <c r="A266" s="2"/>
      <c r="C266" s="2"/>
    </row>
    <row r="267" spans="1:3" x14ac:dyDescent="0.25">
      <c r="A267" s="2"/>
      <c r="C267" s="2"/>
    </row>
    <row r="268" spans="1:3" x14ac:dyDescent="0.25">
      <c r="A268" s="2"/>
      <c r="C268" s="2"/>
    </row>
    <row r="269" spans="1:3" x14ac:dyDescent="0.25">
      <c r="A269" s="2"/>
      <c r="C269" s="2"/>
    </row>
    <row r="270" spans="1:3" x14ac:dyDescent="0.25">
      <c r="A270" s="2"/>
      <c r="C270" s="2"/>
    </row>
    <row r="271" spans="1:3" x14ac:dyDescent="0.25">
      <c r="A271" s="2"/>
      <c r="C271" s="2"/>
    </row>
    <row r="272" spans="1:3" x14ac:dyDescent="0.25">
      <c r="A272" s="2"/>
      <c r="C272" s="2"/>
    </row>
    <row r="273" spans="1:3" x14ac:dyDescent="0.25">
      <c r="A273" s="2"/>
      <c r="C273" s="2"/>
    </row>
    <row r="274" spans="1:3" x14ac:dyDescent="0.25">
      <c r="A274" s="2"/>
      <c r="C274" s="2"/>
    </row>
    <row r="275" spans="1:3" x14ac:dyDescent="0.25">
      <c r="A275" s="2"/>
      <c r="C275" s="2"/>
    </row>
    <row r="276" spans="1:3" x14ac:dyDescent="0.25">
      <c r="A276" s="2"/>
      <c r="C276" s="2"/>
    </row>
    <row r="277" spans="1:3" x14ac:dyDescent="0.25">
      <c r="A277" s="2"/>
      <c r="C277" s="2"/>
    </row>
    <row r="278" spans="1:3" x14ac:dyDescent="0.25">
      <c r="A278" s="2"/>
      <c r="C278" s="2"/>
    </row>
    <row r="279" spans="1:3" x14ac:dyDescent="0.25">
      <c r="A279" s="2"/>
      <c r="C279" s="2"/>
    </row>
    <row r="280" spans="1:3" x14ac:dyDescent="0.25">
      <c r="A280" s="2"/>
      <c r="C280" s="2"/>
    </row>
    <row r="281" spans="1:3" x14ac:dyDescent="0.25">
      <c r="A281" s="2"/>
      <c r="C281" s="2"/>
    </row>
    <row r="282" spans="1:3" x14ac:dyDescent="0.25">
      <c r="A282" s="2"/>
      <c r="C282" s="2"/>
    </row>
    <row r="283" spans="1:3" x14ac:dyDescent="0.25">
      <c r="A283" s="2"/>
      <c r="C283" s="2"/>
    </row>
    <row r="284" spans="1:3" x14ac:dyDescent="0.25">
      <c r="A284" s="2"/>
      <c r="C284" s="2"/>
    </row>
    <row r="285" spans="1:3" x14ac:dyDescent="0.25">
      <c r="A285" s="2"/>
      <c r="C285" s="2"/>
    </row>
    <row r="286" spans="1:3" x14ac:dyDescent="0.25">
      <c r="A286" s="2"/>
      <c r="C286" s="2"/>
    </row>
    <row r="287" spans="1:3" x14ac:dyDescent="0.25">
      <c r="A287" s="2"/>
      <c r="C287" s="2"/>
    </row>
    <row r="288" spans="1:3" x14ac:dyDescent="0.25">
      <c r="A288" s="2"/>
      <c r="C288" s="2"/>
    </row>
    <row r="289" spans="1:3" x14ac:dyDescent="0.25">
      <c r="A289" s="2"/>
      <c r="C289" s="2"/>
    </row>
    <row r="290" spans="1:3" x14ac:dyDescent="0.25">
      <c r="A290" s="2"/>
      <c r="C290" s="2"/>
    </row>
    <row r="291" spans="1:3" x14ac:dyDescent="0.25">
      <c r="A291" s="2"/>
      <c r="C291" s="2"/>
    </row>
    <row r="292" spans="1:3" x14ac:dyDescent="0.25">
      <c r="A292" s="2"/>
      <c r="C292" s="2"/>
    </row>
    <row r="293" spans="1:3" x14ac:dyDescent="0.25">
      <c r="A293" s="2"/>
      <c r="C293" s="2"/>
    </row>
    <row r="294" spans="1:3" x14ac:dyDescent="0.25">
      <c r="A294" s="2"/>
      <c r="C294" s="2"/>
    </row>
    <row r="295" spans="1:3" x14ac:dyDescent="0.25">
      <c r="A295" s="2"/>
      <c r="C295" s="2"/>
    </row>
    <row r="296" spans="1:3" x14ac:dyDescent="0.25">
      <c r="A296" s="2"/>
      <c r="C296" s="2"/>
    </row>
    <row r="297" spans="1:3" x14ac:dyDescent="0.25">
      <c r="A297" s="2"/>
      <c r="C297" s="2"/>
    </row>
    <row r="298" spans="1:3" x14ac:dyDescent="0.25">
      <c r="A298" s="2"/>
      <c r="C298" s="2"/>
    </row>
    <row r="299" spans="1:3" x14ac:dyDescent="0.25">
      <c r="A299" s="2"/>
      <c r="C299" s="2"/>
    </row>
    <row r="300" spans="1:3" x14ac:dyDescent="0.25">
      <c r="A300" s="2"/>
      <c r="C300" s="2"/>
    </row>
    <row r="301" spans="1:3" x14ac:dyDescent="0.25">
      <c r="A301" s="2"/>
      <c r="C301" s="2"/>
    </row>
    <row r="302" spans="1:3" x14ac:dyDescent="0.25">
      <c r="A302" s="2"/>
      <c r="C302" s="2"/>
    </row>
    <row r="303" spans="1:3" x14ac:dyDescent="0.25">
      <c r="A303" s="2"/>
      <c r="C303" s="2"/>
    </row>
    <row r="304" spans="1:3" x14ac:dyDescent="0.25">
      <c r="A304" s="2"/>
      <c r="C304" s="2"/>
    </row>
    <row r="305" spans="1:3" x14ac:dyDescent="0.25">
      <c r="A305" s="2"/>
      <c r="C305" s="2"/>
    </row>
    <row r="306" spans="1:3" x14ac:dyDescent="0.25">
      <c r="A306" s="2"/>
      <c r="C306" s="2"/>
    </row>
    <row r="307" spans="1:3" x14ac:dyDescent="0.25">
      <c r="A307" s="2"/>
      <c r="C307" s="2"/>
    </row>
    <row r="308" spans="1:3" x14ac:dyDescent="0.25">
      <c r="A308" s="2"/>
      <c r="C308" s="2"/>
    </row>
    <row r="309" spans="1:3" x14ac:dyDescent="0.25">
      <c r="A309" s="2"/>
      <c r="C309" s="2"/>
    </row>
    <row r="310" spans="1:3" x14ac:dyDescent="0.25">
      <c r="A310" s="2"/>
      <c r="C310" s="2"/>
    </row>
    <row r="311" spans="1:3" x14ac:dyDescent="0.25">
      <c r="A311" s="2"/>
      <c r="C311" s="2"/>
    </row>
    <row r="312" spans="1:3" x14ac:dyDescent="0.25">
      <c r="A312" s="2"/>
      <c r="C312" s="2"/>
    </row>
    <row r="313" spans="1:3" x14ac:dyDescent="0.25">
      <c r="A313" s="2"/>
      <c r="C313" s="2"/>
    </row>
    <row r="314" spans="1:3" x14ac:dyDescent="0.25">
      <c r="A314" s="2"/>
      <c r="C314" s="2"/>
    </row>
    <row r="315" spans="1:3" x14ac:dyDescent="0.25">
      <c r="A315" s="2"/>
      <c r="C315" s="2"/>
    </row>
    <row r="316" spans="1:3" x14ac:dyDescent="0.25">
      <c r="A316" s="2"/>
      <c r="C316" s="2"/>
    </row>
    <row r="317" spans="1:3" x14ac:dyDescent="0.25">
      <c r="A317" s="2"/>
      <c r="C317" s="2"/>
    </row>
    <row r="318" spans="1:3" x14ac:dyDescent="0.25">
      <c r="A318" s="2"/>
      <c r="C318" s="2"/>
    </row>
    <row r="319" spans="1:3" x14ac:dyDescent="0.25">
      <c r="A319" s="2"/>
      <c r="C319" s="2"/>
    </row>
    <row r="320" spans="1:3" x14ac:dyDescent="0.25">
      <c r="A320" s="2"/>
      <c r="C320" s="2"/>
    </row>
    <row r="321" spans="1:3" x14ac:dyDescent="0.25">
      <c r="A321" s="2"/>
      <c r="C321" s="2"/>
    </row>
    <row r="322" spans="1:3" x14ac:dyDescent="0.25">
      <c r="A322" s="2"/>
      <c r="C322" s="2"/>
    </row>
    <row r="323" spans="1:3" x14ac:dyDescent="0.25">
      <c r="A323" s="2"/>
      <c r="C323" s="2"/>
    </row>
    <row r="324" spans="1:3" x14ac:dyDescent="0.25">
      <c r="A324" s="2"/>
      <c r="C324" s="2"/>
    </row>
    <row r="325" spans="1:3" x14ac:dyDescent="0.25">
      <c r="A325" s="2"/>
      <c r="C325" s="2"/>
    </row>
    <row r="326" spans="1:3" x14ac:dyDescent="0.25">
      <c r="A326" s="2"/>
      <c r="C326" s="2"/>
    </row>
    <row r="327" spans="1:3" x14ac:dyDescent="0.25">
      <c r="A327" s="2"/>
      <c r="C327" s="2"/>
    </row>
    <row r="328" spans="1:3" x14ac:dyDescent="0.25">
      <c r="A328" s="2"/>
      <c r="C328" s="2"/>
    </row>
    <row r="329" spans="1:3" x14ac:dyDescent="0.25">
      <c r="A329" s="2"/>
      <c r="C329" s="2"/>
    </row>
    <row r="330" spans="1:3" x14ac:dyDescent="0.25">
      <c r="A330" s="2"/>
      <c r="C330" s="2"/>
    </row>
    <row r="331" spans="1:3" x14ac:dyDescent="0.25">
      <c r="A331" s="2"/>
      <c r="C331" s="2"/>
    </row>
    <row r="332" spans="1:3" x14ac:dyDescent="0.25">
      <c r="A332" s="2"/>
      <c r="C332" s="2"/>
    </row>
    <row r="333" spans="1:3" x14ac:dyDescent="0.25">
      <c r="A333" s="2"/>
      <c r="C333" s="2"/>
    </row>
    <row r="334" spans="1:3" x14ac:dyDescent="0.25">
      <c r="A334" s="2"/>
      <c r="C334" s="2"/>
    </row>
    <row r="335" spans="1:3" x14ac:dyDescent="0.25">
      <c r="A335" s="2"/>
      <c r="C335" s="2"/>
    </row>
    <row r="336" spans="1:3" x14ac:dyDescent="0.25">
      <c r="A336" s="2"/>
      <c r="C336" s="2"/>
    </row>
    <row r="337" spans="1:3" x14ac:dyDescent="0.25">
      <c r="A337" s="2"/>
      <c r="C337" s="2"/>
    </row>
    <row r="338" spans="1:3" x14ac:dyDescent="0.25">
      <c r="A338" s="2"/>
      <c r="C338" s="2"/>
    </row>
    <row r="339" spans="1:3" x14ac:dyDescent="0.25">
      <c r="A339" s="2"/>
      <c r="C339" s="2"/>
    </row>
    <row r="340" spans="1:3" x14ac:dyDescent="0.25">
      <c r="A340" s="2"/>
      <c r="C340" s="2"/>
    </row>
    <row r="341" spans="1:3" x14ac:dyDescent="0.25">
      <c r="A341" s="2"/>
      <c r="C341" s="2"/>
    </row>
    <row r="342" spans="1:3" x14ac:dyDescent="0.25">
      <c r="A342" s="2"/>
      <c r="C342" s="2"/>
    </row>
    <row r="343" spans="1:3" x14ac:dyDescent="0.25">
      <c r="A343" s="2"/>
      <c r="C343" s="2"/>
    </row>
    <row r="344" spans="1:3" x14ac:dyDescent="0.25">
      <c r="A344" s="2"/>
      <c r="C344" s="2"/>
    </row>
    <row r="345" spans="1:3" x14ac:dyDescent="0.25">
      <c r="A345" s="2"/>
      <c r="C345" s="2"/>
    </row>
    <row r="346" spans="1:3" x14ac:dyDescent="0.25">
      <c r="A346" s="2"/>
      <c r="C346" s="2"/>
    </row>
    <row r="347" spans="1:3" x14ac:dyDescent="0.25">
      <c r="A347" s="2"/>
      <c r="C347" s="2"/>
    </row>
    <row r="348" spans="1:3" x14ac:dyDescent="0.25">
      <c r="A348" s="2"/>
      <c r="C348" s="2"/>
    </row>
    <row r="349" spans="1:3" x14ac:dyDescent="0.25">
      <c r="A349" s="2"/>
      <c r="C349" s="2"/>
    </row>
    <row r="350" spans="1:3" x14ac:dyDescent="0.25">
      <c r="A350" s="2"/>
      <c r="C350" s="2"/>
    </row>
    <row r="351" spans="1:3" x14ac:dyDescent="0.25">
      <c r="A351" s="2"/>
      <c r="C351" s="2"/>
    </row>
    <row r="352" spans="1:3" x14ac:dyDescent="0.25">
      <c r="A352" s="2"/>
      <c r="C352" s="2"/>
    </row>
    <row r="353" spans="1:3" x14ac:dyDescent="0.25">
      <c r="A353" s="2"/>
      <c r="C353" s="2"/>
    </row>
    <row r="354" spans="1:3" x14ac:dyDescent="0.25">
      <c r="A354" s="2"/>
      <c r="C354" s="2"/>
    </row>
    <row r="355" spans="1:3" x14ac:dyDescent="0.25">
      <c r="A355" s="2"/>
      <c r="C355" s="2"/>
    </row>
    <row r="356" spans="1:3" x14ac:dyDescent="0.25">
      <c r="A356" s="2"/>
      <c r="C356" s="2"/>
    </row>
    <row r="357" spans="1:3" x14ac:dyDescent="0.25">
      <c r="A357" s="2"/>
      <c r="C357" s="2"/>
    </row>
    <row r="358" spans="1:3" x14ac:dyDescent="0.25">
      <c r="A358" s="2"/>
      <c r="C358" s="2"/>
    </row>
    <row r="359" spans="1:3" x14ac:dyDescent="0.25">
      <c r="A359" s="2"/>
      <c r="C359" s="2"/>
    </row>
    <row r="360" spans="1:3" x14ac:dyDescent="0.25">
      <c r="A360" s="2"/>
      <c r="C360" s="2"/>
    </row>
    <row r="361" spans="1:3" x14ac:dyDescent="0.25">
      <c r="A361" s="2"/>
      <c r="C361" s="2"/>
    </row>
    <row r="362" spans="1:3" x14ac:dyDescent="0.25">
      <c r="A362" s="2"/>
      <c r="C362" s="2"/>
    </row>
    <row r="363" spans="1:3" x14ac:dyDescent="0.25">
      <c r="A363" s="2"/>
      <c r="C363" s="2"/>
    </row>
    <row r="364" spans="1:3" x14ac:dyDescent="0.25">
      <c r="A364" s="2"/>
      <c r="C364" s="2"/>
    </row>
    <row r="365" spans="1:3" x14ac:dyDescent="0.25">
      <c r="A365" s="2"/>
      <c r="C365" s="2"/>
    </row>
    <row r="366" spans="1:3" x14ac:dyDescent="0.25">
      <c r="A366" s="2"/>
      <c r="C366" s="2"/>
    </row>
    <row r="367" spans="1:3" x14ac:dyDescent="0.25">
      <c r="A367" s="2"/>
      <c r="C367" s="2"/>
    </row>
    <row r="368" spans="1:3" x14ac:dyDescent="0.25">
      <c r="A368" s="2"/>
      <c r="C368" s="2"/>
    </row>
    <row r="369" spans="1:3" x14ac:dyDescent="0.25">
      <c r="A369" s="2"/>
      <c r="C369" s="2"/>
    </row>
    <row r="370" spans="1:3" x14ac:dyDescent="0.25">
      <c r="A370" s="2"/>
      <c r="C370" s="2"/>
    </row>
    <row r="371" spans="1:3" x14ac:dyDescent="0.25">
      <c r="A371" s="2"/>
      <c r="C371" s="2"/>
    </row>
    <row r="372" spans="1:3" x14ac:dyDescent="0.25">
      <c r="A372" s="2"/>
      <c r="C372" s="2"/>
    </row>
    <row r="373" spans="1:3" x14ac:dyDescent="0.25">
      <c r="A373" s="2"/>
      <c r="C373" s="2"/>
    </row>
    <row r="374" spans="1:3" x14ac:dyDescent="0.25">
      <c r="A374" s="2"/>
      <c r="C374" s="2"/>
    </row>
    <row r="375" spans="1:3" x14ac:dyDescent="0.25">
      <c r="A375" s="2"/>
      <c r="C375" s="2"/>
    </row>
    <row r="376" spans="1:3" x14ac:dyDescent="0.25">
      <c r="A376" s="2"/>
      <c r="C376" s="2"/>
    </row>
    <row r="377" spans="1:3" x14ac:dyDescent="0.25">
      <c r="A377" s="2"/>
      <c r="C377" s="2"/>
    </row>
    <row r="378" spans="1:3" x14ac:dyDescent="0.25">
      <c r="A378" s="2"/>
      <c r="C378" s="2"/>
    </row>
    <row r="379" spans="1:3" x14ac:dyDescent="0.25">
      <c r="A379" s="2"/>
      <c r="C379" s="2"/>
    </row>
    <row r="380" spans="1:3" x14ac:dyDescent="0.25">
      <c r="A380" s="2"/>
      <c r="C380" s="2"/>
    </row>
    <row r="381" spans="1:3" x14ac:dyDescent="0.25">
      <c r="A381" s="2"/>
      <c r="C381" s="2"/>
    </row>
    <row r="382" spans="1:3" x14ac:dyDescent="0.25">
      <c r="A382" s="2"/>
      <c r="C382" s="2"/>
    </row>
    <row r="383" spans="1:3" x14ac:dyDescent="0.25">
      <c r="A383" s="2"/>
      <c r="C383" s="2"/>
    </row>
    <row r="384" spans="1:3" x14ac:dyDescent="0.25">
      <c r="A384" s="2"/>
      <c r="C384" s="2"/>
    </row>
    <row r="385" spans="1:3" x14ac:dyDescent="0.25">
      <c r="A385" s="2"/>
      <c r="C385" s="2"/>
    </row>
    <row r="386" spans="1:3" x14ac:dyDescent="0.25">
      <c r="A386" s="2"/>
      <c r="C386" s="2"/>
    </row>
    <row r="387" spans="1:3" x14ac:dyDescent="0.25">
      <c r="A387" s="2"/>
      <c r="C387" s="2"/>
    </row>
    <row r="388" spans="1:3" x14ac:dyDescent="0.25">
      <c r="A388" s="2"/>
      <c r="C388" s="2"/>
    </row>
    <row r="389" spans="1:3" x14ac:dyDescent="0.25">
      <c r="A389" s="2"/>
      <c r="C389" s="2"/>
    </row>
    <row r="390" spans="1:3" x14ac:dyDescent="0.25">
      <c r="A390" s="2"/>
      <c r="C390" s="2"/>
    </row>
    <row r="391" spans="1:3" x14ac:dyDescent="0.25">
      <c r="A391" s="2"/>
      <c r="C391" s="2"/>
    </row>
    <row r="392" spans="1:3" x14ac:dyDescent="0.25">
      <c r="A392" s="2"/>
      <c r="C392" s="2"/>
    </row>
    <row r="393" spans="1:3" x14ac:dyDescent="0.25">
      <c r="A393" s="2"/>
      <c r="C393" s="2"/>
    </row>
    <row r="394" spans="1:3" x14ac:dyDescent="0.25">
      <c r="A394" s="2"/>
      <c r="C394" s="2"/>
    </row>
    <row r="395" spans="1:3" x14ac:dyDescent="0.25">
      <c r="A395" s="2"/>
      <c r="C395" s="2"/>
    </row>
    <row r="396" spans="1:3" x14ac:dyDescent="0.25">
      <c r="A396" s="2"/>
      <c r="C396" s="2"/>
    </row>
    <row r="397" spans="1:3" x14ac:dyDescent="0.25">
      <c r="A397" s="2"/>
      <c r="C397" s="2"/>
    </row>
    <row r="398" spans="1:3" x14ac:dyDescent="0.25">
      <c r="A398" s="2"/>
      <c r="C398" s="2"/>
    </row>
    <row r="399" spans="1:3" x14ac:dyDescent="0.25">
      <c r="A399" s="2"/>
      <c r="C399" s="2"/>
    </row>
    <row r="400" spans="1:3" x14ac:dyDescent="0.25">
      <c r="A400" s="2"/>
      <c r="C400" s="2"/>
    </row>
    <row r="401" spans="1:3" x14ac:dyDescent="0.25">
      <c r="A401" s="2"/>
      <c r="C401" s="2"/>
    </row>
    <row r="402" spans="1:3" x14ac:dyDescent="0.25">
      <c r="A402" s="2"/>
      <c r="C402" s="2"/>
    </row>
    <row r="403" spans="1:3" x14ac:dyDescent="0.25">
      <c r="A403" s="2"/>
      <c r="C403" s="2"/>
    </row>
    <row r="404" spans="1:3" x14ac:dyDescent="0.25">
      <c r="A404" s="2"/>
      <c r="C404" s="2"/>
    </row>
    <row r="405" spans="1:3" x14ac:dyDescent="0.25">
      <c r="A405" s="2"/>
      <c r="C405" s="2"/>
    </row>
    <row r="406" spans="1:3" x14ac:dyDescent="0.25">
      <c r="A406" s="2"/>
      <c r="C406" s="2"/>
    </row>
    <row r="407" spans="1:3" x14ac:dyDescent="0.25">
      <c r="A407" s="2"/>
      <c r="C407" s="2"/>
    </row>
    <row r="408" spans="1:3" x14ac:dyDescent="0.25">
      <c r="A408" s="2"/>
      <c r="C408" s="2"/>
    </row>
    <row r="409" spans="1:3" x14ac:dyDescent="0.25">
      <c r="A409" s="2"/>
      <c r="C409" s="2"/>
    </row>
    <row r="410" spans="1:3" x14ac:dyDescent="0.25">
      <c r="A410" s="2"/>
      <c r="C410" s="2"/>
    </row>
    <row r="411" spans="1:3" x14ac:dyDescent="0.25">
      <c r="A411" s="2"/>
      <c r="C411" s="2"/>
    </row>
    <row r="412" spans="1:3" x14ac:dyDescent="0.25">
      <c r="A412" s="2"/>
      <c r="C412" s="2"/>
    </row>
    <row r="413" spans="1:3" x14ac:dyDescent="0.25">
      <c r="A413" s="2"/>
      <c r="C413" s="2"/>
    </row>
    <row r="414" spans="1:3" x14ac:dyDescent="0.25">
      <c r="A414" s="2"/>
      <c r="C414" s="2"/>
    </row>
    <row r="415" spans="1:3" x14ac:dyDescent="0.25">
      <c r="A415" s="2"/>
      <c r="C415" s="2"/>
    </row>
    <row r="416" spans="1:3" x14ac:dyDescent="0.25">
      <c r="A416" s="2"/>
      <c r="C416" s="2"/>
    </row>
    <row r="417" spans="1:3" x14ac:dyDescent="0.25">
      <c r="A417" s="2"/>
      <c r="C417" s="2"/>
    </row>
    <row r="418" spans="1:3" x14ac:dyDescent="0.25">
      <c r="A418" s="2"/>
      <c r="C418" s="2"/>
    </row>
    <row r="419" spans="1:3" x14ac:dyDescent="0.25">
      <c r="A419" s="2"/>
      <c r="C419" s="2"/>
    </row>
    <row r="420" spans="1:3" x14ac:dyDescent="0.25">
      <c r="A420" s="2"/>
      <c r="C420" s="2"/>
    </row>
    <row r="421" spans="1:3" x14ac:dyDescent="0.25">
      <c r="A421" s="2"/>
      <c r="C421" s="2"/>
    </row>
    <row r="422" spans="1:3" x14ac:dyDescent="0.25">
      <c r="A422" s="2"/>
      <c r="C422" s="2"/>
    </row>
    <row r="423" spans="1:3" x14ac:dyDescent="0.25">
      <c r="A423" s="2"/>
      <c r="C423" s="2"/>
    </row>
    <row r="424" spans="1:3" x14ac:dyDescent="0.25">
      <c r="A424" s="2"/>
      <c r="C424" s="2"/>
    </row>
    <row r="425" spans="1:3" x14ac:dyDescent="0.25">
      <c r="A425" s="2"/>
      <c r="C425" s="2"/>
    </row>
    <row r="426" spans="1:3" x14ac:dyDescent="0.25">
      <c r="A426" s="2"/>
      <c r="C426" s="2"/>
    </row>
    <row r="427" spans="1:3" x14ac:dyDescent="0.25">
      <c r="A427" s="2"/>
      <c r="C427" s="2"/>
    </row>
    <row r="428" spans="1:3" x14ac:dyDescent="0.25">
      <c r="A428" s="2"/>
      <c r="C428" s="2"/>
    </row>
    <row r="429" spans="1:3" x14ac:dyDescent="0.25">
      <c r="A429" s="2"/>
      <c r="C429" s="2"/>
    </row>
    <row r="430" spans="1:3" x14ac:dyDescent="0.25">
      <c r="A430" s="2"/>
      <c r="C430" s="2"/>
    </row>
    <row r="431" spans="1:3" x14ac:dyDescent="0.25">
      <c r="A431" s="2"/>
      <c r="C431" s="2"/>
    </row>
    <row r="432" spans="1:3" x14ac:dyDescent="0.25">
      <c r="A432" s="2"/>
      <c r="C432" s="2"/>
    </row>
    <row r="433" spans="1:3" x14ac:dyDescent="0.25">
      <c r="A433" s="2"/>
      <c r="C433" s="2"/>
    </row>
    <row r="434" spans="1:3" x14ac:dyDescent="0.25">
      <c r="A434" s="2"/>
      <c r="C434" s="2"/>
    </row>
    <row r="435" spans="1:3" x14ac:dyDescent="0.25">
      <c r="A435" s="2"/>
      <c r="C435" s="2"/>
    </row>
    <row r="436" spans="1:3" x14ac:dyDescent="0.25">
      <c r="A436" s="2"/>
      <c r="C436" s="2"/>
    </row>
    <row r="437" spans="1:3" x14ac:dyDescent="0.25">
      <c r="A437" s="2"/>
      <c r="C437" s="2"/>
    </row>
    <row r="438" spans="1:3" x14ac:dyDescent="0.25">
      <c r="A438" s="2"/>
      <c r="C438" s="2"/>
    </row>
    <row r="439" spans="1:3" x14ac:dyDescent="0.25">
      <c r="A439" s="2"/>
      <c r="C439" s="2"/>
    </row>
    <row r="440" spans="1:3" x14ac:dyDescent="0.25">
      <c r="A440" s="2"/>
      <c r="C440" s="2"/>
    </row>
    <row r="441" spans="1:3" x14ac:dyDescent="0.25">
      <c r="A441" s="2"/>
      <c r="C441" s="2"/>
    </row>
    <row r="442" spans="1:3" x14ac:dyDescent="0.25">
      <c r="A442" s="2"/>
      <c r="C442" s="2"/>
    </row>
    <row r="443" spans="1:3" x14ac:dyDescent="0.25">
      <c r="A443" s="2"/>
      <c r="C443" s="2"/>
    </row>
    <row r="444" spans="1:3" x14ac:dyDescent="0.25">
      <c r="A444" s="2"/>
      <c r="C444" s="2"/>
    </row>
    <row r="445" spans="1:3" x14ac:dyDescent="0.25">
      <c r="A445" s="2"/>
      <c r="C445" s="2"/>
    </row>
    <row r="446" spans="1:3" x14ac:dyDescent="0.25">
      <c r="A446" s="2"/>
      <c r="C446" s="2"/>
    </row>
    <row r="447" spans="1:3" x14ac:dyDescent="0.25">
      <c r="A447" s="2"/>
      <c r="C447" s="2"/>
    </row>
    <row r="448" spans="1:3" x14ac:dyDescent="0.25">
      <c r="A448" s="2"/>
      <c r="C448" s="2"/>
    </row>
    <row r="449" spans="1:3" x14ac:dyDescent="0.25">
      <c r="A449" s="2"/>
      <c r="C449" s="2"/>
    </row>
    <row r="450" spans="1:3" x14ac:dyDescent="0.25">
      <c r="A450" s="2"/>
      <c r="C450" s="2"/>
    </row>
    <row r="451" spans="1:3" x14ac:dyDescent="0.25">
      <c r="A451" s="2"/>
      <c r="C451" s="2"/>
    </row>
    <row r="452" spans="1:3" x14ac:dyDescent="0.25">
      <c r="A452" s="2"/>
      <c r="C452" s="2"/>
    </row>
    <row r="453" spans="1:3" x14ac:dyDescent="0.25">
      <c r="A453" s="2"/>
      <c r="C453" s="2"/>
    </row>
    <row r="454" spans="1:3" x14ac:dyDescent="0.25">
      <c r="A454" s="2"/>
      <c r="C454" s="2"/>
    </row>
    <row r="455" spans="1:3" x14ac:dyDescent="0.25">
      <c r="A455" s="2"/>
      <c r="C455" s="2"/>
    </row>
    <row r="456" spans="1:3" x14ac:dyDescent="0.25">
      <c r="A456" s="2"/>
      <c r="C456" s="2"/>
    </row>
    <row r="457" spans="1:3" x14ac:dyDescent="0.25">
      <c r="A457" s="2"/>
      <c r="C457" s="2"/>
    </row>
    <row r="458" spans="1:3" x14ac:dyDescent="0.25">
      <c r="A458" s="2"/>
      <c r="C458" s="2"/>
    </row>
    <row r="459" spans="1:3" x14ac:dyDescent="0.25">
      <c r="A459" s="2"/>
      <c r="C459" s="2"/>
    </row>
    <row r="460" spans="1:3" x14ac:dyDescent="0.25">
      <c r="A460" s="2"/>
      <c r="C460" s="2"/>
    </row>
    <row r="461" spans="1:3" x14ac:dyDescent="0.25">
      <c r="A461" s="2"/>
      <c r="C461" s="2"/>
    </row>
    <row r="462" spans="1:3" x14ac:dyDescent="0.25">
      <c r="A462" s="2"/>
      <c r="C462" s="2"/>
    </row>
    <row r="463" spans="1:3" x14ac:dyDescent="0.25">
      <c r="A463" s="2"/>
      <c r="C463" s="2"/>
    </row>
    <row r="464" spans="1:3" x14ac:dyDescent="0.25">
      <c r="A464" s="2"/>
      <c r="C464" s="2"/>
    </row>
    <row r="465" spans="1:3" x14ac:dyDescent="0.25">
      <c r="A465" s="2"/>
      <c r="C465" s="2"/>
    </row>
    <row r="466" spans="1:3" x14ac:dyDescent="0.25">
      <c r="A466" s="2"/>
      <c r="C466" s="2"/>
    </row>
    <row r="467" spans="1:3" x14ac:dyDescent="0.25">
      <c r="A467" s="2"/>
      <c r="C467" s="2"/>
    </row>
    <row r="468" spans="1:3" x14ac:dyDescent="0.25">
      <c r="A468" s="2"/>
      <c r="C468" s="2"/>
    </row>
    <row r="469" spans="1:3" x14ac:dyDescent="0.25">
      <c r="A469" s="2"/>
      <c r="C469" s="2"/>
    </row>
    <row r="470" spans="1:3" x14ac:dyDescent="0.25">
      <c r="A470" s="2"/>
      <c r="C470" s="2"/>
    </row>
    <row r="471" spans="1:3" x14ac:dyDescent="0.25">
      <c r="A471" s="2"/>
      <c r="C471" s="2"/>
    </row>
    <row r="472" spans="1:3" x14ac:dyDescent="0.25">
      <c r="A472" s="2"/>
      <c r="C472" s="2"/>
    </row>
    <row r="473" spans="1:3" x14ac:dyDescent="0.25">
      <c r="A473" s="2"/>
      <c r="C473" s="2"/>
    </row>
    <row r="474" spans="1:3" x14ac:dyDescent="0.25">
      <c r="A474" s="2"/>
      <c r="C474" s="2"/>
    </row>
    <row r="475" spans="1:3" x14ac:dyDescent="0.25">
      <c r="A475" s="2"/>
      <c r="C475" s="2"/>
    </row>
    <row r="476" spans="1:3" x14ac:dyDescent="0.25">
      <c r="A476" s="2"/>
      <c r="C476" s="2"/>
    </row>
    <row r="477" spans="1:3" x14ac:dyDescent="0.25">
      <c r="A477" s="2"/>
      <c r="C477" s="2"/>
    </row>
    <row r="478" spans="1:3" x14ac:dyDescent="0.25">
      <c r="A478" s="2"/>
      <c r="C478" s="2"/>
    </row>
    <row r="479" spans="1:3" x14ac:dyDescent="0.25">
      <c r="A479" s="2"/>
      <c r="C479" s="2"/>
    </row>
    <row r="480" spans="1:3" x14ac:dyDescent="0.25">
      <c r="A480" s="2"/>
      <c r="C480" s="2"/>
    </row>
    <row r="481" spans="1:3" x14ac:dyDescent="0.25">
      <c r="A481" s="2"/>
      <c r="C481" s="2"/>
    </row>
    <row r="482" spans="1:3" x14ac:dyDescent="0.25">
      <c r="A482" s="2"/>
      <c r="C482" s="2"/>
    </row>
    <row r="483" spans="1:3" x14ac:dyDescent="0.25">
      <c r="A483" s="2"/>
      <c r="C483" s="2"/>
    </row>
    <row r="484" spans="1:3" x14ac:dyDescent="0.25">
      <c r="A484" s="2"/>
      <c r="C484" s="2"/>
    </row>
    <row r="485" spans="1:3" x14ac:dyDescent="0.25">
      <c r="A485" s="2"/>
      <c r="C485" s="2"/>
    </row>
    <row r="486" spans="1:3" x14ac:dyDescent="0.25">
      <c r="A486" s="2"/>
      <c r="C486" s="2"/>
    </row>
    <row r="487" spans="1:3" x14ac:dyDescent="0.25">
      <c r="A487" s="2"/>
      <c r="C487" s="2"/>
    </row>
    <row r="488" spans="1:3" x14ac:dyDescent="0.25">
      <c r="A488" s="2"/>
      <c r="C488" s="2"/>
    </row>
    <row r="489" spans="1:3" x14ac:dyDescent="0.25">
      <c r="A489" s="2"/>
      <c r="C489" s="2"/>
    </row>
    <row r="490" spans="1:3" x14ac:dyDescent="0.25">
      <c r="A490" s="2"/>
      <c r="C490" s="2"/>
    </row>
    <row r="491" spans="1:3" x14ac:dyDescent="0.25">
      <c r="A491" s="2"/>
      <c r="C491" s="2"/>
    </row>
    <row r="492" spans="1:3" x14ac:dyDescent="0.25">
      <c r="A492" s="2"/>
      <c r="C492" s="2"/>
    </row>
    <row r="493" spans="1:3" x14ac:dyDescent="0.25">
      <c r="A493" s="2"/>
      <c r="C493" s="2"/>
    </row>
    <row r="494" spans="1:3" x14ac:dyDescent="0.25">
      <c r="A494" s="2"/>
      <c r="C494" s="2"/>
    </row>
    <row r="495" spans="1:3" x14ac:dyDescent="0.25">
      <c r="A495" s="2"/>
      <c r="C495" s="2"/>
    </row>
    <row r="496" spans="1:3" x14ac:dyDescent="0.25">
      <c r="A496" s="2"/>
      <c r="C496" s="2"/>
    </row>
    <row r="497" spans="1:3" x14ac:dyDescent="0.25">
      <c r="A497" s="2"/>
      <c r="C497" s="2"/>
    </row>
    <row r="498" spans="1:3" x14ac:dyDescent="0.25">
      <c r="A498" s="2"/>
      <c r="C498" s="2"/>
    </row>
    <row r="499" spans="1:3" x14ac:dyDescent="0.25">
      <c r="A499" s="2"/>
      <c r="C499" s="2"/>
    </row>
    <row r="500" spans="1:3" x14ac:dyDescent="0.25">
      <c r="A500" s="2"/>
      <c r="C500" s="2"/>
    </row>
    <row r="501" spans="1:3" x14ac:dyDescent="0.25">
      <c r="A501" s="2"/>
      <c r="C501" s="2"/>
    </row>
    <row r="502" spans="1:3" x14ac:dyDescent="0.25">
      <c r="A502" s="2"/>
      <c r="C502" s="2"/>
    </row>
    <row r="503" spans="1:3" x14ac:dyDescent="0.25">
      <c r="A503" s="2"/>
      <c r="C503" s="2"/>
    </row>
    <row r="504" spans="1:3" x14ac:dyDescent="0.25">
      <c r="A504" s="2"/>
      <c r="C504" s="2"/>
    </row>
    <row r="505" spans="1:3" x14ac:dyDescent="0.25">
      <c r="A505" s="2"/>
      <c r="C505" s="2"/>
    </row>
    <row r="506" spans="1:3" x14ac:dyDescent="0.25">
      <c r="A506" s="2"/>
      <c r="C506" s="2"/>
    </row>
    <row r="507" spans="1:3" x14ac:dyDescent="0.25">
      <c r="A507" s="2"/>
      <c r="C507" s="2"/>
    </row>
    <row r="508" spans="1:3" x14ac:dyDescent="0.25">
      <c r="A508" s="2"/>
      <c r="C508" s="2"/>
    </row>
    <row r="509" spans="1:3" x14ac:dyDescent="0.25">
      <c r="A509" s="2"/>
      <c r="C509" s="2"/>
    </row>
    <row r="510" spans="1:3" x14ac:dyDescent="0.25">
      <c r="A510" s="2"/>
      <c r="C510" s="2"/>
    </row>
    <row r="511" spans="1:3" x14ac:dyDescent="0.25">
      <c r="A511" s="2"/>
      <c r="C511" s="2"/>
    </row>
    <row r="512" spans="1:3" x14ac:dyDescent="0.25">
      <c r="A512" s="2"/>
      <c r="C512" s="2"/>
    </row>
    <row r="513" spans="1:3" x14ac:dyDescent="0.25">
      <c r="A513" s="2"/>
      <c r="C513" s="2"/>
    </row>
    <row r="514" spans="1:3" x14ac:dyDescent="0.25">
      <c r="A514" s="2"/>
      <c r="C514" s="2"/>
    </row>
    <row r="515" spans="1:3" x14ac:dyDescent="0.25">
      <c r="A515" s="2"/>
      <c r="C515" s="2"/>
    </row>
    <row r="516" spans="1:3" x14ac:dyDescent="0.25">
      <c r="A516" s="2"/>
      <c r="C516" s="2"/>
    </row>
    <row r="517" spans="1:3" x14ac:dyDescent="0.25">
      <c r="A517" s="2"/>
      <c r="C517" s="2"/>
    </row>
    <row r="518" spans="1:3" x14ac:dyDescent="0.25">
      <c r="A518" s="2"/>
      <c r="C518" s="2"/>
    </row>
    <row r="519" spans="1:3" x14ac:dyDescent="0.25">
      <c r="A519" s="2"/>
      <c r="C519" s="2"/>
    </row>
    <row r="520" spans="1:3" x14ac:dyDescent="0.25">
      <c r="A520" s="2"/>
      <c r="C520" s="2"/>
    </row>
    <row r="521" spans="1:3" x14ac:dyDescent="0.25">
      <c r="A521" s="2"/>
      <c r="C521" s="2"/>
    </row>
    <row r="522" spans="1:3" x14ac:dyDescent="0.25">
      <c r="A522" s="2"/>
      <c r="C522" s="2"/>
    </row>
    <row r="523" spans="1:3" x14ac:dyDescent="0.25">
      <c r="A523" s="2"/>
      <c r="C523" s="2"/>
    </row>
    <row r="524" spans="1:3" x14ac:dyDescent="0.25">
      <c r="A524" s="2"/>
      <c r="C524" s="2"/>
    </row>
    <row r="525" spans="1:3" x14ac:dyDescent="0.25">
      <c r="A525" s="2"/>
      <c r="C525" s="2"/>
    </row>
    <row r="526" spans="1:3" x14ac:dyDescent="0.25">
      <c r="A526" s="2"/>
      <c r="C526" s="2"/>
    </row>
    <row r="527" spans="1:3" x14ac:dyDescent="0.25">
      <c r="A527" s="2"/>
      <c r="C527" s="2"/>
    </row>
    <row r="528" spans="1:3" x14ac:dyDescent="0.25">
      <c r="A528" s="2"/>
      <c r="C528" s="2"/>
    </row>
    <row r="529" spans="1:3" x14ac:dyDescent="0.25">
      <c r="A529" s="2"/>
      <c r="C529" s="2"/>
    </row>
    <row r="530" spans="1:3" x14ac:dyDescent="0.25">
      <c r="A530" s="2"/>
      <c r="C530" s="2"/>
    </row>
    <row r="531" spans="1:3" x14ac:dyDescent="0.25">
      <c r="A531" s="2"/>
      <c r="C531" s="2"/>
    </row>
    <row r="532" spans="1:3" x14ac:dyDescent="0.25">
      <c r="A532" s="2"/>
      <c r="C532" s="2"/>
    </row>
    <row r="533" spans="1:3" x14ac:dyDescent="0.25">
      <c r="A533" s="2"/>
      <c r="C533" s="2"/>
    </row>
    <row r="534" spans="1:3" x14ac:dyDescent="0.25">
      <c r="A534" s="2"/>
      <c r="C534" s="2"/>
    </row>
    <row r="535" spans="1:3" x14ac:dyDescent="0.25">
      <c r="A535" s="2"/>
      <c r="C535" s="2"/>
    </row>
    <row r="536" spans="1:3" x14ac:dyDescent="0.25">
      <c r="A536" s="2"/>
      <c r="C536" s="2"/>
    </row>
    <row r="537" spans="1:3" x14ac:dyDescent="0.25">
      <c r="A537" s="2"/>
      <c r="C537" s="2"/>
    </row>
    <row r="538" spans="1:3" x14ac:dyDescent="0.25">
      <c r="A538" s="2"/>
      <c r="C538" s="2"/>
    </row>
    <row r="539" spans="1:3" x14ac:dyDescent="0.25">
      <c r="A539" s="2"/>
      <c r="C539" s="2"/>
    </row>
    <row r="540" spans="1:3" x14ac:dyDescent="0.25">
      <c r="A540" s="2"/>
      <c r="C540" s="2"/>
    </row>
    <row r="541" spans="1:3" x14ac:dyDescent="0.25">
      <c r="A541" s="2"/>
      <c r="C541" s="2"/>
    </row>
    <row r="542" spans="1:3" x14ac:dyDescent="0.25">
      <c r="A542" s="2"/>
      <c r="C542" s="2"/>
    </row>
    <row r="543" spans="1:3" x14ac:dyDescent="0.25">
      <c r="A543" s="2"/>
      <c r="C543" s="2"/>
    </row>
    <row r="544" spans="1:3" x14ac:dyDescent="0.25">
      <c r="A544" s="2"/>
      <c r="C544" s="2"/>
    </row>
    <row r="545" spans="1:3" x14ac:dyDescent="0.25">
      <c r="A545" s="2"/>
      <c r="C545" s="2"/>
    </row>
    <row r="546" spans="1:3" x14ac:dyDescent="0.25">
      <c r="A546" s="2"/>
      <c r="C546" s="2"/>
    </row>
    <row r="547" spans="1:3" x14ac:dyDescent="0.25">
      <c r="A547" s="2"/>
      <c r="C547" s="2"/>
    </row>
    <row r="548" spans="1:3" x14ac:dyDescent="0.25">
      <c r="A548" s="2"/>
      <c r="C548" s="2"/>
    </row>
    <row r="549" spans="1:3" x14ac:dyDescent="0.25">
      <c r="A549" s="2"/>
      <c r="C549" s="2"/>
    </row>
    <row r="550" spans="1:3" x14ac:dyDescent="0.25">
      <c r="A550" s="2"/>
      <c r="C550" s="2"/>
    </row>
    <row r="551" spans="1:3" x14ac:dyDescent="0.25">
      <c r="A551" s="2"/>
      <c r="C551" s="2"/>
    </row>
    <row r="552" spans="1:3" x14ac:dyDescent="0.25">
      <c r="A552" s="2"/>
      <c r="C552" s="2"/>
    </row>
    <row r="553" spans="1:3" x14ac:dyDescent="0.25">
      <c r="A553" s="2"/>
      <c r="C553" s="2"/>
    </row>
    <row r="554" spans="1:3" x14ac:dyDescent="0.25">
      <c r="A554" s="2"/>
      <c r="C554" s="2"/>
    </row>
    <row r="555" spans="1:3" x14ac:dyDescent="0.25">
      <c r="A555" s="2"/>
      <c r="C555" s="2"/>
    </row>
    <row r="556" spans="1:3" x14ac:dyDescent="0.25">
      <c r="A556" s="2"/>
      <c r="C556" s="2"/>
    </row>
    <row r="557" spans="1:3" x14ac:dyDescent="0.25">
      <c r="A557" s="2"/>
      <c r="C557" s="2"/>
    </row>
    <row r="558" spans="1:3" x14ac:dyDescent="0.25">
      <c r="A558" s="2"/>
      <c r="C558" s="2"/>
    </row>
    <row r="559" spans="1:3" x14ac:dyDescent="0.25">
      <c r="A559" s="2"/>
      <c r="C559" s="2"/>
    </row>
    <row r="560" spans="1:3" x14ac:dyDescent="0.25">
      <c r="A560" s="2"/>
      <c r="C560" s="2"/>
    </row>
    <row r="561" spans="1:3" x14ac:dyDescent="0.25">
      <c r="A561" s="2"/>
      <c r="C561" s="2"/>
    </row>
    <row r="562" spans="1:3" x14ac:dyDescent="0.25">
      <c r="A562" s="2"/>
      <c r="C562" s="2"/>
    </row>
    <row r="563" spans="1:3" x14ac:dyDescent="0.25">
      <c r="A563" s="2"/>
      <c r="C563" s="2"/>
    </row>
    <row r="564" spans="1:3" x14ac:dyDescent="0.25">
      <c r="A564" s="2"/>
      <c r="C564" s="2"/>
    </row>
    <row r="565" spans="1:3" x14ac:dyDescent="0.25">
      <c r="A565" s="2"/>
      <c r="C565" s="2"/>
    </row>
    <row r="566" spans="1:3" x14ac:dyDescent="0.25">
      <c r="A566" s="2"/>
      <c r="C566" s="2"/>
    </row>
    <row r="567" spans="1:3" x14ac:dyDescent="0.25">
      <c r="A567" s="2"/>
      <c r="C567" s="2"/>
    </row>
    <row r="568" spans="1:3" x14ac:dyDescent="0.25">
      <c r="A568" s="2"/>
      <c r="C568" s="2"/>
    </row>
    <row r="569" spans="1:3" x14ac:dyDescent="0.25">
      <c r="A569" s="2"/>
      <c r="C569" s="2"/>
    </row>
    <row r="570" spans="1:3" x14ac:dyDescent="0.25">
      <c r="A570" s="2"/>
      <c r="C570" s="2"/>
    </row>
    <row r="571" spans="1:3" x14ac:dyDescent="0.25">
      <c r="A571" s="2"/>
      <c r="C571" s="2"/>
    </row>
    <row r="572" spans="1:3" x14ac:dyDescent="0.25">
      <c r="A572" s="2"/>
      <c r="C572" s="2"/>
    </row>
    <row r="573" spans="1:3" x14ac:dyDescent="0.25">
      <c r="A573" s="2"/>
      <c r="C573" s="2"/>
    </row>
    <row r="574" spans="1:3" x14ac:dyDescent="0.25">
      <c r="A574" s="2"/>
      <c r="C574" s="2"/>
    </row>
    <row r="575" spans="1:3" x14ac:dyDescent="0.25">
      <c r="A575" s="2"/>
      <c r="C575" s="2"/>
    </row>
    <row r="576" spans="1:3" x14ac:dyDescent="0.25">
      <c r="A576" s="2"/>
      <c r="C576" s="2"/>
    </row>
    <row r="577" spans="1:3" x14ac:dyDescent="0.25">
      <c r="A577" s="2"/>
      <c r="C577" s="2"/>
    </row>
    <row r="578" spans="1:3" x14ac:dyDescent="0.25">
      <c r="A578" s="2"/>
      <c r="C578" s="2"/>
    </row>
    <row r="579" spans="1:3" x14ac:dyDescent="0.25">
      <c r="A579" s="2"/>
      <c r="C579" s="2"/>
    </row>
    <row r="580" spans="1:3" x14ac:dyDescent="0.25">
      <c r="A580" s="2"/>
      <c r="C580" s="2"/>
    </row>
    <row r="581" spans="1:3" x14ac:dyDescent="0.25">
      <c r="A581" s="2"/>
      <c r="C581" s="2"/>
    </row>
    <row r="582" spans="1:3" x14ac:dyDescent="0.25">
      <c r="A582" s="2"/>
      <c r="C582" s="2"/>
    </row>
    <row r="583" spans="1:3" x14ac:dyDescent="0.25">
      <c r="A583" s="2"/>
      <c r="C583" s="2"/>
    </row>
    <row r="584" spans="1:3" x14ac:dyDescent="0.25">
      <c r="A584" s="2"/>
      <c r="C584" s="2"/>
    </row>
    <row r="585" spans="1:3" x14ac:dyDescent="0.25">
      <c r="A585" s="2"/>
      <c r="C585" s="2"/>
    </row>
    <row r="586" spans="1:3" x14ac:dyDescent="0.25">
      <c r="A586" s="2"/>
      <c r="C586" s="2"/>
    </row>
    <row r="587" spans="1:3" x14ac:dyDescent="0.25">
      <c r="A587" s="2"/>
      <c r="C587" s="2"/>
    </row>
    <row r="588" spans="1:3" x14ac:dyDescent="0.25">
      <c r="A588" s="2"/>
      <c r="C588" s="2"/>
    </row>
    <row r="589" spans="1:3" x14ac:dyDescent="0.25">
      <c r="A589" s="2"/>
      <c r="C589" s="2"/>
    </row>
    <row r="590" spans="1:3" x14ac:dyDescent="0.25">
      <c r="A590" s="2"/>
      <c r="C590" s="2"/>
    </row>
    <row r="591" spans="1:3" x14ac:dyDescent="0.25">
      <c r="A591" s="2"/>
      <c r="C591" s="2"/>
    </row>
    <row r="592" spans="1:3" x14ac:dyDescent="0.25">
      <c r="A592" s="2"/>
      <c r="C592" s="2"/>
    </row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A608" s="2"/>
      <c r="C608" s="2"/>
    </row>
    <row r="609" spans="1:3" x14ac:dyDescent="0.25">
      <c r="A609" s="2"/>
      <c r="C609" s="2"/>
    </row>
    <row r="610" spans="1:3" x14ac:dyDescent="0.25">
      <c r="A610" s="2"/>
      <c r="C610" s="2"/>
    </row>
    <row r="611" spans="1:3" x14ac:dyDescent="0.25">
      <c r="A611" s="2"/>
      <c r="C611" s="2"/>
    </row>
    <row r="612" spans="1:3" x14ac:dyDescent="0.25">
      <c r="A612" s="2"/>
      <c r="C612" s="2"/>
    </row>
    <row r="613" spans="1:3" x14ac:dyDescent="0.25">
      <c r="A613" s="2"/>
      <c r="C613" s="2"/>
    </row>
    <row r="614" spans="1:3" x14ac:dyDescent="0.25">
      <c r="A614" s="2"/>
      <c r="C614" s="2"/>
    </row>
    <row r="615" spans="1:3" x14ac:dyDescent="0.25">
      <c r="A615" s="2"/>
      <c r="C615" s="2"/>
    </row>
    <row r="616" spans="1:3" x14ac:dyDescent="0.25">
      <c r="A616" s="2"/>
      <c r="C616" s="2"/>
    </row>
    <row r="617" spans="1:3" x14ac:dyDescent="0.25">
      <c r="A617" s="2"/>
      <c r="C617" s="2"/>
    </row>
    <row r="618" spans="1:3" x14ac:dyDescent="0.25">
      <c r="A618" s="2"/>
      <c r="C618" s="2"/>
    </row>
    <row r="619" spans="1:3" x14ac:dyDescent="0.25">
      <c r="A619" s="2"/>
      <c r="C619" s="2"/>
    </row>
    <row r="620" spans="1:3" x14ac:dyDescent="0.25">
      <c r="A620" s="2"/>
      <c r="C620" s="2"/>
    </row>
    <row r="621" spans="1:3" x14ac:dyDescent="0.25">
      <c r="A621" s="2"/>
      <c r="C621" s="2"/>
    </row>
    <row r="622" spans="1:3" x14ac:dyDescent="0.25">
      <c r="A622" s="2"/>
      <c r="C622" s="2"/>
    </row>
    <row r="623" spans="1:3" x14ac:dyDescent="0.25">
      <c r="A623" s="2"/>
      <c r="C623" s="2"/>
    </row>
    <row r="624" spans="1:3" x14ac:dyDescent="0.25">
      <c r="A624" s="2"/>
      <c r="C624" s="2"/>
    </row>
    <row r="625" spans="1:3" x14ac:dyDescent="0.25">
      <c r="A625" s="2"/>
      <c r="C625" s="2"/>
    </row>
    <row r="626" spans="1:3" x14ac:dyDescent="0.25">
      <c r="A626" s="2"/>
      <c r="C626" s="2"/>
    </row>
    <row r="627" spans="1:3" x14ac:dyDescent="0.25">
      <c r="A627" s="2"/>
      <c r="C627" s="2"/>
    </row>
    <row r="628" spans="1:3" x14ac:dyDescent="0.25">
      <c r="A628" s="2"/>
      <c r="C628" s="2"/>
    </row>
    <row r="629" spans="1:3" x14ac:dyDescent="0.25">
      <c r="A629" s="2"/>
      <c r="C629" s="2"/>
    </row>
    <row r="630" spans="1:3" x14ac:dyDescent="0.25">
      <c r="A630" s="2"/>
      <c r="C630" s="2"/>
    </row>
    <row r="631" spans="1:3" x14ac:dyDescent="0.25">
      <c r="A631" s="2"/>
      <c r="C631" s="2"/>
    </row>
    <row r="632" spans="1:3" x14ac:dyDescent="0.25">
      <c r="A632" s="2"/>
      <c r="C632" s="2"/>
    </row>
    <row r="633" spans="1:3" x14ac:dyDescent="0.25">
      <c r="A633" s="2"/>
      <c r="C633" s="2"/>
    </row>
    <row r="634" spans="1:3" x14ac:dyDescent="0.25">
      <c r="A634" s="2"/>
      <c r="C634" s="2"/>
    </row>
    <row r="635" spans="1:3" x14ac:dyDescent="0.25">
      <c r="A635" s="2"/>
      <c r="C635" s="2"/>
    </row>
    <row r="636" spans="1:3" x14ac:dyDescent="0.25">
      <c r="A636" s="2"/>
      <c r="C636" s="2"/>
    </row>
    <row r="637" spans="1:3" x14ac:dyDescent="0.25">
      <c r="A637" s="2"/>
      <c r="C637" s="2"/>
    </row>
    <row r="638" spans="1:3" x14ac:dyDescent="0.25">
      <c r="A638" s="2"/>
      <c r="C638" s="2"/>
    </row>
    <row r="639" spans="1:3" x14ac:dyDescent="0.25">
      <c r="A639" s="2"/>
      <c r="C639" s="2"/>
    </row>
    <row r="640" spans="1:3" x14ac:dyDescent="0.25">
      <c r="A640" s="2"/>
      <c r="C640" s="2"/>
    </row>
    <row r="641" spans="1:3" x14ac:dyDescent="0.25">
      <c r="A641" s="2"/>
      <c r="C641" s="2"/>
    </row>
    <row r="642" spans="1:3" x14ac:dyDescent="0.25">
      <c r="A642" s="2"/>
      <c r="C642" s="2"/>
    </row>
    <row r="643" spans="1:3" x14ac:dyDescent="0.25">
      <c r="A643" s="2"/>
      <c r="C643" s="2"/>
    </row>
    <row r="644" spans="1:3" x14ac:dyDescent="0.25">
      <c r="A644" s="2"/>
      <c r="C644" s="2"/>
    </row>
    <row r="645" spans="1:3" x14ac:dyDescent="0.25">
      <c r="A645" s="2"/>
      <c r="C645" s="2"/>
    </row>
    <row r="646" spans="1:3" x14ac:dyDescent="0.25">
      <c r="A646" s="2"/>
      <c r="C646" s="2"/>
    </row>
    <row r="647" spans="1:3" x14ac:dyDescent="0.25">
      <c r="A647" s="2"/>
      <c r="C647" s="2"/>
    </row>
    <row r="648" spans="1:3" x14ac:dyDescent="0.25">
      <c r="A648" s="2"/>
      <c r="C648" s="2"/>
    </row>
    <row r="649" spans="1:3" x14ac:dyDescent="0.25">
      <c r="A649" s="2"/>
      <c r="C649" s="2"/>
    </row>
    <row r="650" spans="1:3" x14ac:dyDescent="0.25">
      <c r="A650" s="2"/>
      <c r="C650" s="2"/>
    </row>
    <row r="651" spans="1:3" x14ac:dyDescent="0.25">
      <c r="A651" s="2"/>
      <c r="C651" s="2"/>
    </row>
    <row r="652" spans="1:3" x14ac:dyDescent="0.25">
      <c r="A652" s="2"/>
      <c r="C652" s="2"/>
    </row>
    <row r="653" spans="1:3" x14ac:dyDescent="0.25">
      <c r="A653" s="2"/>
      <c r="C653" s="2"/>
    </row>
    <row r="654" spans="1:3" x14ac:dyDescent="0.25">
      <c r="A654" s="2"/>
      <c r="C654" s="2"/>
    </row>
    <row r="655" spans="1:3" x14ac:dyDescent="0.25">
      <c r="A655" s="2"/>
      <c r="C655" s="2"/>
    </row>
    <row r="656" spans="1:3" x14ac:dyDescent="0.25">
      <c r="A656" s="2"/>
      <c r="C656" s="2"/>
    </row>
    <row r="657" spans="1:3" x14ac:dyDescent="0.25">
      <c r="A657" s="2"/>
      <c r="C657" s="2"/>
    </row>
    <row r="658" spans="1:3" x14ac:dyDescent="0.25">
      <c r="A658" s="2"/>
      <c r="C658" s="2"/>
    </row>
    <row r="659" spans="1:3" x14ac:dyDescent="0.25">
      <c r="A659" s="2"/>
      <c r="C659" s="2"/>
    </row>
    <row r="660" spans="1:3" x14ac:dyDescent="0.25">
      <c r="A660" s="2"/>
      <c r="C660" s="2"/>
    </row>
    <row r="661" spans="1:3" x14ac:dyDescent="0.25">
      <c r="A661" s="2"/>
      <c r="C661" s="2"/>
    </row>
    <row r="662" spans="1:3" x14ac:dyDescent="0.25">
      <c r="A662" s="2"/>
      <c r="C662" s="2"/>
    </row>
    <row r="663" spans="1:3" x14ac:dyDescent="0.25">
      <c r="A663" s="2"/>
      <c r="C663" s="2"/>
    </row>
    <row r="664" spans="1:3" x14ac:dyDescent="0.25">
      <c r="A664" s="2"/>
      <c r="C664" s="2"/>
    </row>
    <row r="665" spans="1:3" x14ac:dyDescent="0.25">
      <c r="A665" s="2"/>
      <c r="C665" s="2"/>
    </row>
    <row r="666" spans="1:3" x14ac:dyDescent="0.25">
      <c r="A666" s="2"/>
      <c r="C666" s="2"/>
    </row>
    <row r="667" spans="1:3" x14ac:dyDescent="0.25">
      <c r="A667" s="2"/>
      <c r="C667" s="2"/>
    </row>
    <row r="668" spans="1:3" x14ac:dyDescent="0.25">
      <c r="A668" s="2"/>
      <c r="C668" s="2"/>
    </row>
    <row r="669" spans="1:3" x14ac:dyDescent="0.25">
      <c r="A669" s="2"/>
      <c r="C669" s="2"/>
    </row>
    <row r="670" spans="1:3" x14ac:dyDescent="0.25">
      <c r="A670" s="2"/>
      <c r="C670" s="2"/>
    </row>
    <row r="671" spans="1:3" x14ac:dyDescent="0.25">
      <c r="A671" s="2"/>
      <c r="C671" s="2"/>
    </row>
    <row r="672" spans="1:3" x14ac:dyDescent="0.25">
      <c r="A672" s="2"/>
      <c r="C672" s="2"/>
    </row>
    <row r="673" spans="1:3" x14ac:dyDescent="0.25">
      <c r="A673" s="2"/>
      <c r="C673" s="2"/>
    </row>
    <row r="674" spans="1:3" x14ac:dyDescent="0.25">
      <c r="A674" s="2"/>
      <c r="C674" s="2"/>
    </row>
    <row r="675" spans="1:3" x14ac:dyDescent="0.25">
      <c r="A675" s="2"/>
      <c r="C675" s="2"/>
    </row>
    <row r="676" spans="1:3" x14ac:dyDescent="0.25">
      <c r="A676" s="2"/>
      <c r="C676" s="2"/>
    </row>
    <row r="677" spans="1:3" x14ac:dyDescent="0.25">
      <c r="A677" s="2"/>
      <c r="C677" s="2"/>
    </row>
    <row r="678" spans="1:3" x14ac:dyDescent="0.25">
      <c r="A678" s="2"/>
      <c r="C678" s="2"/>
    </row>
    <row r="679" spans="1:3" x14ac:dyDescent="0.25">
      <c r="A679" s="2"/>
      <c r="C679" s="2"/>
    </row>
    <row r="680" spans="1:3" x14ac:dyDescent="0.25">
      <c r="A680" s="2"/>
      <c r="C680" s="2"/>
    </row>
    <row r="681" spans="1:3" x14ac:dyDescent="0.25">
      <c r="A681" s="2"/>
      <c r="C681" s="2"/>
    </row>
    <row r="682" spans="1:3" x14ac:dyDescent="0.25">
      <c r="A682" s="2"/>
      <c r="C682" s="2"/>
    </row>
    <row r="683" spans="1:3" x14ac:dyDescent="0.25">
      <c r="A683" s="2"/>
      <c r="C683" s="2"/>
    </row>
    <row r="684" spans="1:3" x14ac:dyDescent="0.25">
      <c r="A684" s="2"/>
      <c r="C684" s="2"/>
    </row>
    <row r="685" spans="1:3" x14ac:dyDescent="0.25">
      <c r="A685" s="2"/>
      <c r="C685" s="2"/>
    </row>
    <row r="686" spans="1:3" x14ac:dyDescent="0.25">
      <c r="A686" s="2"/>
      <c r="C686" s="2"/>
    </row>
    <row r="687" spans="1:3" x14ac:dyDescent="0.25">
      <c r="A687" s="2"/>
      <c r="C687" s="2"/>
    </row>
    <row r="688" spans="1:3" x14ac:dyDescent="0.25">
      <c r="A688" s="2"/>
      <c r="C688" s="2"/>
    </row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A698" s="2"/>
      <c r="C698" s="2"/>
    </row>
    <row r="699" spans="1:3" x14ac:dyDescent="0.25">
      <c r="A699" s="2"/>
      <c r="C699" s="2"/>
    </row>
    <row r="700" spans="1:3" x14ac:dyDescent="0.25">
      <c r="A700" s="2"/>
      <c r="C700" s="2"/>
    </row>
    <row r="701" spans="1:3" x14ac:dyDescent="0.25">
      <c r="A701" s="2"/>
      <c r="C701" s="2"/>
    </row>
    <row r="702" spans="1:3" x14ac:dyDescent="0.25">
      <c r="A702" s="2"/>
      <c r="C702" s="2"/>
    </row>
    <row r="703" spans="1:3" x14ac:dyDescent="0.25">
      <c r="A703" s="2"/>
      <c r="C703" s="2"/>
    </row>
    <row r="704" spans="1:3" x14ac:dyDescent="0.25">
      <c r="A704" s="2"/>
      <c r="C704" s="2"/>
    </row>
    <row r="705" spans="1:3" x14ac:dyDescent="0.25">
      <c r="A705" s="2"/>
      <c r="C705" s="2"/>
    </row>
    <row r="706" spans="1:3" x14ac:dyDescent="0.25">
      <c r="A706" s="2"/>
      <c r="C706" s="2"/>
    </row>
    <row r="707" spans="1:3" x14ac:dyDescent="0.25">
      <c r="A707" s="2"/>
      <c r="C707" s="2"/>
    </row>
    <row r="708" spans="1:3" x14ac:dyDescent="0.25">
      <c r="A708" s="2"/>
      <c r="C708" s="2"/>
    </row>
    <row r="709" spans="1:3" x14ac:dyDescent="0.25">
      <c r="A709" s="2"/>
      <c r="C709" s="2"/>
    </row>
    <row r="710" spans="1:3" x14ac:dyDescent="0.25">
      <c r="A710" s="2"/>
      <c r="C710" s="2"/>
    </row>
    <row r="711" spans="1:3" x14ac:dyDescent="0.25">
      <c r="A711" s="2"/>
      <c r="C711" s="2"/>
    </row>
    <row r="712" spans="1:3" x14ac:dyDescent="0.25">
      <c r="A712" s="2"/>
      <c r="C712" s="2"/>
    </row>
    <row r="713" spans="1:3" x14ac:dyDescent="0.25">
      <c r="A713" s="2"/>
      <c r="C713" s="2"/>
    </row>
    <row r="714" spans="1:3" x14ac:dyDescent="0.25">
      <c r="A714" s="2"/>
      <c r="C714" s="2"/>
    </row>
    <row r="715" spans="1:3" x14ac:dyDescent="0.25">
      <c r="A715" s="2"/>
      <c r="C715" s="2"/>
    </row>
    <row r="716" spans="1:3" x14ac:dyDescent="0.25">
      <c r="A716" s="2"/>
      <c r="C716" s="2"/>
    </row>
    <row r="717" spans="1:3" x14ac:dyDescent="0.25">
      <c r="A717" s="2"/>
      <c r="C717" s="2"/>
    </row>
    <row r="718" spans="1:3" x14ac:dyDescent="0.25">
      <c r="A718" s="2"/>
      <c r="C718" s="2"/>
    </row>
    <row r="719" spans="1:3" x14ac:dyDescent="0.25">
      <c r="A719" s="2"/>
      <c r="C719" s="2"/>
    </row>
    <row r="720" spans="1:3" x14ac:dyDescent="0.25">
      <c r="A720" s="2"/>
      <c r="C720" s="2"/>
    </row>
    <row r="721" spans="1:3" x14ac:dyDescent="0.25">
      <c r="A721" s="2"/>
      <c r="C721" s="2"/>
    </row>
    <row r="722" spans="1:3" x14ac:dyDescent="0.25">
      <c r="A722" s="2"/>
      <c r="C722" s="2"/>
    </row>
    <row r="723" spans="1:3" x14ac:dyDescent="0.25">
      <c r="A723" s="2"/>
      <c r="C723" s="2"/>
    </row>
    <row r="724" spans="1:3" x14ac:dyDescent="0.25">
      <c r="A724" s="2"/>
      <c r="C724" s="2"/>
    </row>
    <row r="725" spans="1:3" x14ac:dyDescent="0.25">
      <c r="A725" s="2"/>
      <c r="C725" s="2"/>
    </row>
    <row r="726" spans="1:3" x14ac:dyDescent="0.25">
      <c r="A726" s="2"/>
      <c r="C726" s="2"/>
    </row>
    <row r="727" spans="1:3" x14ac:dyDescent="0.25">
      <c r="A727" s="2"/>
      <c r="C727" s="2"/>
    </row>
    <row r="728" spans="1:3" x14ac:dyDescent="0.25">
      <c r="A728" s="2"/>
      <c r="C728" s="2"/>
    </row>
    <row r="729" spans="1:3" x14ac:dyDescent="0.25">
      <c r="A729" s="2"/>
      <c r="C729" s="2"/>
    </row>
    <row r="730" spans="1:3" x14ac:dyDescent="0.25">
      <c r="A730" s="2"/>
      <c r="C730" s="2"/>
    </row>
    <row r="731" spans="1:3" x14ac:dyDescent="0.25">
      <c r="A731" s="2"/>
      <c r="C731" s="2"/>
    </row>
    <row r="732" spans="1:3" x14ac:dyDescent="0.25">
      <c r="A732" s="2"/>
      <c r="C732" s="2"/>
    </row>
    <row r="733" spans="1:3" x14ac:dyDescent="0.25">
      <c r="A733" s="2"/>
      <c r="C733" s="2"/>
    </row>
    <row r="734" spans="1:3" x14ac:dyDescent="0.25">
      <c r="A734" s="2"/>
      <c r="C734" s="2"/>
    </row>
    <row r="735" spans="1:3" x14ac:dyDescent="0.25">
      <c r="A735" s="2"/>
      <c r="C735" s="2"/>
    </row>
    <row r="736" spans="1:3" x14ac:dyDescent="0.25">
      <c r="A736" s="2"/>
      <c r="C736" s="2"/>
    </row>
    <row r="737" spans="1:3" x14ac:dyDescent="0.25">
      <c r="A737" s="2"/>
      <c r="C737" s="2"/>
    </row>
    <row r="738" spans="1:3" x14ac:dyDescent="0.25">
      <c r="A738" s="2"/>
      <c r="C738" s="2"/>
    </row>
    <row r="739" spans="1:3" x14ac:dyDescent="0.25">
      <c r="A739" s="2"/>
      <c r="C739" s="2"/>
    </row>
    <row r="740" spans="1:3" x14ac:dyDescent="0.25">
      <c r="A740" s="2"/>
      <c r="C740" s="2"/>
    </row>
    <row r="741" spans="1:3" x14ac:dyDescent="0.25">
      <c r="A741" s="2"/>
      <c r="C741" s="2"/>
    </row>
    <row r="742" spans="1:3" x14ac:dyDescent="0.25">
      <c r="A742" s="2"/>
      <c r="C742" s="2"/>
    </row>
    <row r="743" spans="1:3" x14ac:dyDescent="0.25">
      <c r="A743" s="2"/>
      <c r="C743" s="2"/>
    </row>
    <row r="744" spans="1:3" x14ac:dyDescent="0.25">
      <c r="A744" s="2"/>
      <c r="C744" s="2"/>
    </row>
    <row r="745" spans="1:3" x14ac:dyDescent="0.25">
      <c r="A745" s="2"/>
      <c r="C745" s="2"/>
    </row>
    <row r="746" spans="1:3" x14ac:dyDescent="0.25">
      <c r="A746" s="2"/>
      <c r="C746" s="2"/>
    </row>
    <row r="747" spans="1:3" x14ac:dyDescent="0.25">
      <c r="A747" s="2"/>
      <c r="C747" s="2"/>
    </row>
    <row r="748" spans="1:3" x14ac:dyDescent="0.25">
      <c r="A748" s="2"/>
      <c r="C748" s="2"/>
    </row>
    <row r="749" spans="1:3" x14ac:dyDescent="0.25">
      <c r="A749" s="2"/>
      <c r="C749" s="2"/>
    </row>
    <row r="750" spans="1:3" x14ac:dyDescent="0.25">
      <c r="A750" s="2"/>
      <c r="C750" s="2"/>
    </row>
    <row r="751" spans="1:3" x14ac:dyDescent="0.25">
      <c r="A751" s="2"/>
      <c r="C751" s="2"/>
    </row>
    <row r="752" spans="1:3" x14ac:dyDescent="0.25">
      <c r="A752" s="2"/>
      <c r="C752" s="2"/>
    </row>
    <row r="753" spans="1:3" x14ac:dyDescent="0.25">
      <c r="A753" s="2"/>
      <c r="C753" s="2"/>
    </row>
    <row r="754" spans="1:3" x14ac:dyDescent="0.25">
      <c r="A754" s="2"/>
      <c r="C754" s="2"/>
    </row>
    <row r="755" spans="1:3" x14ac:dyDescent="0.25">
      <c r="A755" s="2"/>
      <c r="C755" s="2"/>
    </row>
    <row r="756" spans="1:3" x14ac:dyDescent="0.25">
      <c r="A756" s="2"/>
      <c r="C756" s="2"/>
    </row>
    <row r="757" spans="1:3" x14ac:dyDescent="0.25">
      <c r="A757" s="2"/>
      <c r="C757" s="2"/>
    </row>
    <row r="758" spans="1:3" x14ac:dyDescent="0.25">
      <c r="A758" s="2"/>
      <c r="C758" s="2"/>
    </row>
    <row r="759" spans="1:3" x14ac:dyDescent="0.25">
      <c r="A759" s="2"/>
      <c r="C759" s="2"/>
    </row>
    <row r="760" spans="1:3" x14ac:dyDescent="0.25">
      <c r="A760" s="2"/>
      <c r="C760" s="2"/>
    </row>
    <row r="761" spans="1:3" x14ac:dyDescent="0.25">
      <c r="A761" s="2"/>
      <c r="C761" s="2"/>
    </row>
    <row r="762" spans="1:3" x14ac:dyDescent="0.25">
      <c r="A762" s="2"/>
      <c r="C762" s="2"/>
    </row>
    <row r="763" spans="1:3" x14ac:dyDescent="0.25">
      <c r="A763" s="2"/>
      <c r="C763" s="2"/>
    </row>
    <row r="764" spans="1:3" x14ac:dyDescent="0.25">
      <c r="A764" s="2"/>
      <c r="C764" s="2"/>
    </row>
    <row r="765" spans="1:3" x14ac:dyDescent="0.25">
      <c r="A765" s="2"/>
      <c r="C765" s="2"/>
    </row>
    <row r="766" spans="1:3" x14ac:dyDescent="0.25">
      <c r="A766" s="2"/>
      <c r="C766" s="2"/>
    </row>
    <row r="767" spans="1:3" x14ac:dyDescent="0.25">
      <c r="A767" s="2"/>
      <c r="C767" s="2"/>
    </row>
    <row r="768" spans="1:3" x14ac:dyDescent="0.25">
      <c r="A768" s="2"/>
      <c r="C768" s="2"/>
    </row>
    <row r="769" spans="1:3" x14ac:dyDescent="0.25">
      <c r="A769" s="2"/>
      <c r="C769" s="2"/>
    </row>
    <row r="770" spans="1:3" x14ac:dyDescent="0.25">
      <c r="A770" s="2"/>
      <c r="C770" s="2"/>
    </row>
    <row r="771" spans="1:3" x14ac:dyDescent="0.25">
      <c r="A771" s="2"/>
      <c r="C771" s="2"/>
    </row>
    <row r="772" spans="1:3" x14ac:dyDescent="0.25">
      <c r="A772" s="2"/>
      <c r="C772" s="2"/>
    </row>
    <row r="773" spans="1:3" x14ac:dyDescent="0.25">
      <c r="A773" s="2"/>
      <c r="C773" s="2"/>
    </row>
    <row r="774" spans="1:3" x14ac:dyDescent="0.25">
      <c r="A774" s="2"/>
      <c r="C774" s="2"/>
    </row>
    <row r="775" spans="1:3" x14ac:dyDescent="0.25">
      <c r="A775" s="2"/>
      <c r="C775" s="2"/>
    </row>
    <row r="776" spans="1:3" x14ac:dyDescent="0.25">
      <c r="A776" s="2"/>
      <c r="C776" s="2"/>
    </row>
    <row r="777" spans="1:3" x14ac:dyDescent="0.25">
      <c r="A777" s="2"/>
      <c r="C777" s="2"/>
    </row>
    <row r="778" spans="1:3" x14ac:dyDescent="0.25">
      <c r="A778" s="2"/>
      <c r="C778" s="2"/>
    </row>
    <row r="779" spans="1:3" x14ac:dyDescent="0.25">
      <c r="A779" s="2"/>
      <c r="C779" s="2"/>
    </row>
    <row r="780" spans="1:3" x14ac:dyDescent="0.25">
      <c r="A780" s="2"/>
      <c r="C780" s="2"/>
    </row>
    <row r="781" spans="1:3" x14ac:dyDescent="0.25">
      <c r="A781" s="2"/>
      <c r="C781" s="2"/>
    </row>
    <row r="782" spans="1:3" x14ac:dyDescent="0.25">
      <c r="A782" s="2"/>
      <c r="C782" s="2"/>
    </row>
    <row r="783" spans="1:3" x14ac:dyDescent="0.25">
      <c r="A783" s="2"/>
      <c r="C783" s="2"/>
    </row>
    <row r="784" spans="1:3" x14ac:dyDescent="0.25">
      <c r="A784" s="2"/>
      <c r="C784" s="2"/>
    </row>
    <row r="785" spans="1:3" x14ac:dyDescent="0.25">
      <c r="A785" s="2"/>
      <c r="C785" s="2"/>
    </row>
    <row r="786" spans="1:3" x14ac:dyDescent="0.25">
      <c r="A786" s="2"/>
      <c r="C786" s="2"/>
    </row>
    <row r="787" spans="1:3" x14ac:dyDescent="0.25">
      <c r="A787" s="2"/>
      <c r="C787" s="2"/>
    </row>
    <row r="788" spans="1:3" x14ac:dyDescent="0.25">
      <c r="A788" s="2"/>
      <c r="C788" s="2"/>
    </row>
    <row r="789" spans="1:3" x14ac:dyDescent="0.25">
      <c r="A789" s="2"/>
      <c r="C789" s="2"/>
    </row>
    <row r="790" spans="1:3" x14ac:dyDescent="0.25">
      <c r="A790" s="2"/>
      <c r="C790" s="2"/>
    </row>
    <row r="791" spans="1:3" x14ac:dyDescent="0.25">
      <c r="A791" s="2"/>
      <c r="C791" s="2"/>
    </row>
    <row r="792" spans="1:3" x14ac:dyDescent="0.25">
      <c r="A792" s="2"/>
      <c r="C792" s="2"/>
    </row>
    <row r="793" spans="1:3" x14ac:dyDescent="0.25">
      <c r="A793" s="2"/>
      <c r="C793" s="2"/>
    </row>
    <row r="794" spans="1:3" x14ac:dyDescent="0.25">
      <c r="A794" s="2"/>
      <c r="C794" s="2"/>
    </row>
    <row r="795" spans="1:3" x14ac:dyDescent="0.25">
      <c r="A795" s="2"/>
      <c r="C795" s="2"/>
    </row>
    <row r="796" spans="1:3" x14ac:dyDescent="0.25">
      <c r="A796" s="2"/>
      <c r="C796" s="2"/>
    </row>
    <row r="797" spans="1:3" x14ac:dyDescent="0.25">
      <c r="A797" s="2"/>
      <c r="C797" s="2"/>
    </row>
    <row r="798" spans="1:3" x14ac:dyDescent="0.25">
      <c r="A798" s="2"/>
      <c r="C798" s="2"/>
    </row>
    <row r="799" spans="1:3" x14ac:dyDescent="0.25">
      <c r="A799" s="2"/>
      <c r="C799" s="2"/>
    </row>
    <row r="800" spans="1:3" x14ac:dyDescent="0.25">
      <c r="A800" s="2"/>
      <c r="C800" s="2"/>
    </row>
    <row r="801" spans="1:3" x14ac:dyDescent="0.25">
      <c r="A801" s="2"/>
      <c r="C801" s="2"/>
    </row>
    <row r="802" spans="1:3" x14ac:dyDescent="0.25">
      <c r="A802" s="2"/>
      <c r="C802" s="2"/>
    </row>
    <row r="803" spans="1:3" x14ac:dyDescent="0.25">
      <c r="A803" s="2"/>
      <c r="C803" s="2"/>
    </row>
    <row r="804" spans="1:3" x14ac:dyDescent="0.25">
      <c r="A804" s="2"/>
      <c r="C804" s="2"/>
    </row>
    <row r="805" spans="1:3" x14ac:dyDescent="0.25">
      <c r="A805" s="2"/>
      <c r="C805" s="2"/>
    </row>
    <row r="806" spans="1:3" x14ac:dyDescent="0.25">
      <c r="A806" s="2"/>
      <c r="C806" s="2"/>
    </row>
    <row r="807" spans="1:3" x14ac:dyDescent="0.25">
      <c r="A807" s="2"/>
      <c r="C807" s="2"/>
    </row>
    <row r="808" spans="1:3" x14ac:dyDescent="0.25">
      <c r="A808" s="2"/>
      <c r="C808" s="2"/>
    </row>
    <row r="809" spans="1:3" x14ac:dyDescent="0.25">
      <c r="A809" s="2"/>
      <c r="C809" s="2"/>
    </row>
    <row r="810" spans="1:3" x14ac:dyDescent="0.25">
      <c r="A810" s="2"/>
      <c r="C810" s="2"/>
    </row>
    <row r="811" spans="1:3" x14ac:dyDescent="0.25">
      <c r="A811" s="2"/>
      <c r="C811" s="2"/>
    </row>
    <row r="812" spans="1:3" x14ac:dyDescent="0.25">
      <c r="A812" s="2"/>
      <c r="C812" s="2"/>
    </row>
    <row r="813" spans="1:3" x14ac:dyDescent="0.25">
      <c r="A813" s="2"/>
      <c r="C813" s="2"/>
    </row>
    <row r="814" spans="1:3" x14ac:dyDescent="0.25">
      <c r="A814" s="2"/>
      <c r="C814" s="2"/>
    </row>
    <row r="815" spans="1:3" x14ac:dyDescent="0.25">
      <c r="A815" s="2"/>
      <c r="C815" s="2"/>
    </row>
    <row r="816" spans="1:3" x14ac:dyDescent="0.25">
      <c r="A816" s="2"/>
      <c r="C816" s="2"/>
    </row>
    <row r="817" spans="1:3" x14ac:dyDescent="0.25">
      <c r="A817" s="2"/>
      <c r="C817" s="2"/>
    </row>
    <row r="818" spans="1:3" x14ac:dyDescent="0.25">
      <c r="A818" s="2"/>
      <c r="C818" s="2"/>
    </row>
    <row r="819" spans="1:3" x14ac:dyDescent="0.25">
      <c r="A819" s="2"/>
      <c r="C819" s="2"/>
    </row>
    <row r="820" spans="1:3" x14ac:dyDescent="0.25">
      <c r="A820" s="2"/>
      <c r="C820" s="2"/>
    </row>
    <row r="821" spans="1:3" x14ac:dyDescent="0.25">
      <c r="A821" s="2"/>
      <c r="C821" s="2"/>
    </row>
    <row r="822" spans="1:3" x14ac:dyDescent="0.25">
      <c r="A822" s="2"/>
      <c r="C822" s="2"/>
    </row>
    <row r="823" spans="1:3" x14ac:dyDescent="0.25">
      <c r="A823" s="2"/>
      <c r="C823" s="2"/>
    </row>
    <row r="824" spans="1:3" x14ac:dyDescent="0.25">
      <c r="A824" s="2"/>
      <c r="C824" s="2"/>
    </row>
    <row r="825" spans="1:3" x14ac:dyDescent="0.25">
      <c r="A825" s="2"/>
      <c r="C825" s="2"/>
    </row>
    <row r="826" spans="1:3" x14ac:dyDescent="0.25">
      <c r="A826" s="2"/>
      <c r="C826" s="2"/>
    </row>
    <row r="827" spans="1:3" x14ac:dyDescent="0.25">
      <c r="A827" s="2"/>
      <c r="C827" s="2"/>
    </row>
    <row r="828" spans="1:3" x14ac:dyDescent="0.25">
      <c r="A828" s="2"/>
      <c r="C828" s="2"/>
    </row>
    <row r="829" spans="1:3" x14ac:dyDescent="0.25">
      <c r="A829" s="2"/>
      <c r="C829" s="2"/>
    </row>
    <row r="830" spans="1:3" x14ac:dyDescent="0.25">
      <c r="A830" s="2"/>
      <c r="C830" s="2"/>
    </row>
    <row r="831" spans="1:3" x14ac:dyDescent="0.25">
      <c r="A831" s="2"/>
      <c r="C831" s="2"/>
    </row>
    <row r="832" spans="1:3" x14ac:dyDescent="0.25">
      <c r="A832" s="2"/>
      <c r="C832" s="2"/>
    </row>
    <row r="833" spans="1:3" x14ac:dyDescent="0.25">
      <c r="A833" s="2"/>
      <c r="C833" s="2"/>
    </row>
    <row r="834" spans="1:3" x14ac:dyDescent="0.25">
      <c r="A834" s="2"/>
      <c r="C834" s="2"/>
    </row>
    <row r="835" spans="1:3" x14ac:dyDescent="0.25">
      <c r="A835" s="2"/>
      <c r="C835" s="2"/>
    </row>
    <row r="836" spans="1:3" x14ac:dyDescent="0.25">
      <c r="A836" s="2"/>
      <c r="C836" s="2"/>
    </row>
    <row r="837" spans="1:3" x14ac:dyDescent="0.25">
      <c r="A837" s="2"/>
      <c r="C837" s="2"/>
    </row>
    <row r="838" spans="1:3" x14ac:dyDescent="0.25">
      <c r="A838" s="2"/>
      <c r="C838" s="2"/>
    </row>
    <row r="839" spans="1:3" x14ac:dyDescent="0.25">
      <c r="A839" s="2"/>
      <c r="C839" s="2"/>
    </row>
    <row r="840" spans="1:3" x14ac:dyDescent="0.25">
      <c r="A840" s="2"/>
      <c r="C840" s="2"/>
    </row>
    <row r="841" spans="1:3" x14ac:dyDescent="0.25">
      <c r="A841" s="2"/>
      <c r="C841" s="2"/>
    </row>
    <row r="842" spans="1:3" x14ac:dyDescent="0.25">
      <c r="A842" s="2"/>
      <c r="C842" s="2"/>
    </row>
    <row r="843" spans="1:3" x14ac:dyDescent="0.25">
      <c r="A843" s="2"/>
      <c r="C843" s="2"/>
    </row>
    <row r="844" spans="1:3" x14ac:dyDescent="0.25">
      <c r="A844" s="2"/>
      <c r="C844" s="2"/>
    </row>
    <row r="845" spans="1:3" x14ac:dyDescent="0.25">
      <c r="A845" s="2"/>
      <c r="C845" s="2"/>
    </row>
    <row r="846" spans="1:3" x14ac:dyDescent="0.25">
      <c r="A846" s="2"/>
      <c r="C846" s="2"/>
    </row>
    <row r="847" spans="1:3" x14ac:dyDescent="0.25">
      <c r="A847" s="2"/>
      <c r="C847" s="2"/>
    </row>
    <row r="848" spans="1:3" x14ac:dyDescent="0.25">
      <c r="A848" s="2"/>
      <c r="C848" s="2"/>
    </row>
    <row r="849" spans="1:3" x14ac:dyDescent="0.25">
      <c r="A849" s="2"/>
      <c r="C849" s="2"/>
    </row>
    <row r="850" spans="1:3" x14ac:dyDescent="0.25">
      <c r="A850" s="2"/>
      <c r="C850" s="2"/>
    </row>
    <row r="851" spans="1:3" x14ac:dyDescent="0.25">
      <c r="A851" s="2"/>
      <c r="C851" s="2"/>
    </row>
    <row r="852" spans="1:3" x14ac:dyDescent="0.25">
      <c r="A852" s="2"/>
      <c r="C852" s="2"/>
    </row>
    <row r="853" spans="1:3" x14ac:dyDescent="0.25">
      <c r="A853" s="2"/>
      <c r="C853" s="2"/>
    </row>
    <row r="854" spans="1:3" x14ac:dyDescent="0.25">
      <c r="A854" s="2"/>
      <c r="C854" s="2"/>
    </row>
    <row r="855" spans="1:3" x14ac:dyDescent="0.25">
      <c r="A855" s="2"/>
      <c r="C855" s="2"/>
    </row>
    <row r="856" spans="1:3" x14ac:dyDescent="0.25">
      <c r="A856" s="2"/>
      <c r="C856" s="2"/>
    </row>
    <row r="857" spans="1:3" x14ac:dyDescent="0.25">
      <c r="A857" s="2"/>
      <c r="C857" s="2"/>
    </row>
    <row r="858" spans="1:3" x14ac:dyDescent="0.25">
      <c r="A858" s="2"/>
      <c r="C858" s="2"/>
    </row>
    <row r="859" spans="1:3" x14ac:dyDescent="0.25">
      <c r="A859" s="2"/>
      <c r="C859" s="2"/>
    </row>
    <row r="860" spans="1:3" x14ac:dyDescent="0.25">
      <c r="A860" s="2"/>
      <c r="C860" s="2"/>
    </row>
    <row r="861" spans="1:3" x14ac:dyDescent="0.25">
      <c r="A861" s="2"/>
      <c r="C861" s="2"/>
    </row>
    <row r="862" spans="1:3" x14ac:dyDescent="0.25">
      <c r="A862" s="2"/>
      <c r="C862" s="2"/>
    </row>
    <row r="863" spans="1:3" x14ac:dyDescent="0.25">
      <c r="A863" s="2"/>
      <c r="C863" s="2"/>
    </row>
    <row r="864" spans="1:3" x14ac:dyDescent="0.25">
      <c r="A864" s="2"/>
      <c r="C864" s="2"/>
    </row>
    <row r="865" spans="1:3" x14ac:dyDescent="0.25">
      <c r="A865" s="2"/>
      <c r="C865" s="2"/>
    </row>
    <row r="866" spans="1:3" x14ac:dyDescent="0.25">
      <c r="A866" s="2"/>
      <c r="C866" s="2"/>
    </row>
    <row r="867" spans="1:3" x14ac:dyDescent="0.25">
      <c r="A867" s="2"/>
      <c r="C867" s="2"/>
    </row>
    <row r="868" spans="1:3" x14ac:dyDescent="0.25">
      <c r="A868" s="2"/>
      <c r="C868" s="2"/>
    </row>
    <row r="869" spans="1:3" x14ac:dyDescent="0.25">
      <c r="A869" s="2"/>
      <c r="C869" s="2"/>
    </row>
    <row r="870" spans="1:3" x14ac:dyDescent="0.25">
      <c r="A870" s="2"/>
      <c r="C870" s="2"/>
    </row>
    <row r="871" spans="1:3" x14ac:dyDescent="0.25">
      <c r="A871" s="2"/>
      <c r="C871" s="2"/>
    </row>
    <row r="872" spans="1:3" x14ac:dyDescent="0.25">
      <c r="A872" s="2"/>
      <c r="C872" s="2"/>
    </row>
    <row r="873" spans="1:3" x14ac:dyDescent="0.25">
      <c r="A873" s="2"/>
      <c r="C873" s="2"/>
    </row>
    <row r="874" spans="1:3" x14ac:dyDescent="0.25">
      <c r="A874" s="2"/>
      <c r="C874" s="2"/>
    </row>
    <row r="875" spans="1:3" x14ac:dyDescent="0.25">
      <c r="A875" s="2"/>
      <c r="C875" s="2"/>
    </row>
    <row r="876" spans="1:3" x14ac:dyDescent="0.25">
      <c r="A876" s="2"/>
      <c r="C876" s="2"/>
    </row>
    <row r="877" spans="1:3" x14ac:dyDescent="0.25">
      <c r="A877" s="2"/>
      <c r="C877" s="2"/>
    </row>
    <row r="878" spans="1:3" x14ac:dyDescent="0.25">
      <c r="A878" s="2"/>
      <c r="C878" s="2"/>
    </row>
    <row r="879" spans="1:3" x14ac:dyDescent="0.25">
      <c r="A879" s="2"/>
      <c r="C879" s="2"/>
    </row>
    <row r="880" spans="1:3" x14ac:dyDescent="0.25">
      <c r="A880" s="2"/>
      <c r="C880" s="2"/>
    </row>
    <row r="881" spans="1:3" x14ac:dyDescent="0.25">
      <c r="A881" s="2"/>
      <c r="C881" s="2"/>
    </row>
    <row r="882" spans="1:3" x14ac:dyDescent="0.25">
      <c r="A882" s="2"/>
      <c r="C882" s="2"/>
    </row>
    <row r="883" spans="1:3" x14ac:dyDescent="0.25">
      <c r="A883" s="2"/>
      <c r="C883" s="2"/>
    </row>
    <row r="884" spans="1:3" x14ac:dyDescent="0.25">
      <c r="A884" s="2"/>
      <c r="C884" s="2"/>
    </row>
    <row r="885" spans="1:3" x14ac:dyDescent="0.25">
      <c r="A885" s="2"/>
      <c r="C885" s="2"/>
    </row>
    <row r="886" spans="1:3" x14ac:dyDescent="0.25">
      <c r="A886" s="2"/>
      <c r="C886" s="2"/>
    </row>
    <row r="887" spans="1:3" x14ac:dyDescent="0.25">
      <c r="A887" s="2"/>
      <c r="C887" s="2"/>
    </row>
    <row r="888" spans="1:3" x14ac:dyDescent="0.25">
      <c r="A888" s="2"/>
      <c r="C888" s="2"/>
    </row>
    <row r="889" spans="1:3" x14ac:dyDescent="0.25">
      <c r="A889" s="2"/>
      <c r="C889" s="2"/>
    </row>
    <row r="890" spans="1:3" x14ac:dyDescent="0.25">
      <c r="A890" s="2"/>
      <c r="C890" s="2"/>
    </row>
    <row r="891" spans="1:3" x14ac:dyDescent="0.25">
      <c r="A891" s="2"/>
      <c r="C891" s="2"/>
    </row>
    <row r="892" spans="1:3" x14ac:dyDescent="0.25">
      <c r="A892" s="2"/>
      <c r="C892" s="2"/>
    </row>
    <row r="893" spans="1:3" x14ac:dyDescent="0.25">
      <c r="A893" s="2"/>
      <c r="C893" s="2"/>
    </row>
    <row r="894" spans="1:3" x14ac:dyDescent="0.25">
      <c r="A894" s="2"/>
      <c r="C894" s="2"/>
    </row>
    <row r="895" spans="1:3" x14ac:dyDescent="0.25">
      <c r="A895" s="2"/>
      <c r="C895" s="2"/>
    </row>
    <row r="896" spans="1:3" x14ac:dyDescent="0.25">
      <c r="A896" s="2"/>
      <c r="C896" s="2"/>
    </row>
    <row r="897" spans="1:3" x14ac:dyDescent="0.25">
      <c r="A897" s="2"/>
      <c r="C897" s="2"/>
    </row>
    <row r="898" spans="1:3" x14ac:dyDescent="0.25">
      <c r="A898" s="2"/>
      <c r="C898" s="2"/>
    </row>
    <row r="899" spans="1:3" x14ac:dyDescent="0.25">
      <c r="A899" s="2"/>
      <c r="C899" s="2"/>
    </row>
    <row r="900" spans="1:3" x14ac:dyDescent="0.25">
      <c r="A900" s="2"/>
      <c r="C900" s="2"/>
    </row>
    <row r="901" spans="1:3" x14ac:dyDescent="0.25">
      <c r="A901" s="2"/>
      <c r="C901" s="2"/>
    </row>
    <row r="902" spans="1:3" x14ac:dyDescent="0.25">
      <c r="A902" s="2"/>
      <c r="C902" s="2"/>
    </row>
    <row r="903" spans="1:3" x14ac:dyDescent="0.25">
      <c r="A903" s="2"/>
      <c r="C903" s="2"/>
    </row>
    <row r="904" spans="1:3" x14ac:dyDescent="0.25">
      <c r="A904" s="2"/>
      <c r="C904" s="2"/>
    </row>
    <row r="905" spans="1:3" x14ac:dyDescent="0.25">
      <c r="A905" s="2"/>
      <c r="C905" s="2"/>
    </row>
    <row r="906" spans="1:3" x14ac:dyDescent="0.25">
      <c r="A906" s="2"/>
      <c r="C906" s="2"/>
    </row>
    <row r="907" spans="1:3" x14ac:dyDescent="0.25">
      <c r="A907" s="2"/>
      <c r="C907" s="2"/>
    </row>
    <row r="908" spans="1:3" x14ac:dyDescent="0.25">
      <c r="A908" s="2"/>
      <c r="C908" s="2"/>
    </row>
    <row r="909" spans="1:3" x14ac:dyDescent="0.25">
      <c r="A909" s="2"/>
      <c r="C909" s="2"/>
    </row>
    <row r="910" spans="1:3" x14ac:dyDescent="0.25">
      <c r="A910" s="2"/>
      <c r="C910" s="2"/>
    </row>
    <row r="911" spans="1:3" x14ac:dyDescent="0.25">
      <c r="A911" s="2"/>
      <c r="C911" s="2"/>
    </row>
    <row r="912" spans="1:3" x14ac:dyDescent="0.25">
      <c r="A912" s="2"/>
      <c r="C912" s="2"/>
    </row>
    <row r="913" spans="1:3" x14ac:dyDescent="0.25">
      <c r="A913" s="2"/>
      <c r="C913" s="2"/>
    </row>
    <row r="914" spans="1:3" x14ac:dyDescent="0.25">
      <c r="A914" s="2"/>
      <c r="C914" s="2"/>
    </row>
    <row r="915" spans="1:3" x14ac:dyDescent="0.25">
      <c r="A915" s="2"/>
      <c r="C915" s="2"/>
    </row>
    <row r="916" spans="1:3" x14ac:dyDescent="0.25">
      <c r="A916" s="2"/>
      <c r="C916" s="2"/>
    </row>
    <row r="917" spans="1:3" x14ac:dyDescent="0.25">
      <c r="A917" s="2"/>
      <c r="C917" s="2"/>
    </row>
    <row r="918" spans="1:3" x14ac:dyDescent="0.25">
      <c r="A918" s="2"/>
      <c r="C918" s="2"/>
    </row>
    <row r="919" spans="1:3" x14ac:dyDescent="0.25">
      <c r="A919" s="2"/>
      <c r="C919" s="2"/>
    </row>
    <row r="920" spans="1:3" x14ac:dyDescent="0.25">
      <c r="A920" s="2"/>
      <c r="C920" s="2"/>
    </row>
    <row r="921" spans="1:3" x14ac:dyDescent="0.25">
      <c r="A921" s="2"/>
      <c r="C921" s="2"/>
    </row>
    <row r="922" spans="1:3" x14ac:dyDescent="0.25">
      <c r="A922" s="2"/>
      <c r="C922" s="2"/>
    </row>
    <row r="923" spans="1:3" x14ac:dyDescent="0.25">
      <c r="A923" s="2"/>
      <c r="C923" s="2"/>
    </row>
    <row r="924" spans="1:3" x14ac:dyDescent="0.25">
      <c r="A924" s="2"/>
      <c r="C924" s="2"/>
    </row>
    <row r="925" spans="1:3" x14ac:dyDescent="0.25">
      <c r="A925" s="2"/>
      <c r="C925" s="2"/>
    </row>
    <row r="926" spans="1:3" x14ac:dyDescent="0.25">
      <c r="A926" s="2"/>
      <c r="C926" s="2"/>
    </row>
    <row r="927" spans="1:3" x14ac:dyDescent="0.25">
      <c r="A927" s="2"/>
      <c r="C927" s="2"/>
    </row>
    <row r="928" spans="1:3" x14ac:dyDescent="0.25">
      <c r="A928" s="2"/>
      <c r="C928" s="2"/>
    </row>
    <row r="929" spans="1:3" x14ac:dyDescent="0.25">
      <c r="A929" s="2"/>
      <c r="C929" s="2"/>
    </row>
    <row r="930" spans="1:3" x14ac:dyDescent="0.25">
      <c r="A930" s="2"/>
      <c r="C930" s="2"/>
    </row>
    <row r="931" spans="1:3" x14ac:dyDescent="0.25">
      <c r="A931" s="2"/>
      <c r="C931" s="2"/>
    </row>
    <row r="932" spans="1:3" x14ac:dyDescent="0.25">
      <c r="A932" s="2"/>
      <c r="C932" s="2"/>
    </row>
    <row r="933" spans="1:3" x14ac:dyDescent="0.25">
      <c r="A933" s="2"/>
      <c r="C933" s="2"/>
    </row>
    <row r="934" spans="1:3" x14ac:dyDescent="0.25">
      <c r="A934" s="2"/>
      <c r="C934" s="2"/>
    </row>
    <row r="935" spans="1:3" x14ac:dyDescent="0.25">
      <c r="A935" s="2"/>
      <c r="C935" s="2"/>
    </row>
    <row r="936" spans="1:3" x14ac:dyDescent="0.25">
      <c r="A936" s="2"/>
      <c r="C936" s="2"/>
    </row>
    <row r="937" spans="1:3" x14ac:dyDescent="0.25">
      <c r="A937" s="2"/>
      <c r="C937" s="2"/>
    </row>
    <row r="938" spans="1:3" x14ac:dyDescent="0.25">
      <c r="A938" s="2"/>
      <c r="C938" s="2"/>
    </row>
    <row r="939" spans="1:3" x14ac:dyDescent="0.25">
      <c r="A939" s="2"/>
      <c r="C939" s="2"/>
    </row>
    <row r="940" spans="1:3" x14ac:dyDescent="0.25">
      <c r="A940" s="2"/>
      <c r="C940" s="2"/>
    </row>
    <row r="941" spans="1:3" x14ac:dyDescent="0.25">
      <c r="A941" s="2"/>
      <c r="C941" s="2"/>
    </row>
    <row r="942" spans="1:3" x14ac:dyDescent="0.25">
      <c r="A942" s="2"/>
      <c r="C942" s="2"/>
    </row>
    <row r="943" spans="1:3" x14ac:dyDescent="0.25">
      <c r="A943" s="2"/>
      <c r="C943" s="2"/>
    </row>
    <row r="944" spans="1:3" x14ac:dyDescent="0.25">
      <c r="A944" s="2"/>
      <c r="C944" s="2"/>
    </row>
    <row r="945" spans="1:3" x14ac:dyDescent="0.25">
      <c r="A945" s="2"/>
      <c r="C945" s="2"/>
    </row>
    <row r="946" spans="1:3" x14ac:dyDescent="0.25">
      <c r="A946" s="2"/>
      <c r="C946" s="2"/>
    </row>
    <row r="947" spans="1:3" x14ac:dyDescent="0.25">
      <c r="A947" s="2"/>
      <c r="C947" s="2"/>
    </row>
    <row r="948" spans="1:3" x14ac:dyDescent="0.25">
      <c r="A948" s="2"/>
      <c r="C948" s="2"/>
    </row>
    <row r="949" spans="1:3" x14ac:dyDescent="0.25">
      <c r="A949" s="2"/>
      <c r="C949" s="2"/>
    </row>
    <row r="950" spans="1:3" x14ac:dyDescent="0.25">
      <c r="A950" s="2"/>
      <c r="C950" s="2"/>
    </row>
    <row r="951" spans="1:3" x14ac:dyDescent="0.25">
      <c r="A951" s="2"/>
      <c r="C951" s="2"/>
    </row>
    <row r="952" spans="1:3" x14ac:dyDescent="0.25">
      <c r="A952" s="2"/>
      <c r="C952" s="2"/>
    </row>
    <row r="953" spans="1:3" x14ac:dyDescent="0.25">
      <c r="A953" s="2"/>
      <c r="C953" s="2"/>
    </row>
    <row r="954" spans="1:3" x14ac:dyDescent="0.25">
      <c r="A954" s="2"/>
      <c r="C954" s="2"/>
    </row>
    <row r="955" spans="1:3" x14ac:dyDescent="0.25">
      <c r="A955" s="2"/>
      <c r="C955" s="2"/>
    </row>
    <row r="956" spans="1:3" x14ac:dyDescent="0.25">
      <c r="A956" s="2"/>
      <c r="C956" s="2"/>
    </row>
    <row r="957" spans="1:3" x14ac:dyDescent="0.25">
      <c r="A957" s="2"/>
      <c r="C957" s="2"/>
    </row>
    <row r="958" spans="1:3" x14ac:dyDescent="0.25">
      <c r="A958" s="2"/>
      <c r="C958" s="2"/>
    </row>
    <row r="959" spans="1:3" x14ac:dyDescent="0.25">
      <c r="A959" s="2"/>
      <c r="C959" s="2"/>
    </row>
    <row r="960" spans="1:3" x14ac:dyDescent="0.25">
      <c r="A960" s="2"/>
      <c r="C960" s="2"/>
    </row>
    <row r="961" spans="1:3" x14ac:dyDescent="0.25">
      <c r="A961" s="2"/>
      <c r="C961" s="2"/>
    </row>
    <row r="962" spans="1:3" x14ac:dyDescent="0.25">
      <c r="A962" s="2"/>
      <c r="C962" s="2"/>
    </row>
    <row r="963" spans="1:3" x14ac:dyDescent="0.25">
      <c r="A963" s="2"/>
      <c r="C963" s="2"/>
    </row>
    <row r="964" spans="1:3" x14ac:dyDescent="0.25">
      <c r="A964" s="2"/>
      <c r="C964" s="2"/>
    </row>
    <row r="965" spans="1:3" x14ac:dyDescent="0.25">
      <c r="A965" s="2"/>
      <c r="C965" s="2"/>
    </row>
    <row r="966" spans="1:3" x14ac:dyDescent="0.25">
      <c r="A966" s="2"/>
      <c r="C966" s="2"/>
    </row>
    <row r="967" spans="1:3" x14ac:dyDescent="0.25">
      <c r="A967" s="2"/>
      <c r="C967" s="2"/>
    </row>
    <row r="968" spans="1:3" x14ac:dyDescent="0.25">
      <c r="A968" s="2"/>
      <c r="C968" s="2"/>
    </row>
    <row r="969" spans="1:3" x14ac:dyDescent="0.25">
      <c r="A969" s="2"/>
      <c r="C969" s="2"/>
    </row>
    <row r="970" spans="1:3" x14ac:dyDescent="0.25">
      <c r="A970" s="2"/>
      <c r="C970" s="2"/>
    </row>
    <row r="971" spans="1:3" x14ac:dyDescent="0.25">
      <c r="A971" s="2"/>
      <c r="C971" s="2"/>
    </row>
    <row r="972" spans="1:3" x14ac:dyDescent="0.25">
      <c r="A972" s="2"/>
      <c r="C972" s="2"/>
    </row>
    <row r="973" spans="1:3" x14ac:dyDescent="0.25">
      <c r="A973" s="2"/>
      <c r="C973" s="2"/>
    </row>
    <row r="974" spans="1:3" x14ac:dyDescent="0.25">
      <c r="A974" s="2"/>
      <c r="C974" s="2"/>
    </row>
    <row r="975" spans="1:3" x14ac:dyDescent="0.25">
      <c r="A975" s="2"/>
      <c r="C975" s="2"/>
    </row>
    <row r="976" spans="1:3" x14ac:dyDescent="0.25">
      <c r="A976" s="2"/>
      <c r="C976" s="2"/>
    </row>
    <row r="977" spans="1:3" x14ac:dyDescent="0.25">
      <c r="A977" s="2"/>
      <c r="C977" s="2"/>
    </row>
    <row r="978" spans="1:3" x14ac:dyDescent="0.25">
      <c r="A978" s="2"/>
      <c r="C978" s="2"/>
    </row>
    <row r="979" spans="1:3" x14ac:dyDescent="0.25">
      <c r="A979" s="2"/>
      <c r="C979" s="2"/>
    </row>
    <row r="980" spans="1:3" x14ac:dyDescent="0.25">
      <c r="A980" s="2"/>
      <c r="C980" s="2"/>
    </row>
    <row r="981" spans="1:3" x14ac:dyDescent="0.25">
      <c r="A981" s="2"/>
      <c r="C981" s="2"/>
    </row>
    <row r="982" spans="1:3" x14ac:dyDescent="0.25">
      <c r="A982" s="2"/>
      <c r="C982" s="2"/>
    </row>
    <row r="983" spans="1:3" x14ac:dyDescent="0.25">
      <c r="A983" s="2"/>
      <c r="C983" s="2"/>
    </row>
    <row r="984" spans="1:3" x14ac:dyDescent="0.25">
      <c r="A984" s="2"/>
      <c r="C984" s="2"/>
    </row>
    <row r="985" spans="1:3" x14ac:dyDescent="0.25">
      <c r="A985" s="2"/>
      <c r="C985" s="2"/>
    </row>
    <row r="986" spans="1:3" x14ac:dyDescent="0.25">
      <c r="A986" s="2"/>
      <c r="C986" s="2"/>
    </row>
    <row r="987" spans="1:3" x14ac:dyDescent="0.25">
      <c r="A987" s="2"/>
      <c r="C987" s="2"/>
    </row>
    <row r="988" spans="1:3" x14ac:dyDescent="0.25">
      <c r="A988" s="2"/>
      <c r="C988" s="2"/>
    </row>
    <row r="989" spans="1:3" x14ac:dyDescent="0.25">
      <c r="A989" s="2"/>
      <c r="C989" s="2"/>
    </row>
    <row r="990" spans="1:3" x14ac:dyDescent="0.25">
      <c r="A990" s="2"/>
      <c r="C990" s="2"/>
    </row>
    <row r="991" spans="1:3" x14ac:dyDescent="0.25">
      <c r="A991" s="2"/>
      <c r="C991" s="2"/>
    </row>
    <row r="992" spans="1:3" x14ac:dyDescent="0.25">
      <c r="A992" s="2"/>
      <c r="C992" s="2"/>
    </row>
    <row r="993" spans="1:3" x14ac:dyDescent="0.25">
      <c r="A993" s="2"/>
      <c r="C993" s="2"/>
    </row>
    <row r="994" spans="1:3" x14ac:dyDescent="0.25">
      <c r="A994" s="2"/>
      <c r="C994" s="2"/>
    </row>
    <row r="995" spans="1:3" x14ac:dyDescent="0.25">
      <c r="A995" s="2"/>
      <c r="C995" s="2"/>
    </row>
    <row r="996" spans="1:3" x14ac:dyDescent="0.25">
      <c r="A996" s="2"/>
      <c r="C996" s="2"/>
    </row>
    <row r="997" spans="1:3" x14ac:dyDescent="0.25">
      <c r="A997" s="2"/>
      <c r="C997" s="2"/>
    </row>
    <row r="998" spans="1:3" x14ac:dyDescent="0.25">
      <c r="A998" s="2"/>
      <c r="C998" s="2"/>
    </row>
    <row r="999" spans="1:3" x14ac:dyDescent="0.25">
      <c r="A999" s="2"/>
      <c r="C999" s="2"/>
    </row>
    <row r="1000" spans="1:3" x14ac:dyDescent="0.25">
      <c r="A1000" s="2"/>
      <c r="C1000" s="2"/>
    </row>
    <row r="1001" spans="1:3" x14ac:dyDescent="0.25">
      <c r="A1001" s="2"/>
      <c r="C1001" s="2"/>
    </row>
    <row r="1002" spans="1:3" x14ac:dyDescent="0.25">
      <c r="A1002" s="2"/>
      <c r="C1002" s="2"/>
    </row>
    <row r="1003" spans="1:3" x14ac:dyDescent="0.25">
      <c r="A1003" s="2"/>
      <c r="C1003" s="2"/>
    </row>
    <row r="1004" spans="1:3" x14ac:dyDescent="0.25">
      <c r="A1004" s="2"/>
      <c r="C1004" s="2"/>
    </row>
    <row r="1005" spans="1:3" x14ac:dyDescent="0.25">
      <c r="A1005" s="2"/>
      <c r="C1005" s="2"/>
    </row>
    <row r="1006" spans="1:3" x14ac:dyDescent="0.25">
      <c r="A1006" s="2"/>
      <c r="C1006" s="2"/>
    </row>
    <row r="1007" spans="1:3" x14ac:dyDescent="0.25">
      <c r="A1007" s="2"/>
      <c r="C1007" s="2"/>
    </row>
    <row r="1008" spans="1:3" x14ac:dyDescent="0.25">
      <c r="A1008" s="2"/>
      <c r="C1008" s="2"/>
    </row>
    <row r="1009" spans="1:3" x14ac:dyDescent="0.25">
      <c r="A1009" s="2"/>
      <c r="C1009" s="2"/>
    </row>
    <row r="1010" spans="1:3" x14ac:dyDescent="0.25">
      <c r="A1010" s="2"/>
      <c r="C1010" s="2"/>
    </row>
    <row r="1011" spans="1:3" x14ac:dyDescent="0.25">
      <c r="A1011" s="2"/>
      <c r="C1011" s="2"/>
    </row>
    <row r="1012" spans="1:3" x14ac:dyDescent="0.25">
      <c r="A1012" s="2"/>
      <c r="C1012" s="2"/>
    </row>
    <row r="1013" spans="1:3" x14ac:dyDescent="0.25">
      <c r="A1013" s="2"/>
      <c r="C1013" s="2"/>
    </row>
    <row r="1014" spans="1:3" x14ac:dyDescent="0.25">
      <c r="A1014" s="2"/>
      <c r="C1014" s="2"/>
    </row>
    <row r="1015" spans="1:3" x14ac:dyDescent="0.25">
      <c r="A1015" s="2"/>
      <c r="C1015" s="2"/>
    </row>
    <row r="1016" spans="1:3" x14ac:dyDescent="0.25">
      <c r="A1016" s="2"/>
      <c r="C1016" s="2"/>
    </row>
    <row r="1017" spans="1:3" x14ac:dyDescent="0.25">
      <c r="A1017" s="2"/>
      <c r="C1017" s="2"/>
    </row>
    <row r="1018" spans="1:3" x14ac:dyDescent="0.25">
      <c r="A1018" s="2"/>
      <c r="C1018" s="2"/>
    </row>
    <row r="1019" spans="1:3" x14ac:dyDescent="0.25">
      <c r="A1019" s="2"/>
      <c r="C1019" s="2"/>
    </row>
    <row r="1020" spans="1:3" x14ac:dyDescent="0.25">
      <c r="A1020" s="2"/>
      <c r="C1020" s="2"/>
    </row>
    <row r="1021" spans="1:3" x14ac:dyDescent="0.25">
      <c r="A1021" s="2"/>
      <c r="C1021" s="2"/>
    </row>
    <row r="1022" spans="1:3" x14ac:dyDescent="0.25">
      <c r="A1022" s="2"/>
      <c r="C1022" s="2"/>
    </row>
    <row r="1023" spans="1:3" x14ac:dyDescent="0.25">
      <c r="A1023" s="2"/>
      <c r="C1023" s="2"/>
    </row>
    <row r="1024" spans="1:3" x14ac:dyDescent="0.25">
      <c r="A1024" s="2"/>
      <c r="C1024" s="2"/>
    </row>
    <row r="1025" spans="1:3" x14ac:dyDescent="0.25">
      <c r="A1025" s="2"/>
      <c r="C1025" s="2"/>
    </row>
    <row r="1026" spans="1:3" x14ac:dyDescent="0.25">
      <c r="A1026" s="2"/>
      <c r="C1026" s="2"/>
    </row>
    <row r="1027" spans="1:3" x14ac:dyDescent="0.25">
      <c r="A1027" s="2"/>
      <c r="C1027" s="2"/>
    </row>
    <row r="1028" spans="1:3" x14ac:dyDescent="0.25">
      <c r="A1028" s="2"/>
      <c r="C1028" s="2"/>
    </row>
    <row r="1029" spans="1:3" x14ac:dyDescent="0.25">
      <c r="A1029" s="2"/>
      <c r="C1029" s="2"/>
    </row>
    <row r="1030" spans="1:3" x14ac:dyDescent="0.25">
      <c r="A1030" s="2"/>
      <c r="C1030" s="2"/>
    </row>
    <row r="1031" spans="1:3" x14ac:dyDescent="0.25">
      <c r="A1031" s="2"/>
      <c r="C1031" s="2"/>
    </row>
    <row r="1032" spans="1:3" x14ac:dyDescent="0.25">
      <c r="A1032" s="2"/>
      <c r="C1032" s="2"/>
    </row>
    <row r="1033" spans="1:3" x14ac:dyDescent="0.25">
      <c r="A1033" s="2"/>
      <c r="C1033" s="2"/>
    </row>
    <row r="1034" spans="1:3" x14ac:dyDescent="0.25">
      <c r="A1034" s="2"/>
      <c r="C1034" s="2"/>
    </row>
    <row r="1035" spans="1:3" x14ac:dyDescent="0.25">
      <c r="A1035" s="2"/>
      <c r="C1035" s="2"/>
    </row>
    <row r="1036" spans="1:3" x14ac:dyDescent="0.25">
      <c r="A1036" s="2"/>
      <c r="C1036" s="2"/>
    </row>
    <row r="1037" spans="1:3" x14ac:dyDescent="0.25">
      <c r="A1037" s="2"/>
      <c r="C1037" s="2"/>
    </row>
    <row r="1038" spans="1:3" x14ac:dyDescent="0.25">
      <c r="A1038" s="2"/>
      <c r="C1038" s="2"/>
    </row>
    <row r="1039" spans="1:3" x14ac:dyDescent="0.25">
      <c r="A1039" s="2"/>
      <c r="C1039" s="2"/>
    </row>
    <row r="1040" spans="1:3" x14ac:dyDescent="0.25">
      <c r="A1040" s="2"/>
      <c r="C1040" s="2"/>
    </row>
    <row r="1041" spans="1:3" x14ac:dyDescent="0.25">
      <c r="A1041" s="2"/>
      <c r="C1041" s="2"/>
    </row>
    <row r="1042" spans="1:3" x14ac:dyDescent="0.25">
      <c r="A1042" s="2"/>
      <c r="C1042" s="2"/>
    </row>
    <row r="1043" spans="1:3" x14ac:dyDescent="0.25">
      <c r="A1043" s="2"/>
      <c r="C1043" s="2"/>
    </row>
    <row r="1044" spans="1:3" x14ac:dyDescent="0.25">
      <c r="A1044" s="2"/>
      <c r="C1044" s="2"/>
    </row>
    <row r="1045" spans="1:3" x14ac:dyDescent="0.25">
      <c r="A1045" s="2"/>
      <c r="C1045" s="2"/>
    </row>
    <row r="1046" spans="1:3" x14ac:dyDescent="0.25">
      <c r="A1046" s="2"/>
      <c r="C1046" s="2"/>
    </row>
    <row r="1047" spans="1:3" x14ac:dyDescent="0.25">
      <c r="A1047" s="2"/>
      <c r="C1047" s="2"/>
    </row>
    <row r="1048" spans="1:3" x14ac:dyDescent="0.25">
      <c r="A1048" s="2"/>
      <c r="C1048" s="2"/>
    </row>
    <row r="1049" spans="1:3" x14ac:dyDescent="0.25">
      <c r="A1049" s="2"/>
      <c r="C1049" s="2"/>
    </row>
    <row r="1050" spans="1:3" x14ac:dyDescent="0.25">
      <c r="A1050" s="2"/>
      <c r="C1050" s="2"/>
    </row>
    <row r="1051" spans="1:3" x14ac:dyDescent="0.25">
      <c r="A1051" s="2"/>
      <c r="C1051" s="2"/>
    </row>
    <row r="1052" spans="1:3" x14ac:dyDescent="0.25">
      <c r="A1052" s="2"/>
      <c r="C1052" s="2"/>
    </row>
    <row r="1053" spans="1:3" x14ac:dyDescent="0.25">
      <c r="A1053" s="2"/>
      <c r="C1053" s="2"/>
    </row>
    <row r="1054" spans="1:3" x14ac:dyDescent="0.25">
      <c r="A1054" s="2"/>
      <c r="C1054" s="2"/>
    </row>
    <row r="1055" spans="1:3" x14ac:dyDescent="0.25">
      <c r="A1055" s="2"/>
      <c r="C1055" s="2"/>
    </row>
    <row r="1056" spans="1:3" x14ac:dyDescent="0.25">
      <c r="A1056" s="2"/>
      <c r="C1056" s="2"/>
    </row>
    <row r="1057" spans="1:3" x14ac:dyDescent="0.25">
      <c r="A1057" s="2"/>
      <c r="C1057" s="2"/>
    </row>
    <row r="1058" spans="1:3" x14ac:dyDescent="0.25">
      <c r="A1058" s="2"/>
      <c r="C1058" s="2"/>
    </row>
    <row r="1059" spans="1:3" x14ac:dyDescent="0.25">
      <c r="A1059" s="2"/>
      <c r="C1059" s="2"/>
    </row>
    <row r="1060" spans="1:3" x14ac:dyDescent="0.25">
      <c r="A1060" s="2"/>
      <c r="C1060" s="2"/>
    </row>
    <row r="1061" spans="1:3" x14ac:dyDescent="0.25">
      <c r="A1061" s="2"/>
      <c r="C1061" s="2"/>
    </row>
    <row r="1062" spans="1:3" x14ac:dyDescent="0.25">
      <c r="A1062" s="2"/>
      <c r="C1062" s="2"/>
    </row>
    <row r="1063" spans="1:3" x14ac:dyDescent="0.25">
      <c r="A1063" s="2"/>
      <c r="C1063" s="2"/>
    </row>
    <row r="1064" spans="1:3" x14ac:dyDescent="0.25">
      <c r="A1064" s="2"/>
      <c r="C1064" s="2"/>
    </row>
    <row r="1065" spans="1:3" x14ac:dyDescent="0.25">
      <c r="A1065" s="2"/>
      <c r="C1065" s="2"/>
    </row>
    <row r="1066" spans="1:3" x14ac:dyDescent="0.25">
      <c r="A1066" s="2"/>
      <c r="C1066" s="2"/>
    </row>
    <row r="1067" spans="1:3" x14ac:dyDescent="0.25">
      <c r="A1067" s="2"/>
      <c r="C1067" s="2"/>
    </row>
    <row r="1068" spans="1:3" x14ac:dyDescent="0.25">
      <c r="A1068" s="2"/>
      <c r="C1068" s="2"/>
    </row>
    <row r="1069" spans="1:3" x14ac:dyDescent="0.25">
      <c r="A1069" s="2"/>
      <c r="C1069" s="2"/>
    </row>
    <row r="1070" spans="1:3" x14ac:dyDescent="0.25">
      <c r="A1070" s="2"/>
      <c r="C1070" s="2"/>
    </row>
    <row r="1071" spans="1:3" x14ac:dyDescent="0.25">
      <c r="A1071" s="2"/>
      <c r="C1071" s="2"/>
    </row>
    <row r="1072" spans="1:3" x14ac:dyDescent="0.25">
      <c r="A1072" s="2"/>
      <c r="C1072" s="2"/>
    </row>
    <row r="1073" spans="1:3" x14ac:dyDescent="0.25">
      <c r="A1073" s="2"/>
      <c r="C1073" s="2"/>
    </row>
    <row r="1074" spans="1:3" x14ac:dyDescent="0.25">
      <c r="A1074" s="2"/>
      <c r="C1074" s="2"/>
    </row>
    <row r="1075" spans="1:3" x14ac:dyDescent="0.25">
      <c r="A1075" s="2"/>
      <c r="C1075" s="2"/>
    </row>
    <row r="1076" spans="1:3" x14ac:dyDescent="0.25">
      <c r="A1076" s="2"/>
      <c r="C1076" s="2"/>
    </row>
    <row r="1077" spans="1:3" x14ac:dyDescent="0.25">
      <c r="A1077" s="2"/>
      <c r="C1077" s="2"/>
    </row>
    <row r="1078" spans="1:3" x14ac:dyDescent="0.25">
      <c r="A1078" s="2"/>
      <c r="C1078" s="2"/>
    </row>
    <row r="1079" spans="1:3" x14ac:dyDescent="0.25">
      <c r="A1079" s="2"/>
      <c r="C1079" s="2"/>
    </row>
    <row r="1080" spans="1:3" x14ac:dyDescent="0.25">
      <c r="A1080" s="2"/>
      <c r="C1080" s="2"/>
    </row>
    <row r="1081" spans="1:3" x14ac:dyDescent="0.25">
      <c r="A1081" s="2"/>
      <c r="C1081" s="2"/>
    </row>
    <row r="1082" spans="1:3" x14ac:dyDescent="0.25">
      <c r="A1082" s="2"/>
      <c r="C1082" s="2"/>
    </row>
    <row r="1083" spans="1:3" x14ac:dyDescent="0.25">
      <c r="A1083" s="2"/>
      <c r="C1083" s="2"/>
    </row>
    <row r="1084" spans="1:3" x14ac:dyDescent="0.25">
      <c r="A1084" s="2"/>
      <c r="C1084" s="2"/>
    </row>
    <row r="1085" spans="1:3" x14ac:dyDescent="0.25">
      <c r="A1085" s="2"/>
      <c r="C1085" s="2"/>
    </row>
    <row r="1086" spans="1:3" x14ac:dyDescent="0.25">
      <c r="A1086" s="2"/>
      <c r="C1086" s="2"/>
    </row>
    <row r="1087" spans="1:3" x14ac:dyDescent="0.25">
      <c r="A1087" s="2"/>
      <c r="C1087" s="2"/>
    </row>
    <row r="1088" spans="1:3" x14ac:dyDescent="0.25">
      <c r="A1088" s="2"/>
      <c r="C1088" s="2"/>
    </row>
    <row r="1089" spans="1:3" x14ac:dyDescent="0.25">
      <c r="A1089" s="2"/>
      <c r="C1089" s="2"/>
    </row>
    <row r="1090" spans="1:3" x14ac:dyDescent="0.25">
      <c r="A1090" s="2"/>
      <c r="C1090" s="2"/>
    </row>
    <row r="1091" spans="1:3" x14ac:dyDescent="0.25">
      <c r="A1091" s="2"/>
      <c r="C1091" s="2"/>
    </row>
    <row r="1092" spans="1:3" x14ac:dyDescent="0.25">
      <c r="A1092" s="2"/>
      <c r="C1092" s="2"/>
    </row>
    <row r="1093" spans="1:3" x14ac:dyDescent="0.25">
      <c r="A1093" s="2"/>
      <c r="C1093" s="2"/>
    </row>
    <row r="1094" spans="1:3" x14ac:dyDescent="0.25">
      <c r="A1094" s="2"/>
      <c r="C1094" s="2"/>
    </row>
    <row r="1095" spans="1:3" x14ac:dyDescent="0.25">
      <c r="A1095" s="2"/>
      <c r="C1095" s="2"/>
    </row>
    <row r="1096" spans="1:3" x14ac:dyDescent="0.25">
      <c r="A1096" s="2"/>
      <c r="C1096" s="2"/>
    </row>
    <row r="1097" spans="1:3" x14ac:dyDescent="0.25">
      <c r="A1097" s="2"/>
      <c r="C1097" s="2"/>
    </row>
    <row r="1098" spans="1:3" x14ac:dyDescent="0.25">
      <c r="A1098" s="2"/>
      <c r="C1098" s="2"/>
    </row>
    <row r="1099" spans="1:3" x14ac:dyDescent="0.25">
      <c r="A1099" s="2"/>
      <c r="C1099" s="2"/>
    </row>
    <row r="1100" spans="1:3" x14ac:dyDescent="0.25">
      <c r="A1100" s="2"/>
      <c r="C1100" s="2"/>
    </row>
    <row r="1101" spans="1:3" x14ac:dyDescent="0.25">
      <c r="A1101" s="2"/>
      <c r="C1101" s="2"/>
    </row>
    <row r="1102" spans="1:3" x14ac:dyDescent="0.25">
      <c r="A1102" s="2"/>
      <c r="C1102" s="2"/>
    </row>
    <row r="1103" spans="1:3" x14ac:dyDescent="0.25">
      <c r="A1103" s="2"/>
      <c r="C1103" s="2"/>
    </row>
    <row r="1104" spans="1:3" x14ac:dyDescent="0.25">
      <c r="A1104" s="2"/>
      <c r="C1104" s="2"/>
    </row>
    <row r="1105" spans="1:3" x14ac:dyDescent="0.25">
      <c r="A1105" s="2"/>
      <c r="C1105" s="2"/>
    </row>
    <row r="1106" spans="1:3" x14ac:dyDescent="0.25">
      <c r="A1106" s="2"/>
      <c r="C1106" s="2"/>
    </row>
    <row r="1107" spans="1:3" x14ac:dyDescent="0.25">
      <c r="A1107" s="2"/>
      <c r="C1107" s="2"/>
    </row>
    <row r="1108" spans="1:3" x14ac:dyDescent="0.25">
      <c r="A1108" s="2"/>
      <c r="C1108" s="2"/>
    </row>
    <row r="1109" spans="1:3" x14ac:dyDescent="0.25">
      <c r="A1109" s="2"/>
      <c r="C1109" s="2"/>
    </row>
    <row r="1110" spans="1:3" x14ac:dyDescent="0.25">
      <c r="A1110" s="2"/>
      <c r="C1110" s="2"/>
    </row>
    <row r="1111" spans="1:3" x14ac:dyDescent="0.25">
      <c r="A1111" s="2"/>
      <c r="C1111" s="2"/>
    </row>
    <row r="1112" spans="1:3" x14ac:dyDescent="0.25">
      <c r="A1112" s="2"/>
      <c r="C1112" s="2"/>
    </row>
    <row r="1113" spans="1:3" x14ac:dyDescent="0.25">
      <c r="A1113" s="2"/>
      <c r="C1113" s="2"/>
    </row>
    <row r="1114" spans="1:3" x14ac:dyDescent="0.25">
      <c r="A1114" s="2"/>
      <c r="C1114" s="2"/>
    </row>
    <row r="1115" spans="1:3" x14ac:dyDescent="0.25">
      <c r="A1115" s="2"/>
      <c r="C1115" s="2"/>
    </row>
    <row r="1116" spans="1:3" x14ac:dyDescent="0.25">
      <c r="A1116" s="2"/>
      <c r="C1116" s="2"/>
    </row>
    <row r="1117" spans="1:3" x14ac:dyDescent="0.25">
      <c r="A1117" s="2"/>
      <c r="C1117" s="2"/>
    </row>
    <row r="1118" spans="1:3" x14ac:dyDescent="0.25">
      <c r="A1118" s="2"/>
      <c r="C1118" s="2"/>
    </row>
    <row r="1119" spans="1:3" x14ac:dyDescent="0.25">
      <c r="A1119" s="2"/>
      <c r="C1119" s="2"/>
    </row>
    <row r="1120" spans="1:3" x14ac:dyDescent="0.25">
      <c r="A1120" s="2"/>
      <c r="C1120" s="2"/>
    </row>
    <row r="1121" spans="1:3" x14ac:dyDescent="0.25">
      <c r="A1121" s="2"/>
      <c r="C1121" s="2"/>
    </row>
    <row r="1122" spans="1:3" x14ac:dyDescent="0.25">
      <c r="A1122" s="2"/>
      <c r="C1122" s="2"/>
    </row>
    <row r="1123" spans="1:3" x14ac:dyDescent="0.25">
      <c r="A1123" s="2"/>
      <c r="C1123" s="2"/>
    </row>
    <row r="1124" spans="1:3" x14ac:dyDescent="0.25">
      <c r="A1124" s="2"/>
      <c r="C1124" s="2"/>
    </row>
    <row r="1125" spans="1:3" x14ac:dyDescent="0.25">
      <c r="A1125" s="2"/>
      <c r="C1125" s="2"/>
    </row>
    <row r="1126" spans="1:3" x14ac:dyDescent="0.25">
      <c r="A1126" s="2"/>
      <c r="C1126" s="2"/>
    </row>
    <row r="1127" spans="1:3" x14ac:dyDescent="0.25">
      <c r="A1127" s="2"/>
      <c r="C1127" s="2"/>
    </row>
    <row r="1128" spans="1:3" x14ac:dyDescent="0.25">
      <c r="A1128" s="2"/>
      <c r="C1128" s="2"/>
    </row>
    <row r="1129" spans="1:3" x14ac:dyDescent="0.25">
      <c r="A1129" s="2"/>
      <c r="C1129" s="2"/>
    </row>
    <row r="1130" spans="1:3" x14ac:dyDescent="0.25">
      <c r="A1130" s="2"/>
      <c r="C1130" s="2"/>
    </row>
    <row r="1131" spans="1:3" x14ac:dyDescent="0.25">
      <c r="A1131" s="2"/>
      <c r="C1131" s="2"/>
    </row>
    <row r="1132" spans="1:3" x14ac:dyDescent="0.25">
      <c r="A1132" s="2"/>
      <c r="C1132" s="2"/>
    </row>
    <row r="1133" spans="1:3" x14ac:dyDescent="0.25">
      <c r="A1133" s="2"/>
      <c r="C1133" s="2"/>
    </row>
    <row r="1134" spans="1:3" x14ac:dyDescent="0.25">
      <c r="A1134" s="2"/>
      <c r="C1134" s="2"/>
    </row>
    <row r="1135" spans="1:3" x14ac:dyDescent="0.25">
      <c r="A1135" s="2"/>
      <c r="C1135" s="2"/>
    </row>
    <row r="1136" spans="1:3" x14ac:dyDescent="0.25">
      <c r="A1136" s="2"/>
      <c r="C1136" s="2"/>
    </row>
    <row r="1137" spans="1:3" x14ac:dyDescent="0.25">
      <c r="A1137" s="2"/>
      <c r="C1137" s="2"/>
    </row>
    <row r="1138" spans="1:3" x14ac:dyDescent="0.25">
      <c r="A1138" s="2"/>
      <c r="C1138" s="2"/>
    </row>
    <row r="1139" spans="1:3" x14ac:dyDescent="0.25">
      <c r="A1139" s="2"/>
      <c r="C1139" s="2"/>
    </row>
    <row r="1140" spans="1:3" x14ac:dyDescent="0.25">
      <c r="A1140" s="2"/>
      <c r="C1140" s="2"/>
    </row>
    <row r="1141" spans="1:3" x14ac:dyDescent="0.25">
      <c r="A1141" s="2"/>
      <c r="C1141" s="2"/>
    </row>
    <row r="1142" spans="1:3" x14ac:dyDescent="0.25">
      <c r="A1142" s="2"/>
      <c r="C1142" s="2"/>
    </row>
    <row r="1143" spans="1:3" x14ac:dyDescent="0.25">
      <c r="A1143" s="2"/>
      <c r="C1143" s="2"/>
    </row>
    <row r="1144" spans="1:3" x14ac:dyDescent="0.25">
      <c r="A1144" s="2"/>
      <c r="C1144" s="2"/>
    </row>
    <row r="1145" spans="1:3" x14ac:dyDescent="0.25">
      <c r="A1145" s="2"/>
      <c r="C1145" s="2"/>
    </row>
    <row r="1146" spans="1:3" x14ac:dyDescent="0.25">
      <c r="A1146" s="2"/>
      <c r="C1146" s="2"/>
    </row>
    <row r="1147" spans="1:3" x14ac:dyDescent="0.25">
      <c r="A1147" s="2"/>
      <c r="C1147" s="2"/>
    </row>
    <row r="1148" spans="1:3" x14ac:dyDescent="0.25">
      <c r="A1148" s="2"/>
      <c r="C1148" s="2"/>
    </row>
    <row r="1149" spans="1:3" x14ac:dyDescent="0.25">
      <c r="A1149" s="2"/>
      <c r="C1149" s="2"/>
    </row>
    <row r="1150" spans="1:3" x14ac:dyDescent="0.25">
      <c r="A1150" s="2"/>
      <c r="C1150" s="2"/>
    </row>
    <row r="1151" spans="1:3" x14ac:dyDescent="0.25">
      <c r="A1151" s="2"/>
      <c r="C1151" s="2"/>
    </row>
    <row r="1152" spans="1:3" x14ac:dyDescent="0.25">
      <c r="A1152" s="2"/>
      <c r="C1152" s="2"/>
    </row>
    <row r="1153" spans="1:3" x14ac:dyDescent="0.25">
      <c r="A1153" s="2"/>
      <c r="C1153" s="2"/>
    </row>
    <row r="1154" spans="1:3" x14ac:dyDescent="0.25">
      <c r="A1154" s="2"/>
      <c r="C1154" s="2"/>
    </row>
    <row r="1155" spans="1:3" x14ac:dyDescent="0.25">
      <c r="A1155" s="2"/>
      <c r="C1155" s="2"/>
    </row>
    <row r="1156" spans="1:3" x14ac:dyDescent="0.25">
      <c r="A1156" s="2"/>
      <c r="C1156" s="2"/>
    </row>
    <row r="1157" spans="1:3" x14ac:dyDescent="0.25">
      <c r="A1157" s="2"/>
      <c r="C1157" s="2"/>
    </row>
    <row r="1158" spans="1:3" x14ac:dyDescent="0.25">
      <c r="A1158" s="2"/>
      <c r="C1158" s="2"/>
    </row>
    <row r="1159" spans="1:3" x14ac:dyDescent="0.25">
      <c r="A1159" s="2"/>
      <c r="C1159" s="2"/>
    </row>
    <row r="1160" spans="1:3" x14ac:dyDescent="0.25">
      <c r="A1160" s="2"/>
      <c r="C1160" s="2"/>
    </row>
    <row r="1161" spans="1:3" x14ac:dyDescent="0.25">
      <c r="A1161" s="2"/>
      <c r="C1161" s="2"/>
    </row>
    <row r="1162" spans="1:3" x14ac:dyDescent="0.25">
      <c r="A1162" s="2"/>
      <c r="C1162" s="2"/>
    </row>
    <row r="1163" spans="1:3" x14ac:dyDescent="0.25">
      <c r="A1163" s="2"/>
      <c r="C1163" s="2"/>
    </row>
    <row r="1164" spans="1:3" x14ac:dyDescent="0.25">
      <c r="A1164" s="2"/>
      <c r="C1164" s="2"/>
    </row>
    <row r="1165" spans="1:3" x14ac:dyDescent="0.25">
      <c r="A1165" s="2"/>
      <c r="C1165" s="2"/>
    </row>
    <row r="1166" spans="1:3" x14ac:dyDescent="0.25">
      <c r="A1166" s="2"/>
      <c r="C1166" s="2"/>
    </row>
    <row r="1167" spans="1:3" x14ac:dyDescent="0.25">
      <c r="A1167" s="2"/>
      <c r="C1167" s="2"/>
    </row>
    <row r="1168" spans="1:3" x14ac:dyDescent="0.25">
      <c r="A1168" s="2"/>
      <c r="C1168" s="2"/>
    </row>
    <row r="1169" spans="1:3" x14ac:dyDescent="0.25">
      <c r="A1169" s="2"/>
      <c r="C1169" s="2"/>
    </row>
    <row r="1170" spans="1:3" x14ac:dyDescent="0.25">
      <c r="A1170" s="2"/>
      <c r="C1170" s="2"/>
    </row>
    <row r="1171" spans="1:3" x14ac:dyDescent="0.25">
      <c r="A1171" s="2"/>
      <c r="C1171" s="2"/>
    </row>
    <row r="1172" spans="1:3" x14ac:dyDescent="0.25">
      <c r="A1172" s="2"/>
      <c r="C1172" s="2"/>
    </row>
    <row r="1173" spans="1:3" x14ac:dyDescent="0.25">
      <c r="A1173" s="2"/>
      <c r="C1173" s="2"/>
    </row>
    <row r="1174" spans="1:3" x14ac:dyDescent="0.25">
      <c r="A1174" s="2"/>
      <c r="C1174" s="2"/>
    </row>
    <row r="1175" spans="1:3" x14ac:dyDescent="0.25">
      <c r="A1175" s="2"/>
      <c r="C1175" s="2"/>
    </row>
    <row r="1176" spans="1:3" x14ac:dyDescent="0.25">
      <c r="A1176" s="2"/>
      <c r="C1176" s="2"/>
    </row>
    <row r="1177" spans="1:3" x14ac:dyDescent="0.25">
      <c r="A1177" s="2"/>
      <c r="C1177" s="2"/>
    </row>
    <row r="1178" spans="1:3" x14ac:dyDescent="0.25">
      <c r="A1178" s="2"/>
      <c r="C1178" s="2"/>
    </row>
    <row r="1179" spans="1:3" x14ac:dyDescent="0.25">
      <c r="A1179" s="2"/>
      <c r="C1179" s="2"/>
    </row>
    <row r="1180" spans="1:3" x14ac:dyDescent="0.25">
      <c r="A1180" s="2"/>
      <c r="C1180" s="2"/>
    </row>
    <row r="1181" spans="1:3" x14ac:dyDescent="0.25">
      <c r="A1181" s="2"/>
      <c r="C1181" s="2"/>
    </row>
    <row r="1182" spans="1:3" x14ac:dyDescent="0.25">
      <c r="A1182" s="2"/>
      <c r="C1182" s="2"/>
    </row>
    <row r="1183" spans="1:3" x14ac:dyDescent="0.25">
      <c r="A1183" s="2"/>
      <c r="C1183" s="2"/>
    </row>
    <row r="1184" spans="1:3" x14ac:dyDescent="0.25">
      <c r="A1184" s="2"/>
      <c r="C1184" s="2"/>
    </row>
    <row r="1185" spans="1:3" x14ac:dyDescent="0.25">
      <c r="A1185" s="2"/>
      <c r="C1185" s="2"/>
    </row>
    <row r="1186" spans="1:3" x14ac:dyDescent="0.25">
      <c r="A1186" s="2"/>
      <c r="C1186" s="2"/>
    </row>
    <row r="1187" spans="1:3" x14ac:dyDescent="0.25">
      <c r="A1187" s="2"/>
      <c r="C1187" s="2"/>
    </row>
    <row r="1188" spans="1:3" x14ac:dyDescent="0.25">
      <c r="A1188" s="2"/>
      <c r="C1188" s="2"/>
    </row>
    <row r="1189" spans="1:3" x14ac:dyDescent="0.25">
      <c r="A1189" s="2"/>
      <c r="C1189" s="2"/>
    </row>
    <row r="1190" spans="1:3" x14ac:dyDescent="0.25">
      <c r="A1190" s="2"/>
      <c r="C1190" s="2"/>
    </row>
    <row r="1191" spans="1:3" x14ac:dyDescent="0.25">
      <c r="A1191" s="2"/>
      <c r="C1191" s="2"/>
    </row>
    <row r="1192" spans="1:3" x14ac:dyDescent="0.25">
      <c r="A1192" s="2"/>
      <c r="C1192" s="2"/>
    </row>
    <row r="1193" spans="1:3" x14ac:dyDescent="0.25">
      <c r="A1193" s="2"/>
      <c r="C1193" s="2"/>
    </row>
    <row r="1194" spans="1:3" x14ac:dyDescent="0.25">
      <c r="A1194" s="2"/>
      <c r="C1194" s="2"/>
    </row>
    <row r="1195" spans="1:3" x14ac:dyDescent="0.25">
      <c r="A1195" s="2"/>
      <c r="C1195" s="2"/>
    </row>
    <row r="1196" spans="1:3" x14ac:dyDescent="0.25">
      <c r="A1196" s="2"/>
      <c r="C1196" s="2"/>
    </row>
    <row r="1197" spans="1:3" x14ac:dyDescent="0.25">
      <c r="A1197" s="2"/>
      <c r="C1197" s="2"/>
    </row>
    <row r="1198" spans="1:3" x14ac:dyDescent="0.25">
      <c r="A1198" s="2"/>
      <c r="C1198" s="2"/>
    </row>
    <row r="1199" spans="1:3" x14ac:dyDescent="0.25">
      <c r="A1199" s="2"/>
      <c r="C1199" s="2"/>
    </row>
    <row r="1200" spans="1:3" x14ac:dyDescent="0.25">
      <c r="A1200" s="2"/>
      <c r="C1200" s="2"/>
    </row>
    <row r="1201" spans="1:3" x14ac:dyDescent="0.25">
      <c r="A1201" s="2"/>
      <c r="C1201" s="2"/>
    </row>
    <row r="1202" spans="1:3" x14ac:dyDescent="0.25">
      <c r="A1202" s="2"/>
      <c r="C1202" s="2"/>
    </row>
    <row r="1203" spans="1:3" x14ac:dyDescent="0.25">
      <c r="A1203" s="2"/>
      <c r="C1203" s="2"/>
    </row>
    <row r="1204" spans="1:3" x14ac:dyDescent="0.25">
      <c r="A1204" s="2"/>
      <c r="C1204" s="2"/>
    </row>
    <row r="1205" spans="1:3" x14ac:dyDescent="0.25">
      <c r="A1205" s="2"/>
      <c r="C1205" s="2"/>
    </row>
    <row r="1206" spans="1:3" x14ac:dyDescent="0.25">
      <c r="A1206" s="2"/>
      <c r="C1206" s="2"/>
    </row>
    <row r="1207" spans="1:3" x14ac:dyDescent="0.25">
      <c r="A1207" s="2"/>
      <c r="C1207" s="2"/>
    </row>
    <row r="1208" spans="1:3" x14ac:dyDescent="0.25">
      <c r="A1208" s="2"/>
      <c r="C1208" s="2"/>
    </row>
    <row r="1209" spans="1:3" x14ac:dyDescent="0.25">
      <c r="A1209" s="2"/>
      <c r="C1209" s="2"/>
    </row>
    <row r="1210" spans="1:3" x14ac:dyDescent="0.25">
      <c r="A1210" s="2"/>
      <c r="C1210" s="2"/>
    </row>
    <row r="1211" spans="1:3" x14ac:dyDescent="0.25">
      <c r="A1211" s="2"/>
      <c r="C1211" s="2"/>
    </row>
    <row r="1212" spans="1:3" x14ac:dyDescent="0.25">
      <c r="A1212" s="2"/>
      <c r="C1212" s="2"/>
    </row>
    <row r="1213" spans="1:3" x14ac:dyDescent="0.25">
      <c r="A1213" s="2"/>
      <c r="C1213" s="2"/>
    </row>
    <row r="1214" spans="1:3" x14ac:dyDescent="0.25">
      <c r="A1214" s="2"/>
      <c r="C1214" s="2"/>
    </row>
    <row r="1215" spans="1:3" x14ac:dyDescent="0.25">
      <c r="A1215" s="2"/>
      <c r="C1215" s="2"/>
    </row>
    <row r="1216" spans="1:3" x14ac:dyDescent="0.25">
      <c r="A1216" s="2"/>
      <c r="C1216" s="2"/>
    </row>
    <row r="1217" spans="1:3" x14ac:dyDescent="0.25">
      <c r="A1217" s="2"/>
      <c r="C1217" s="2"/>
    </row>
    <row r="1218" spans="1:3" x14ac:dyDescent="0.25">
      <c r="A1218" s="2"/>
      <c r="C1218" s="2"/>
    </row>
    <row r="1219" spans="1:3" x14ac:dyDescent="0.25">
      <c r="A1219" s="2"/>
      <c r="C1219" s="2"/>
    </row>
    <row r="1220" spans="1:3" x14ac:dyDescent="0.25">
      <c r="A1220" s="2"/>
      <c r="C1220" s="2"/>
    </row>
    <row r="1221" spans="1:3" x14ac:dyDescent="0.25">
      <c r="A1221" s="2"/>
      <c r="C1221" s="2"/>
    </row>
    <row r="1222" spans="1:3" x14ac:dyDescent="0.25">
      <c r="A1222" s="2"/>
      <c r="C1222" s="2"/>
    </row>
    <row r="1223" spans="1:3" x14ac:dyDescent="0.25">
      <c r="A1223" s="2"/>
      <c r="C1223" s="2"/>
    </row>
    <row r="1224" spans="1:3" x14ac:dyDescent="0.25">
      <c r="A1224" s="2"/>
      <c r="C1224" s="2"/>
    </row>
    <row r="1225" spans="1:3" x14ac:dyDescent="0.25">
      <c r="A1225" s="2"/>
      <c r="C1225" s="2"/>
    </row>
    <row r="1226" spans="1:3" x14ac:dyDescent="0.25">
      <c r="A1226" s="2"/>
      <c r="C1226" s="2"/>
    </row>
    <row r="1227" spans="1:3" x14ac:dyDescent="0.25">
      <c r="A1227" s="2"/>
      <c r="C1227" s="2"/>
    </row>
    <row r="1228" spans="1:3" x14ac:dyDescent="0.25">
      <c r="A1228" s="2"/>
      <c r="C1228" s="2"/>
    </row>
    <row r="1229" spans="1:3" x14ac:dyDescent="0.25">
      <c r="A1229" s="2"/>
      <c r="C1229" s="2"/>
    </row>
    <row r="1230" spans="1:3" x14ac:dyDescent="0.25">
      <c r="A1230" s="2"/>
      <c r="C1230" s="2"/>
    </row>
    <row r="1231" spans="1:3" x14ac:dyDescent="0.25">
      <c r="A1231" s="2"/>
      <c r="C1231" s="2"/>
    </row>
    <row r="1232" spans="1:3" x14ac:dyDescent="0.25">
      <c r="A1232" s="2"/>
      <c r="C1232" s="2"/>
    </row>
    <row r="1233" spans="1:3" x14ac:dyDescent="0.25">
      <c r="A1233" s="2"/>
      <c r="C1233" s="2"/>
    </row>
    <row r="1234" spans="1:3" x14ac:dyDescent="0.25">
      <c r="A1234" s="2"/>
      <c r="C1234" s="2"/>
    </row>
    <row r="1235" spans="1:3" x14ac:dyDescent="0.25">
      <c r="A1235" s="2"/>
      <c r="C1235" s="2"/>
    </row>
    <row r="1236" spans="1:3" x14ac:dyDescent="0.25">
      <c r="A1236" s="2"/>
      <c r="C1236" s="2"/>
    </row>
    <row r="1237" spans="1:3" x14ac:dyDescent="0.25">
      <c r="A1237" s="2"/>
      <c r="C1237" s="2"/>
    </row>
    <row r="1238" spans="1:3" x14ac:dyDescent="0.25">
      <c r="A1238" s="2"/>
      <c r="C1238" s="2"/>
    </row>
    <row r="1239" spans="1:3" x14ac:dyDescent="0.25">
      <c r="A1239" s="2"/>
      <c r="C1239" s="2"/>
    </row>
    <row r="1240" spans="1:3" x14ac:dyDescent="0.25">
      <c r="A1240" s="2"/>
      <c r="C1240" s="2"/>
    </row>
    <row r="1241" spans="1:3" x14ac:dyDescent="0.25">
      <c r="A1241" s="2"/>
      <c r="C1241" s="2"/>
    </row>
    <row r="1242" spans="1:3" x14ac:dyDescent="0.25">
      <c r="A1242" s="2"/>
      <c r="C1242" s="2"/>
    </row>
    <row r="1243" spans="1:3" x14ac:dyDescent="0.25">
      <c r="A1243" s="2"/>
      <c r="C1243" s="2"/>
    </row>
    <row r="1244" spans="1:3" x14ac:dyDescent="0.25">
      <c r="A1244" s="2"/>
      <c r="C1244" s="2"/>
    </row>
    <row r="1245" spans="1:3" x14ac:dyDescent="0.25">
      <c r="A1245" s="2"/>
      <c r="C1245" s="2"/>
    </row>
    <row r="1246" spans="1:3" x14ac:dyDescent="0.25">
      <c r="A1246" s="2"/>
      <c r="C1246" s="2"/>
    </row>
    <row r="1247" spans="1:3" x14ac:dyDescent="0.25">
      <c r="A1247" s="2"/>
      <c r="C1247" s="2"/>
    </row>
    <row r="1248" spans="1:3" x14ac:dyDescent="0.25">
      <c r="A1248" s="2"/>
      <c r="C1248" s="2"/>
    </row>
    <row r="1249" spans="1:3" x14ac:dyDescent="0.25">
      <c r="A1249" s="2"/>
      <c r="C1249" s="2"/>
    </row>
    <row r="1250" spans="1:3" x14ac:dyDescent="0.25">
      <c r="A1250" s="2"/>
      <c r="C1250" s="2"/>
    </row>
    <row r="1251" spans="1:3" x14ac:dyDescent="0.25">
      <c r="A1251" s="2"/>
      <c r="C1251" s="2"/>
    </row>
    <row r="1252" spans="1:3" x14ac:dyDescent="0.25">
      <c r="A1252" s="2"/>
      <c r="C1252" s="2"/>
    </row>
    <row r="1253" spans="1:3" x14ac:dyDescent="0.25">
      <c r="A1253" s="2"/>
      <c r="C1253" s="2"/>
    </row>
    <row r="1254" spans="1:3" x14ac:dyDescent="0.25">
      <c r="A1254" s="2"/>
      <c r="C1254" s="2"/>
    </row>
    <row r="1255" spans="1:3" x14ac:dyDescent="0.25">
      <c r="A1255" s="2"/>
      <c r="C1255" s="2"/>
    </row>
    <row r="1256" spans="1:3" x14ac:dyDescent="0.25">
      <c r="A1256" s="2"/>
      <c r="C1256" s="2"/>
    </row>
    <row r="1257" spans="1:3" x14ac:dyDescent="0.25">
      <c r="A1257" s="2"/>
      <c r="C1257" s="2"/>
    </row>
    <row r="1258" spans="1:3" x14ac:dyDescent="0.25">
      <c r="A1258" s="2"/>
      <c r="C1258" s="2"/>
    </row>
    <row r="1259" spans="1:3" x14ac:dyDescent="0.25">
      <c r="A1259" s="2"/>
      <c r="C1259" s="2"/>
    </row>
    <row r="1260" spans="1:3" x14ac:dyDescent="0.25">
      <c r="A1260" s="2"/>
      <c r="C1260" s="2"/>
    </row>
    <row r="1261" spans="1:3" x14ac:dyDescent="0.25">
      <c r="A1261" s="2"/>
      <c r="C1261" s="2"/>
    </row>
    <row r="1262" spans="1:3" x14ac:dyDescent="0.25">
      <c r="A1262" s="2"/>
      <c r="C1262" s="2"/>
    </row>
    <row r="1263" spans="1:3" x14ac:dyDescent="0.25">
      <c r="A1263" s="2"/>
      <c r="C1263" s="2"/>
    </row>
    <row r="1264" spans="1:3" x14ac:dyDescent="0.25">
      <c r="A1264" s="2"/>
      <c r="C1264" s="2"/>
    </row>
    <row r="1265" spans="1:3" x14ac:dyDescent="0.25">
      <c r="A1265" s="2"/>
      <c r="C1265" s="2"/>
    </row>
    <row r="1266" spans="1:3" x14ac:dyDescent="0.25">
      <c r="A1266" s="2"/>
      <c r="C1266" s="2"/>
    </row>
    <row r="1267" spans="1:3" x14ac:dyDescent="0.25">
      <c r="A1267" s="2"/>
      <c r="C1267" s="2"/>
    </row>
    <row r="1268" spans="1:3" x14ac:dyDescent="0.25">
      <c r="A1268" s="2"/>
      <c r="C1268" s="2"/>
    </row>
    <row r="1269" spans="1:3" x14ac:dyDescent="0.25">
      <c r="A1269" s="2"/>
      <c r="C1269" s="2"/>
    </row>
    <row r="1270" spans="1:3" x14ac:dyDescent="0.25">
      <c r="A1270" s="2"/>
      <c r="C1270" s="2"/>
    </row>
    <row r="1271" spans="1:3" x14ac:dyDescent="0.25">
      <c r="A1271" s="2"/>
      <c r="C1271" s="2"/>
    </row>
    <row r="1272" spans="1:3" x14ac:dyDescent="0.25">
      <c r="A1272" s="2"/>
      <c r="C1272" s="2"/>
    </row>
    <row r="1273" spans="1:3" x14ac:dyDescent="0.25">
      <c r="A1273" s="2"/>
      <c r="C1273" s="2"/>
    </row>
    <row r="1274" spans="1:3" x14ac:dyDescent="0.25">
      <c r="A1274" s="2"/>
      <c r="C1274" s="2"/>
    </row>
    <row r="1275" spans="1:3" x14ac:dyDescent="0.25">
      <c r="A1275" s="2"/>
      <c r="C1275" s="2"/>
    </row>
    <row r="1276" spans="1:3" x14ac:dyDescent="0.25">
      <c r="A1276" s="2"/>
      <c r="C1276" s="2"/>
    </row>
    <row r="1277" spans="1:3" x14ac:dyDescent="0.25">
      <c r="A1277" s="2"/>
      <c r="C1277" s="2"/>
    </row>
    <row r="1278" spans="1:3" x14ac:dyDescent="0.25">
      <c r="A1278" s="2"/>
      <c r="C1278" s="2"/>
    </row>
    <row r="1279" spans="1:3" x14ac:dyDescent="0.25">
      <c r="A1279" s="2"/>
      <c r="C1279" s="2"/>
    </row>
    <row r="1280" spans="1:3" x14ac:dyDescent="0.25">
      <c r="A1280" s="2"/>
      <c r="C1280" s="2"/>
    </row>
    <row r="1281" spans="1:3" x14ac:dyDescent="0.25">
      <c r="A1281" s="2"/>
      <c r="C1281" s="2"/>
    </row>
    <row r="1282" spans="1:3" x14ac:dyDescent="0.25">
      <c r="A1282" s="2"/>
      <c r="C1282" s="2"/>
    </row>
    <row r="1283" spans="1:3" x14ac:dyDescent="0.25">
      <c r="A1283" s="2"/>
      <c r="C1283" s="2"/>
    </row>
    <row r="1284" spans="1:3" x14ac:dyDescent="0.25">
      <c r="A1284" s="2"/>
      <c r="C1284" s="2"/>
    </row>
    <row r="1285" spans="1:3" x14ac:dyDescent="0.25">
      <c r="A1285" s="2"/>
      <c r="C1285" s="2"/>
    </row>
    <row r="1286" spans="1:3" x14ac:dyDescent="0.25">
      <c r="A1286" s="2"/>
      <c r="C1286" s="2"/>
    </row>
    <row r="1287" spans="1:3" x14ac:dyDescent="0.25">
      <c r="A1287" s="2"/>
      <c r="C1287" s="2"/>
    </row>
    <row r="1288" spans="1:3" x14ac:dyDescent="0.25">
      <c r="A1288" s="2"/>
      <c r="C1288" s="2"/>
    </row>
    <row r="1289" spans="1:3" x14ac:dyDescent="0.25">
      <c r="A1289" s="2"/>
      <c r="C1289" s="2"/>
    </row>
    <row r="1290" spans="1:3" x14ac:dyDescent="0.25">
      <c r="A1290" s="2"/>
      <c r="C1290" s="2"/>
    </row>
    <row r="1291" spans="1:3" x14ac:dyDescent="0.25">
      <c r="A1291" s="2"/>
      <c r="C1291" s="2"/>
    </row>
    <row r="1292" spans="1:3" x14ac:dyDescent="0.25">
      <c r="A1292" s="2"/>
      <c r="C1292" s="2"/>
    </row>
    <row r="1293" spans="1:3" x14ac:dyDescent="0.25">
      <c r="A1293" s="2"/>
      <c r="C1293" s="2"/>
    </row>
    <row r="1294" spans="1:3" x14ac:dyDescent="0.25">
      <c r="A1294" s="2"/>
      <c r="C1294" s="2"/>
    </row>
    <row r="1295" spans="1:3" x14ac:dyDescent="0.25">
      <c r="A1295" s="2"/>
      <c r="C1295" s="2"/>
    </row>
    <row r="1296" spans="1:3" x14ac:dyDescent="0.25">
      <c r="A1296" s="2"/>
      <c r="C1296" s="2"/>
    </row>
    <row r="1297" spans="1:3" x14ac:dyDescent="0.25">
      <c r="A1297" s="2"/>
      <c r="C1297" s="2"/>
    </row>
    <row r="1298" spans="1:3" x14ac:dyDescent="0.25">
      <c r="A1298" s="2"/>
      <c r="C1298" s="2"/>
    </row>
    <row r="1299" spans="1:3" x14ac:dyDescent="0.25">
      <c r="A1299" s="2"/>
      <c r="C1299" s="2"/>
    </row>
    <row r="1300" spans="1:3" x14ac:dyDescent="0.25">
      <c r="A1300" s="2"/>
      <c r="C1300" s="2"/>
    </row>
    <row r="1301" spans="1:3" x14ac:dyDescent="0.25">
      <c r="A1301" s="2"/>
      <c r="C1301" s="2"/>
    </row>
    <row r="1302" spans="1:3" x14ac:dyDescent="0.25">
      <c r="A1302" s="2"/>
      <c r="C1302" s="2"/>
    </row>
    <row r="1303" spans="1:3" x14ac:dyDescent="0.25">
      <c r="A1303" s="2"/>
      <c r="C1303" s="2"/>
    </row>
    <row r="1304" spans="1:3" x14ac:dyDescent="0.25">
      <c r="A1304" s="2"/>
      <c r="C1304" s="2"/>
    </row>
    <row r="1305" spans="1:3" x14ac:dyDescent="0.25">
      <c r="A1305" s="2"/>
      <c r="C1305" s="2"/>
    </row>
    <row r="1306" spans="1:3" x14ac:dyDescent="0.25">
      <c r="A1306" s="2"/>
      <c r="C1306" s="2"/>
    </row>
    <row r="1307" spans="1:3" x14ac:dyDescent="0.25">
      <c r="A1307" s="2"/>
      <c r="C1307" s="2"/>
    </row>
    <row r="1308" spans="1:3" x14ac:dyDescent="0.25">
      <c r="A1308" s="2"/>
      <c r="C1308" s="2"/>
    </row>
    <row r="1309" spans="1:3" x14ac:dyDescent="0.25">
      <c r="A1309" s="2"/>
      <c r="C1309" s="2"/>
    </row>
    <row r="1310" spans="1:3" x14ac:dyDescent="0.25">
      <c r="A1310" s="2"/>
      <c r="C1310" s="2"/>
    </row>
    <row r="1311" spans="1:3" x14ac:dyDescent="0.25">
      <c r="A1311" s="2"/>
      <c r="C1311" s="2"/>
    </row>
    <row r="1312" spans="1:3" x14ac:dyDescent="0.25">
      <c r="A1312" s="2"/>
      <c r="C1312" s="2"/>
    </row>
    <row r="1313" spans="1:3" x14ac:dyDescent="0.25">
      <c r="A1313" s="2"/>
      <c r="C1313" s="2"/>
    </row>
    <row r="1314" spans="1:3" x14ac:dyDescent="0.25">
      <c r="A1314" s="2"/>
      <c r="C1314" s="2"/>
    </row>
    <row r="1315" spans="1:3" x14ac:dyDescent="0.25">
      <c r="A1315" s="2"/>
      <c r="C1315" s="2"/>
    </row>
    <row r="1316" spans="1:3" x14ac:dyDescent="0.25">
      <c r="A1316" s="2"/>
      <c r="C1316" s="2"/>
    </row>
    <row r="1317" spans="1:3" x14ac:dyDescent="0.25">
      <c r="A1317" s="2"/>
      <c r="C1317" s="2"/>
    </row>
    <row r="1318" spans="1:3" x14ac:dyDescent="0.25">
      <c r="A1318" s="2"/>
      <c r="C1318" s="2"/>
    </row>
    <row r="1319" spans="1:3" x14ac:dyDescent="0.25">
      <c r="A1319" s="2"/>
      <c r="C1319" s="2"/>
    </row>
    <row r="1320" spans="1:3" x14ac:dyDescent="0.25">
      <c r="A1320" s="2"/>
      <c r="C1320" s="2"/>
    </row>
    <row r="1321" spans="1:3" x14ac:dyDescent="0.25">
      <c r="A1321" s="2"/>
      <c r="C1321" s="2"/>
    </row>
    <row r="1322" spans="1:3" x14ac:dyDescent="0.25">
      <c r="A1322" s="2"/>
      <c r="C1322" s="2"/>
    </row>
    <row r="1323" spans="1:3" x14ac:dyDescent="0.25">
      <c r="A1323" s="2"/>
      <c r="C1323" s="2"/>
    </row>
    <row r="1324" spans="1:3" x14ac:dyDescent="0.25">
      <c r="A1324" s="2"/>
      <c r="C1324" s="2"/>
    </row>
    <row r="1325" spans="1:3" x14ac:dyDescent="0.25">
      <c r="A1325" s="2"/>
      <c r="C1325" s="2"/>
    </row>
    <row r="1326" spans="1:3" x14ac:dyDescent="0.25">
      <c r="A1326" s="2"/>
      <c r="C1326" s="2"/>
    </row>
    <row r="1327" spans="1:3" x14ac:dyDescent="0.25">
      <c r="A1327" s="2"/>
      <c r="C1327" s="2"/>
    </row>
    <row r="1328" spans="1:3" x14ac:dyDescent="0.25">
      <c r="A1328" s="2"/>
      <c r="C1328" s="2"/>
    </row>
    <row r="1329" spans="1:3" x14ac:dyDescent="0.25">
      <c r="A1329" s="2"/>
      <c r="C1329" s="2"/>
    </row>
    <row r="1330" spans="1:3" x14ac:dyDescent="0.25">
      <c r="A1330" s="2"/>
      <c r="C1330" s="2"/>
    </row>
    <row r="1331" spans="1:3" x14ac:dyDescent="0.25">
      <c r="A1331" s="2"/>
      <c r="C1331" s="2"/>
    </row>
    <row r="1332" spans="1:3" x14ac:dyDescent="0.25">
      <c r="A1332" s="2"/>
      <c r="C1332" s="2"/>
    </row>
    <row r="1333" spans="1:3" x14ac:dyDescent="0.25">
      <c r="A1333" s="2"/>
      <c r="C1333" s="2"/>
    </row>
    <row r="1334" spans="1:3" x14ac:dyDescent="0.25">
      <c r="A1334" s="2"/>
      <c r="C1334" s="2"/>
    </row>
    <row r="1335" spans="1:3" x14ac:dyDescent="0.25">
      <c r="A1335" s="2"/>
      <c r="C1335" s="2"/>
    </row>
    <row r="1336" spans="1:3" x14ac:dyDescent="0.25">
      <c r="A1336" s="2"/>
      <c r="C1336" s="2"/>
    </row>
    <row r="1337" spans="1:3" x14ac:dyDescent="0.25">
      <c r="A1337" s="2"/>
      <c r="C1337" s="2"/>
    </row>
    <row r="1338" spans="1:3" x14ac:dyDescent="0.25">
      <c r="A1338" s="2"/>
      <c r="C1338" s="2"/>
    </row>
    <row r="1339" spans="1:3" x14ac:dyDescent="0.25">
      <c r="A1339" s="2"/>
      <c r="C1339" s="2"/>
    </row>
    <row r="1340" spans="1:3" x14ac:dyDescent="0.25">
      <c r="A1340" s="2"/>
      <c r="C1340" s="2"/>
    </row>
    <row r="1341" spans="1:3" x14ac:dyDescent="0.25">
      <c r="A1341" s="2"/>
      <c r="C1341" s="2"/>
    </row>
    <row r="1342" spans="1:3" x14ac:dyDescent="0.25">
      <c r="A1342" s="2"/>
      <c r="C1342" s="2"/>
    </row>
    <row r="1343" spans="1:3" x14ac:dyDescent="0.25">
      <c r="A1343" s="2"/>
      <c r="C1343" s="2"/>
    </row>
    <row r="1344" spans="1:3" x14ac:dyDescent="0.25">
      <c r="A1344" s="2"/>
      <c r="C1344" s="2"/>
    </row>
    <row r="1345" spans="1:3" x14ac:dyDescent="0.25">
      <c r="A1345" s="2"/>
      <c r="C1345" s="2"/>
    </row>
    <row r="1346" spans="1:3" x14ac:dyDescent="0.25">
      <c r="A1346" s="2"/>
      <c r="C1346" s="2"/>
    </row>
    <row r="1347" spans="1:3" x14ac:dyDescent="0.25">
      <c r="A1347" s="2"/>
      <c r="C1347" s="2"/>
    </row>
    <row r="1348" spans="1:3" x14ac:dyDescent="0.25">
      <c r="A1348" s="2"/>
      <c r="C1348" s="2"/>
    </row>
    <row r="1349" spans="1:3" x14ac:dyDescent="0.25">
      <c r="A1349" s="2"/>
      <c r="C1349" s="2"/>
    </row>
    <row r="1350" spans="1:3" x14ac:dyDescent="0.25">
      <c r="A1350" s="2"/>
      <c r="C1350" s="2"/>
    </row>
    <row r="1351" spans="1:3" x14ac:dyDescent="0.25">
      <c r="A1351" s="2"/>
      <c r="C1351" s="2"/>
    </row>
    <row r="1352" spans="1:3" x14ac:dyDescent="0.25">
      <c r="A1352" s="2"/>
      <c r="C1352" s="2"/>
    </row>
    <row r="1353" spans="1:3" x14ac:dyDescent="0.25">
      <c r="A1353" s="2"/>
      <c r="C1353" s="2"/>
    </row>
    <row r="1354" spans="1:3" x14ac:dyDescent="0.25">
      <c r="A1354" s="2"/>
      <c r="C1354" s="2"/>
    </row>
    <row r="1355" spans="1:3" x14ac:dyDescent="0.25">
      <c r="A1355" s="2"/>
      <c r="C1355" s="2"/>
    </row>
    <row r="1356" spans="1:3" x14ac:dyDescent="0.25">
      <c r="A1356" s="2"/>
      <c r="C1356" s="2"/>
    </row>
    <row r="1357" spans="1:3" x14ac:dyDescent="0.25">
      <c r="A1357" s="2"/>
      <c r="C1357" s="2"/>
    </row>
    <row r="1358" spans="1:3" x14ac:dyDescent="0.25">
      <c r="A1358" s="2"/>
      <c r="C1358" s="2"/>
    </row>
    <row r="1359" spans="1:3" x14ac:dyDescent="0.25">
      <c r="A1359" s="2"/>
      <c r="C1359" s="2"/>
    </row>
    <row r="1360" spans="1:3" x14ac:dyDescent="0.25">
      <c r="A1360" s="2"/>
      <c r="C1360" s="2"/>
    </row>
    <row r="1361" spans="1:3" x14ac:dyDescent="0.25">
      <c r="A1361" s="2"/>
      <c r="C1361" s="2"/>
    </row>
    <row r="1362" spans="1:3" x14ac:dyDescent="0.25">
      <c r="A1362" s="2"/>
      <c r="C1362" s="2"/>
    </row>
    <row r="1363" spans="1:3" x14ac:dyDescent="0.25">
      <c r="A1363" s="2"/>
      <c r="C1363" s="2"/>
    </row>
    <row r="1364" spans="1:3" x14ac:dyDescent="0.25">
      <c r="A1364" s="2"/>
      <c r="C1364" s="2"/>
    </row>
    <row r="1365" spans="1:3" x14ac:dyDescent="0.25">
      <c r="A1365" s="2"/>
      <c r="C1365" s="2"/>
    </row>
    <row r="1366" spans="1:3" x14ac:dyDescent="0.25">
      <c r="A1366" s="2"/>
      <c r="C1366" s="2"/>
    </row>
    <row r="1367" spans="1:3" x14ac:dyDescent="0.25">
      <c r="A1367" s="2"/>
      <c r="C1367" s="2"/>
    </row>
    <row r="1368" spans="1:3" x14ac:dyDescent="0.25">
      <c r="A1368" s="2"/>
      <c r="C1368" s="2"/>
    </row>
    <row r="1369" spans="1:3" x14ac:dyDescent="0.25">
      <c r="A1369" s="2"/>
      <c r="C1369" s="2"/>
    </row>
    <row r="1370" spans="1:3" x14ac:dyDescent="0.25">
      <c r="A1370" s="2"/>
      <c r="C1370" s="2"/>
    </row>
    <row r="1371" spans="1:3" x14ac:dyDescent="0.25">
      <c r="A1371" s="2"/>
      <c r="C1371" s="2"/>
    </row>
    <row r="1372" spans="1:3" x14ac:dyDescent="0.25">
      <c r="A1372" s="2"/>
      <c r="C1372" s="2"/>
    </row>
    <row r="1373" spans="1:3" x14ac:dyDescent="0.25">
      <c r="A1373" s="2"/>
      <c r="C1373" s="2"/>
    </row>
    <row r="1374" spans="1:3" x14ac:dyDescent="0.25">
      <c r="A1374" s="2"/>
      <c r="C1374" s="2"/>
    </row>
    <row r="1375" spans="1:3" x14ac:dyDescent="0.25">
      <c r="A1375" s="2"/>
      <c r="C1375" s="2"/>
    </row>
    <row r="1376" spans="1:3" x14ac:dyDescent="0.25">
      <c r="A1376" s="2"/>
      <c r="C1376" s="2"/>
    </row>
    <row r="1377" spans="1:3" x14ac:dyDescent="0.25">
      <c r="A1377" s="2"/>
      <c r="C1377" s="2"/>
    </row>
    <row r="1378" spans="1:3" x14ac:dyDescent="0.25">
      <c r="A1378" s="2"/>
      <c r="C1378" s="2"/>
    </row>
    <row r="1379" spans="1:3" x14ac:dyDescent="0.25">
      <c r="A1379" s="2"/>
      <c r="C1379" s="2"/>
    </row>
    <row r="1380" spans="1:3" x14ac:dyDescent="0.25">
      <c r="A1380" s="2"/>
      <c r="C1380" s="2"/>
    </row>
    <row r="1381" spans="1:3" x14ac:dyDescent="0.25">
      <c r="A1381" s="2"/>
      <c r="C1381" s="2"/>
    </row>
    <row r="1382" spans="1:3" x14ac:dyDescent="0.25">
      <c r="A1382" s="2"/>
      <c r="C1382" s="2"/>
    </row>
    <row r="1383" spans="1:3" x14ac:dyDescent="0.25">
      <c r="A1383" s="2"/>
      <c r="C1383" s="2"/>
    </row>
    <row r="1384" spans="1:3" x14ac:dyDescent="0.25">
      <c r="A1384" s="2"/>
      <c r="C1384" s="2"/>
    </row>
    <row r="1385" spans="1:3" x14ac:dyDescent="0.25">
      <c r="A1385" s="2"/>
      <c r="C1385" s="2"/>
    </row>
    <row r="1386" spans="1:3" x14ac:dyDescent="0.25">
      <c r="A1386" s="2"/>
      <c r="C1386" s="2"/>
    </row>
    <row r="1387" spans="1:3" x14ac:dyDescent="0.25">
      <c r="A1387" s="2"/>
      <c r="C1387" s="2"/>
    </row>
    <row r="1388" spans="1:3" x14ac:dyDescent="0.25">
      <c r="A1388" s="2"/>
      <c r="C1388" s="2"/>
    </row>
    <row r="1389" spans="1:3" x14ac:dyDescent="0.25">
      <c r="A1389" s="2"/>
      <c r="C1389" s="2"/>
    </row>
    <row r="1390" spans="1:3" x14ac:dyDescent="0.25">
      <c r="A1390" s="2"/>
      <c r="C1390" s="2"/>
    </row>
    <row r="1391" spans="1:3" x14ac:dyDescent="0.25">
      <c r="A1391" s="2"/>
      <c r="C1391" s="2"/>
    </row>
    <row r="1392" spans="1:3" x14ac:dyDescent="0.25">
      <c r="A1392" s="2"/>
      <c r="C1392" s="2"/>
    </row>
    <row r="1393" spans="1:3" x14ac:dyDescent="0.25">
      <c r="A1393" s="2"/>
      <c r="C1393" s="2"/>
    </row>
    <row r="1394" spans="1:3" x14ac:dyDescent="0.25">
      <c r="A1394" s="2"/>
      <c r="C1394" s="2"/>
    </row>
    <row r="1395" spans="1:3" x14ac:dyDescent="0.25">
      <c r="A1395" s="2"/>
      <c r="C1395" s="2"/>
    </row>
    <row r="1396" spans="1:3" x14ac:dyDescent="0.25">
      <c r="A1396" s="2"/>
      <c r="C1396" s="2"/>
    </row>
    <row r="1397" spans="1:3" x14ac:dyDescent="0.25">
      <c r="A1397" s="2"/>
      <c r="C1397" s="2"/>
    </row>
    <row r="1398" spans="1:3" x14ac:dyDescent="0.25">
      <c r="A1398" s="2"/>
      <c r="C1398" s="2"/>
    </row>
    <row r="1399" spans="1:3" x14ac:dyDescent="0.25">
      <c r="A1399" s="2"/>
      <c r="C1399" s="2"/>
    </row>
    <row r="1400" spans="1:3" x14ac:dyDescent="0.25">
      <c r="A1400" s="2"/>
      <c r="C1400" s="2"/>
    </row>
    <row r="1401" spans="1:3" x14ac:dyDescent="0.25">
      <c r="A1401" s="2"/>
      <c r="C1401" s="2"/>
    </row>
    <row r="1402" spans="1:3" x14ac:dyDescent="0.25">
      <c r="A1402" s="2"/>
      <c r="C1402" s="2"/>
    </row>
    <row r="1403" spans="1:3" x14ac:dyDescent="0.25">
      <c r="A1403" s="2"/>
      <c r="C1403" s="2"/>
    </row>
    <row r="1404" spans="1:3" x14ac:dyDescent="0.25">
      <c r="A1404" s="2"/>
      <c r="C1404" s="2"/>
    </row>
    <row r="1405" spans="1:3" x14ac:dyDescent="0.25">
      <c r="A1405" s="2"/>
      <c r="C1405" s="2"/>
    </row>
    <row r="1406" spans="1:3" x14ac:dyDescent="0.25">
      <c r="A1406" s="2"/>
      <c r="C1406" s="2"/>
    </row>
    <row r="1407" spans="1:3" x14ac:dyDescent="0.25">
      <c r="A1407" s="2"/>
      <c r="C1407" s="2"/>
    </row>
    <row r="1408" spans="1:3" x14ac:dyDescent="0.25">
      <c r="A1408" s="2"/>
      <c r="C1408" s="2"/>
    </row>
    <row r="1409" spans="1:3" x14ac:dyDescent="0.25">
      <c r="A1409" s="2"/>
      <c r="C1409" s="2"/>
    </row>
    <row r="1410" spans="1:3" x14ac:dyDescent="0.25">
      <c r="A1410" s="2"/>
      <c r="C1410" s="2"/>
    </row>
    <row r="1411" spans="1:3" x14ac:dyDescent="0.25">
      <c r="A1411" s="2"/>
      <c r="C1411" s="2"/>
    </row>
    <row r="1412" spans="1:3" x14ac:dyDescent="0.25">
      <c r="A1412" s="2"/>
      <c r="C1412" s="2"/>
    </row>
    <row r="1413" spans="1:3" x14ac:dyDescent="0.25">
      <c r="A1413" s="2"/>
      <c r="C1413" s="2"/>
    </row>
    <row r="1414" spans="1:3" x14ac:dyDescent="0.25">
      <c r="A1414" s="2"/>
      <c r="C1414" s="2"/>
    </row>
    <row r="1415" spans="1:3" x14ac:dyDescent="0.25">
      <c r="A1415" s="2"/>
      <c r="C1415" s="2"/>
    </row>
    <row r="1416" spans="1:3" x14ac:dyDescent="0.25">
      <c r="A1416" s="2"/>
      <c r="C1416" s="2"/>
    </row>
    <row r="1417" spans="1:3" x14ac:dyDescent="0.25">
      <c r="A1417" s="2"/>
      <c r="C1417" s="2"/>
    </row>
    <row r="1418" spans="1:3" x14ac:dyDescent="0.25">
      <c r="A1418" s="2"/>
      <c r="C1418" s="2"/>
    </row>
    <row r="1419" spans="1:3" x14ac:dyDescent="0.25">
      <c r="A1419" s="2"/>
      <c r="C1419" s="2"/>
    </row>
    <row r="1420" spans="1:3" x14ac:dyDescent="0.25">
      <c r="A1420" s="2"/>
      <c r="C1420" s="2"/>
    </row>
    <row r="1421" spans="1:3" x14ac:dyDescent="0.25">
      <c r="A1421" s="2"/>
      <c r="C1421" s="2"/>
    </row>
    <row r="1422" spans="1:3" x14ac:dyDescent="0.25">
      <c r="A1422" s="2"/>
      <c r="C1422" s="2"/>
    </row>
    <row r="1423" spans="1:3" x14ac:dyDescent="0.25">
      <c r="A1423" s="2"/>
      <c r="C1423" s="2"/>
    </row>
    <row r="1424" spans="1:3" x14ac:dyDescent="0.25">
      <c r="A1424" s="2"/>
      <c r="C1424" s="2"/>
    </row>
    <row r="1425" spans="1:3" x14ac:dyDescent="0.25">
      <c r="A1425" s="2"/>
      <c r="C1425" s="2"/>
    </row>
    <row r="1426" spans="1:3" x14ac:dyDescent="0.25">
      <c r="A1426" s="2"/>
      <c r="C1426" s="2"/>
    </row>
    <row r="1427" spans="1:3" x14ac:dyDescent="0.25">
      <c r="A1427" s="2"/>
      <c r="C1427" s="2"/>
    </row>
    <row r="1428" spans="1:3" x14ac:dyDescent="0.25">
      <c r="A1428" s="2"/>
      <c r="C1428" s="2"/>
    </row>
    <row r="1429" spans="1:3" x14ac:dyDescent="0.25">
      <c r="A1429" s="2"/>
      <c r="C1429" s="2"/>
    </row>
    <row r="1430" spans="1:3" x14ac:dyDescent="0.25">
      <c r="A1430" s="2"/>
      <c r="C1430" s="2"/>
    </row>
    <row r="1431" spans="1:3" x14ac:dyDescent="0.25">
      <c r="A1431" s="2"/>
      <c r="C1431" s="2"/>
    </row>
    <row r="1432" spans="1:3" x14ac:dyDescent="0.25">
      <c r="A1432" s="2"/>
      <c r="C1432" s="2"/>
    </row>
    <row r="1433" spans="1:3" x14ac:dyDescent="0.25">
      <c r="A1433" s="2"/>
      <c r="C1433" s="2"/>
    </row>
    <row r="1434" spans="1:3" x14ac:dyDescent="0.25">
      <c r="A1434" s="2"/>
      <c r="C1434" s="2"/>
    </row>
    <row r="1435" spans="1:3" x14ac:dyDescent="0.25">
      <c r="A1435" s="2"/>
      <c r="C1435" s="2"/>
    </row>
    <row r="1436" spans="1:3" x14ac:dyDescent="0.25">
      <c r="A1436" s="2"/>
      <c r="C1436" s="2"/>
    </row>
    <row r="1437" spans="1:3" x14ac:dyDescent="0.25">
      <c r="A1437" s="2"/>
      <c r="C1437" s="2"/>
    </row>
    <row r="1438" spans="1:3" x14ac:dyDescent="0.25">
      <c r="A1438" s="2"/>
      <c r="C1438" s="2"/>
    </row>
    <row r="1439" spans="1:3" x14ac:dyDescent="0.25">
      <c r="A1439" s="2"/>
      <c r="C1439" s="2"/>
    </row>
    <row r="1440" spans="1:3" x14ac:dyDescent="0.25">
      <c r="A1440" s="2"/>
      <c r="C1440" s="2"/>
    </row>
    <row r="1441" spans="1:3" x14ac:dyDescent="0.25">
      <c r="A1441" s="2"/>
      <c r="C1441" s="2"/>
    </row>
    <row r="1442" spans="1:3" x14ac:dyDescent="0.25">
      <c r="A1442" s="2"/>
      <c r="C1442" s="2"/>
    </row>
    <row r="1443" spans="1:3" x14ac:dyDescent="0.25">
      <c r="A1443" s="2"/>
      <c r="C1443" s="2"/>
    </row>
    <row r="1444" spans="1:3" x14ac:dyDescent="0.25">
      <c r="A1444" s="2"/>
      <c r="C1444" s="2"/>
    </row>
    <row r="1445" spans="1:3" x14ac:dyDescent="0.25">
      <c r="A1445" s="2"/>
      <c r="C1445" s="2"/>
    </row>
    <row r="1446" spans="1:3" x14ac:dyDescent="0.25">
      <c r="A1446" s="2"/>
      <c r="C1446" s="2"/>
    </row>
    <row r="1447" spans="1:3" x14ac:dyDescent="0.25">
      <c r="A1447" s="2"/>
      <c r="C1447" s="2"/>
    </row>
    <row r="1448" spans="1:3" x14ac:dyDescent="0.25">
      <c r="A1448" s="2"/>
      <c r="C1448" s="2"/>
    </row>
    <row r="1449" spans="1:3" x14ac:dyDescent="0.25">
      <c r="A1449" s="2"/>
      <c r="C1449" s="2"/>
    </row>
    <row r="1450" spans="1:3" x14ac:dyDescent="0.25">
      <c r="A1450" s="2"/>
      <c r="C1450" s="2"/>
    </row>
    <row r="1451" spans="1:3" x14ac:dyDescent="0.25">
      <c r="A1451" s="2"/>
      <c r="C1451" s="2"/>
    </row>
    <row r="1452" spans="1:3" x14ac:dyDescent="0.25">
      <c r="A1452" s="2"/>
      <c r="C1452" s="2"/>
    </row>
    <row r="1453" spans="1:3" x14ac:dyDescent="0.25">
      <c r="A1453" s="2"/>
      <c r="C1453" s="2"/>
    </row>
    <row r="1454" spans="1:3" x14ac:dyDescent="0.25">
      <c r="A1454" s="2"/>
      <c r="C1454" s="2"/>
    </row>
    <row r="1455" spans="1:3" x14ac:dyDescent="0.25">
      <c r="A1455" s="2"/>
      <c r="C1455" s="2"/>
    </row>
    <row r="1456" spans="1:3" x14ac:dyDescent="0.25">
      <c r="A1456" s="2"/>
      <c r="C1456" s="2"/>
    </row>
    <row r="1457" spans="1:3" x14ac:dyDescent="0.25">
      <c r="A1457" s="2"/>
      <c r="C1457" s="2"/>
    </row>
    <row r="1458" spans="1:3" x14ac:dyDescent="0.25">
      <c r="A1458" s="2"/>
      <c r="C1458" s="2"/>
    </row>
    <row r="1459" spans="1:3" x14ac:dyDescent="0.25">
      <c r="A1459" s="2"/>
      <c r="C1459" s="2"/>
    </row>
    <row r="1460" spans="1:3" x14ac:dyDescent="0.25">
      <c r="A1460" s="2"/>
      <c r="C1460" s="2"/>
    </row>
    <row r="1461" spans="1:3" x14ac:dyDescent="0.25">
      <c r="A1461" s="2"/>
      <c r="C1461" s="2"/>
    </row>
    <row r="1462" spans="1:3" x14ac:dyDescent="0.25">
      <c r="A1462" s="2"/>
      <c r="C1462" s="2"/>
    </row>
    <row r="1463" spans="1:3" x14ac:dyDescent="0.25">
      <c r="A1463" s="2"/>
      <c r="C1463" s="2"/>
    </row>
    <row r="1464" spans="1:3" x14ac:dyDescent="0.25">
      <c r="A1464" s="2"/>
      <c r="C1464" s="2"/>
    </row>
    <row r="1465" spans="1:3" x14ac:dyDescent="0.25">
      <c r="A1465" s="2"/>
      <c r="C1465" s="2"/>
    </row>
    <row r="1466" spans="1:3" x14ac:dyDescent="0.25">
      <c r="A1466" s="2"/>
      <c r="C1466" s="2"/>
    </row>
    <row r="1467" spans="1:3" x14ac:dyDescent="0.25">
      <c r="A1467" s="2"/>
      <c r="C1467" s="2"/>
    </row>
    <row r="1468" spans="1:3" x14ac:dyDescent="0.25">
      <c r="A1468" s="2"/>
      <c r="C1468" s="2"/>
    </row>
    <row r="1469" spans="1:3" x14ac:dyDescent="0.25">
      <c r="A1469" s="2"/>
      <c r="C1469" s="2"/>
    </row>
    <row r="1470" spans="1:3" x14ac:dyDescent="0.25">
      <c r="A1470" s="2"/>
      <c r="C1470" s="2"/>
    </row>
    <row r="1471" spans="1:3" x14ac:dyDescent="0.25">
      <c r="A1471" s="2"/>
      <c r="C1471" s="2"/>
    </row>
    <row r="1472" spans="1:3" x14ac:dyDescent="0.25">
      <c r="A1472" s="2"/>
      <c r="C1472" s="2"/>
    </row>
    <row r="1473" spans="1:3" x14ac:dyDescent="0.25">
      <c r="A1473" s="2"/>
      <c r="C1473" s="2"/>
    </row>
    <row r="1474" spans="1:3" x14ac:dyDescent="0.25">
      <c r="A1474" s="2"/>
      <c r="C1474" s="2"/>
    </row>
    <row r="1475" spans="1:3" x14ac:dyDescent="0.25">
      <c r="A1475" s="2"/>
      <c r="C1475" s="2"/>
    </row>
    <row r="1476" spans="1:3" x14ac:dyDescent="0.25">
      <c r="A1476" s="2"/>
      <c r="C1476" s="2"/>
    </row>
    <row r="1477" spans="1:3" x14ac:dyDescent="0.25">
      <c r="A1477" s="2"/>
      <c r="C1477" s="2"/>
    </row>
    <row r="1478" spans="1:3" x14ac:dyDescent="0.25">
      <c r="A1478" s="2"/>
      <c r="C1478" s="2"/>
    </row>
    <row r="1479" spans="1:3" x14ac:dyDescent="0.25">
      <c r="A1479" s="2"/>
      <c r="C1479" s="2"/>
    </row>
    <row r="1480" spans="1:3" x14ac:dyDescent="0.25">
      <c r="A1480" s="2"/>
      <c r="C1480" s="2"/>
    </row>
    <row r="1481" spans="1:3" x14ac:dyDescent="0.25">
      <c r="A1481" s="2"/>
      <c r="C1481" s="2"/>
    </row>
    <row r="1482" spans="1:3" x14ac:dyDescent="0.25">
      <c r="A1482" s="2"/>
      <c r="C1482" s="2"/>
    </row>
    <row r="1483" spans="1:3" x14ac:dyDescent="0.25">
      <c r="A1483" s="2"/>
      <c r="C1483" s="2"/>
    </row>
    <row r="1484" spans="1:3" x14ac:dyDescent="0.25">
      <c r="A1484" s="2"/>
      <c r="C1484" s="2"/>
    </row>
    <row r="1485" spans="1:3" x14ac:dyDescent="0.25">
      <c r="A1485" s="2"/>
      <c r="C1485" s="2"/>
    </row>
    <row r="1486" spans="1:3" x14ac:dyDescent="0.25">
      <c r="A1486" s="2"/>
      <c r="C1486" s="2"/>
    </row>
    <row r="1487" spans="1:3" x14ac:dyDescent="0.25">
      <c r="A1487" s="2"/>
      <c r="C1487" s="2"/>
    </row>
    <row r="1488" spans="1:3" x14ac:dyDescent="0.25">
      <c r="A1488" s="2"/>
      <c r="C1488" s="2"/>
    </row>
    <row r="1489" spans="1:3" x14ac:dyDescent="0.25">
      <c r="A1489" s="2"/>
      <c r="C1489" s="2"/>
    </row>
    <row r="1490" spans="1:3" x14ac:dyDescent="0.25">
      <c r="A1490" s="2"/>
      <c r="C1490" s="2"/>
    </row>
    <row r="1491" spans="1:3" x14ac:dyDescent="0.25">
      <c r="A1491" s="2"/>
      <c r="C1491" s="2"/>
    </row>
    <row r="1492" spans="1:3" x14ac:dyDescent="0.25">
      <c r="A1492" s="2"/>
      <c r="C1492" s="2"/>
    </row>
    <row r="1493" spans="1:3" x14ac:dyDescent="0.25">
      <c r="A1493" s="2"/>
      <c r="C1493" s="2"/>
    </row>
    <row r="1494" spans="1:3" x14ac:dyDescent="0.25">
      <c r="A1494" s="2"/>
      <c r="C1494" s="2"/>
    </row>
    <row r="1495" spans="1:3" x14ac:dyDescent="0.25">
      <c r="A1495" s="2"/>
      <c r="C1495" s="2"/>
    </row>
    <row r="1496" spans="1:3" x14ac:dyDescent="0.25">
      <c r="A1496" s="2"/>
      <c r="C1496" s="2"/>
    </row>
    <row r="1497" spans="1:3" x14ac:dyDescent="0.25">
      <c r="A1497" s="2"/>
      <c r="C1497" s="2"/>
    </row>
    <row r="1498" spans="1:3" x14ac:dyDescent="0.25">
      <c r="A1498" s="2"/>
      <c r="C1498" s="2"/>
    </row>
    <row r="1499" spans="1:3" x14ac:dyDescent="0.25">
      <c r="A1499" s="2"/>
      <c r="C1499" s="2"/>
    </row>
    <row r="1500" spans="1:3" x14ac:dyDescent="0.25">
      <c r="A1500" s="2"/>
      <c r="C1500" s="2"/>
    </row>
    <row r="1501" spans="1:3" x14ac:dyDescent="0.25">
      <c r="A1501" s="2"/>
      <c r="C1501" s="2"/>
    </row>
    <row r="1502" spans="1:3" x14ac:dyDescent="0.25">
      <c r="A1502" s="2"/>
      <c r="C1502" s="2"/>
    </row>
    <row r="1503" spans="1:3" x14ac:dyDescent="0.25">
      <c r="A1503" s="2"/>
      <c r="C1503" s="2"/>
    </row>
    <row r="1504" spans="1:3" x14ac:dyDescent="0.25">
      <c r="A1504" s="2"/>
      <c r="C1504" s="2"/>
    </row>
    <row r="1505" spans="1:3" x14ac:dyDescent="0.25">
      <c r="A1505" s="2"/>
      <c r="C1505" s="2"/>
    </row>
    <row r="1506" spans="1:3" x14ac:dyDescent="0.25">
      <c r="A1506" s="2"/>
      <c r="C1506" s="2"/>
    </row>
    <row r="1507" spans="1:3" x14ac:dyDescent="0.25">
      <c r="A1507" s="2"/>
      <c r="C1507" s="2"/>
    </row>
    <row r="1508" spans="1:3" x14ac:dyDescent="0.25">
      <c r="A1508" s="2"/>
      <c r="C1508" s="2"/>
    </row>
    <row r="1509" spans="1:3" x14ac:dyDescent="0.25">
      <c r="A1509" s="2"/>
      <c r="C1509" s="2"/>
    </row>
    <row r="1510" spans="1:3" x14ac:dyDescent="0.25">
      <c r="A1510" s="2"/>
      <c r="C1510" s="2"/>
    </row>
    <row r="1511" spans="1:3" x14ac:dyDescent="0.25">
      <c r="A1511" s="2"/>
      <c r="C1511" s="2"/>
    </row>
    <row r="1512" spans="1:3" x14ac:dyDescent="0.25">
      <c r="A1512" s="2"/>
      <c r="C1512" s="2"/>
    </row>
    <row r="1513" spans="1:3" x14ac:dyDescent="0.25">
      <c r="A1513" s="2"/>
      <c r="C1513" s="2"/>
    </row>
    <row r="1514" spans="1:3" x14ac:dyDescent="0.25">
      <c r="A1514" s="2"/>
      <c r="C1514" s="2"/>
    </row>
    <row r="1515" spans="1:3" x14ac:dyDescent="0.25">
      <c r="A1515" s="2"/>
      <c r="C1515" s="2"/>
    </row>
    <row r="1516" spans="1:3" x14ac:dyDescent="0.25">
      <c r="A1516" s="2"/>
      <c r="C1516" s="2"/>
    </row>
    <row r="1517" spans="1:3" x14ac:dyDescent="0.25">
      <c r="A1517" s="2"/>
      <c r="C1517" s="2"/>
    </row>
    <row r="1518" spans="1:3" x14ac:dyDescent="0.25">
      <c r="A1518" s="2"/>
      <c r="C1518" s="2"/>
    </row>
    <row r="1519" spans="1:3" x14ac:dyDescent="0.25">
      <c r="A1519" s="2"/>
      <c r="C1519" s="2"/>
    </row>
    <row r="1520" spans="1:3" x14ac:dyDescent="0.25">
      <c r="A1520" s="2"/>
      <c r="C1520" s="2"/>
    </row>
    <row r="1521" spans="1:3" x14ac:dyDescent="0.25">
      <c r="A1521" s="2"/>
      <c r="C1521" s="2"/>
    </row>
    <row r="1522" spans="1:3" x14ac:dyDescent="0.25">
      <c r="A1522" s="2"/>
      <c r="C1522" s="2"/>
    </row>
    <row r="1523" spans="1:3" x14ac:dyDescent="0.25">
      <c r="A1523" s="2"/>
      <c r="C1523" s="2"/>
    </row>
    <row r="1524" spans="1:3" x14ac:dyDescent="0.25">
      <c r="A1524" s="2"/>
      <c r="C1524" s="2"/>
    </row>
    <row r="1525" spans="1:3" x14ac:dyDescent="0.25">
      <c r="A1525" s="2"/>
      <c r="C1525" s="2"/>
    </row>
    <row r="1526" spans="1:3" x14ac:dyDescent="0.25">
      <c r="A1526" s="2"/>
      <c r="C1526" s="2"/>
    </row>
    <row r="1527" spans="1:3" x14ac:dyDescent="0.25">
      <c r="A1527" s="2"/>
      <c r="C1527" s="2"/>
    </row>
    <row r="1528" spans="1:3" x14ac:dyDescent="0.25">
      <c r="A1528" s="2"/>
      <c r="C1528" s="2"/>
    </row>
    <row r="1529" spans="1:3" x14ac:dyDescent="0.25">
      <c r="A1529" s="2"/>
      <c r="C1529" s="2"/>
    </row>
    <row r="1530" spans="1:3" x14ac:dyDescent="0.25">
      <c r="A1530" s="2"/>
      <c r="C1530" s="2"/>
    </row>
    <row r="1531" spans="1:3" x14ac:dyDescent="0.25">
      <c r="A1531" s="2"/>
      <c r="C1531" s="2"/>
    </row>
    <row r="1532" spans="1:3" x14ac:dyDescent="0.25">
      <c r="A1532" s="2"/>
      <c r="C1532" s="2"/>
    </row>
    <row r="1533" spans="1:3" x14ac:dyDescent="0.25">
      <c r="A1533" s="2"/>
      <c r="C1533" s="2"/>
    </row>
    <row r="1534" spans="1:3" x14ac:dyDescent="0.25">
      <c r="A1534" s="2"/>
      <c r="C1534" s="2"/>
    </row>
    <row r="1535" spans="1:3" x14ac:dyDescent="0.25">
      <c r="A1535" s="2"/>
      <c r="C1535" s="2"/>
    </row>
    <row r="1536" spans="1:3" x14ac:dyDescent="0.25">
      <c r="A1536" s="2"/>
      <c r="C1536" s="2"/>
    </row>
    <row r="1537" spans="1:3" x14ac:dyDescent="0.25">
      <c r="A1537" s="2"/>
      <c r="C1537" s="2"/>
    </row>
    <row r="1538" spans="1:3" x14ac:dyDescent="0.25">
      <c r="A1538" s="2"/>
      <c r="C1538" s="2"/>
    </row>
    <row r="1539" spans="1:3" x14ac:dyDescent="0.25">
      <c r="A1539" s="2"/>
      <c r="C1539" s="2"/>
    </row>
    <row r="1540" spans="1:3" x14ac:dyDescent="0.25">
      <c r="A1540" s="2"/>
      <c r="C1540" s="2"/>
    </row>
    <row r="1541" spans="1:3" x14ac:dyDescent="0.25">
      <c r="A1541" s="2"/>
      <c r="C1541" s="2"/>
    </row>
    <row r="1542" spans="1:3" x14ac:dyDescent="0.25">
      <c r="A1542" s="2"/>
      <c r="C1542" s="2"/>
    </row>
    <row r="1543" spans="1:3" x14ac:dyDescent="0.25">
      <c r="A1543" s="2"/>
      <c r="C1543" s="2"/>
    </row>
    <row r="1544" spans="1:3" x14ac:dyDescent="0.25">
      <c r="A1544" s="2"/>
      <c r="C1544" s="2"/>
    </row>
    <row r="1545" spans="1:3" x14ac:dyDescent="0.25">
      <c r="A1545" s="2"/>
      <c r="C1545" s="2"/>
    </row>
    <row r="1546" spans="1:3" x14ac:dyDescent="0.25">
      <c r="A1546" s="2"/>
      <c r="C1546" s="2"/>
    </row>
    <row r="1547" spans="1:3" x14ac:dyDescent="0.25">
      <c r="A1547" s="2"/>
      <c r="C1547" s="2"/>
    </row>
    <row r="1548" spans="1:3" x14ac:dyDescent="0.25">
      <c r="A1548" s="2"/>
      <c r="C1548" s="2"/>
    </row>
    <row r="1549" spans="1:3" x14ac:dyDescent="0.25">
      <c r="A1549" s="2"/>
      <c r="C1549" s="2"/>
    </row>
    <row r="1550" spans="1:3" x14ac:dyDescent="0.25">
      <c r="A1550" s="2"/>
      <c r="C1550" s="2"/>
    </row>
    <row r="1551" spans="1:3" x14ac:dyDescent="0.25">
      <c r="A1551" s="2"/>
      <c r="C1551" s="2"/>
    </row>
    <row r="1552" spans="1:3" x14ac:dyDescent="0.25">
      <c r="A1552" s="2"/>
      <c r="C1552" s="2"/>
    </row>
    <row r="1553" spans="1:3" x14ac:dyDescent="0.25">
      <c r="A1553" s="2"/>
      <c r="C1553" s="2"/>
    </row>
    <row r="1554" spans="1:3" x14ac:dyDescent="0.25">
      <c r="A1554" s="2"/>
      <c r="C1554" s="2"/>
    </row>
    <row r="1555" spans="1:3" x14ac:dyDescent="0.25">
      <c r="A1555" s="2"/>
      <c r="C1555" s="2"/>
    </row>
    <row r="1556" spans="1:3" x14ac:dyDescent="0.25">
      <c r="A1556" s="2"/>
      <c r="C1556" s="2"/>
    </row>
    <row r="1557" spans="1:3" x14ac:dyDescent="0.25">
      <c r="A1557" s="2"/>
      <c r="C1557" s="2"/>
    </row>
    <row r="1558" spans="1:3" x14ac:dyDescent="0.25">
      <c r="A1558" s="2"/>
      <c r="C1558" s="2"/>
    </row>
    <row r="1559" spans="1:3" x14ac:dyDescent="0.25">
      <c r="A1559" s="2"/>
      <c r="C1559" s="2"/>
    </row>
    <row r="1560" spans="1:3" x14ac:dyDescent="0.25">
      <c r="A1560" s="2"/>
      <c r="C1560" s="2"/>
    </row>
    <row r="1561" spans="1:3" x14ac:dyDescent="0.25">
      <c r="A1561" s="2"/>
      <c r="C1561" s="2"/>
    </row>
    <row r="1562" spans="1:3" x14ac:dyDescent="0.25">
      <c r="A1562" s="2"/>
      <c r="C1562" s="2"/>
    </row>
    <row r="1563" spans="1:3" x14ac:dyDescent="0.25">
      <c r="A1563" s="2"/>
      <c r="C1563" s="2"/>
    </row>
    <row r="1564" spans="1:3" x14ac:dyDescent="0.25">
      <c r="A1564" s="2"/>
      <c r="C1564" s="2"/>
    </row>
    <row r="1565" spans="1:3" x14ac:dyDescent="0.25">
      <c r="A1565" s="2"/>
      <c r="C1565" s="2"/>
    </row>
    <row r="1566" spans="1:3" x14ac:dyDescent="0.25">
      <c r="A1566" s="2"/>
      <c r="C1566" s="2"/>
    </row>
    <row r="1567" spans="1:3" x14ac:dyDescent="0.25">
      <c r="A1567" s="2"/>
      <c r="C1567" s="2"/>
    </row>
    <row r="1568" spans="1:3" x14ac:dyDescent="0.25">
      <c r="A1568" s="2"/>
      <c r="C1568" s="2"/>
    </row>
    <row r="1569" spans="1:3" x14ac:dyDescent="0.25">
      <c r="A1569" s="2"/>
      <c r="C1569" s="2"/>
    </row>
    <row r="1570" spans="1:3" x14ac:dyDescent="0.25">
      <c r="A1570" s="2"/>
      <c r="C1570" s="2"/>
    </row>
    <row r="1571" spans="1:3" x14ac:dyDescent="0.25">
      <c r="A1571" s="2"/>
      <c r="C1571" s="2"/>
    </row>
    <row r="1572" spans="1:3" x14ac:dyDescent="0.25">
      <c r="A1572" s="2"/>
      <c r="C1572" s="2"/>
    </row>
    <row r="1573" spans="1:3" x14ac:dyDescent="0.25">
      <c r="A1573" s="2"/>
      <c r="C1573" s="2"/>
    </row>
    <row r="1574" spans="1:3" x14ac:dyDescent="0.25">
      <c r="A1574" s="2"/>
      <c r="C1574" s="2"/>
    </row>
    <row r="1575" spans="1:3" x14ac:dyDescent="0.25">
      <c r="A1575" s="2"/>
      <c r="C1575" s="2"/>
    </row>
    <row r="1576" spans="1:3" x14ac:dyDescent="0.25">
      <c r="A1576" s="2"/>
      <c r="C1576" s="2"/>
    </row>
    <row r="1577" spans="1:3" x14ac:dyDescent="0.25">
      <c r="A1577" s="2"/>
      <c r="C1577" s="2"/>
    </row>
    <row r="1578" spans="1:3" x14ac:dyDescent="0.25">
      <c r="A1578" s="2"/>
      <c r="C1578" s="2"/>
    </row>
    <row r="1579" spans="1:3" x14ac:dyDescent="0.25">
      <c r="A1579" s="2"/>
      <c r="C1579" s="2"/>
    </row>
    <row r="1580" spans="1:3" x14ac:dyDescent="0.25">
      <c r="A1580" s="2"/>
      <c r="C1580" s="2"/>
    </row>
    <row r="1581" spans="1:3" x14ac:dyDescent="0.25">
      <c r="A1581" s="2"/>
      <c r="C1581" s="2"/>
    </row>
    <row r="1582" spans="1:3" x14ac:dyDescent="0.25">
      <c r="A1582" s="2"/>
      <c r="C1582" s="2"/>
    </row>
    <row r="1583" spans="1:3" x14ac:dyDescent="0.25">
      <c r="A1583" s="2"/>
      <c r="C1583" s="2"/>
    </row>
    <row r="1584" spans="1:3" x14ac:dyDescent="0.25">
      <c r="A1584" s="2"/>
      <c r="C1584" s="2"/>
    </row>
    <row r="1585" spans="1:3" x14ac:dyDescent="0.25">
      <c r="A1585" s="2"/>
      <c r="C1585" s="2"/>
    </row>
    <row r="1586" spans="1:3" x14ac:dyDescent="0.25">
      <c r="A1586" s="2"/>
      <c r="C1586" s="2"/>
    </row>
    <row r="1587" spans="1:3" x14ac:dyDescent="0.25">
      <c r="A1587" s="2"/>
      <c r="C1587" s="2"/>
    </row>
    <row r="1588" spans="1:3" x14ac:dyDescent="0.25">
      <c r="A1588" s="2"/>
      <c r="C1588" s="2"/>
    </row>
    <row r="1589" spans="1:3" x14ac:dyDescent="0.25">
      <c r="A1589" s="2"/>
      <c r="C1589" s="2"/>
    </row>
    <row r="1590" spans="1:3" x14ac:dyDescent="0.25">
      <c r="A1590" s="2"/>
      <c r="C1590" s="2"/>
    </row>
    <row r="1591" spans="1:3" x14ac:dyDescent="0.25">
      <c r="A1591" s="2"/>
      <c r="C1591" s="2"/>
    </row>
    <row r="1592" spans="1:3" x14ac:dyDescent="0.25">
      <c r="A1592" s="2"/>
      <c r="C1592" s="2"/>
    </row>
    <row r="1593" spans="1:3" x14ac:dyDescent="0.25">
      <c r="A1593" s="2"/>
      <c r="C1593" s="2"/>
    </row>
    <row r="1594" spans="1:3" x14ac:dyDescent="0.25">
      <c r="A1594" s="2"/>
      <c r="C1594" s="2"/>
    </row>
    <row r="1595" spans="1:3" x14ac:dyDescent="0.25">
      <c r="A1595" s="2"/>
      <c r="C1595" s="2"/>
    </row>
    <row r="1596" spans="1:3" x14ac:dyDescent="0.25">
      <c r="A1596" s="2"/>
      <c r="C1596" s="2"/>
    </row>
    <row r="1597" spans="1:3" x14ac:dyDescent="0.25">
      <c r="A1597" s="2"/>
      <c r="C1597" s="2"/>
    </row>
    <row r="1598" spans="1:3" x14ac:dyDescent="0.25">
      <c r="A1598" s="2"/>
      <c r="C1598" s="2"/>
    </row>
    <row r="1599" spans="1:3" x14ac:dyDescent="0.25">
      <c r="A1599" s="2"/>
      <c r="C1599" s="2"/>
    </row>
    <row r="1600" spans="1:3" x14ac:dyDescent="0.25">
      <c r="A1600" s="2"/>
      <c r="C1600" s="2"/>
    </row>
    <row r="1601" spans="1:3" x14ac:dyDescent="0.25">
      <c r="A1601" s="2"/>
      <c r="C1601" s="2"/>
    </row>
    <row r="1602" spans="1:3" x14ac:dyDescent="0.25">
      <c r="A1602" s="2"/>
      <c r="C1602" s="2"/>
    </row>
    <row r="1603" spans="1:3" x14ac:dyDescent="0.25">
      <c r="A1603" s="2"/>
      <c r="C1603" s="2"/>
    </row>
    <row r="1604" spans="1:3" x14ac:dyDescent="0.25">
      <c r="A1604" s="2"/>
      <c r="C1604" s="2"/>
    </row>
    <row r="1605" spans="1:3" x14ac:dyDescent="0.25">
      <c r="A1605" s="2"/>
      <c r="C1605" s="2"/>
    </row>
    <row r="1606" spans="1:3" x14ac:dyDescent="0.25">
      <c r="A1606" s="2"/>
      <c r="C1606" s="2"/>
    </row>
    <row r="1607" spans="1:3" x14ac:dyDescent="0.25">
      <c r="A1607" s="2"/>
      <c r="C1607" s="2"/>
    </row>
    <row r="1608" spans="1:3" x14ac:dyDescent="0.25">
      <c r="A1608" s="2"/>
      <c r="C1608" s="2"/>
    </row>
    <row r="1609" spans="1:3" x14ac:dyDescent="0.25">
      <c r="A1609" s="2"/>
      <c r="C1609" s="2"/>
    </row>
    <row r="1610" spans="1:3" x14ac:dyDescent="0.25">
      <c r="A1610" s="2"/>
      <c r="C1610" s="2"/>
    </row>
    <row r="1611" spans="1:3" x14ac:dyDescent="0.25">
      <c r="A1611" s="2"/>
      <c r="C1611" s="2"/>
    </row>
    <row r="1612" spans="1:3" x14ac:dyDescent="0.25">
      <c r="A1612" s="2"/>
      <c r="C1612" s="2"/>
    </row>
    <row r="1613" spans="1:3" x14ac:dyDescent="0.25">
      <c r="A1613" s="2"/>
      <c r="C1613" s="2"/>
    </row>
    <row r="1614" spans="1:3" x14ac:dyDescent="0.25">
      <c r="A1614" s="2"/>
      <c r="C1614" s="2"/>
    </row>
    <row r="1615" spans="1:3" x14ac:dyDescent="0.25">
      <c r="A1615" s="2"/>
      <c r="C1615" s="2"/>
    </row>
    <row r="1616" spans="1:3" x14ac:dyDescent="0.25">
      <c r="A1616" s="2"/>
      <c r="C1616" s="2"/>
    </row>
    <row r="1617" spans="1:3" x14ac:dyDescent="0.25">
      <c r="A1617" s="2"/>
      <c r="C1617" s="2"/>
    </row>
    <row r="1618" spans="1:3" x14ac:dyDescent="0.25">
      <c r="A1618" s="2"/>
      <c r="C1618" s="2"/>
    </row>
    <row r="1619" spans="1:3" x14ac:dyDescent="0.25">
      <c r="A1619" s="2"/>
      <c r="C1619" s="2"/>
    </row>
    <row r="1620" spans="1:3" x14ac:dyDescent="0.25">
      <c r="A1620" s="2"/>
      <c r="C1620" s="2"/>
    </row>
    <row r="1621" spans="1:3" x14ac:dyDescent="0.25">
      <c r="A1621" s="2"/>
      <c r="C1621" s="2"/>
    </row>
    <row r="1622" spans="1:3" x14ac:dyDescent="0.25">
      <c r="A1622" s="2"/>
      <c r="C1622" s="2"/>
    </row>
    <row r="1623" spans="1:3" x14ac:dyDescent="0.25">
      <c r="A1623" s="2"/>
      <c r="C1623" s="2"/>
    </row>
    <row r="1624" spans="1:3" x14ac:dyDescent="0.25">
      <c r="A1624" s="2"/>
      <c r="C1624" s="2"/>
    </row>
    <row r="1625" spans="1:3" x14ac:dyDescent="0.25">
      <c r="A1625" s="2"/>
      <c r="C1625" s="2"/>
    </row>
    <row r="1626" spans="1:3" x14ac:dyDescent="0.25">
      <c r="A1626" s="2"/>
      <c r="C1626" s="2"/>
    </row>
    <row r="1627" spans="1:3" x14ac:dyDescent="0.25">
      <c r="A1627" s="2"/>
      <c r="C1627" s="2"/>
    </row>
    <row r="1628" spans="1:3" x14ac:dyDescent="0.25">
      <c r="A1628" s="2"/>
      <c r="C1628" s="2"/>
    </row>
    <row r="1629" spans="1:3" x14ac:dyDescent="0.25">
      <c r="A1629" s="2"/>
      <c r="C1629" s="2"/>
    </row>
    <row r="1630" spans="1:3" x14ac:dyDescent="0.25">
      <c r="A1630" s="2"/>
      <c r="C1630" s="2"/>
    </row>
    <row r="1631" spans="1:3" x14ac:dyDescent="0.25">
      <c r="A1631" s="2"/>
      <c r="C1631" s="2"/>
    </row>
    <row r="1632" spans="1:3" x14ac:dyDescent="0.25">
      <c r="A1632" s="2"/>
      <c r="C1632" s="2"/>
    </row>
    <row r="1633" spans="1:3" x14ac:dyDescent="0.25">
      <c r="A1633" s="2"/>
      <c r="C1633" s="2"/>
    </row>
    <row r="1634" spans="1:3" x14ac:dyDescent="0.25">
      <c r="A1634" s="2"/>
      <c r="C1634" s="2"/>
    </row>
    <row r="1635" spans="1:3" x14ac:dyDescent="0.25">
      <c r="A1635" s="2"/>
      <c r="C1635" s="2"/>
    </row>
    <row r="1636" spans="1:3" x14ac:dyDescent="0.25">
      <c r="A1636" s="2"/>
      <c r="C1636" s="2"/>
    </row>
    <row r="1637" spans="1:3" x14ac:dyDescent="0.25">
      <c r="A1637" s="2"/>
      <c r="C1637" s="2"/>
    </row>
    <row r="1638" spans="1:3" x14ac:dyDescent="0.25">
      <c r="A1638" s="2"/>
      <c r="C1638" s="2"/>
    </row>
    <row r="1639" spans="1:3" x14ac:dyDescent="0.25">
      <c r="A1639" s="2"/>
      <c r="C1639" s="2"/>
    </row>
    <row r="1640" spans="1:3" x14ac:dyDescent="0.25">
      <c r="A1640" s="2"/>
      <c r="C1640" s="2"/>
    </row>
    <row r="1641" spans="1:3" x14ac:dyDescent="0.25">
      <c r="A1641" s="2"/>
      <c r="C1641" s="2"/>
    </row>
    <row r="1642" spans="1:3" x14ac:dyDescent="0.25">
      <c r="A1642" s="2"/>
      <c r="C1642" s="2"/>
    </row>
    <row r="1643" spans="1:3" x14ac:dyDescent="0.25">
      <c r="A1643" s="2"/>
      <c r="C1643" s="2"/>
    </row>
    <row r="1644" spans="1:3" x14ac:dyDescent="0.25">
      <c r="A1644" s="2"/>
      <c r="C1644" s="2"/>
    </row>
    <row r="1645" spans="1:3" x14ac:dyDescent="0.25">
      <c r="A1645" s="2"/>
      <c r="C1645" s="2"/>
    </row>
    <row r="1646" spans="1:3" x14ac:dyDescent="0.25">
      <c r="A1646" s="2"/>
      <c r="C1646" s="2"/>
    </row>
    <row r="1647" spans="1:3" x14ac:dyDescent="0.25">
      <c r="A1647" s="2"/>
      <c r="C1647" s="2"/>
    </row>
    <row r="1648" spans="1:3" x14ac:dyDescent="0.25">
      <c r="A1648" s="2"/>
      <c r="C1648" s="2"/>
    </row>
    <row r="1649" spans="1:3" x14ac:dyDescent="0.25">
      <c r="A1649" s="2"/>
      <c r="C1649" s="2"/>
    </row>
    <row r="1650" spans="1:3" x14ac:dyDescent="0.25">
      <c r="A1650" s="2"/>
      <c r="C1650" s="2"/>
    </row>
    <row r="1651" spans="1:3" x14ac:dyDescent="0.25">
      <c r="A1651" s="2"/>
      <c r="C1651" s="2"/>
    </row>
    <row r="1652" spans="1:3" x14ac:dyDescent="0.25">
      <c r="A1652" s="2"/>
      <c r="C1652" s="2"/>
    </row>
    <row r="1653" spans="1:3" x14ac:dyDescent="0.25">
      <c r="A1653" s="2"/>
      <c r="C1653" s="2"/>
    </row>
    <row r="1654" spans="1:3" x14ac:dyDescent="0.25">
      <c r="A1654" s="2"/>
      <c r="C1654" s="2"/>
    </row>
    <row r="1655" spans="1:3" x14ac:dyDescent="0.25">
      <c r="A1655" s="2"/>
      <c r="C1655" s="2"/>
    </row>
    <row r="1656" spans="1:3" x14ac:dyDescent="0.25">
      <c r="A1656" s="2"/>
      <c r="C1656" s="2"/>
    </row>
    <row r="1657" spans="1:3" x14ac:dyDescent="0.25">
      <c r="A1657" s="2"/>
      <c r="C1657" s="2"/>
    </row>
    <row r="1658" spans="1:3" x14ac:dyDescent="0.25">
      <c r="A1658" s="2"/>
      <c r="C1658" s="2"/>
    </row>
    <row r="1659" spans="1:3" x14ac:dyDescent="0.25">
      <c r="A1659" s="2"/>
      <c r="C1659" s="2"/>
    </row>
    <row r="1660" spans="1:3" x14ac:dyDescent="0.25">
      <c r="A1660" s="2"/>
      <c r="C1660" s="2"/>
    </row>
    <row r="1661" spans="1:3" x14ac:dyDescent="0.25">
      <c r="A1661" s="2"/>
      <c r="C1661" s="2"/>
    </row>
    <row r="1662" spans="1:3" x14ac:dyDescent="0.25">
      <c r="A1662" s="2"/>
      <c r="C1662" s="2"/>
    </row>
    <row r="1663" spans="1:3" x14ac:dyDescent="0.25">
      <c r="A1663" s="2"/>
      <c r="C1663" s="2"/>
    </row>
    <row r="1664" spans="1:3" x14ac:dyDescent="0.25">
      <c r="A1664" s="2"/>
      <c r="C1664" s="2"/>
    </row>
    <row r="1665" spans="1:3" x14ac:dyDescent="0.25">
      <c r="A1665" s="2"/>
      <c r="C1665" s="2"/>
    </row>
    <row r="1666" spans="1:3" x14ac:dyDescent="0.25">
      <c r="A1666" s="2"/>
      <c r="C1666" s="2"/>
    </row>
    <row r="1667" spans="1:3" x14ac:dyDescent="0.25">
      <c r="A1667" s="2"/>
      <c r="C1667" s="2"/>
    </row>
    <row r="1668" spans="1:3" x14ac:dyDescent="0.25">
      <c r="A1668" s="2"/>
      <c r="C1668" s="2"/>
    </row>
    <row r="1669" spans="1:3" x14ac:dyDescent="0.25">
      <c r="A1669" s="2"/>
      <c r="C1669" s="2"/>
    </row>
    <row r="1670" spans="1:3" x14ac:dyDescent="0.25">
      <c r="A1670" s="2"/>
      <c r="C1670" s="2"/>
    </row>
    <row r="1671" spans="1:3" x14ac:dyDescent="0.25">
      <c r="A1671" s="2"/>
      <c r="C1671" s="2"/>
    </row>
    <row r="1672" spans="1:3" x14ac:dyDescent="0.25">
      <c r="A1672" s="2"/>
      <c r="C1672" s="2"/>
    </row>
    <row r="1673" spans="1:3" x14ac:dyDescent="0.25">
      <c r="A1673" s="2"/>
      <c r="C1673" s="2"/>
    </row>
    <row r="1674" spans="1:3" x14ac:dyDescent="0.25">
      <c r="A1674" s="2"/>
      <c r="C1674" s="2"/>
    </row>
    <row r="1675" spans="1:3" x14ac:dyDescent="0.25">
      <c r="A1675" s="2"/>
      <c r="C1675" s="2"/>
    </row>
    <row r="1676" spans="1:3" x14ac:dyDescent="0.25">
      <c r="A1676" s="2"/>
      <c r="C1676" s="2"/>
    </row>
    <row r="1677" spans="1:3" x14ac:dyDescent="0.25">
      <c r="A1677" s="2"/>
      <c r="C1677" s="2"/>
    </row>
    <row r="1678" spans="1:3" x14ac:dyDescent="0.25">
      <c r="A1678" s="2"/>
      <c r="C1678" s="2"/>
    </row>
    <row r="1679" spans="1:3" x14ac:dyDescent="0.25">
      <c r="A1679" s="2"/>
      <c r="C1679" s="2"/>
    </row>
    <row r="1680" spans="1:3" x14ac:dyDescent="0.25">
      <c r="A1680" s="2"/>
      <c r="C1680" s="2"/>
    </row>
    <row r="1681" spans="1:3" x14ac:dyDescent="0.25">
      <c r="A1681" s="2"/>
      <c r="C1681" s="2"/>
    </row>
    <row r="1682" spans="1:3" x14ac:dyDescent="0.25">
      <c r="A1682" s="2"/>
      <c r="C1682" s="2"/>
    </row>
    <row r="1683" spans="1:3" x14ac:dyDescent="0.25">
      <c r="A1683" s="2"/>
      <c r="C1683" s="2"/>
    </row>
    <row r="1684" spans="1:3" x14ac:dyDescent="0.25">
      <c r="A1684" s="2"/>
      <c r="C1684" s="2"/>
    </row>
    <row r="1685" spans="1:3" x14ac:dyDescent="0.25">
      <c r="A1685" s="2"/>
      <c r="C1685" s="2"/>
    </row>
    <row r="1686" spans="1:3" x14ac:dyDescent="0.25">
      <c r="A1686" s="2"/>
      <c r="C1686" s="2"/>
    </row>
    <row r="1687" spans="1:3" x14ac:dyDescent="0.25">
      <c r="A1687" s="2"/>
      <c r="C1687" s="2"/>
    </row>
    <row r="1688" spans="1:3" x14ac:dyDescent="0.25">
      <c r="A1688" s="2"/>
      <c r="C1688" s="2"/>
    </row>
    <row r="1689" spans="1:3" x14ac:dyDescent="0.25">
      <c r="A1689" s="2"/>
      <c r="C1689" s="2"/>
    </row>
    <row r="1690" spans="1:3" x14ac:dyDescent="0.25">
      <c r="A1690" s="2"/>
      <c r="C1690" s="2"/>
    </row>
    <row r="1691" spans="1:3" x14ac:dyDescent="0.25">
      <c r="A1691" s="2"/>
      <c r="C1691" s="2"/>
    </row>
    <row r="1692" spans="1:3" x14ac:dyDescent="0.25">
      <c r="A1692" s="2"/>
      <c r="C1692" s="2"/>
    </row>
    <row r="1693" spans="1:3" x14ac:dyDescent="0.25">
      <c r="A1693" s="2"/>
      <c r="C1693" s="2"/>
    </row>
    <row r="1694" spans="1:3" x14ac:dyDescent="0.25">
      <c r="A1694" s="2"/>
      <c r="C1694" s="2"/>
    </row>
    <row r="1695" spans="1:3" x14ac:dyDescent="0.25">
      <c r="A1695" s="2"/>
      <c r="C1695" s="2"/>
    </row>
    <row r="1696" spans="1:3" x14ac:dyDescent="0.25">
      <c r="A1696" s="2"/>
      <c r="C1696" s="2"/>
    </row>
    <row r="1697" spans="1:3" x14ac:dyDescent="0.25">
      <c r="A1697" s="2"/>
      <c r="C1697" s="2"/>
    </row>
    <row r="1698" spans="1:3" x14ac:dyDescent="0.25">
      <c r="A1698" s="2"/>
      <c r="C1698" s="2"/>
    </row>
    <row r="1699" spans="1:3" x14ac:dyDescent="0.25">
      <c r="A1699" s="2"/>
      <c r="C1699" s="2"/>
    </row>
    <row r="1700" spans="1:3" x14ac:dyDescent="0.25">
      <c r="A1700" s="2"/>
      <c r="C1700" s="2"/>
    </row>
    <row r="1701" spans="1:3" x14ac:dyDescent="0.25">
      <c r="A1701" s="2"/>
      <c r="C1701" s="2"/>
    </row>
    <row r="1702" spans="1:3" x14ac:dyDescent="0.25">
      <c r="A1702" s="2"/>
      <c r="C1702" s="2"/>
    </row>
    <row r="1703" spans="1:3" x14ac:dyDescent="0.25">
      <c r="A1703" s="2"/>
      <c r="C1703" s="2"/>
    </row>
    <row r="1704" spans="1:3" x14ac:dyDescent="0.25">
      <c r="A1704" s="2"/>
      <c r="C1704" s="2"/>
    </row>
    <row r="1705" spans="1:3" x14ac:dyDescent="0.25">
      <c r="A1705" s="2"/>
      <c r="C1705" s="2"/>
    </row>
    <row r="1706" spans="1:3" x14ac:dyDescent="0.25">
      <c r="A1706" s="2"/>
      <c r="C1706" s="2"/>
    </row>
    <row r="1707" spans="1:3" x14ac:dyDescent="0.25">
      <c r="A1707" s="2"/>
      <c r="C1707" s="2"/>
    </row>
    <row r="1708" spans="1:3" x14ac:dyDescent="0.25">
      <c r="A1708" s="2"/>
      <c r="C1708" s="2"/>
    </row>
    <row r="1709" spans="1:3" x14ac:dyDescent="0.25">
      <c r="A1709" s="2"/>
      <c r="C1709" s="2"/>
    </row>
    <row r="1710" spans="1:3" x14ac:dyDescent="0.25">
      <c r="A1710" s="2"/>
      <c r="C1710" s="2"/>
    </row>
    <row r="1711" spans="1:3" x14ac:dyDescent="0.25">
      <c r="A1711" s="2"/>
      <c r="C1711" s="2"/>
    </row>
    <row r="1712" spans="1:3" x14ac:dyDescent="0.25">
      <c r="A1712" s="2"/>
      <c r="C1712" s="2"/>
    </row>
    <row r="1713" spans="1:3" x14ac:dyDescent="0.25">
      <c r="A1713" s="2"/>
      <c r="C1713" s="2"/>
    </row>
    <row r="1714" spans="1:3" x14ac:dyDescent="0.25">
      <c r="A1714" s="2"/>
      <c r="C1714" s="2"/>
    </row>
    <row r="1715" spans="1:3" x14ac:dyDescent="0.25">
      <c r="A1715" s="2"/>
      <c r="C1715" s="2"/>
    </row>
    <row r="1716" spans="1:3" x14ac:dyDescent="0.25">
      <c r="A1716" s="2"/>
      <c r="C1716" s="2"/>
    </row>
    <row r="1717" spans="1:3" x14ac:dyDescent="0.25">
      <c r="A1717" s="2"/>
      <c r="C1717" s="2"/>
    </row>
    <row r="1718" spans="1:3" x14ac:dyDescent="0.25">
      <c r="A1718" s="2"/>
      <c r="C1718" s="2"/>
    </row>
    <row r="1719" spans="1:3" x14ac:dyDescent="0.25">
      <c r="A1719" s="2"/>
      <c r="C1719" s="2"/>
    </row>
    <row r="1720" spans="1:3" x14ac:dyDescent="0.25">
      <c r="A1720" s="2"/>
      <c r="C1720" s="2"/>
    </row>
    <row r="1721" spans="1:3" x14ac:dyDescent="0.25">
      <c r="A1721" s="2"/>
      <c r="C1721" s="2"/>
    </row>
    <row r="1722" spans="1:3" x14ac:dyDescent="0.25">
      <c r="A1722" s="2"/>
      <c r="C1722" s="2"/>
    </row>
    <row r="1723" spans="1:3" x14ac:dyDescent="0.25">
      <c r="A1723" s="2"/>
      <c r="C1723" s="2"/>
    </row>
    <row r="1724" spans="1:3" x14ac:dyDescent="0.25">
      <c r="A1724" s="2"/>
      <c r="C1724" s="2"/>
    </row>
    <row r="1725" spans="1:3" x14ac:dyDescent="0.25">
      <c r="A1725" s="2"/>
      <c r="C1725" s="2"/>
    </row>
    <row r="1726" spans="1:3" x14ac:dyDescent="0.25">
      <c r="A1726" s="2"/>
      <c r="C1726" s="2"/>
    </row>
    <row r="1727" spans="1:3" x14ac:dyDescent="0.25">
      <c r="A1727" s="2"/>
      <c r="C1727" s="2"/>
    </row>
    <row r="1728" spans="1:3" x14ac:dyDescent="0.25">
      <c r="A1728" s="2"/>
      <c r="C1728" s="2"/>
    </row>
    <row r="1729" spans="1:3" x14ac:dyDescent="0.25">
      <c r="A1729" s="2"/>
      <c r="C1729" s="2"/>
    </row>
    <row r="1730" spans="1:3" x14ac:dyDescent="0.25">
      <c r="A1730" s="2"/>
      <c r="C1730" s="2"/>
    </row>
    <row r="1731" spans="1:3" x14ac:dyDescent="0.25">
      <c r="A1731" s="2"/>
      <c r="C1731" s="2"/>
    </row>
    <row r="1732" spans="1:3" x14ac:dyDescent="0.25">
      <c r="A1732" s="2"/>
      <c r="C1732" s="2"/>
    </row>
    <row r="1733" spans="1:3" x14ac:dyDescent="0.25">
      <c r="A1733" s="2"/>
      <c r="C1733" s="2"/>
    </row>
    <row r="1734" spans="1:3" x14ac:dyDescent="0.25">
      <c r="A1734" s="2"/>
      <c r="C1734" s="2"/>
    </row>
    <row r="1735" spans="1:3" x14ac:dyDescent="0.25">
      <c r="A1735" s="2"/>
      <c r="C1735" s="2"/>
    </row>
    <row r="1736" spans="1:3" x14ac:dyDescent="0.25">
      <c r="A1736" s="2"/>
      <c r="C1736" s="2"/>
    </row>
    <row r="1737" spans="1:3" x14ac:dyDescent="0.25">
      <c r="A1737" s="2"/>
      <c r="C1737" s="2"/>
    </row>
    <row r="1738" spans="1:3" x14ac:dyDescent="0.25">
      <c r="A1738" s="2"/>
      <c r="C1738" s="2"/>
    </row>
    <row r="1739" spans="1:3" x14ac:dyDescent="0.25">
      <c r="A1739" s="2"/>
      <c r="C1739" s="2"/>
    </row>
    <row r="1740" spans="1:3" x14ac:dyDescent="0.25">
      <c r="A1740" s="2"/>
      <c r="C1740" s="2"/>
    </row>
    <row r="1741" spans="1:3" x14ac:dyDescent="0.25">
      <c r="A1741" s="2"/>
      <c r="C1741" s="2"/>
    </row>
    <row r="1742" spans="1:3" x14ac:dyDescent="0.25">
      <c r="A1742" s="2"/>
      <c r="C1742" s="2"/>
    </row>
    <row r="1743" spans="1:3" x14ac:dyDescent="0.25">
      <c r="A1743" s="2"/>
      <c r="C1743" s="2"/>
    </row>
    <row r="1744" spans="1:3" x14ac:dyDescent="0.25">
      <c r="A1744" s="2"/>
      <c r="C1744" s="2"/>
    </row>
    <row r="1745" spans="1:3" x14ac:dyDescent="0.25">
      <c r="A1745" s="2"/>
      <c r="C1745" s="2"/>
    </row>
    <row r="1746" spans="1:3" x14ac:dyDescent="0.25">
      <c r="A1746" s="2"/>
      <c r="C1746" s="2"/>
    </row>
    <row r="1747" spans="1:3" x14ac:dyDescent="0.25">
      <c r="A1747" s="2"/>
      <c r="C1747" s="2"/>
    </row>
    <row r="1748" spans="1:3" x14ac:dyDescent="0.25">
      <c r="A1748" s="2"/>
      <c r="C1748" s="2"/>
    </row>
    <row r="1749" spans="1:3" x14ac:dyDescent="0.25">
      <c r="A1749" s="2"/>
      <c r="C1749" s="2"/>
    </row>
    <row r="1750" spans="1:3" x14ac:dyDescent="0.25">
      <c r="A1750" s="2"/>
      <c r="C1750" s="2"/>
    </row>
    <row r="1751" spans="1:3" x14ac:dyDescent="0.25">
      <c r="A1751" s="2"/>
      <c r="C1751" s="2"/>
    </row>
    <row r="1752" spans="1:3" x14ac:dyDescent="0.25">
      <c r="A1752" s="2"/>
      <c r="C1752" s="2"/>
    </row>
    <row r="1753" spans="1:3" x14ac:dyDescent="0.25">
      <c r="A1753" s="2"/>
      <c r="C1753" s="2"/>
    </row>
    <row r="1754" spans="1:3" x14ac:dyDescent="0.25">
      <c r="A1754" s="2"/>
      <c r="C1754" s="2"/>
    </row>
    <row r="1755" spans="1:3" x14ac:dyDescent="0.25">
      <c r="A1755" s="2"/>
      <c r="C1755" s="2"/>
    </row>
    <row r="1756" spans="1:3" x14ac:dyDescent="0.25">
      <c r="A1756" s="2"/>
      <c r="C1756" s="2"/>
    </row>
    <row r="1757" spans="1:3" x14ac:dyDescent="0.25">
      <c r="A1757" s="2"/>
      <c r="C1757" s="2"/>
    </row>
    <row r="1758" spans="1:3" x14ac:dyDescent="0.25">
      <c r="A1758" s="2"/>
      <c r="C1758" s="2"/>
    </row>
    <row r="1759" spans="1:3" x14ac:dyDescent="0.25">
      <c r="A1759" s="2"/>
      <c r="C1759" s="2"/>
    </row>
    <row r="1760" spans="1:3" x14ac:dyDescent="0.25">
      <c r="A1760" s="2"/>
      <c r="C1760" s="2"/>
    </row>
    <row r="1761" spans="1:3" x14ac:dyDescent="0.25">
      <c r="A1761" s="2"/>
      <c r="C1761" s="2"/>
    </row>
    <row r="1762" spans="1:3" x14ac:dyDescent="0.25">
      <c r="A1762" s="2"/>
      <c r="C1762" s="2"/>
    </row>
    <row r="1763" spans="1:3" x14ac:dyDescent="0.25">
      <c r="A1763" s="2"/>
      <c r="C1763" s="2"/>
    </row>
    <row r="1764" spans="1:3" x14ac:dyDescent="0.25">
      <c r="A1764" s="2"/>
      <c r="C1764" s="2"/>
    </row>
    <row r="1765" spans="1:3" x14ac:dyDescent="0.25">
      <c r="A1765" s="2"/>
      <c r="C1765" s="2"/>
    </row>
    <row r="1766" spans="1:3" x14ac:dyDescent="0.25">
      <c r="A1766" s="2"/>
      <c r="C1766" s="2"/>
    </row>
    <row r="1767" spans="1:3" x14ac:dyDescent="0.25">
      <c r="A1767" s="2"/>
      <c r="C1767" s="2"/>
    </row>
    <row r="1768" spans="1:3" x14ac:dyDescent="0.25">
      <c r="A1768" s="2"/>
      <c r="C1768" s="2"/>
    </row>
    <row r="1769" spans="1:3" x14ac:dyDescent="0.25">
      <c r="A1769" s="2"/>
      <c r="C1769" s="2"/>
    </row>
    <row r="1770" spans="1:3" x14ac:dyDescent="0.25">
      <c r="A1770" s="2"/>
      <c r="C1770" s="2"/>
    </row>
    <row r="1771" spans="1:3" x14ac:dyDescent="0.25">
      <c r="A1771" s="2"/>
      <c r="C1771" s="2"/>
    </row>
    <row r="1772" spans="1:3" x14ac:dyDescent="0.25">
      <c r="A1772" s="2"/>
      <c r="C1772" s="2"/>
    </row>
    <row r="1773" spans="1:3" x14ac:dyDescent="0.25">
      <c r="A1773" s="2"/>
      <c r="C1773" s="2"/>
    </row>
    <row r="1774" spans="1:3" x14ac:dyDescent="0.25">
      <c r="A1774" s="2"/>
      <c r="C1774" s="2"/>
    </row>
    <row r="1775" spans="1:3" x14ac:dyDescent="0.25">
      <c r="A1775" s="2"/>
      <c r="C1775" s="2"/>
    </row>
    <row r="1776" spans="1:3" x14ac:dyDescent="0.25">
      <c r="A1776" s="2"/>
      <c r="C1776" s="2"/>
    </row>
    <row r="1777" spans="1:3" x14ac:dyDescent="0.25">
      <c r="A1777" s="2"/>
      <c r="C1777" s="2"/>
    </row>
    <row r="1778" spans="1:3" x14ac:dyDescent="0.25">
      <c r="A1778" s="2"/>
      <c r="C1778" s="2"/>
    </row>
    <row r="1779" spans="1:3" x14ac:dyDescent="0.25">
      <c r="A1779" s="2"/>
      <c r="C1779" s="2"/>
    </row>
    <row r="1780" spans="1:3" x14ac:dyDescent="0.25">
      <c r="A1780" s="2"/>
      <c r="C1780" s="2"/>
    </row>
    <row r="1781" spans="1:3" x14ac:dyDescent="0.25">
      <c r="A1781" s="2"/>
      <c r="C1781" s="2"/>
    </row>
    <row r="1782" spans="1:3" x14ac:dyDescent="0.25">
      <c r="A1782" s="2"/>
      <c r="C1782" s="2"/>
    </row>
    <row r="1783" spans="1:3" x14ac:dyDescent="0.25">
      <c r="A1783" s="2"/>
      <c r="C1783" s="2"/>
    </row>
    <row r="1784" spans="1:3" x14ac:dyDescent="0.25">
      <c r="A1784" s="2"/>
      <c r="C1784" s="2"/>
    </row>
    <row r="1785" spans="1:3" x14ac:dyDescent="0.25">
      <c r="A1785" s="2"/>
      <c r="C1785" s="2"/>
    </row>
    <row r="1786" spans="1:3" x14ac:dyDescent="0.25">
      <c r="A1786" s="2"/>
      <c r="C1786" s="2"/>
    </row>
    <row r="1787" spans="1:3" x14ac:dyDescent="0.25">
      <c r="A1787" s="2"/>
      <c r="C1787" s="2"/>
    </row>
    <row r="1788" spans="1:3" x14ac:dyDescent="0.25">
      <c r="A1788" s="2"/>
      <c r="C1788" s="2"/>
    </row>
    <row r="1789" spans="1:3" x14ac:dyDescent="0.25">
      <c r="A1789" s="2"/>
      <c r="C1789" s="2"/>
    </row>
    <row r="1790" spans="1:3" x14ac:dyDescent="0.25">
      <c r="A1790" s="2"/>
      <c r="C1790" s="2"/>
    </row>
    <row r="1791" spans="1:3" x14ac:dyDescent="0.25">
      <c r="A1791" s="2"/>
      <c r="C1791" s="2"/>
    </row>
    <row r="1792" spans="1:3" x14ac:dyDescent="0.25">
      <c r="A1792" s="2"/>
      <c r="C1792" s="2"/>
    </row>
    <row r="1793" spans="1:3" x14ac:dyDescent="0.25">
      <c r="A1793" s="2"/>
      <c r="C1793" s="2"/>
    </row>
    <row r="1794" spans="1:3" x14ac:dyDescent="0.25">
      <c r="A1794" s="2"/>
      <c r="C1794" s="2"/>
    </row>
    <row r="1795" spans="1:3" x14ac:dyDescent="0.25">
      <c r="A1795" s="2"/>
      <c r="C1795" s="2"/>
    </row>
    <row r="1796" spans="1:3" x14ac:dyDescent="0.25">
      <c r="A1796" s="2"/>
      <c r="C1796" s="2"/>
    </row>
    <row r="1797" spans="1:3" x14ac:dyDescent="0.25">
      <c r="A1797" s="2"/>
      <c r="C1797" s="2"/>
    </row>
    <row r="1798" spans="1:3" x14ac:dyDescent="0.25">
      <c r="A1798" s="2"/>
      <c r="C1798" s="2"/>
    </row>
    <row r="1799" spans="1:3" x14ac:dyDescent="0.25">
      <c r="A1799" s="2"/>
      <c r="C1799" s="2"/>
    </row>
    <row r="1800" spans="1:3" x14ac:dyDescent="0.25">
      <c r="A1800" s="2"/>
      <c r="C1800" s="2"/>
    </row>
    <row r="1801" spans="1:3" x14ac:dyDescent="0.25">
      <c r="A1801" s="2"/>
      <c r="C1801" s="2"/>
    </row>
    <row r="1802" spans="1:3" x14ac:dyDescent="0.25">
      <c r="A1802" s="2"/>
      <c r="C1802" s="2"/>
    </row>
    <row r="1803" spans="1:3" x14ac:dyDescent="0.25">
      <c r="A1803" s="2"/>
      <c r="C1803" s="2"/>
    </row>
    <row r="1804" spans="1:3" x14ac:dyDescent="0.25">
      <c r="A1804" s="2"/>
      <c r="C1804" s="2"/>
    </row>
    <row r="1805" spans="1:3" x14ac:dyDescent="0.25">
      <c r="A1805" s="2"/>
      <c r="C1805" s="2"/>
    </row>
    <row r="1806" spans="1:3" x14ac:dyDescent="0.25">
      <c r="A1806" s="2"/>
      <c r="C1806" s="2"/>
    </row>
    <row r="1807" spans="1:3" x14ac:dyDescent="0.25">
      <c r="A1807" s="2"/>
      <c r="C1807" s="2"/>
    </row>
    <row r="1808" spans="1:3" x14ac:dyDescent="0.25">
      <c r="A1808" s="2"/>
      <c r="C1808" s="2"/>
    </row>
    <row r="1809" spans="1:3" x14ac:dyDescent="0.25">
      <c r="A1809" s="2"/>
      <c r="C1809" s="2"/>
    </row>
    <row r="1810" spans="1:3" x14ac:dyDescent="0.25">
      <c r="A1810" s="2"/>
      <c r="C1810" s="2"/>
    </row>
    <row r="1811" spans="1:3" x14ac:dyDescent="0.25">
      <c r="A1811" s="2"/>
      <c r="C1811" s="2"/>
    </row>
    <row r="1812" spans="1:3" x14ac:dyDescent="0.25">
      <c r="A1812" s="2"/>
      <c r="C1812" s="2"/>
    </row>
    <row r="1813" spans="1:3" x14ac:dyDescent="0.25">
      <c r="A1813" s="2"/>
      <c r="C1813" s="2"/>
    </row>
    <row r="1814" spans="1:3" x14ac:dyDescent="0.25">
      <c r="A1814" s="2"/>
      <c r="C1814" s="2"/>
    </row>
    <row r="1815" spans="1:3" x14ac:dyDescent="0.25">
      <c r="A1815" s="2"/>
      <c r="C1815" s="2"/>
    </row>
    <row r="1816" spans="1:3" x14ac:dyDescent="0.25">
      <c r="A1816" s="2"/>
      <c r="C1816" s="2"/>
    </row>
    <row r="1817" spans="1:3" x14ac:dyDescent="0.25">
      <c r="A1817" s="2"/>
      <c r="C1817" s="2"/>
    </row>
    <row r="1818" spans="1:3" x14ac:dyDescent="0.25">
      <c r="A1818" s="2"/>
      <c r="C1818" s="2"/>
    </row>
    <row r="1819" spans="1:3" x14ac:dyDescent="0.25">
      <c r="A1819" s="2"/>
      <c r="C1819" s="2"/>
    </row>
    <row r="1820" spans="1:3" x14ac:dyDescent="0.25">
      <c r="A1820" s="2"/>
      <c r="C1820" s="2"/>
    </row>
    <row r="1821" spans="1:3" x14ac:dyDescent="0.25">
      <c r="A1821" s="2"/>
      <c r="C1821" s="2"/>
    </row>
    <row r="1822" spans="1:3" x14ac:dyDescent="0.25">
      <c r="A1822" s="2"/>
      <c r="C1822" s="2"/>
    </row>
    <row r="1823" spans="1:3" x14ac:dyDescent="0.25">
      <c r="A1823" s="2"/>
      <c r="C1823" s="2"/>
    </row>
    <row r="1824" spans="1:3" x14ac:dyDescent="0.25">
      <c r="A1824" s="2"/>
      <c r="C1824" s="2"/>
    </row>
    <row r="1825" spans="1:3" x14ac:dyDescent="0.25">
      <c r="A1825" s="2"/>
      <c r="C1825" s="2"/>
    </row>
    <row r="1826" spans="1:3" x14ac:dyDescent="0.25">
      <c r="A1826" s="2"/>
      <c r="C1826" s="2"/>
    </row>
    <row r="1827" spans="1:3" x14ac:dyDescent="0.25">
      <c r="A1827" s="2"/>
      <c r="C1827" s="2"/>
    </row>
    <row r="1828" spans="1:3" x14ac:dyDescent="0.25">
      <c r="A1828" s="2"/>
      <c r="C1828" s="2"/>
    </row>
    <row r="1829" spans="1:3" x14ac:dyDescent="0.25">
      <c r="A1829" s="2"/>
      <c r="C1829" s="2"/>
    </row>
    <row r="1830" spans="1:3" x14ac:dyDescent="0.25">
      <c r="A1830" s="2"/>
      <c r="C1830" s="2"/>
    </row>
    <row r="1831" spans="1:3" x14ac:dyDescent="0.25">
      <c r="A1831" s="2"/>
      <c r="C1831" s="2"/>
    </row>
    <row r="1832" spans="1:3" x14ac:dyDescent="0.25">
      <c r="A1832" s="2"/>
      <c r="C1832" s="2"/>
    </row>
    <row r="1833" spans="1:3" x14ac:dyDescent="0.25">
      <c r="A1833" s="2"/>
      <c r="C1833" s="2"/>
    </row>
    <row r="1834" spans="1:3" x14ac:dyDescent="0.25">
      <c r="A1834" s="2"/>
      <c r="C1834" s="2"/>
    </row>
    <row r="1835" spans="1:3" x14ac:dyDescent="0.25">
      <c r="A1835" s="2"/>
      <c r="C1835" s="2"/>
    </row>
    <row r="1836" spans="1:3" x14ac:dyDescent="0.25">
      <c r="A1836" s="2"/>
      <c r="C1836" s="2"/>
    </row>
    <row r="1837" spans="1:3" x14ac:dyDescent="0.25">
      <c r="A1837" s="2"/>
      <c r="C1837" s="2"/>
    </row>
    <row r="1838" spans="1:3" x14ac:dyDescent="0.25">
      <c r="A1838" s="2"/>
      <c r="C1838" s="2"/>
    </row>
    <row r="1839" spans="1:3" x14ac:dyDescent="0.25">
      <c r="A1839" s="2"/>
      <c r="C1839" s="2"/>
    </row>
    <row r="1840" spans="1:3" x14ac:dyDescent="0.25">
      <c r="A1840" s="2"/>
      <c r="C1840" s="2"/>
    </row>
    <row r="1841" spans="1:3" x14ac:dyDescent="0.25">
      <c r="A1841" s="2"/>
      <c r="C1841" s="2"/>
    </row>
    <row r="1842" spans="1:3" x14ac:dyDescent="0.25">
      <c r="A1842" s="2"/>
      <c r="C1842" s="2"/>
    </row>
    <row r="1843" spans="1:3" x14ac:dyDescent="0.25">
      <c r="A1843" s="2"/>
      <c r="C1843" s="2"/>
    </row>
    <row r="1844" spans="1:3" x14ac:dyDescent="0.25">
      <c r="A1844" s="2"/>
      <c r="C1844" s="2"/>
    </row>
    <row r="1845" spans="1:3" x14ac:dyDescent="0.25">
      <c r="A1845" s="2"/>
      <c r="C1845" s="2"/>
    </row>
    <row r="1846" spans="1:3" x14ac:dyDescent="0.25">
      <c r="A1846" s="2"/>
      <c r="C1846" s="2"/>
    </row>
    <row r="1847" spans="1:3" x14ac:dyDescent="0.25">
      <c r="A1847" s="2"/>
      <c r="C1847" s="2"/>
    </row>
    <row r="1848" spans="1:3" x14ac:dyDescent="0.25">
      <c r="A1848" s="2"/>
      <c r="C1848" s="2"/>
    </row>
    <row r="1849" spans="1:3" x14ac:dyDescent="0.25">
      <c r="A1849" s="2"/>
      <c r="C1849" s="2"/>
    </row>
    <row r="1850" spans="1:3" x14ac:dyDescent="0.25">
      <c r="A1850" s="2"/>
      <c r="C1850" s="2"/>
    </row>
    <row r="1851" spans="1:3" x14ac:dyDescent="0.25">
      <c r="A1851" s="2"/>
      <c r="C1851" s="2"/>
    </row>
    <row r="1852" spans="1:3" x14ac:dyDescent="0.25">
      <c r="A1852" s="2"/>
      <c r="C1852" s="2"/>
    </row>
    <row r="1853" spans="1:3" x14ac:dyDescent="0.25">
      <c r="A1853" s="2"/>
      <c r="C1853" s="2"/>
    </row>
    <row r="1854" spans="1:3" x14ac:dyDescent="0.25">
      <c r="A1854" s="2"/>
      <c r="C1854" s="2"/>
    </row>
    <row r="1855" spans="1:3" x14ac:dyDescent="0.25">
      <c r="A1855" s="2"/>
      <c r="C1855" s="2"/>
    </row>
    <row r="1856" spans="1:3" x14ac:dyDescent="0.25">
      <c r="A1856" s="2"/>
      <c r="C1856" s="2"/>
    </row>
    <row r="1857" spans="1:3" x14ac:dyDescent="0.25">
      <c r="A1857" s="2"/>
      <c r="C1857" s="2"/>
    </row>
    <row r="1858" spans="1:3" x14ac:dyDescent="0.25">
      <c r="A1858" s="2"/>
      <c r="C1858" s="2"/>
    </row>
    <row r="1859" spans="1:3" x14ac:dyDescent="0.25">
      <c r="A1859" s="2"/>
      <c r="C1859" s="2"/>
    </row>
    <row r="1860" spans="1:3" x14ac:dyDescent="0.25">
      <c r="A1860" s="2"/>
      <c r="C1860" s="2"/>
    </row>
    <row r="1861" spans="1:3" x14ac:dyDescent="0.25">
      <c r="A1861" s="2"/>
      <c r="C1861" s="2"/>
    </row>
    <row r="1862" spans="1:3" x14ac:dyDescent="0.25">
      <c r="A1862" s="2"/>
      <c r="C1862" s="2"/>
    </row>
    <row r="1863" spans="1:3" x14ac:dyDescent="0.25">
      <c r="A1863" s="2"/>
      <c r="C1863" s="2"/>
    </row>
    <row r="1864" spans="1:3" x14ac:dyDescent="0.25">
      <c r="A1864" s="2"/>
      <c r="C1864" s="2"/>
    </row>
    <row r="1865" spans="1:3" x14ac:dyDescent="0.25">
      <c r="A1865" s="2"/>
      <c r="C1865" s="2"/>
    </row>
    <row r="1866" spans="1:3" x14ac:dyDescent="0.25">
      <c r="A1866" s="2"/>
      <c r="C1866" s="2"/>
    </row>
    <row r="1867" spans="1:3" x14ac:dyDescent="0.25">
      <c r="A1867" s="2"/>
      <c r="C1867" s="2"/>
    </row>
    <row r="1868" spans="1:3" x14ac:dyDescent="0.25">
      <c r="A1868" s="2"/>
      <c r="C1868" s="2"/>
    </row>
    <row r="1869" spans="1:3" x14ac:dyDescent="0.25">
      <c r="A1869" s="2"/>
      <c r="C1869" s="2"/>
    </row>
    <row r="1870" spans="1:3" x14ac:dyDescent="0.25">
      <c r="A1870" s="2"/>
      <c r="C1870" s="2"/>
    </row>
    <row r="1871" spans="1:3" x14ac:dyDescent="0.25">
      <c r="A1871" s="2"/>
      <c r="C1871" s="2"/>
    </row>
    <row r="1872" spans="1:3" x14ac:dyDescent="0.25">
      <c r="A1872" s="2"/>
      <c r="C1872" s="2"/>
    </row>
    <row r="1873" spans="1:3" x14ac:dyDescent="0.25">
      <c r="A1873" s="2"/>
      <c r="C1873" s="2"/>
    </row>
    <row r="1874" spans="1:3" x14ac:dyDescent="0.25">
      <c r="A1874" s="2"/>
      <c r="C1874" s="2"/>
    </row>
    <row r="1875" spans="1:3" x14ac:dyDescent="0.25">
      <c r="A1875" s="2"/>
      <c r="C1875" s="2"/>
    </row>
    <row r="1876" spans="1:3" x14ac:dyDescent="0.25">
      <c r="A1876" s="2"/>
      <c r="C1876" s="2"/>
    </row>
    <row r="1877" spans="1:3" x14ac:dyDescent="0.25">
      <c r="A1877" s="2"/>
      <c r="C1877" s="2"/>
    </row>
    <row r="1878" spans="1:3" x14ac:dyDescent="0.25">
      <c r="A1878" s="2"/>
      <c r="C1878" s="2"/>
    </row>
    <row r="1879" spans="1:3" x14ac:dyDescent="0.25">
      <c r="A1879" s="2"/>
      <c r="C1879" s="2"/>
    </row>
    <row r="1880" spans="1:3" x14ac:dyDescent="0.25">
      <c r="A1880" s="2"/>
      <c r="C1880" s="2"/>
    </row>
    <row r="1881" spans="1:3" x14ac:dyDescent="0.25">
      <c r="A1881" s="2"/>
      <c r="C1881" s="2"/>
    </row>
    <row r="1882" spans="1:3" x14ac:dyDescent="0.25">
      <c r="A1882" s="2"/>
      <c r="C1882" s="2"/>
    </row>
    <row r="1883" spans="1:3" x14ac:dyDescent="0.25">
      <c r="A1883" s="2"/>
      <c r="C1883" s="2"/>
    </row>
    <row r="1884" spans="1:3" x14ac:dyDescent="0.25">
      <c r="A1884" s="2"/>
      <c r="C1884" s="2"/>
    </row>
    <row r="1885" spans="1:3" x14ac:dyDescent="0.25">
      <c r="A1885" s="2"/>
      <c r="C1885" s="2"/>
    </row>
    <row r="1886" spans="1:3" x14ac:dyDescent="0.25">
      <c r="A1886" s="2"/>
      <c r="C1886" s="2"/>
    </row>
    <row r="1887" spans="1:3" x14ac:dyDescent="0.25">
      <c r="A1887" s="2"/>
      <c r="C1887" s="2"/>
    </row>
    <row r="1888" spans="1:3" x14ac:dyDescent="0.25">
      <c r="A1888" s="2"/>
      <c r="C1888" s="2"/>
    </row>
    <row r="1889" spans="1:3" x14ac:dyDescent="0.25">
      <c r="A1889" s="2"/>
      <c r="C1889" s="2"/>
    </row>
    <row r="1890" spans="1:3" x14ac:dyDescent="0.25">
      <c r="A1890" s="2"/>
      <c r="C1890" s="2"/>
    </row>
    <row r="1891" spans="1:3" x14ac:dyDescent="0.25">
      <c r="A1891" s="2"/>
      <c r="C1891" s="2"/>
    </row>
    <row r="1892" spans="1:3" x14ac:dyDescent="0.25">
      <c r="A1892" s="2"/>
      <c r="C1892" s="2"/>
    </row>
    <row r="1893" spans="1:3" x14ac:dyDescent="0.25">
      <c r="A1893" s="2"/>
      <c r="C1893" s="2"/>
    </row>
    <row r="1894" spans="1:3" x14ac:dyDescent="0.25">
      <c r="A1894" s="2"/>
      <c r="C1894" s="2"/>
    </row>
    <row r="1895" spans="1:3" x14ac:dyDescent="0.25">
      <c r="A1895" s="2"/>
      <c r="C1895" s="2"/>
    </row>
    <row r="1896" spans="1:3" x14ac:dyDescent="0.25">
      <c r="A1896" s="2"/>
      <c r="C1896" s="2"/>
    </row>
    <row r="1897" spans="1:3" x14ac:dyDescent="0.25">
      <c r="A1897" s="2"/>
      <c r="C1897" s="2"/>
    </row>
    <row r="1898" spans="1:3" x14ac:dyDescent="0.25">
      <c r="A1898" s="2"/>
      <c r="C1898" s="2"/>
    </row>
    <row r="1899" spans="1:3" x14ac:dyDescent="0.25">
      <c r="A1899" s="2"/>
      <c r="C1899" s="2"/>
    </row>
    <row r="1900" spans="1:3" x14ac:dyDescent="0.25">
      <c r="A1900" s="2"/>
      <c r="C1900" s="2"/>
    </row>
    <row r="1901" spans="1:3" x14ac:dyDescent="0.25">
      <c r="A1901" s="2"/>
      <c r="C1901" s="2"/>
    </row>
    <row r="1902" spans="1:3" x14ac:dyDescent="0.25">
      <c r="A1902" s="2"/>
      <c r="C1902" s="2"/>
    </row>
    <row r="1903" spans="1:3" x14ac:dyDescent="0.25">
      <c r="A1903" s="2"/>
      <c r="C1903" s="2"/>
    </row>
    <row r="1904" spans="1:3" x14ac:dyDescent="0.25">
      <c r="A1904" s="2"/>
      <c r="C1904" s="2"/>
    </row>
    <row r="1905" spans="1:3" x14ac:dyDescent="0.25">
      <c r="A1905" s="2"/>
      <c r="C1905" s="2"/>
    </row>
    <row r="1906" spans="1:3" x14ac:dyDescent="0.25">
      <c r="A1906" s="2"/>
      <c r="C1906" s="2"/>
    </row>
    <row r="1907" spans="1:3" x14ac:dyDescent="0.25">
      <c r="A1907" s="2"/>
      <c r="C1907" s="2"/>
    </row>
    <row r="1908" spans="1:3" x14ac:dyDescent="0.25">
      <c r="A1908" s="2"/>
      <c r="C1908" s="2"/>
    </row>
    <row r="1909" spans="1:3" x14ac:dyDescent="0.25">
      <c r="A1909" s="2"/>
      <c r="C1909" s="2"/>
    </row>
    <row r="1910" spans="1:3" x14ac:dyDescent="0.25">
      <c r="A1910" s="2"/>
      <c r="C1910" s="2"/>
    </row>
    <row r="1911" spans="1:3" x14ac:dyDescent="0.25">
      <c r="A1911" s="2"/>
      <c r="C1911" s="2"/>
    </row>
    <row r="1912" spans="1:3" x14ac:dyDescent="0.25">
      <c r="A1912" s="2"/>
      <c r="C1912" s="2"/>
    </row>
    <row r="1913" spans="1:3" x14ac:dyDescent="0.25">
      <c r="A1913" s="2"/>
      <c r="C1913" s="2"/>
    </row>
    <row r="1914" spans="1:3" x14ac:dyDescent="0.25">
      <c r="A1914" s="2"/>
      <c r="C1914" s="2"/>
    </row>
    <row r="1915" spans="1:3" x14ac:dyDescent="0.25">
      <c r="A1915" s="2"/>
      <c r="C1915" s="2"/>
    </row>
    <row r="1916" spans="1:3" x14ac:dyDescent="0.25">
      <c r="A1916" s="2"/>
      <c r="C1916" s="2"/>
    </row>
    <row r="1917" spans="1:3" x14ac:dyDescent="0.25">
      <c r="A1917" s="2"/>
      <c r="C1917" s="2"/>
    </row>
    <row r="1918" spans="1:3" x14ac:dyDescent="0.25">
      <c r="A1918" s="2"/>
      <c r="C1918" s="2"/>
    </row>
    <row r="1919" spans="1:3" x14ac:dyDescent="0.25">
      <c r="A1919" s="2"/>
      <c r="C1919" s="2"/>
    </row>
    <row r="1920" spans="1:3" x14ac:dyDescent="0.25">
      <c r="A1920" s="2"/>
      <c r="C1920" s="2"/>
    </row>
    <row r="1921" spans="1:3" x14ac:dyDescent="0.25">
      <c r="A1921" s="2"/>
      <c r="C1921" s="2"/>
    </row>
    <row r="1922" spans="1:3" x14ac:dyDescent="0.25">
      <c r="A1922" s="2"/>
      <c r="C1922" s="2"/>
    </row>
    <row r="1923" spans="1:3" x14ac:dyDescent="0.25">
      <c r="A1923" s="2"/>
      <c r="C1923" s="2"/>
    </row>
    <row r="1924" spans="1:3" x14ac:dyDescent="0.25">
      <c r="A1924" s="2"/>
      <c r="C1924" s="2"/>
    </row>
    <row r="1925" spans="1:3" x14ac:dyDescent="0.25">
      <c r="A1925" s="2"/>
      <c r="C1925" s="2"/>
    </row>
    <row r="1926" spans="1:3" x14ac:dyDescent="0.25">
      <c r="A1926" s="2"/>
      <c r="C1926" s="2"/>
    </row>
    <row r="1927" spans="1:3" x14ac:dyDescent="0.25">
      <c r="A1927" s="2"/>
      <c r="C1927" s="2"/>
    </row>
    <row r="1928" spans="1:3" x14ac:dyDescent="0.25">
      <c r="A1928" s="2"/>
      <c r="C1928" s="2"/>
    </row>
    <row r="1929" spans="1:3" x14ac:dyDescent="0.25">
      <c r="A1929" s="2"/>
      <c r="C1929" s="2"/>
    </row>
    <row r="1930" spans="1:3" x14ac:dyDescent="0.25">
      <c r="A1930" s="2"/>
      <c r="C1930" s="2"/>
    </row>
    <row r="1931" spans="1:3" x14ac:dyDescent="0.25">
      <c r="A1931" s="2"/>
      <c r="C1931" s="2"/>
    </row>
    <row r="1932" spans="1:3" x14ac:dyDescent="0.25">
      <c r="A1932" s="2"/>
      <c r="C1932" s="2"/>
    </row>
    <row r="1933" spans="1:3" x14ac:dyDescent="0.25">
      <c r="A1933" s="2"/>
      <c r="C1933" s="2"/>
    </row>
    <row r="1934" spans="1:3" x14ac:dyDescent="0.25">
      <c r="A1934" s="2"/>
      <c r="C1934" s="2"/>
    </row>
    <row r="1935" spans="1:3" x14ac:dyDescent="0.25">
      <c r="A1935" s="2"/>
      <c r="C1935" s="2"/>
    </row>
    <row r="1936" spans="1:3" x14ac:dyDescent="0.25">
      <c r="A1936" s="2"/>
      <c r="C1936" s="2"/>
    </row>
    <row r="1937" spans="1:3" x14ac:dyDescent="0.25">
      <c r="A1937" s="2"/>
      <c r="C1937" s="2"/>
    </row>
    <row r="1938" spans="1:3" x14ac:dyDescent="0.25">
      <c r="A1938" s="2"/>
      <c r="C1938" s="2"/>
    </row>
    <row r="1939" spans="1:3" x14ac:dyDescent="0.25">
      <c r="A1939" s="2"/>
      <c r="C1939" s="2"/>
    </row>
    <row r="1940" spans="1:3" x14ac:dyDescent="0.25">
      <c r="A1940" s="2"/>
      <c r="C1940" s="2"/>
    </row>
    <row r="1941" spans="1:3" x14ac:dyDescent="0.25">
      <c r="A1941" s="2"/>
      <c r="C1941" s="2"/>
    </row>
    <row r="1942" spans="1:3" x14ac:dyDescent="0.25">
      <c r="A1942" s="2"/>
      <c r="C1942" s="2"/>
    </row>
    <row r="1943" spans="1:3" x14ac:dyDescent="0.25">
      <c r="A1943" s="2"/>
      <c r="C1943" s="2"/>
    </row>
    <row r="1944" spans="1:3" x14ac:dyDescent="0.25">
      <c r="A1944" s="2"/>
      <c r="C1944" s="2"/>
    </row>
    <row r="1945" spans="1:3" x14ac:dyDescent="0.25">
      <c r="A1945" s="2"/>
      <c r="C1945" s="2"/>
    </row>
    <row r="1946" spans="1:3" x14ac:dyDescent="0.25">
      <c r="A1946" s="2"/>
      <c r="C1946" s="2"/>
    </row>
    <row r="1947" spans="1:3" x14ac:dyDescent="0.25">
      <c r="A1947" s="2"/>
      <c r="C1947" s="2"/>
    </row>
    <row r="1948" spans="1:3" x14ac:dyDescent="0.25">
      <c r="A1948" s="2"/>
      <c r="C1948" s="2"/>
    </row>
    <row r="1949" spans="1:3" x14ac:dyDescent="0.25">
      <c r="A1949" s="2"/>
      <c r="C1949" s="2"/>
    </row>
    <row r="1950" spans="1:3" x14ac:dyDescent="0.25">
      <c r="A1950" s="2"/>
      <c r="C1950" s="2"/>
    </row>
    <row r="1951" spans="1:3" x14ac:dyDescent="0.25">
      <c r="A1951" s="2"/>
      <c r="C1951" s="2"/>
    </row>
    <row r="1952" spans="1:3" x14ac:dyDescent="0.25">
      <c r="A1952" s="2"/>
      <c r="C1952" s="2"/>
    </row>
    <row r="1953" spans="1:3" x14ac:dyDescent="0.25">
      <c r="A1953" s="2"/>
      <c r="C1953" s="2"/>
    </row>
    <row r="1954" spans="1:3" x14ac:dyDescent="0.25">
      <c r="A1954" s="2"/>
      <c r="C1954" s="2"/>
    </row>
    <row r="1955" spans="1:3" x14ac:dyDescent="0.25">
      <c r="A1955" s="2"/>
      <c r="C1955" s="2"/>
    </row>
    <row r="1956" spans="1:3" x14ac:dyDescent="0.25">
      <c r="A1956" s="2"/>
      <c r="C1956" s="2"/>
    </row>
    <row r="1957" spans="1:3" x14ac:dyDescent="0.25">
      <c r="A1957" s="2"/>
      <c r="C1957" s="2"/>
    </row>
    <row r="1958" spans="1:3" x14ac:dyDescent="0.25">
      <c r="A1958" s="2"/>
      <c r="C1958" s="2"/>
    </row>
    <row r="1959" spans="1:3" x14ac:dyDescent="0.25">
      <c r="A1959" s="2"/>
      <c r="C1959" s="2"/>
    </row>
    <row r="1960" spans="1:3" x14ac:dyDescent="0.25">
      <c r="A1960" s="2"/>
      <c r="C1960" s="2"/>
    </row>
    <row r="1961" spans="1:3" x14ac:dyDescent="0.25">
      <c r="A1961" s="2"/>
      <c r="C1961" s="2"/>
    </row>
    <row r="1962" spans="1:3" x14ac:dyDescent="0.25">
      <c r="A1962" s="2"/>
      <c r="C1962" s="2"/>
    </row>
    <row r="1963" spans="1:3" x14ac:dyDescent="0.25">
      <c r="A1963" s="2"/>
      <c r="C1963" s="2"/>
    </row>
    <row r="1964" spans="1:3" x14ac:dyDescent="0.25">
      <c r="A1964" s="2"/>
      <c r="C1964" s="2"/>
    </row>
    <row r="1965" spans="1:3" x14ac:dyDescent="0.25">
      <c r="A1965" s="2"/>
      <c r="C1965" s="2"/>
    </row>
    <row r="1966" spans="1:3" x14ac:dyDescent="0.25">
      <c r="A1966" s="2"/>
      <c r="C1966" s="2"/>
    </row>
    <row r="1967" spans="1:3" x14ac:dyDescent="0.25">
      <c r="A1967" s="2"/>
      <c r="C1967" s="2"/>
    </row>
    <row r="1968" spans="1:3" x14ac:dyDescent="0.25">
      <c r="A1968" s="2"/>
      <c r="C1968" s="2"/>
    </row>
    <row r="1969" spans="1:3" x14ac:dyDescent="0.25">
      <c r="A1969" s="2"/>
      <c r="C1969" s="2"/>
    </row>
    <row r="1970" spans="1:3" x14ac:dyDescent="0.25">
      <c r="A1970" s="2"/>
      <c r="C1970" s="2"/>
    </row>
    <row r="1971" spans="1:3" x14ac:dyDescent="0.25">
      <c r="A1971" s="2"/>
      <c r="C1971" s="2"/>
    </row>
    <row r="1972" spans="1:3" x14ac:dyDescent="0.25">
      <c r="A1972" s="2"/>
      <c r="C1972" s="2"/>
    </row>
    <row r="1973" spans="1:3" x14ac:dyDescent="0.25">
      <c r="A1973" s="2"/>
      <c r="C1973" s="2"/>
    </row>
    <row r="1974" spans="1:3" x14ac:dyDescent="0.25">
      <c r="A1974" s="2"/>
      <c r="C1974" s="2"/>
    </row>
    <row r="1975" spans="1:3" x14ac:dyDescent="0.25">
      <c r="A1975" s="2"/>
      <c r="C1975" s="2"/>
    </row>
    <row r="1976" spans="1:3" x14ac:dyDescent="0.25">
      <c r="A1976" s="2"/>
      <c r="C1976" s="2"/>
    </row>
    <row r="1977" spans="1:3" x14ac:dyDescent="0.25">
      <c r="A1977" s="2"/>
      <c r="C1977" s="2"/>
    </row>
    <row r="1978" spans="1:3" x14ac:dyDescent="0.25">
      <c r="A1978" s="2"/>
      <c r="C1978" s="2"/>
    </row>
    <row r="1979" spans="1:3" x14ac:dyDescent="0.25">
      <c r="A1979" s="2"/>
      <c r="C1979" s="2"/>
    </row>
    <row r="1980" spans="1:3" x14ac:dyDescent="0.25">
      <c r="A1980" s="2"/>
      <c r="C1980" s="2"/>
    </row>
    <row r="1981" spans="1:3" x14ac:dyDescent="0.25">
      <c r="A1981" s="2"/>
      <c r="C1981" s="2"/>
    </row>
    <row r="1982" spans="1:3" x14ac:dyDescent="0.25">
      <c r="A1982" s="2"/>
      <c r="C1982" s="2"/>
    </row>
    <row r="1983" spans="1:3" x14ac:dyDescent="0.25">
      <c r="A1983" s="2"/>
      <c r="C1983" s="2"/>
    </row>
    <row r="1984" spans="1:3" x14ac:dyDescent="0.25">
      <c r="A1984" s="2"/>
      <c r="C1984" s="2"/>
    </row>
    <row r="1985" spans="1:3" x14ac:dyDescent="0.25">
      <c r="A1985" s="2"/>
      <c r="C1985" s="2"/>
    </row>
    <row r="1986" spans="1:3" x14ac:dyDescent="0.25">
      <c r="A1986" s="2"/>
      <c r="C1986" s="2"/>
    </row>
    <row r="1987" spans="1:3" x14ac:dyDescent="0.25">
      <c r="A1987" s="2"/>
      <c r="C1987" s="2"/>
    </row>
    <row r="1988" spans="1:3" x14ac:dyDescent="0.25">
      <c r="A1988" s="2"/>
      <c r="C1988" s="2"/>
    </row>
    <row r="1989" spans="1:3" x14ac:dyDescent="0.25">
      <c r="A1989" s="2"/>
      <c r="C1989" s="2"/>
    </row>
    <row r="1990" spans="1:3" x14ac:dyDescent="0.25">
      <c r="A1990" s="2"/>
      <c r="C1990" s="2"/>
    </row>
    <row r="1991" spans="1:3" x14ac:dyDescent="0.25">
      <c r="A1991" s="2"/>
      <c r="C1991" s="2"/>
    </row>
    <row r="1992" spans="1:3" x14ac:dyDescent="0.25">
      <c r="A1992" s="2"/>
      <c r="C1992" s="2"/>
    </row>
    <row r="1993" spans="1:3" x14ac:dyDescent="0.25">
      <c r="A1993" s="2"/>
      <c r="C1993" s="2"/>
    </row>
    <row r="1994" spans="1:3" x14ac:dyDescent="0.25">
      <c r="A1994" s="2"/>
      <c r="C1994" s="2"/>
    </row>
    <row r="1995" spans="1:3" x14ac:dyDescent="0.25">
      <c r="A1995" s="2"/>
      <c r="C1995" s="2"/>
    </row>
    <row r="1996" spans="1:3" x14ac:dyDescent="0.25">
      <c r="A1996" s="2"/>
      <c r="C1996" s="2"/>
    </row>
    <row r="1997" spans="1:3" x14ac:dyDescent="0.25">
      <c r="A1997" s="2"/>
      <c r="C1997" s="2"/>
    </row>
    <row r="1998" spans="1:3" x14ac:dyDescent="0.25">
      <c r="A1998" s="2"/>
      <c r="C1998" s="2"/>
    </row>
    <row r="1999" spans="1:3" x14ac:dyDescent="0.25">
      <c r="A1999" s="2"/>
      <c r="C1999" s="2"/>
    </row>
    <row r="2000" spans="1:3" x14ac:dyDescent="0.25">
      <c r="A2000" s="2"/>
      <c r="C2000" s="2"/>
    </row>
    <row r="2001" spans="1:3" x14ac:dyDescent="0.25">
      <c r="A2001" s="2"/>
      <c r="C2001" s="2"/>
    </row>
    <row r="2002" spans="1:3" x14ac:dyDescent="0.25">
      <c r="A2002" s="2"/>
      <c r="C2002" s="2"/>
    </row>
    <row r="2003" spans="1:3" x14ac:dyDescent="0.25">
      <c r="A2003" s="2"/>
      <c r="C2003" s="2"/>
    </row>
    <row r="2004" spans="1:3" x14ac:dyDescent="0.25">
      <c r="A2004" s="2"/>
      <c r="C2004" s="2"/>
    </row>
    <row r="2005" spans="1:3" x14ac:dyDescent="0.25">
      <c r="A2005" s="2"/>
      <c r="C2005" s="2"/>
    </row>
    <row r="2006" spans="1:3" x14ac:dyDescent="0.25">
      <c r="A2006" s="2"/>
      <c r="C2006" s="2"/>
    </row>
    <row r="2007" spans="1:3" x14ac:dyDescent="0.25">
      <c r="A2007" s="2"/>
      <c r="C2007" s="2"/>
    </row>
    <row r="2008" spans="1:3" x14ac:dyDescent="0.25">
      <c r="A2008" s="2"/>
      <c r="C2008" s="2"/>
    </row>
    <row r="2009" spans="1:3" x14ac:dyDescent="0.25">
      <c r="A2009" s="2"/>
      <c r="C2009" s="2"/>
    </row>
    <row r="2010" spans="1:3" x14ac:dyDescent="0.25">
      <c r="A2010" s="2"/>
      <c r="C2010" s="2"/>
    </row>
    <row r="2011" spans="1:3" x14ac:dyDescent="0.25">
      <c r="A2011" s="2"/>
      <c r="C2011" s="2"/>
    </row>
    <row r="2012" spans="1:3" x14ac:dyDescent="0.25">
      <c r="A2012" s="2"/>
      <c r="C2012" s="2"/>
    </row>
    <row r="2013" spans="1:3" x14ac:dyDescent="0.25">
      <c r="A2013" s="2"/>
      <c r="C2013" s="2"/>
    </row>
    <row r="2014" spans="1:3" x14ac:dyDescent="0.25">
      <c r="A2014" s="2"/>
      <c r="C2014" s="2"/>
    </row>
    <row r="2015" spans="1:3" x14ac:dyDescent="0.25">
      <c r="A2015" s="2"/>
      <c r="C2015" s="2"/>
    </row>
    <row r="2016" spans="1:3" x14ac:dyDescent="0.25">
      <c r="A2016" s="2"/>
      <c r="C2016" s="2"/>
    </row>
    <row r="2017" spans="1:3" x14ac:dyDescent="0.25">
      <c r="A2017" s="2"/>
      <c r="C2017" s="2"/>
    </row>
    <row r="2018" spans="1:3" x14ac:dyDescent="0.25">
      <c r="A2018" s="2"/>
      <c r="C2018" s="2"/>
    </row>
    <row r="2019" spans="1:3" x14ac:dyDescent="0.25">
      <c r="A2019" s="2"/>
      <c r="C2019" s="2"/>
    </row>
    <row r="2020" spans="1:3" x14ac:dyDescent="0.25">
      <c r="A2020" s="2"/>
      <c r="C2020" s="2"/>
    </row>
    <row r="2021" spans="1:3" x14ac:dyDescent="0.25">
      <c r="A2021" s="2"/>
      <c r="C2021" s="2"/>
    </row>
    <row r="2022" spans="1:3" x14ac:dyDescent="0.25">
      <c r="A2022" s="2"/>
      <c r="C2022" s="2"/>
    </row>
    <row r="2023" spans="1:3" x14ac:dyDescent="0.25">
      <c r="A2023" s="2"/>
      <c r="C2023" s="2"/>
    </row>
    <row r="2024" spans="1:3" x14ac:dyDescent="0.25">
      <c r="A2024" s="2"/>
      <c r="C2024" s="2"/>
    </row>
    <row r="2025" spans="1:3" x14ac:dyDescent="0.25">
      <c r="A2025" s="2"/>
      <c r="C2025" s="2"/>
    </row>
    <row r="2026" spans="1:3" x14ac:dyDescent="0.25">
      <c r="A2026" s="2"/>
      <c r="C2026" s="2"/>
    </row>
    <row r="2027" spans="1:3" x14ac:dyDescent="0.25">
      <c r="A2027" s="2"/>
      <c r="C2027" s="2"/>
    </row>
    <row r="2028" spans="1:3" x14ac:dyDescent="0.25">
      <c r="A2028" s="2"/>
      <c r="C2028" s="2"/>
    </row>
    <row r="2029" spans="1:3" x14ac:dyDescent="0.25">
      <c r="A2029" s="2"/>
      <c r="C2029" s="2"/>
    </row>
    <row r="2030" spans="1:3" x14ac:dyDescent="0.25">
      <c r="A2030" s="2"/>
      <c r="C2030" s="2"/>
    </row>
    <row r="2031" spans="1:3" x14ac:dyDescent="0.25">
      <c r="A2031" s="2"/>
      <c r="C2031" s="2"/>
    </row>
    <row r="2032" spans="1:3" x14ac:dyDescent="0.25">
      <c r="A2032" s="2"/>
      <c r="C2032" s="2"/>
    </row>
    <row r="2033" spans="1:3" x14ac:dyDescent="0.25">
      <c r="A2033" s="2"/>
      <c r="C2033" s="2"/>
    </row>
    <row r="2034" spans="1:3" x14ac:dyDescent="0.25">
      <c r="A2034" s="2"/>
      <c r="C2034" s="2"/>
    </row>
    <row r="2035" spans="1:3" x14ac:dyDescent="0.25">
      <c r="A2035" s="2"/>
      <c r="C2035" s="2"/>
    </row>
    <row r="2036" spans="1:3" x14ac:dyDescent="0.25">
      <c r="A2036" s="2"/>
      <c r="C2036" s="2"/>
    </row>
    <row r="2037" spans="1:3" x14ac:dyDescent="0.25">
      <c r="A2037" s="2"/>
      <c r="C2037" s="2"/>
    </row>
    <row r="2038" spans="1:3" x14ac:dyDescent="0.25">
      <c r="A2038" s="2"/>
      <c r="C2038" s="2"/>
    </row>
    <row r="2039" spans="1:3" x14ac:dyDescent="0.25">
      <c r="A2039" s="2"/>
      <c r="C2039" s="2"/>
    </row>
    <row r="2040" spans="1:3" x14ac:dyDescent="0.25">
      <c r="A2040" s="2"/>
      <c r="C2040" s="2"/>
    </row>
    <row r="2041" spans="1:3" x14ac:dyDescent="0.25">
      <c r="A2041" s="2"/>
      <c r="C2041" s="2"/>
    </row>
    <row r="2042" spans="1:3" x14ac:dyDescent="0.25">
      <c r="A2042" s="2"/>
      <c r="C2042" s="2"/>
    </row>
    <row r="2043" spans="1:3" x14ac:dyDescent="0.25">
      <c r="A2043" s="2"/>
      <c r="C2043" s="2"/>
    </row>
    <row r="2044" spans="1:3" x14ac:dyDescent="0.25">
      <c r="A2044" s="2"/>
      <c r="C2044" s="2"/>
    </row>
    <row r="2045" spans="1:3" x14ac:dyDescent="0.25">
      <c r="A2045" s="2"/>
      <c r="C2045" s="2"/>
    </row>
    <row r="2046" spans="1:3" x14ac:dyDescent="0.25">
      <c r="A2046" s="2"/>
      <c r="C2046" s="2"/>
    </row>
    <row r="2047" spans="1:3" x14ac:dyDescent="0.25">
      <c r="A2047" s="2"/>
      <c r="C2047" s="2"/>
    </row>
    <row r="2048" spans="1:3" x14ac:dyDescent="0.25">
      <c r="A2048" s="2"/>
      <c r="C2048" s="2"/>
    </row>
    <row r="2049" spans="1:3" x14ac:dyDescent="0.25">
      <c r="A2049" s="2"/>
      <c r="C2049" s="2"/>
    </row>
    <row r="2050" spans="1:3" x14ac:dyDescent="0.25">
      <c r="A2050" s="2"/>
      <c r="C2050" s="2"/>
    </row>
    <row r="2051" spans="1:3" x14ac:dyDescent="0.25">
      <c r="A2051" s="2"/>
      <c r="C2051" s="2"/>
    </row>
    <row r="2052" spans="1:3" x14ac:dyDescent="0.25">
      <c r="A2052" s="2"/>
      <c r="C2052" s="2"/>
    </row>
    <row r="2053" spans="1:3" x14ac:dyDescent="0.25">
      <c r="A2053" s="2"/>
      <c r="C2053" s="2"/>
    </row>
    <row r="2054" spans="1:3" x14ac:dyDescent="0.25">
      <c r="A2054" s="2"/>
      <c r="C2054" s="2"/>
    </row>
    <row r="2055" spans="1:3" x14ac:dyDescent="0.25">
      <c r="A2055" s="2"/>
      <c r="C2055" s="2"/>
    </row>
    <row r="2056" spans="1:3" x14ac:dyDescent="0.25">
      <c r="A2056" s="2"/>
      <c r="C2056" s="2"/>
    </row>
    <row r="2057" spans="1:3" x14ac:dyDescent="0.25">
      <c r="A2057" s="2"/>
      <c r="C2057" s="2"/>
    </row>
    <row r="2058" spans="1:3" x14ac:dyDescent="0.25">
      <c r="A2058" s="2"/>
      <c r="C2058" s="2"/>
    </row>
    <row r="2059" spans="1:3" x14ac:dyDescent="0.25">
      <c r="A2059" s="2"/>
      <c r="C2059" s="2"/>
    </row>
    <row r="2060" spans="1:3" x14ac:dyDescent="0.25">
      <c r="A2060" s="2"/>
      <c r="C2060" s="2"/>
    </row>
    <row r="2061" spans="1:3" x14ac:dyDescent="0.25">
      <c r="A2061" s="2"/>
      <c r="C2061" s="2"/>
    </row>
    <row r="2062" spans="1:3" x14ac:dyDescent="0.25">
      <c r="A2062" s="2"/>
      <c r="C2062" s="2"/>
    </row>
    <row r="2063" spans="1:3" x14ac:dyDescent="0.25">
      <c r="A2063" s="2"/>
      <c r="C2063" s="2"/>
    </row>
    <row r="2064" spans="1:3" x14ac:dyDescent="0.25">
      <c r="A2064" s="2"/>
      <c r="C2064" s="2"/>
    </row>
    <row r="2065" spans="1:3" x14ac:dyDescent="0.25">
      <c r="A2065" s="2"/>
      <c r="C2065" s="2"/>
    </row>
    <row r="2066" spans="1:3" x14ac:dyDescent="0.25">
      <c r="A2066" s="2"/>
      <c r="C2066" s="2"/>
    </row>
    <row r="2067" spans="1:3" x14ac:dyDescent="0.25">
      <c r="A2067" s="2"/>
      <c r="C2067" s="2"/>
    </row>
    <row r="2068" spans="1:3" x14ac:dyDescent="0.25">
      <c r="A2068" s="2"/>
      <c r="C2068" s="2"/>
    </row>
    <row r="2069" spans="1:3" x14ac:dyDescent="0.25">
      <c r="A2069" s="2"/>
      <c r="C2069" s="2"/>
    </row>
    <row r="2070" spans="1:3" x14ac:dyDescent="0.25">
      <c r="A2070" s="2"/>
      <c r="C2070" s="2"/>
    </row>
    <row r="2071" spans="1:3" x14ac:dyDescent="0.25">
      <c r="A2071" s="2"/>
      <c r="C2071" s="2"/>
    </row>
    <row r="2072" spans="1:3" x14ac:dyDescent="0.25">
      <c r="A2072" s="2"/>
      <c r="C2072" s="2"/>
    </row>
    <row r="2073" spans="1:3" x14ac:dyDescent="0.25">
      <c r="A2073" s="2"/>
      <c r="C2073" s="2"/>
    </row>
    <row r="2074" spans="1:3" x14ac:dyDescent="0.25">
      <c r="A2074" s="2"/>
      <c r="C2074" s="2"/>
    </row>
    <row r="2075" spans="1:3" x14ac:dyDescent="0.25">
      <c r="A2075" s="2"/>
      <c r="C2075" s="2"/>
    </row>
    <row r="2076" spans="1:3" x14ac:dyDescent="0.25">
      <c r="A2076" s="2"/>
      <c r="C2076" s="2"/>
    </row>
    <row r="2077" spans="1:3" x14ac:dyDescent="0.25">
      <c r="A2077" s="2"/>
      <c r="C2077" s="2"/>
    </row>
    <row r="2078" spans="1:3" x14ac:dyDescent="0.25">
      <c r="A2078" s="2"/>
      <c r="C2078" s="2"/>
    </row>
    <row r="2079" spans="1:3" x14ac:dyDescent="0.25">
      <c r="A2079" s="2"/>
      <c r="C2079" s="2"/>
    </row>
    <row r="2080" spans="1:3" x14ac:dyDescent="0.25">
      <c r="A2080" s="2"/>
      <c r="C2080" s="2"/>
    </row>
    <row r="2081" spans="1:3" x14ac:dyDescent="0.25">
      <c r="A2081" s="2"/>
      <c r="C2081" s="2"/>
    </row>
    <row r="2082" spans="1:3" x14ac:dyDescent="0.25">
      <c r="A2082" s="2"/>
      <c r="C2082" s="2"/>
    </row>
    <row r="2083" spans="1:3" x14ac:dyDescent="0.25">
      <c r="A2083" s="2"/>
      <c r="C2083" s="2"/>
    </row>
    <row r="2084" spans="1:3" x14ac:dyDescent="0.25">
      <c r="A2084" s="2"/>
      <c r="C2084" s="2"/>
    </row>
    <row r="2085" spans="1:3" x14ac:dyDescent="0.25">
      <c r="A2085" s="2"/>
      <c r="C2085" s="2"/>
    </row>
    <row r="2086" spans="1:3" x14ac:dyDescent="0.25">
      <c r="A2086" s="2"/>
      <c r="C2086" s="2"/>
    </row>
    <row r="2087" spans="1:3" x14ac:dyDescent="0.25">
      <c r="A2087" s="2"/>
      <c r="C2087" s="2"/>
    </row>
    <row r="2088" spans="1:3" x14ac:dyDescent="0.25">
      <c r="A2088" s="2"/>
      <c r="C2088" s="2"/>
    </row>
    <row r="2089" spans="1:3" x14ac:dyDescent="0.25">
      <c r="A2089" s="2"/>
      <c r="C2089" s="2"/>
    </row>
    <row r="2090" spans="1:3" x14ac:dyDescent="0.25">
      <c r="A2090" s="2"/>
      <c r="C2090" s="2"/>
    </row>
    <row r="2091" spans="1:3" x14ac:dyDescent="0.25">
      <c r="A2091" s="2"/>
      <c r="C2091" s="2"/>
    </row>
    <row r="2092" spans="1:3" x14ac:dyDescent="0.25">
      <c r="A2092" s="2"/>
      <c r="C2092" s="2"/>
    </row>
    <row r="2093" spans="1:3" x14ac:dyDescent="0.25">
      <c r="A2093" s="2"/>
      <c r="C2093" s="2"/>
    </row>
    <row r="2094" spans="1:3" x14ac:dyDescent="0.25">
      <c r="A2094" s="2"/>
      <c r="C2094" s="2"/>
    </row>
    <row r="2095" spans="1:3" x14ac:dyDescent="0.25">
      <c r="A2095" s="2"/>
      <c r="C2095" s="2"/>
    </row>
    <row r="2096" spans="1:3" x14ac:dyDescent="0.25">
      <c r="A2096" s="2"/>
      <c r="C2096" s="2"/>
    </row>
    <row r="2097" spans="1:3" x14ac:dyDescent="0.25">
      <c r="A2097" s="2"/>
      <c r="C2097" s="2"/>
    </row>
    <row r="2098" spans="1:3" x14ac:dyDescent="0.25">
      <c r="A2098" s="2"/>
      <c r="C2098" s="2"/>
    </row>
    <row r="2099" spans="1:3" x14ac:dyDescent="0.25">
      <c r="A2099" s="2"/>
      <c r="C2099" s="2"/>
    </row>
    <row r="2100" spans="1:3" x14ac:dyDescent="0.25">
      <c r="A2100" s="2"/>
      <c r="C2100" s="2"/>
    </row>
    <row r="2101" spans="1:3" x14ac:dyDescent="0.25">
      <c r="A2101" s="2"/>
      <c r="C2101" s="2"/>
    </row>
    <row r="2102" spans="1:3" x14ac:dyDescent="0.25">
      <c r="A2102" s="2"/>
      <c r="C2102" s="2"/>
    </row>
    <row r="2103" spans="1:3" x14ac:dyDescent="0.25">
      <c r="A2103" s="2"/>
      <c r="C2103" s="2"/>
    </row>
    <row r="2104" spans="1:3" x14ac:dyDescent="0.25">
      <c r="A2104" s="2"/>
      <c r="C2104" s="2"/>
    </row>
    <row r="2105" spans="1:3" x14ac:dyDescent="0.25">
      <c r="A2105" s="2"/>
      <c r="C2105" s="2"/>
    </row>
    <row r="2106" spans="1:3" x14ac:dyDescent="0.25">
      <c r="A2106" s="2"/>
      <c r="C2106" s="2"/>
    </row>
    <row r="2107" spans="1:3" x14ac:dyDescent="0.25">
      <c r="A2107" s="2"/>
      <c r="C2107" s="2"/>
    </row>
    <row r="2108" spans="1:3" x14ac:dyDescent="0.25">
      <c r="A2108" s="2"/>
      <c r="C2108" s="2"/>
    </row>
    <row r="2109" spans="1:3" x14ac:dyDescent="0.25">
      <c r="A2109" s="2"/>
      <c r="C2109" s="2"/>
    </row>
    <row r="2110" spans="1:3" x14ac:dyDescent="0.25">
      <c r="A2110" s="2"/>
      <c r="C2110" s="2"/>
    </row>
    <row r="2111" spans="1:3" x14ac:dyDescent="0.25">
      <c r="A2111" s="2"/>
      <c r="C2111" s="2"/>
    </row>
    <row r="2112" spans="1:3" x14ac:dyDescent="0.25">
      <c r="A2112" s="2"/>
      <c r="C2112" s="2"/>
    </row>
    <row r="2113" spans="1:3" x14ac:dyDescent="0.25">
      <c r="A2113" s="2"/>
      <c r="C2113" s="2"/>
    </row>
    <row r="2114" spans="1:3" x14ac:dyDescent="0.25">
      <c r="A2114" s="2"/>
      <c r="C2114" s="2"/>
    </row>
    <row r="2115" spans="1:3" x14ac:dyDescent="0.25">
      <c r="A2115" s="2"/>
      <c r="C2115" s="2"/>
    </row>
    <row r="2116" spans="1:3" x14ac:dyDescent="0.25">
      <c r="A2116" s="2"/>
      <c r="C2116" s="2"/>
    </row>
    <row r="2117" spans="1:3" x14ac:dyDescent="0.25">
      <c r="A2117" s="2"/>
      <c r="C2117" s="2"/>
    </row>
    <row r="2118" spans="1:3" x14ac:dyDescent="0.25">
      <c r="A2118" s="2"/>
      <c r="C2118" s="2"/>
    </row>
    <row r="2119" spans="1:3" x14ac:dyDescent="0.25">
      <c r="A2119" s="2"/>
      <c r="C2119" s="2"/>
    </row>
    <row r="2120" spans="1:3" x14ac:dyDescent="0.25">
      <c r="A2120" s="2"/>
      <c r="C2120" s="2"/>
    </row>
    <row r="2121" spans="1:3" x14ac:dyDescent="0.25">
      <c r="A2121" s="2"/>
      <c r="C2121" s="2"/>
    </row>
    <row r="2122" spans="1:3" x14ac:dyDescent="0.25">
      <c r="A2122" s="2"/>
      <c r="C2122" s="2"/>
    </row>
    <row r="2123" spans="1:3" x14ac:dyDescent="0.25">
      <c r="A2123" s="2"/>
      <c r="C2123" s="2"/>
    </row>
    <row r="2124" spans="1:3" x14ac:dyDescent="0.25">
      <c r="A2124" s="2"/>
      <c r="C2124" s="2"/>
    </row>
    <row r="2125" spans="1:3" x14ac:dyDescent="0.25">
      <c r="A2125" s="2"/>
      <c r="C2125" s="2"/>
    </row>
    <row r="2126" spans="1:3" x14ac:dyDescent="0.25">
      <c r="A2126" s="2"/>
      <c r="C2126" s="2"/>
    </row>
    <row r="2127" spans="1:3" x14ac:dyDescent="0.25">
      <c r="A2127" s="2"/>
      <c r="C2127" s="2"/>
    </row>
    <row r="2128" spans="1:3" x14ac:dyDescent="0.25">
      <c r="A2128" s="2"/>
      <c r="C2128" s="2"/>
    </row>
    <row r="2129" spans="1:3" x14ac:dyDescent="0.25">
      <c r="A2129" s="2"/>
      <c r="C2129" s="2"/>
    </row>
    <row r="2130" spans="1:3" x14ac:dyDescent="0.25">
      <c r="A2130" s="2"/>
      <c r="C2130" s="2"/>
    </row>
    <row r="2131" spans="1:3" x14ac:dyDescent="0.25">
      <c r="A2131" s="2"/>
      <c r="C2131" s="2"/>
    </row>
    <row r="2132" spans="1:3" x14ac:dyDescent="0.25">
      <c r="A2132" s="2"/>
      <c r="C2132" s="2"/>
    </row>
    <row r="2133" spans="1:3" x14ac:dyDescent="0.25">
      <c r="A2133" s="2"/>
      <c r="C2133" s="2"/>
    </row>
    <row r="2134" spans="1:3" x14ac:dyDescent="0.25">
      <c r="A2134" s="2"/>
      <c r="C2134" s="2"/>
    </row>
    <row r="2135" spans="1:3" x14ac:dyDescent="0.25">
      <c r="A2135" s="2"/>
      <c r="C2135" s="2"/>
    </row>
    <row r="2136" spans="1:3" x14ac:dyDescent="0.25">
      <c r="A2136" s="2"/>
      <c r="C2136" s="2"/>
    </row>
    <row r="2137" spans="1:3" x14ac:dyDescent="0.25">
      <c r="A2137" s="2"/>
      <c r="C2137" s="2"/>
    </row>
    <row r="2138" spans="1:3" x14ac:dyDescent="0.25">
      <c r="A2138" s="2"/>
      <c r="C2138" s="2"/>
    </row>
    <row r="2139" spans="1:3" x14ac:dyDescent="0.25">
      <c r="A2139" s="2"/>
      <c r="C2139" s="2"/>
    </row>
    <row r="2140" spans="1:3" x14ac:dyDescent="0.25">
      <c r="A2140" s="2"/>
      <c r="C2140" s="2"/>
    </row>
    <row r="2141" spans="1:3" x14ac:dyDescent="0.25">
      <c r="A2141" s="2"/>
      <c r="C2141" s="2"/>
    </row>
    <row r="2142" spans="1:3" x14ac:dyDescent="0.25">
      <c r="A2142" s="2"/>
      <c r="C2142" s="2"/>
    </row>
    <row r="2143" spans="1:3" x14ac:dyDescent="0.25">
      <c r="A2143" s="2"/>
      <c r="C2143" s="2"/>
    </row>
    <row r="2144" spans="1:3" x14ac:dyDescent="0.25">
      <c r="A2144" s="2"/>
      <c r="C2144" s="2"/>
    </row>
    <row r="2145" spans="1:3" x14ac:dyDescent="0.25">
      <c r="A2145" s="2"/>
      <c r="C2145" s="2"/>
    </row>
    <row r="2146" spans="1:3" x14ac:dyDescent="0.25">
      <c r="A2146" s="2"/>
      <c r="C2146" s="2"/>
    </row>
    <row r="2147" spans="1:3" x14ac:dyDescent="0.25">
      <c r="A2147" s="2"/>
      <c r="C2147" s="2"/>
    </row>
    <row r="2148" spans="1:3" x14ac:dyDescent="0.25">
      <c r="A2148" s="2"/>
      <c r="C2148" s="2"/>
    </row>
    <row r="2149" spans="1:3" x14ac:dyDescent="0.25">
      <c r="A2149" s="2"/>
      <c r="C2149" s="2"/>
    </row>
    <row r="2150" spans="1:3" x14ac:dyDescent="0.25">
      <c r="A2150" s="2"/>
      <c r="C2150" s="2"/>
    </row>
    <row r="2151" spans="1:3" x14ac:dyDescent="0.25">
      <c r="A2151" s="2"/>
      <c r="C2151" s="2"/>
    </row>
    <row r="2152" spans="1:3" x14ac:dyDescent="0.25">
      <c r="A2152" s="2"/>
      <c r="C2152" s="2"/>
    </row>
    <row r="2153" spans="1:3" x14ac:dyDescent="0.25">
      <c r="A2153" s="2"/>
      <c r="C2153" s="2"/>
    </row>
    <row r="2154" spans="1:3" x14ac:dyDescent="0.25">
      <c r="A2154" s="2"/>
      <c r="C2154" s="2"/>
    </row>
    <row r="2155" spans="1:3" x14ac:dyDescent="0.25">
      <c r="A2155" s="2"/>
      <c r="C2155" s="2"/>
    </row>
    <row r="2156" spans="1:3" x14ac:dyDescent="0.25">
      <c r="A2156" s="2"/>
      <c r="C2156" s="2"/>
    </row>
    <row r="2157" spans="1:3" x14ac:dyDescent="0.25">
      <c r="A2157" s="2"/>
      <c r="C2157" s="2"/>
    </row>
    <row r="2158" spans="1:3" x14ac:dyDescent="0.25">
      <c r="A2158" s="2"/>
      <c r="C2158" s="2"/>
    </row>
    <row r="2159" spans="1:3" x14ac:dyDescent="0.25">
      <c r="A2159" s="2"/>
      <c r="C2159" s="2"/>
    </row>
    <row r="2160" spans="1:3" x14ac:dyDescent="0.25">
      <c r="A2160" s="2"/>
      <c r="C2160" s="2"/>
    </row>
    <row r="2161" spans="1:3" x14ac:dyDescent="0.25">
      <c r="A2161" s="2"/>
      <c r="C2161" s="2"/>
    </row>
    <row r="2162" spans="1:3" x14ac:dyDescent="0.25">
      <c r="A2162" s="2"/>
      <c r="C2162" s="2"/>
    </row>
    <row r="2163" spans="1:3" x14ac:dyDescent="0.25">
      <c r="A2163" s="2"/>
      <c r="C2163" s="2"/>
    </row>
    <row r="2164" spans="1:3" x14ac:dyDescent="0.25">
      <c r="A2164" s="2"/>
      <c r="C2164" s="2"/>
    </row>
    <row r="2165" spans="1:3" x14ac:dyDescent="0.25">
      <c r="A2165" s="2"/>
      <c r="C2165" s="2"/>
    </row>
    <row r="2166" spans="1:3" x14ac:dyDescent="0.25">
      <c r="A2166" s="2"/>
      <c r="C2166" s="2"/>
    </row>
    <row r="2167" spans="1:3" x14ac:dyDescent="0.25">
      <c r="A2167" s="2"/>
      <c r="C2167" s="2"/>
    </row>
    <row r="2168" spans="1:3" x14ac:dyDescent="0.25">
      <c r="A2168" s="2"/>
      <c r="C2168" s="2"/>
    </row>
    <row r="2169" spans="1:3" x14ac:dyDescent="0.25">
      <c r="A2169" s="2"/>
      <c r="C2169" s="2"/>
    </row>
    <row r="2170" spans="1:3" x14ac:dyDescent="0.25">
      <c r="A2170" s="2"/>
      <c r="C2170" s="2"/>
    </row>
    <row r="2171" spans="1:3" x14ac:dyDescent="0.25">
      <c r="A2171" s="2"/>
      <c r="C2171" s="2"/>
    </row>
    <row r="2172" spans="1:3" x14ac:dyDescent="0.25">
      <c r="A2172" s="2"/>
      <c r="C2172" s="2"/>
    </row>
    <row r="2173" spans="1:3" x14ac:dyDescent="0.25">
      <c r="A2173" s="2"/>
      <c r="C2173" s="2"/>
    </row>
    <row r="2174" spans="1:3" x14ac:dyDescent="0.25">
      <c r="A2174" s="2"/>
      <c r="C2174" s="2"/>
    </row>
    <row r="2175" spans="1:3" x14ac:dyDescent="0.25">
      <c r="A2175" s="2"/>
      <c r="C2175" s="2"/>
    </row>
    <row r="2176" spans="1:3" x14ac:dyDescent="0.25">
      <c r="A2176" s="2"/>
      <c r="C2176" s="2"/>
    </row>
    <row r="2177" spans="1:3" x14ac:dyDescent="0.25">
      <c r="A2177" s="2"/>
      <c r="C2177" s="2"/>
    </row>
    <row r="2178" spans="1:3" x14ac:dyDescent="0.25">
      <c r="A2178" s="2"/>
      <c r="C2178" s="2"/>
    </row>
    <row r="2179" spans="1:3" x14ac:dyDescent="0.25">
      <c r="A2179" s="2"/>
      <c r="C2179" s="2"/>
    </row>
    <row r="2180" spans="1:3" x14ac:dyDescent="0.25">
      <c r="A2180" s="2"/>
      <c r="C2180" s="2"/>
    </row>
    <row r="2181" spans="1:3" x14ac:dyDescent="0.25">
      <c r="A2181" s="2"/>
      <c r="C2181" s="2"/>
    </row>
    <row r="2182" spans="1:3" x14ac:dyDescent="0.25">
      <c r="A2182" s="2"/>
      <c r="C2182" s="2"/>
    </row>
    <row r="2183" spans="1:3" x14ac:dyDescent="0.25">
      <c r="A2183" s="2"/>
      <c r="C2183" s="2"/>
    </row>
    <row r="2184" spans="1:3" x14ac:dyDescent="0.25">
      <c r="A2184" s="2"/>
      <c r="C2184" s="2"/>
    </row>
    <row r="2185" spans="1:3" x14ac:dyDescent="0.25">
      <c r="A2185" s="2"/>
      <c r="C2185" s="2"/>
    </row>
    <row r="2186" spans="1:3" x14ac:dyDescent="0.25">
      <c r="A2186" s="2"/>
      <c r="C2186" s="2"/>
    </row>
    <row r="2187" spans="1:3" x14ac:dyDescent="0.25">
      <c r="A2187" s="2"/>
      <c r="C2187" s="2"/>
    </row>
    <row r="2188" spans="1:3" x14ac:dyDescent="0.25">
      <c r="A2188" s="2"/>
      <c r="C2188" s="2"/>
    </row>
    <row r="2189" spans="1:3" x14ac:dyDescent="0.25">
      <c r="A2189" s="2"/>
      <c r="C2189" s="2"/>
    </row>
    <row r="2190" spans="1:3" x14ac:dyDescent="0.25">
      <c r="A2190" s="2"/>
      <c r="C2190" s="2"/>
    </row>
    <row r="2191" spans="1:3" x14ac:dyDescent="0.25">
      <c r="A2191" s="2"/>
      <c r="C2191" s="2"/>
    </row>
    <row r="2192" spans="1:3" x14ac:dyDescent="0.25">
      <c r="A2192" s="2"/>
      <c r="C2192" s="2"/>
    </row>
    <row r="2193" spans="1:3" x14ac:dyDescent="0.25">
      <c r="A2193" s="2"/>
      <c r="C2193" s="2"/>
    </row>
    <row r="2194" spans="1:3" x14ac:dyDescent="0.25">
      <c r="A2194" s="2"/>
      <c r="C2194" s="2"/>
    </row>
    <row r="2195" spans="1:3" x14ac:dyDescent="0.25">
      <c r="A2195" s="2"/>
      <c r="C2195" s="2"/>
    </row>
    <row r="2196" spans="1:3" x14ac:dyDescent="0.25">
      <c r="A2196" s="2"/>
      <c r="C2196" s="2"/>
    </row>
    <row r="2197" spans="1:3" x14ac:dyDescent="0.25">
      <c r="A2197" s="2"/>
      <c r="C2197" s="2"/>
    </row>
    <row r="2198" spans="1:3" x14ac:dyDescent="0.25">
      <c r="A2198" s="2"/>
      <c r="C2198" s="2"/>
    </row>
    <row r="2199" spans="1:3" x14ac:dyDescent="0.25">
      <c r="A2199" s="2"/>
      <c r="C2199" s="2"/>
    </row>
    <row r="2200" spans="1:3" x14ac:dyDescent="0.25">
      <c r="A2200" s="2"/>
      <c r="C2200" s="2"/>
    </row>
    <row r="2201" spans="1:3" x14ac:dyDescent="0.25">
      <c r="A2201" s="2"/>
      <c r="C2201" s="2"/>
    </row>
    <row r="2202" spans="1:3" x14ac:dyDescent="0.25">
      <c r="A2202" s="2"/>
      <c r="C2202" s="2"/>
    </row>
    <row r="2203" spans="1:3" x14ac:dyDescent="0.25">
      <c r="A2203" s="2"/>
      <c r="C2203" s="2"/>
    </row>
    <row r="2204" spans="1:3" x14ac:dyDescent="0.25">
      <c r="A2204" s="2"/>
      <c r="C2204" s="2"/>
    </row>
    <row r="2205" spans="1:3" x14ac:dyDescent="0.25">
      <c r="A2205" s="2"/>
      <c r="C2205" s="2"/>
    </row>
    <row r="2206" spans="1:3" x14ac:dyDescent="0.25">
      <c r="A2206" s="2"/>
      <c r="C2206" s="2"/>
    </row>
    <row r="2207" spans="1:3" x14ac:dyDescent="0.25">
      <c r="A2207" s="2"/>
      <c r="C2207" s="2"/>
    </row>
    <row r="2208" spans="1:3" x14ac:dyDescent="0.25">
      <c r="A2208" s="2"/>
      <c r="C2208" s="2"/>
    </row>
    <row r="2209" spans="1:3" x14ac:dyDescent="0.25">
      <c r="A2209" s="2"/>
      <c r="C2209" s="2"/>
    </row>
    <row r="2210" spans="1:3" x14ac:dyDescent="0.25">
      <c r="A2210" s="2"/>
      <c r="C2210" s="2"/>
    </row>
    <row r="2211" spans="1:3" x14ac:dyDescent="0.25">
      <c r="A2211" s="2"/>
      <c r="C2211" s="2"/>
    </row>
    <row r="2212" spans="1:3" x14ac:dyDescent="0.25">
      <c r="A2212" s="2"/>
      <c r="C2212" s="2"/>
    </row>
    <row r="2213" spans="1:3" x14ac:dyDescent="0.25">
      <c r="A2213" s="2"/>
      <c r="C2213" s="2"/>
    </row>
    <row r="2214" spans="1:3" x14ac:dyDescent="0.25">
      <c r="A2214" s="2"/>
      <c r="C2214" s="2"/>
    </row>
    <row r="2215" spans="1:3" x14ac:dyDescent="0.25">
      <c r="A2215" s="2"/>
      <c r="C2215" s="2"/>
    </row>
    <row r="2216" spans="1:3" x14ac:dyDescent="0.25">
      <c r="A2216" s="2"/>
      <c r="C2216" s="2"/>
    </row>
    <row r="2217" spans="1:3" x14ac:dyDescent="0.25">
      <c r="A2217" s="2"/>
      <c r="C2217" s="2"/>
    </row>
    <row r="2218" spans="1:3" x14ac:dyDescent="0.25">
      <c r="A2218" s="2"/>
      <c r="C2218" s="2"/>
    </row>
    <row r="2219" spans="1:3" x14ac:dyDescent="0.25">
      <c r="A2219" s="2"/>
      <c r="C2219" s="2"/>
    </row>
    <row r="2220" spans="1:3" x14ac:dyDescent="0.25">
      <c r="A2220" s="2"/>
      <c r="C2220" s="2"/>
    </row>
    <row r="2221" spans="1:3" x14ac:dyDescent="0.25">
      <c r="A2221" s="2"/>
      <c r="C2221" s="2"/>
    </row>
    <row r="2222" spans="1:3" x14ac:dyDescent="0.25">
      <c r="A2222" s="2"/>
      <c r="C2222" s="2"/>
    </row>
    <row r="2223" spans="1:3" x14ac:dyDescent="0.25">
      <c r="A2223" s="2"/>
      <c r="C2223" s="2"/>
    </row>
    <row r="2224" spans="1:3" x14ac:dyDescent="0.25">
      <c r="A2224" s="2"/>
      <c r="C2224" s="2"/>
    </row>
    <row r="2225" spans="1:3" x14ac:dyDescent="0.25">
      <c r="A2225" s="2"/>
      <c r="C2225" s="2"/>
    </row>
    <row r="2226" spans="1:3" x14ac:dyDescent="0.25">
      <c r="A2226" s="2"/>
      <c r="C2226" s="2"/>
    </row>
    <row r="2227" spans="1:3" x14ac:dyDescent="0.25">
      <c r="A2227" s="2"/>
      <c r="C2227" s="2"/>
    </row>
    <row r="2228" spans="1:3" x14ac:dyDescent="0.25">
      <c r="A2228" s="2"/>
      <c r="C2228" s="2"/>
    </row>
    <row r="2229" spans="1:3" x14ac:dyDescent="0.25">
      <c r="A2229" s="2"/>
      <c r="C2229" s="2"/>
    </row>
    <row r="2230" spans="1:3" x14ac:dyDescent="0.25">
      <c r="A2230" s="2"/>
      <c r="C2230" s="2"/>
    </row>
    <row r="2231" spans="1:3" x14ac:dyDescent="0.25">
      <c r="A2231" s="2"/>
      <c r="C2231" s="2"/>
    </row>
    <row r="2232" spans="1:3" x14ac:dyDescent="0.25">
      <c r="A2232" s="2"/>
      <c r="C2232" s="2"/>
    </row>
    <row r="2233" spans="1:3" x14ac:dyDescent="0.25">
      <c r="A2233" s="2"/>
      <c r="C2233" s="2"/>
    </row>
    <row r="2234" spans="1:3" x14ac:dyDescent="0.25">
      <c r="A2234" s="2"/>
      <c r="C2234" s="2"/>
    </row>
    <row r="2235" spans="1:3" x14ac:dyDescent="0.25">
      <c r="A2235" s="2"/>
      <c r="C2235" s="2"/>
    </row>
    <row r="2236" spans="1:3" x14ac:dyDescent="0.25">
      <c r="A2236" s="2"/>
      <c r="C2236" s="2"/>
    </row>
    <row r="2237" spans="1:3" x14ac:dyDescent="0.25">
      <c r="A2237" s="2"/>
      <c r="C2237" s="2"/>
    </row>
    <row r="2238" spans="1:3" x14ac:dyDescent="0.25">
      <c r="A2238" s="2"/>
      <c r="C2238" s="2"/>
    </row>
    <row r="2239" spans="1:3" x14ac:dyDescent="0.25">
      <c r="A2239" s="2"/>
      <c r="C2239" s="2"/>
    </row>
    <row r="2240" spans="1:3" x14ac:dyDescent="0.25">
      <c r="A2240" s="2"/>
      <c r="C2240" s="2"/>
    </row>
    <row r="2241" spans="1:3" x14ac:dyDescent="0.25">
      <c r="A2241" s="2"/>
      <c r="C2241" s="2"/>
    </row>
    <row r="2242" spans="1:3" x14ac:dyDescent="0.25">
      <c r="A2242" s="2"/>
      <c r="C2242" s="2"/>
    </row>
    <row r="2243" spans="1:3" x14ac:dyDescent="0.25">
      <c r="A2243" s="2"/>
      <c r="C2243" s="2"/>
    </row>
    <row r="2244" spans="1:3" x14ac:dyDescent="0.25">
      <c r="A2244" s="2"/>
      <c r="C2244" s="2"/>
    </row>
    <row r="2245" spans="1:3" x14ac:dyDescent="0.25">
      <c r="A2245" s="2"/>
      <c r="C2245" s="2"/>
    </row>
    <row r="2246" spans="1:3" x14ac:dyDescent="0.25">
      <c r="A2246" s="2"/>
      <c r="C2246" s="2"/>
    </row>
    <row r="2247" spans="1:3" x14ac:dyDescent="0.25">
      <c r="A2247" s="2"/>
      <c r="C2247" s="2"/>
    </row>
    <row r="2248" spans="1:3" x14ac:dyDescent="0.25">
      <c r="A2248" s="2"/>
      <c r="C2248" s="2"/>
    </row>
    <row r="2249" spans="1:3" x14ac:dyDescent="0.25">
      <c r="A2249" s="2"/>
      <c r="C2249" s="2"/>
    </row>
    <row r="2250" spans="1:3" x14ac:dyDescent="0.25">
      <c r="A2250" s="2"/>
      <c r="C2250" s="2"/>
    </row>
    <row r="2251" spans="1:3" x14ac:dyDescent="0.25">
      <c r="A2251" s="2"/>
      <c r="C2251" s="2"/>
    </row>
    <row r="2252" spans="1:3" x14ac:dyDescent="0.25">
      <c r="A2252" s="2"/>
      <c r="C2252" s="2"/>
    </row>
    <row r="2253" spans="1:3" x14ac:dyDescent="0.25">
      <c r="A2253" s="2"/>
      <c r="C2253" s="2"/>
    </row>
    <row r="2254" spans="1:3" x14ac:dyDescent="0.25">
      <c r="A2254" s="2"/>
      <c r="C2254" s="2"/>
    </row>
    <row r="2255" spans="1:3" x14ac:dyDescent="0.25">
      <c r="A2255" s="2"/>
      <c r="C2255" s="2"/>
    </row>
    <row r="2256" spans="1:3" x14ac:dyDescent="0.25">
      <c r="A2256" s="2"/>
      <c r="C2256" s="2"/>
    </row>
    <row r="2257" spans="1:3" x14ac:dyDescent="0.25">
      <c r="A2257" s="2"/>
      <c r="C2257" s="2"/>
    </row>
    <row r="2258" spans="1:3" x14ac:dyDescent="0.25">
      <c r="A2258" s="2"/>
      <c r="C2258" s="2"/>
    </row>
    <row r="2259" spans="1:3" x14ac:dyDescent="0.25">
      <c r="A2259" s="2"/>
      <c r="C2259" s="2"/>
    </row>
    <row r="2260" spans="1:3" x14ac:dyDescent="0.25">
      <c r="A2260" s="2"/>
      <c r="C2260" s="2"/>
    </row>
    <row r="2261" spans="1:3" x14ac:dyDescent="0.25">
      <c r="A2261" s="2"/>
      <c r="C2261" s="2"/>
    </row>
    <row r="2262" spans="1:3" x14ac:dyDescent="0.25">
      <c r="A2262" s="2"/>
      <c r="C2262" s="2"/>
    </row>
    <row r="2263" spans="1:3" x14ac:dyDescent="0.25">
      <c r="A2263" s="2"/>
      <c r="C2263" s="2"/>
    </row>
    <row r="2264" spans="1:3" x14ac:dyDescent="0.25">
      <c r="A2264" s="2"/>
      <c r="C2264" s="2"/>
    </row>
    <row r="2265" spans="1:3" x14ac:dyDescent="0.25">
      <c r="A2265" s="2"/>
      <c r="C2265" s="2"/>
    </row>
    <row r="2266" spans="1:3" x14ac:dyDescent="0.25">
      <c r="A2266" s="2"/>
      <c r="C2266" s="2"/>
    </row>
    <row r="2267" spans="1:3" x14ac:dyDescent="0.25">
      <c r="A2267" s="2"/>
      <c r="C2267" s="2"/>
    </row>
    <row r="2268" spans="1:3" x14ac:dyDescent="0.25">
      <c r="A2268" s="2"/>
      <c r="C2268" s="2"/>
    </row>
    <row r="2269" spans="1:3" x14ac:dyDescent="0.25">
      <c r="A2269" s="2"/>
      <c r="C2269" s="2"/>
    </row>
    <row r="2270" spans="1:3" x14ac:dyDescent="0.25">
      <c r="A2270" s="2"/>
      <c r="C2270" s="2"/>
    </row>
    <row r="2271" spans="1:3" x14ac:dyDescent="0.25">
      <c r="A2271" s="2"/>
      <c r="C2271" s="2"/>
    </row>
    <row r="2272" spans="1:3" x14ac:dyDescent="0.25">
      <c r="A2272" s="2"/>
      <c r="C2272" s="2"/>
    </row>
    <row r="2273" spans="1:3" x14ac:dyDescent="0.25">
      <c r="A2273" s="2"/>
      <c r="C2273" s="2"/>
    </row>
    <row r="2274" spans="1:3" x14ac:dyDescent="0.25">
      <c r="A2274" s="2"/>
      <c r="C2274" s="2"/>
    </row>
    <row r="2275" spans="1:3" x14ac:dyDescent="0.25">
      <c r="A2275" s="2"/>
      <c r="C2275" s="2"/>
    </row>
    <row r="2276" spans="1:3" x14ac:dyDescent="0.25">
      <c r="A2276" s="2"/>
      <c r="C2276" s="2"/>
    </row>
    <row r="2277" spans="1:3" x14ac:dyDescent="0.25">
      <c r="A2277" s="2"/>
      <c r="C2277" s="2"/>
    </row>
    <row r="2278" spans="1:3" x14ac:dyDescent="0.25">
      <c r="A2278" s="2"/>
      <c r="C2278" s="2"/>
    </row>
    <row r="2279" spans="1:3" x14ac:dyDescent="0.25">
      <c r="A2279" s="2"/>
      <c r="C2279" s="2"/>
    </row>
    <row r="2280" spans="1:3" x14ac:dyDescent="0.25">
      <c r="A2280" s="2"/>
      <c r="C2280" s="2"/>
    </row>
    <row r="2281" spans="1:3" x14ac:dyDescent="0.25">
      <c r="A2281" s="2"/>
      <c r="C2281" s="2"/>
    </row>
    <row r="2282" spans="1:3" x14ac:dyDescent="0.25">
      <c r="A2282" s="2"/>
      <c r="C2282" s="2"/>
    </row>
    <row r="2283" spans="1:3" x14ac:dyDescent="0.25">
      <c r="A2283" s="2"/>
      <c r="C2283" s="2"/>
    </row>
    <row r="2284" spans="1:3" x14ac:dyDescent="0.25">
      <c r="A2284" s="2"/>
      <c r="C2284" s="2"/>
    </row>
    <row r="2285" spans="1:3" x14ac:dyDescent="0.25">
      <c r="A2285" s="2"/>
      <c r="C2285" s="2"/>
    </row>
    <row r="2286" spans="1:3" x14ac:dyDescent="0.25">
      <c r="A2286" s="2"/>
      <c r="C2286" s="2"/>
    </row>
    <row r="2287" spans="1:3" x14ac:dyDescent="0.25">
      <c r="A2287" s="2"/>
      <c r="C2287" s="2"/>
    </row>
    <row r="2288" spans="1:3" x14ac:dyDescent="0.25">
      <c r="A2288" s="2"/>
      <c r="C2288" s="2"/>
    </row>
    <row r="2289" spans="1:3" x14ac:dyDescent="0.25">
      <c r="A2289" s="2"/>
      <c r="C2289" s="2"/>
    </row>
    <row r="2290" spans="1:3" x14ac:dyDescent="0.25">
      <c r="A2290" s="2"/>
      <c r="C2290" s="2"/>
    </row>
    <row r="2291" spans="1:3" x14ac:dyDescent="0.25">
      <c r="A2291" s="2"/>
      <c r="C2291" s="2"/>
    </row>
    <row r="2292" spans="1:3" x14ac:dyDescent="0.25">
      <c r="A2292" s="2"/>
      <c r="C2292" s="2"/>
    </row>
    <row r="2293" spans="1:3" x14ac:dyDescent="0.25">
      <c r="A2293" s="2"/>
      <c r="C2293" s="2"/>
    </row>
    <row r="2294" spans="1:3" x14ac:dyDescent="0.25">
      <c r="A2294" s="2"/>
      <c r="C2294" s="2"/>
    </row>
    <row r="2295" spans="1:3" x14ac:dyDescent="0.25">
      <c r="A2295" s="2"/>
      <c r="C2295" s="2"/>
    </row>
    <row r="2296" spans="1:3" x14ac:dyDescent="0.25">
      <c r="A2296" s="2"/>
      <c r="C2296" s="2"/>
    </row>
    <row r="2297" spans="1:3" x14ac:dyDescent="0.25">
      <c r="A2297" s="2"/>
      <c r="C2297" s="2"/>
    </row>
    <row r="2298" spans="1:3" x14ac:dyDescent="0.25">
      <c r="A2298" s="2"/>
      <c r="C2298" s="2"/>
    </row>
    <row r="2299" spans="1:3" x14ac:dyDescent="0.25">
      <c r="A2299" s="2"/>
      <c r="C2299" s="2"/>
    </row>
    <row r="2300" spans="1:3" x14ac:dyDescent="0.25">
      <c r="A2300" s="2"/>
      <c r="C2300" s="2"/>
    </row>
    <row r="2301" spans="1:3" x14ac:dyDescent="0.25">
      <c r="A2301" s="2"/>
      <c r="C2301" s="2"/>
    </row>
    <row r="2302" spans="1:3" x14ac:dyDescent="0.25">
      <c r="A2302" s="2"/>
      <c r="C2302" s="2"/>
    </row>
    <row r="2303" spans="1:3" x14ac:dyDescent="0.25">
      <c r="A2303" s="2"/>
      <c r="C2303" s="2"/>
    </row>
    <row r="2304" spans="1:3" x14ac:dyDescent="0.25">
      <c r="A2304" s="2"/>
      <c r="C2304" s="2"/>
    </row>
    <row r="2305" spans="1:3" x14ac:dyDescent="0.25">
      <c r="A2305" s="2"/>
      <c r="C2305" s="2"/>
    </row>
    <row r="2306" spans="1:3" x14ac:dyDescent="0.25">
      <c r="A2306" s="2"/>
      <c r="C2306" s="2"/>
    </row>
    <row r="2307" spans="1:3" x14ac:dyDescent="0.25">
      <c r="A2307" s="2"/>
      <c r="C2307" s="2"/>
    </row>
    <row r="2308" spans="1:3" x14ac:dyDescent="0.25">
      <c r="A2308" s="2"/>
      <c r="C2308" s="2"/>
    </row>
    <row r="2309" spans="1:3" x14ac:dyDescent="0.25">
      <c r="A2309" s="2"/>
      <c r="C2309" s="2"/>
    </row>
    <row r="2310" spans="1:3" x14ac:dyDescent="0.25">
      <c r="A2310" s="2"/>
      <c r="C2310" s="2"/>
    </row>
    <row r="2311" spans="1:3" x14ac:dyDescent="0.25">
      <c r="A2311" s="2"/>
      <c r="C2311" s="2"/>
    </row>
    <row r="2312" spans="1:3" x14ac:dyDescent="0.25">
      <c r="A2312" s="2"/>
      <c r="C2312" s="2"/>
    </row>
    <row r="2313" spans="1:3" x14ac:dyDescent="0.25">
      <c r="A2313" s="2"/>
      <c r="C2313" s="2"/>
    </row>
    <row r="2314" spans="1:3" x14ac:dyDescent="0.25">
      <c r="A2314" s="2"/>
      <c r="C2314" s="2"/>
    </row>
    <row r="2315" spans="1:3" x14ac:dyDescent="0.25">
      <c r="A2315" s="2"/>
      <c r="C2315" s="2"/>
    </row>
    <row r="2316" spans="1:3" x14ac:dyDescent="0.25">
      <c r="A2316" s="2"/>
      <c r="C2316" s="2"/>
    </row>
    <row r="2317" spans="1:3" x14ac:dyDescent="0.25">
      <c r="A2317" s="2"/>
      <c r="C2317" s="2"/>
    </row>
    <row r="2318" spans="1:3" x14ac:dyDescent="0.25">
      <c r="A2318" s="2"/>
      <c r="C2318" s="2"/>
    </row>
    <row r="2319" spans="1:3" x14ac:dyDescent="0.25">
      <c r="A2319" s="2"/>
      <c r="C2319" s="2"/>
    </row>
    <row r="2320" spans="1:3" x14ac:dyDescent="0.25">
      <c r="A2320" s="2"/>
      <c r="C2320" s="2"/>
    </row>
    <row r="2321" spans="1:3" x14ac:dyDescent="0.25">
      <c r="A2321" s="2"/>
      <c r="C2321" s="2"/>
    </row>
    <row r="2322" spans="1:3" x14ac:dyDescent="0.25">
      <c r="A2322" s="2"/>
      <c r="C2322" s="2"/>
    </row>
    <row r="2323" spans="1:3" x14ac:dyDescent="0.25">
      <c r="A2323" s="2"/>
      <c r="C2323" s="2"/>
    </row>
    <row r="2324" spans="1:3" x14ac:dyDescent="0.25">
      <c r="A2324" s="2"/>
      <c r="C2324" s="2"/>
    </row>
    <row r="2325" spans="1:3" x14ac:dyDescent="0.25">
      <c r="A2325" s="2"/>
      <c r="C2325" s="2"/>
    </row>
    <row r="2326" spans="1:3" x14ac:dyDescent="0.25">
      <c r="A2326" s="2"/>
      <c r="C2326" s="2"/>
    </row>
    <row r="2327" spans="1:3" x14ac:dyDescent="0.25">
      <c r="A2327" s="2"/>
      <c r="C2327" s="2"/>
    </row>
    <row r="2328" spans="1:3" x14ac:dyDescent="0.25">
      <c r="A2328" s="2"/>
      <c r="C2328" s="2"/>
    </row>
    <row r="2329" spans="1:3" x14ac:dyDescent="0.25">
      <c r="A2329" s="2"/>
      <c r="C2329" s="2"/>
    </row>
    <row r="2330" spans="1:3" x14ac:dyDescent="0.25">
      <c r="A2330" s="2"/>
      <c r="C2330" s="2"/>
    </row>
    <row r="2331" spans="1:3" x14ac:dyDescent="0.25">
      <c r="A2331" s="2"/>
      <c r="C2331" s="2"/>
    </row>
    <row r="2332" spans="1:3" x14ac:dyDescent="0.25">
      <c r="A2332" s="2"/>
      <c r="C2332" s="2"/>
    </row>
    <row r="2333" spans="1:3" x14ac:dyDescent="0.25">
      <c r="A2333" s="2"/>
      <c r="C2333" s="2"/>
    </row>
    <row r="2334" spans="1:3" x14ac:dyDescent="0.25">
      <c r="A2334" s="2"/>
      <c r="C2334" s="2"/>
    </row>
    <row r="2335" spans="1:3" x14ac:dyDescent="0.25">
      <c r="A2335" s="2"/>
      <c r="C2335" s="2"/>
    </row>
    <row r="2336" spans="1:3" x14ac:dyDescent="0.25">
      <c r="A2336" s="2"/>
      <c r="C2336" s="2"/>
    </row>
    <row r="2337" spans="1:3" x14ac:dyDescent="0.25">
      <c r="A2337" s="2"/>
      <c r="C2337" s="2"/>
    </row>
    <row r="2338" spans="1:3" x14ac:dyDescent="0.25">
      <c r="A2338" s="2"/>
      <c r="C2338" s="2"/>
    </row>
    <row r="2339" spans="1:3" x14ac:dyDescent="0.25">
      <c r="A2339" s="2"/>
      <c r="C2339" s="2"/>
    </row>
    <row r="2340" spans="1:3" x14ac:dyDescent="0.25">
      <c r="A2340" s="2"/>
      <c r="C2340" s="2"/>
    </row>
    <row r="2341" spans="1:3" x14ac:dyDescent="0.25">
      <c r="A2341" s="2"/>
      <c r="C2341" s="2"/>
    </row>
    <row r="2342" spans="1:3" x14ac:dyDescent="0.25">
      <c r="A2342" s="2"/>
      <c r="C2342" s="2"/>
    </row>
    <row r="2343" spans="1:3" x14ac:dyDescent="0.25">
      <c r="A2343" s="2"/>
      <c r="C2343" s="2"/>
    </row>
    <row r="2344" spans="1:3" x14ac:dyDescent="0.25">
      <c r="A2344" s="2"/>
      <c r="C2344" s="2"/>
    </row>
    <row r="2345" spans="1:3" x14ac:dyDescent="0.25">
      <c r="A2345" s="2"/>
      <c r="C2345" s="2"/>
    </row>
    <row r="2346" spans="1:3" x14ac:dyDescent="0.25">
      <c r="A2346" s="2"/>
      <c r="C2346" s="2"/>
    </row>
    <row r="2347" spans="1:3" x14ac:dyDescent="0.25">
      <c r="A2347" s="2"/>
      <c r="C2347" s="2"/>
    </row>
    <row r="2348" spans="1:3" x14ac:dyDescent="0.25">
      <c r="A2348" s="2"/>
      <c r="C2348" s="2"/>
    </row>
    <row r="2349" spans="1:3" x14ac:dyDescent="0.25">
      <c r="A2349" s="2"/>
      <c r="C2349" s="2"/>
    </row>
    <row r="2350" spans="1:3" x14ac:dyDescent="0.25">
      <c r="A2350" s="2"/>
      <c r="C2350" s="2"/>
    </row>
    <row r="2351" spans="1:3" x14ac:dyDescent="0.25">
      <c r="A2351" s="2"/>
      <c r="C2351" s="2"/>
    </row>
    <row r="2352" spans="1:3" x14ac:dyDescent="0.25">
      <c r="A2352" s="2"/>
      <c r="C2352" s="2"/>
    </row>
    <row r="2353" spans="1:3" x14ac:dyDescent="0.25">
      <c r="A2353" s="2"/>
      <c r="C2353" s="2"/>
    </row>
    <row r="2354" spans="1:3" x14ac:dyDescent="0.25">
      <c r="A2354" s="2"/>
      <c r="C2354" s="2"/>
    </row>
    <row r="2355" spans="1:3" x14ac:dyDescent="0.25">
      <c r="A2355" s="2"/>
      <c r="C2355" s="2"/>
    </row>
    <row r="2356" spans="1:3" x14ac:dyDescent="0.25">
      <c r="A2356" s="2"/>
      <c r="C2356" s="2"/>
    </row>
    <row r="2357" spans="1:3" x14ac:dyDescent="0.25">
      <c r="A2357" s="2"/>
      <c r="C2357" s="2"/>
    </row>
    <row r="2358" spans="1:3" x14ac:dyDescent="0.25">
      <c r="A2358" s="2"/>
      <c r="C2358" s="2"/>
    </row>
    <row r="2359" spans="1:3" x14ac:dyDescent="0.25">
      <c r="A2359" s="2"/>
      <c r="C2359" s="2"/>
    </row>
    <row r="2360" spans="1:3" x14ac:dyDescent="0.25">
      <c r="A2360" s="2"/>
      <c r="C2360" s="2"/>
    </row>
    <row r="2361" spans="1:3" x14ac:dyDescent="0.25">
      <c r="A2361" s="2"/>
      <c r="C2361" s="2"/>
    </row>
    <row r="2362" spans="1:3" x14ac:dyDescent="0.25">
      <c r="A2362" s="2"/>
      <c r="C2362" s="2"/>
    </row>
    <row r="2363" spans="1:3" x14ac:dyDescent="0.25">
      <c r="A2363" s="2"/>
      <c r="C2363" s="2"/>
    </row>
    <row r="2364" spans="1:3" x14ac:dyDescent="0.25">
      <c r="A2364" s="2"/>
      <c r="C2364" s="2"/>
    </row>
    <row r="2365" spans="1:3" x14ac:dyDescent="0.25">
      <c r="A2365" s="2"/>
      <c r="C2365" s="2"/>
    </row>
    <row r="2366" spans="1:3" x14ac:dyDescent="0.25">
      <c r="A2366" s="2"/>
      <c r="C2366" s="2"/>
    </row>
    <row r="2367" spans="1:3" x14ac:dyDescent="0.25">
      <c r="A2367" s="2"/>
      <c r="C2367" s="2"/>
    </row>
    <row r="2368" spans="1:3" x14ac:dyDescent="0.25">
      <c r="A2368" s="2"/>
      <c r="C2368" s="2"/>
    </row>
    <row r="2369" spans="1:3" x14ac:dyDescent="0.25">
      <c r="A2369" s="2"/>
      <c r="C2369" s="2"/>
    </row>
    <row r="2370" spans="1:3" x14ac:dyDescent="0.25">
      <c r="A2370" s="2"/>
      <c r="C2370" s="2"/>
    </row>
    <row r="2371" spans="1:3" x14ac:dyDescent="0.25">
      <c r="A2371" s="2"/>
      <c r="C2371" s="2"/>
    </row>
    <row r="2372" spans="1:3" x14ac:dyDescent="0.25">
      <c r="A2372" s="2"/>
      <c r="C2372" s="2"/>
    </row>
    <row r="2373" spans="1:3" x14ac:dyDescent="0.25">
      <c r="A2373" s="2"/>
      <c r="C2373" s="2"/>
    </row>
    <row r="2374" spans="1:3" x14ac:dyDescent="0.25">
      <c r="A2374" s="2"/>
      <c r="C2374" s="2"/>
    </row>
    <row r="2375" spans="1:3" x14ac:dyDescent="0.25">
      <c r="A2375" s="2"/>
      <c r="C2375" s="2"/>
    </row>
    <row r="2376" spans="1:3" x14ac:dyDescent="0.25">
      <c r="A2376" s="2"/>
      <c r="C2376" s="2"/>
    </row>
    <row r="2377" spans="1:3" x14ac:dyDescent="0.25">
      <c r="A2377" s="2"/>
      <c r="C2377" s="2"/>
    </row>
    <row r="2378" spans="1:3" x14ac:dyDescent="0.25">
      <c r="A2378" s="2"/>
      <c r="C2378" s="2"/>
    </row>
    <row r="2379" spans="1:3" x14ac:dyDescent="0.25">
      <c r="A2379" s="2"/>
      <c r="C2379" s="2"/>
    </row>
    <row r="2380" spans="1:3" x14ac:dyDescent="0.25">
      <c r="A2380" s="2"/>
      <c r="C2380" s="2"/>
    </row>
    <row r="2381" spans="1:3" x14ac:dyDescent="0.25">
      <c r="A2381" s="2"/>
      <c r="C2381" s="2"/>
    </row>
    <row r="2382" spans="1:3" x14ac:dyDescent="0.25">
      <c r="A2382" s="2"/>
      <c r="C2382" s="2"/>
    </row>
    <row r="2383" spans="1:3" x14ac:dyDescent="0.25">
      <c r="A2383" s="2"/>
      <c r="C2383" s="2"/>
    </row>
    <row r="2384" spans="1:3" x14ac:dyDescent="0.25">
      <c r="A2384" s="2"/>
      <c r="C2384" s="2"/>
    </row>
    <row r="2385" spans="1:3" x14ac:dyDescent="0.25">
      <c r="A2385" s="2"/>
      <c r="C2385" s="2"/>
    </row>
    <row r="2386" spans="1:3" x14ac:dyDescent="0.25">
      <c r="A2386" s="2"/>
      <c r="C2386" s="2"/>
    </row>
    <row r="2387" spans="1:3" x14ac:dyDescent="0.25">
      <c r="A2387" s="2"/>
      <c r="C2387" s="2"/>
    </row>
    <row r="2388" spans="1:3" x14ac:dyDescent="0.25">
      <c r="A2388" s="2"/>
      <c r="C2388" s="2"/>
    </row>
    <row r="2389" spans="1:3" x14ac:dyDescent="0.25">
      <c r="A2389" s="2"/>
      <c r="C2389" s="2"/>
    </row>
    <row r="2390" spans="1:3" x14ac:dyDescent="0.25">
      <c r="A2390" s="2"/>
      <c r="C2390" s="2"/>
    </row>
    <row r="2391" spans="1:3" x14ac:dyDescent="0.25">
      <c r="A2391" s="2"/>
      <c r="C2391" s="2"/>
    </row>
    <row r="2392" spans="1:3" x14ac:dyDescent="0.25">
      <c r="A2392" s="2"/>
      <c r="C2392" s="2"/>
    </row>
    <row r="2393" spans="1:3" x14ac:dyDescent="0.25">
      <c r="A2393" s="2"/>
      <c r="C2393" s="2"/>
    </row>
    <row r="2394" spans="1:3" x14ac:dyDescent="0.25">
      <c r="A2394" s="2"/>
      <c r="C2394" s="2"/>
    </row>
    <row r="2395" spans="1:3" x14ac:dyDescent="0.25">
      <c r="A2395" s="2"/>
      <c r="C2395" s="2"/>
    </row>
    <row r="2396" spans="1:3" x14ac:dyDescent="0.25">
      <c r="A2396" s="2"/>
      <c r="C2396" s="2"/>
    </row>
    <row r="2397" spans="1:3" x14ac:dyDescent="0.25">
      <c r="A2397" s="2"/>
      <c r="C2397" s="2"/>
    </row>
    <row r="2398" spans="1:3" x14ac:dyDescent="0.25">
      <c r="A2398" s="2"/>
      <c r="C2398" s="2"/>
    </row>
    <row r="2399" spans="1:3" x14ac:dyDescent="0.25">
      <c r="A2399" s="2"/>
      <c r="C2399" s="2"/>
    </row>
    <row r="2400" spans="1:3" x14ac:dyDescent="0.25">
      <c r="A2400" s="2"/>
      <c r="C2400" s="2"/>
    </row>
    <row r="2401" spans="1:3" x14ac:dyDescent="0.25">
      <c r="A2401" s="2"/>
      <c r="C2401" s="2"/>
    </row>
    <row r="2402" spans="1:3" x14ac:dyDescent="0.25">
      <c r="A2402" s="2"/>
      <c r="C2402" s="2"/>
    </row>
    <row r="2403" spans="1:3" x14ac:dyDescent="0.25">
      <c r="A2403" s="2"/>
      <c r="C2403" s="2"/>
    </row>
    <row r="2404" spans="1:3" x14ac:dyDescent="0.25">
      <c r="A2404" s="2"/>
      <c r="C2404" s="2"/>
    </row>
    <row r="2405" spans="1:3" x14ac:dyDescent="0.25">
      <c r="A2405" s="2"/>
      <c r="C2405" s="2"/>
    </row>
    <row r="2406" spans="1:3" x14ac:dyDescent="0.25">
      <c r="A2406" s="2"/>
      <c r="C2406" s="2"/>
    </row>
    <row r="2407" spans="1:3" x14ac:dyDescent="0.25">
      <c r="A2407" s="2"/>
      <c r="C2407" s="2"/>
    </row>
    <row r="2408" spans="1:3" x14ac:dyDescent="0.25">
      <c r="A2408" s="2"/>
      <c r="C2408" s="2"/>
    </row>
    <row r="2409" spans="1:3" x14ac:dyDescent="0.25">
      <c r="A2409" s="2"/>
      <c r="C2409" s="2"/>
    </row>
    <row r="2410" spans="1:3" x14ac:dyDescent="0.25">
      <c r="A2410" s="2"/>
      <c r="C2410" s="2"/>
    </row>
    <row r="2411" spans="1:3" x14ac:dyDescent="0.25">
      <c r="A2411" s="2"/>
      <c r="C2411" s="2"/>
    </row>
    <row r="2412" spans="1:3" x14ac:dyDescent="0.25">
      <c r="A2412" s="2"/>
      <c r="C2412" s="2"/>
    </row>
    <row r="2413" spans="1:3" x14ac:dyDescent="0.25">
      <c r="A2413" s="2"/>
      <c r="C2413" s="2"/>
    </row>
    <row r="2414" spans="1:3" x14ac:dyDescent="0.25">
      <c r="A2414" s="2"/>
      <c r="C2414" s="2"/>
    </row>
    <row r="2415" spans="1:3" x14ac:dyDescent="0.25">
      <c r="A2415" s="2"/>
      <c r="C2415" s="2"/>
    </row>
    <row r="2416" spans="1:3" x14ac:dyDescent="0.25">
      <c r="A2416" s="2"/>
      <c r="C2416" s="2"/>
    </row>
    <row r="2417" spans="1:3" x14ac:dyDescent="0.25">
      <c r="A2417" s="2"/>
      <c r="C2417" s="2"/>
    </row>
    <row r="2418" spans="1:3" x14ac:dyDescent="0.25">
      <c r="A2418" s="2"/>
      <c r="C2418" s="2"/>
    </row>
    <row r="2419" spans="1:3" x14ac:dyDescent="0.25">
      <c r="A2419" s="2"/>
      <c r="C2419" s="2"/>
    </row>
    <row r="2420" spans="1:3" x14ac:dyDescent="0.25">
      <c r="A2420" s="2"/>
      <c r="C2420" s="2"/>
    </row>
    <row r="2421" spans="1:3" x14ac:dyDescent="0.25">
      <c r="A2421" s="2"/>
      <c r="C2421" s="2"/>
    </row>
    <row r="2422" spans="1:3" x14ac:dyDescent="0.25">
      <c r="A2422" s="2"/>
      <c r="C2422" s="2"/>
    </row>
    <row r="2423" spans="1:3" x14ac:dyDescent="0.25">
      <c r="A2423" s="2"/>
      <c r="C2423" s="2"/>
    </row>
    <row r="2424" spans="1:3" x14ac:dyDescent="0.25">
      <c r="A2424" s="2"/>
      <c r="C2424" s="2"/>
    </row>
    <row r="2425" spans="1:3" x14ac:dyDescent="0.25">
      <c r="A2425" s="2"/>
      <c r="C2425" s="2"/>
    </row>
    <row r="2426" spans="1:3" x14ac:dyDescent="0.25">
      <c r="A2426" s="2"/>
      <c r="C2426" s="2"/>
    </row>
    <row r="2427" spans="1:3" x14ac:dyDescent="0.25">
      <c r="A2427" s="2"/>
      <c r="C2427" s="2"/>
    </row>
    <row r="2428" spans="1:3" x14ac:dyDescent="0.25">
      <c r="A2428" s="2"/>
      <c r="C2428" s="2"/>
    </row>
    <row r="2429" spans="1:3" x14ac:dyDescent="0.25">
      <c r="A2429" s="2"/>
      <c r="C2429" s="2"/>
    </row>
    <row r="2430" spans="1:3" x14ac:dyDescent="0.25">
      <c r="A2430" s="2"/>
      <c r="C2430" s="2"/>
    </row>
    <row r="2431" spans="1:3" x14ac:dyDescent="0.25">
      <c r="A2431" s="2"/>
      <c r="C2431" s="2"/>
    </row>
    <row r="2432" spans="1:3" x14ac:dyDescent="0.25">
      <c r="A2432" s="2"/>
      <c r="C2432" s="2"/>
    </row>
    <row r="2433" spans="1:3" x14ac:dyDescent="0.25">
      <c r="A2433" s="2"/>
      <c r="C2433" s="2"/>
    </row>
    <row r="2434" spans="1:3" x14ac:dyDescent="0.25">
      <c r="A2434" s="2"/>
      <c r="C2434" s="2"/>
    </row>
    <row r="2435" spans="1:3" x14ac:dyDescent="0.25">
      <c r="A2435" s="2"/>
      <c r="C2435" s="2"/>
    </row>
    <row r="2436" spans="1:3" x14ac:dyDescent="0.25">
      <c r="A2436" s="2"/>
      <c r="C2436" s="2"/>
    </row>
    <row r="2437" spans="1:3" x14ac:dyDescent="0.25">
      <c r="A2437" s="2"/>
      <c r="C2437" s="2"/>
    </row>
    <row r="2438" spans="1:3" x14ac:dyDescent="0.25">
      <c r="A2438" s="2"/>
      <c r="C2438" s="2"/>
    </row>
    <row r="2439" spans="1:3" x14ac:dyDescent="0.25">
      <c r="A2439" s="2"/>
      <c r="C2439" s="2"/>
    </row>
    <row r="2440" spans="1:3" x14ac:dyDescent="0.25">
      <c r="A2440" s="2"/>
      <c r="C2440" s="2"/>
    </row>
    <row r="2441" spans="1:3" x14ac:dyDescent="0.25">
      <c r="A2441" s="2"/>
      <c r="C2441" s="2"/>
    </row>
    <row r="2442" spans="1:3" x14ac:dyDescent="0.25">
      <c r="A2442" s="2"/>
      <c r="C2442" s="2"/>
    </row>
    <row r="2443" spans="1:3" x14ac:dyDescent="0.25">
      <c r="A2443" s="2"/>
      <c r="C2443" s="2"/>
    </row>
    <row r="2444" spans="1:3" x14ac:dyDescent="0.25">
      <c r="A2444" s="2"/>
      <c r="C2444" s="2"/>
    </row>
    <row r="2445" spans="1:3" x14ac:dyDescent="0.25">
      <c r="A2445" s="2"/>
      <c r="C2445" s="2"/>
    </row>
    <row r="2446" spans="1:3" x14ac:dyDescent="0.25">
      <c r="A2446" s="2"/>
      <c r="C2446" s="2"/>
    </row>
    <row r="2447" spans="1:3" x14ac:dyDescent="0.25">
      <c r="A2447" s="2"/>
      <c r="C2447" s="2"/>
    </row>
    <row r="2448" spans="1:3" x14ac:dyDescent="0.25">
      <c r="A2448" s="2"/>
      <c r="C2448" s="2"/>
    </row>
    <row r="2449" spans="1:3" x14ac:dyDescent="0.25">
      <c r="A2449" s="2"/>
      <c r="C2449" s="2"/>
    </row>
    <row r="2450" spans="1:3" x14ac:dyDescent="0.25">
      <c r="A2450" s="2"/>
      <c r="C2450" s="2"/>
    </row>
    <row r="2451" spans="1:3" x14ac:dyDescent="0.25">
      <c r="A2451" s="2"/>
      <c r="C2451" s="2"/>
    </row>
    <row r="2452" spans="1:3" x14ac:dyDescent="0.25">
      <c r="A2452" s="2"/>
      <c r="C2452" s="2"/>
    </row>
    <row r="2453" spans="1:3" x14ac:dyDescent="0.25">
      <c r="A2453" s="2"/>
      <c r="C2453" s="2"/>
    </row>
    <row r="2454" spans="1:3" x14ac:dyDescent="0.25">
      <c r="A2454" s="2"/>
      <c r="C2454" s="2"/>
    </row>
    <row r="2455" spans="1:3" x14ac:dyDescent="0.25">
      <c r="A2455" s="2"/>
      <c r="C2455" s="2"/>
    </row>
    <row r="2456" spans="1:3" x14ac:dyDescent="0.25">
      <c r="A2456" s="2"/>
      <c r="C2456" s="2"/>
    </row>
    <row r="2457" spans="1:3" x14ac:dyDescent="0.25">
      <c r="A2457" s="2"/>
      <c r="C2457" s="2"/>
    </row>
    <row r="2458" spans="1:3" x14ac:dyDescent="0.25">
      <c r="A2458" s="2"/>
      <c r="C2458" s="2"/>
    </row>
    <row r="2459" spans="1:3" x14ac:dyDescent="0.25">
      <c r="A2459" s="2"/>
      <c r="C2459" s="2"/>
    </row>
    <row r="2460" spans="1:3" x14ac:dyDescent="0.25">
      <c r="A2460" s="2"/>
      <c r="C2460" s="2"/>
    </row>
    <row r="2461" spans="1:3" x14ac:dyDescent="0.25">
      <c r="A2461" s="2"/>
      <c r="C2461" s="2"/>
    </row>
    <row r="2462" spans="1:3" x14ac:dyDescent="0.25">
      <c r="A2462" s="2"/>
      <c r="C2462" s="2"/>
    </row>
    <row r="2463" spans="1:3" x14ac:dyDescent="0.25">
      <c r="A2463" s="2"/>
      <c r="C2463" s="2"/>
    </row>
    <row r="2464" spans="1:3" x14ac:dyDescent="0.25">
      <c r="A2464" s="2"/>
      <c r="C2464" s="2"/>
    </row>
    <row r="2465" spans="1:3" x14ac:dyDescent="0.25">
      <c r="A2465" s="2"/>
      <c r="C2465" s="2"/>
    </row>
    <row r="2466" spans="1:3" x14ac:dyDescent="0.25">
      <c r="A2466" s="2"/>
      <c r="C2466" s="2"/>
    </row>
    <row r="2467" spans="1:3" x14ac:dyDescent="0.25">
      <c r="A2467" s="2"/>
      <c r="C2467" s="2"/>
    </row>
    <row r="2468" spans="1:3" x14ac:dyDescent="0.25">
      <c r="A2468" s="2"/>
      <c r="C2468" s="2"/>
    </row>
    <row r="2469" spans="1:3" x14ac:dyDescent="0.25">
      <c r="A2469" s="2"/>
      <c r="C2469" s="2"/>
    </row>
    <row r="2470" spans="1:3" x14ac:dyDescent="0.25">
      <c r="A2470" s="2"/>
      <c r="C2470" s="2"/>
    </row>
    <row r="2471" spans="1:3" x14ac:dyDescent="0.25">
      <c r="A2471" s="2"/>
      <c r="C2471" s="2"/>
    </row>
    <row r="2472" spans="1:3" x14ac:dyDescent="0.25">
      <c r="A2472" s="2"/>
      <c r="C2472" s="2"/>
    </row>
    <row r="2473" spans="1:3" x14ac:dyDescent="0.25">
      <c r="A2473" s="2"/>
      <c r="C2473" s="2"/>
    </row>
    <row r="2474" spans="1:3" x14ac:dyDescent="0.25">
      <c r="A2474" s="2"/>
      <c r="C2474" s="2"/>
    </row>
    <row r="2475" spans="1:3" x14ac:dyDescent="0.25">
      <c r="A2475" s="2"/>
      <c r="C2475" s="2"/>
    </row>
    <row r="2476" spans="1:3" x14ac:dyDescent="0.25">
      <c r="A2476" s="2"/>
      <c r="C2476" s="2"/>
    </row>
    <row r="2477" spans="1:3" x14ac:dyDescent="0.25">
      <c r="A2477" s="2"/>
      <c r="C2477" s="2"/>
    </row>
    <row r="2478" spans="1:3" x14ac:dyDescent="0.25">
      <c r="A2478" s="2"/>
      <c r="C2478" s="2"/>
    </row>
    <row r="2479" spans="1:3" x14ac:dyDescent="0.25">
      <c r="A2479" s="2"/>
      <c r="C2479" s="2"/>
    </row>
    <row r="2480" spans="1:3" x14ac:dyDescent="0.25">
      <c r="A2480" s="2"/>
      <c r="C2480" s="2"/>
    </row>
    <row r="2481" spans="1:3" x14ac:dyDescent="0.25">
      <c r="A2481" s="2"/>
      <c r="C2481" s="2"/>
    </row>
    <row r="2482" spans="1:3" x14ac:dyDescent="0.25">
      <c r="A2482" s="2"/>
      <c r="C2482" s="2"/>
    </row>
    <row r="2483" spans="1:3" x14ac:dyDescent="0.25">
      <c r="A2483" s="2"/>
      <c r="C2483" s="2"/>
    </row>
    <row r="2484" spans="1:3" x14ac:dyDescent="0.25">
      <c r="A2484" s="2"/>
      <c r="C2484" s="2"/>
    </row>
    <row r="2485" spans="1:3" x14ac:dyDescent="0.25">
      <c r="A2485" s="2"/>
      <c r="C2485" s="2"/>
    </row>
    <row r="2486" spans="1:3" x14ac:dyDescent="0.25">
      <c r="A2486" s="2"/>
      <c r="C2486" s="2"/>
    </row>
    <row r="2487" spans="1:3" x14ac:dyDescent="0.25">
      <c r="A2487" s="2"/>
      <c r="C2487" s="2"/>
    </row>
    <row r="2488" spans="1:3" x14ac:dyDescent="0.25">
      <c r="A2488" s="2"/>
      <c r="C2488" s="2"/>
    </row>
    <row r="2489" spans="1:3" x14ac:dyDescent="0.25">
      <c r="A2489" s="2"/>
      <c r="C2489" s="2"/>
    </row>
    <row r="2490" spans="1:3" x14ac:dyDescent="0.25">
      <c r="A2490" s="2"/>
      <c r="C2490" s="2"/>
    </row>
    <row r="2491" spans="1:3" x14ac:dyDescent="0.25">
      <c r="A2491" s="2"/>
      <c r="C2491" s="2"/>
    </row>
    <row r="2492" spans="1:3" x14ac:dyDescent="0.25">
      <c r="A2492" s="2"/>
      <c r="C2492" s="2"/>
    </row>
    <row r="2493" spans="1:3" x14ac:dyDescent="0.25">
      <c r="A2493" s="2"/>
      <c r="C2493" s="2"/>
    </row>
    <row r="2494" spans="1:3" x14ac:dyDescent="0.25">
      <c r="A2494" s="2"/>
      <c r="C2494" s="2"/>
    </row>
    <row r="2495" spans="1:3" x14ac:dyDescent="0.25">
      <c r="A2495" s="2"/>
      <c r="C2495" s="2"/>
    </row>
    <row r="2496" spans="1:3" x14ac:dyDescent="0.25">
      <c r="A2496" s="2"/>
      <c r="C2496" s="2"/>
    </row>
    <row r="2497" spans="1:3" x14ac:dyDescent="0.25">
      <c r="A2497" s="2"/>
      <c r="C2497" s="2"/>
    </row>
    <row r="2498" spans="1:3" x14ac:dyDescent="0.25">
      <c r="A2498" s="2"/>
      <c r="C2498" s="2"/>
    </row>
    <row r="2499" spans="1:3" x14ac:dyDescent="0.25">
      <c r="A2499" s="2"/>
      <c r="C2499" s="2"/>
    </row>
    <row r="2500" spans="1:3" x14ac:dyDescent="0.25">
      <c r="A2500" s="2"/>
      <c r="C2500" s="2"/>
    </row>
    <row r="2501" spans="1:3" x14ac:dyDescent="0.25">
      <c r="A2501" s="2"/>
      <c r="C2501" s="2"/>
    </row>
    <row r="2502" spans="1:3" x14ac:dyDescent="0.25">
      <c r="A2502" s="2"/>
      <c r="C2502" s="2"/>
    </row>
    <row r="2503" spans="1:3" x14ac:dyDescent="0.25">
      <c r="A2503" s="2"/>
      <c r="C2503" s="2"/>
    </row>
    <row r="2504" spans="1:3" x14ac:dyDescent="0.25">
      <c r="A2504" s="2"/>
      <c r="C2504" s="2"/>
    </row>
    <row r="2505" spans="1:3" x14ac:dyDescent="0.25">
      <c r="A2505" s="2"/>
      <c r="C2505" s="2"/>
    </row>
    <row r="2506" spans="1:3" x14ac:dyDescent="0.25">
      <c r="A2506" s="2"/>
      <c r="C2506" s="2"/>
    </row>
    <row r="2507" spans="1:3" x14ac:dyDescent="0.25">
      <c r="A2507" s="2"/>
      <c r="C2507" s="2"/>
    </row>
    <row r="2508" spans="1:3" x14ac:dyDescent="0.25">
      <c r="A2508" s="2"/>
      <c r="C2508" s="2"/>
    </row>
    <row r="2509" spans="1:3" x14ac:dyDescent="0.25">
      <c r="A2509" s="2"/>
      <c r="C2509" s="2"/>
    </row>
    <row r="2510" spans="1:3" x14ac:dyDescent="0.25">
      <c r="A2510" s="2"/>
      <c r="C2510" s="2"/>
    </row>
    <row r="2511" spans="1:3" x14ac:dyDescent="0.25">
      <c r="A2511" s="2"/>
      <c r="C2511" s="2"/>
    </row>
    <row r="2512" spans="1:3" x14ac:dyDescent="0.25">
      <c r="A2512" s="2"/>
      <c r="C2512" s="2"/>
    </row>
    <row r="2513" spans="1:3" x14ac:dyDescent="0.25">
      <c r="A2513" s="2"/>
      <c r="C2513" s="2"/>
    </row>
    <row r="2514" spans="1:3" x14ac:dyDescent="0.25">
      <c r="A2514" s="2"/>
      <c r="C2514" s="2"/>
    </row>
    <row r="2515" spans="1:3" x14ac:dyDescent="0.25">
      <c r="A2515" s="2"/>
      <c r="C2515" s="2"/>
    </row>
    <row r="2516" spans="1:3" x14ac:dyDescent="0.25">
      <c r="A2516" s="2"/>
      <c r="C2516" s="2"/>
    </row>
    <row r="2517" spans="1:3" x14ac:dyDescent="0.25">
      <c r="A2517" s="2"/>
      <c r="C2517" s="2"/>
    </row>
    <row r="2518" spans="1:3" x14ac:dyDescent="0.25">
      <c r="A2518" s="2"/>
      <c r="C2518" s="2"/>
    </row>
    <row r="2519" spans="1:3" x14ac:dyDescent="0.25">
      <c r="A2519" s="2"/>
      <c r="C2519" s="2"/>
    </row>
    <row r="2520" spans="1:3" x14ac:dyDescent="0.25">
      <c r="A2520" s="2"/>
      <c r="C2520" s="2"/>
    </row>
    <row r="2521" spans="1:3" x14ac:dyDescent="0.25">
      <c r="A2521" s="2"/>
      <c r="C2521" s="2"/>
    </row>
    <row r="2522" spans="1:3" x14ac:dyDescent="0.25">
      <c r="A2522" s="2"/>
      <c r="C2522" s="2"/>
    </row>
    <row r="2523" spans="1:3" x14ac:dyDescent="0.25">
      <c r="A2523" s="2"/>
      <c r="C2523" s="2"/>
    </row>
    <row r="2524" spans="1:3" x14ac:dyDescent="0.25">
      <c r="A2524" s="2"/>
      <c r="C2524" s="2"/>
    </row>
    <row r="2525" spans="1:3" x14ac:dyDescent="0.25">
      <c r="A2525" s="2"/>
      <c r="C2525" s="2"/>
    </row>
    <row r="2526" spans="1:3" x14ac:dyDescent="0.25">
      <c r="A2526" s="2"/>
      <c r="C2526" s="2"/>
    </row>
    <row r="2527" spans="1:3" x14ac:dyDescent="0.25">
      <c r="A2527" s="2"/>
      <c r="C2527" s="2"/>
    </row>
    <row r="2528" spans="1:3" x14ac:dyDescent="0.25">
      <c r="A2528" s="2"/>
      <c r="C2528" s="2"/>
    </row>
    <row r="2529" spans="1:3" x14ac:dyDescent="0.25">
      <c r="A2529" s="2"/>
      <c r="C2529" s="2"/>
    </row>
    <row r="2530" spans="1:3" x14ac:dyDescent="0.25">
      <c r="A2530" s="2"/>
      <c r="C2530" s="2"/>
    </row>
    <row r="2531" spans="1:3" x14ac:dyDescent="0.25">
      <c r="A2531" s="2"/>
      <c r="C2531" s="2"/>
    </row>
    <row r="2532" spans="1:3" x14ac:dyDescent="0.25">
      <c r="A2532" s="2"/>
      <c r="C2532" s="2"/>
    </row>
    <row r="2533" spans="1:3" x14ac:dyDescent="0.25">
      <c r="A2533" s="2"/>
      <c r="C2533" s="2"/>
    </row>
    <row r="2534" spans="1:3" x14ac:dyDescent="0.25">
      <c r="A2534" s="2"/>
      <c r="C2534" s="2"/>
    </row>
    <row r="2535" spans="1:3" x14ac:dyDescent="0.25">
      <c r="A2535" s="2"/>
      <c r="C2535" s="2"/>
    </row>
    <row r="2536" spans="1:3" x14ac:dyDescent="0.25">
      <c r="A2536" s="2"/>
      <c r="C2536" s="2"/>
    </row>
    <row r="2537" spans="1:3" x14ac:dyDescent="0.25">
      <c r="A2537" s="2"/>
      <c r="C2537" s="2"/>
    </row>
    <row r="2538" spans="1:3" x14ac:dyDescent="0.25">
      <c r="A2538" s="2"/>
      <c r="C2538" s="2"/>
    </row>
    <row r="2539" spans="1:3" x14ac:dyDescent="0.25">
      <c r="A2539" s="2"/>
      <c r="C2539" s="2"/>
    </row>
    <row r="2540" spans="1:3" x14ac:dyDescent="0.25">
      <c r="A2540" s="2"/>
      <c r="C2540" s="2"/>
    </row>
    <row r="2541" spans="1:3" x14ac:dyDescent="0.25">
      <c r="A2541" s="2"/>
      <c r="C2541" s="2"/>
    </row>
    <row r="2542" spans="1:3" x14ac:dyDescent="0.25">
      <c r="A2542" s="2"/>
      <c r="C2542" s="2"/>
    </row>
    <row r="2543" spans="1:3" x14ac:dyDescent="0.25">
      <c r="A2543" s="2"/>
      <c r="C2543" s="2"/>
    </row>
    <row r="2544" spans="1:3" x14ac:dyDescent="0.25">
      <c r="A2544" s="2"/>
      <c r="C2544" s="2"/>
    </row>
    <row r="2545" spans="1:3" x14ac:dyDescent="0.25">
      <c r="A2545" s="2"/>
      <c r="C2545" s="2"/>
    </row>
    <row r="2546" spans="1:3" x14ac:dyDescent="0.25">
      <c r="A2546" s="2"/>
      <c r="C2546" s="2"/>
    </row>
    <row r="2547" spans="1:3" x14ac:dyDescent="0.25">
      <c r="A2547" s="2"/>
      <c r="C2547" s="2"/>
    </row>
    <row r="2548" spans="1:3" x14ac:dyDescent="0.25">
      <c r="A2548" s="2"/>
      <c r="C2548" s="2"/>
    </row>
    <row r="2549" spans="1:3" x14ac:dyDescent="0.25">
      <c r="A2549" s="2"/>
      <c r="C2549" s="2"/>
    </row>
    <row r="2550" spans="1:3" x14ac:dyDescent="0.25">
      <c r="A2550" s="2"/>
      <c r="C2550" s="2"/>
    </row>
    <row r="2551" spans="1:3" x14ac:dyDescent="0.25">
      <c r="A2551" s="2"/>
      <c r="C2551" s="2"/>
    </row>
    <row r="2552" spans="1:3" x14ac:dyDescent="0.25">
      <c r="A2552" s="2"/>
      <c r="C2552" s="2"/>
    </row>
    <row r="2553" spans="1:3" x14ac:dyDescent="0.25">
      <c r="A2553" s="2"/>
      <c r="C2553" s="2"/>
    </row>
    <row r="2554" spans="1:3" x14ac:dyDescent="0.25">
      <c r="A2554" s="2"/>
      <c r="C2554" s="2"/>
    </row>
    <row r="2555" spans="1:3" x14ac:dyDescent="0.25">
      <c r="A2555" s="2"/>
      <c r="C2555" s="2"/>
    </row>
    <row r="2556" spans="1:3" x14ac:dyDescent="0.25">
      <c r="A2556" s="2"/>
      <c r="C2556" s="2"/>
    </row>
    <row r="2557" spans="1:3" x14ac:dyDescent="0.25">
      <c r="A2557" s="2"/>
      <c r="C2557" s="2"/>
    </row>
    <row r="2558" spans="1:3" x14ac:dyDescent="0.25">
      <c r="A2558" s="2"/>
      <c r="C2558" s="2"/>
    </row>
    <row r="2559" spans="1:3" x14ac:dyDescent="0.25">
      <c r="A2559" s="2"/>
      <c r="C2559" s="2"/>
    </row>
    <row r="2560" spans="1:3" x14ac:dyDescent="0.25">
      <c r="A2560" s="2"/>
      <c r="C2560" s="2"/>
    </row>
    <row r="2561" spans="1:3" x14ac:dyDescent="0.25">
      <c r="A2561" s="2"/>
      <c r="C2561" s="2"/>
    </row>
    <row r="2562" spans="1:3" x14ac:dyDescent="0.25">
      <c r="A2562" s="2"/>
      <c r="C2562" s="2"/>
    </row>
    <row r="2563" spans="1:3" x14ac:dyDescent="0.25">
      <c r="A2563" s="2"/>
      <c r="C2563" s="2"/>
    </row>
    <row r="2564" spans="1:3" x14ac:dyDescent="0.25">
      <c r="A2564" s="2"/>
      <c r="C2564" s="2"/>
    </row>
    <row r="2565" spans="1:3" x14ac:dyDescent="0.25">
      <c r="A2565" s="2"/>
      <c r="C2565" s="2"/>
    </row>
    <row r="2566" spans="1:3" x14ac:dyDescent="0.25">
      <c r="A2566" s="2"/>
      <c r="C2566" s="2"/>
    </row>
    <row r="2567" spans="1:3" x14ac:dyDescent="0.25">
      <c r="A2567" s="2"/>
      <c r="C2567" s="2"/>
    </row>
    <row r="2568" spans="1:3" x14ac:dyDescent="0.25">
      <c r="A2568" s="2"/>
      <c r="C2568" s="2"/>
    </row>
    <row r="2569" spans="1:3" x14ac:dyDescent="0.25">
      <c r="A2569" s="2"/>
      <c r="C2569" s="2"/>
    </row>
    <row r="2570" spans="1:3" x14ac:dyDescent="0.25">
      <c r="A2570" s="2"/>
      <c r="C2570" s="2"/>
    </row>
    <row r="2571" spans="1:3" x14ac:dyDescent="0.25">
      <c r="A2571" s="2"/>
      <c r="C2571" s="2"/>
    </row>
    <row r="2572" spans="1:3" x14ac:dyDescent="0.25">
      <c r="A2572" s="2"/>
      <c r="C2572" s="2"/>
    </row>
    <row r="2573" spans="1:3" x14ac:dyDescent="0.25">
      <c r="A2573" s="2"/>
      <c r="C2573" s="2"/>
    </row>
    <row r="2574" spans="1:3" x14ac:dyDescent="0.25">
      <c r="A2574" s="2"/>
      <c r="C2574" s="2"/>
    </row>
    <row r="2575" spans="1:3" x14ac:dyDescent="0.25">
      <c r="A2575" s="2"/>
      <c r="C2575" s="2"/>
    </row>
    <row r="2576" spans="1:3" x14ac:dyDescent="0.25">
      <c r="A2576" s="2"/>
      <c r="C2576" s="2"/>
    </row>
    <row r="2577" spans="1:3" x14ac:dyDescent="0.25">
      <c r="A2577" s="2"/>
      <c r="C2577" s="2"/>
    </row>
    <row r="2578" spans="1:3" x14ac:dyDescent="0.25">
      <c r="A2578" s="2"/>
      <c r="C2578" s="2"/>
    </row>
    <row r="2579" spans="1:3" x14ac:dyDescent="0.25">
      <c r="A2579" s="2"/>
      <c r="C2579" s="2"/>
    </row>
    <row r="2580" spans="1:3" x14ac:dyDescent="0.25">
      <c r="A2580" s="2"/>
      <c r="C2580" s="2"/>
    </row>
    <row r="2581" spans="1:3" x14ac:dyDescent="0.25">
      <c r="A2581" s="2"/>
      <c r="C2581" s="2"/>
    </row>
    <row r="2582" spans="1:3" x14ac:dyDescent="0.25">
      <c r="A2582" s="2"/>
      <c r="C2582" s="2"/>
    </row>
    <row r="2583" spans="1:3" x14ac:dyDescent="0.25">
      <c r="A2583" s="2"/>
      <c r="C2583" s="2"/>
    </row>
    <row r="2584" spans="1:3" x14ac:dyDescent="0.25">
      <c r="A2584" s="2"/>
      <c r="C2584" s="2"/>
    </row>
    <row r="2585" spans="1:3" x14ac:dyDescent="0.25">
      <c r="A2585" s="2"/>
      <c r="C2585" s="2"/>
    </row>
    <row r="2586" spans="1:3" x14ac:dyDescent="0.25">
      <c r="A2586" s="2"/>
      <c r="C2586" s="2"/>
    </row>
    <row r="2587" spans="1:3" x14ac:dyDescent="0.25">
      <c r="A2587" s="2"/>
      <c r="C2587" s="2"/>
    </row>
    <row r="2588" spans="1:3" x14ac:dyDescent="0.25">
      <c r="A2588" s="2"/>
      <c r="C2588" s="2"/>
    </row>
    <row r="2589" spans="1:3" x14ac:dyDescent="0.25">
      <c r="A2589" s="2"/>
      <c r="C2589" s="2"/>
    </row>
    <row r="2590" spans="1:3" x14ac:dyDescent="0.25">
      <c r="A2590" s="2"/>
      <c r="C2590" s="2"/>
    </row>
    <row r="2591" spans="1:3" x14ac:dyDescent="0.25">
      <c r="A2591" s="2"/>
      <c r="C2591" s="2"/>
    </row>
    <row r="2592" spans="1:3" x14ac:dyDescent="0.25">
      <c r="A2592" s="2"/>
      <c r="C2592" s="2"/>
    </row>
    <row r="2593" spans="1:3" x14ac:dyDescent="0.25">
      <c r="A2593" s="2"/>
      <c r="C2593" s="2"/>
    </row>
    <row r="2594" spans="1:3" x14ac:dyDescent="0.25">
      <c r="A2594" s="2"/>
      <c r="C2594" s="2"/>
    </row>
    <row r="2595" spans="1:3" x14ac:dyDescent="0.25">
      <c r="A2595" s="2"/>
      <c r="C2595" s="2"/>
    </row>
    <row r="2596" spans="1:3" x14ac:dyDescent="0.25">
      <c r="A2596" s="2"/>
      <c r="C2596" s="2"/>
    </row>
    <row r="2597" spans="1:3" x14ac:dyDescent="0.25">
      <c r="A2597" s="2"/>
      <c r="C2597" s="2"/>
    </row>
    <row r="2598" spans="1:3" x14ac:dyDescent="0.25">
      <c r="A2598" s="2"/>
      <c r="C2598" s="2"/>
    </row>
    <row r="2599" spans="1:3" x14ac:dyDescent="0.25">
      <c r="A2599" s="2"/>
      <c r="C2599" s="2"/>
    </row>
    <row r="2600" spans="1:3" x14ac:dyDescent="0.25">
      <c r="A2600" s="2"/>
      <c r="C2600" s="2"/>
    </row>
    <row r="2601" spans="1:3" x14ac:dyDescent="0.25">
      <c r="A2601" s="2"/>
      <c r="C2601" s="2"/>
    </row>
    <row r="2602" spans="1:3" x14ac:dyDescent="0.25">
      <c r="A2602" s="2"/>
      <c r="C2602" s="2"/>
    </row>
    <row r="2603" spans="1:3" x14ac:dyDescent="0.25">
      <c r="A2603" s="2"/>
      <c r="C2603" s="2"/>
    </row>
    <row r="2604" spans="1:3" x14ac:dyDescent="0.25">
      <c r="A2604" s="2"/>
      <c r="C2604" s="2"/>
    </row>
    <row r="2605" spans="1:3" x14ac:dyDescent="0.25">
      <c r="A2605" s="2"/>
      <c r="C2605" s="2"/>
    </row>
    <row r="2606" spans="1:3" x14ac:dyDescent="0.25">
      <c r="A2606" s="2"/>
      <c r="C2606" s="2"/>
    </row>
    <row r="2607" spans="1:3" x14ac:dyDescent="0.25">
      <c r="A2607" s="2"/>
      <c r="C2607" s="2"/>
    </row>
    <row r="2608" spans="1:3" x14ac:dyDescent="0.25">
      <c r="A2608" s="2"/>
      <c r="C2608" s="2"/>
    </row>
    <row r="2609" spans="1:3" x14ac:dyDescent="0.25">
      <c r="A2609" s="2"/>
      <c r="C2609" s="2"/>
    </row>
    <row r="2610" spans="1:3" x14ac:dyDescent="0.25">
      <c r="A2610" s="2"/>
      <c r="C2610" s="2"/>
    </row>
    <row r="2611" spans="1:3" x14ac:dyDescent="0.25">
      <c r="A2611" s="2"/>
      <c r="C2611" s="2"/>
    </row>
    <row r="2612" spans="1:3" x14ac:dyDescent="0.25">
      <c r="A2612" s="2"/>
      <c r="C2612" s="2"/>
    </row>
    <row r="2613" spans="1:3" x14ac:dyDescent="0.25">
      <c r="A2613" s="2"/>
      <c r="C2613" s="2"/>
    </row>
    <row r="2614" spans="1:3" x14ac:dyDescent="0.25">
      <c r="A2614" s="2"/>
      <c r="C2614" s="2"/>
    </row>
    <row r="2615" spans="1:3" x14ac:dyDescent="0.25">
      <c r="A2615" s="2"/>
      <c r="C2615" s="2"/>
    </row>
    <row r="2616" spans="1:3" x14ac:dyDescent="0.25">
      <c r="A2616" s="2"/>
      <c r="C2616" s="2"/>
    </row>
    <row r="2617" spans="1:3" x14ac:dyDescent="0.25">
      <c r="A2617" s="2"/>
      <c r="C2617" s="2"/>
    </row>
    <row r="2618" spans="1:3" x14ac:dyDescent="0.25">
      <c r="A2618" s="2"/>
      <c r="C2618" s="2"/>
    </row>
    <row r="2619" spans="1:3" x14ac:dyDescent="0.25">
      <c r="A2619" s="2"/>
      <c r="C2619" s="2"/>
    </row>
    <row r="2620" spans="1:3" x14ac:dyDescent="0.25">
      <c r="A2620" s="2"/>
      <c r="C2620" s="2"/>
    </row>
    <row r="2621" spans="1:3" x14ac:dyDescent="0.25">
      <c r="A2621" s="2"/>
      <c r="C2621" s="2"/>
    </row>
    <row r="2622" spans="1:3" x14ac:dyDescent="0.25">
      <c r="A2622" s="2"/>
      <c r="C2622" s="2"/>
    </row>
    <row r="2623" spans="1:3" x14ac:dyDescent="0.25">
      <c r="A2623" s="2"/>
      <c r="C2623" s="2"/>
    </row>
    <row r="2624" spans="1:3" x14ac:dyDescent="0.25">
      <c r="A2624" s="2"/>
      <c r="C2624" s="2"/>
    </row>
    <row r="2625" spans="1:3" x14ac:dyDescent="0.25">
      <c r="A2625" s="2"/>
      <c r="C2625" s="2"/>
    </row>
    <row r="2626" spans="1:3" x14ac:dyDescent="0.25">
      <c r="A2626" s="2"/>
      <c r="C2626" s="2"/>
    </row>
    <row r="2627" spans="1:3" x14ac:dyDescent="0.25">
      <c r="A2627" s="2"/>
      <c r="C2627" s="2"/>
    </row>
    <row r="2628" spans="1:3" x14ac:dyDescent="0.25">
      <c r="A2628" s="2"/>
      <c r="C2628" s="2"/>
    </row>
    <row r="2629" spans="1:3" x14ac:dyDescent="0.25">
      <c r="A2629" s="2"/>
      <c r="C2629" s="2"/>
    </row>
    <row r="2630" spans="1:3" x14ac:dyDescent="0.25">
      <c r="A2630" s="2"/>
      <c r="C2630" s="2"/>
    </row>
    <row r="2631" spans="1:3" x14ac:dyDescent="0.25">
      <c r="A2631" s="2"/>
      <c r="C2631" s="2"/>
    </row>
    <row r="2632" spans="1:3" x14ac:dyDescent="0.25">
      <c r="A2632" s="2"/>
      <c r="C2632" s="2"/>
    </row>
    <row r="2633" spans="1:3" x14ac:dyDescent="0.25">
      <c r="A2633" s="2"/>
      <c r="C2633" s="2"/>
    </row>
    <row r="2634" spans="1:3" x14ac:dyDescent="0.25">
      <c r="A2634" s="2"/>
      <c r="C2634" s="2"/>
    </row>
    <row r="2635" spans="1:3" x14ac:dyDescent="0.25">
      <c r="A2635" s="2"/>
      <c r="C2635" s="2"/>
    </row>
    <row r="2636" spans="1:3" x14ac:dyDescent="0.25">
      <c r="A2636" s="2"/>
      <c r="C2636" s="2"/>
    </row>
    <row r="2637" spans="1:3" x14ac:dyDescent="0.25">
      <c r="A2637" s="2"/>
      <c r="C2637" s="2"/>
    </row>
    <row r="2638" spans="1:3" x14ac:dyDescent="0.25">
      <c r="A2638" s="2"/>
      <c r="C2638" s="2"/>
    </row>
    <row r="2639" spans="1:3" x14ac:dyDescent="0.25">
      <c r="A2639" s="2"/>
      <c r="C2639" s="2"/>
    </row>
    <row r="2640" spans="1:3" x14ac:dyDescent="0.25">
      <c r="A2640" s="2"/>
      <c r="C2640" s="2"/>
    </row>
    <row r="2641" spans="1:3" x14ac:dyDescent="0.25">
      <c r="A2641" s="2"/>
      <c r="C2641" s="2"/>
    </row>
    <row r="2642" spans="1:3" x14ac:dyDescent="0.25">
      <c r="A2642" s="2"/>
      <c r="C2642" s="2"/>
    </row>
    <row r="2643" spans="1:3" x14ac:dyDescent="0.25">
      <c r="A2643" s="2"/>
      <c r="C2643" s="2"/>
    </row>
    <row r="2644" spans="1:3" x14ac:dyDescent="0.25">
      <c r="A2644" s="2"/>
      <c r="C2644" s="2"/>
    </row>
    <row r="2645" spans="1:3" x14ac:dyDescent="0.25">
      <c r="A2645" s="2"/>
      <c r="C2645" s="2"/>
    </row>
    <row r="2646" spans="1:3" x14ac:dyDescent="0.25">
      <c r="A2646" s="2"/>
      <c r="C2646" s="2"/>
    </row>
    <row r="2647" spans="1:3" x14ac:dyDescent="0.25">
      <c r="A2647" s="2"/>
      <c r="C2647" s="2"/>
    </row>
    <row r="2648" spans="1:3" x14ac:dyDescent="0.25">
      <c r="A2648" s="2"/>
      <c r="C2648" s="2"/>
    </row>
    <row r="2649" spans="1:3" x14ac:dyDescent="0.25">
      <c r="A2649" s="2"/>
      <c r="C2649" s="2"/>
    </row>
    <row r="2650" spans="1:3" x14ac:dyDescent="0.25">
      <c r="A2650" s="2"/>
      <c r="C2650" s="2"/>
    </row>
    <row r="2651" spans="1:3" x14ac:dyDescent="0.25">
      <c r="A2651" s="2"/>
      <c r="C2651" s="2"/>
    </row>
    <row r="2652" spans="1:3" x14ac:dyDescent="0.25">
      <c r="A2652" s="2"/>
      <c r="C2652" s="2"/>
    </row>
    <row r="2653" spans="1:3" x14ac:dyDescent="0.25">
      <c r="A2653" s="2"/>
      <c r="C2653" s="2"/>
    </row>
    <row r="2654" spans="1:3" x14ac:dyDescent="0.25">
      <c r="A2654" s="2"/>
      <c r="C2654" s="2"/>
    </row>
    <row r="2655" spans="1:3" x14ac:dyDescent="0.25">
      <c r="A2655" s="2"/>
      <c r="C2655" s="2"/>
    </row>
    <row r="2656" spans="1:3" x14ac:dyDescent="0.25">
      <c r="A2656" s="2"/>
      <c r="C2656" s="2"/>
    </row>
    <row r="2657" spans="1:3" x14ac:dyDescent="0.25">
      <c r="A2657" s="2"/>
      <c r="C2657" s="2"/>
    </row>
    <row r="2658" spans="1:3" x14ac:dyDescent="0.25">
      <c r="A2658" s="2"/>
      <c r="C2658" s="2"/>
    </row>
    <row r="2659" spans="1:3" x14ac:dyDescent="0.25">
      <c r="A2659" s="2"/>
      <c r="C2659" s="2"/>
    </row>
    <row r="2660" spans="1:3" x14ac:dyDescent="0.25">
      <c r="A2660" s="2"/>
      <c r="C2660" s="2"/>
    </row>
    <row r="2661" spans="1:3" x14ac:dyDescent="0.25">
      <c r="A2661" s="2"/>
      <c r="C2661" s="2"/>
    </row>
    <row r="2662" spans="1:3" x14ac:dyDescent="0.25">
      <c r="A2662" s="2"/>
      <c r="C2662" s="2"/>
    </row>
    <row r="2663" spans="1:3" x14ac:dyDescent="0.25">
      <c r="A2663" s="2"/>
      <c r="C2663" s="2"/>
    </row>
    <row r="2664" spans="1:3" x14ac:dyDescent="0.25">
      <c r="A2664" s="2"/>
      <c r="C2664" s="2"/>
    </row>
    <row r="2665" spans="1:3" x14ac:dyDescent="0.25">
      <c r="A2665" s="2"/>
      <c r="C2665" s="2"/>
    </row>
    <row r="2666" spans="1:3" x14ac:dyDescent="0.25">
      <c r="A2666" s="2"/>
      <c r="C2666" s="2"/>
    </row>
    <row r="2667" spans="1:3" x14ac:dyDescent="0.25">
      <c r="A2667" s="2"/>
      <c r="C2667" s="2"/>
    </row>
    <row r="2668" spans="1:3" x14ac:dyDescent="0.25">
      <c r="A2668" s="2"/>
      <c r="C2668" s="2"/>
    </row>
    <row r="2669" spans="1:3" x14ac:dyDescent="0.25">
      <c r="A2669" s="2"/>
      <c r="C2669" s="2"/>
    </row>
    <row r="2670" spans="1:3" x14ac:dyDescent="0.25">
      <c r="A2670" s="2"/>
      <c r="C2670" s="2"/>
    </row>
    <row r="2671" spans="1:3" x14ac:dyDescent="0.25">
      <c r="A2671" s="2"/>
      <c r="C2671" s="2"/>
    </row>
    <row r="2672" spans="1:3" x14ac:dyDescent="0.25">
      <c r="A2672" s="2"/>
      <c r="C2672" s="2"/>
    </row>
    <row r="2673" spans="1:3" x14ac:dyDescent="0.25">
      <c r="A2673" s="2"/>
      <c r="C2673" s="2"/>
    </row>
    <row r="2674" spans="1:3" x14ac:dyDescent="0.25">
      <c r="A2674" s="2"/>
      <c r="C2674" s="2"/>
    </row>
    <row r="2675" spans="1:3" x14ac:dyDescent="0.25">
      <c r="A2675" s="2"/>
      <c r="C2675" s="2"/>
    </row>
    <row r="2676" spans="1:3" x14ac:dyDescent="0.25">
      <c r="A2676" s="2"/>
      <c r="C2676" s="2"/>
    </row>
    <row r="2677" spans="1:3" x14ac:dyDescent="0.25">
      <c r="A2677" s="2"/>
      <c r="C2677" s="2"/>
    </row>
    <row r="2678" spans="1:3" x14ac:dyDescent="0.25">
      <c r="A2678" s="2"/>
      <c r="C2678" s="2"/>
    </row>
    <row r="2679" spans="1:3" x14ac:dyDescent="0.25">
      <c r="A2679" s="2"/>
      <c r="C2679" s="2"/>
    </row>
    <row r="2680" spans="1:3" x14ac:dyDescent="0.25">
      <c r="A2680" s="2"/>
      <c r="C2680" s="2"/>
    </row>
    <row r="2681" spans="1:3" x14ac:dyDescent="0.25">
      <c r="A2681" s="2"/>
      <c r="C2681" s="2"/>
    </row>
    <row r="2682" spans="1:3" x14ac:dyDescent="0.25">
      <c r="A2682" s="2"/>
      <c r="C2682" s="2"/>
    </row>
    <row r="2683" spans="1:3" x14ac:dyDescent="0.25">
      <c r="A2683" s="2"/>
      <c r="C2683" s="2"/>
    </row>
    <row r="2684" spans="1:3" x14ac:dyDescent="0.25">
      <c r="A2684" s="2"/>
      <c r="C2684" s="2"/>
    </row>
    <row r="2685" spans="1:3" x14ac:dyDescent="0.25">
      <c r="A2685" s="2"/>
      <c r="C2685" s="2"/>
    </row>
    <row r="2686" spans="1:3" x14ac:dyDescent="0.25">
      <c r="A2686" s="2"/>
      <c r="C2686" s="2"/>
    </row>
    <row r="2687" spans="1:3" x14ac:dyDescent="0.25">
      <c r="A2687" s="2"/>
      <c r="C2687" s="2"/>
    </row>
    <row r="2688" spans="1:3" x14ac:dyDescent="0.25">
      <c r="A2688" s="2"/>
      <c r="C2688" s="2"/>
    </row>
    <row r="2689" spans="1:3" x14ac:dyDescent="0.25">
      <c r="A2689" s="2"/>
      <c r="C2689" s="2"/>
    </row>
    <row r="2690" spans="1:3" x14ac:dyDescent="0.25">
      <c r="A2690" s="2"/>
      <c r="C2690" s="2"/>
    </row>
    <row r="2691" spans="1:3" x14ac:dyDescent="0.25">
      <c r="A2691" s="2"/>
      <c r="C2691" s="2"/>
    </row>
    <row r="2692" spans="1:3" x14ac:dyDescent="0.25">
      <c r="A2692" s="2"/>
      <c r="C2692" s="2"/>
    </row>
    <row r="2693" spans="1:3" x14ac:dyDescent="0.25">
      <c r="A2693" s="2"/>
      <c r="C2693" s="2"/>
    </row>
    <row r="2694" spans="1:3" x14ac:dyDescent="0.25">
      <c r="A2694" s="2"/>
      <c r="C2694" s="2"/>
    </row>
    <row r="2695" spans="1:3" x14ac:dyDescent="0.25">
      <c r="A2695" s="2"/>
      <c r="C2695" s="2"/>
    </row>
    <row r="2696" spans="1:3" x14ac:dyDescent="0.25">
      <c r="A2696" s="2"/>
      <c r="C2696" s="2"/>
    </row>
    <row r="2697" spans="1:3" x14ac:dyDescent="0.25">
      <c r="A2697" s="2"/>
      <c r="C2697" s="2"/>
    </row>
    <row r="2698" spans="1:3" x14ac:dyDescent="0.25">
      <c r="A2698" s="2"/>
      <c r="C2698" s="2"/>
    </row>
    <row r="2699" spans="1:3" x14ac:dyDescent="0.25">
      <c r="A2699" s="2"/>
      <c r="C2699" s="2"/>
    </row>
    <row r="2700" spans="1:3" x14ac:dyDescent="0.25">
      <c r="A2700" s="2"/>
      <c r="C2700" s="2"/>
    </row>
    <row r="2701" spans="1:3" x14ac:dyDescent="0.25">
      <c r="A2701" s="2"/>
      <c r="C2701" s="2"/>
    </row>
    <row r="2702" spans="1:3" x14ac:dyDescent="0.25">
      <c r="A2702" s="2"/>
      <c r="C2702" s="2"/>
    </row>
    <row r="2703" spans="1:3" x14ac:dyDescent="0.25">
      <c r="A2703" s="2"/>
      <c r="C2703" s="2"/>
    </row>
    <row r="2704" spans="1:3" x14ac:dyDescent="0.25">
      <c r="A2704" s="2"/>
      <c r="C2704" s="2"/>
    </row>
    <row r="2705" spans="1:3" x14ac:dyDescent="0.25">
      <c r="A2705" s="2"/>
      <c r="C2705" s="2"/>
    </row>
    <row r="2706" spans="1:3" x14ac:dyDescent="0.25">
      <c r="A2706" s="2"/>
      <c r="C2706" s="2"/>
    </row>
    <row r="2707" spans="1:3" x14ac:dyDescent="0.25">
      <c r="A2707" s="2"/>
      <c r="C2707" s="2"/>
    </row>
    <row r="2708" spans="1:3" x14ac:dyDescent="0.25">
      <c r="A2708" s="2"/>
      <c r="C2708" s="2"/>
    </row>
    <row r="2709" spans="1:3" x14ac:dyDescent="0.25">
      <c r="A2709" s="2"/>
      <c r="C2709" s="2"/>
    </row>
    <row r="2710" spans="1:3" x14ac:dyDescent="0.25">
      <c r="A2710" s="2"/>
      <c r="C2710" s="2"/>
    </row>
    <row r="2711" spans="1:3" x14ac:dyDescent="0.25">
      <c r="A2711" s="2"/>
      <c r="C2711" s="2"/>
    </row>
    <row r="2712" spans="1:3" x14ac:dyDescent="0.25">
      <c r="A2712" s="2"/>
      <c r="C2712" s="2"/>
    </row>
    <row r="2713" spans="1:3" x14ac:dyDescent="0.25">
      <c r="A2713" s="2"/>
      <c r="C2713" s="2"/>
    </row>
    <row r="2714" spans="1:3" x14ac:dyDescent="0.25">
      <c r="A2714" s="2"/>
      <c r="C2714" s="2"/>
    </row>
    <row r="2715" spans="1:3" x14ac:dyDescent="0.25">
      <c r="A2715" s="2"/>
      <c r="C2715" s="2"/>
    </row>
    <row r="2716" spans="1:3" x14ac:dyDescent="0.25">
      <c r="A2716" s="2"/>
      <c r="C2716" s="2"/>
    </row>
    <row r="2717" spans="1:3" x14ac:dyDescent="0.25">
      <c r="A2717" s="2"/>
      <c r="C2717" s="2"/>
    </row>
    <row r="2718" spans="1:3" x14ac:dyDescent="0.25">
      <c r="A2718" s="2"/>
      <c r="C2718" s="2"/>
    </row>
    <row r="2719" spans="1:3" x14ac:dyDescent="0.25">
      <c r="A2719" s="2"/>
      <c r="C2719" s="2"/>
    </row>
    <row r="2720" spans="1:3" x14ac:dyDescent="0.25">
      <c r="A2720" s="2"/>
      <c r="C2720" s="2"/>
    </row>
    <row r="2721" spans="1:3" x14ac:dyDescent="0.25">
      <c r="A2721" s="2"/>
      <c r="C2721" s="2"/>
    </row>
    <row r="2722" spans="1:3" x14ac:dyDescent="0.25">
      <c r="A2722" s="2"/>
      <c r="C2722" s="2"/>
    </row>
    <row r="2723" spans="1:3" x14ac:dyDescent="0.25">
      <c r="A2723" s="2"/>
      <c r="C2723" s="2"/>
    </row>
    <row r="2724" spans="1:3" x14ac:dyDescent="0.25">
      <c r="A2724" s="2"/>
      <c r="C2724" s="2"/>
    </row>
    <row r="2725" spans="1:3" x14ac:dyDescent="0.25">
      <c r="A2725" s="2"/>
      <c r="C2725" s="2"/>
    </row>
    <row r="2726" spans="1:3" x14ac:dyDescent="0.25">
      <c r="A2726" s="2"/>
      <c r="C2726" s="2"/>
    </row>
    <row r="2727" spans="1:3" x14ac:dyDescent="0.25">
      <c r="A2727" s="2"/>
      <c r="C2727" s="2"/>
    </row>
    <row r="2728" spans="1:3" x14ac:dyDescent="0.25">
      <c r="A2728" s="2"/>
      <c r="C2728" s="2"/>
    </row>
    <row r="2729" spans="1:3" x14ac:dyDescent="0.25">
      <c r="A2729" s="2"/>
      <c r="C2729" s="2"/>
    </row>
    <row r="2730" spans="1:3" x14ac:dyDescent="0.25">
      <c r="A2730" s="2"/>
      <c r="C2730" s="2"/>
    </row>
    <row r="2731" spans="1:3" x14ac:dyDescent="0.25">
      <c r="A2731" s="2"/>
      <c r="C2731" s="2"/>
    </row>
    <row r="2732" spans="1:3" x14ac:dyDescent="0.25">
      <c r="A2732" s="2"/>
      <c r="C2732" s="2"/>
    </row>
    <row r="2733" spans="1:3" x14ac:dyDescent="0.25">
      <c r="A2733" s="2"/>
      <c r="C2733" s="2"/>
    </row>
    <row r="2734" spans="1:3" x14ac:dyDescent="0.25">
      <c r="A2734" s="2"/>
      <c r="C2734" s="2"/>
    </row>
    <row r="2735" spans="1:3" x14ac:dyDescent="0.25">
      <c r="A2735" s="2"/>
      <c r="C2735" s="2"/>
    </row>
    <row r="2736" spans="1:3" x14ac:dyDescent="0.25">
      <c r="A2736" s="2"/>
      <c r="C2736" s="2"/>
    </row>
    <row r="2737" spans="1:3" x14ac:dyDescent="0.25">
      <c r="A2737" s="2"/>
      <c r="C2737" s="2"/>
    </row>
    <row r="2738" spans="1:3" x14ac:dyDescent="0.25">
      <c r="A2738" s="2"/>
      <c r="C2738" s="2"/>
    </row>
    <row r="2739" spans="1:3" x14ac:dyDescent="0.25">
      <c r="A2739" s="2"/>
      <c r="C2739" s="2"/>
    </row>
    <row r="2740" spans="1:3" x14ac:dyDescent="0.25">
      <c r="A2740" s="2"/>
      <c r="C2740" s="2"/>
    </row>
    <row r="2741" spans="1:3" x14ac:dyDescent="0.25">
      <c r="A2741" s="2"/>
      <c r="C2741" s="2"/>
    </row>
    <row r="2742" spans="1:3" x14ac:dyDescent="0.25">
      <c r="A2742" s="2"/>
      <c r="C2742" s="2"/>
    </row>
    <row r="2743" spans="1:3" x14ac:dyDescent="0.25">
      <c r="A2743" s="2"/>
      <c r="C2743" s="2"/>
    </row>
    <row r="2744" spans="1:3" x14ac:dyDescent="0.25">
      <c r="A2744" s="2"/>
      <c r="C2744" s="2"/>
    </row>
    <row r="2745" spans="1:3" x14ac:dyDescent="0.25">
      <c r="A2745" s="2"/>
      <c r="C2745" s="2"/>
    </row>
    <row r="2746" spans="1:3" x14ac:dyDescent="0.25">
      <c r="A2746" s="2"/>
      <c r="C2746" s="2"/>
    </row>
    <row r="2747" spans="1:3" x14ac:dyDescent="0.25">
      <c r="A2747" s="2"/>
      <c r="C2747" s="2"/>
    </row>
    <row r="2748" spans="1:3" x14ac:dyDescent="0.25">
      <c r="A2748" s="2"/>
      <c r="C2748" s="2"/>
    </row>
    <row r="2749" spans="1:3" x14ac:dyDescent="0.25">
      <c r="A2749" s="2"/>
      <c r="C2749" s="2"/>
    </row>
    <row r="2750" spans="1:3" x14ac:dyDescent="0.25">
      <c r="A2750" s="2"/>
      <c r="C2750" s="2"/>
    </row>
    <row r="2751" spans="1:3" x14ac:dyDescent="0.25">
      <c r="A2751" s="2"/>
      <c r="C2751" s="2"/>
    </row>
    <row r="2752" spans="1:3" x14ac:dyDescent="0.25">
      <c r="A2752" s="2"/>
      <c r="C2752" s="2"/>
    </row>
    <row r="2753" spans="1:3" x14ac:dyDescent="0.25">
      <c r="A2753" s="2"/>
      <c r="C2753" s="2"/>
    </row>
    <row r="2754" spans="1:3" x14ac:dyDescent="0.25">
      <c r="A2754" s="2"/>
      <c r="C2754" s="2"/>
    </row>
    <row r="2755" spans="1:3" x14ac:dyDescent="0.25">
      <c r="A2755" s="2"/>
      <c r="C2755" s="2"/>
    </row>
    <row r="2756" spans="1:3" x14ac:dyDescent="0.25">
      <c r="A2756" s="2"/>
      <c r="C2756" s="2"/>
    </row>
    <row r="2757" spans="1:3" x14ac:dyDescent="0.25">
      <c r="A2757" s="2"/>
      <c r="C2757" s="2"/>
    </row>
    <row r="2758" spans="1:3" x14ac:dyDescent="0.25">
      <c r="A2758" s="2"/>
      <c r="C2758" s="2"/>
    </row>
    <row r="2759" spans="1:3" x14ac:dyDescent="0.25">
      <c r="A2759" s="2"/>
      <c r="C2759" s="2"/>
    </row>
    <row r="2760" spans="1:3" x14ac:dyDescent="0.25">
      <c r="A2760" s="2"/>
      <c r="C2760" s="2"/>
    </row>
    <row r="2761" spans="1:3" x14ac:dyDescent="0.25">
      <c r="A2761" s="2"/>
      <c r="C2761" s="2"/>
    </row>
    <row r="2762" spans="1:3" x14ac:dyDescent="0.25">
      <c r="A2762" s="2"/>
      <c r="C2762" s="2"/>
    </row>
    <row r="2763" spans="1:3" x14ac:dyDescent="0.25">
      <c r="A2763" s="2"/>
      <c r="C2763" s="2"/>
    </row>
    <row r="2764" spans="1:3" x14ac:dyDescent="0.25">
      <c r="A2764" s="2"/>
      <c r="C2764" s="2"/>
    </row>
    <row r="2765" spans="1:3" x14ac:dyDescent="0.25">
      <c r="A2765" s="2"/>
      <c r="C2765" s="2"/>
    </row>
    <row r="2766" spans="1:3" x14ac:dyDescent="0.25">
      <c r="A2766" s="2"/>
      <c r="C2766" s="2"/>
    </row>
    <row r="2767" spans="1:3" x14ac:dyDescent="0.25">
      <c r="A2767" s="2"/>
      <c r="C2767" s="2"/>
    </row>
    <row r="2768" spans="1:3" x14ac:dyDescent="0.25">
      <c r="A2768" s="2"/>
      <c r="C2768" s="2"/>
    </row>
    <row r="2769" spans="1:3" x14ac:dyDescent="0.25">
      <c r="A2769" s="2"/>
      <c r="C2769" s="2"/>
    </row>
    <row r="2770" spans="1:3" x14ac:dyDescent="0.25">
      <c r="A2770" s="2"/>
      <c r="C2770" s="2"/>
    </row>
    <row r="2771" spans="1:3" x14ac:dyDescent="0.25">
      <c r="A2771" s="2"/>
      <c r="C2771" s="2"/>
    </row>
    <row r="2772" spans="1:3" x14ac:dyDescent="0.25">
      <c r="A2772" s="2"/>
      <c r="C2772" s="2"/>
    </row>
    <row r="2773" spans="1:3" x14ac:dyDescent="0.25">
      <c r="A2773" s="2"/>
      <c r="C2773" s="2"/>
    </row>
    <row r="2774" spans="1:3" x14ac:dyDescent="0.25">
      <c r="A2774" s="2"/>
      <c r="C2774" s="2"/>
    </row>
    <row r="2775" spans="1:3" x14ac:dyDescent="0.25">
      <c r="A2775" s="2"/>
      <c r="C2775" s="2"/>
    </row>
    <row r="2776" spans="1:3" x14ac:dyDescent="0.25">
      <c r="A2776" s="2"/>
      <c r="C2776" s="2"/>
    </row>
    <row r="2777" spans="1:3" x14ac:dyDescent="0.25">
      <c r="A2777" s="2"/>
      <c r="C2777" s="2"/>
    </row>
    <row r="2778" spans="1:3" x14ac:dyDescent="0.25">
      <c r="A2778" s="2"/>
      <c r="C2778" s="2"/>
    </row>
    <row r="2779" spans="1:3" x14ac:dyDescent="0.25">
      <c r="A2779" s="2"/>
      <c r="C2779" s="2"/>
    </row>
    <row r="2780" spans="1:3" x14ac:dyDescent="0.25">
      <c r="A2780" s="2"/>
      <c r="C2780" s="2"/>
    </row>
    <row r="2781" spans="1:3" x14ac:dyDescent="0.25">
      <c r="A2781" s="2"/>
      <c r="C2781" s="2"/>
    </row>
    <row r="2782" spans="1:3" x14ac:dyDescent="0.25">
      <c r="A2782" s="2"/>
      <c r="C2782" s="2"/>
    </row>
    <row r="2783" spans="1:3" x14ac:dyDescent="0.25">
      <c r="A2783" s="2"/>
      <c r="C2783" s="2"/>
    </row>
    <row r="2784" spans="1:3" x14ac:dyDescent="0.25">
      <c r="A2784" s="2"/>
      <c r="C2784" s="2"/>
    </row>
    <row r="2785" spans="1:3" x14ac:dyDescent="0.25">
      <c r="A2785" s="2"/>
      <c r="C2785" s="2"/>
    </row>
    <row r="2786" spans="1:3" x14ac:dyDescent="0.25">
      <c r="A2786" s="2"/>
      <c r="C2786" s="2"/>
    </row>
    <row r="2787" spans="1:3" x14ac:dyDescent="0.25">
      <c r="A2787" s="2"/>
      <c r="C2787" s="2"/>
    </row>
    <row r="2788" spans="1:3" x14ac:dyDescent="0.25">
      <c r="A2788" s="2"/>
      <c r="C2788" s="2"/>
    </row>
    <row r="2789" spans="1:3" x14ac:dyDescent="0.25">
      <c r="A2789" s="2"/>
      <c r="C2789" s="2"/>
    </row>
    <row r="2790" spans="1:3" x14ac:dyDescent="0.25">
      <c r="A2790" s="2"/>
      <c r="C2790" s="2"/>
    </row>
    <row r="2791" spans="1:3" x14ac:dyDescent="0.25">
      <c r="A2791" s="2"/>
      <c r="C2791" s="2"/>
    </row>
    <row r="2792" spans="1:3" x14ac:dyDescent="0.25">
      <c r="A2792" s="2"/>
      <c r="C2792" s="2"/>
    </row>
    <row r="2793" spans="1:3" x14ac:dyDescent="0.25">
      <c r="A2793" s="2"/>
      <c r="C2793" s="2"/>
    </row>
    <row r="2794" spans="1:3" x14ac:dyDescent="0.25">
      <c r="A2794" s="2"/>
      <c r="C2794" s="2"/>
    </row>
    <row r="2795" spans="1:3" x14ac:dyDescent="0.25">
      <c r="A2795" s="2"/>
      <c r="C2795" s="2"/>
    </row>
    <row r="2796" spans="1:3" x14ac:dyDescent="0.25">
      <c r="A2796" s="2"/>
      <c r="C2796" s="2"/>
    </row>
    <row r="2797" spans="1:3" x14ac:dyDescent="0.25">
      <c r="A2797" s="2"/>
      <c r="C2797" s="2"/>
    </row>
    <row r="2798" spans="1:3" x14ac:dyDescent="0.25">
      <c r="A2798" s="2"/>
      <c r="C2798" s="2"/>
    </row>
    <row r="2799" spans="1:3" x14ac:dyDescent="0.25">
      <c r="A2799" s="2"/>
      <c r="C2799" s="2"/>
    </row>
    <row r="2800" spans="1:3" x14ac:dyDescent="0.25">
      <c r="A2800" s="2"/>
      <c r="C2800" s="2"/>
    </row>
    <row r="2801" spans="1:3" x14ac:dyDescent="0.25">
      <c r="A2801" s="2"/>
      <c r="C2801" s="2"/>
    </row>
    <row r="2802" spans="1:3" x14ac:dyDescent="0.25">
      <c r="A2802" s="2"/>
      <c r="C2802" s="2"/>
    </row>
    <row r="2803" spans="1:3" x14ac:dyDescent="0.25">
      <c r="A2803" s="2"/>
      <c r="C2803" s="2"/>
    </row>
    <row r="2804" spans="1:3" x14ac:dyDescent="0.25">
      <c r="A2804" s="2"/>
      <c r="C2804" s="2"/>
    </row>
    <row r="2805" spans="1:3" x14ac:dyDescent="0.25">
      <c r="A2805" s="2"/>
      <c r="C2805" s="2"/>
    </row>
    <row r="2806" spans="1:3" x14ac:dyDescent="0.25">
      <c r="A2806" s="2"/>
      <c r="C2806" s="2"/>
    </row>
    <row r="2807" spans="1:3" x14ac:dyDescent="0.25">
      <c r="A2807" s="2"/>
      <c r="C2807" s="2"/>
    </row>
    <row r="2808" spans="1:3" x14ac:dyDescent="0.25">
      <c r="A2808" s="2"/>
      <c r="C2808" s="2"/>
    </row>
    <row r="2809" spans="1:3" x14ac:dyDescent="0.25">
      <c r="A2809" s="2"/>
      <c r="C2809" s="2"/>
    </row>
    <row r="2810" spans="1:3" x14ac:dyDescent="0.25">
      <c r="A2810" s="2"/>
      <c r="C2810" s="2"/>
    </row>
    <row r="2811" spans="1:3" x14ac:dyDescent="0.25">
      <c r="A2811" s="2"/>
      <c r="C2811" s="2"/>
    </row>
    <row r="2812" spans="1:3" x14ac:dyDescent="0.25">
      <c r="A2812" s="2"/>
      <c r="C2812" s="2"/>
    </row>
    <row r="2813" spans="1:3" x14ac:dyDescent="0.25">
      <c r="A2813" s="2"/>
      <c r="C2813" s="2"/>
    </row>
    <row r="2814" spans="1:3" x14ac:dyDescent="0.25">
      <c r="A2814" s="2"/>
      <c r="C2814" s="2"/>
    </row>
    <row r="2815" spans="1:3" x14ac:dyDescent="0.25">
      <c r="A2815" s="2"/>
      <c r="C2815" s="2"/>
    </row>
    <row r="2816" spans="1:3" x14ac:dyDescent="0.25">
      <c r="A2816" s="2"/>
      <c r="C2816" s="2"/>
    </row>
    <row r="2817" spans="1:3" x14ac:dyDescent="0.25">
      <c r="A2817" s="2"/>
      <c r="C2817" s="2"/>
    </row>
    <row r="2818" spans="1:3" x14ac:dyDescent="0.25">
      <c r="A2818" s="2"/>
      <c r="C2818" s="2"/>
    </row>
    <row r="2819" spans="1:3" x14ac:dyDescent="0.25">
      <c r="A2819" s="2"/>
      <c r="C2819" s="2"/>
    </row>
    <row r="2820" spans="1:3" x14ac:dyDescent="0.25">
      <c r="A2820" s="2"/>
      <c r="C2820" s="2"/>
    </row>
    <row r="2821" spans="1:3" x14ac:dyDescent="0.25">
      <c r="A2821" s="2"/>
      <c r="C2821" s="2"/>
    </row>
    <row r="2822" spans="1:3" x14ac:dyDescent="0.25">
      <c r="A2822" s="2"/>
      <c r="C2822" s="2"/>
    </row>
    <row r="2823" spans="1:3" x14ac:dyDescent="0.25">
      <c r="A2823" s="2"/>
      <c r="C2823" s="2"/>
    </row>
    <row r="2824" spans="1:3" x14ac:dyDescent="0.25">
      <c r="A2824" s="2"/>
      <c r="C2824" s="2"/>
    </row>
    <row r="2825" spans="1:3" x14ac:dyDescent="0.25">
      <c r="A2825" s="2"/>
      <c r="C2825" s="2"/>
    </row>
    <row r="2826" spans="1:3" x14ac:dyDescent="0.25">
      <c r="A2826" s="2"/>
      <c r="C2826" s="2"/>
    </row>
    <row r="2827" spans="1:3" x14ac:dyDescent="0.25">
      <c r="A2827" s="2"/>
      <c r="C2827" s="2"/>
    </row>
    <row r="2828" spans="1:3" x14ac:dyDescent="0.25">
      <c r="A2828" s="2"/>
      <c r="C2828" s="2"/>
    </row>
    <row r="2829" spans="1:3" x14ac:dyDescent="0.25">
      <c r="A2829" s="2"/>
      <c r="C2829" s="2"/>
    </row>
    <row r="2830" spans="1:3" x14ac:dyDescent="0.25">
      <c r="A2830" s="2"/>
      <c r="C2830" s="2"/>
    </row>
    <row r="2831" spans="1:3" x14ac:dyDescent="0.25">
      <c r="A2831" s="2"/>
      <c r="C2831" s="2"/>
    </row>
    <row r="2832" spans="1:3" x14ac:dyDescent="0.25">
      <c r="A2832" s="2"/>
      <c r="C2832" s="2"/>
    </row>
    <row r="2833" spans="1:3" x14ac:dyDescent="0.25">
      <c r="A2833" s="2"/>
      <c r="C2833" s="2"/>
    </row>
    <row r="2834" spans="1:3" x14ac:dyDescent="0.25">
      <c r="A2834" s="2"/>
      <c r="C2834" s="2"/>
    </row>
    <row r="2835" spans="1:3" x14ac:dyDescent="0.25">
      <c r="A2835" s="2"/>
      <c r="C2835" s="2"/>
    </row>
    <row r="2836" spans="1:3" x14ac:dyDescent="0.25">
      <c r="A2836" s="2"/>
      <c r="C2836" s="2"/>
    </row>
    <row r="2837" spans="1:3" x14ac:dyDescent="0.25">
      <c r="A2837" s="2"/>
      <c r="C2837" s="2"/>
    </row>
    <row r="2838" spans="1:3" x14ac:dyDescent="0.25">
      <c r="A2838" s="2"/>
      <c r="C2838" s="2"/>
    </row>
    <row r="2839" spans="1:3" x14ac:dyDescent="0.25">
      <c r="A2839" s="2"/>
      <c r="C2839" s="2"/>
    </row>
    <row r="2840" spans="1:3" x14ac:dyDescent="0.25">
      <c r="A2840" s="2"/>
      <c r="C2840" s="2"/>
    </row>
    <row r="2841" spans="1:3" x14ac:dyDescent="0.25">
      <c r="A2841" s="2"/>
      <c r="C2841" s="2"/>
    </row>
    <row r="2842" spans="1:3" x14ac:dyDescent="0.25">
      <c r="A2842" s="2"/>
      <c r="C2842" s="2"/>
    </row>
    <row r="2843" spans="1:3" x14ac:dyDescent="0.25">
      <c r="A2843" s="2"/>
      <c r="C2843" s="2"/>
    </row>
    <row r="2844" spans="1:3" x14ac:dyDescent="0.25">
      <c r="A2844" s="2"/>
      <c r="C2844" s="2"/>
    </row>
    <row r="2845" spans="1:3" x14ac:dyDescent="0.25">
      <c r="A2845" s="2"/>
      <c r="C2845" s="2"/>
    </row>
    <row r="2846" spans="1:3" x14ac:dyDescent="0.25">
      <c r="A2846" s="2"/>
      <c r="C2846" s="2"/>
    </row>
    <row r="2847" spans="1:3" x14ac:dyDescent="0.25">
      <c r="A2847" s="2"/>
      <c r="C2847" s="2"/>
    </row>
    <row r="2848" spans="1:3" x14ac:dyDescent="0.25">
      <c r="A2848" s="2"/>
      <c r="C2848" s="2"/>
    </row>
    <row r="2849" spans="1:3" x14ac:dyDescent="0.25">
      <c r="A2849" s="2"/>
      <c r="C2849" s="2"/>
    </row>
    <row r="2850" spans="1:3" x14ac:dyDescent="0.25">
      <c r="A2850" s="2"/>
      <c r="C2850" s="2"/>
    </row>
    <row r="2851" spans="1:3" x14ac:dyDescent="0.25">
      <c r="A2851" s="2"/>
      <c r="C2851" s="2"/>
    </row>
    <row r="2852" spans="1:3" x14ac:dyDescent="0.25">
      <c r="A2852" s="2"/>
      <c r="C2852" s="2"/>
    </row>
    <row r="2853" spans="1:3" x14ac:dyDescent="0.25">
      <c r="A2853" s="2"/>
      <c r="C2853" s="2"/>
    </row>
    <row r="2854" spans="1:3" x14ac:dyDescent="0.25">
      <c r="A2854" s="2"/>
      <c r="C2854" s="2"/>
    </row>
    <row r="2855" spans="1:3" x14ac:dyDescent="0.25">
      <c r="A2855" s="2"/>
      <c r="C2855" s="2"/>
    </row>
    <row r="2856" spans="1:3" x14ac:dyDescent="0.25">
      <c r="A2856" s="2"/>
      <c r="C2856" s="2"/>
    </row>
    <row r="2857" spans="1:3" x14ac:dyDescent="0.25">
      <c r="A2857" s="2"/>
      <c r="C2857" s="2"/>
    </row>
    <row r="2858" spans="1:3" x14ac:dyDescent="0.25">
      <c r="A2858" s="2"/>
      <c r="C2858" s="2"/>
    </row>
    <row r="2859" spans="1:3" x14ac:dyDescent="0.25">
      <c r="A2859" s="2"/>
      <c r="C2859" s="2"/>
    </row>
    <row r="2860" spans="1:3" x14ac:dyDescent="0.25">
      <c r="A2860" s="2"/>
      <c r="C2860" s="2"/>
    </row>
    <row r="2861" spans="1:3" x14ac:dyDescent="0.25">
      <c r="A2861" s="2"/>
      <c r="C2861" s="2"/>
    </row>
    <row r="2862" spans="1:3" x14ac:dyDescent="0.25">
      <c r="A2862" s="2"/>
      <c r="C2862" s="2"/>
    </row>
    <row r="2863" spans="1:3" x14ac:dyDescent="0.25">
      <c r="A2863" s="2"/>
      <c r="C2863" s="2"/>
    </row>
    <row r="2864" spans="1:3" x14ac:dyDescent="0.25">
      <c r="A2864" s="2"/>
      <c r="C2864" s="2"/>
    </row>
    <row r="2865" spans="1:3" x14ac:dyDescent="0.25">
      <c r="A2865" s="2"/>
      <c r="C2865" s="2"/>
    </row>
    <row r="2866" spans="1:3" x14ac:dyDescent="0.25">
      <c r="A2866" s="2"/>
      <c r="C2866" s="2"/>
    </row>
    <row r="2867" spans="1:3" x14ac:dyDescent="0.25">
      <c r="A2867" s="2"/>
      <c r="C2867" s="2"/>
    </row>
    <row r="2868" spans="1:3" x14ac:dyDescent="0.25">
      <c r="A2868" s="2"/>
      <c r="C2868" s="2"/>
    </row>
    <row r="2869" spans="1:3" x14ac:dyDescent="0.25">
      <c r="A2869" s="2"/>
      <c r="C2869" s="2"/>
    </row>
    <row r="2870" spans="1:3" x14ac:dyDescent="0.25">
      <c r="A2870" s="2"/>
      <c r="C2870" s="2"/>
    </row>
    <row r="2871" spans="1:3" x14ac:dyDescent="0.25">
      <c r="A2871" s="2"/>
      <c r="C2871" s="2"/>
    </row>
    <row r="2872" spans="1:3" x14ac:dyDescent="0.25">
      <c r="A2872" s="2"/>
      <c r="C2872" s="2"/>
    </row>
    <row r="2873" spans="1:3" x14ac:dyDescent="0.25">
      <c r="A2873" s="2"/>
      <c r="C2873" s="2"/>
    </row>
    <row r="2874" spans="1:3" x14ac:dyDescent="0.25">
      <c r="A2874" s="2"/>
      <c r="C2874" s="2"/>
    </row>
    <row r="2875" spans="1:3" x14ac:dyDescent="0.25">
      <c r="A2875" s="2"/>
      <c r="C2875" s="2"/>
    </row>
    <row r="2876" spans="1:3" x14ac:dyDescent="0.25">
      <c r="A2876" s="2"/>
      <c r="C2876" s="2"/>
    </row>
    <row r="2877" spans="1:3" x14ac:dyDescent="0.25">
      <c r="A2877" s="2"/>
      <c r="C2877" s="2"/>
    </row>
    <row r="2878" spans="1:3" x14ac:dyDescent="0.25">
      <c r="A2878" s="2"/>
      <c r="C2878" s="2"/>
    </row>
    <row r="2879" spans="1:3" x14ac:dyDescent="0.25">
      <c r="A2879" s="2"/>
      <c r="C2879" s="2"/>
    </row>
    <row r="2880" spans="1:3" x14ac:dyDescent="0.25">
      <c r="A2880" s="2"/>
      <c r="C2880" s="2"/>
    </row>
    <row r="2881" spans="1:3" x14ac:dyDescent="0.25">
      <c r="A2881" s="2"/>
      <c r="C2881" s="2"/>
    </row>
    <row r="2882" spans="1:3" x14ac:dyDescent="0.25">
      <c r="A2882" s="2"/>
      <c r="C2882" s="2"/>
    </row>
    <row r="2883" spans="1:3" x14ac:dyDescent="0.25">
      <c r="A2883" s="2"/>
      <c r="C2883" s="2"/>
    </row>
    <row r="2884" spans="1:3" x14ac:dyDescent="0.25">
      <c r="A2884" s="2"/>
      <c r="C2884" s="2"/>
    </row>
    <row r="2885" spans="1:3" x14ac:dyDescent="0.25">
      <c r="A2885" s="2"/>
      <c r="C2885" s="2"/>
    </row>
    <row r="2886" spans="1:3" x14ac:dyDescent="0.25">
      <c r="A2886" s="2"/>
      <c r="C2886" s="2"/>
    </row>
    <row r="2887" spans="1:3" x14ac:dyDescent="0.25">
      <c r="A2887" s="2"/>
      <c r="C2887" s="2"/>
    </row>
    <row r="2888" spans="1:3" x14ac:dyDescent="0.25">
      <c r="A2888" s="2"/>
      <c r="C2888" s="2"/>
    </row>
    <row r="2889" spans="1:3" x14ac:dyDescent="0.25">
      <c r="A2889" s="2"/>
      <c r="C2889" s="2"/>
    </row>
    <row r="2890" spans="1:3" x14ac:dyDescent="0.25">
      <c r="A2890" s="2"/>
      <c r="C2890" s="2"/>
    </row>
    <row r="2891" spans="1:3" x14ac:dyDescent="0.25">
      <c r="A2891" s="2"/>
      <c r="C2891" s="2"/>
    </row>
    <row r="2892" spans="1:3" x14ac:dyDescent="0.25">
      <c r="A2892" s="2"/>
      <c r="C2892" s="2"/>
    </row>
    <row r="2893" spans="1:3" x14ac:dyDescent="0.25">
      <c r="A2893" s="2"/>
      <c r="C2893" s="2"/>
    </row>
    <row r="2894" spans="1:3" x14ac:dyDescent="0.25">
      <c r="A2894" s="2"/>
      <c r="C2894" s="2"/>
    </row>
    <row r="2895" spans="1:3" x14ac:dyDescent="0.25">
      <c r="A2895" s="2"/>
      <c r="C2895" s="2"/>
    </row>
    <row r="2896" spans="1:3" x14ac:dyDescent="0.25">
      <c r="A2896" s="2"/>
      <c r="C2896" s="2"/>
    </row>
    <row r="2897" spans="1:3" x14ac:dyDescent="0.25">
      <c r="A2897" s="2"/>
      <c r="C2897" s="2"/>
    </row>
    <row r="2898" spans="1:3" x14ac:dyDescent="0.25">
      <c r="A2898" s="2"/>
      <c r="C2898" s="2"/>
    </row>
    <row r="2899" spans="1:3" x14ac:dyDescent="0.25">
      <c r="A2899" s="2"/>
      <c r="C2899" s="2"/>
    </row>
    <row r="2900" spans="1:3" x14ac:dyDescent="0.25">
      <c r="A2900" s="2"/>
      <c r="C2900" s="2"/>
    </row>
    <row r="2901" spans="1:3" x14ac:dyDescent="0.25">
      <c r="A2901" s="2"/>
      <c r="C2901" s="2"/>
    </row>
    <row r="2902" spans="1:3" x14ac:dyDescent="0.25">
      <c r="A2902" s="2"/>
      <c r="C2902" s="2"/>
    </row>
    <row r="2903" spans="1:3" x14ac:dyDescent="0.25">
      <c r="A2903" s="2"/>
      <c r="C2903" s="2"/>
    </row>
    <row r="2904" spans="1:3" x14ac:dyDescent="0.25">
      <c r="A2904" s="2"/>
      <c r="C2904" s="2"/>
    </row>
    <row r="2905" spans="1:3" x14ac:dyDescent="0.25">
      <c r="A2905" s="2"/>
      <c r="C2905" s="2"/>
    </row>
    <row r="2906" spans="1:3" x14ac:dyDescent="0.25">
      <c r="A2906" s="2"/>
      <c r="C2906" s="2"/>
    </row>
    <row r="2907" spans="1:3" x14ac:dyDescent="0.25">
      <c r="A2907" s="2"/>
      <c r="C2907" s="2"/>
    </row>
    <row r="2908" spans="1:3" x14ac:dyDescent="0.25">
      <c r="A2908" s="2"/>
      <c r="C2908" s="2"/>
    </row>
    <row r="2909" spans="1:3" x14ac:dyDescent="0.25">
      <c r="A2909" s="2"/>
      <c r="C2909" s="2"/>
    </row>
    <row r="2910" spans="1:3" x14ac:dyDescent="0.25">
      <c r="A2910" s="2"/>
      <c r="C2910" s="2"/>
    </row>
    <row r="2911" spans="1:3" x14ac:dyDescent="0.25">
      <c r="A2911" s="2"/>
      <c r="C2911" s="2"/>
    </row>
    <row r="2912" spans="1:3" x14ac:dyDescent="0.25">
      <c r="A2912" s="2"/>
      <c r="C2912" s="2"/>
    </row>
    <row r="2913" spans="1:3" x14ac:dyDescent="0.25">
      <c r="A2913" s="2"/>
      <c r="C2913" s="2"/>
    </row>
    <row r="2914" spans="1:3" x14ac:dyDescent="0.25">
      <c r="A2914" s="2"/>
      <c r="C2914" s="2"/>
    </row>
    <row r="2915" spans="1:3" x14ac:dyDescent="0.25">
      <c r="A2915" s="2"/>
      <c r="C2915" s="2"/>
    </row>
    <row r="2916" spans="1:3" x14ac:dyDescent="0.25">
      <c r="A2916" s="2"/>
      <c r="C2916" s="2"/>
    </row>
    <row r="2917" spans="1:3" x14ac:dyDescent="0.25">
      <c r="A2917" s="2"/>
      <c r="C2917" s="2"/>
    </row>
    <row r="2918" spans="1:3" x14ac:dyDescent="0.25">
      <c r="A2918" s="2"/>
      <c r="C2918" s="2"/>
    </row>
    <row r="2919" spans="1:3" x14ac:dyDescent="0.25">
      <c r="A2919" s="2"/>
      <c r="C2919" s="2"/>
    </row>
    <row r="2920" spans="1:3" x14ac:dyDescent="0.25">
      <c r="A2920" s="2"/>
      <c r="C2920" s="2"/>
    </row>
    <row r="2921" spans="1:3" x14ac:dyDescent="0.25">
      <c r="A2921" s="2"/>
      <c r="C2921" s="2"/>
    </row>
    <row r="2922" spans="1:3" x14ac:dyDescent="0.25">
      <c r="A2922" s="2"/>
      <c r="C2922" s="2"/>
    </row>
    <row r="2923" spans="1:3" x14ac:dyDescent="0.25">
      <c r="A2923" s="2"/>
      <c r="C2923" s="2"/>
    </row>
    <row r="2924" spans="1:3" x14ac:dyDescent="0.25">
      <c r="A2924" s="2"/>
      <c r="C2924" s="2"/>
    </row>
    <row r="2925" spans="1:3" x14ac:dyDescent="0.25">
      <c r="A2925" s="2"/>
      <c r="C2925" s="2"/>
    </row>
    <row r="2926" spans="1:3" x14ac:dyDescent="0.25">
      <c r="A2926" s="2"/>
      <c r="C2926" s="2"/>
    </row>
    <row r="2927" spans="1:3" x14ac:dyDescent="0.25">
      <c r="A2927" s="2"/>
      <c r="C2927" s="2"/>
    </row>
    <row r="2928" spans="1:3" x14ac:dyDescent="0.25">
      <c r="A2928" s="2"/>
      <c r="C2928" s="2"/>
    </row>
    <row r="2929" spans="1:3" x14ac:dyDescent="0.25">
      <c r="A2929" s="2"/>
      <c r="C2929" s="2"/>
    </row>
    <row r="2930" spans="1:3" x14ac:dyDescent="0.25">
      <c r="A2930" s="2"/>
      <c r="C2930" s="2"/>
    </row>
    <row r="2931" spans="1:3" x14ac:dyDescent="0.25">
      <c r="A2931" s="2"/>
      <c r="C2931" s="2"/>
    </row>
    <row r="2932" spans="1:3" x14ac:dyDescent="0.25">
      <c r="A2932" s="2"/>
      <c r="C2932" s="2"/>
    </row>
    <row r="2933" spans="1:3" x14ac:dyDescent="0.25">
      <c r="A2933" s="2"/>
      <c r="C2933" s="2"/>
    </row>
    <row r="2934" spans="1:3" x14ac:dyDescent="0.25">
      <c r="A2934" s="2"/>
      <c r="C2934" s="2"/>
    </row>
    <row r="2935" spans="1:3" x14ac:dyDescent="0.25">
      <c r="A2935" s="2"/>
      <c r="C2935" s="2"/>
    </row>
    <row r="2936" spans="1:3" x14ac:dyDescent="0.25">
      <c r="A2936" s="2"/>
      <c r="C2936" s="2"/>
    </row>
    <row r="2937" spans="1:3" x14ac:dyDescent="0.25">
      <c r="A2937" s="2"/>
      <c r="C2937" s="2"/>
    </row>
    <row r="2938" spans="1:3" x14ac:dyDescent="0.25">
      <c r="A2938" s="2"/>
      <c r="C2938" s="2"/>
    </row>
    <row r="2939" spans="1:3" x14ac:dyDescent="0.25">
      <c r="A2939" s="2"/>
      <c r="C2939" s="2"/>
    </row>
    <row r="2940" spans="1:3" x14ac:dyDescent="0.25">
      <c r="A2940" s="2"/>
      <c r="C2940" s="2"/>
    </row>
    <row r="2941" spans="1:3" x14ac:dyDescent="0.25">
      <c r="A2941" s="2"/>
      <c r="C2941" s="2"/>
    </row>
    <row r="2942" spans="1:3" x14ac:dyDescent="0.25">
      <c r="A2942" s="2"/>
      <c r="C2942" s="2"/>
    </row>
    <row r="2943" spans="1:3" x14ac:dyDescent="0.25">
      <c r="A2943" s="2"/>
      <c r="C2943" s="2"/>
    </row>
    <row r="2944" spans="1:3" x14ac:dyDescent="0.25">
      <c r="A2944" s="2"/>
      <c r="C2944" s="2"/>
    </row>
    <row r="2945" spans="1:3" x14ac:dyDescent="0.25">
      <c r="A2945" s="2"/>
      <c r="C2945" s="2"/>
    </row>
    <row r="2946" spans="1:3" x14ac:dyDescent="0.25">
      <c r="A2946" s="2"/>
      <c r="C2946" s="2"/>
    </row>
    <row r="2947" spans="1:3" x14ac:dyDescent="0.25">
      <c r="A2947" s="2"/>
      <c r="C2947" s="2"/>
    </row>
    <row r="2948" spans="1:3" x14ac:dyDescent="0.25">
      <c r="A2948" s="2"/>
      <c r="C2948" s="2"/>
    </row>
    <row r="2949" spans="1:3" x14ac:dyDescent="0.25">
      <c r="A2949" s="2"/>
      <c r="C2949" s="2"/>
    </row>
    <row r="2950" spans="1:3" x14ac:dyDescent="0.25">
      <c r="A2950" s="2"/>
      <c r="C2950" s="2"/>
    </row>
    <row r="2951" spans="1:3" x14ac:dyDescent="0.25">
      <c r="A2951" s="2"/>
      <c r="C2951" s="2"/>
    </row>
    <row r="2952" spans="1:3" x14ac:dyDescent="0.25">
      <c r="A2952" s="2"/>
      <c r="C2952" s="2"/>
    </row>
    <row r="2953" spans="1:3" x14ac:dyDescent="0.25">
      <c r="A2953" s="2"/>
      <c r="C2953" s="2"/>
    </row>
    <row r="2954" spans="1:3" x14ac:dyDescent="0.25">
      <c r="A2954" s="2"/>
      <c r="C2954" s="2"/>
    </row>
    <row r="2955" spans="1:3" x14ac:dyDescent="0.25">
      <c r="A2955" s="2"/>
      <c r="C2955" s="2"/>
    </row>
    <row r="2956" spans="1:3" x14ac:dyDescent="0.25">
      <c r="A2956" s="2"/>
      <c r="C2956" s="2"/>
    </row>
    <row r="2957" spans="1:3" x14ac:dyDescent="0.25">
      <c r="A2957" s="2"/>
      <c r="C2957" s="2"/>
    </row>
    <row r="2958" spans="1:3" x14ac:dyDescent="0.25">
      <c r="A2958" s="2"/>
      <c r="C2958" s="2"/>
    </row>
    <row r="2959" spans="1:3" x14ac:dyDescent="0.25">
      <c r="A2959" s="2"/>
      <c r="C2959" s="2"/>
    </row>
    <row r="2960" spans="1:3" x14ac:dyDescent="0.25">
      <c r="A2960" s="2"/>
      <c r="C2960" s="2"/>
    </row>
    <row r="2961" spans="1:3" x14ac:dyDescent="0.25">
      <c r="A2961" s="2"/>
      <c r="C2961" s="2"/>
    </row>
    <row r="2962" spans="1:3" x14ac:dyDescent="0.25">
      <c r="A2962" s="2"/>
      <c r="C2962" s="2"/>
    </row>
    <row r="2963" spans="1:3" x14ac:dyDescent="0.25">
      <c r="A2963" s="2"/>
      <c r="C2963" s="2"/>
    </row>
    <row r="2964" spans="1:3" x14ac:dyDescent="0.25">
      <c r="A2964" s="2"/>
      <c r="C2964" s="2"/>
    </row>
    <row r="2965" spans="1:3" x14ac:dyDescent="0.25">
      <c r="A2965" s="2"/>
      <c r="C2965" s="2"/>
    </row>
    <row r="2966" spans="1:3" x14ac:dyDescent="0.25">
      <c r="A2966" s="2"/>
      <c r="C2966" s="2"/>
    </row>
    <row r="2967" spans="1:3" x14ac:dyDescent="0.25">
      <c r="A2967" s="2"/>
      <c r="C2967" s="2"/>
    </row>
    <row r="2968" spans="1:3" x14ac:dyDescent="0.25">
      <c r="A2968" s="2"/>
      <c r="C2968" s="2"/>
    </row>
    <row r="2969" spans="1:3" x14ac:dyDescent="0.25">
      <c r="A2969" s="2"/>
      <c r="C2969" s="2"/>
    </row>
    <row r="2970" spans="1:3" x14ac:dyDescent="0.25">
      <c r="A2970" s="2"/>
      <c r="C2970" s="2"/>
    </row>
    <row r="2971" spans="1:3" x14ac:dyDescent="0.25">
      <c r="A2971" s="2"/>
      <c r="C2971" s="2"/>
    </row>
    <row r="2972" spans="1:3" x14ac:dyDescent="0.25">
      <c r="A2972" s="2"/>
      <c r="C2972" s="2"/>
    </row>
    <row r="2973" spans="1:3" x14ac:dyDescent="0.25">
      <c r="A2973" s="2"/>
      <c r="C2973" s="2"/>
    </row>
    <row r="2974" spans="1:3" x14ac:dyDescent="0.25">
      <c r="A2974" s="2"/>
      <c r="C2974" s="2"/>
    </row>
    <row r="2975" spans="1:3" x14ac:dyDescent="0.25">
      <c r="A2975" s="2"/>
      <c r="C2975" s="2"/>
    </row>
    <row r="2976" spans="1:3" x14ac:dyDescent="0.25">
      <c r="A2976" s="2"/>
      <c r="C2976" s="2"/>
    </row>
    <row r="2977" spans="1:3" x14ac:dyDescent="0.25">
      <c r="A2977" s="2"/>
      <c r="C2977" s="2"/>
    </row>
    <row r="2978" spans="1:3" x14ac:dyDescent="0.25">
      <c r="A2978" s="2"/>
      <c r="C2978" s="2"/>
    </row>
    <row r="2979" spans="1:3" x14ac:dyDescent="0.25">
      <c r="A2979" s="2"/>
      <c r="C2979" s="2"/>
    </row>
    <row r="2980" spans="1:3" x14ac:dyDescent="0.25">
      <c r="A2980" s="2"/>
      <c r="C2980" s="2"/>
    </row>
    <row r="2981" spans="1:3" x14ac:dyDescent="0.25">
      <c r="A2981" s="2"/>
      <c r="C2981" s="2"/>
    </row>
    <row r="2982" spans="1:3" x14ac:dyDescent="0.25">
      <c r="A2982" s="2"/>
      <c r="C2982" s="2"/>
    </row>
    <row r="2983" spans="1:3" x14ac:dyDescent="0.25">
      <c r="A2983" s="2"/>
      <c r="C2983" s="2"/>
    </row>
    <row r="2984" spans="1:3" x14ac:dyDescent="0.25">
      <c r="A2984" s="2"/>
      <c r="C2984" s="2"/>
    </row>
    <row r="2985" spans="1:3" x14ac:dyDescent="0.25">
      <c r="A2985" s="2"/>
      <c r="C2985" s="2"/>
    </row>
    <row r="2986" spans="1:3" x14ac:dyDescent="0.25">
      <c r="A2986" s="2"/>
      <c r="C2986" s="2"/>
    </row>
    <row r="2987" spans="1:3" x14ac:dyDescent="0.25">
      <c r="A2987" s="2"/>
      <c r="C2987" s="2"/>
    </row>
    <row r="2988" spans="1:3" x14ac:dyDescent="0.25">
      <c r="A2988" s="2"/>
      <c r="C2988" s="2"/>
    </row>
    <row r="2989" spans="1:3" x14ac:dyDescent="0.25">
      <c r="A2989" s="2"/>
      <c r="C2989" s="2"/>
    </row>
    <row r="2990" spans="1:3" x14ac:dyDescent="0.25">
      <c r="A2990" s="2"/>
      <c r="C2990" s="2"/>
    </row>
    <row r="2991" spans="1:3" x14ac:dyDescent="0.25">
      <c r="A2991" s="2"/>
      <c r="C2991" s="2"/>
    </row>
    <row r="2992" spans="1:3" x14ac:dyDescent="0.25">
      <c r="A2992" s="2"/>
      <c r="C2992" s="2"/>
    </row>
    <row r="2993" spans="1:3" x14ac:dyDescent="0.25">
      <c r="A2993" s="2"/>
      <c r="C2993" s="2"/>
    </row>
    <row r="2994" spans="1:3" x14ac:dyDescent="0.25">
      <c r="A2994" s="2"/>
      <c r="C2994" s="2"/>
    </row>
    <row r="2995" spans="1:3" x14ac:dyDescent="0.25">
      <c r="A2995" s="2"/>
      <c r="C2995" s="2"/>
    </row>
    <row r="2996" spans="1:3" x14ac:dyDescent="0.25">
      <c r="A2996" s="2"/>
      <c r="C2996" s="2"/>
    </row>
    <row r="2997" spans="1:3" x14ac:dyDescent="0.25">
      <c r="A2997" s="2"/>
      <c r="C2997" s="2"/>
    </row>
    <row r="2998" spans="1:3" x14ac:dyDescent="0.25">
      <c r="A2998" s="2"/>
      <c r="C2998" s="2"/>
    </row>
    <row r="2999" spans="1:3" x14ac:dyDescent="0.25">
      <c r="A2999" s="2"/>
      <c r="C2999" s="2"/>
    </row>
    <row r="3000" spans="1:3" x14ac:dyDescent="0.25">
      <c r="A3000" s="2"/>
      <c r="C3000" s="2"/>
    </row>
    <row r="3001" spans="1:3" x14ac:dyDescent="0.25">
      <c r="A3001" s="2"/>
      <c r="C3001" s="2"/>
    </row>
    <row r="3002" spans="1:3" x14ac:dyDescent="0.25">
      <c r="A3002" s="2"/>
      <c r="C3002" s="2"/>
    </row>
    <row r="3003" spans="1:3" x14ac:dyDescent="0.25">
      <c r="A3003" s="2"/>
      <c r="C3003" s="2"/>
    </row>
    <row r="3004" spans="1:3" x14ac:dyDescent="0.25">
      <c r="A3004" s="2"/>
      <c r="C3004" s="2"/>
    </row>
    <row r="3005" spans="1:3" x14ac:dyDescent="0.25">
      <c r="A3005" s="2"/>
      <c r="C3005" s="2"/>
    </row>
    <row r="3006" spans="1:3" x14ac:dyDescent="0.25">
      <c r="A3006" s="2"/>
      <c r="C3006" s="2"/>
    </row>
    <row r="3007" spans="1:3" x14ac:dyDescent="0.25">
      <c r="A3007" s="2"/>
      <c r="C3007" s="2"/>
    </row>
    <row r="3008" spans="1:3" x14ac:dyDescent="0.25">
      <c r="A3008" s="2"/>
      <c r="C3008" s="2"/>
    </row>
    <row r="3009" spans="1:3" x14ac:dyDescent="0.25">
      <c r="A3009" s="2"/>
      <c r="C3009" s="2"/>
    </row>
    <row r="3010" spans="1:3" x14ac:dyDescent="0.25">
      <c r="A3010" s="2"/>
      <c r="C3010" s="2"/>
    </row>
    <row r="3011" spans="1:3" x14ac:dyDescent="0.25">
      <c r="A3011" s="2"/>
      <c r="C3011" s="2"/>
    </row>
    <row r="3012" spans="1:3" x14ac:dyDescent="0.25">
      <c r="A3012" s="2"/>
      <c r="C3012" s="2"/>
    </row>
    <row r="3013" spans="1:3" x14ac:dyDescent="0.25">
      <c r="A3013" s="2"/>
      <c r="C3013" s="2"/>
    </row>
    <row r="3014" spans="1:3" x14ac:dyDescent="0.25">
      <c r="A3014" s="2"/>
      <c r="C3014" s="2"/>
    </row>
    <row r="3015" spans="1:3" x14ac:dyDescent="0.25">
      <c r="A3015" s="2"/>
      <c r="C3015" s="2"/>
    </row>
    <row r="3016" spans="1:3" x14ac:dyDescent="0.25">
      <c r="A3016" s="2"/>
      <c r="C3016" s="2"/>
    </row>
    <row r="3017" spans="1:3" x14ac:dyDescent="0.25">
      <c r="A3017" s="2"/>
      <c r="C3017" s="2"/>
    </row>
    <row r="3018" spans="1:3" x14ac:dyDescent="0.25">
      <c r="A3018" s="2"/>
      <c r="C3018" s="2"/>
    </row>
    <row r="3019" spans="1:3" x14ac:dyDescent="0.25">
      <c r="A3019" s="2"/>
      <c r="C3019" s="2"/>
    </row>
    <row r="3020" spans="1:3" x14ac:dyDescent="0.25">
      <c r="A3020" s="2"/>
      <c r="C3020" s="2"/>
    </row>
    <row r="3021" spans="1:3" x14ac:dyDescent="0.25">
      <c r="A3021" s="2"/>
      <c r="C3021" s="2"/>
    </row>
    <row r="3022" spans="1:3" x14ac:dyDescent="0.25">
      <c r="A3022" s="2"/>
      <c r="C3022" s="2"/>
    </row>
    <row r="3023" spans="1:3" x14ac:dyDescent="0.25">
      <c r="A3023" s="2"/>
      <c r="C3023" s="2"/>
    </row>
    <row r="3024" spans="1:3" x14ac:dyDescent="0.25">
      <c r="A3024" s="2"/>
      <c r="C3024" s="2"/>
    </row>
    <row r="3025" spans="1:3" x14ac:dyDescent="0.25">
      <c r="A3025" s="2"/>
      <c r="C3025" s="2"/>
    </row>
    <row r="3026" spans="1:3" x14ac:dyDescent="0.25">
      <c r="A3026" s="2"/>
      <c r="C3026" s="2"/>
    </row>
    <row r="3027" spans="1:3" x14ac:dyDescent="0.25">
      <c r="A3027" s="2"/>
      <c r="C3027" s="2"/>
    </row>
    <row r="3028" spans="1:3" x14ac:dyDescent="0.25">
      <c r="A3028" s="2"/>
      <c r="C3028" s="2"/>
    </row>
    <row r="3029" spans="1:3" x14ac:dyDescent="0.25">
      <c r="A3029" s="2"/>
      <c r="C3029" s="2"/>
    </row>
    <row r="3030" spans="1:3" x14ac:dyDescent="0.25">
      <c r="A3030" s="2"/>
      <c r="C3030" s="2"/>
    </row>
    <row r="3031" spans="1:3" x14ac:dyDescent="0.25">
      <c r="A3031" s="2"/>
      <c r="C3031" s="2"/>
    </row>
    <row r="3032" spans="1:3" x14ac:dyDescent="0.25">
      <c r="A3032" s="2"/>
      <c r="C3032" s="2"/>
    </row>
    <row r="3033" spans="1:3" x14ac:dyDescent="0.25">
      <c r="A3033" s="2"/>
      <c r="C3033" s="2"/>
    </row>
    <row r="3034" spans="1:3" x14ac:dyDescent="0.25">
      <c r="A3034" s="2"/>
      <c r="C3034" s="2"/>
    </row>
    <row r="3035" spans="1:3" x14ac:dyDescent="0.25">
      <c r="A3035" s="2"/>
      <c r="C3035" s="2"/>
    </row>
    <row r="3036" spans="1:3" x14ac:dyDescent="0.25">
      <c r="A3036" s="2"/>
      <c r="C3036" s="2"/>
    </row>
    <row r="3037" spans="1:3" x14ac:dyDescent="0.25">
      <c r="A3037" s="2"/>
      <c r="C3037" s="2"/>
    </row>
    <row r="3038" spans="1:3" x14ac:dyDescent="0.25">
      <c r="A3038" s="2"/>
      <c r="C3038" s="2"/>
    </row>
    <row r="3039" spans="1:3" x14ac:dyDescent="0.25">
      <c r="A3039" s="2"/>
      <c r="C3039" s="2"/>
    </row>
    <row r="3040" spans="1:3" x14ac:dyDescent="0.25">
      <c r="A3040" s="2"/>
      <c r="C3040" s="2"/>
    </row>
    <row r="3041" spans="1:3" x14ac:dyDescent="0.25">
      <c r="A3041" s="2"/>
      <c r="C3041" s="2"/>
    </row>
    <row r="3042" spans="1:3" x14ac:dyDescent="0.25">
      <c r="A3042" s="2"/>
      <c r="C3042" s="2"/>
    </row>
    <row r="3043" spans="1:3" x14ac:dyDescent="0.25">
      <c r="A3043" s="2"/>
      <c r="C3043" s="2"/>
    </row>
    <row r="3044" spans="1:3" x14ac:dyDescent="0.25">
      <c r="A3044" s="2"/>
      <c r="C3044" s="2"/>
    </row>
    <row r="3045" spans="1:3" x14ac:dyDescent="0.25">
      <c r="A3045" s="2"/>
      <c r="C3045" s="2"/>
    </row>
    <row r="3046" spans="1:3" x14ac:dyDescent="0.25">
      <c r="A3046" s="2"/>
      <c r="C3046" s="2"/>
    </row>
    <row r="3047" spans="1:3" x14ac:dyDescent="0.25">
      <c r="A3047" s="2"/>
      <c r="C3047" s="2"/>
    </row>
    <row r="3048" spans="1:3" x14ac:dyDescent="0.25">
      <c r="A3048" s="2"/>
      <c r="C3048" s="2"/>
    </row>
    <row r="3049" spans="1:3" x14ac:dyDescent="0.25">
      <c r="A3049" s="2"/>
      <c r="C3049" s="2"/>
    </row>
    <row r="3050" spans="1:3" x14ac:dyDescent="0.25">
      <c r="A3050" s="2"/>
      <c r="C3050" s="2"/>
    </row>
    <row r="3051" spans="1:3" x14ac:dyDescent="0.25">
      <c r="A3051" s="2"/>
      <c r="C3051" s="2"/>
    </row>
    <row r="3052" spans="1:3" x14ac:dyDescent="0.25">
      <c r="A3052" s="2"/>
      <c r="C3052" s="2"/>
    </row>
    <row r="3053" spans="1:3" x14ac:dyDescent="0.25">
      <c r="A3053" s="2"/>
      <c r="C3053" s="2"/>
    </row>
    <row r="3054" spans="1:3" x14ac:dyDescent="0.25">
      <c r="A3054" s="2"/>
      <c r="C3054" s="2"/>
    </row>
    <row r="3055" spans="1:3" x14ac:dyDescent="0.25">
      <c r="A3055" s="2"/>
      <c r="C3055" s="2"/>
    </row>
    <row r="3056" spans="1:3" x14ac:dyDescent="0.25">
      <c r="A3056" s="2"/>
      <c r="C3056" s="2"/>
    </row>
    <row r="3057" spans="1:3" x14ac:dyDescent="0.25">
      <c r="A3057" s="2"/>
      <c r="C3057" s="2"/>
    </row>
    <row r="3058" spans="1:3" x14ac:dyDescent="0.25">
      <c r="A3058" s="2"/>
      <c r="C3058" s="2"/>
    </row>
    <row r="3059" spans="1:3" x14ac:dyDescent="0.25">
      <c r="A3059" s="2"/>
      <c r="C3059" s="2"/>
    </row>
    <row r="3060" spans="1:3" x14ac:dyDescent="0.25">
      <c r="A3060" s="2"/>
      <c r="C3060" s="2"/>
    </row>
    <row r="3061" spans="1:3" x14ac:dyDescent="0.25">
      <c r="A3061" s="2"/>
      <c r="C3061" s="2"/>
    </row>
    <row r="3062" spans="1:3" x14ac:dyDescent="0.25">
      <c r="A3062" s="2"/>
      <c r="C3062" s="2"/>
    </row>
    <row r="3063" spans="1:3" x14ac:dyDescent="0.25">
      <c r="A3063" s="2"/>
      <c r="C3063" s="2"/>
    </row>
    <row r="3064" spans="1:3" x14ac:dyDescent="0.25">
      <c r="A3064" s="2"/>
      <c r="C3064" s="2"/>
    </row>
    <row r="3065" spans="1:3" x14ac:dyDescent="0.25">
      <c r="A3065" s="2"/>
      <c r="C3065" s="2"/>
    </row>
    <row r="3066" spans="1:3" x14ac:dyDescent="0.25">
      <c r="A3066" s="2"/>
      <c r="C3066" s="2"/>
    </row>
    <row r="3067" spans="1:3" x14ac:dyDescent="0.25">
      <c r="A3067" s="2"/>
      <c r="C3067" s="2"/>
    </row>
    <row r="3068" spans="1:3" x14ac:dyDescent="0.25">
      <c r="A3068" s="2"/>
      <c r="C3068" s="2"/>
    </row>
    <row r="3069" spans="1:3" x14ac:dyDescent="0.25">
      <c r="A3069" s="2"/>
      <c r="C3069" s="2"/>
    </row>
    <row r="3070" spans="1:3" x14ac:dyDescent="0.25">
      <c r="A3070" s="2"/>
      <c r="C3070" s="2"/>
    </row>
    <row r="3071" spans="1:3" x14ac:dyDescent="0.25">
      <c r="A3071" s="2"/>
      <c r="C3071" s="2"/>
    </row>
    <row r="3072" spans="1:3" x14ac:dyDescent="0.25">
      <c r="A3072" s="2"/>
      <c r="C3072" s="2"/>
    </row>
    <row r="3073" spans="1:3" x14ac:dyDescent="0.25">
      <c r="A3073" s="2"/>
      <c r="C3073" s="2"/>
    </row>
    <row r="3074" spans="1:3" x14ac:dyDescent="0.25">
      <c r="A3074" s="2"/>
      <c r="C3074" s="2"/>
    </row>
    <row r="3075" spans="1:3" x14ac:dyDescent="0.25">
      <c r="A3075" s="2"/>
      <c r="C3075" s="2"/>
    </row>
    <row r="3076" spans="1:3" x14ac:dyDescent="0.25">
      <c r="A3076" s="2"/>
      <c r="C3076" s="2"/>
    </row>
    <row r="3077" spans="1:3" x14ac:dyDescent="0.25">
      <c r="A3077" s="2"/>
      <c r="C3077" s="2"/>
    </row>
    <row r="3078" spans="1:3" x14ac:dyDescent="0.25">
      <c r="A3078" s="2"/>
      <c r="C3078" s="2"/>
    </row>
    <row r="3079" spans="1:3" x14ac:dyDescent="0.25">
      <c r="A3079" s="2"/>
      <c r="C3079" s="2"/>
    </row>
    <row r="3080" spans="1:3" x14ac:dyDescent="0.25">
      <c r="A3080" s="2"/>
      <c r="C3080" s="2"/>
    </row>
    <row r="3081" spans="1:3" x14ac:dyDescent="0.25">
      <c r="A3081" s="2"/>
      <c r="C3081" s="2"/>
    </row>
    <row r="3082" spans="1:3" x14ac:dyDescent="0.25">
      <c r="A3082" s="2"/>
      <c r="C3082" s="2"/>
    </row>
    <row r="3083" spans="1:3" x14ac:dyDescent="0.25">
      <c r="A3083" s="2"/>
      <c r="C3083" s="2"/>
    </row>
    <row r="3084" spans="1:3" x14ac:dyDescent="0.25">
      <c r="A3084" s="2"/>
      <c r="C3084" s="2"/>
    </row>
    <row r="3085" spans="1:3" x14ac:dyDescent="0.25">
      <c r="A3085" s="2"/>
      <c r="C3085" s="2"/>
    </row>
    <row r="3086" spans="1:3" x14ac:dyDescent="0.25">
      <c r="A3086" s="2"/>
      <c r="C3086" s="2"/>
    </row>
    <row r="3087" spans="1:3" x14ac:dyDescent="0.25">
      <c r="A3087" s="2"/>
      <c r="C3087" s="2"/>
    </row>
    <row r="3088" spans="1:3" x14ac:dyDescent="0.25">
      <c r="A3088" s="2"/>
      <c r="C3088" s="2"/>
    </row>
    <row r="3089" spans="1:3" x14ac:dyDescent="0.25">
      <c r="A3089" s="2"/>
      <c r="C3089" s="2"/>
    </row>
    <row r="3090" spans="1:3" x14ac:dyDescent="0.25">
      <c r="A3090" s="2"/>
      <c r="C3090" s="2"/>
    </row>
    <row r="3091" spans="1:3" x14ac:dyDescent="0.25">
      <c r="A3091" s="2"/>
      <c r="C3091" s="2"/>
    </row>
    <row r="3092" spans="1:3" x14ac:dyDescent="0.25">
      <c r="A3092" s="2"/>
      <c r="C3092" s="2"/>
    </row>
    <row r="3093" spans="1:3" x14ac:dyDescent="0.25">
      <c r="A3093" s="2"/>
      <c r="C3093" s="2"/>
    </row>
    <row r="3094" spans="1:3" x14ac:dyDescent="0.25">
      <c r="A3094" s="2"/>
      <c r="C3094" s="2"/>
    </row>
    <row r="3095" spans="1:3" x14ac:dyDescent="0.25">
      <c r="A3095" s="2"/>
      <c r="C3095" s="2"/>
    </row>
    <row r="3096" spans="1:3" x14ac:dyDescent="0.25">
      <c r="A3096" s="2"/>
      <c r="C3096" s="2"/>
    </row>
    <row r="3097" spans="1:3" x14ac:dyDescent="0.25">
      <c r="A3097" s="2"/>
      <c r="C3097" s="2"/>
    </row>
    <row r="3098" spans="1:3" x14ac:dyDescent="0.25">
      <c r="A3098" s="2"/>
      <c r="C3098" s="2"/>
    </row>
    <row r="3099" spans="1:3" x14ac:dyDescent="0.25">
      <c r="A3099" s="2"/>
      <c r="C3099" s="2"/>
    </row>
    <row r="3100" spans="1:3" x14ac:dyDescent="0.25">
      <c r="A3100" s="2"/>
      <c r="C3100" s="2"/>
    </row>
    <row r="3101" spans="1:3" x14ac:dyDescent="0.25">
      <c r="A3101" s="2"/>
      <c r="C3101" s="2"/>
    </row>
    <row r="3102" spans="1:3" x14ac:dyDescent="0.25">
      <c r="A3102" s="2"/>
      <c r="C3102" s="2"/>
    </row>
    <row r="3103" spans="1:3" x14ac:dyDescent="0.25">
      <c r="A3103" s="2"/>
      <c r="C3103" s="2"/>
    </row>
    <row r="3104" spans="1:3" x14ac:dyDescent="0.25">
      <c r="A3104" s="2"/>
      <c r="C3104" s="2"/>
    </row>
    <row r="3105" spans="1:3" x14ac:dyDescent="0.25">
      <c r="A3105" s="2"/>
      <c r="C3105" s="2"/>
    </row>
    <row r="3106" spans="1:3" x14ac:dyDescent="0.25">
      <c r="A3106" s="2"/>
      <c r="C3106" s="2"/>
    </row>
    <row r="3107" spans="1:3" x14ac:dyDescent="0.25">
      <c r="A3107" s="2"/>
      <c r="C3107" s="2"/>
    </row>
    <row r="3108" spans="1:3" x14ac:dyDescent="0.25">
      <c r="A3108" s="2"/>
      <c r="C3108" s="2"/>
    </row>
    <row r="3109" spans="1:3" x14ac:dyDescent="0.25">
      <c r="A3109" s="2"/>
      <c r="C3109" s="2"/>
    </row>
    <row r="3110" spans="1:3" x14ac:dyDescent="0.25">
      <c r="A3110" s="2"/>
      <c r="C3110" s="2"/>
    </row>
    <row r="3111" spans="1:3" x14ac:dyDescent="0.25">
      <c r="A3111" s="2"/>
      <c r="C3111" s="2"/>
    </row>
    <row r="3112" spans="1:3" x14ac:dyDescent="0.25">
      <c r="A3112" s="2"/>
      <c r="C3112" s="2"/>
    </row>
    <row r="3113" spans="1:3" x14ac:dyDescent="0.25">
      <c r="A3113" s="2"/>
      <c r="C3113" s="2"/>
    </row>
    <row r="3114" spans="1:3" x14ac:dyDescent="0.25">
      <c r="A3114" s="2"/>
      <c r="C3114" s="2"/>
    </row>
    <row r="3115" spans="1:3" x14ac:dyDescent="0.25">
      <c r="A3115" s="2"/>
      <c r="C3115" s="2"/>
    </row>
    <row r="3116" spans="1:3" x14ac:dyDescent="0.25">
      <c r="A3116" s="2"/>
      <c r="C3116" s="2"/>
    </row>
    <row r="3117" spans="1:3" x14ac:dyDescent="0.25">
      <c r="A3117" s="2"/>
      <c r="C3117" s="2"/>
    </row>
    <row r="3118" spans="1:3" x14ac:dyDescent="0.25">
      <c r="A3118" s="2"/>
      <c r="C3118" s="2"/>
    </row>
    <row r="3119" spans="1:3" x14ac:dyDescent="0.25">
      <c r="A3119" s="2"/>
      <c r="C3119" s="2"/>
    </row>
    <row r="3120" spans="1:3" x14ac:dyDescent="0.25">
      <c r="A3120" s="2"/>
      <c r="C3120" s="2"/>
    </row>
    <row r="3121" spans="1:3" x14ac:dyDescent="0.25">
      <c r="A3121" s="2"/>
      <c r="C3121" s="2"/>
    </row>
    <row r="3122" spans="1:3" x14ac:dyDescent="0.25">
      <c r="A3122" s="2"/>
      <c r="C3122" s="2"/>
    </row>
    <row r="3123" spans="1:3" x14ac:dyDescent="0.25">
      <c r="A3123" s="2"/>
      <c r="C3123" s="2"/>
    </row>
    <row r="3124" spans="1:3" x14ac:dyDescent="0.25">
      <c r="A3124" s="2"/>
      <c r="C3124" s="2"/>
    </row>
    <row r="3125" spans="1:3" x14ac:dyDescent="0.25">
      <c r="A3125" s="2"/>
      <c r="C3125" s="2"/>
    </row>
    <row r="3126" spans="1:3" x14ac:dyDescent="0.25">
      <c r="A3126" s="2"/>
      <c r="C3126" s="2"/>
    </row>
    <row r="3127" spans="1:3" x14ac:dyDescent="0.25">
      <c r="A3127" s="2"/>
      <c r="C3127" s="2"/>
    </row>
    <row r="3128" spans="1:3" x14ac:dyDescent="0.25">
      <c r="A3128" s="2"/>
      <c r="C3128" s="2"/>
    </row>
    <row r="3129" spans="1:3" x14ac:dyDescent="0.25">
      <c r="A3129" s="2"/>
      <c r="C3129" s="2"/>
    </row>
    <row r="3130" spans="1:3" x14ac:dyDescent="0.25">
      <c r="A3130" s="2"/>
      <c r="C3130" s="2"/>
    </row>
    <row r="3131" spans="1:3" x14ac:dyDescent="0.25">
      <c r="A3131" s="2"/>
      <c r="C3131" s="2"/>
    </row>
    <row r="3132" spans="1:3" x14ac:dyDescent="0.25">
      <c r="A3132" s="2"/>
      <c r="C3132" s="2"/>
    </row>
    <row r="3133" spans="1:3" x14ac:dyDescent="0.25">
      <c r="A3133" s="2"/>
      <c r="C3133" s="2"/>
    </row>
    <row r="3134" spans="1:3" x14ac:dyDescent="0.25">
      <c r="A3134" s="2"/>
      <c r="C3134" s="2"/>
    </row>
    <row r="3135" spans="1:3" x14ac:dyDescent="0.25">
      <c r="A3135" s="2"/>
      <c r="C3135" s="2"/>
    </row>
    <row r="3136" spans="1:3" x14ac:dyDescent="0.25">
      <c r="A3136" s="2"/>
      <c r="C3136" s="2"/>
    </row>
    <row r="3137" spans="1:3" x14ac:dyDescent="0.25">
      <c r="A3137" s="2"/>
      <c r="C3137" s="2"/>
    </row>
    <row r="3138" spans="1:3" x14ac:dyDescent="0.25">
      <c r="A3138" s="2"/>
      <c r="C3138" s="2"/>
    </row>
    <row r="3139" spans="1:3" x14ac:dyDescent="0.25">
      <c r="A3139" s="2"/>
      <c r="C3139" s="2"/>
    </row>
    <row r="3140" spans="1:3" x14ac:dyDescent="0.25">
      <c r="A3140" s="2"/>
      <c r="C3140" s="2"/>
    </row>
    <row r="3141" spans="1:3" x14ac:dyDescent="0.25">
      <c r="A3141" s="2"/>
      <c r="C3141" s="2"/>
    </row>
    <row r="3142" spans="1:3" x14ac:dyDescent="0.25">
      <c r="A3142" s="2"/>
      <c r="C3142" s="2"/>
    </row>
    <row r="3143" spans="1:3" x14ac:dyDescent="0.25">
      <c r="A3143" s="2"/>
      <c r="C3143" s="2"/>
    </row>
    <row r="3144" spans="1:3" x14ac:dyDescent="0.25">
      <c r="A3144" s="2"/>
      <c r="C3144" s="2"/>
    </row>
    <row r="3145" spans="1:3" x14ac:dyDescent="0.25">
      <c r="A3145" s="2"/>
      <c r="C3145" s="2"/>
    </row>
    <row r="3146" spans="1:3" x14ac:dyDescent="0.25">
      <c r="A3146" s="2"/>
      <c r="C3146" s="2"/>
    </row>
    <row r="3147" spans="1:3" x14ac:dyDescent="0.25">
      <c r="A3147" s="2"/>
      <c r="C3147" s="2"/>
    </row>
    <row r="3148" spans="1:3" x14ac:dyDescent="0.25">
      <c r="A3148" s="2"/>
      <c r="C3148" s="2"/>
    </row>
    <row r="3149" spans="1:3" x14ac:dyDescent="0.25">
      <c r="A3149" s="2"/>
      <c r="C3149" s="2"/>
    </row>
    <row r="3150" spans="1:3" x14ac:dyDescent="0.25">
      <c r="A3150" s="2"/>
      <c r="C3150" s="2"/>
    </row>
    <row r="3151" spans="1:3" x14ac:dyDescent="0.25">
      <c r="A3151" s="2"/>
      <c r="C3151" s="2"/>
    </row>
    <row r="3152" spans="1:3" x14ac:dyDescent="0.25">
      <c r="A3152" s="2"/>
      <c r="C3152" s="2"/>
    </row>
    <row r="3153" spans="1:3" x14ac:dyDescent="0.25">
      <c r="A3153" s="2"/>
      <c r="C3153" s="2"/>
    </row>
    <row r="3154" spans="1:3" x14ac:dyDescent="0.25">
      <c r="A3154" s="2"/>
      <c r="C3154" s="2"/>
    </row>
    <row r="3155" spans="1:3" x14ac:dyDescent="0.25">
      <c r="A3155" s="2"/>
      <c r="C3155" s="2"/>
    </row>
    <row r="3156" spans="1:3" x14ac:dyDescent="0.25">
      <c r="A3156" s="2"/>
      <c r="C3156" s="2"/>
    </row>
    <row r="3157" spans="1:3" x14ac:dyDescent="0.25">
      <c r="A3157" s="2"/>
      <c r="C3157" s="2"/>
    </row>
    <row r="3158" spans="1:3" x14ac:dyDescent="0.25">
      <c r="A3158" s="2"/>
      <c r="C3158" s="2"/>
    </row>
    <row r="3159" spans="1:3" x14ac:dyDescent="0.25">
      <c r="A3159" s="2"/>
      <c r="C3159" s="2"/>
    </row>
    <row r="3160" spans="1:3" x14ac:dyDescent="0.25">
      <c r="A3160" s="2"/>
      <c r="C3160" s="2"/>
    </row>
    <row r="3161" spans="1:3" x14ac:dyDescent="0.25">
      <c r="A3161" s="2"/>
      <c r="C3161" s="2"/>
    </row>
    <row r="3162" spans="1:3" x14ac:dyDescent="0.25">
      <c r="A3162" s="2"/>
      <c r="C3162" s="2"/>
    </row>
    <row r="3163" spans="1:3" x14ac:dyDescent="0.25">
      <c r="A3163" s="2"/>
      <c r="C3163" s="2"/>
    </row>
    <row r="3164" spans="1:3" x14ac:dyDescent="0.25">
      <c r="A3164" s="2"/>
      <c r="C3164" s="2"/>
    </row>
    <row r="3165" spans="1:3" x14ac:dyDescent="0.25">
      <c r="A3165" s="2"/>
      <c r="C3165" s="2"/>
    </row>
    <row r="3166" spans="1:3" x14ac:dyDescent="0.25">
      <c r="A3166" s="2"/>
      <c r="C3166" s="2"/>
    </row>
    <row r="3167" spans="1:3" x14ac:dyDescent="0.25">
      <c r="A3167" s="2"/>
      <c r="C3167" s="2"/>
    </row>
    <row r="3168" spans="1:3" x14ac:dyDescent="0.25">
      <c r="A3168" s="2"/>
      <c r="C3168" s="2"/>
    </row>
    <row r="3169" spans="1:3" x14ac:dyDescent="0.25">
      <c r="A3169" s="2"/>
      <c r="C3169" s="2"/>
    </row>
    <row r="3170" spans="1:3" x14ac:dyDescent="0.25">
      <c r="A3170" s="2"/>
      <c r="C3170" s="2"/>
    </row>
    <row r="3171" spans="1:3" x14ac:dyDescent="0.25">
      <c r="A3171" s="2"/>
      <c r="C3171" s="2"/>
    </row>
    <row r="3172" spans="1:3" x14ac:dyDescent="0.25">
      <c r="A3172" s="2"/>
      <c r="C3172" s="2"/>
    </row>
    <row r="3173" spans="1:3" x14ac:dyDescent="0.25">
      <c r="A3173" s="2"/>
      <c r="C3173" s="2"/>
    </row>
    <row r="3174" spans="1:3" x14ac:dyDescent="0.25">
      <c r="A3174" s="2"/>
      <c r="C3174" s="2"/>
    </row>
    <row r="3175" spans="1:3" x14ac:dyDescent="0.25">
      <c r="A3175" s="2"/>
      <c r="C3175" s="2"/>
    </row>
    <row r="3176" spans="1:3" x14ac:dyDescent="0.25">
      <c r="A3176" s="2"/>
      <c r="C3176" s="2"/>
    </row>
    <row r="3177" spans="1:3" x14ac:dyDescent="0.25">
      <c r="A3177" s="2"/>
      <c r="C3177" s="2"/>
    </row>
    <row r="3178" spans="1:3" x14ac:dyDescent="0.25">
      <c r="A3178" s="2"/>
      <c r="C3178" s="2"/>
    </row>
    <row r="3179" spans="1:3" x14ac:dyDescent="0.25">
      <c r="A3179" s="2"/>
      <c r="C3179" s="2"/>
    </row>
    <row r="3180" spans="1:3" x14ac:dyDescent="0.25">
      <c r="A3180" s="2"/>
      <c r="C3180" s="2"/>
    </row>
    <row r="3181" spans="1:3" x14ac:dyDescent="0.25">
      <c r="A3181" s="2"/>
      <c r="C3181" s="2"/>
    </row>
    <row r="3182" spans="1:3" x14ac:dyDescent="0.25">
      <c r="A3182" s="2"/>
      <c r="C3182" s="2"/>
    </row>
    <row r="3183" spans="1:3" x14ac:dyDescent="0.25">
      <c r="A3183" s="2"/>
      <c r="C3183" s="2"/>
    </row>
    <row r="3184" spans="1:3" x14ac:dyDescent="0.25">
      <c r="A3184" s="2"/>
      <c r="C3184" s="2"/>
    </row>
    <row r="3185" spans="1:3" x14ac:dyDescent="0.25">
      <c r="A3185" s="2"/>
      <c r="C3185" s="2"/>
    </row>
    <row r="3186" spans="1:3" x14ac:dyDescent="0.25">
      <c r="A3186" s="2"/>
      <c r="C3186" s="2"/>
    </row>
    <row r="3187" spans="1:3" x14ac:dyDescent="0.25">
      <c r="A3187" s="2"/>
      <c r="C3187" s="2"/>
    </row>
    <row r="3188" spans="1:3" x14ac:dyDescent="0.25">
      <c r="A3188" s="2"/>
      <c r="C3188" s="2"/>
    </row>
    <row r="3189" spans="1:3" x14ac:dyDescent="0.25">
      <c r="A3189" s="2"/>
      <c r="C3189" s="2"/>
    </row>
    <row r="3190" spans="1:3" x14ac:dyDescent="0.25">
      <c r="A3190" s="2"/>
      <c r="C3190" s="2"/>
    </row>
    <row r="3191" spans="1:3" x14ac:dyDescent="0.25">
      <c r="A3191" s="2"/>
      <c r="C3191" s="2"/>
    </row>
    <row r="3192" spans="1:3" x14ac:dyDescent="0.25">
      <c r="A3192" s="2"/>
      <c r="C3192" s="2"/>
    </row>
    <row r="3193" spans="1:3" x14ac:dyDescent="0.25">
      <c r="A3193" s="2"/>
      <c r="C3193" s="2"/>
    </row>
    <row r="3194" spans="1:3" x14ac:dyDescent="0.25">
      <c r="A3194" s="2"/>
      <c r="C3194" s="2"/>
    </row>
    <row r="3195" spans="1:3" x14ac:dyDescent="0.25">
      <c r="A3195" s="2"/>
      <c r="C3195" s="2"/>
    </row>
    <row r="3196" spans="1:3" x14ac:dyDescent="0.25">
      <c r="A3196" s="2"/>
      <c r="C3196" s="2"/>
    </row>
    <row r="3197" spans="1:3" x14ac:dyDescent="0.25">
      <c r="A3197" s="2"/>
      <c r="C3197" s="2"/>
    </row>
    <row r="3198" spans="1:3" x14ac:dyDescent="0.25">
      <c r="A3198" s="2"/>
      <c r="C3198" s="2"/>
    </row>
    <row r="3199" spans="1:3" x14ac:dyDescent="0.25">
      <c r="A3199" s="2"/>
      <c r="C3199" s="2"/>
    </row>
    <row r="3200" spans="1:3" x14ac:dyDescent="0.25">
      <c r="A3200" s="2"/>
      <c r="C3200" s="2"/>
    </row>
    <row r="3201" spans="1:3" x14ac:dyDescent="0.25">
      <c r="A3201" s="2"/>
      <c r="C3201" s="2"/>
    </row>
    <row r="3202" spans="1:3" x14ac:dyDescent="0.25">
      <c r="A3202" s="2"/>
      <c r="C3202" s="2"/>
    </row>
    <row r="3203" spans="1:3" x14ac:dyDescent="0.25">
      <c r="A3203" s="2"/>
      <c r="C3203" s="2"/>
    </row>
    <row r="3204" spans="1:3" x14ac:dyDescent="0.25">
      <c r="A3204" s="2"/>
      <c r="C3204" s="2"/>
    </row>
    <row r="3205" spans="1:3" x14ac:dyDescent="0.25">
      <c r="A3205" s="2"/>
      <c r="C3205" s="2"/>
    </row>
    <row r="3206" spans="1:3" x14ac:dyDescent="0.25">
      <c r="A3206" s="2"/>
      <c r="C3206" s="2"/>
    </row>
    <row r="3207" spans="1:3" x14ac:dyDescent="0.25">
      <c r="A3207" s="2"/>
      <c r="C3207" s="2"/>
    </row>
    <row r="3208" spans="1:3" x14ac:dyDescent="0.25">
      <c r="A3208" s="2"/>
      <c r="C3208" s="2"/>
    </row>
    <row r="3209" spans="1:3" x14ac:dyDescent="0.25">
      <c r="A3209" s="2"/>
      <c r="C3209" s="2"/>
    </row>
    <row r="3210" spans="1:3" x14ac:dyDescent="0.25">
      <c r="A3210" s="2"/>
      <c r="C3210" s="2"/>
    </row>
    <row r="3211" spans="1:3" x14ac:dyDescent="0.25">
      <c r="A3211" s="2"/>
      <c r="C3211" s="2"/>
    </row>
    <row r="3212" spans="1:3" x14ac:dyDescent="0.25">
      <c r="A3212" s="2"/>
      <c r="C3212" s="2"/>
    </row>
    <row r="3213" spans="1:3" x14ac:dyDescent="0.25">
      <c r="A3213" s="2"/>
      <c r="C3213" s="2"/>
    </row>
    <row r="3214" spans="1:3" x14ac:dyDescent="0.25">
      <c r="A3214" s="2"/>
      <c r="C3214" s="2"/>
    </row>
    <row r="3215" spans="1:3" x14ac:dyDescent="0.25">
      <c r="A3215" s="2"/>
      <c r="C3215" s="2"/>
    </row>
    <row r="3216" spans="1:3" x14ac:dyDescent="0.25">
      <c r="A3216" s="2"/>
      <c r="C3216" s="2"/>
    </row>
    <row r="3217" spans="1:3" x14ac:dyDescent="0.25">
      <c r="A3217" s="2"/>
      <c r="C3217" s="2"/>
    </row>
    <row r="3218" spans="1:3" x14ac:dyDescent="0.25">
      <c r="A3218" s="2"/>
      <c r="C3218" s="2"/>
    </row>
    <row r="3219" spans="1:3" x14ac:dyDescent="0.25">
      <c r="A3219" s="2"/>
      <c r="C3219" s="2"/>
    </row>
    <row r="3220" spans="1:3" x14ac:dyDescent="0.25">
      <c r="A3220" s="2"/>
      <c r="C3220" s="2"/>
    </row>
    <row r="3221" spans="1:3" x14ac:dyDescent="0.25">
      <c r="A3221" s="2"/>
      <c r="C3221" s="2"/>
    </row>
    <row r="3222" spans="1:3" x14ac:dyDescent="0.25">
      <c r="A3222" s="2"/>
      <c r="C3222" s="2"/>
    </row>
    <row r="3223" spans="1:3" x14ac:dyDescent="0.25">
      <c r="A3223" s="2"/>
      <c r="C3223" s="2"/>
    </row>
    <row r="3224" spans="1:3" x14ac:dyDescent="0.25">
      <c r="A3224" s="2"/>
      <c r="C3224" s="2"/>
    </row>
    <row r="3225" spans="1:3" x14ac:dyDescent="0.25">
      <c r="A3225" s="2"/>
      <c r="C3225" s="2"/>
    </row>
    <row r="3226" spans="1:3" x14ac:dyDescent="0.25">
      <c r="A3226" s="2"/>
      <c r="C3226" s="2"/>
    </row>
    <row r="3227" spans="1:3" x14ac:dyDescent="0.25">
      <c r="A3227" s="2"/>
      <c r="C3227" s="2"/>
    </row>
    <row r="3228" spans="1:3" x14ac:dyDescent="0.25">
      <c r="A3228" s="2"/>
      <c r="C3228" s="2"/>
    </row>
    <row r="3229" spans="1:3" x14ac:dyDescent="0.25">
      <c r="A3229" s="2"/>
      <c r="C3229" s="2"/>
    </row>
    <row r="3230" spans="1:3" x14ac:dyDescent="0.25">
      <c r="A3230" s="2"/>
      <c r="C3230" s="2"/>
    </row>
    <row r="3231" spans="1:3" x14ac:dyDescent="0.25">
      <c r="A3231" s="2"/>
      <c r="C3231" s="2"/>
    </row>
    <row r="3232" spans="1:3" x14ac:dyDescent="0.25">
      <c r="A3232" s="2"/>
      <c r="C3232" s="2"/>
    </row>
    <row r="3233" spans="1:3" x14ac:dyDescent="0.25">
      <c r="A3233" s="2"/>
      <c r="C3233" s="2"/>
    </row>
    <row r="3234" spans="1:3" x14ac:dyDescent="0.25">
      <c r="A3234" s="2"/>
      <c r="C3234" s="2"/>
    </row>
    <row r="3235" spans="1:3" x14ac:dyDescent="0.25">
      <c r="A3235" s="2"/>
      <c r="C3235" s="2"/>
    </row>
    <row r="3236" spans="1:3" x14ac:dyDescent="0.25">
      <c r="A3236" s="2"/>
      <c r="C3236" s="2"/>
    </row>
    <row r="3237" spans="1:3" x14ac:dyDescent="0.25">
      <c r="A3237" s="2"/>
      <c r="C3237" s="2"/>
    </row>
    <row r="3238" spans="1:3" x14ac:dyDescent="0.25">
      <c r="A3238" s="2"/>
      <c r="C3238" s="2"/>
    </row>
    <row r="3239" spans="1:3" x14ac:dyDescent="0.25">
      <c r="A3239" s="2"/>
      <c r="C3239" s="2"/>
    </row>
    <row r="3240" spans="1:3" x14ac:dyDescent="0.25">
      <c r="A3240" s="2"/>
      <c r="C3240" s="2"/>
    </row>
    <row r="3241" spans="1:3" x14ac:dyDescent="0.25">
      <c r="A3241" s="2"/>
      <c r="C3241" s="2"/>
    </row>
    <row r="3242" spans="1:3" x14ac:dyDescent="0.25">
      <c r="A3242" s="2"/>
      <c r="C3242" s="2"/>
    </row>
    <row r="3243" spans="1:3" x14ac:dyDescent="0.25">
      <c r="A3243" s="2"/>
      <c r="C3243" s="2"/>
    </row>
    <row r="3244" spans="1:3" x14ac:dyDescent="0.25">
      <c r="A3244" s="2"/>
      <c r="C3244" s="2"/>
    </row>
    <row r="3245" spans="1:3" x14ac:dyDescent="0.25">
      <c r="A3245" s="2"/>
      <c r="C3245" s="2"/>
    </row>
    <row r="3246" spans="1:3" x14ac:dyDescent="0.25">
      <c r="A3246" s="2"/>
      <c r="C3246" s="2"/>
    </row>
    <row r="3247" spans="1:3" x14ac:dyDescent="0.25">
      <c r="A3247" s="2"/>
      <c r="C3247" s="2"/>
    </row>
    <row r="3248" spans="1:3" x14ac:dyDescent="0.25">
      <c r="A3248" s="2"/>
      <c r="C3248" s="2"/>
    </row>
    <row r="3249" spans="1:3" x14ac:dyDescent="0.25">
      <c r="A3249" s="2"/>
      <c r="C3249" s="2"/>
    </row>
    <row r="3250" spans="1:3" x14ac:dyDescent="0.25">
      <c r="A3250" s="2"/>
      <c r="C3250" s="2"/>
    </row>
    <row r="3251" spans="1:3" x14ac:dyDescent="0.25">
      <c r="A3251" s="2"/>
      <c r="C3251" s="2"/>
    </row>
    <row r="3252" spans="1:3" x14ac:dyDescent="0.25">
      <c r="A3252" s="2"/>
      <c r="C3252" s="2"/>
    </row>
    <row r="3253" spans="1:3" x14ac:dyDescent="0.25">
      <c r="A3253" s="2"/>
      <c r="C3253" s="2"/>
    </row>
    <row r="3254" spans="1:3" x14ac:dyDescent="0.25">
      <c r="A3254" s="2"/>
      <c r="C3254" s="2"/>
    </row>
    <row r="3255" spans="1:3" x14ac:dyDescent="0.25">
      <c r="A3255" s="2"/>
      <c r="C3255" s="2"/>
    </row>
    <row r="3256" spans="1:3" x14ac:dyDescent="0.25">
      <c r="A3256" s="2"/>
      <c r="C3256" s="2"/>
    </row>
    <row r="3257" spans="1:3" x14ac:dyDescent="0.25">
      <c r="A3257" s="2"/>
      <c r="C3257" s="2"/>
    </row>
    <row r="3258" spans="1:3" x14ac:dyDescent="0.25">
      <c r="A3258" s="2"/>
      <c r="C3258" s="2"/>
    </row>
    <row r="3259" spans="1:3" x14ac:dyDescent="0.25">
      <c r="A3259" s="2"/>
      <c r="C3259" s="2"/>
    </row>
    <row r="3260" spans="1:3" x14ac:dyDescent="0.25">
      <c r="A3260" s="2"/>
      <c r="C3260" s="2"/>
    </row>
    <row r="3261" spans="1:3" x14ac:dyDescent="0.25">
      <c r="A3261" s="2"/>
      <c r="C3261" s="2"/>
    </row>
    <row r="3262" spans="1:3" x14ac:dyDescent="0.25">
      <c r="A3262" s="2"/>
      <c r="C3262" s="2"/>
    </row>
    <row r="3263" spans="1:3" x14ac:dyDescent="0.25">
      <c r="A3263" s="2"/>
      <c r="C3263" s="2"/>
    </row>
    <row r="3264" spans="1:3" x14ac:dyDescent="0.25">
      <c r="A3264" s="2"/>
      <c r="C3264" s="2"/>
    </row>
    <row r="3265" spans="1:3" x14ac:dyDescent="0.25">
      <c r="A3265" s="2"/>
      <c r="C3265" s="2"/>
    </row>
    <row r="3266" spans="1:3" x14ac:dyDescent="0.25">
      <c r="A3266" s="2"/>
      <c r="C3266" s="2"/>
    </row>
    <row r="3267" spans="1:3" x14ac:dyDescent="0.25">
      <c r="A3267" s="2"/>
      <c r="C3267" s="2"/>
    </row>
    <row r="3268" spans="1:3" x14ac:dyDescent="0.25">
      <c r="A3268" s="2"/>
      <c r="C3268" s="2"/>
    </row>
    <row r="3269" spans="1:3" x14ac:dyDescent="0.25">
      <c r="A3269" s="2"/>
      <c r="C3269" s="2"/>
    </row>
    <row r="3270" spans="1:3" x14ac:dyDescent="0.25">
      <c r="A3270" s="2"/>
      <c r="C3270" s="2"/>
    </row>
    <row r="3271" spans="1:3" x14ac:dyDescent="0.25">
      <c r="A3271" s="2"/>
      <c r="C3271" s="2"/>
    </row>
    <row r="3272" spans="1:3" x14ac:dyDescent="0.25">
      <c r="A3272" s="2"/>
      <c r="C3272" s="2"/>
    </row>
    <row r="3273" spans="1:3" x14ac:dyDescent="0.25">
      <c r="A3273" s="2"/>
      <c r="C3273" s="2"/>
    </row>
    <row r="3274" spans="1:3" x14ac:dyDescent="0.25">
      <c r="A3274" s="2"/>
      <c r="C3274" s="2"/>
    </row>
    <row r="3275" spans="1:3" x14ac:dyDescent="0.25">
      <c r="A3275" s="2"/>
      <c r="C3275" s="2"/>
    </row>
    <row r="3276" spans="1:3" x14ac:dyDescent="0.25">
      <c r="A3276" s="2"/>
      <c r="C3276" s="2"/>
    </row>
    <row r="3277" spans="1:3" x14ac:dyDescent="0.25">
      <c r="A3277" s="2"/>
      <c r="C3277" s="2"/>
    </row>
    <row r="3278" spans="1:3" x14ac:dyDescent="0.25">
      <c r="A3278" s="2"/>
      <c r="C3278" s="2"/>
    </row>
    <row r="3279" spans="1:3" x14ac:dyDescent="0.25">
      <c r="A3279" s="2"/>
      <c r="C3279" s="2"/>
    </row>
    <row r="3280" spans="1:3" x14ac:dyDescent="0.25">
      <c r="A3280" s="2"/>
      <c r="C3280" s="2"/>
    </row>
    <row r="3281" spans="1:3" x14ac:dyDescent="0.25">
      <c r="A3281" s="2"/>
      <c r="C3281" s="2"/>
    </row>
    <row r="3282" spans="1:3" x14ac:dyDescent="0.25">
      <c r="A3282" s="2"/>
      <c r="C3282" s="2"/>
    </row>
    <row r="3283" spans="1:3" x14ac:dyDescent="0.25">
      <c r="A3283" s="2"/>
      <c r="C3283" s="2"/>
    </row>
    <row r="3284" spans="1:3" x14ac:dyDescent="0.25">
      <c r="A3284" s="2"/>
      <c r="C3284" s="2"/>
    </row>
    <row r="3285" spans="1:3" x14ac:dyDescent="0.25">
      <c r="A3285" s="2"/>
      <c r="C3285" s="2"/>
    </row>
    <row r="3286" spans="1:3" x14ac:dyDescent="0.25">
      <c r="A3286" s="2"/>
      <c r="C3286" s="2"/>
    </row>
    <row r="3287" spans="1:3" x14ac:dyDescent="0.25">
      <c r="A3287" s="2"/>
      <c r="C3287" s="2"/>
    </row>
    <row r="3288" spans="1:3" x14ac:dyDescent="0.25">
      <c r="A3288" s="2"/>
      <c r="C3288" s="2"/>
    </row>
    <row r="3289" spans="1:3" x14ac:dyDescent="0.25">
      <c r="A3289" s="2"/>
      <c r="C3289" s="2"/>
    </row>
    <row r="3290" spans="1:3" x14ac:dyDescent="0.25">
      <c r="A3290" s="2"/>
      <c r="C3290" s="2"/>
    </row>
    <row r="3291" spans="1:3" x14ac:dyDescent="0.25">
      <c r="A3291" s="2"/>
      <c r="C3291" s="2"/>
    </row>
    <row r="3292" spans="1:3" x14ac:dyDescent="0.25">
      <c r="A3292" s="2"/>
      <c r="C3292" s="2"/>
    </row>
    <row r="3293" spans="1:3" x14ac:dyDescent="0.25">
      <c r="A3293" s="2"/>
      <c r="C3293" s="2"/>
    </row>
    <row r="3294" spans="1:3" x14ac:dyDescent="0.25">
      <c r="A3294" s="2"/>
      <c r="C3294" s="2"/>
    </row>
    <row r="3295" spans="1:3" x14ac:dyDescent="0.25">
      <c r="A3295" s="2"/>
      <c r="C3295" s="2"/>
    </row>
    <row r="3296" spans="1:3" x14ac:dyDescent="0.25">
      <c r="A3296" s="2"/>
      <c r="C3296" s="2"/>
    </row>
    <row r="3297" spans="1:3" x14ac:dyDescent="0.25">
      <c r="A3297" s="2"/>
      <c r="C3297" s="2"/>
    </row>
    <row r="3298" spans="1:3" x14ac:dyDescent="0.25">
      <c r="A3298" s="2"/>
      <c r="C3298" s="2"/>
    </row>
    <row r="3299" spans="1:3" x14ac:dyDescent="0.25">
      <c r="A3299" s="2"/>
      <c r="C3299" s="2"/>
    </row>
    <row r="3300" spans="1:3" x14ac:dyDescent="0.25">
      <c r="A3300" s="2"/>
      <c r="C3300" s="2"/>
    </row>
    <row r="3301" spans="1:3" x14ac:dyDescent="0.25">
      <c r="A3301" s="2"/>
      <c r="C3301" s="2"/>
    </row>
    <row r="3302" spans="1:3" x14ac:dyDescent="0.25">
      <c r="A3302" s="2"/>
      <c r="C3302" s="2"/>
    </row>
    <row r="3303" spans="1:3" x14ac:dyDescent="0.25">
      <c r="A3303" s="2"/>
      <c r="C3303" s="2"/>
    </row>
    <row r="3304" spans="1:3" x14ac:dyDescent="0.25">
      <c r="A3304" s="2"/>
      <c r="C3304" s="2"/>
    </row>
    <row r="3305" spans="1:3" x14ac:dyDescent="0.25">
      <c r="A3305" s="2"/>
      <c r="C3305" s="2"/>
    </row>
    <row r="3306" spans="1:3" x14ac:dyDescent="0.25">
      <c r="A3306" s="2"/>
      <c r="C3306" s="2"/>
    </row>
    <row r="3307" spans="1:3" x14ac:dyDescent="0.25">
      <c r="A3307" s="2"/>
      <c r="C3307" s="2"/>
    </row>
    <row r="3308" spans="1:3" x14ac:dyDescent="0.25">
      <c r="A3308" s="2"/>
      <c r="C3308" s="2"/>
    </row>
    <row r="3309" spans="1:3" x14ac:dyDescent="0.25">
      <c r="A3309" s="2"/>
      <c r="C3309" s="2"/>
    </row>
    <row r="3310" spans="1:3" x14ac:dyDescent="0.25">
      <c r="A3310" s="2"/>
      <c r="C3310" s="2"/>
    </row>
    <row r="3311" spans="1:3" x14ac:dyDescent="0.25">
      <c r="A3311" s="2"/>
      <c r="C3311" s="2"/>
    </row>
    <row r="3312" spans="1:3" x14ac:dyDescent="0.25">
      <c r="A3312" s="2"/>
      <c r="C3312" s="2"/>
    </row>
    <row r="3313" spans="1:3" x14ac:dyDescent="0.25">
      <c r="A3313" s="2"/>
      <c r="C3313" s="2"/>
    </row>
    <row r="3314" spans="1:3" x14ac:dyDescent="0.25">
      <c r="A3314" s="2"/>
      <c r="C3314" s="2"/>
    </row>
    <row r="3315" spans="1:3" x14ac:dyDescent="0.25">
      <c r="A3315" s="2"/>
      <c r="C3315" s="2"/>
    </row>
    <row r="3316" spans="1:3" x14ac:dyDescent="0.25">
      <c r="A3316" s="2"/>
      <c r="C3316" s="2"/>
    </row>
    <row r="3317" spans="1:3" x14ac:dyDescent="0.25">
      <c r="A3317" s="2"/>
      <c r="C3317" s="2"/>
    </row>
    <row r="3318" spans="1:3" x14ac:dyDescent="0.25">
      <c r="A3318" s="2"/>
      <c r="C3318" s="2"/>
    </row>
    <row r="3319" spans="1:3" x14ac:dyDescent="0.25">
      <c r="A3319" s="2"/>
      <c r="C3319" s="2"/>
    </row>
    <row r="3320" spans="1:3" x14ac:dyDescent="0.25">
      <c r="A3320" s="2"/>
      <c r="C3320" s="2"/>
    </row>
    <row r="3321" spans="1:3" x14ac:dyDescent="0.25">
      <c r="A3321" s="2"/>
      <c r="C3321" s="2"/>
    </row>
    <row r="3322" spans="1:3" x14ac:dyDescent="0.25">
      <c r="A3322" s="2"/>
      <c r="C3322" s="2"/>
    </row>
    <row r="3323" spans="1:3" x14ac:dyDescent="0.25">
      <c r="A3323" s="2"/>
      <c r="C3323" s="2"/>
    </row>
    <row r="3324" spans="1:3" x14ac:dyDescent="0.25">
      <c r="A3324" s="2"/>
      <c r="C3324" s="2"/>
    </row>
    <row r="3325" spans="1:3" x14ac:dyDescent="0.25">
      <c r="A3325" s="2"/>
      <c r="C3325" s="2"/>
    </row>
    <row r="3326" spans="1:3" x14ac:dyDescent="0.25">
      <c r="A3326" s="2"/>
      <c r="C3326" s="2"/>
    </row>
    <row r="3327" spans="1:3" x14ac:dyDescent="0.25">
      <c r="A3327" s="2"/>
      <c r="C3327" s="2"/>
    </row>
    <row r="3328" spans="1:3" x14ac:dyDescent="0.25">
      <c r="A3328" s="2"/>
      <c r="C3328" s="2"/>
    </row>
    <row r="3329" spans="1:3" x14ac:dyDescent="0.25">
      <c r="A3329" s="2"/>
      <c r="C3329" s="2"/>
    </row>
    <row r="3330" spans="1:3" x14ac:dyDescent="0.25">
      <c r="A3330" s="2"/>
      <c r="C3330" s="2"/>
    </row>
    <row r="3331" spans="1:3" x14ac:dyDescent="0.25">
      <c r="A3331" s="2"/>
      <c r="C3331" s="2"/>
    </row>
    <row r="3332" spans="1:3" x14ac:dyDescent="0.25">
      <c r="A3332" s="2"/>
      <c r="C3332" s="2"/>
    </row>
    <row r="3333" spans="1:3" x14ac:dyDescent="0.25">
      <c r="A3333" s="2"/>
      <c r="C3333" s="2"/>
    </row>
    <row r="3334" spans="1:3" x14ac:dyDescent="0.25">
      <c r="A3334" s="2"/>
      <c r="C3334" s="2"/>
    </row>
    <row r="3335" spans="1:3" x14ac:dyDescent="0.25">
      <c r="A3335" s="2"/>
      <c r="C3335" s="2"/>
    </row>
    <row r="3336" spans="1:3" x14ac:dyDescent="0.25">
      <c r="A3336" s="2"/>
      <c r="C3336" s="2"/>
    </row>
    <row r="3337" spans="1:3" x14ac:dyDescent="0.25">
      <c r="A3337" s="2"/>
      <c r="C3337" s="2"/>
    </row>
    <row r="3338" spans="1:3" x14ac:dyDescent="0.25">
      <c r="A3338" s="2"/>
      <c r="C3338" s="2"/>
    </row>
    <row r="3339" spans="1:3" x14ac:dyDescent="0.25">
      <c r="A3339" s="2"/>
      <c r="C3339" s="2"/>
    </row>
    <row r="3340" spans="1:3" x14ac:dyDescent="0.25">
      <c r="A3340" s="2"/>
      <c r="C3340" s="2"/>
    </row>
    <row r="3341" spans="1:3" x14ac:dyDescent="0.25">
      <c r="A3341" s="2"/>
      <c r="C3341" s="2"/>
    </row>
    <row r="3342" spans="1:3" x14ac:dyDescent="0.25">
      <c r="A3342" s="2"/>
      <c r="C3342" s="2"/>
    </row>
    <row r="3343" spans="1:3" x14ac:dyDescent="0.25">
      <c r="A3343" s="2"/>
      <c r="C3343" s="2"/>
    </row>
    <row r="3344" spans="1:3" x14ac:dyDescent="0.25">
      <c r="A3344" s="2"/>
      <c r="C3344" s="2"/>
    </row>
    <row r="3345" spans="1:3" x14ac:dyDescent="0.25">
      <c r="A3345" s="2"/>
      <c r="C3345" s="2"/>
    </row>
    <row r="3346" spans="1:3" x14ac:dyDescent="0.25">
      <c r="A3346" s="2"/>
      <c r="C3346" s="2"/>
    </row>
    <row r="3347" spans="1:3" x14ac:dyDescent="0.25">
      <c r="A3347" s="2"/>
      <c r="C3347" s="2"/>
    </row>
    <row r="3348" spans="1:3" x14ac:dyDescent="0.25">
      <c r="A3348" s="2"/>
      <c r="C3348" s="2"/>
    </row>
    <row r="3349" spans="1:3" x14ac:dyDescent="0.25">
      <c r="A3349" s="2"/>
      <c r="C3349" s="2"/>
    </row>
    <row r="3350" spans="1:3" x14ac:dyDescent="0.25">
      <c r="A3350" s="2"/>
      <c r="C3350" s="2"/>
    </row>
    <row r="3351" spans="1:3" x14ac:dyDescent="0.25">
      <c r="A3351" s="2"/>
      <c r="C3351" s="2"/>
    </row>
    <row r="3352" spans="1:3" x14ac:dyDescent="0.25">
      <c r="A3352" s="2"/>
      <c r="C3352" s="2"/>
    </row>
    <row r="3353" spans="1:3" x14ac:dyDescent="0.25">
      <c r="A3353" s="2"/>
      <c r="C3353" s="2"/>
    </row>
    <row r="3354" spans="1:3" x14ac:dyDescent="0.25">
      <c r="A3354" s="2"/>
      <c r="C3354" s="2"/>
    </row>
    <row r="3355" spans="1:3" x14ac:dyDescent="0.25">
      <c r="A3355" s="2"/>
      <c r="C3355" s="2"/>
    </row>
    <row r="3356" spans="1:3" x14ac:dyDescent="0.25">
      <c r="A3356" s="2"/>
      <c r="C3356" s="2"/>
    </row>
    <row r="3357" spans="1:3" x14ac:dyDescent="0.25">
      <c r="A3357" s="2"/>
      <c r="C3357" s="2"/>
    </row>
    <row r="3358" spans="1:3" x14ac:dyDescent="0.25">
      <c r="A3358" s="2"/>
      <c r="C3358" s="2"/>
    </row>
    <row r="3359" spans="1:3" x14ac:dyDescent="0.25">
      <c r="A3359" s="2"/>
      <c r="C3359" s="2"/>
    </row>
    <row r="3360" spans="1:3" x14ac:dyDescent="0.25">
      <c r="A3360" s="2"/>
      <c r="C3360" s="2"/>
    </row>
    <row r="3361" spans="1:3" x14ac:dyDescent="0.25">
      <c r="A3361" s="2"/>
      <c r="C3361" s="2"/>
    </row>
    <row r="3362" spans="1:3" x14ac:dyDescent="0.25">
      <c r="A3362" s="2"/>
      <c r="C3362" s="2"/>
    </row>
    <row r="3363" spans="1:3" x14ac:dyDescent="0.25">
      <c r="A3363" s="2"/>
      <c r="C3363" s="2"/>
    </row>
    <row r="3364" spans="1:3" x14ac:dyDescent="0.25">
      <c r="A3364" s="2"/>
      <c r="C3364" s="2"/>
    </row>
    <row r="3365" spans="1:3" x14ac:dyDescent="0.25">
      <c r="A3365" s="2"/>
      <c r="C3365" s="2"/>
    </row>
    <row r="3366" spans="1:3" x14ac:dyDescent="0.25">
      <c r="A3366" s="2"/>
      <c r="C3366" s="2"/>
    </row>
    <row r="3367" spans="1:3" x14ac:dyDescent="0.25">
      <c r="A3367" s="2"/>
      <c r="C3367" s="2"/>
    </row>
    <row r="3368" spans="1:3" x14ac:dyDescent="0.25">
      <c r="A3368" s="2"/>
      <c r="C3368" s="2"/>
    </row>
    <row r="3369" spans="1:3" x14ac:dyDescent="0.25">
      <c r="A3369" s="2"/>
      <c r="C3369" s="2"/>
    </row>
    <row r="3370" spans="1:3" x14ac:dyDescent="0.25">
      <c r="A3370" s="2"/>
      <c r="C3370" s="2"/>
    </row>
    <row r="3371" spans="1:3" x14ac:dyDescent="0.25">
      <c r="A3371" s="2"/>
      <c r="C3371" s="2"/>
    </row>
    <row r="3372" spans="1:3" x14ac:dyDescent="0.25">
      <c r="A3372" s="2"/>
      <c r="C3372" s="2"/>
    </row>
    <row r="3373" spans="1:3" x14ac:dyDescent="0.25">
      <c r="A3373" s="2"/>
      <c r="C3373" s="2"/>
    </row>
    <row r="3374" spans="1:3" x14ac:dyDescent="0.25">
      <c r="A3374" s="2"/>
      <c r="C3374" s="2"/>
    </row>
    <row r="3375" spans="1:3" x14ac:dyDescent="0.25">
      <c r="A3375" s="2"/>
      <c r="C3375" s="2"/>
    </row>
    <row r="3376" spans="1:3" x14ac:dyDescent="0.25">
      <c r="A3376" s="2"/>
      <c r="C3376" s="2"/>
    </row>
    <row r="3377" spans="1:3" x14ac:dyDescent="0.25">
      <c r="A3377" s="2"/>
      <c r="C3377" s="2"/>
    </row>
    <row r="3378" spans="1:3" x14ac:dyDescent="0.25">
      <c r="A3378" s="2"/>
      <c r="C3378" s="2"/>
    </row>
    <row r="3379" spans="1:3" x14ac:dyDescent="0.25">
      <c r="A3379" s="2"/>
      <c r="C3379" s="2"/>
    </row>
    <row r="3380" spans="1:3" x14ac:dyDescent="0.25">
      <c r="A3380" s="2"/>
      <c r="C3380" s="2"/>
    </row>
    <row r="3381" spans="1:3" x14ac:dyDescent="0.25">
      <c r="A3381" s="2"/>
      <c r="C3381" s="2"/>
    </row>
    <row r="3382" spans="1:3" x14ac:dyDescent="0.25">
      <c r="A3382" s="2"/>
      <c r="C3382" s="2"/>
    </row>
    <row r="3383" spans="1:3" x14ac:dyDescent="0.25">
      <c r="A3383" s="2"/>
      <c r="C3383" s="2"/>
    </row>
    <row r="3384" spans="1:3" x14ac:dyDescent="0.25">
      <c r="A3384" s="2"/>
      <c r="C3384" s="2"/>
    </row>
    <row r="3385" spans="1:3" x14ac:dyDescent="0.25">
      <c r="A3385" s="2"/>
      <c r="C3385" s="2"/>
    </row>
    <row r="3386" spans="1:3" x14ac:dyDescent="0.25">
      <c r="A3386" s="2"/>
      <c r="C3386" s="2"/>
    </row>
    <row r="3387" spans="1:3" x14ac:dyDescent="0.25">
      <c r="A3387" s="2"/>
      <c r="C3387" s="2"/>
    </row>
    <row r="3388" spans="1:3" x14ac:dyDescent="0.25">
      <c r="A3388" s="2"/>
      <c r="C3388" s="2"/>
    </row>
    <row r="3389" spans="1:3" x14ac:dyDescent="0.25">
      <c r="A3389" s="2"/>
      <c r="C3389" s="2"/>
    </row>
    <row r="3390" spans="1:3" x14ac:dyDescent="0.25">
      <c r="A3390" s="2"/>
      <c r="C3390" s="2"/>
    </row>
    <row r="3391" spans="1:3" x14ac:dyDescent="0.25">
      <c r="A3391" s="2"/>
      <c r="C3391" s="2"/>
    </row>
    <row r="3392" spans="1:3" x14ac:dyDescent="0.25">
      <c r="A3392" s="2"/>
      <c r="C3392" s="2"/>
    </row>
    <row r="3393" spans="1:3" x14ac:dyDescent="0.25">
      <c r="A3393" s="2"/>
      <c r="C3393" s="2"/>
    </row>
    <row r="3394" spans="1:3" x14ac:dyDescent="0.25">
      <c r="A3394" s="2"/>
      <c r="C3394" s="2"/>
    </row>
    <row r="3395" spans="1:3" x14ac:dyDescent="0.25">
      <c r="A3395" s="2"/>
      <c r="C3395" s="2"/>
    </row>
    <row r="3396" spans="1:3" x14ac:dyDescent="0.25">
      <c r="A3396" s="2"/>
      <c r="C3396" s="2"/>
    </row>
    <row r="3397" spans="1:3" x14ac:dyDescent="0.25">
      <c r="A3397" s="2"/>
      <c r="C3397" s="2"/>
    </row>
    <row r="3398" spans="1:3" x14ac:dyDescent="0.25">
      <c r="A3398" s="2"/>
      <c r="C3398" s="2"/>
    </row>
    <row r="3399" spans="1:3" x14ac:dyDescent="0.25">
      <c r="A3399" s="2"/>
      <c r="C3399" s="2"/>
    </row>
    <row r="3400" spans="1:3" x14ac:dyDescent="0.25">
      <c r="A3400" s="2"/>
      <c r="C3400" s="2"/>
    </row>
    <row r="3401" spans="1:3" x14ac:dyDescent="0.25">
      <c r="A3401" s="2"/>
      <c r="C3401" s="2"/>
    </row>
    <row r="3402" spans="1:3" x14ac:dyDescent="0.25">
      <c r="A3402" s="2"/>
      <c r="C3402" s="2"/>
    </row>
    <row r="3403" spans="1:3" x14ac:dyDescent="0.25">
      <c r="A3403" s="2"/>
      <c r="C3403" s="2"/>
    </row>
    <row r="3404" spans="1:3" x14ac:dyDescent="0.25">
      <c r="A3404" s="2"/>
      <c r="C3404" s="2"/>
    </row>
    <row r="3405" spans="1:3" x14ac:dyDescent="0.25">
      <c r="A3405" s="2"/>
      <c r="C3405" s="2"/>
    </row>
    <row r="3406" spans="1:3" x14ac:dyDescent="0.25">
      <c r="A3406" s="2"/>
      <c r="C3406" s="2"/>
    </row>
    <row r="3407" spans="1:3" x14ac:dyDescent="0.25">
      <c r="A3407" s="2"/>
      <c r="C3407" s="2"/>
    </row>
    <row r="3408" spans="1:3" x14ac:dyDescent="0.25">
      <c r="A3408" s="2"/>
      <c r="C3408" s="2"/>
    </row>
    <row r="3409" spans="1:3" x14ac:dyDescent="0.25">
      <c r="A3409" s="2"/>
      <c r="C3409" s="2"/>
    </row>
    <row r="3410" spans="1:3" x14ac:dyDescent="0.25">
      <c r="A3410" s="2"/>
      <c r="C3410" s="2"/>
    </row>
    <row r="3411" spans="1:3" x14ac:dyDescent="0.25">
      <c r="A3411" s="2"/>
      <c r="C3411" s="2"/>
    </row>
    <row r="3412" spans="1:3" x14ac:dyDescent="0.25">
      <c r="A3412" s="2"/>
      <c r="C3412" s="2"/>
    </row>
    <row r="3413" spans="1:3" x14ac:dyDescent="0.25">
      <c r="A3413" s="2"/>
      <c r="C3413" s="2"/>
    </row>
    <row r="3414" spans="1:3" x14ac:dyDescent="0.25">
      <c r="A3414" s="2"/>
      <c r="C3414" s="2"/>
    </row>
    <row r="3415" spans="1:3" x14ac:dyDescent="0.25">
      <c r="A3415" s="2"/>
      <c r="C3415" s="2"/>
    </row>
    <row r="3416" spans="1:3" x14ac:dyDescent="0.25">
      <c r="A3416" s="2"/>
      <c r="C3416" s="2"/>
    </row>
    <row r="3417" spans="1:3" x14ac:dyDescent="0.25">
      <c r="A3417" s="2"/>
      <c r="C3417" s="2"/>
    </row>
    <row r="3418" spans="1:3" x14ac:dyDescent="0.25">
      <c r="A3418" s="2"/>
      <c r="C3418" s="2"/>
    </row>
    <row r="3419" spans="1:3" x14ac:dyDescent="0.25">
      <c r="A3419" s="2"/>
      <c r="C3419" s="2"/>
    </row>
    <row r="3420" spans="1:3" x14ac:dyDescent="0.25">
      <c r="A3420" s="2"/>
      <c r="C3420" s="2"/>
    </row>
    <row r="3421" spans="1:3" x14ac:dyDescent="0.25">
      <c r="A3421" s="2"/>
      <c r="C3421" s="2"/>
    </row>
    <row r="3422" spans="1:3" x14ac:dyDescent="0.25">
      <c r="A3422" s="2"/>
      <c r="C3422" s="2"/>
    </row>
    <row r="3423" spans="1:3" x14ac:dyDescent="0.25">
      <c r="A3423" s="2"/>
      <c r="C3423" s="2"/>
    </row>
    <row r="3424" spans="1:3" x14ac:dyDescent="0.25">
      <c r="A3424" s="2"/>
      <c r="C3424" s="2"/>
    </row>
    <row r="3425" spans="1:3" x14ac:dyDescent="0.25">
      <c r="A3425" s="2"/>
      <c r="C3425" s="2"/>
    </row>
    <row r="3426" spans="1:3" x14ac:dyDescent="0.25">
      <c r="A3426" s="2"/>
      <c r="C3426" s="2"/>
    </row>
    <row r="3427" spans="1:3" x14ac:dyDescent="0.25">
      <c r="A3427" s="2"/>
      <c r="C3427" s="2"/>
    </row>
    <row r="3428" spans="1:3" x14ac:dyDescent="0.25">
      <c r="A3428" s="2"/>
      <c r="C3428" s="2"/>
    </row>
    <row r="3429" spans="1:3" x14ac:dyDescent="0.25">
      <c r="A3429" s="2"/>
      <c r="C3429" s="2"/>
    </row>
    <row r="3430" spans="1:3" x14ac:dyDescent="0.25">
      <c r="A3430" s="2"/>
      <c r="C3430" s="2"/>
    </row>
    <row r="3431" spans="1:3" x14ac:dyDescent="0.25">
      <c r="A3431" s="2"/>
      <c r="C3431" s="2"/>
    </row>
    <row r="3432" spans="1:3" x14ac:dyDescent="0.25">
      <c r="A3432" s="2"/>
      <c r="C3432" s="2"/>
    </row>
    <row r="3433" spans="1:3" x14ac:dyDescent="0.25">
      <c r="A3433" s="2"/>
      <c r="C3433" s="2"/>
    </row>
    <row r="3434" spans="1:3" x14ac:dyDescent="0.25">
      <c r="A3434" s="2"/>
      <c r="C3434" s="2"/>
    </row>
    <row r="3435" spans="1:3" x14ac:dyDescent="0.25">
      <c r="A3435" s="2"/>
      <c r="C3435" s="2"/>
    </row>
    <row r="3436" spans="1:3" x14ac:dyDescent="0.25">
      <c r="A3436" s="2"/>
      <c r="C3436" s="2"/>
    </row>
    <row r="3437" spans="1:3" x14ac:dyDescent="0.25">
      <c r="A3437" s="2"/>
      <c r="C3437" s="2"/>
    </row>
    <row r="3438" spans="1:3" x14ac:dyDescent="0.25">
      <c r="A3438" s="2"/>
      <c r="C3438" s="2"/>
    </row>
    <row r="3439" spans="1:3" x14ac:dyDescent="0.25">
      <c r="A3439" s="2"/>
      <c r="C3439" s="2"/>
    </row>
    <row r="3440" spans="1:3" x14ac:dyDescent="0.25">
      <c r="A3440" s="2"/>
      <c r="C3440" s="2"/>
    </row>
    <row r="3441" spans="1:3" x14ac:dyDescent="0.25">
      <c r="A3441" s="2"/>
      <c r="C3441" s="2"/>
    </row>
    <row r="3442" spans="1:3" x14ac:dyDescent="0.25">
      <c r="A3442" s="2"/>
      <c r="C3442" s="2"/>
    </row>
    <row r="3443" spans="1:3" x14ac:dyDescent="0.25">
      <c r="A3443" s="2"/>
      <c r="C3443" s="2"/>
    </row>
    <row r="3444" spans="1:3" x14ac:dyDescent="0.25">
      <c r="A3444" s="2"/>
      <c r="C3444" s="2"/>
    </row>
    <row r="3445" spans="1:3" x14ac:dyDescent="0.25">
      <c r="A3445" s="2"/>
      <c r="C3445" s="2"/>
    </row>
    <row r="3446" spans="1:3" x14ac:dyDescent="0.25">
      <c r="A3446" s="2"/>
      <c r="C3446" s="2"/>
    </row>
    <row r="3447" spans="1:3" x14ac:dyDescent="0.25">
      <c r="A3447" s="2"/>
      <c r="C3447" s="2"/>
    </row>
    <row r="3448" spans="1:3" x14ac:dyDescent="0.25">
      <c r="A3448" s="2"/>
      <c r="C3448" s="2"/>
    </row>
    <row r="3449" spans="1:3" x14ac:dyDescent="0.25">
      <c r="A3449" s="2"/>
      <c r="C3449" s="2"/>
    </row>
    <row r="3450" spans="1:3" x14ac:dyDescent="0.25">
      <c r="A3450" s="2"/>
      <c r="C3450" s="2"/>
    </row>
    <row r="3451" spans="1:3" x14ac:dyDescent="0.25">
      <c r="A3451" s="2"/>
      <c r="C3451" s="2"/>
    </row>
    <row r="3452" spans="1:3" x14ac:dyDescent="0.25">
      <c r="A3452" s="2"/>
      <c r="C3452" s="2"/>
    </row>
    <row r="3453" spans="1:3" x14ac:dyDescent="0.25">
      <c r="A3453" s="2"/>
      <c r="C3453" s="2"/>
    </row>
    <row r="3454" spans="1:3" x14ac:dyDescent="0.25">
      <c r="A3454" s="2"/>
      <c r="C3454" s="2"/>
    </row>
    <row r="3455" spans="1:3" x14ac:dyDescent="0.25">
      <c r="A3455" s="2"/>
      <c r="C3455" s="2"/>
    </row>
    <row r="3456" spans="1:3" x14ac:dyDescent="0.25">
      <c r="A3456" s="2"/>
      <c r="C3456" s="2"/>
    </row>
    <row r="3457" spans="1:3" x14ac:dyDescent="0.25">
      <c r="A3457" s="2"/>
      <c r="C3457" s="2"/>
    </row>
    <row r="3458" spans="1:3" x14ac:dyDescent="0.25">
      <c r="A3458" s="2"/>
      <c r="C3458" s="2"/>
    </row>
    <row r="3459" spans="1:3" x14ac:dyDescent="0.25">
      <c r="A3459" s="2"/>
      <c r="C3459" s="2"/>
    </row>
    <row r="3460" spans="1:3" x14ac:dyDescent="0.25">
      <c r="A3460" s="2"/>
      <c r="C3460" s="2"/>
    </row>
    <row r="3461" spans="1:3" x14ac:dyDescent="0.25">
      <c r="A3461" s="2"/>
      <c r="C3461" s="2"/>
    </row>
    <row r="3462" spans="1:3" x14ac:dyDescent="0.25">
      <c r="A3462" s="2"/>
      <c r="C3462" s="2"/>
    </row>
    <row r="3463" spans="1:3" x14ac:dyDescent="0.25">
      <c r="A3463" s="2"/>
      <c r="C3463" s="2"/>
    </row>
    <row r="3464" spans="1:3" x14ac:dyDescent="0.25">
      <c r="A3464" s="2"/>
      <c r="C3464" s="2"/>
    </row>
    <row r="3465" spans="1:3" x14ac:dyDescent="0.25">
      <c r="A3465" s="2"/>
      <c r="C3465" s="2"/>
    </row>
    <row r="3466" spans="1:3" x14ac:dyDescent="0.25">
      <c r="A3466" s="2"/>
      <c r="C3466" s="2"/>
    </row>
    <row r="3467" spans="1:3" x14ac:dyDescent="0.25">
      <c r="A3467" s="2"/>
      <c r="C3467" s="2"/>
    </row>
    <row r="3468" spans="1:3" x14ac:dyDescent="0.25">
      <c r="A3468" s="2"/>
      <c r="C3468" s="2"/>
    </row>
    <row r="3469" spans="1:3" x14ac:dyDescent="0.25">
      <c r="A3469" s="2"/>
      <c r="C3469" s="2"/>
    </row>
    <row r="3470" spans="1:3" x14ac:dyDescent="0.25">
      <c r="A3470" s="2"/>
      <c r="C3470" s="2"/>
    </row>
    <row r="3471" spans="1:3" x14ac:dyDescent="0.25">
      <c r="A3471" s="2"/>
      <c r="C3471" s="2"/>
    </row>
    <row r="3472" spans="1:3" x14ac:dyDescent="0.25">
      <c r="A3472" s="2"/>
      <c r="C3472" s="2"/>
    </row>
    <row r="3473" spans="1:3" x14ac:dyDescent="0.25">
      <c r="A3473" s="2"/>
      <c r="C3473" s="2"/>
    </row>
    <row r="3474" spans="1:3" x14ac:dyDescent="0.25">
      <c r="A3474" s="2"/>
      <c r="C3474" s="2"/>
    </row>
    <row r="3475" spans="1:3" x14ac:dyDescent="0.25">
      <c r="A3475" s="2"/>
      <c r="C3475" s="2"/>
    </row>
    <row r="3476" spans="1:3" x14ac:dyDescent="0.25">
      <c r="A3476" s="2"/>
      <c r="C3476" s="2"/>
    </row>
    <row r="3477" spans="1:3" x14ac:dyDescent="0.25">
      <c r="A3477" s="2"/>
      <c r="C3477" s="2"/>
    </row>
    <row r="3478" spans="1:3" x14ac:dyDescent="0.25">
      <c r="A3478" s="2"/>
      <c r="C3478" s="2"/>
    </row>
    <row r="3479" spans="1:3" x14ac:dyDescent="0.25">
      <c r="A3479" s="2"/>
      <c r="C3479" s="2"/>
    </row>
    <row r="3480" spans="1:3" x14ac:dyDescent="0.25">
      <c r="A3480" s="2"/>
      <c r="C3480" s="2"/>
    </row>
    <row r="3481" spans="1:3" x14ac:dyDescent="0.25">
      <c r="A3481" s="2"/>
      <c r="C3481" s="2"/>
    </row>
    <row r="3482" spans="1:3" x14ac:dyDescent="0.25">
      <c r="A3482" s="2"/>
      <c r="C3482" s="2"/>
    </row>
    <row r="3483" spans="1:3" x14ac:dyDescent="0.25">
      <c r="A3483" s="2"/>
      <c r="C3483" s="2"/>
    </row>
    <row r="3484" spans="1:3" x14ac:dyDescent="0.25">
      <c r="A3484" s="2"/>
      <c r="C3484" s="2"/>
    </row>
    <row r="3485" spans="1:3" x14ac:dyDescent="0.25">
      <c r="A3485" s="2"/>
      <c r="C3485" s="2"/>
    </row>
    <row r="3486" spans="1:3" x14ac:dyDescent="0.25">
      <c r="A3486" s="2"/>
      <c r="C3486" s="2"/>
    </row>
    <row r="3487" spans="1:3" x14ac:dyDescent="0.25">
      <c r="A3487" s="2"/>
      <c r="C3487" s="2"/>
    </row>
    <row r="3488" spans="1:3" x14ac:dyDescent="0.25">
      <c r="A3488" s="2"/>
      <c r="C3488" s="2"/>
    </row>
    <row r="3489" spans="1:3" x14ac:dyDescent="0.25">
      <c r="A3489" s="2"/>
      <c r="C3489" s="2"/>
    </row>
    <row r="3490" spans="1:3" x14ac:dyDescent="0.25">
      <c r="A3490" s="2"/>
      <c r="C3490" s="2"/>
    </row>
    <row r="3491" spans="1:3" x14ac:dyDescent="0.25">
      <c r="A3491" s="2"/>
      <c r="C3491" s="2"/>
    </row>
    <row r="3492" spans="1:3" x14ac:dyDescent="0.25">
      <c r="A3492" s="2"/>
      <c r="C3492" s="2"/>
    </row>
    <row r="3493" spans="1:3" x14ac:dyDescent="0.25">
      <c r="A3493" s="2"/>
      <c r="C3493" s="2"/>
    </row>
    <row r="3494" spans="1:3" x14ac:dyDescent="0.25">
      <c r="A3494" s="2"/>
      <c r="C3494" s="2"/>
    </row>
    <row r="3495" spans="1:3" x14ac:dyDescent="0.25">
      <c r="A3495" s="2"/>
      <c r="C3495" s="2"/>
    </row>
    <row r="3496" spans="1:3" x14ac:dyDescent="0.25">
      <c r="A3496" s="2"/>
      <c r="C3496" s="2"/>
    </row>
    <row r="3497" spans="1:3" x14ac:dyDescent="0.25">
      <c r="A3497" s="2"/>
      <c r="C3497" s="2"/>
    </row>
    <row r="3498" spans="1:3" x14ac:dyDescent="0.25">
      <c r="A3498" s="2"/>
      <c r="C3498" s="2"/>
    </row>
    <row r="3499" spans="1:3" x14ac:dyDescent="0.25">
      <c r="A3499" s="2"/>
      <c r="C3499" s="2"/>
    </row>
    <row r="3500" spans="1:3" x14ac:dyDescent="0.25">
      <c r="A3500" s="2"/>
      <c r="C3500" s="2"/>
    </row>
    <row r="3501" spans="1:3" x14ac:dyDescent="0.25">
      <c r="A3501" s="2"/>
      <c r="C3501" s="2"/>
    </row>
    <row r="3502" spans="1:3" x14ac:dyDescent="0.25">
      <c r="A3502" s="2"/>
      <c r="C3502" s="2"/>
    </row>
    <row r="3503" spans="1:3" x14ac:dyDescent="0.25">
      <c r="A3503" s="2"/>
      <c r="C3503" s="2"/>
    </row>
    <row r="3504" spans="1:3" x14ac:dyDescent="0.25">
      <c r="A3504" s="2"/>
      <c r="C3504" s="2"/>
    </row>
    <row r="3505" spans="1:3" x14ac:dyDescent="0.25">
      <c r="A3505" s="2"/>
      <c r="C3505" s="2"/>
    </row>
    <row r="3506" spans="1:3" x14ac:dyDescent="0.25">
      <c r="A3506" s="2"/>
      <c r="C3506" s="2"/>
    </row>
    <row r="3507" spans="1:3" x14ac:dyDescent="0.25">
      <c r="A3507" s="2"/>
      <c r="C3507" s="2"/>
    </row>
    <row r="3508" spans="1:3" x14ac:dyDescent="0.25">
      <c r="A3508" s="2"/>
      <c r="C3508" s="2"/>
    </row>
    <row r="3509" spans="1:3" x14ac:dyDescent="0.25">
      <c r="A3509" s="2"/>
      <c r="C3509" s="2"/>
    </row>
    <row r="3510" spans="1:3" x14ac:dyDescent="0.25">
      <c r="A3510" s="2"/>
      <c r="C3510" s="2"/>
    </row>
    <row r="3511" spans="1:3" x14ac:dyDescent="0.25">
      <c r="A3511" s="2"/>
      <c r="C3511" s="2"/>
    </row>
    <row r="3512" spans="1:3" x14ac:dyDescent="0.25">
      <c r="A3512" s="2"/>
      <c r="C3512" s="2"/>
    </row>
    <row r="3513" spans="1:3" x14ac:dyDescent="0.25">
      <c r="A3513" s="2"/>
      <c r="C3513" s="2"/>
    </row>
    <row r="3514" spans="1:3" x14ac:dyDescent="0.25">
      <c r="A3514" s="2"/>
      <c r="C3514" s="2"/>
    </row>
    <row r="3515" spans="1:3" x14ac:dyDescent="0.25">
      <c r="A3515" s="2"/>
      <c r="C3515" s="2"/>
    </row>
    <row r="3516" spans="1:3" x14ac:dyDescent="0.25">
      <c r="A3516" s="2"/>
      <c r="C3516" s="2"/>
    </row>
    <row r="3517" spans="1:3" x14ac:dyDescent="0.25">
      <c r="A3517" s="2"/>
      <c r="C3517" s="2"/>
    </row>
    <row r="3518" spans="1:3" x14ac:dyDescent="0.25">
      <c r="A3518" s="2"/>
      <c r="C3518" s="2"/>
    </row>
    <row r="3519" spans="1:3" x14ac:dyDescent="0.25">
      <c r="A3519" s="2"/>
      <c r="C3519" s="2"/>
    </row>
    <row r="3520" spans="1:3" x14ac:dyDescent="0.25">
      <c r="A3520" s="2"/>
      <c r="C3520" s="2"/>
    </row>
    <row r="3521" spans="1:3" x14ac:dyDescent="0.25">
      <c r="A3521" s="2"/>
      <c r="C3521" s="2"/>
    </row>
    <row r="3522" spans="1:3" x14ac:dyDescent="0.25">
      <c r="A3522" s="2"/>
      <c r="C3522" s="2"/>
    </row>
    <row r="3523" spans="1:3" x14ac:dyDescent="0.25">
      <c r="A3523" s="2"/>
      <c r="C3523" s="2"/>
    </row>
    <row r="3524" spans="1:3" x14ac:dyDescent="0.25">
      <c r="A3524" s="2"/>
      <c r="C3524" s="2"/>
    </row>
    <row r="3525" spans="1:3" x14ac:dyDescent="0.25">
      <c r="A3525" s="2"/>
      <c r="C3525" s="2"/>
    </row>
    <row r="3526" spans="1:3" x14ac:dyDescent="0.25">
      <c r="A3526" s="2"/>
      <c r="C3526" s="2"/>
    </row>
    <row r="3527" spans="1:3" x14ac:dyDescent="0.25">
      <c r="A3527" s="2"/>
      <c r="C3527" s="2"/>
    </row>
    <row r="3528" spans="1:3" x14ac:dyDescent="0.25">
      <c r="A3528" s="2"/>
      <c r="C3528" s="2"/>
    </row>
    <row r="3529" spans="1:3" x14ac:dyDescent="0.25">
      <c r="A3529" s="2"/>
      <c r="C3529" s="2"/>
    </row>
    <row r="3530" spans="1:3" x14ac:dyDescent="0.25">
      <c r="A3530" s="2"/>
      <c r="C3530" s="2"/>
    </row>
    <row r="3531" spans="1:3" x14ac:dyDescent="0.25">
      <c r="A3531" s="2"/>
      <c r="C3531" s="2"/>
    </row>
    <row r="3532" spans="1:3" x14ac:dyDescent="0.25">
      <c r="A3532" s="2"/>
      <c r="C3532" s="2"/>
    </row>
    <row r="3533" spans="1:3" x14ac:dyDescent="0.25">
      <c r="A3533" s="2"/>
      <c r="C3533" s="2"/>
    </row>
    <row r="3534" spans="1:3" x14ac:dyDescent="0.25">
      <c r="A3534" s="2"/>
      <c r="C3534" s="2"/>
    </row>
    <row r="3535" spans="1:3" x14ac:dyDescent="0.25">
      <c r="A3535" s="2"/>
      <c r="C3535" s="2"/>
    </row>
    <row r="3536" spans="1:3" x14ac:dyDescent="0.25">
      <c r="A3536" s="2"/>
      <c r="C3536" s="2"/>
    </row>
    <row r="3537" spans="1:3" x14ac:dyDescent="0.25">
      <c r="A3537" s="2"/>
      <c r="C3537" s="2"/>
    </row>
    <row r="3538" spans="1:3" x14ac:dyDescent="0.25">
      <c r="A3538" s="2"/>
      <c r="C3538" s="2"/>
    </row>
    <row r="3539" spans="1:3" x14ac:dyDescent="0.25">
      <c r="A3539" s="2"/>
      <c r="C3539" s="2"/>
    </row>
    <row r="3540" spans="1:3" x14ac:dyDescent="0.25">
      <c r="A3540" s="2"/>
      <c r="C3540" s="2"/>
    </row>
    <row r="3541" spans="1:3" x14ac:dyDescent="0.25">
      <c r="A3541" s="2"/>
      <c r="C3541" s="2"/>
    </row>
    <row r="3542" spans="1:3" x14ac:dyDescent="0.25">
      <c r="A3542" s="2"/>
      <c r="C3542" s="2"/>
    </row>
    <row r="3543" spans="1:3" x14ac:dyDescent="0.25">
      <c r="A3543" s="2"/>
      <c r="C3543" s="2"/>
    </row>
    <row r="3544" spans="1:3" x14ac:dyDescent="0.25">
      <c r="A3544" s="2"/>
      <c r="C3544" s="2"/>
    </row>
    <row r="3545" spans="1:3" x14ac:dyDescent="0.25">
      <c r="A3545" s="2"/>
      <c r="C3545" s="2"/>
    </row>
    <row r="3546" spans="1:3" x14ac:dyDescent="0.25">
      <c r="A3546" s="2"/>
      <c r="C3546" s="2"/>
    </row>
    <row r="3547" spans="1:3" x14ac:dyDescent="0.25">
      <c r="A3547" s="2"/>
      <c r="C3547" s="2"/>
    </row>
    <row r="3548" spans="1:3" x14ac:dyDescent="0.25">
      <c r="A3548" s="2"/>
      <c r="C3548" s="2"/>
    </row>
    <row r="3549" spans="1:3" x14ac:dyDescent="0.25">
      <c r="A3549" s="2"/>
      <c r="C3549" s="2"/>
    </row>
    <row r="3550" spans="1:3" x14ac:dyDescent="0.25">
      <c r="A3550" s="2"/>
      <c r="C3550" s="2"/>
    </row>
    <row r="3551" spans="1:3" x14ac:dyDescent="0.25">
      <c r="A3551" s="2"/>
      <c r="C3551" s="2"/>
    </row>
    <row r="3552" spans="1:3" x14ac:dyDescent="0.25">
      <c r="A3552" s="2"/>
      <c r="C3552" s="2"/>
    </row>
    <row r="3553" spans="1:3" x14ac:dyDescent="0.25">
      <c r="A3553" s="2"/>
      <c r="C3553" s="2"/>
    </row>
    <row r="3554" spans="1:3" x14ac:dyDescent="0.25">
      <c r="A3554" s="2"/>
      <c r="C3554" s="2"/>
    </row>
    <row r="3555" spans="1:3" x14ac:dyDescent="0.25">
      <c r="A3555" s="2"/>
      <c r="C3555" s="2"/>
    </row>
    <row r="3556" spans="1:3" x14ac:dyDescent="0.25">
      <c r="A3556" s="2"/>
      <c r="C3556" s="2"/>
    </row>
    <row r="3557" spans="1:3" x14ac:dyDescent="0.25">
      <c r="A3557" s="2"/>
      <c r="C3557" s="2"/>
    </row>
    <row r="3558" spans="1:3" x14ac:dyDescent="0.25">
      <c r="A3558" s="2"/>
      <c r="C3558" s="2"/>
    </row>
    <row r="3559" spans="1:3" x14ac:dyDescent="0.25">
      <c r="A3559" s="2"/>
      <c r="C3559" s="2"/>
    </row>
    <row r="3560" spans="1:3" x14ac:dyDescent="0.25">
      <c r="A3560" s="2"/>
      <c r="C3560" s="2"/>
    </row>
    <row r="3561" spans="1:3" x14ac:dyDescent="0.25">
      <c r="A3561" s="2"/>
      <c r="C3561" s="2"/>
    </row>
    <row r="3562" spans="1:3" x14ac:dyDescent="0.25">
      <c r="A3562" s="2"/>
      <c r="C3562" s="2"/>
    </row>
    <row r="3563" spans="1:3" x14ac:dyDescent="0.25">
      <c r="A3563" s="2"/>
      <c r="C3563" s="2"/>
    </row>
    <row r="3564" spans="1:3" x14ac:dyDescent="0.25">
      <c r="A3564" s="2"/>
      <c r="C3564" s="2"/>
    </row>
    <row r="3565" spans="1:3" x14ac:dyDescent="0.25">
      <c r="A3565" s="2"/>
      <c r="C3565" s="2"/>
    </row>
    <row r="3566" spans="1:3" x14ac:dyDescent="0.25">
      <c r="A3566" s="2"/>
      <c r="C3566" s="2"/>
    </row>
    <row r="3567" spans="1:3" x14ac:dyDescent="0.25">
      <c r="A3567" s="2"/>
      <c r="C3567" s="2"/>
    </row>
    <row r="3568" spans="1:3" x14ac:dyDescent="0.25">
      <c r="A3568" s="2"/>
      <c r="C3568" s="2"/>
    </row>
    <row r="3569" spans="1:3" x14ac:dyDescent="0.25">
      <c r="A3569" s="2"/>
      <c r="C3569" s="2"/>
    </row>
    <row r="3570" spans="1:3" x14ac:dyDescent="0.25">
      <c r="A3570" s="2"/>
      <c r="C3570" s="2"/>
    </row>
    <row r="3571" spans="1:3" x14ac:dyDescent="0.25">
      <c r="A3571" s="2"/>
      <c r="C3571" s="2"/>
    </row>
    <row r="3572" spans="1:3" x14ac:dyDescent="0.25">
      <c r="A3572" s="2"/>
      <c r="C3572" s="2"/>
    </row>
    <row r="3573" spans="1:3" x14ac:dyDescent="0.25">
      <c r="A3573" s="2"/>
      <c r="C3573" s="2"/>
    </row>
    <row r="3574" spans="1:3" x14ac:dyDescent="0.25">
      <c r="A3574" s="2"/>
      <c r="C3574" s="2"/>
    </row>
    <row r="3575" spans="1:3" x14ac:dyDescent="0.25">
      <c r="A3575" s="2"/>
      <c r="C3575" s="2"/>
    </row>
    <row r="3576" spans="1:3" x14ac:dyDescent="0.25">
      <c r="A3576" s="2"/>
      <c r="C3576" s="2"/>
    </row>
    <row r="3577" spans="1:3" x14ac:dyDescent="0.25">
      <c r="A3577" s="2"/>
      <c r="C3577" s="2"/>
    </row>
    <row r="3578" spans="1:3" x14ac:dyDescent="0.25">
      <c r="A3578" s="2"/>
      <c r="C3578" s="2"/>
    </row>
    <row r="3579" spans="1:3" x14ac:dyDescent="0.25">
      <c r="A3579" s="2"/>
      <c r="C3579" s="2"/>
    </row>
    <row r="3580" spans="1:3" x14ac:dyDescent="0.25">
      <c r="A3580" s="2"/>
      <c r="C3580" s="2"/>
    </row>
    <row r="3581" spans="1:3" x14ac:dyDescent="0.25">
      <c r="A3581" s="2"/>
      <c r="C3581" s="2"/>
    </row>
    <row r="3582" spans="1:3" x14ac:dyDescent="0.25">
      <c r="A3582" s="2"/>
      <c r="C3582" s="2"/>
    </row>
    <row r="3583" spans="1:3" x14ac:dyDescent="0.25">
      <c r="A3583" s="2"/>
      <c r="C3583" s="2"/>
    </row>
    <row r="3584" spans="1:3" x14ac:dyDescent="0.25">
      <c r="A3584" s="2"/>
      <c r="C3584" s="2"/>
    </row>
    <row r="3585" spans="1:3" x14ac:dyDescent="0.25">
      <c r="A3585" s="2"/>
      <c r="C3585" s="2"/>
    </row>
    <row r="3586" spans="1:3" x14ac:dyDescent="0.25">
      <c r="A3586" s="2"/>
      <c r="C3586" s="2"/>
    </row>
    <row r="3587" spans="1:3" x14ac:dyDescent="0.25">
      <c r="A3587" s="2"/>
      <c r="C3587" s="2"/>
    </row>
    <row r="3588" spans="1:3" x14ac:dyDescent="0.25">
      <c r="A3588" s="2"/>
      <c r="C3588" s="2"/>
    </row>
    <row r="3589" spans="1:3" x14ac:dyDescent="0.25">
      <c r="A3589" s="2"/>
      <c r="C3589" s="2"/>
    </row>
    <row r="3590" spans="1:3" x14ac:dyDescent="0.25">
      <c r="A3590" s="2"/>
      <c r="C3590" s="2"/>
    </row>
    <row r="3591" spans="1:3" x14ac:dyDescent="0.25">
      <c r="A3591" s="2"/>
      <c r="C3591" s="2"/>
    </row>
    <row r="3592" spans="1:3" x14ac:dyDescent="0.25">
      <c r="A3592" s="2"/>
      <c r="C3592" s="2"/>
    </row>
    <row r="3593" spans="1:3" x14ac:dyDescent="0.25">
      <c r="A3593" s="2"/>
      <c r="C3593" s="2"/>
    </row>
    <row r="3594" spans="1:3" x14ac:dyDescent="0.25">
      <c r="A3594" s="2"/>
      <c r="C3594" s="2"/>
    </row>
    <row r="3595" spans="1:3" x14ac:dyDescent="0.25">
      <c r="A3595" s="2"/>
      <c r="C3595" s="2"/>
    </row>
    <row r="3596" spans="1:3" x14ac:dyDescent="0.25">
      <c r="A3596" s="2"/>
      <c r="C3596" s="2"/>
    </row>
    <row r="3597" spans="1:3" x14ac:dyDescent="0.25">
      <c r="A3597" s="2"/>
      <c r="C3597" s="2"/>
    </row>
    <row r="3598" spans="1:3" x14ac:dyDescent="0.25">
      <c r="A3598" s="2"/>
      <c r="C3598" s="2"/>
    </row>
    <row r="3599" spans="1:3" x14ac:dyDescent="0.25">
      <c r="A3599" s="2"/>
      <c r="C3599" s="2"/>
    </row>
    <row r="3600" spans="1:3" x14ac:dyDescent="0.25">
      <c r="A3600" s="2"/>
      <c r="C3600" s="2"/>
    </row>
    <row r="3601" spans="1:3" x14ac:dyDescent="0.25">
      <c r="A3601" s="2"/>
      <c r="C3601" s="2"/>
    </row>
    <row r="3602" spans="1:3" x14ac:dyDescent="0.25">
      <c r="A3602" s="2"/>
      <c r="C3602" s="2"/>
    </row>
    <row r="3603" spans="1:3" x14ac:dyDescent="0.25">
      <c r="A3603" s="2"/>
      <c r="C3603" s="2"/>
    </row>
    <row r="3604" spans="1:3" x14ac:dyDescent="0.25">
      <c r="A3604" s="2"/>
      <c r="C3604" s="2"/>
    </row>
    <row r="3605" spans="1:3" x14ac:dyDescent="0.25">
      <c r="A3605" s="2"/>
      <c r="C3605" s="2"/>
    </row>
    <row r="3606" spans="1:3" x14ac:dyDescent="0.25">
      <c r="A3606" s="2"/>
      <c r="C3606" s="2"/>
    </row>
    <row r="3607" spans="1:3" x14ac:dyDescent="0.25">
      <c r="A3607" s="2"/>
      <c r="C3607" s="2"/>
    </row>
    <row r="3608" spans="1:3" x14ac:dyDescent="0.25">
      <c r="A3608" s="2"/>
      <c r="C3608" s="2"/>
    </row>
    <row r="3609" spans="1:3" x14ac:dyDescent="0.25">
      <c r="A3609" s="2"/>
      <c r="C3609" s="2"/>
    </row>
    <row r="3610" spans="1:3" x14ac:dyDescent="0.25">
      <c r="A3610" s="2"/>
      <c r="C3610" s="2"/>
    </row>
    <row r="3611" spans="1:3" x14ac:dyDescent="0.25">
      <c r="A3611" s="2"/>
      <c r="C3611" s="2"/>
    </row>
    <row r="3612" spans="1:3" x14ac:dyDescent="0.25">
      <c r="A3612" s="2"/>
      <c r="C3612" s="2"/>
    </row>
    <row r="3613" spans="1:3" x14ac:dyDescent="0.25">
      <c r="A3613" s="2"/>
      <c r="C3613" s="2"/>
    </row>
    <row r="3614" spans="1:3" x14ac:dyDescent="0.25">
      <c r="A3614" s="2"/>
      <c r="C3614" s="2"/>
    </row>
    <row r="3615" spans="1:3" x14ac:dyDescent="0.25">
      <c r="A3615" s="2"/>
      <c r="C3615" s="2"/>
    </row>
    <row r="3616" spans="1:3" x14ac:dyDescent="0.25">
      <c r="A3616" s="2"/>
      <c r="C3616" s="2"/>
    </row>
    <row r="3617" spans="1:3" x14ac:dyDescent="0.25">
      <c r="A3617" s="2"/>
      <c r="C3617" s="2"/>
    </row>
    <row r="3618" spans="1:3" x14ac:dyDescent="0.25">
      <c r="A3618" s="2"/>
      <c r="C3618" s="2"/>
    </row>
    <row r="3619" spans="1:3" x14ac:dyDescent="0.25">
      <c r="A3619" s="2"/>
      <c r="C3619" s="2"/>
    </row>
    <row r="3620" spans="1:3" x14ac:dyDescent="0.25">
      <c r="A3620" s="2"/>
      <c r="C3620" s="2"/>
    </row>
    <row r="3621" spans="1:3" x14ac:dyDescent="0.25">
      <c r="A3621" s="2"/>
      <c r="C3621" s="2"/>
    </row>
    <row r="3622" spans="1:3" x14ac:dyDescent="0.25">
      <c r="A3622" s="2"/>
      <c r="C3622" s="2"/>
    </row>
    <row r="3623" spans="1:3" x14ac:dyDescent="0.25">
      <c r="A3623" s="2"/>
      <c r="C3623" s="2"/>
    </row>
    <row r="3624" spans="1:3" x14ac:dyDescent="0.25">
      <c r="A3624" s="2"/>
      <c r="C3624" s="2"/>
    </row>
    <row r="3625" spans="1:3" x14ac:dyDescent="0.25">
      <c r="A3625" s="2"/>
      <c r="C3625" s="2"/>
    </row>
    <row r="3626" spans="1:3" x14ac:dyDescent="0.25">
      <c r="A3626" s="2"/>
      <c r="C3626" s="2"/>
    </row>
    <row r="3627" spans="1:3" x14ac:dyDescent="0.25">
      <c r="A3627" s="2"/>
      <c r="C3627" s="2"/>
    </row>
    <row r="3628" spans="1:3" x14ac:dyDescent="0.25">
      <c r="A3628" s="2"/>
      <c r="C3628" s="2"/>
    </row>
    <row r="3629" spans="1:3" x14ac:dyDescent="0.25">
      <c r="A3629" s="2"/>
      <c r="C3629" s="2"/>
    </row>
    <row r="3630" spans="1:3" x14ac:dyDescent="0.25">
      <c r="A3630" s="2"/>
      <c r="C3630" s="2"/>
    </row>
    <row r="3631" spans="1:3" x14ac:dyDescent="0.25">
      <c r="A3631" s="2"/>
    </row>
    <row r="3632" spans="1:3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</sheetData>
  <mergeCells count="9">
    <mergeCell ref="L2:L3"/>
    <mergeCell ref="I2:J2"/>
    <mergeCell ref="G2:H2"/>
    <mergeCell ref="E2:F2"/>
    <mergeCell ref="E82:F82"/>
    <mergeCell ref="G82:H82"/>
    <mergeCell ref="I82:I83"/>
    <mergeCell ref="J82:J83"/>
    <mergeCell ref="K2:K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Macro</vt:lpstr>
      <vt:lpstr>ZV62N</vt:lpstr>
      <vt:lpstr>Base</vt:lpstr>
      <vt:lpstr>Din</vt:lpstr>
      <vt:lpstr>Tabela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SOARES</dc:creator>
  <cp:lastModifiedBy>Robo01</cp:lastModifiedBy>
  <dcterms:created xsi:type="dcterms:W3CDTF">2018-08-13T13:51:51Z</dcterms:created>
  <dcterms:modified xsi:type="dcterms:W3CDTF">2025-09-25T17:54:31Z</dcterms:modified>
</cp:coreProperties>
</file>